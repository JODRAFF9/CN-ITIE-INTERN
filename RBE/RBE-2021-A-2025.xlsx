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BE\"/>
    </mc:Choice>
  </mc:AlternateContent>
  <xr:revisionPtr revIDLastSave="0" documentId="13_ncr:1_{2F785319-C273-4DFA-B5A3-5E2C10D5FB72}" xr6:coauthVersionLast="47" xr6:coauthVersionMax="47" xr10:uidLastSave="{00000000-0000-0000-0000-000000000000}"/>
  <bookViews>
    <workbookView xWindow="-110" yWindow="-110" windowWidth="19420" windowHeight="10300" firstSheet="2" activeTab="4" xr2:uid="{7B6EF06C-5E87-41C6-A7A7-923747263DFA}"/>
  </bookViews>
  <sheets>
    <sheet name="RBE" sheetId="1" state="hidden" r:id="rId1"/>
    <sheet name="SOUS-TRAITANT" sheetId="2" state="hidden" r:id="rId2"/>
    <sheet name="SOUS-TRAITANT (2)" sheetId="5" r:id="rId3"/>
    <sheet name="Permis" sheetId="6" state="hidden" r:id="rId4"/>
    <sheet name="RBE (2)" sheetId="4" r:id="rId5"/>
    <sheet name="Permis (2)" sheetId="7" r:id="rId6"/>
  </sheets>
  <calcPr calcId="191029" concurrentCalc="0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" i="4" l="1"/>
  <c r="Q18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W10" i="4"/>
  <c r="O242" i="4"/>
  <c r="O498" i="4"/>
  <c r="O3" i="4"/>
  <c r="O4" i="4"/>
  <c r="O5" i="4"/>
  <c r="O6" i="4"/>
  <c r="O7" i="4"/>
  <c r="O8" i="4"/>
  <c r="O9" i="4"/>
  <c r="O10" i="4"/>
  <c r="O11" i="4"/>
  <c r="O12" i="4"/>
  <c r="O14" i="4"/>
  <c r="O15" i="4"/>
  <c r="O19" i="4"/>
  <c r="O16" i="4"/>
  <c r="O17" i="4"/>
  <c r="O18" i="4"/>
  <c r="O20" i="4"/>
  <c r="O21" i="4"/>
  <c r="O30" i="4"/>
  <c r="O22" i="4"/>
  <c r="O23" i="4"/>
  <c r="O24" i="4"/>
  <c r="O25" i="4"/>
  <c r="O26" i="4"/>
  <c r="O27" i="4"/>
  <c r="O28" i="4"/>
  <c r="O29" i="4"/>
  <c r="O35" i="4"/>
  <c r="O43" i="4"/>
  <c r="O32" i="4"/>
  <c r="O33" i="4"/>
  <c r="O34" i="4"/>
  <c r="O263" i="4"/>
  <c r="O36" i="4"/>
  <c r="O37" i="4"/>
  <c r="O38" i="4"/>
  <c r="O39" i="4"/>
  <c r="O40" i="4"/>
  <c r="O41" i="4"/>
  <c r="O42" i="4"/>
  <c r="O50" i="4"/>
  <c r="O44" i="4"/>
  <c r="O45" i="4"/>
  <c r="O46" i="4"/>
  <c r="O47" i="4"/>
  <c r="O48" i="4"/>
  <c r="O49" i="4"/>
  <c r="O51" i="4"/>
  <c r="O59" i="4"/>
  <c r="O52" i="4"/>
  <c r="O53" i="4"/>
  <c r="O54" i="4"/>
  <c r="O55" i="4"/>
  <c r="O56" i="4"/>
  <c r="O57" i="4"/>
  <c r="O58" i="4"/>
  <c r="O62" i="4"/>
  <c r="O60" i="4"/>
  <c r="O61" i="4"/>
  <c r="O63" i="4"/>
  <c r="O64" i="4"/>
  <c r="O93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101" i="4"/>
  <c r="O94" i="4"/>
  <c r="O95" i="4"/>
  <c r="O96" i="4"/>
  <c r="O97" i="4"/>
  <c r="O98" i="4"/>
  <c r="O99" i="4"/>
  <c r="O100" i="4"/>
  <c r="O102" i="4"/>
  <c r="O106" i="4"/>
  <c r="O103" i="4"/>
  <c r="O104" i="4"/>
  <c r="O105" i="4"/>
  <c r="O107" i="4"/>
  <c r="O108" i="4"/>
  <c r="O110" i="4"/>
  <c r="O109" i="4"/>
  <c r="O111" i="4"/>
  <c r="O112" i="4"/>
  <c r="O113" i="4"/>
  <c r="O114" i="4"/>
  <c r="O115" i="4"/>
  <c r="O116" i="4"/>
  <c r="O117" i="4"/>
  <c r="O118" i="4"/>
  <c r="O119" i="4"/>
  <c r="O122" i="4"/>
  <c r="O120" i="4"/>
  <c r="O121" i="4"/>
  <c r="O129" i="4"/>
  <c r="O130" i="4"/>
  <c r="O124" i="4"/>
  <c r="O125" i="4"/>
  <c r="O126" i="4"/>
  <c r="O127" i="4"/>
  <c r="O132" i="4"/>
  <c r="O133" i="4"/>
  <c r="O134" i="4"/>
  <c r="O135" i="4"/>
  <c r="O136" i="4"/>
  <c r="O159" i="4"/>
  <c r="O160" i="4"/>
  <c r="O161" i="4"/>
  <c r="O162" i="4"/>
  <c r="O163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64" i="4"/>
  <c r="O152" i="4"/>
  <c r="O153" i="4"/>
  <c r="O154" i="4"/>
  <c r="O155" i="4"/>
  <c r="O156" i="4"/>
  <c r="O157" i="4"/>
  <c r="O167" i="4"/>
  <c r="O168" i="4"/>
  <c r="O169" i="4"/>
  <c r="O170" i="4"/>
  <c r="O171" i="4"/>
  <c r="O172" i="4"/>
  <c r="O173" i="4"/>
  <c r="O165" i="4"/>
  <c r="O174" i="4"/>
  <c r="O175" i="4"/>
  <c r="O180" i="4"/>
  <c r="O181" i="4"/>
  <c r="O183" i="4"/>
  <c r="O184" i="4"/>
  <c r="O188" i="4"/>
  <c r="O189" i="4"/>
  <c r="O191" i="4"/>
  <c r="O192" i="4"/>
  <c r="O176" i="4"/>
  <c r="O177" i="4"/>
  <c r="O178" i="4"/>
  <c r="O179" i="4"/>
  <c r="O194" i="4"/>
  <c r="O195" i="4"/>
  <c r="O202" i="4"/>
  <c r="O31" i="4"/>
  <c r="O166" i="4"/>
  <c r="O185" i="4"/>
  <c r="O186" i="4"/>
  <c r="O187" i="4"/>
  <c r="O182" i="4"/>
  <c r="O204" i="4"/>
  <c r="O190" i="4"/>
  <c r="O205" i="4"/>
  <c r="O350" i="4"/>
  <c r="O193" i="4"/>
  <c r="O455" i="4"/>
  <c r="O595" i="4"/>
  <c r="O196" i="4"/>
  <c r="O197" i="4"/>
  <c r="O198" i="4"/>
  <c r="O199" i="4"/>
  <c r="O200" i="4"/>
  <c r="O201" i="4"/>
  <c r="O206" i="4"/>
  <c r="O203" i="4"/>
  <c r="O207" i="4"/>
  <c r="O208" i="4"/>
  <c r="O209" i="4"/>
  <c r="O210" i="4"/>
  <c r="O211" i="4"/>
  <c r="O214" i="4"/>
  <c r="O215" i="4"/>
  <c r="O216" i="4"/>
  <c r="O212" i="4"/>
  <c r="O213" i="4"/>
  <c r="O217" i="4"/>
  <c r="O218" i="4"/>
  <c r="O223" i="4"/>
  <c r="O224" i="4"/>
  <c r="O228" i="4"/>
  <c r="O219" i="4"/>
  <c r="O220" i="4"/>
  <c r="O221" i="4"/>
  <c r="O222" i="4"/>
  <c r="O229" i="4"/>
  <c r="O230" i="4"/>
  <c r="O225" i="4"/>
  <c r="O226" i="4"/>
  <c r="O227" i="4"/>
  <c r="O232" i="4"/>
  <c r="O233" i="4"/>
  <c r="O235" i="4"/>
  <c r="O231" i="4"/>
  <c r="O236" i="4"/>
  <c r="O237" i="4"/>
  <c r="O234" i="4"/>
  <c r="O123" i="4"/>
  <c r="O128" i="4"/>
  <c r="O131" i="4"/>
  <c r="O238" i="4"/>
  <c r="O239" i="4"/>
  <c r="O240" i="4"/>
  <c r="O241" i="4"/>
  <c r="O243" i="4"/>
  <c r="O306" i="4"/>
  <c r="O307" i="4"/>
  <c r="O246" i="4"/>
  <c r="O247" i="4"/>
  <c r="O248" i="4"/>
  <c r="O249" i="4"/>
  <c r="O250" i="4"/>
  <c r="O251" i="4"/>
  <c r="O244" i="4"/>
  <c r="O245" i="4"/>
  <c r="O252" i="4"/>
  <c r="O253" i="4"/>
  <c r="O254" i="4"/>
  <c r="O257" i="4"/>
  <c r="O258" i="4"/>
  <c r="O259" i="4"/>
  <c r="O255" i="4"/>
  <c r="O256" i="4"/>
  <c r="O260" i="4"/>
  <c r="O261" i="4"/>
  <c r="O264" i="4"/>
  <c r="O265" i="4"/>
  <c r="O266" i="4"/>
  <c r="O262" i="4"/>
  <c r="O268" i="4"/>
  <c r="O269" i="4"/>
  <c r="O270" i="4"/>
  <c r="O271" i="4"/>
  <c r="O267" i="4"/>
  <c r="O272" i="4"/>
  <c r="O273" i="4"/>
  <c r="O274" i="4"/>
  <c r="O276" i="4"/>
  <c r="O277" i="4"/>
  <c r="O278" i="4"/>
  <c r="O279" i="4"/>
  <c r="O280" i="4"/>
  <c r="O275" i="4"/>
  <c r="O282" i="4"/>
  <c r="O283" i="4"/>
  <c r="O284" i="4"/>
  <c r="O285" i="4"/>
  <c r="O286" i="4"/>
  <c r="O287" i="4"/>
  <c r="O281" i="4"/>
  <c r="O289" i="4"/>
  <c r="O290" i="4"/>
  <c r="O288" i="4"/>
  <c r="O291" i="4"/>
  <c r="O293" i="4"/>
  <c r="O294" i="4"/>
  <c r="O295" i="4"/>
  <c r="O296" i="4"/>
  <c r="O292" i="4"/>
  <c r="O297" i="4"/>
  <c r="O299" i="4"/>
  <c r="O300" i="4"/>
  <c r="O301" i="4"/>
  <c r="O302" i="4"/>
  <c r="O303" i="4"/>
  <c r="O298" i="4"/>
  <c r="O304" i="4"/>
  <c r="O305" i="4"/>
  <c r="O308" i="4"/>
  <c r="O309" i="4"/>
  <c r="O315" i="4"/>
  <c r="O310" i="4"/>
  <c r="O311" i="4"/>
  <c r="O312" i="4"/>
  <c r="O313" i="4"/>
  <c r="O314" i="4"/>
  <c r="O316" i="4"/>
  <c r="O317" i="4"/>
  <c r="O318" i="4"/>
  <c r="O319" i="4"/>
  <c r="O320" i="4"/>
  <c r="O325" i="4"/>
  <c r="O321" i="4"/>
  <c r="O322" i="4"/>
  <c r="O323" i="4"/>
  <c r="O324" i="4"/>
  <c r="O326" i="4"/>
  <c r="O327" i="4"/>
  <c r="O328" i="4"/>
  <c r="O329" i="4"/>
  <c r="O336" i="4"/>
  <c r="O330" i="4"/>
  <c r="O331" i="4"/>
  <c r="O332" i="4"/>
  <c r="O333" i="4"/>
  <c r="O334" i="4"/>
  <c r="O335" i="4"/>
  <c r="O337" i="4"/>
  <c r="O338" i="4"/>
  <c r="O339" i="4"/>
  <c r="O340" i="4"/>
  <c r="O341" i="4"/>
  <c r="O342" i="4"/>
  <c r="O343" i="4"/>
  <c r="O345" i="4"/>
  <c r="O344" i="4"/>
  <c r="O347" i="4"/>
  <c r="O346" i="4"/>
  <c r="O351" i="4"/>
  <c r="O348" i="4"/>
  <c r="O349" i="4"/>
  <c r="O353" i="4"/>
  <c r="O386" i="4"/>
  <c r="O13" i="4"/>
  <c r="O352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90" i="4"/>
  <c r="O387" i="4"/>
  <c r="O388" i="4"/>
  <c r="O389" i="4"/>
  <c r="O391" i="4"/>
  <c r="O392" i="4"/>
  <c r="O393" i="4"/>
  <c r="O394" i="4"/>
  <c r="O395" i="4"/>
  <c r="O396" i="4"/>
  <c r="O397" i="4"/>
  <c r="O402" i="4"/>
  <c r="O398" i="4"/>
  <c r="O399" i="4"/>
  <c r="O400" i="4"/>
  <c r="O401" i="4"/>
  <c r="O408" i="4"/>
  <c r="O403" i="4"/>
  <c r="O404" i="4"/>
  <c r="O405" i="4"/>
  <c r="O406" i="4"/>
  <c r="O407" i="4"/>
  <c r="O409" i="4"/>
  <c r="O411" i="4"/>
  <c r="O410" i="4"/>
  <c r="O412" i="4"/>
  <c r="O413" i="4"/>
  <c r="O415" i="4"/>
  <c r="O416" i="4"/>
  <c r="O414" i="4"/>
  <c r="O417" i="4"/>
  <c r="O418" i="4"/>
  <c r="O419" i="4"/>
  <c r="O421" i="4"/>
  <c r="O420" i="4"/>
  <c r="O422" i="4"/>
  <c r="O423" i="4"/>
  <c r="O425" i="4"/>
  <c r="O424" i="4"/>
  <c r="O426" i="4"/>
  <c r="O427" i="4"/>
  <c r="O428" i="4"/>
  <c r="O430" i="4"/>
  <c r="O429" i="4"/>
  <c r="O456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5" i="4"/>
  <c r="O476" i="4"/>
  <c r="O474" i="4"/>
  <c r="O477" i="4"/>
  <c r="O512" i="4"/>
  <c r="O513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27" i="4"/>
  <c r="O528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38" i="4"/>
  <c r="O539" i="4"/>
  <c r="O529" i="4"/>
  <c r="O530" i="4"/>
  <c r="O531" i="4"/>
  <c r="O532" i="4"/>
  <c r="O533" i="4"/>
  <c r="O534" i="4"/>
  <c r="O535" i="4"/>
  <c r="O536" i="4"/>
  <c r="O537" i="4"/>
  <c r="O540" i="4"/>
  <c r="O541" i="4"/>
  <c r="O137" i="4"/>
  <c r="O151" i="4"/>
  <c r="O158" i="4"/>
  <c r="O543" i="4"/>
  <c r="O544" i="4"/>
  <c r="O545" i="4"/>
  <c r="O546" i="4"/>
  <c r="O542" i="4"/>
  <c r="O548" i="4"/>
  <c r="O549" i="4"/>
  <c r="O550" i="4"/>
  <c r="O551" i="4"/>
  <c r="O552" i="4"/>
  <c r="O547" i="4"/>
  <c r="O553" i="4"/>
  <c r="O554" i="4"/>
  <c r="O555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56" i="4"/>
  <c r="O580" i="4"/>
  <c r="O581" i="4"/>
  <c r="O583" i="4"/>
  <c r="O584" i="4"/>
  <c r="O582" i="4"/>
  <c r="O586" i="4"/>
  <c r="O585" i="4"/>
  <c r="O588" i="4"/>
  <c r="O589" i="4"/>
  <c r="O590" i="4"/>
  <c r="O587" i="4"/>
  <c r="O591" i="4"/>
  <c r="O592" i="4"/>
  <c r="O593" i="4"/>
  <c r="O594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2" i="4"/>
</calcChain>
</file>

<file path=xl/sharedStrings.xml><?xml version="1.0" encoding="utf-8"?>
<sst xmlns="http://schemas.openxmlformats.org/spreadsheetml/2006/main" count="90889" uniqueCount="15716">
  <si>
    <t>Région</t>
  </si>
  <si>
    <t>Denomination Sociale</t>
  </si>
  <si>
    <t>Prénom et Nom Bénéficiaire</t>
  </si>
  <si>
    <t>Pays de résidence</t>
  </si>
  <si>
    <t>Est Une PPE</t>
  </si>
  <si>
    <t>Fonction PPE</t>
  </si>
  <si>
    <t>NomPPE</t>
  </si>
  <si>
    <t>Greffe</t>
  </si>
  <si>
    <t>Dakar</t>
  </si>
  <si>
    <t>MININVEST S.A  </t>
  </si>
  <si>
    <t>GEORGES MICHEL DOUMET</t>
  </si>
  <si>
    <t>2024-02-15 10:53:42.337</t>
  </si>
  <si>
    <t>NULL</t>
  </si>
  <si>
    <t>LIBAN</t>
  </si>
  <si>
    <t>2S GOLD</t>
  </si>
  <si>
    <t>SALIOU SENE</t>
  </si>
  <si>
    <t>2022-11-11 15:13:31.517</t>
  </si>
  <si>
    <t>SÉNÉGAL</t>
  </si>
  <si>
    <t>ABA SERVICES</t>
  </si>
  <si>
    <t>BABACAR SEYE</t>
  </si>
  <si>
    <t>2022-07-21 14:50:01.253</t>
  </si>
  <si>
    <t>ABABACAR DIOP TRANSPORTS SARL</t>
  </si>
  <si>
    <t>ABABACAR DIOP</t>
  </si>
  <si>
    <t>2023-03-13 11:56:43.607</t>
  </si>
  <si>
    <t>ABANDOUR GEOLINK</t>
  </si>
  <si>
    <t>NDEYE ANTHIA BA</t>
  </si>
  <si>
    <t>2022-06-20 15:54:20.793</t>
  </si>
  <si>
    <t>OUSSEYNOU NDOUR</t>
  </si>
  <si>
    <t>AD GLOD</t>
  </si>
  <si>
    <t>ABDOULATIF BOUSSO</t>
  </si>
  <si>
    <t>2024-11-26 14:11:10.363</t>
  </si>
  <si>
    <t>ABDOULAYE DIOP</t>
  </si>
  <si>
    <t>DIEYNABA DIALLO</t>
  </si>
  <si>
    <t>ADJAF UNIVERSEL</t>
  </si>
  <si>
    <t>AIDA DIOP</t>
  </si>
  <si>
    <t>2022-09-12 15:53:28.840</t>
  </si>
  <si>
    <t>AFRICA A WAY</t>
  </si>
  <si>
    <t>KHADIM DIOUF</t>
  </si>
  <si>
    <t>2023-03-06 12:48:11.333</t>
  </si>
  <si>
    <t>NDIAYE IBRAHIMA</t>
  </si>
  <si>
    <t>AFRICA CONSULTING BUSINESS (ACB)</t>
  </si>
  <si>
    <t>OUMOU DIA</t>
  </si>
  <si>
    <t>2023-12-26 15:06:05.387</t>
  </si>
  <si>
    <t>AFRICA GLOBAL GEOINGENIERIE (A2G)</t>
  </si>
  <si>
    <t>DORO NIANG</t>
  </si>
  <si>
    <t>2023-06-15 13:37:00.967</t>
  </si>
  <si>
    <t>MALICK FAYE</t>
  </si>
  <si>
    <t>AFRICA TRADE AND INVESTMENT CONSULTING (ATIC-SARL)</t>
  </si>
  <si>
    <t>BOUBACAR THIAW</t>
  </si>
  <si>
    <t>2023-05-15 13:29:57.227</t>
  </si>
  <si>
    <t>AFRICAN BUILDERS SARL</t>
  </si>
  <si>
    <t>AMADOU DIANE</t>
  </si>
  <si>
    <t>2021-12-24 11:36:59.230</t>
  </si>
  <si>
    <t>DAME DIANE</t>
  </si>
  <si>
    <t>MAHMOUTH FALL</t>
  </si>
  <si>
    <t>MOUHAMADOU FALILOU FALL</t>
  </si>
  <si>
    <t>AGEM SENEGAL EXPLORATION</t>
  </si>
  <si>
    <t>MARYSE BELANGER</t>
  </si>
  <si>
    <t>2022-09-30 16:34:27.577</t>
  </si>
  <si>
    <t>CANADA</t>
  </si>
  <si>
    <t>AGRO SENEGAL EXPORTS</t>
  </si>
  <si>
    <t>HENRY STANLY</t>
  </si>
  <si>
    <t>2023-02-03 13:43:59.120</t>
  </si>
  <si>
    <t>PRAKAHS PUTHENVILA SATHYAN</t>
  </si>
  <si>
    <t>AL MAKHTOUM GENERAL TRADING</t>
  </si>
  <si>
    <t>MAMADOU MBAYE</t>
  </si>
  <si>
    <t>2023-05-31 14:20:03.737</t>
  </si>
  <si>
    <t>ALLIANCE GOLD</t>
  </si>
  <si>
    <t>AMADOU DIOP GUEYE</t>
  </si>
  <si>
    <t>2024-11-12 13:07:35.363</t>
  </si>
  <si>
    <t>MOMAR DIOP</t>
  </si>
  <si>
    <t>AMATH NDIAYE INTERNATIONAL PRESTIGE (ANIP)</t>
  </si>
  <si>
    <t>AMATH NDIAYE</t>
  </si>
  <si>
    <t>2022-01-17 13:28:31.023</t>
  </si>
  <si>
    <t>ARC EN CIEL</t>
  </si>
  <si>
    <t>MOUSTAPHA DIAGNE</t>
  </si>
  <si>
    <t>2023-03-02 14:02:07.767</t>
  </si>
  <si>
    <t>ARDIMINES SARL</t>
  </si>
  <si>
    <t>ARFANG BOUBACAR DAFFE</t>
  </si>
  <si>
    <t>2023-06-12 14:54:30.333</t>
  </si>
  <si>
    <t>DIADIE DIT AMADOU SANKARE</t>
  </si>
  <si>
    <t>MALI</t>
  </si>
  <si>
    <t>AREZKI-SA</t>
  </si>
  <si>
    <t>AHMED AREZKI</t>
  </si>
  <si>
    <t>2022-05-06 08:09:21.790</t>
  </si>
  <si>
    <t>TARECK AREZKI</t>
  </si>
  <si>
    <t>YOUSR AREZKI</t>
  </si>
  <si>
    <t>ZIAD AREZKI</t>
  </si>
  <si>
    <t>AWA PRESTA SERVICES</t>
  </si>
  <si>
    <t>AWA DIOP</t>
  </si>
  <si>
    <t>2023-10-13 11:22:43.773</t>
  </si>
  <si>
    <t>AWAHABA GROUP</t>
  </si>
  <si>
    <t>ABDOUL WAHAB AIDARA</t>
  </si>
  <si>
    <t>2023-03-20 15:25:07.447</t>
  </si>
  <si>
    <t>BAMBADJI SA</t>
  </si>
  <si>
    <t>MOUHAMED DAVID MBAYE</t>
  </si>
  <si>
    <t>2023-05-16 11:57:08.110</t>
  </si>
  <si>
    <t>BAMBOUK EXPLORATION SUARL</t>
  </si>
  <si>
    <t>IMAD TOUMI</t>
  </si>
  <si>
    <t>2023-07-20 15:20:50.320</t>
  </si>
  <si>
    <t>MAROC</t>
  </si>
  <si>
    <t>BAMBUK MINERALS SENEGAL</t>
  </si>
  <si>
    <t>TERENCE NEIL</t>
  </si>
  <si>
    <t>2023-02-02 13:49:50.770</t>
  </si>
  <si>
    <t>HONGRIE</t>
  </si>
  <si>
    <t>BAMINE</t>
  </si>
  <si>
    <t>ALPHA MOUSSA KANE</t>
  </si>
  <si>
    <t>2021-12-15 14:05:22.117</t>
  </si>
  <si>
    <t>BAOBAB GOLD (BG SARL)</t>
  </si>
  <si>
    <t>2024-07-09 13:41:54.150</t>
  </si>
  <si>
    <t>ELHASJI MAKHA SANKHARE</t>
  </si>
  <si>
    <t>BAOBAB MINING</t>
  </si>
  <si>
    <t>JINSONG WEN</t>
  </si>
  <si>
    <t>2023-06-13 14:55:38.930</t>
  </si>
  <si>
    <t>YIYIRAN XIA</t>
  </si>
  <si>
    <t>BATIR MON PAYS</t>
  </si>
  <si>
    <t>DJIBRIL NDIME</t>
  </si>
  <si>
    <t>2024-03-29 10:39:20.883</t>
  </si>
  <si>
    <t>BAU</t>
  </si>
  <si>
    <t>REZAT KTHUPI</t>
  </si>
  <si>
    <t>2021-11-17 15:38:42.123</t>
  </si>
  <si>
    <t>ALBANIE</t>
  </si>
  <si>
    <t>BB FIRST COMMODITY HOLDING LTD</t>
  </si>
  <si>
    <t>WOLFGANG ENGELBERG BEDORF</t>
  </si>
  <si>
    <t>2022-10-05 13:25:42.720</t>
  </si>
  <si>
    <t>ALLEMAGNE</t>
  </si>
  <si>
    <t>BHAIRAVA AGRICOLE</t>
  </si>
  <si>
    <t>SIBHARAM ARUN AGGARWAL</t>
  </si>
  <si>
    <t>2022-08-08 09:56:35.827</t>
  </si>
  <si>
    <t>BINOME SARL</t>
  </si>
  <si>
    <t>OLIVIER GOUDIABY</t>
  </si>
  <si>
    <t>2023-11-06 09:53:37.663</t>
  </si>
  <si>
    <t>OUSMANE THIAM</t>
  </si>
  <si>
    <t>BIRIMA GOLD RESSOURCES</t>
  </si>
  <si>
    <t>SERIGNE DIENG</t>
  </si>
  <si>
    <t>2022-01-19 14:56:56.897</t>
  </si>
  <si>
    <t>BLY SENEGAL</t>
  </si>
  <si>
    <t>GUILLAUME JEAN HENRI DUBUY</t>
  </si>
  <si>
    <t>2024-11-22 12:00:20.480</t>
  </si>
  <si>
    <t>FRANCE</t>
  </si>
  <si>
    <t>BOKAMINE</t>
  </si>
  <si>
    <t>IDRISSA BODIAN</t>
  </si>
  <si>
    <t>2021-11-16 15:40:33.487</t>
  </si>
  <si>
    <t>LAMINE SY</t>
  </si>
  <si>
    <t>SADIO KANDE</t>
  </si>
  <si>
    <t>BOLLO BAKH</t>
  </si>
  <si>
    <t>AMADOU YERO DIALLO</t>
  </si>
  <si>
    <t>2022-05-24 13:56:54.337</t>
  </si>
  <si>
    <t>BOYA</t>
  </si>
  <si>
    <t>JORGE ALBERTO GANOZA DURANT</t>
  </si>
  <si>
    <t>2021-10-12 16:00:22.117</t>
  </si>
  <si>
    <t>PÉROU</t>
  </si>
  <si>
    <t>BP SENEGAL INVESTMENTS LIMITED</t>
  </si>
  <si>
    <t>PAPE MASSAER BEN SALOUM CISSE</t>
  </si>
  <si>
    <t>2021-10-20 15:37:02.807</t>
  </si>
  <si>
    <t>CAMMACH-SN</t>
  </si>
  <si>
    <t>MAME LEYE MBAYE</t>
  </si>
  <si>
    <t>2023-06-27 09:14:56.097</t>
  </si>
  <si>
    <t>SALIOU SECK</t>
  </si>
  <si>
    <t>WILLIAM KEITH BARCLAY</t>
  </si>
  <si>
    <t>ROYAUME-UNI</t>
  </si>
  <si>
    <t>CARRISEN SARL</t>
  </si>
  <si>
    <t>LAYTI NDIAYE</t>
  </si>
  <si>
    <t>2021-12-21 15:13:29.357</t>
  </si>
  <si>
    <t>SEKHOU SENE</t>
  </si>
  <si>
    <t>CASA BAMBA FAILIAL</t>
  </si>
  <si>
    <t>FATOUMATA MBAYE</t>
  </si>
  <si>
    <t>2021-12-13 15:49:50.663</t>
  </si>
  <si>
    <t>SENEGAL</t>
  </si>
  <si>
    <t>CHEIKHOUNA THIOUNE</t>
  </si>
  <si>
    <t>CHEHUMA</t>
  </si>
  <si>
    <t>AUGUSTIN MANE</t>
  </si>
  <si>
    <t>2023-11-27 09:59:43.160</t>
  </si>
  <si>
    <t>CHEN FANG</t>
  </si>
  <si>
    <t>EMMANUEL DIOH</t>
  </si>
  <si>
    <t>HUANG PING</t>
  </si>
  <si>
    <t>COMPAGNIE GENERALE DE CONSTRUCTION ET D'EXPLOITATION MINIERE</t>
  </si>
  <si>
    <t>PAPE MAMOUR SOKHNA</t>
  </si>
  <si>
    <t>2023-01-13 13:34:20.203</t>
  </si>
  <si>
    <t>COMPAGNIE KHADIMOU RASSOUL</t>
  </si>
  <si>
    <t>IGINIO TERZI</t>
  </si>
  <si>
    <t>2024-03-08 10:29:07.657</t>
  </si>
  <si>
    <t>ITALIE</t>
  </si>
  <si>
    <t>SECK SOKHNA MOUSLINE</t>
  </si>
  <si>
    <t>THIAM</t>
  </si>
  <si>
    <t>WILSON BELLI</t>
  </si>
  <si>
    <t>COMPAGNIE SENEGALAISE DE TRANSPORT MINIER ET AGRICOLE (CSTMA)</t>
  </si>
  <si>
    <t>AHMETH MEDOUNE FALL</t>
  </si>
  <si>
    <t>2022-04-28 08:45:45.023</t>
  </si>
  <si>
    <t>ALIOU NDIAYE</t>
  </si>
  <si>
    <t>MOUSSA TRAORE</t>
  </si>
  <si>
    <t>SEYDOU GASSAMA</t>
  </si>
  <si>
    <t>COMPTOIR COMMERCIAL BALLA AICHA SUARL</t>
  </si>
  <si>
    <t>IBRAHIMA MBACKE</t>
  </si>
  <si>
    <t>2022-09-12 08:33:25.280</t>
  </si>
  <si>
    <t>CONSULTING BUSINESS AGENCY</t>
  </si>
  <si>
    <t>TSENG LUNG YI</t>
  </si>
  <si>
    <t>2024-02-02 09:58:46.587</t>
  </si>
  <si>
    <t>TSENG PING-FU</t>
  </si>
  <si>
    <t>CSE GRANULATS</t>
  </si>
  <si>
    <t>ARDO SADIO SOW</t>
  </si>
  <si>
    <t>2022-09-30 08:41:23.457</t>
  </si>
  <si>
    <t>HAMIDOU SOW</t>
  </si>
  <si>
    <t>MOHAMED ABABACAR SOW</t>
  </si>
  <si>
    <t>OUMAR SOW</t>
  </si>
  <si>
    <t>SOW ABDOUL AZIZ</t>
  </si>
  <si>
    <t>SOW ABDOUL KARIM</t>
  </si>
  <si>
    <t>DADICO</t>
  </si>
  <si>
    <t>DAOUR DIENG</t>
  </si>
  <si>
    <t>2024-01-26 10:47:12.450</t>
  </si>
  <si>
    <t>DANGOTE CEMENT SENEGAL</t>
  </si>
  <si>
    <t>ALIKO DANGOTE</t>
  </si>
  <si>
    <t>2021-06-28 13:12:04.777</t>
  </si>
  <si>
    <t>99.99</t>
  </si>
  <si>
    <t>NIGÉRIA</t>
  </si>
  <si>
    <t>DANTILA MINE D'OR</t>
  </si>
  <si>
    <t>AMETH DIAMANKA</t>
  </si>
  <si>
    <t>2023-07-20 16:23:27.507</t>
  </si>
  <si>
    <t>BAYE FALLOU DIOP</t>
  </si>
  <si>
    <t>MADY SOUMARE</t>
  </si>
  <si>
    <t>DARA SALAM</t>
  </si>
  <si>
    <t>KARASSE KANE</t>
  </si>
  <si>
    <t>2024-03-28 11:47:54.150</t>
  </si>
  <si>
    <t>DESK OFFICE</t>
  </si>
  <si>
    <t>MAMADOU MOUSTAPHA LO</t>
  </si>
  <si>
    <t>2022-07-08 14:32:33.017</t>
  </si>
  <si>
    <t>DIAMBAR IMMOBILIER</t>
  </si>
  <si>
    <t>MOUHAMED TINE</t>
  </si>
  <si>
    <t>2022-03-15 14:29:25.337</t>
  </si>
  <si>
    <t>DIAMOND OFFSHORE DRILLING SENEGAL</t>
  </si>
  <si>
    <t>SALIOU CISSE</t>
  </si>
  <si>
    <t>2024-03-20 11:55:46.160</t>
  </si>
  <si>
    <t>DIENG &amp; CO ENGINEERING</t>
  </si>
  <si>
    <t>LATYR TANOR DIENG</t>
  </si>
  <si>
    <t>2022-04-21 11:04:03.023</t>
  </si>
  <si>
    <t>MAME DIARRA DIOP</t>
  </si>
  <si>
    <t>ECAMM'S</t>
  </si>
  <si>
    <t>ABDOU KHADIR MBACKE</t>
  </si>
  <si>
    <t>2022-09-06 16:31:41.953</t>
  </si>
  <si>
    <t>CHEIKH ABO MADIYANA MBACKE</t>
  </si>
  <si>
    <t>MBALLO KEBE</t>
  </si>
  <si>
    <t>ECOSEC</t>
  </si>
  <si>
    <t>DIEYE DOUDOU</t>
  </si>
  <si>
    <t>2024-07-26 13:47:29.547</t>
  </si>
  <si>
    <t>EMERGENCE MINES &amp; INVESTISSEMENTS</t>
  </si>
  <si>
    <t>2022-04-05 15:18:17.890</t>
  </si>
  <si>
    <t>MOHAMED DICKO</t>
  </si>
  <si>
    <t>MAURITANIE</t>
  </si>
  <si>
    <t>MOUHAMED EL MOKHTAR BOULEBAT</t>
  </si>
  <si>
    <t>ENTREPRISE AICHA</t>
  </si>
  <si>
    <t>ASTOU MBODJ</t>
  </si>
  <si>
    <t>2021-06-30 13:23:53.740</t>
  </si>
  <si>
    <t>ENTREPRISE DE RECHERCHE ET D'EXPLOITATION MINIERE (EREM)</t>
  </si>
  <si>
    <t>ABDOU SALAM MBACKE</t>
  </si>
  <si>
    <t>2024-02-09 11:37:57.190</t>
  </si>
  <si>
    <t>ALIOUNE CISSE</t>
  </si>
  <si>
    <t>ENTREPRISE DJOLOF TRANSPORT ET SERVICES</t>
  </si>
  <si>
    <t>KA ABOU BAKRY</t>
  </si>
  <si>
    <t>2023-02-03 12:39:46.120</t>
  </si>
  <si>
    <t>ENTREPRISE GENERALE DE CONSTRUCTION ET D'AMENAGEMENT</t>
  </si>
  <si>
    <t>MAMADOU DIOP</t>
  </si>
  <si>
    <t>2021-11-23 12:59:42.517</t>
  </si>
  <si>
    <t>ENTREPRISE LE GANDIOL GROUPE</t>
  </si>
  <si>
    <t>OUMAR SALL</t>
  </si>
  <si>
    <t>2022-06-21 11:07:29.003</t>
  </si>
  <si>
    <t>ENTREPRISE QUINCAILLERIE CISSE ET FRERES</t>
  </si>
  <si>
    <t>OUSMANE CISSE</t>
  </si>
  <si>
    <t>2023-05-19 13:03:52.517</t>
  </si>
  <si>
    <t>ETE MINING</t>
  </si>
  <si>
    <t>YANG QINHAI</t>
  </si>
  <si>
    <t>2023-07-12 13:57:37.030</t>
  </si>
  <si>
    <t>EUROPEAN RAIL ROAD ESTABLISHED SERVICES (ERES)</t>
  </si>
  <si>
    <t>FREDERIC EMILE ROYER</t>
  </si>
  <si>
    <t>2023-11-20 13:47:10.650</t>
  </si>
  <si>
    <t>AFRIQUE DU SUD</t>
  </si>
  <si>
    <t>GUILLAUME NICOLAS RAYMOND MARTIN</t>
  </si>
  <si>
    <t>EX. &amp; CO SARL</t>
  </si>
  <si>
    <t>POUYE</t>
  </si>
  <si>
    <t>2024-01-12 13:35:36.850</t>
  </si>
  <si>
    <t>FAKMOZ</t>
  </si>
  <si>
    <t>MAMADOU GUEYE</t>
  </si>
  <si>
    <t>2023-05-23 13:56:59.267</t>
  </si>
  <si>
    <t>YOUSSOUPH DIAITE</t>
  </si>
  <si>
    <t>FAYMINING CORPORATE</t>
  </si>
  <si>
    <t>ABDOU DIOUF</t>
  </si>
  <si>
    <t>2024-09-10 09:01:56.687</t>
  </si>
  <si>
    <t>BIRAME FAYE</t>
  </si>
  <si>
    <t>G3DI</t>
  </si>
  <si>
    <t>ABDOULAYE DIAGNE</t>
  </si>
  <si>
    <t>2023-11-03 10:06:43.480</t>
  </si>
  <si>
    <t>ALIOU DIOUF</t>
  </si>
  <si>
    <t>CHEIKH NA DIOP</t>
  </si>
  <si>
    <t>GACH MINING COMPANY LIMITED SENEGAL</t>
  </si>
  <si>
    <t>ABOUBAKRY JAWARA</t>
  </si>
  <si>
    <t>2022-04-05 14:46:43.493</t>
  </si>
  <si>
    <t>GAMBIE</t>
  </si>
  <si>
    <t>GADDE</t>
  </si>
  <si>
    <t>GUEYE</t>
  </si>
  <si>
    <t>2023-09-12 14:57:14.000</t>
  </si>
  <si>
    <t>GAGNICK MINES</t>
  </si>
  <si>
    <t>NDEYE DIOUMA DIAGNE</t>
  </si>
  <si>
    <t>2024-12-16 15:48:06.717</t>
  </si>
  <si>
    <t>GAMMA CORPORATE</t>
  </si>
  <si>
    <t>NGOM IBRAHIMA</t>
  </si>
  <si>
    <t>2024-09-06 08:37:52.037</t>
  </si>
  <si>
    <t>SY MOUHAMADOU</t>
  </si>
  <si>
    <t>GANGUE TOUS TRAVAUX (G2T)</t>
  </si>
  <si>
    <t>AMRANE HAMADY GANGUE</t>
  </si>
  <si>
    <t>2024-03-27 11:37:25.707</t>
  </si>
  <si>
    <t>GENERALE DE COMMERCE ET D'INDUSTRIE (GECI))</t>
  </si>
  <si>
    <t>OUMAR SYLLA</t>
  </si>
  <si>
    <t>2024-04-18 14:47:01.697</t>
  </si>
  <si>
    <t>GEOSERVICES ENGINEERING (GSE)</t>
  </si>
  <si>
    <t>ELHADJI ABDOULAYE CAMARA</t>
  </si>
  <si>
    <t>2023-07-06 10:00:24.837</t>
  </si>
  <si>
    <t>PAPA DEMBA SATHIE</t>
  </si>
  <si>
    <t>GIE KA BUSINESS  COMPANY / KBC</t>
  </si>
  <si>
    <t>ELHADJI FARY KA</t>
  </si>
  <si>
    <t>2022-05-18 14:06:56.020</t>
  </si>
  <si>
    <t>MAMADOU KA</t>
  </si>
  <si>
    <t>GLADIAMA SUARL</t>
  </si>
  <si>
    <t>ABDOULAYE DRAME</t>
  </si>
  <si>
    <t>2022-07-28 13:22:53.183</t>
  </si>
  <si>
    <t>GLOBAL GEOSERVICES GROUP (3G-SARL)</t>
  </si>
  <si>
    <t>BIRAMA NDOYE</t>
  </si>
  <si>
    <t>2023-07-06 09:08:53.390</t>
  </si>
  <si>
    <t>OUSSEYNOU SARR</t>
  </si>
  <si>
    <t>SERIGNE OMAR DIOP</t>
  </si>
  <si>
    <t>GLOBAL IMMO SENEGAL</t>
  </si>
  <si>
    <t>IBRAHIMA THIAM</t>
  </si>
  <si>
    <t>2021-06-30 11:32:13.853</t>
  </si>
  <si>
    <t>YAYE DIOR SECK</t>
  </si>
  <si>
    <t>GLOBAL MINING OPERATIONS</t>
  </si>
  <si>
    <t>MAMADY TOURE</t>
  </si>
  <si>
    <t>2023-08-22 15:04:26.873</t>
  </si>
  <si>
    <t>GOLD MINE BUSINESS</t>
  </si>
  <si>
    <t>OUSMANE MANE</t>
  </si>
  <si>
    <t>2022-11-11 14:48:03.010</t>
  </si>
  <si>
    <t>GOLDEN KADJOR</t>
  </si>
  <si>
    <t>2024-05-15 09:18:53.207</t>
  </si>
  <si>
    <t>MAMADOU DENAGO SARRE</t>
  </si>
  <si>
    <t>GOLDINA</t>
  </si>
  <si>
    <t>NAFISSATOU GUEYE</t>
  </si>
  <si>
    <t>2021-11-19 15:35:36.977</t>
  </si>
  <si>
    <t>GRANDE COTE OPERATIONS</t>
  </si>
  <si>
    <t>ROBITAILLE BENOIT</t>
  </si>
  <si>
    <t>2021-07-02 09:29:40.887</t>
  </si>
  <si>
    <t>GROUPE SOCIETE SENEGALO SUISSE DES AFFAIRES</t>
  </si>
  <si>
    <t>ELHADJI AMADOU DIAGNE</t>
  </si>
  <si>
    <t>2022-02-21 15:55:15.067</t>
  </si>
  <si>
    <t>GUENE MINING SUARL</t>
  </si>
  <si>
    <t>GUENE MODOU DIOP</t>
  </si>
  <si>
    <t>2023-12-14 13:35:50.000</t>
  </si>
  <si>
    <t>HAILITHEN</t>
  </si>
  <si>
    <t>SULTAN DIOP</t>
  </si>
  <si>
    <t>2024-07-26 11:19:41.933</t>
  </si>
  <si>
    <t>HALWAR MULTISERVICES</t>
  </si>
  <si>
    <t>CHEIKH AHMED TIDIANE THIAM</t>
  </si>
  <si>
    <t>2023-03-13 16:34:49.310</t>
  </si>
  <si>
    <t>DIYNABA THIAM</t>
  </si>
  <si>
    <t>EL HADJI BABACAR THIAM</t>
  </si>
  <si>
    <t>KHADIDIATOU THIAM</t>
  </si>
  <si>
    <t>MARIAMA KANE</t>
  </si>
  <si>
    <t>HARANGA RESOURCES LTD</t>
  </si>
  <si>
    <t>EDUARDO MANUEL PRIOR BASTOS</t>
  </si>
  <si>
    <t>2023-01-27 13:25:29.290</t>
  </si>
  <si>
    <t>HINDOR</t>
  </si>
  <si>
    <t>2024-07-03 15:47:14.400</t>
  </si>
  <si>
    <t>HLNT SENEGAL</t>
  </si>
  <si>
    <t>HAILIAN WANG</t>
  </si>
  <si>
    <t>2023-05-03 15:24:35.440</t>
  </si>
  <si>
    <t>I M GOLD</t>
  </si>
  <si>
    <t>2023-10-20 11:51:03.910</t>
  </si>
  <si>
    <t>FANG CHEN</t>
  </si>
  <si>
    <t>QIN MINGFU</t>
  </si>
  <si>
    <t>IAMGOLD BOTO</t>
  </si>
  <si>
    <t>2022-09-08 15:17:23.333</t>
  </si>
  <si>
    <t>IMPERATOR RESOURCE</t>
  </si>
  <si>
    <t>JAMAI USAGE BICHAT-JAMAI MAEVA MAHBOUBA VERONIQUE</t>
  </si>
  <si>
    <t>2023-02-22 13:19:54.303</t>
  </si>
  <si>
    <t>SUISSE</t>
  </si>
  <si>
    <t>LUCAS CHARLES ENZO PEREZ</t>
  </si>
  <si>
    <t>IMPROVE SENEGAL (IMPSEN)</t>
  </si>
  <si>
    <t>ASSANE FALL</t>
  </si>
  <si>
    <t>2023-05-22 15:20:16.997</t>
  </si>
  <si>
    <t>BAYO CHARLOTTE</t>
  </si>
  <si>
    <t>CAMEROUN</t>
  </si>
  <si>
    <t>INNOVA INVESTMENT</t>
  </si>
  <si>
    <t>MOHAMED NIANG</t>
  </si>
  <si>
    <t>2023-05-24 16:53:38.570</t>
  </si>
  <si>
    <t>INTERNATIONAL CONSULTING GROUP (I.C.G)</t>
  </si>
  <si>
    <t>BABACAR CISSE</t>
  </si>
  <si>
    <t>2022-11-17 15:32:59.050</t>
  </si>
  <si>
    <t>INTERNATIONAL MINING COMPANY</t>
  </si>
  <si>
    <t>AMINATA KEBE</t>
  </si>
  <si>
    <t>2021-12-31 14:08:00.687</t>
  </si>
  <si>
    <t>LAMINE DIACK DIOUF</t>
  </si>
  <si>
    <t>IRION TRANSFERS</t>
  </si>
  <si>
    <t>FATOU KHADY SECK</t>
  </si>
  <si>
    <t>2021-12-17 14:41:11.017</t>
  </si>
  <si>
    <t>JAMOMINING</t>
  </si>
  <si>
    <t>HE XIUYUN</t>
  </si>
  <si>
    <t>2022-01-12 13:28:08.260</t>
  </si>
  <si>
    <t>SERIGNE BAMBA DIOP</t>
  </si>
  <si>
    <t>JIN DIAN MINING</t>
  </si>
  <si>
    <t>2023-04-26 15:13:53.983</t>
  </si>
  <si>
    <t>JIWANA RESOURCES PTY.LTD</t>
  </si>
  <si>
    <t>FATOU GUEYE</t>
  </si>
  <si>
    <t>2023-03-07 09:48:55.627</t>
  </si>
  <si>
    <t>AUSTRALIE</t>
  </si>
  <si>
    <t>KANEL RESOURCES SARL</t>
  </si>
  <si>
    <t>SYLLA</t>
  </si>
  <si>
    <t>2023-12-08 11:26:32.713</t>
  </si>
  <si>
    <t>WARREN FRANK MACKENZIE</t>
  </si>
  <si>
    <t>KARAMBA CONSTRUCTION TRANSPORT &amp; SERVICES</t>
  </si>
  <si>
    <t>ALASANE BA</t>
  </si>
  <si>
    <t>2023-03-30 10:01:38.490</t>
  </si>
  <si>
    <t>AMINATA DIOP</t>
  </si>
  <si>
    <t>KARAMBA KALOGA</t>
  </si>
  <si>
    <t>KHANIANG LIMITED</t>
  </si>
  <si>
    <t>ABDOULAYE NIANG</t>
  </si>
  <si>
    <t>2023-04-12 15:56:28.120</t>
  </si>
  <si>
    <t>99.96</t>
  </si>
  <si>
    <t>KHELKOM'S LION</t>
  </si>
  <si>
    <t>AMINATA CISSE</t>
  </si>
  <si>
    <t>2022-09-30 08:23:13.527</t>
  </si>
  <si>
    <t>KHEWEUL DIAMA</t>
  </si>
  <si>
    <t>BARA SARR</t>
  </si>
  <si>
    <t>2022-04-28 11:59:05.277</t>
  </si>
  <si>
    <t>KONKOUTOU GOLD OPERATION</t>
  </si>
  <si>
    <t>2022-07-15 13:08:40.893</t>
  </si>
  <si>
    <t>KOSMOS ENERGY INVESTMENTS SENEGAL LIMITED</t>
  </si>
  <si>
    <t>KHADY DIOR NDIAYE</t>
  </si>
  <si>
    <t>2023-06-16 10:36:40.637</t>
  </si>
  <si>
    <t>KOUNDA GROUP</t>
  </si>
  <si>
    <t>DIAGNE YANDE</t>
  </si>
  <si>
    <t>2022-07-25 14:52:00.307</t>
  </si>
  <si>
    <t>MODOU FALL</t>
  </si>
  <si>
    <t>SALIOU NDAW</t>
  </si>
  <si>
    <t>L &amp; D ECOMINING</t>
  </si>
  <si>
    <t>DIARY DIALLO</t>
  </si>
  <si>
    <t>2023-02-02 08:28:51.077</t>
  </si>
  <si>
    <t>L'AFRICAINE DES MINES (AFRIK'MINES)</t>
  </si>
  <si>
    <t>JEAN SERGE HOUNKANLIN DOSSOU</t>
  </si>
  <si>
    <t>2022-12-02 11:32:59.307</t>
  </si>
  <si>
    <t>LAMTORO NATURAL RESOURCES</t>
  </si>
  <si>
    <t>IBRAHIMA DIAW</t>
  </si>
  <si>
    <t>2024-01-12 09:32:24.367</t>
  </si>
  <si>
    <t>LAYE BEYE</t>
  </si>
  <si>
    <t>2023-02-10 10:51:11.687</t>
  </si>
  <si>
    <t>LE FATAA</t>
  </si>
  <si>
    <t>YAKHYA DIOP</t>
  </si>
  <si>
    <t>2024-07-26 13:26:19.370</t>
  </si>
  <si>
    <t>LE GRAVIER</t>
  </si>
  <si>
    <t>CHEIKH AHMADOU BAMBA DIENG</t>
  </si>
  <si>
    <t>2023-05-23 11:38:42.217</t>
  </si>
  <si>
    <t>LES GRANDES CARRIERES DU SENEGAL</t>
  </si>
  <si>
    <t>LAMINE DIOP</t>
  </si>
  <si>
    <t>2021-11-29 12:24:34.590</t>
  </si>
  <si>
    <t>ZAMBIE</t>
  </si>
  <si>
    <t>LES MINES DU JEGUEM (MDJ)</t>
  </si>
  <si>
    <t>2023-12-26 15:44:19.147</t>
  </si>
  <si>
    <t>LINGO D'OR SENEGAL</t>
  </si>
  <si>
    <t>ABDOURAHMANE DIALLO</t>
  </si>
  <si>
    <t>2022-04-20 13:44:15.417</t>
  </si>
  <si>
    <t>MOR GUEYE</t>
  </si>
  <si>
    <t>SEYDINA GUEYE</t>
  </si>
  <si>
    <t>LOGICOM SN</t>
  </si>
  <si>
    <t>ABDOU WAHAB DIOP</t>
  </si>
  <si>
    <t>2024-02-29 13:54:04.207</t>
  </si>
  <si>
    <t>MOUHAMADOU MOUSTAPHA DIOP</t>
  </si>
  <si>
    <t>SERIGNE BAMBA MBACKE DIOP</t>
  </si>
  <si>
    <t>M&amp;H CORPORATION</t>
  </si>
  <si>
    <t>MOUHAMADOU FAYE</t>
  </si>
  <si>
    <t>2023-08-22 08:34:56.247</t>
  </si>
  <si>
    <t>MADISSIMO</t>
  </si>
  <si>
    <t>DJIBRIL GUEYE</t>
  </si>
  <si>
    <t>2023-04-28 10:20:25.723</t>
  </si>
  <si>
    <t>MAKABINGUI GOLD OPERATION</t>
  </si>
  <si>
    <t>MODOU DIOP GUENE</t>
  </si>
  <si>
    <t>2023-01-27 11:16:10.017</t>
  </si>
  <si>
    <t>MAMADOU DIAKHITE DIARRA</t>
  </si>
  <si>
    <t>2021-11-09 10:43:15.867</t>
  </si>
  <si>
    <t>MANDINGA RESOURCES</t>
  </si>
  <si>
    <t>DUSKO LJUBOJEVIC</t>
  </si>
  <si>
    <t>2022-04-27 15:35:05.490</t>
  </si>
  <si>
    <t>SERBIE</t>
  </si>
  <si>
    <t>FALDI ISMAIL</t>
  </si>
  <si>
    <t>GEORGES NICHOLAS MICHAELIDES</t>
  </si>
  <si>
    <t>HADJI PAPA MACOUMBA DIOP</t>
  </si>
  <si>
    <t>MARTIN JOACHIM PAWLISCHEK</t>
  </si>
  <si>
    <t>MICHAEL JOHN DAVY</t>
  </si>
  <si>
    <t>MOHAMED NIARE</t>
  </si>
  <si>
    <t>MANSA GOLD CORPORATION</t>
  </si>
  <si>
    <t>2022-05-18 15:57:59.140</t>
  </si>
  <si>
    <t>MASSAWA</t>
  </si>
  <si>
    <t>DAVID JACQUES MIMRAN</t>
  </si>
  <si>
    <t>2023-01-27 13:50:56.630</t>
  </si>
  <si>
    <t>YOUSRIYA NASSIF LOZA</t>
  </si>
  <si>
    <t>ÉGYPTE</t>
  </si>
  <si>
    <t>EGYPT</t>
  </si>
  <si>
    <t>NAGUIB ONSI SAWIRIS</t>
  </si>
  <si>
    <t>MAXIMERIT</t>
  </si>
  <si>
    <t>2024-01-26 11:16:39.423</t>
  </si>
  <si>
    <t>GHADA DIOKHANE</t>
  </si>
  <si>
    <t>JOSEPH PREIRA</t>
  </si>
  <si>
    <t>MC TRANSPORT AND TRADING (MC2T)</t>
  </si>
  <si>
    <t>2024-02-09 11:26:27.263</t>
  </si>
  <si>
    <t>MEDY INDUSTRIES MODERNES SARL</t>
  </si>
  <si>
    <t>AMINATA BAIDY SOW</t>
  </si>
  <si>
    <t>2022-09-12 08:51:46.180</t>
  </si>
  <si>
    <t>IBRAHIMA SOW</t>
  </si>
  <si>
    <t>YAYA IBRAHIMA SOW</t>
  </si>
  <si>
    <t>MFC INTERNATIONAL</t>
  </si>
  <si>
    <t>MOUHAMED FALL</t>
  </si>
  <si>
    <t>2022-11-16 15:33:53.333</t>
  </si>
  <si>
    <t>MINES PROFESSIONAL HOLDING</t>
  </si>
  <si>
    <t>ALFRED SYMPA</t>
  </si>
  <si>
    <t>2022-12-09 13:29:58.887</t>
  </si>
  <si>
    <t>AMADOU APITHY</t>
  </si>
  <si>
    <t>MOULT INVEST - SUARL</t>
  </si>
  <si>
    <t>MOUHAMADOU LAMINE TOURE</t>
  </si>
  <si>
    <t>2023-06-07 15:18:57.323</t>
  </si>
  <si>
    <t>NDATTE YALLAH COMPAGNIE</t>
  </si>
  <si>
    <t>ELHADJI BOUBACAR CISSE</t>
  </si>
  <si>
    <t>2022-05-18 14:57:52.787</t>
  </si>
  <si>
    <t>NEGOS FIABLE SENEGAL / NEFIS</t>
  </si>
  <si>
    <t>FUKUDA KOTARO</t>
  </si>
  <si>
    <t>2022-10-10 13:49:10.657</t>
  </si>
  <si>
    <t>SEYDINA DIOP</t>
  </si>
  <si>
    <t>YAMAGISHI CHISA</t>
  </si>
  <si>
    <t>JAPON</t>
  </si>
  <si>
    <t>NEW ENERGY INVESTMENT</t>
  </si>
  <si>
    <t>FALL AMADOU</t>
  </si>
  <si>
    <t>2021-06-30 14:02:24.310</t>
  </si>
  <si>
    <t>HUANG JIEQI</t>
  </si>
  <si>
    <t>YANG GUANG</t>
  </si>
  <si>
    <t>YANG JUNMING</t>
  </si>
  <si>
    <t>YONGQIANG QU</t>
  </si>
  <si>
    <t>NEW ERA INTERNATIONAL MINING DEVELOPMENT</t>
  </si>
  <si>
    <t>HUANG QILIU</t>
  </si>
  <si>
    <t>2023-07-20 10:11:19.497</t>
  </si>
  <si>
    <t>HUANG XIANZI</t>
  </si>
  <si>
    <t>JIEQI HUANG</t>
  </si>
  <si>
    <t>YU YANLIANG</t>
  </si>
  <si>
    <t>NIANY TRANSIT</t>
  </si>
  <si>
    <t>ADNANE BA</t>
  </si>
  <si>
    <t>2023-03-23 15:12:26.627</t>
  </si>
  <si>
    <t>AMINATA BASSE</t>
  </si>
  <si>
    <t>FATIMATA BA</t>
  </si>
  <si>
    <t>MOUHAMADOU BA</t>
  </si>
  <si>
    <t>NOGA MINE SARL</t>
  </si>
  <si>
    <t>2023-09-07 14:27:42.150</t>
  </si>
  <si>
    <t>NOGAYE BUSINESS CONSULTING COMPANY</t>
  </si>
  <si>
    <t>YAYE NOGAYE DIOP</t>
  </si>
  <si>
    <t>2024-02-16 13:56:39.197</t>
  </si>
  <si>
    <t>NOV OIL &amp; GAS SERVICES SENEGAL</t>
  </si>
  <si>
    <t>TREVOR BRIAN MARTIN</t>
  </si>
  <si>
    <t>2024-03-15 13:53:13.290</t>
  </si>
  <si>
    <t>ÉTATS-UNIS</t>
  </si>
  <si>
    <t>PANAFRICAN MINERAL RESOURCES (PMR SAS)</t>
  </si>
  <si>
    <t>ABDOUL AZIZ NDIAYE</t>
  </si>
  <si>
    <t>2024-12-12 13:03:05.733</t>
  </si>
  <si>
    <t>CHEIKH IBRAHIMA FAYE</t>
  </si>
  <si>
    <t>PIKINE MINING</t>
  </si>
  <si>
    <t>AMADOU DIOP</t>
  </si>
  <si>
    <t>2024-02-08 14:55:19.317</t>
  </si>
  <si>
    <t>PROSPECTIUNI</t>
  </si>
  <si>
    <t>TENDER NICOLETA-DANIELA</t>
  </si>
  <si>
    <t>2024-06-24 13:44:59.053</t>
  </si>
  <si>
    <t>Q M D COMPANY</t>
  </si>
  <si>
    <t>2024-03-20 12:41:01.343</t>
  </si>
  <si>
    <t>RACKY PRESTATIONS TECHNIQUES (RPT)</t>
  </si>
  <si>
    <t>RACKY ABDOUL WANE</t>
  </si>
  <si>
    <t>2022-01-17 14:49:13.893</t>
  </si>
  <si>
    <t>RASSOUL MINING OIL GAZ &amp; ENERGY</t>
  </si>
  <si>
    <t>EL HADJI AMADOU DIAGNE</t>
  </si>
  <si>
    <t>2022-02-14 14:27:49.163</t>
  </si>
  <si>
    <t>RESEAU NATIONAL DES BIJOUTIERS DU SENEGAL</t>
  </si>
  <si>
    <t>ALLE THIAM</t>
  </si>
  <si>
    <t>2022-04-20 14:09:54.237</t>
  </si>
  <si>
    <t>AMADOU THIAM</t>
  </si>
  <si>
    <t>ELHADJI MAMADOU GUEYE</t>
  </si>
  <si>
    <t>MAMADOU SECK</t>
  </si>
  <si>
    <t>MOR SAMBA GUEYE</t>
  </si>
  <si>
    <t>MOUSTAPHA NIANG</t>
  </si>
  <si>
    <t>SABODALA GOLD OPERATIONS</t>
  </si>
  <si>
    <t>2022-01-26 13:30:38.377</t>
  </si>
  <si>
    <t>SABODALA MINING COMPANY SARL</t>
  </si>
  <si>
    <t>2023-01-27 11:47:03.997</t>
  </si>
  <si>
    <t>SAHAD COMPAGNY</t>
  </si>
  <si>
    <t>BARA DIOUF NDIAYE</t>
  </si>
  <si>
    <t>2024-07-04 09:53:24.367</t>
  </si>
  <si>
    <t>SAM INVEST</t>
  </si>
  <si>
    <t>KHADIDIATOU SARR</t>
  </si>
  <si>
    <t>2024-03-18 10:13:55.643</t>
  </si>
  <si>
    <t>MAMADOU SARR</t>
  </si>
  <si>
    <t>SAMAGOLD SARL</t>
  </si>
  <si>
    <t>2022-12-19 09:15:14.990</t>
  </si>
  <si>
    <t>PAKISTAN</t>
  </si>
  <si>
    <t>OUSMANE DIAGNE</t>
  </si>
  <si>
    <t>SAMSAM GOLD</t>
  </si>
  <si>
    <t>ADAMA DIALLO</t>
  </si>
  <si>
    <t>2022-09-30 16:57:00.950</t>
  </si>
  <si>
    <t>CHEIKH TIDIANE DIOP</t>
  </si>
  <si>
    <t>CHERIF AMEDINE BA</t>
  </si>
  <si>
    <t>MADY CAMARA</t>
  </si>
  <si>
    <t>NDEYE MATY THIOUNE</t>
  </si>
  <si>
    <t>SANTANG NEGOCE INVESTMENT</t>
  </si>
  <si>
    <t>BABACAR THIAM</t>
  </si>
  <si>
    <t>2024-01-18 15:06:32.927</t>
  </si>
  <si>
    <t>ELHADJI BITEYE</t>
  </si>
  <si>
    <t>SANTARGILE</t>
  </si>
  <si>
    <t>ABDOULAYE NDIOGOU SAMB</t>
  </si>
  <si>
    <t>2024-01-06 16:29:35.020</t>
  </si>
  <si>
    <t>AMINATA SALL</t>
  </si>
  <si>
    <t>CHEIKHOU FAYE</t>
  </si>
  <si>
    <t>KHADY LENA SY</t>
  </si>
  <si>
    <t>MAMADOU SY</t>
  </si>
  <si>
    <t>MASSAMBA MAMADOU SY</t>
  </si>
  <si>
    <t>MIKIDACH MAMADOU SY</t>
  </si>
  <si>
    <t>MOCTAR ALIOUNE SADIAN SALL</t>
  </si>
  <si>
    <t>SAMBA MAMADOU SY</t>
  </si>
  <si>
    <t>SARAYA ENERGY</t>
  </si>
  <si>
    <t>MOUSSA SYLLA</t>
  </si>
  <si>
    <t>2022-07-04 10:13:07.860</t>
  </si>
  <si>
    <t>SDT NEW ENERGY TACHNOLOGY (SDTNET-SARL)</t>
  </si>
  <si>
    <t>KAIXIANG SONG</t>
  </si>
  <si>
    <t>2023-05-03 15:51:46.553</t>
  </si>
  <si>
    <t>SEN GENERAL ACTIVITIES</t>
  </si>
  <si>
    <t>ABDOULAYE BA</t>
  </si>
  <si>
    <t>2023-04-20 10:20:30.170</t>
  </si>
  <si>
    <t>ALIOUNE TELEMAQUE SOW</t>
  </si>
  <si>
    <t>AMADOU RACINE SOW</t>
  </si>
  <si>
    <t>ELHADJI BABA SOW</t>
  </si>
  <si>
    <t>NDEYE CELLE SOW</t>
  </si>
  <si>
    <t>ROKHAYA DIALLO</t>
  </si>
  <si>
    <t>SAMBALY</t>
  </si>
  <si>
    <t>SEN MINES GROUP</t>
  </si>
  <si>
    <t>YAN ZHANG</t>
  </si>
  <si>
    <t>2024-07-02 16:10:08.687</t>
  </si>
  <si>
    <t>SENEGAL KOM KOM PLUS</t>
  </si>
  <si>
    <t>TAMSIR BABACAR</t>
  </si>
  <si>
    <t>2023-09-29 14:56:26.230</t>
  </si>
  <si>
    <t>SENEGAL MINERAL RESOURCES</t>
  </si>
  <si>
    <t>GERARD ARTHUR KING</t>
  </si>
  <si>
    <t>2023-06-07 13:00:35.723</t>
  </si>
  <si>
    <t>SENEGAL NDINDI</t>
  </si>
  <si>
    <t>BABACAR SECK</t>
  </si>
  <si>
    <t>2023-02-21 15:31:59.233</t>
  </si>
  <si>
    <t>MAME ISSA GAYE THIOYE</t>
  </si>
  <si>
    <t>ROKHAYA COULIBALY</t>
  </si>
  <si>
    <t>SENEGAL SILEX</t>
  </si>
  <si>
    <t>MARK PHILIPP GOSSEL</t>
  </si>
  <si>
    <t>2022-02-09 13:32:48.583</t>
  </si>
  <si>
    <t>SENEGALAISE DE SERVICES MINIERS ET DE GENIE CIVIL</t>
  </si>
  <si>
    <t>BABOU SENE</t>
  </si>
  <si>
    <t>2022-01-27 15:21:10.527</t>
  </si>
  <si>
    <t>DJIBRIL BADIANE</t>
  </si>
  <si>
    <t>SENEGALAISE DES MINES ET GEOLOGIE</t>
  </si>
  <si>
    <t>FATOU DIOUF</t>
  </si>
  <si>
    <t>2021-11-15 10:04:17.657</t>
  </si>
  <si>
    <t>IBRAHIMA KHALIL BALDE</t>
  </si>
  <si>
    <t>SENGOLD COMPANY</t>
  </si>
  <si>
    <t>2021-12-31 13:49:05.257</t>
  </si>
  <si>
    <t>SEN-STONES</t>
  </si>
  <si>
    <t>2022-01-31 12:17:16.243</t>
  </si>
  <si>
    <t>SERTER</t>
  </si>
  <si>
    <t>FATIMA ZOHRA</t>
  </si>
  <si>
    <t>2023-03-13 15:56:33.843</t>
  </si>
  <si>
    <t>SINTRADE</t>
  </si>
  <si>
    <t>WANG WEI</t>
  </si>
  <si>
    <t>2022-10-12 16:50:56.950</t>
  </si>
  <si>
    <t>SKDT NEW NERGY TECHNOLOGY</t>
  </si>
  <si>
    <t>HEQIANG YU</t>
  </si>
  <si>
    <t>2022-12-27 15:10:30.383</t>
  </si>
  <si>
    <t>SOCABEG MINING</t>
  </si>
  <si>
    <t>MOMAR SOKHNA DIOP</t>
  </si>
  <si>
    <t>2022-08-29 16:22:46.800</t>
  </si>
  <si>
    <t>SOCIETE DE CONCASSAGE ET DE BETON</t>
  </si>
  <si>
    <t>HAYATI BAYRAM</t>
  </si>
  <si>
    <t>2022-09-07 16:08:33.433</t>
  </si>
  <si>
    <t>MEHMET FERHAT</t>
  </si>
  <si>
    <t>TURQUIE</t>
  </si>
  <si>
    <t>PAPA MAYELAD FALL</t>
  </si>
  <si>
    <t>VAHAP KANITOGLU</t>
  </si>
  <si>
    <t>SOCIETE DES MINES DU SENEGAL (SODEMINES)</t>
  </si>
  <si>
    <t>SOULEYMANE SOW</t>
  </si>
  <si>
    <t>2022-04-11 08:43:42.460</t>
  </si>
  <si>
    <t>SOCIETE D'EXPLOITATION DE LOGISTIQUE ET DE TRAVAUX</t>
  </si>
  <si>
    <t>MAMADOU LAMINE KEITA</t>
  </si>
  <si>
    <t>2023-04-18 14:42:17.360</t>
  </si>
  <si>
    <t>SOCIETE GENERALE DE CARRIERES,D'AGRICULTURE ET DES MINIES (GECAMINES - SA)</t>
  </si>
  <si>
    <t>JEAN-BRICE SAINT-MARTIN</t>
  </si>
  <si>
    <t>2022-07-26 10:18:47.990</t>
  </si>
  <si>
    <t>SOCIETE GENERALE DES MINES (SGM)</t>
  </si>
  <si>
    <t>2024-02-09 11:53:34.940</t>
  </si>
  <si>
    <t>SOCIETE IMMOBILIERE DE CONSTRUCTION ET DE GERANCE 'SICOGER)</t>
  </si>
  <si>
    <t>ADAMA DIOUF</t>
  </si>
  <si>
    <t>2022-10-30 18:19:40.313</t>
  </si>
  <si>
    <t>ALIOUNEDIOP FAYE</t>
  </si>
  <si>
    <t>COUMBA FAYE</t>
  </si>
  <si>
    <t>MOUSTAPHA FAYE</t>
  </si>
  <si>
    <t>SOCIETE INTERNATIONALE DE BIENS DE SERVICES</t>
  </si>
  <si>
    <t>ABASS SOW</t>
  </si>
  <si>
    <t>2021-12-08 15:39:53.490</t>
  </si>
  <si>
    <t>MOUHAMADOU SOW</t>
  </si>
  <si>
    <t>SOCIETE MINIERE DE LA VALLEE DU FLEUVE SENEGAL / SOMIVA</t>
  </si>
  <si>
    <t>2023-12-14 14:03:45.547</t>
  </si>
  <si>
    <t>PAPE CHEIKH AMADOU AMAR</t>
  </si>
  <si>
    <t>SOCIETE SENEGALAISE DE PHOSPHATES DE THIES (SSPT)</t>
  </si>
  <si>
    <t>FRANCOIS CHERPION</t>
  </si>
  <si>
    <t>2023-06-12 13:08:57.573</t>
  </si>
  <si>
    <t>SOCOCIM INDUSTRIES</t>
  </si>
  <si>
    <t>JACQUES MARIE MERCERON-VICAT</t>
  </si>
  <si>
    <t>2021-07-01 10:34:48.853</t>
  </si>
  <si>
    <t>99.9</t>
  </si>
  <si>
    <t>SOCOTRABAT</t>
  </si>
  <si>
    <t>MOR AMINATA KEBE</t>
  </si>
  <si>
    <t>2021-11-10 09:50:57.967</t>
  </si>
  <si>
    <t>SODA HOLDING COMPANY SUARL</t>
  </si>
  <si>
    <t>ADAMA DIONGUE</t>
  </si>
  <si>
    <t>2024-03-28 13:28:52.360</t>
  </si>
  <si>
    <t>SONKO ET FILS SARL</t>
  </si>
  <si>
    <t>BINTOU SONKO</t>
  </si>
  <si>
    <t>2023-07-31 11:36:06.970</t>
  </si>
  <si>
    <t>IBRAHIM SONKO</t>
  </si>
  <si>
    <t>LAMINE SONKO</t>
  </si>
  <si>
    <t>MAIRAM SONKO</t>
  </si>
  <si>
    <t>SOYA GOLD</t>
  </si>
  <si>
    <t>SOULEYMANE NIANG</t>
  </si>
  <si>
    <t>2022-01-04 15:58:52.750</t>
  </si>
  <si>
    <t>STAPEM OFFSHORE SENEGAL</t>
  </si>
  <si>
    <t>JEAN MICHEL ALBERT MARCEL</t>
  </si>
  <si>
    <t>2021-12-29 09:03:57.973</t>
  </si>
  <si>
    <t>SUBSEA 7 SENEGAL</t>
  </si>
  <si>
    <t>ALEXANDRE BRINGER</t>
  </si>
  <si>
    <t>2021-10-13 19:48:49.073</t>
  </si>
  <si>
    <t>SUPER SALE</t>
  </si>
  <si>
    <t>SAMBA GADIAGA</t>
  </si>
  <si>
    <t>2023-04-26 12:18:31.457</t>
  </si>
  <si>
    <t>SYFARO MINING COMPANY</t>
  </si>
  <si>
    <t>NDEYE FATIM SY</t>
  </si>
  <si>
    <t>2022-07-13 11:55:20.860</t>
  </si>
  <si>
    <t>SYPROM</t>
  </si>
  <si>
    <t>MANSOUR SY</t>
  </si>
  <si>
    <t>2022-10-30 17:57:37.773</t>
  </si>
  <si>
    <t>TALIX MINES</t>
  </si>
  <si>
    <t>SOULEYE SECK</t>
  </si>
  <si>
    <t>2023-03-23 10:41:50.637</t>
  </si>
  <si>
    <t>TAYSTONES SARL</t>
  </si>
  <si>
    <t>AHMADDOU NDIAYE</t>
  </si>
  <si>
    <t>2023-01-24 11:22:00.427</t>
  </si>
  <si>
    <t>OMAR SYLLA</t>
  </si>
  <si>
    <t>TCHILMA BUILDING</t>
  </si>
  <si>
    <t>NDEYE FALL DIOP</t>
  </si>
  <si>
    <t>2022-02-09 17:30:09.653</t>
  </si>
  <si>
    <t>TERANGA HORIZON</t>
  </si>
  <si>
    <t>CHEIKH AHMET TIDIANE DIOP</t>
  </si>
  <si>
    <t>2024-07-16 09:22:02.473</t>
  </si>
  <si>
    <t>MAMADOU MANDE GUEYE</t>
  </si>
  <si>
    <t>TESORO SERVICES</t>
  </si>
  <si>
    <t>MAME MALICK BA</t>
  </si>
  <si>
    <t>2021-12-23 13:38:07.707</t>
  </si>
  <si>
    <t>THIAM SENEGAL GOLD FAMILY</t>
  </si>
  <si>
    <t>CHEIKH AHMED TIDIANY THIAM</t>
  </si>
  <si>
    <t>2022-12-19 13:33:53.013</t>
  </si>
  <si>
    <t>TIQ SENEGAL</t>
  </si>
  <si>
    <t>MAMADOU OURY BA</t>
  </si>
  <si>
    <t>2023-12-24 16:09:02.610</t>
  </si>
  <si>
    <t>PAPA OUSMANE BADJI</t>
  </si>
  <si>
    <t>TOP BUSINESS CONCEPT</t>
  </si>
  <si>
    <t>MOUSSA SAMB</t>
  </si>
  <si>
    <t>2022-04-07 15:26:19.047</t>
  </si>
  <si>
    <t>SAMBA NDAO NDIR</t>
  </si>
  <si>
    <t>TOTALENERGIES EP SENEGAL</t>
  </si>
  <si>
    <t>MOHAMED KHALED KOUKI</t>
  </si>
  <si>
    <t>2023-10-09 09:00:38.800</t>
  </si>
  <si>
    <t>TOUBA AMEUBLEMENT</t>
  </si>
  <si>
    <t>MAMOUNE GAYE</t>
  </si>
  <si>
    <t>2022-09-08 16:27:03.483</t>
  </si>
  <si>
    <t>TOUBA MINERAL RESSOURCES</t>
  </si>
  <si>
    <t>DAME DIENG</t>
  </si>
  <si>
    <t>2023-08-14 08:07:46.390</t>
  </si>
  <si>
    <t>TOULAYE AFRIQUE SARL</t>
  </si>
  <si>
    <t>MAMADOU MOUSTAPHA MBACKE</t>
  </si>
  <si>
    <t>2022-09-12 09:25:33.697</t>
  </si>
  <si>
    <t>MARIAMA BAKHOUM</t>
  </si>
  <si>
    <t>TOUS TRAVAUX SOUS MARINS (TTSM)</t>
  </si>
  <si>
    <t>ALAIN CHISTOPHE CHARLES GERBER</t>
  </si>
  <si>
    <t>2021-12-29 13:18:19.937</t>
  </si>
  <si>
    <t>ANNE ELISE MADELEINE APPRILL</t>
  </si>
  <si>
    <t>JEAN MARC GERBER</t>
  </si>
  <si>
    <t>JEAN MICHEL ALBERT MARCEL MAES</t>
  </si>
  <si>
    <t>JEAN PIERRE GERBER</t>
  </si>
  <si>
    <t>TRIYANGS INTERNATIONAL MINING GROUP</t>
  </si>
  <si>
    <t>GUANG YANG</t>
  </si>
  <si>
    <t>2021-07-02 15:13:53.873</t>
  </si>
  <si>
    <t>JUNMING YANG</t>
  </si>
  <si>
    <t>UTK MINING SENEGAL</t>
  </si>
  <si>
    <t>2023-05-10 08:25:05.087</t>
  </si>
  <si>
    <t>WALY DIOUF PARTNERS SOLUTION</t>
  </si>
  <si>
    <t>WALY DIOUF</t>
  </si>
  <si>
    <t>2024-01-12 09:09:56.773</t>
  </si>
  <si>
    <t>WEST AFRICA MINES (WAM)</t>
  </si>
  <si>
    <t>2022-12-02 12:06:18.623</t>
  </si>
  <si>
    <t>WEST WIND-SA</t>
  </si>
  <si>
    <t>MOHAMED KAGNASSY</t>
  </si>
  <si>
    <t>2024-03-14 15:11:30.777</t>
  </si>
  <si>
    <t>WOODSIDE ENERGY SENEGAL BV</t>
  </si>
  <si>
    <t>ANDREAS PHILIP DEMETRIOU</t>
  </si>
  <si>
    <t>2022-06-30 15:44:36.867</t>
  </si>
  <si>
    <t>JENNIFER ALICE ELISABETH HUVERS DE VRIES</t>
  </si>
  <si>
    <t>PAYS-BAS</t>
  </si>
  <si>
    <t>LOUISE HORNBY</t>
  </si>
  <si>
    <t>SHAUN MARTIN GREGORY</t>
  </si>
  <si>
    <t>X.W.O</t>
  </si>
  <si>
    <t>LONZHANG WEI</t>
  </si>
  <si>
    <t>2023-04-11 15:49:33.603</t>
  </si>
  <si>
    <t>XIFU YANG</t>
  </si>
  <si>
    <t>XINJIN ZIRCONIUM INDUSTRY</t>
  </si>
  <si>
    <t>2022-01-19 15:16:44.950</t>
  </si>
  <si>
    <t>CHINE</t>
  </si>
  <si>
    <t>YELLOW GROUND SENEGAL SAS</t>
  </si>
  <si>
    <t>AMADOU AIDARA</t>
  </si>
  <si>
    <t>2023-12-01 14:55:20.087</t>
  </si>
  <si>
    <t>JULIEN ALEXANDRE COURCHET</t>
  </si>
  <si>
    <t>MICHEL WALTER ANGE HEER</t>
  </si>
  <si>
    <t>MOUHAMADOU SY</t>
  </si>
  <si>
    <t>OILIVIER MARC HEER</t>
  </si>
  <si>
    <t>ZEYNA TRANSPORTS-IMMO-CONSTRUCTIONS(Z.T.I.C)</t>
  </si>
  <si>
    <t>AHMADOU KHADIM MBENGUE</t>
  </si>
  <si>
    <t>2022-12-02 09:59:34.317</t>
  </si>
  <si>
    <t>MOUSSA MBENGUE</t>
  </si>
  <si>
    <t>SEYNABOU MBENGUE</t>
  </si>
  <si>
    <t>Diourbel</t>
  </si>
  <si>
    <t>Africa Traiding-Equipement et Transport (AF-TECO)</t>
  </si>
  <si>
    <t>OUSSEYNOU WADE</t>
  </si>
  <si>
    <t>2021-12-01 10:39:52.347</t>
  </si>
  <si>
    <t>ENTREPRISE DAROU SALAM TAWFEX</t>
  </si>
  <si>
    <t>IBRAHIMA GAYE</t>
  </si>
  <si>
    <t>2023-04-27 14:49:19.800</t>
  </si>
  <si>
    <t>Entreprise Générale Darou Salam (EGDS)</t>
  </si>
  <si>
    <t>SERIGNE ASSA FALLE GAYE</t>
  </si>
  <si>
    <t>2023-04-18 12:12:41.787</t>
  </si>
  <si>
    <t>ENTREPRISE GENERALE DE TRAVAUX PUBLICS ET BATIMENTS(EGTPB)</t>
  </si>
  <si>
    <t>AMADOU GAYE</t>
  </si>
  <si>
    <t>2023-03-22 16:19:01.333</t>
  </si>
  <si>
    <t>ENTREPRISE WAKEUR BOROM GAWANE</t>
  </si>
  <si>
    <t>MBAYE NDIAYE</t>
  </si>
  <si>
    <t>2022-10-03 16:14:20.760</t>
  </si>
  <si>
    <t>NIANE ET FRERES</t>
  </si>
  <si>
    <t>SERIGNE MBACKE NIANE</t>
  </si>
  <si>
    <t>2023-01-09 12:20:52.290</t>
  </si>
  <si>
    <t>TOUBA DENDEYE</t>
  </si>
  <si>
    <t>ABDOU SYLLA</t>
  </si>
  <si>
    <t>2023-05-24 10:12:13.910</t>
  </si>
  <si>
    <t>Fatick</t>
  </si>
  <si>
    <t>DIOUF BOUGAR</t>
  </si>
  <si>
    <t>BOUGAR DIOUF</t>
  </si>
  <si>
    <t>2021-11-26 12:56:57.153</t>
  </si>
  <si>
    <t>Entreprise Mamour NDIAYE</t>
  </si>
  <si>
    <t>Mamour NDIAYE</t>
  </si>
  <si>
    <t>2022-01-11 10:38:05.440</t>
  </si>
  <si>
    <t>Kaolack</t>
  </si>
  <si>
    <t>MAMADOU DIAW</t>
  </si>
  <si>
    <t>2022-07-25 12:27:38.607</t>
  </si>
  <si>
    <t>SDPP</t>
  </si>
  <si>
    <t>2022-07-26 12:10:34.870</t>
  </si>
  <si>
    <t>TERRACALCO SENEGAL</t>
  </si>
  <si>
    <t>BERNARD RAYMOND ORTEGAT</t>
  </si>
  <si>
    <t>2023-11-17 12:47:41.203</t>
  </si>
  <si>
    <t>BELGIQUE</t>
  </si>
  <si>
    <t>Kédougou</t>
  </si>
  <si>
    <t>BANTAL DE BEROLA</t>
  </si>
  <si>
    <t>ABDOULAYE DIALLO</t>
  </si>
  <si>
    <t>2024-01-06 15:31:34.577</t>
  </si>
  <si>
    <t>AMADOU BA</t>
  </si>
  <si>
    <t>AMADOU DIALLO</t>
  </si>
  <si>
    <t>BENKANTO</t>
  </si>
  <si>
    <t>ABDOURAHMANE BA</t>
  </si>
  <si>
    <t>2023-04-14 14:46:59.680</t>
  </si>
  <si>
    <t>ADAMA CISSOKHO</t>
  </si>
  <si>
    <t>BANGALY FODE SAKHO</t>
  </si>
  <si>
    <t>BINTOU MADY DRAME</t>
  </si>
  <si>
    <t>BOUBACAR SOUARE</t>
  </si>
  <si>
    <t>DJIMO SOUARE</t>
  </si>
  <si>
    <t>FANTA CISSE SOUARE</t>
  </si>
  <si>
    <t>FATOU SAKHO</t>
  </si>
  <si>
    <t>FILY CAMARA</t>
  </si>
  <si>
    <t>IBRAHIMA CISSOKHO</t>
  </si>
  <si>
    <t>IBRAHIMA SORY KEITA</t>
  </si>
  <si>
    <t>KARAMOKHODING SAKHO</t>
  </si>
  <si>
    <t>LOLO CAMARA</t>
  </si>
  <si>
    <t>MAMADOU SAKHO</t>
  </si>
  <si>
    <t>MAMADOU SOUARE</t>
  </si>
  <si>
    <t>MARIAMA DIALLO</t>
  </si>
  <si>
    <t>MOUSSA CISSOKHO</t>
  </si>
  <si>
    <t>MOUSSA MOISE CAMARA</t>
  </si>
  <si>
    <t>OUMAR DIALLO</t>
  </si>
  <si>
    <t>RAMATA KEBE</t>
  </si>
  <si>
    <t>SADIO SADIAKHOU</t>
  </si>
  <si>
    <t>SAKHALE KABA</t>
  </si>
  <si>
    <t>SALIMOU DRAME</t>
  </si>
  <si>
    <t>SAMBA DIALLO</t>
  </si>
  <si>
    <t>SATOU SAKHO</t>
  </si>
  <si>
    <t>SORY SOUARE</t>
  </si>
  <si>
    <t>BIGSAM OR</t>
  </si>
  <si>
    <t>KWAMI SESSI GAYI</t>
  </si>
  <si>
    <t>2023-05-19 10:44:14.050</t>
  </si>
  <si>
    <t>XIAMING ZHANG</t>
  </si>
  <si>
    <t>BINKHANTO BAITOULAYE</t>
  </si>
  <si>
    <t>BAMBO DIABY</t>
  </si>
  <si>
    <t>2023-06-24 14:24:56.320</t>
  </si>
  <si>
    <t>BANNA TOUNKARA</t>
  </si>
  <si>
    <t>LAMINE DIABY</t>
  </si>
  <si>
    <t>COMPTOIR D'OR DE LA REGION ( C.OR.R)</t>
  </si>
  <si>
    <t>2023-03-06 11:57:03.297</t>
  </si>
  <si>
    <t>IBRAHIMA HANE</t>
  </si>
  <si>
    <t>MANSOUR AMADOU SOW</t>
  </si>
  <si>
    <t>SAME MBAYE NIASSE</t>
  </si>
  <si>
    <t>DIAGNE ET FRERES ( SARAYA)</t>
  </si>
  <si>
    <t>ABDOUL KARIMOU CISSOKHO</t>
  </si>
  <si>
    <t>2023-03-24 15:15:10.320</t>
  </si>
  <si>
    <t>AMADOU DIANGO</t>
  </si>
  <si>
    <t>DAOUDA KANE</t>
  </si>
  <si>
    <t>MARIAMA GUEYE</t>
  </si>
  <si>
    <t>OUMY DIAGNE</t>
  </si>
  <si>
    <t>SALIOU DIAGNE</t>
  </si>
  <si>
    <t>ETABLISSEMENT SEGA ET FRERES</t>
  </si>
  <si>
    <t>SEGA KANTE</t>
  </si>
  <si>
    <t>2023-06-24 15:00:02.820</t>
  </si>
  <si>
    <t>GAYI SUARL</t>
  </si>
  <si>
    <t>2023-04-20 11:54:31.177</t>
  </si>
  <si>
    <t>KANOUMERY</t>
  </si>
  <si>
    <t>BAGNAN SIDIBE</t>
  </si>
  <si>
    <t>2023-09-15 16:41:35.307</t>
  </si>
  <si>
    <t>HASSANA DIALLO</t>
  </si>
  <si>
    <t>TIDIANE KEITA</t>
  </si>
  <si>
    <t>KEDOUGOU BUSINESS ET MINING SERVICES</t>
  </si>
  <si>
    <t>EL HADJI BOUBACAR SIDIKI DIARRA</t>
  </si>
  <si>
    <t>2022-03-03 11:15:43.840</t>
  </si>
  <si>
    <t>LAURENT DIARRA</t>
  </si>
  <si>
    <t>MOHAMMED EL ASSALI</t>
  </si>
  <si>
    <t>KHAMBEN TEINKOTO NDIN</t>
  </si>
  <si>
    <t>ANDRE SADIAKHOU</t>
  </si>
  <si>
    <t>2023-06-24 14:06:26.707</t>
  </si>
  <si>
    <t>KALY KEITA</t>
  </si>
  <si>
    <t>MOSSA SADIAKHOU</t>
  </si>
  <si>
    <t>KOLIA</t>
  </si>
  <si>
    <t>BAMBA SEKHOU DANSOKHO</t>
  </si>
  <si>
    <t>2023-06-24 14:47:34.287</t>
  </si>
  <si>
    <t>DIALI SOUO CISSOKHO</t>
  </si>
  <si>
    <t>SYLLA COUNDA</t>
  </si>
  <si>
    <t>ANSOUMANE CISSOKHO</t>
  </si>
  <si>
    <t>2023-01-30 12:11:01.097</t>
  </si>
  <si>
    <t>BINTOU SOUARE</t>
  </si>
  <si>
    <t>DIADIE KABA</t>
  </si>
  <si>
    <t>FAMARA KABA</t>
  </si>
  <si>
    <t>FANTA FOUNE SOUARE</t>
  </si>
  <si>
    <t>KAMIDOU KABA</t>
  </si>
  <si>
    <t>LAMINE KABA</t>
  </si>
  <si>
    <t>LAMINE KONARE</t>
  </si>
  <si>
    <t>MBALOUDI DIABY</t>
  </si>
  <si>
    <t>SORY KABA</t>
  </si>
  <si>
    <t>SOUAREBA SOUARE</t>
  </si>
  <si>
    <t>Mbour</t>
  </si>
  <si>
    <t>KOFFI FELIX EKRA</t>
  </si>
  <si>
    <t>2023-07-24 15:22:55.063</t>
  </si>
  <si>
    <t>PIERRE ALAIN BIRAME NDONG</t>
  </si>
  <si>
    <t>ROSALIE NDIAYE SENE</t>
  </si>
  <si>
    <t>GEOTEC</t>
  </si>
  <si>
    <t>2024-03-27 13:29:49.853</t>
  </si>
  <si>
    <t>Tambacounda</t>
  </si>
  <si>
    <t>BENKHANGHO</t>
  </si>
  <si>
    <t>SOULEYMANE KANTE</t>
  </si>
  <si>
    <t>2024-12-05 10:23:26.867</t>
  </si>
  <si>
    <t>ETS ABDOULAHAT MBAYE</t>
  </si>
  <si>
    <t>Abdou Lahat  Mbaye</t>
  </si>
  <si>
    <t>2023-10-16 17:36:11.080</t>
  </si>
  <si>
    <t>Thiès</t>
  </si>
  <si>
    <t>CLEMENT ALPHONSE NDIAYE</t>
  </si>
  <si>
    <t>2024-07-31 16:23:20.937</t>
  </si>
  <si>
    <t>22.5</t>
  </si>
  <si>
    <t>MAHOMAD BACHIR</t>
  </si>
  <si>
    <t>MAMADOU ALPHA BARRY</t>
  </si>
  <si>
    <t>NZUE NZUE FREEDY</t>
  </si>
  <si>
    <t>ONGALI RUPHIN GLAISE</t>
  </si>
  <si>
    <t>OUSSEYNOU NDIAYE</t>
  </si>
  <si>
    <t>MAMADOU LOUM</t>
  </si>
  <si>
    <t>2022-06-28 10:17:50.400</t>
  </si>
  <si>
    <t>NDIAYE MAMADOU</t>
  </si>
  <si>
    <t>2024-04-15 12:35:06.120</t>
  </si>
  <si>
    <t>Bruno</t>
  </si>
  <si>
    <t>2022-08-25 13:04:07.017</t>
  </si>
  <si>
    <t>LUIGI CAIAZZO</t>
  </si>
  <si>
    <t>ROMUALDO LAMPITELLI</t>
  </si>
  <si>
    <t>NDOYE MASYLLA</t>
  </si>
  <si>
    <t>2021-11-25 13:41:17.070</t>
  </si>
  <si>
    <t>BABACAR MASSAR MBENGUE</t>
  </si>
  <si>
    <t>2022-07-08 12:25:15.940</t>
  </si>
  <si>
    <t>PAPA SAMBA MBENGUE</t>
  </si>
  <si>
    <t>GUEYE GALAYE</t>
  </si>
  <si>
    <t>2022-07-06 13:54:30.297</t>
  </si>
  <si>
    <t>2022-08-05 13:09:06.490</t>
  </si>
  <si>
    <t>ELHADJI DIOP</t>
  </si>
  <si>
    <t>OMAR BADIANE</t>
  </si>
  <si>
    <t>SECK FATOU KHADY</t>
  </si>
  <si>
    <t>2024-05-16 16:25:53.140</t>
  </si>
  <si>
    <t>BOUNA DIAKHOUMPA</t>
  </si>
  <si>
    <t>2021-11-09 12:53:43.717</t>
  </si>
  <si>
    <t>ELHADJI DIAGNE</t>
  </si>
  <si>
    <t>2022-09-21 16:23:20.703</t>
  </si>
  <si>
    <t>MBAYE WADE</t>
  </si>
  <si>
    <t>SARR PAPA THIONE</t>
  </si>
  <si>
    <t>2022-06-17 09:45:02.553</t>
  </si>
  <si>
    <t>SALIOU MBAYE</t>
  </si>
  <si>
    <t>2022-04-06 16:03:59.817</t>
  </si>
  <si>
    <t>AUGUSTIN TINE</t>
  </si>
  <si>
    <t>ALPHA OMEGA</t>
  </si>
  <si>
    <t>MARIE JOSEPHINE THERERSE DIONE</t>
  </si>
  <si>
    <t>2022-09-20 16:56:18.357</t>
  </si>
  <si>
    <t>BAKHOUM BUSINESS COMPANY</t>
  </si>
  <si>
    <t>BAKHOUME PAPA ABDOULAYE</t>
  </si>
  <si>
    <t>2023-02-01 13:32:13.700</t>
  </si>
  <si>
    <t>DIA COMPANY</t>
  </si>
  <si>
    <t>DIA MANSOUR</t>
  </si>
  <si>
    <t>2024-10-17 14:05:38.997</t>
  </si>
  <si>
    <t>EAUX SOUTERRAINES DU SENEGAL en abrégé ESS</t>
  </si>
  <si>
    <t>ALAEDDIN MOHAMAD</t>
  </si>
  <si>
    <t>2024-01-02 13:44:43.337</t>
  </si>
  <si>
    <t>ETS SERIGNE BABACAR SY</t>
  </si>
  <si>
    <t>MAWDO NDIAYE</t>
  </si>
  <si>
    <t>2021-10-14 13:07:20.937</t>
  </si>
  <si>
    <t>AMY DIAKHATE</t>
  </si>
  <si>
    <t>DAME DIAKHATE</t>
  </si>
  <si>
    <t>2022-08-26 16:55:54.787</t>
  </si>
  <si>
    <t>2022-09-13 12:43:09.637</t>
  </si>
  <si>
    <t>PAPA MASSE SEYE DIOP</t>
  </si>
  <si>
    <t>BADJI FATOU KINE</t>
  </si>
  <si>
    <t>2023-05-03 10:22:36.810</t>
  </si>
  <si>
    <t>SARR CHEIKH</t>
  </si>
  <si>
    <t>SARR MATY</t>
  </si>
  <si>
    <t>KANTE ALASSANE</t>
  </si>
  <si>
    <t>2022-10-31 16:46:15.537</t>
  </si>
  <si>
    <t>GIE CARAHMA</t>
  </si>
  <si>
    <t>OUSMAN NDIAYE</t>
  </si>
  <si>
    <t>2021-12-07 13:41:27.180</t>
  </si>
  <si>
    <t>RAMATOULAYE NDIAYE</t>
  </si>
  <si>
    <t>THIORO MBAYE</t>
  </si>
  <si>
    <t>2022-10-25 12:55:37.077</t>
  </si>
  <si>
    <t>KEUR MAME M'BASLA NDIAYE</t>
  </si>
  <si>
    <t>PAPA OUSMANE NDIAYE</t>
  </si>
  <si>
    <t>2022-07-29 10:38:46.930</t>
  </si>
  <si>
    <t>LES CIMENTS DU SAHEL</t>
  </si>
  <si>
    <t>LOTFALLA LAYOUSSE</t>
  </si>
  <si>
    <t>2021-07-28 12:53:56.230</t>
  </si>
  <si>
    <t>96.29</t>
  </si>
  <si>
    <t>MOUSTAPHA NDIAYE</t>
  </si>
  <si>
    <t>2022-07-05 13:29:19.847</t>
  </si>
  <si>
    <t>OUSMANE SOW</t>
  </si>
  <si>
    <t>2022-04-27 15:25:50.800</t>
  </si>
  <si>
    <t>Ziguinchor</t>
  </si>
  <si>
    <t>AMADOU MALICK SONKO</t>
  </si>
  <si>
    <t>2024-10-22 23:18:09.513</t>
  </si>
  <si>
    <t>CHEIKH MOHAMED FADEL SONKO</t>
  </si>
  <si>
    <t>IBRAHIMA KHALILE SONKO</t>
  </si>
  <si>
    <t>Date d'acquisition</t>
  </si>
  <si>
    <t>Nationalite</t>
  </si>
  <si>
    <t>Regions</t>
  </si>
  <si>
    <t>% Action Direct</t>
  </si>
  <si>
    <t>% Voix Direct</t>
  </si>
  <si>
    <t>2024-07-03 15:47:14.401</t>
  </si>
  <si>
    <t>2024-07-26 11:19:41.934</t>
  </si>
  <si>
    <t>SINOHYDRO SENEGAL-SARL</t>
  </si>
  <si>
    <t>LIU YANLONG</t>
  </si>
  <si>
    <t>2025-08-28 14:13:06.110</t>
  </si>
  <si>
    <t>AMSA GROUP AFRICA SA</t>
  </si>
  <si>
    <t>KARIM HARATI</t>
  </si>
  <si>
    <t>2025-08-25 09:49:33.177</t>
  </si>
  <si>
    <t>DIOME MALICK</t>
  </si>
  <si>
    <t>2025-08-22 16:47:33.150</t>
  </si>
  <si>
    <t>GAYE ASSANE</t>
  </si>
  <si>
    <t>COMPAGNIE SAKHO C.S</t>
  </si>
  <si>
    <t>ABDOU SAKHO</t>
  </si>
  <si>
    <t>2025-08-08 09:15:10.790</t>
  </si>
  <si>
    <t>GIE MAGNANKANTY</t>
  </si>
  <si>
    <t>KOUMOUNA SADIAKHOU</t>
  </si>
  <si>
    <t>2025-08-07 19:41:59.387</t>
  </si>
  <si>
    <t>MAKHAN CAMARA</t>
  </si>
  <si>
    <t>TAMBA SADIAKHOU</t>
  </si>
  <si>
    <t>BENCOUTA DE SAMECOUTA</t>
  </si>
  <si>
    <t>ALIOU CAMARA</t>
  </si>
  <si>
    <t>2025-08-07 12:06:38.113</t>
  </si>
  <si>
    <t>DJIBGUIBA DIAKHABY</t>
  </si>
  <si>
    <t>LAMINE DABO</t>
  </si>
  <si>
    <t>GIE COUMBOUTOUROU</t>
  </si>
  <si>
    <t>FODE DANFAKHA</t>
  </si>
  <si>
    <t>2025-08-06 19:41:54.687</t>
  </si>
  <si>
    <t>CHEIKH GUEYE</t>
  </si>
  <si>
    <t>2025-08-06 14:10:17.893</t>
  </si>
  <si>
    <t>ALIOUNE DIALLO</t>
  </si>
  <si>
    <t>2025-06-03 16:08:54.233</t>
  </si>
  <si>
    <t>SALL PAPA SANGONE</t>
  </si>
  <si>
    <t>TRANSPORT NAR GAYE SUARL</t>
  </si>
  <si>
    <t>MAGATTE GAYE</t>
  </si>
  <si>
    <t>2025-05-23 13:50:58.837</t>
  </si>
  <si>
    <t>LES MINES DE LUMIERE</t>
  </si>
  <si>
    <t>ALIOU CISSE</t>
  </si>
  <si>
    <t>2025-05-07 15:59:47.943</t>
  </si>
  <si>
    <t>2025-04-29 13:52:48.187</t>
  </si>
  <si>
    <t>SOCIETE SAHELIENNE D'ENTREPRISE (SSE)</t>
  </si>
  <si>
    <t>IBRAHIMA NGOM</t>
  </si>
  <si>
    <t>2025-04-23 15:58:38.653</t>
  </si>
  <si>
    <t>PITABOULOUNG DE SYLLABOUNDA</t>
  </si>
  <si>
    <t>ALIOU SOUARE</t>
  </si>
  <si>
    <t>2025-04-23 11:17:43.520</t>
  </si>
  <si>
    <t>IBRAHIMA SAKHO</t>
  </si>
  <si>
    <t>SEKHOU SOUARE</t>
  </si>
  <si>
    <t>KAIXUN GOLD MINING CO.LTD (K.G.M CO.LTD)</t>
  </si>
  <si>
    <t>CAILIN ZHU</t>
  </si>
  <si>
    <t>2025-04-18 13:03:27.627</t>
  </si>
  <si>
    <t>SWANI MINES-SA</t>
  </si>
  <si>
    <t>DINESH GOVIND GORASIYA</t>
  </si>
  <si>
    <t>2025-04-14 09:12:23.160</t>
  </si>
  <si>
    <t>PETROLEUM SENEGAL INDUSTRIES (P.S.I)</t>
  </si>
  <si>
    <t>BRUNO VICTOR LOUIS DERNEVILLE</t>
  </si>
  <si>
    <t>2025-04-14 08:55:09.170</t>
  </si>
  <si>
    <t>CHEIKH SIDY BA</t>
  </si>
  <si>
    <t>IBRAHIMA N'DANE</t>
  </si>
  <si>
    <t>KENGUE MITAMONA JAUDY BREMN</t>
  </si>
  <si>
    <t>GASH MINING SENEGAL (GASH MINING SEN) SARL)</t>
  </si>
  <si>
    <t>ABUBAKARY JAWARA</t>
  </si>
  <si>
    <t>2025-04-09 14:03:31.007</t>
  </si>
  <si>
    <t>SAHEL MINES ET LOGISTICS SARL</t>
  </si>
  <si>
    <t>SEYDOU SAER HANE</t>
  </si>
  <si>
    <t>2025-04-09 13:44:29.980</t>
  </si>
  <si>
    <t>AIDARA ABDOUL WAHAB</t>
  </si>
  <si>
    <t>2025-04-03 12:30:18.653</t>
  </si>
  <si>
    <t>NDONG PAPA MALICK</t>
  </si>
  <si>
    <t>MBENGUE BABACAR MASSAR</t>
  </si>
  <si>
    <t>2025-03-25 15:05:40.897</t>
  </si>
  <si>
    <t>SARAKOTO DE TENKOTO</t>
  </si>
  <si>
    <t>DIARIATOU KANTE</t>
  </si>
  <si>
    <t>2025-03-17 23:01:08.827</t>
  </si>
  <si>
    <t>DJIBRIL CAMARA</t>
  </si>
  <si>
    <t>HALDIFOTTY</t>
  </si>
  <si>
    <t>BOUBACAR DIALLO</t>
  </si>
  <si>
    <t>2025-03-17 22:26:15.717</t>
  </si>
  <si>
    <t>SAMBA CAMARA</t>
  </si>
  <si>
    <t>FADIALLAYA DE LEFAKHO</t>
  </si>
  <si>
    <t>MAMADOU KEITA</t>
  </si>
  <si>
    <t>2025-03-17 21:40:18.303</t>
  </si>
  <si>
    <t>NDABA CISSOKHO</t>
  </si>
  <si>
    <t>EMMALY SARL</t>
  </si>
  <si>
    <t>CIRE MAMADOU BAYO LY</t>
  </si>
  <si>
    <t>2025-03-14 13:04:26.693</t>
  </si>
  <si>
    <t>MAGUETTE SECK</t>
  </si>
  <si>
    <t>UNION GOLD SENEGAL</t>
  </si>
  <si>
    <t>FILY CISSOKHO</t>
  </si>
  <si>
    <t>2025-03-06 21:16:36.197</t>
  </si>
  <si>
    <t>SENGINDIA SA</t>
  </si>
  <si>
    <t>2025-03-04 14:33:18.227</t>
  </si>
  <si>
    <t>47.26</t>
  </si>
  <si>
    <t>HITESH GOPAL GORASIA</t>
  </si>
  <si>
    <t>47.25</t>
  </si>
  <si>
    <t>KALYAN RAVJI PATEL</t>
  </si>
  <si>
    <t>5.49</t>
  </si>
  <si>
    <t>KALISO 2S-SAS</t>
  </si>
  <si>
    <t>KHALILOU DIOP</t>
  </si>
  <si>
    <t>2025-02-28 14:47:13.277</t>
  </si>
  <si>
    <t>SOKHNA NDONGO</t>
  </si>
  <si>
    <t>AMICALE DES ORPAILLEURS DE KEDOUGOU</t>
  </si>
  <si>
    <t>SUZANE BOISSY</t>
  </si>
  <si>
    <t>2025-02-25 15:57:19.837</t>
  </si>
  <si>
    <t>AFRICA VISION MINING ( AVM-SARL)</t>
  </si>
  <si>
    <t>DJIGA FAYE</t>
  </si>
  <si>
    <t>2025-02-14 14:57:20.747</t>
  </si>
  <si>
    <t>MARIAMA NDONG</t>
  </si>
  <si>
    <t>SOCIETE D'EXPLOITATION MINIERE DU SENEGAL (SEMIS-SUARL)</t>
  </si>
  <si>
    <t>LIN WEI SONG</t>
  </si>
  <si>
    <t>2025-02-14 14:33:31.770</t>
  </si>
  <si>
    <t>CHEICH BADIANE SAKHO</t>
  </si>
  <si>
    <t>2025-02-14 14:25:41.847</t>
  </si>
  <si>
    <t>ETOILE X 313 SUARL</t>
  </si>
  <si>
    <t>MODOU DIAGNE</t>
  </si>
  <si>
    <t>2025-02-14 13:06:39.337</t>
  </si>
  <si>
    <t>WONDER MINE &amp; TRADE (WMT-SAS)</t>
  </si>
  <si>
    <t>AMINATA DIA</t>
  </si>
  <si>
    <t>2025-02-10 09:02:55.850</t>
  </si>
  <si>
    <t>AWA AMINATA BA</t>
  </si>
  <si>
    <t>KHADIDIATOU BA</t>
  </si>
  <si>
    <t>NDEYE PEINDA NIANG</t>
  </si>
  <si>
    <t>OUMOU KALSOUM BA</t>
  </si>
  <si>
    <t>PAPA LASSANA BA</t>
  </si>
  <si>
    <t>SOCIETE DES MINES DU SENEGAL (SOMISEN)</t>
  </si>
  <si>
    <t>NGAGNE DEMBA TOURE</t>
  </si>
  <si>
    <t>2025-01-29 15:17:16.843</t>
  </si>
  <si>
    <t>SIRAJ MINES ET INDUSTRIES SARL</t>
  </si>
  <si>
    <t>ELHADJI FALILOU MBACKE</t>
  </si>
  <si>
    <t>2025-01-17 13:32:33.707</t>
  </si>
  <si>
    <t>MAME MATAR SECK</t>
  </si>
  <si>
    <t>INTERNATIONAL DRILLING COMPANY SENEGAL SASU</t>
  </si>
  <si>
    <t>JEAN NOEL BITTAR</t>
  </si>
  <si>
    <t>2025-01-17 10:58:34.090</t>
  </si>
  <si>
    <t>GIE SHENG HUA MINING CO,LTD</t>
  </si>
  <si>
    <t>QI WANG</t>
  </si>
  <si>
    <t>2025-01-15 08:45:53.070</t>
  </si>
  <si>
    <t>YANTING WANG</t>
  </si>
  <si>
    <t>KEDOUGOU MINE ET CARRIERE</t>
  </si>
  <si>
    <t>ABDOULAYE BARRO</t>
  </si>
  <si>
    <t>2025-01-12 18:28:58.637</t>
  </si>
  <si>
    <t>BEAUCLAIR RAYMOND ZEMFACK</t>
  </si>
  <si>
    <t>MOUSSA MAKHASSOUBA</t>
  </si>
  <si>
    <t>QI BO</t>
  </si>
  <si>
    <t>LIN WEILIN</t>
  </si>
  <si>
    <t>WEILIN LIN</t>
  </si>
  <si>
    <t>2025-01-09 09:44:45.747</t>
  </si>
  <si>
    <t>SEN ZHANGHUA MINERAL</t>
  </si>
  <si>
    <t>ZHANG</t>
  </si>
  <si>
    <t>2025-01-09 09:02:34.100</t>
  </si>
  <si>
    <t>CHIEKH AHMADOU BAMBA NIANG</t>
  </si>
  <si>
    <t>les Directeurs généraux des ministères</t>
  </si>
  <si>
    <t>AFIA SERVICES</t>
  </si>
  <si>
    <t>LEBOUGUI DE DIENDER</t>
  </si>
  <si>
    <t>SENEGALAISE DE DISTRIBUTION DE PRODUITS PETROLIERS SDPP SARL</t>
  </si>
  <si>
    <t>GUEYE &amp; FRERES THIORO TRANSPORT G.F.2T</t>
  </si>
  <si>
    <t>ETS  SERIGNE MANSOUR SY BOROOM DARADJI</t>
  </si>
  <si>
    <t>EMEEF CONSULTING</t>
  </si>
  <si>
    <t>GIE CAYOR SILEX CORPORATION</t>
  </si>
  <si>
    <t>GIE FARLOU</t>
  </si>
  <si>
    <t>BOOK JOM ANDE LIGUEY MECKHE</t>
  </si>
  <si>
    <t>PS - SENECAT SUARL</t>
  </si>
  <si>
    <t>SALIOU MINES INDUSTRIES ET TECHNIQUES (S.M.I.T)</t>
  </si>
  <si>
    <t>INCA SARL</t>
  </si>
  <si>
    <t>SALAME ENTREPRISE SARL</t>
  </si>
  <si>
    <t>SEN &amp; UK FARMING</t>
  </si>
  <si>
    <t>SOCIETE DE TRAVAUX GENERAL ET DE COMMERCE SARL</t>
  </si>
  <si>
    <t>GRACE GOLD COMPANY SENEGAL</t>
  </si>
  <si>
    <t>GIE E.B.T.S ( ENTREPRISE BATIMENT TRAVAUX SARR)</t>
  </si>
  <si>
    <t>SENEGALAISE DE DISTRIBUTION AGROALIMENTAIRE  en abrégé  SE.D.ALI S.A.R.L</t>
  </si>
  <si>
    <t>CANSEN ENERGY RESSOURCES SAS</t>
  </si>
  <si>
    <t>GEOSCIENCES AND PROCESS SERVICES SARL</t>
  </si>
  <si>
    <t>SOGEMIC SARL</t>
  </si>
  <si>
    <t>ETABLISSEMENT MAODO MINES SARL</t>
  </si>
  <si>
    <t>GIE GARAGE SOUF</t>
  </si>
  <si>
    <t>P.S.S SERVICES MINES ET CARRIERES SARL</t>
  </si>
  <si>
    <t>EBD ENTREPRISE SUARL</t>
  </si>
  <si>
    <t>AWAHABA GROUP SARL</t>
  </si>
  <si>
    <t>ADAMA UNIVERSAL IMMOBILIER ET AFFAIRES ADA-SUARL</t>
  </si>
  <si>
    <t>LES LITIERES DU SENEGAL SARL</t>
  </si>
  <si>
    <t>Entreprise</t>
  </si>
  <si>
    <t>Statut</t>
  </si>
  <si>
    <t>Date d'inscription</t>
  </si>
  <si>
    <t>heure</t>
  </si>
  <si>
    <t>Point focal</t>
  </si>
  <si>
    <t>Email</t>
  </si>
  <si>
    <t>Profile</t>
  </si>
  <si>
    <t>Pays</t>
  </si>
  <si>
    <t>MINING SUPPLY SOLUTIONS (M2S)</t>
  </si>
  <si>
    <t>Validé</t>
  </si>
  <si>
    <t>Magatte Fall</t>
  </si>
  <si>
    <t>mfall@miningsupplysolutions.com</t>
  </si>
  <si>
    <t>Fournisseurs et Prestataires locaux</t>
  </si>
  <si>
    <t>Sénégal</t>
  </si>
  <si>
    <t xml:space="preserve">CHALLENGE 2000 SARL </t>
  </si>
  <si>
    <t>Mouhamadou Lamine DIAGNE</t>
  </si>
  <si>
    <t>lamine.diagne@challenge2000.sn</t>
  </si>
  <si>
    <t>Sous-traitants</t>
  </si>
  <si>
    <t>ETIM SARL</t>
  </si>
  <si>
    <t>MAMADOU SENE</t>
  </si>
  <si>
    <t>etimsarlsenegal@gmail.com</t>
  </si>
  <si>
    <t xml:space="preserve">CIE MULTI SERVICES </t>
  </si>
  <si>
    <t>Aliou Diop</t>
  </si>
  <si>
    <t>adiopgms@gmail.com</t>
  </si>
  <si>
    <t>Fournisseurs et prestataires locaux (GPF ou GIE)</t>
  </si>
  <si>
    <t>ALS SENEGAL SARL</t>
  </si>
  <si>
    <t>Ousmane Coulibaly</t>
  </si>
  <si>
    <t>ousmane.coulibaly@alsglobal.com</t>
  </si>
  <si>
    <t>Fournisseurs et Prestataires de droit sénégalais</t>
  </si>
  <si>
    <t>MEGA</t>
  </si>
  <si>
    <t>Ndeye Aminata Sow</t>
  </si>
  <si>
    <t>aminata.sow@mega-sn.com</t>
  </si>
  <si>
    <t>SENEGAL SUPPLY BASE</t>
  </si>
  <si>
    <t>Daouda DIOUME</t>
  </si>
  <si>
    <t>d.dioume@senegalsupplybase.com</t>
  </si>
  <si>
    <t>EMOSFK SARL</t>
  </si>
  <si>
    <t>Seydou SALL</t>
  </si>
  <si>
    <t>seydou1212@gmail.com</t>
  </si>
  <si>
    <t xml:space="preserve">BETON DU SÉNÉGAL SUARL </t>
  </si>
  <si>
    <t>Mame Less Sene</t>
  </si>
  <si>
    <t>betondusenegal@gmail.com</t>
  </si>
  <si>
    <t>SENEGAL REMOTE SERVICES</t>
  </si>
  <si>
    <t>MANSOUR NIANG</t>
  </si>
  <si>
    <t>mansourniang@pargest.sn</t>
  </si>
  <si>
    <t>SIGA CORPORATE</t>
  </si>
  <si>
    <t>Wilfried Mitokpe</t>
  </si>
  <si>
    <t>wilfrid.mitokpe@sigacorporate.sn</t>
  </si>
  <si>
    <t>DIASS INDUSTRIES SAS</t>
  </si>
  <si>
    <t>ABDOU KANE</t>
  </si>
  <si>
    <t>administration@diass-industries.com</t>
  </si>
  <si>
    <t>Étiquettes de lignes</t>
  </si>
  <si>
    <t>Nombre de Entreprise</t>
  </si>
  <si>
    <t>(Tous)</t>
  </si>
  <si>
    <t>PYXIS TRADING</t>
  </si>
  <si>
    <t>Abdramane BOLY</t>
  </si>
  <si>
    <t>ab.boly@pyxissupport.com</t>
  </si>
  <si>
    <t>2024</t>
  </si>
  <si>
    <t>CONFOSEN</t>
  </si>
  <si>
    <t>Marie Pierre DIAGNE</t>
  </si>
  <si>
    <t>mariepierre.diagne@confosen.com</t>
  </si>
  <si>
    <t>2025</t>
  </si>
  <si>
    <t>MCI SENEGAL SAS</t>
  </si>
  <si>
    <t>Gaelle NDIAYE</t>
  </si>
  <si>
    <t>gaelle.ndiaye@mci-int.com</t>
  </si>
  <si>
    <t>2026</t>
  </si>
  <si>
    <t>Entreprises avec permis de recherche</t>
  </si>
  <si>
    <t>SERIGNE MBOUP DISTRIBUTION &amp;SERVICES</t>
  </si>
  <si>
    <t>Serigne mouhamadou Mboup</t>
  </si>
  <si>
    <t>smmboup@gmail.com</t>
  </si>
  <si>
    <t>Total général</t>
  </si>
  <si>
    <t>DMD GROUPE</t>
  </si>
  <si>
    <t xml:space="preserve">Coumba  Ndiaye </t>
  </si>
  <si>
    <t>dmdgroupe11@gmail.com</t>
  </si>
  <si>
    <t>Fournisseurs et Prestataires étrangers</t>
  </si>
  <si>
    <t>B.D.T.P</t>
  </si>
  <si>
    <t>MBAYE NDOYE</t>
  </si>
  <si>
    <t>mndoye@bdtp-sn.com</t>
  </si>
  <si>
    <t xml:space="preserve">AFTERPRO SARL </t>
  </si>
  <si>
    <t>Ousmane  Diop</t>
  </si>
  <si>
    <t>ousmane@minebar-sn.com</t>
  </si>
  <si>
    <t>SUNTECH ENGI AUTOMATION PRIVATE LIMITED</t>
  </si>
  <si>
    <t>DEVENDRA GUPTA</t>
  </si>
  <si>
    <t>suncomputech866@gmail.com</t>
  </si>
  <si>
    <t>Inde</t>
  </si>
  <si>
    <t>Sociétés minières ou Cimenteries</t>
  </si>
  <si>
    <t>ACCEO SUARL</t>
  </si>
  <si>
    <t>Alboury Ndao</t>
  </si>
  <si>
    <t>alboury.ndao@acces-haut.com</t>
  </si>
  <si>
    <t>RGA</t>
  </si>
  <si>
    <t>Olivia Guilpain</t>
  </si>
  <si>
    <t>olivia.guilpain@ramaguilpain.com</t>
  </si>
  <si>
    <t>janv</t>
  </si>
  <si>
    <t>SAGA AFRICA HOLDINGS LIMITED SA</t>
  </si>
  <si>
    <t>Daour Samb</t>
  </si>
  <si>
    <t>daour.samb@yasbusiness.sn</t>
  </si>
  <si>
    <t>févr</t>
  </si>
  <si>
    <t>MBOUP GROUP/4MG</t>
  </si>
  <si>
    <t>CHEIKH MBOUP</t>
  </si>
  <si>
    <t>4mgroup2016@gmail.com</t>
  </si>
  <si>
    <t>mars</t>
  </si>
  <si>
    <t>SEN-SUD ENERGY CONSULTING</t>
  </si>
  <si>
    <t>Salouma  SAMOURA</t>
  </si>
  <si>
    <t>monekhata@hotmail.fr</t>
  </si>
  <si>
    <t>avr</t>
  </si>
  <si>
    <t>SOCIETE MONTAGE MECANIQUE TUYAUTERIE SOUDURE -SARL</t>
  </si>
  <si>
    <t>Nogaye Diop</t>
  </si>
  <si>
    <t>nogaye.diop@2mts-sn.com</t>
  </si>
  <si>
    <t>mai</t>
  </si>
  <si>
    <t xml:space="preserve">NIOKOLO EXPRESS </t>
  </si>
  <si>
    <t>Mahtar Diouf</t>
  </si>
  <si>
    <t>mahtar.diouf@niokoloexpress.com</t>
  </si>
  <si>
    <t>juin</t>
  </si>
  <si>
    <t>LEYE GLOGAL SERVICE CORPORATION</t>
  </si>
  <si>
    <t>Fallou Leye</t>
  </si>
  <si>
    <t>fallouleye@lgsc.sn</t>
  </si>
  <si>
    <t>juil</t>
  </si>
  <si>
    <t>AFRIMEX SERVICES</t>
  </si>
  <si>
    <t>Babacar BA</t>
  </si>
  <si>
    <t>contact@afrimexservices.com</t>
  </si>
  <si>
    <t>août</t>
  </si>
  <si>
    <t>SETHAS</t>
  </si>
  <si>
    <t>Aly DIALLO</t>
  </si>
  <si>
    <t>d.alybocoum@gmail.com</t>
  </si>
  <si>
    <t>sept</t>
  </si>
  <si>
    <t>INDUSTRY PARTNERS SARL</t>
  </si>
  <si>
    <t>MOUSSA FAYE</t>
  </si>
  <si>
    <t>ip-contact@industrypartner.sn</t>
  </si>
  <si>
    <t>oct</t>
  </si>
  <si>
    <t>Afrique du Sud</t>
  </si>
  <si>
    <t>ADS ASSUR SAU</t>
  </si>
  <si>
    <t>zone8c@gmail.com</t>
  </si>
  <si>
    <t>nov</t>
  </si>
  <si>
    <t>Australie</t>
  </si>
  <si>
    <t>SAADIYA TRANSPORT ET LOGISTIQUE</t>
  </si>
  <si>
    <t>MAME MASSIRY NDIAYE</t>
  </si>
  <si>
    <t>oscarius87@gmail.com</t>
  </si>
  <si>
    <t>déc</t>
  </si>
  <si>
    <t>Belgique</t>
  </si>
  <si>
    <t>ECTM</t>
  </si>
  <si>
    <t>Abdou Wade</t>
  </si>
  <si>
    <t>wade51446@gmail.com</t>
  </si>
  <si>
    <t>Burkina Faso</t>
  </si>
  <si>
    <t>NDEYE KHOUDIA FALL</t>
  </si>
  <si>
    <t>nkfall@csegranulats.sn</t>
  </si>
  <si>
    <t>Canada</t>
  </si>
  <si>
    <t>KIZ CONSULTING</t>
  </si>
  <si>
    <t>Zanape Kone</t>
  </si>
  <si>
    <t>zanape@kizconsulting.com</t>
  </si>
  <si>
    <t>Espagne</t>
  </si>
  <si>
    <t>SANGALA SUARL</t>
  </si>
  <si>
    <t xml:space="preserve">Kansala  Camara </t>
  </si>
  <si>
    <t>ckansala44@yahoo.com</t>
  </si>
  <si>
    <t>France</t>
  </si>
  <si>
    <t>PANAFRICAINE D'ENTREPRISE</t>
  </si>
  <si>
    <t>Mawdo Malick GUEYE</t>
  </si>
  <si>
    <t>panafrics@gmail.com</t>
  </si>
  <si>
    <t>Ile Maurice</t>
  </si>
  <si>
    <t>TUNISAVIA</t>
  </si>
  <si>
    <t>Rawaa Ben Said</t>
  </si>
  <si>
    <t>commercial@tunisavia.com.tn</t>
  </si>
  <si>
    <t>Tunisie</t>
  </si>
  <si>
    <t>Trimestre1</t>
  </si>
  <si>
    <t>Îles Mariannes du Nord</t>
  </si>
  <si>
    <t>B2EI SARL</t>
  </si>
  <si>
    <t>Thiane DIOP</t>
  </si>
  <si>
    <t>thiane.diop@b2ei-sarl.com</t>
  </si>
  <si>
    <t>Trimestre2</t>
  </si>
  <si>
    <t>RIGA HELIX SEN JV S.A.S</t>
  </si>
  <si>
    <t>Mariétou SANE</t>
  </si>
  <si>
    <t>marietou.sane@helixsen.com</t>
  </si>
  <si>
    <t>Trimestre3</t>
  </si>
  <si>
    <t>Pays-Bas</t>
  </si>
  <si>
    <t>AEGIS LOGISTICS</t>
  </si>
  <si>
    <t>Oumar Seye</t>
  </si>
  <si>
    <t>oumar.seye@viderienterprise.com</t>
  </si>
  <si>
    <t>Trimestre4</t>
  </si>
  <si>
    <t>Portugal</t>
  </si>
  <si>
    <t xml:space="preserve">SOCIÉTÉ AUXILIAIRE DE TRAVAIL TEMPORAIRE </t>
  </si>
  <si>
    <t>Fatou  Diop</t>
  </si>
  <si>
    <t>fatoudiopsatt@gmail.com</t>
  </si>
  <si>
    <t>Royaume-Uni</t>
  </si>
  <si>
    <t>PROTECHNIQUE</t>
  </si>
  <si>
    <t>DIOUF MALICK</t>
  </si>
  <si>
    <t>entreprisepro.techniques@gmail.com</t>
  </si>
  <si>
    <t>SAB BUSINESS CONSULTING AFRICA</t>
  </si>
  <si>
    <t>mle DIOP</t>
  </si>
  <si>
    <t>diopa@sabbusinessconsulting.com</t>
  </si>
  <si>
    <t>DRILLNESS</t>
  </si>
  <si>
    <t>ibrahima sylla</t>
  </si>
  <si>
    <t>drillnessenegal@gmail.com</t>
  </si>
  <si>
    <t>EAT MULTISERVICES</t>
  </si>
  <si>
    <t>ELHADJI AMADOU THIAM</t>
  </si>
  <si>
    <t>eatmultiservices@gmail.com</t>
  </si>
  <si>
    <t>AESSEAL HOLDINGS</t>
  </si>
  <si>
    <t>Dain Hurter</t>
  </si>
  <si>
    <t>dain.hurter@gmail.com</t>
  </si>
  <si>
    <t>DAKAR HORIZON TRAVEL</t>
  </si>
  <si>
    <t>MAISSANE  THIAW</t>
  </si>
  <si>
    <t>marketing@dakarhorizontravel.com</t>
  </si>
  <si>
    <t>AN-NADIAH POWER SOLUTIONS</t>
  </si>
  <si>
    <t>CHEIKH DJIGO</t>
  </si>
  <si>
    <t>contact@an-nadiah.com</t>
  </si>
  <si>
    <t>VULCAN INDUSTRIAL ENGG CO PVT LTD</t>
  </si>
  <si>
    <t>Dharmesh Dalwadi</t>
  </si>
  <si>
    <t>dharmesh@viecl.com</t>
  </si>
  <si>
    <t>TECHNICAL PROCUREMENT SERVICEES</t>
  </si>
  <si>
    <t>Coumba Khoule</t>
  </si>
  <si>
    <t>coumba@tps-senegal.com</t>
  </si>
  <si>
    <t>GIE BELEDOUGOU</t>
  </si>
  <si>
    <t>Néné CISSOKHO</t>
  </si>
  <si>
    <t>cissokhonene95@gmail.com</t>
  </si>
  <si>
    <t>PROCESS MASTER SENEGAL</t>
  </si>
  <si>
    <t>ABDOU BA</t>
  </si>
  <si>
    <t>abdou.ba@process-master.com</t>
  </si>
  <si>
    <t>WUXI ENBANGE MACHINERY CO.,LTD</t>
  </si>
  <si>
    <t>Cai Ada</t>
  </si>
  <si>
    <t>enbange-chua@hotmail.com</t>
  </si>
  <si>
    <t>SDMI SARL</t>
  </si>
  <si>
    <t>ousseynou GUEYE</t>
  </si>
  <si>
    <t>ousseynou.gueye@sdmi.sn</t>
  </si>
  <si>
    <t>SN SOFTWARE</t>
  </si>
  <si>
    <t xml:space="preserve">El Hadji Magueye Fall </t>
  </si>
  <si>
    <t>elhadji.fall@snsoftware.com</t>
  </si>
  <si>
    <t>UBBI GROUP</t>
  </si>
  <si>
    <t>khadidiatou toure fall</t>
  </si>
  <si>
    <t>ubbicompu1@outlook.com</t>
  </si>
  <si>
    <t>LOCASEN</t>
  </si>
  <si>
    <t>BABACAR KEBE</t>
  </si>
  <si>
    <t>locasen@groupelocasen.com</t>
  </si>
  <si>
    <t>Apple Zhang</t>
  </si>
  <si>
    <t>rn_zhangpingping@163.com</t>
  </si>
  <si>
    <t>SECURIMEX</t>
  </si>
  <si>
    <t>Securimex SAS</t>
  </si>
  <si>
    <t>contact@securimex.sn</t>
  </si>
  <si>
    <t>PERFORMANCE SERVICES</t>
  </si>
  <si>
    <t>ALIOU SECK</t>
  </si>
  <si>
    <t>contact@performanceservices.sn</t>
  </si>
  <si>
    <t>SUPERIOR STEEL OVERSEAS</t>
  </si>
  <si>
    <t>Ashok Mehta</t>
  </si>
  <si>
    <t>amehta@superiorsteel.in</t>
  </si>
  <si>
    <t>BLED SARL</t>
  </si>
  <si>
    <t>Baye mor Gueye</t>
  </si>
  <si>
    <t>bmgamgueye@gmail.com</t>
  </si>
  <si>
    <t>TYSTA NETWORKS</t>
  </si>
  <si>
    <t xml:space="preserve">DIALLO Michel </t>
  </si>
  <si>
    <t>contact@tysta-networks.com</t>
  </si>
  <si>
    <t>LA BANQUE OUTARDE</t>
  </si>
  <si>
    <t>MOUHAMADOU MOUSTAPHA FALL</t>
  </si>
  <si>
    <t>moustapha.fall@labanqueoutarde.sn</t>
  </si>
  <si>
    <t>CMG</t>
  </si>
  <si>
    <t>Matar LÔ</t>
  </si>
  <si>
    <t>cmgmboro@gmail.com</t>
  </si>
  <si>
    <t>SABODALA MINING SERVICE SARL</t>
  </si>
  <si>
    <t>sabodalaminingservicesarl@gmail.com</t>
  </si>
  <si>
    <t>GECTIS</t>
  </si>
  <si>
    <t>Cheikh  Fall</t>
  </si>
  <si>
    <t>gectis@yahoo.fr</t>
  </si>
  <si>
    <t>VISION INTERNATIONALE DES PRODUITS</t>
  </si>
  <si>
    <t>SOUKAYE MAR</t>
  </si>
  <si>
    <t>documentvip2019@gmail.com</t>
  </si>
  <si>
    <t>HUGUES SOLUTION SARL</t>
  </si>
  <si>
    <t>Salimata Diouf</t>
  </si>
  <si>
    <t>s.ngari.sa@gmail.com</t>
  </si>
  <si>
    <t>AGTS</t>
  </si>
  <si>
    <t>Abdou Xaadir GAYE</t>
  </si>
  <si>
    <t>abdouxaadir.gaye@agtsgroupe.com</t>
  </si>
  <si>
    <t>SOCIETE INTERNATIONALE FACILITY ENERGY SENEGAL</t>
  </si>
  <si>
    <t>Abdourahmane BARRY</t>
  </si>
  <si>
    <t>contacts@sifens.com</t>
  </si>
  <si>
    <t>MEGA TECHNOLOGIE</t>
  </si>
  <si>
    <t>EL HADJI MOCTAR DIOP</t>
  </si>
  <si>
    <t>abamar999@gmail.com</t>
  </si>
  <si>
    <t>SOUM GLOBAL SERVICES</t>
  </si>
  <si>
    <t>keita bintou</t>
  </si>
  <si>
    <t>globalservices.suarl2025@gmail.com</t>
  </si>
  <si>
    <t>TERANGA MINING SERVICES SARL</t>
  </si>
  <si>
    <t>JEREMIE JABER</t>
  </si>
  <si>
    <t>jeremie.jaber@gmail.com</t>
  </si>
  <si>
    <t>SOCIÉTÉ SÉNÉGALAISE DE PRODUITS INDUSTRIELS SUARL (SSPI SUARL)</t>
  </si>
  <si>
    <t>LOUIS STEPHANE JOSEPH PAYSANT</t>
  </si>
  <si>
    <t>dg@sspi.sn</t>
  </si>
  <si>
    <t>CORRPRO COMPANIES EUROPE LIMTED</t>
  </si>
  <si>
    <t>James Neilson</t>
  </si>
  <si>
    <t>ccel@corrproeurope.com</t>
  </si>
  <si>
    <t>EATS SARL</t>
  </si>
  <si>
    <t>PAPE  NIAKH</t>
  </si>
  <si>
    <t>pape.niakh@eats-sarl.sn</t>
  </si>
  <si>
    <t xml:space="preserve">LES CABLERIES DU SENEGAL </t>
  </si>
  <si>
    <t>Habib  SARR</t>
  </si>
  <si>
    <t>hsarr@lcs.sn</t>
  </si>
  <si>
    <t xml:space="preserve">ESENTRAVAUX ET SERVICES </t>
  </si>
  <si>
    <t>SENE Daouda</t>
  </si>
  <si>
    <t>esents23@gmail.com</t>
  </si>
  <si>
    <t>PEL AUTOMATION</t>
  </si>
  <si>
    <t>Moustapha Diouf</t>
  </si>
  <si>
    <t>mtdiouf@hotmail.com</t>
  </si>
  <si>
    <t>SYCAD</t>
  </si>
  <si>
    <t>Mouhamed Lo</t>
  </si>
  <si>
    <t>lomouhamed@gmail.com</t>
  </si>
  <si>
    <t>PRO-MECH</t>
  </si>
  <si>
    <t>SAMBE Abdoulaye</t>
  </si>
  <si>
    <t>abdoulaye.s@pro-mech616.com</t>
  </si>
  <si>
    <t>SENEGALAISE DES TRAVAUX SPECIAUX</t>
  </si>
  <si>
    <t>NESTOR DIATTA</t>
  </si>
  <si>
    <t>contact@sentras-sn.com</t>
  </si>
  <si>
    <t>DMC SENEGAL</t>
  </si>
  <si>
    <t>Aymann CHOUCAIR</t>
  </si>
  <si>
    <t>aymann.choucair@dmcsen.com</t>
  </si>
  <si>
    <t>SYNERGIE PLUS</t>
  </si>
  <si>
    <t>Souleymane Daouda Ndiaye</t>
  </si>
  <si>
    <t>synergie.plus18@gmail.com</t>
  </si>
  <si>
    <t>SOS PETROLES SA</t>
  </si>
  <si>
    <t>ismaila kamara</t>
  </si>
  <si>
    <t>ismaila.kamara@staroilgroup.com</t>
  </si>
  <si>
    <t>LYCOPODIUM MINERALS CANADA LTD</t>
  </si>
  <si>
    <t>Mushtaq Khuram</t>
  </si>
  <si>
    <t>khuram.mushtaq@lycopodium.com</t>
  </si>
  <si>
    <t>LES SPÉCIALISTES DE L'ENERGIE</t>
  </si>
  <si>
    <t>Bineta FALL</t>
  </si>
  <si>
    <t>bineta.fall@vinci-construction.com</t>
  </si>
  <si>
    <t>WEST AFRICA TIRE SERVICES (WATS SAS)</t>
  </si>
  <si>
    <t>Gupta Ankur</t>
  </si>
  <si>
    <t>ankur.g@watsltd.com</t>
  </si>
  <si>
    <t>SYS KABS AMAZONE</t>
  </si>
  <si>
    <t>Papa Mamadou  GUISSE</t>
  </si>
  <si>
    <t>guissepm@gmail.com</t>
  </si>
  <si>
    <t>CLAIR ATTITUDE</t>
  </si>
  <si>
    <t>BILLO Wane</t>
  </si>
  <si>
    <t>clairattitudesn@gmail.com</t>
  </si>
  <si>
    <t xml:space="preserve">PUMP AND ABRASION TECHNOLOGIES </t>
  </si>
  <si>
    <t>Franco Swanepoel</t>
  </si>
  <si>
    <t>francos@pumpab.co.za</t>
  </si>
  <si>
    <t>2PI</t>
  </si>
  <si>
    <t>diopaida1987@gmail.com</t>
  </si>
  <si>
    <t xml:space="preserve">LE CARTEL DES LOCATIONS DE VEHICULE SUARL </t>
  </si>
  <si>
    <t>Sarr Talla</t>
  </si>
  <si>
    <t>cartel2022@yahoo.com</t>
  </si>
  <si>
    <t>CARMEUSE SENEGAL</t>
  </si>
  <si>
    <t>Mame Marieme TINE</t>
  </si>
  <si>
    <t>marieme.tine@carmeusesenegal.com</t>
  </si>
  <si>
    <t>GASETECH-AFRICA</t>
  </si>
  <si>
    <t>Moctar dit Ndiaga Ndiaye</t>
  </si>
  <si>
    <t>n.ndiaye@gasetech-africa.com</t>
  </si>
  <si>
    <t>DIGITAL AUTOMATION SUARL</t>
  </si>
  <si>
    <t>El Hadji Talla FAYE</t>
  </si>
  <si>
    <t>talla.faye@digital-automation.sn</t>
  </si>
  <si>
    <t>MBORO TRAVAUX INDUSTRIELS</t>
  </si>
  <si>
    <t xml:space="preserve">Samour  Ndiaye </t>
  </si>
  <si>
    <t>mborotravauxindustriels@gmail.com</t>
  </si>
  <si>
    <t>CABINET SAND CONSULTING</t>
  </si>
  <si>
    <t>Sara TINE</t>
  </si>
  <si>
    <t>sandconsulting20@gmail.com</t>
  </si>
  <si>
    <t>IMC SARL</t>
  </si>
  <si>
    <t>KEWE ALY BA</t>
  </si>
  <si>
    <t>kewe.ba@umo-interim.com</t>
  </si>
  <si>
    <t>SENDIA</t>
  </si>
  <si>
    <t>Yolande Aida SENGHOR</t>
  </si>
  <si>
    <t>contact@sendiasn.com</t>
  </si>
  <si>
    <t>AM LUXURY TOURS</t>
  </si>
  <si>
    <t>Abdoulaye Diouf</t>
  </si>
  <si>
    <t>procurement@amluxurytours.com</t>
  </si>
  <si>
    <t>CAMMACH SN</t>
  </si>
  <si>
    <t xml:space="preserve">GUEYE Diadji </t>
  </si>
  <si>
    <t>dg@cammach.com</t>
  </si>
  <si>
    <t>EMT AFRIQUE</t>
  </si>
  <si>
    <t>Papa Mamadou Lo</t>
  </si>
  <si>
    <t>mamadou.lo@emtafrique.com</t>
  </si>
  <si>
    <t>POLYVALENCE BTP SARL</t>
  </si>
  <si>
    <t>Amadou SANE</t>
  </si>
  <si>
    <t>polyvalencebtp@gmail.com</t>
  </si>
  <si>
    <t>BATIFORT</t>
  </si>
  <si>
    <t xml:space="preserve">Emmanuel agbegnigan  FANGNON </t>
  </si>
  <si>
    <t>faemma2000@yahoo.fr</t>
  </si>
  <si>
    <t>ORSEN</t>
  </si>
  <si>
    <t>Mathieu Castelain</t>
  </si>
  <si>
    <t>mathieu.castelain@friedlander-international.com</t>
  </si>
  <si>
    <t xml:space="preserve">ENTREPRISE ABY TOURE </t>
  </si>
  <si>
    <t>Aby Gabriel  Toure</t>
  </si>
  <si>
    <t>abytoure084@gmail.com</t>
  </si>
  <si>
    <t>TERANGA ENERGIES CONSULT</t>
  </si>
  <si>
    <t>Ndéné SARR</t>
  </si>
  <si>
    <t>ndene.sarr@teranga-energies.com</t>
  </si>
  <si>
    <t>BOYA SA</t>
  </si>
  <si>
    <t>Rama SOW</t>
  </si>
  <si>
    <t>cnscl@boya.sn</t>
  </si>
  <si>
    <t>SIBM</t>
  </si>
  <si>
    <t>Fatou Faye NIANG</t>
  </si>
  <si>
    <t>f.niang@sibmsn.com</t>
  </si>
  <si>
    <t>ISA TECHNOLOGIES</t>
  </si>
  <si>
    <t>Ababacar Mbaye Diédhiou</t>
  </si>
  <si>
    <t>ababacarmbayediedhiou@gmail.com</t>
  </si>
  <si>
    <t>DRILLEEX SA</t>
  </si>
  <si>
    <t>Rokhaya Sall</t>
  </si>
  <si>
    <t>contact@drilleex.sn</t>
  </si>
  <si>
    <t>TSG SENEGAL</t>
  </si>
  <si>
    <t>Thierry paluch</t>
  </si>
  <si>
    <t>thierry.paluch@tsg-solutions.com</t>
  </si>
  <si>
    <t>LES NIAYES SARRAUT</t>
  </si>
  <si>
    <t>GALLO SARR</t>
  </si>
  <si>
    <t>gallosarr@niayessarraut.com</t>
  </si>
  <si>
    <t xml:space="preserve">RIDWAN GROUP </t>
  </si>
  <si>
    <t xml:space="preserve">Mouhamed  DIAGNE </t>
  </si>
  <si>
    <t>mouhamed.diagne@ridwangroup.com</t>
  </si>
  <si>
    <t xml:space="preserve">3R SENEGAL </t>
  </si>
  <si>
    <t>Hamidou TRAORE</t>
  </si>
  <si>
    <t>traorehamidou@gmail.com</t>
  </si>
  <si>
    <t>2MG SOLUTIONS</t>
  </si>
  <si>
    <t>Gary  Dharmarathna</t>
  </si>
  <si>
    <t>gary.dharma@2mg.net.au</t>
  </si>
  <si>
    <t>SERVICE GÉOLOGIQUE NATIONAL DU SÉNÉGAL (SGNS)</t>
  </si>
  <si>
    <t>Alla DIAW</t>
  </si>
  <si>
    <t>alla.diaw@sgns.gouv.sn</t>
  </si>
  <si>
    <t xml:space="preserve">LABORATOIRE TFG </t>
  </si>
  <si>
    <t>Sophiatou FALL</t>
  </si>
  <si>
    <t>sophiatou.fall@laboratoiretfg.com</t>
  </si>
  <si>
    <t>LOMBEL RESSOURCES SAS</t>
  </si>
  <si>
    <t xml:space="preserve">Boubane Ibrahima </t>
  </si>
  <si>
    <t>lombelresources@gmail.com</t>
  </si>
  <si>
    <t>VALTEO</t>
  </si>
  <si>
    <t>Komi Landry AMENTI</t>
  </si>
  <si>
    <t>contact@valteo-ingenierie.com</t>
  </si>
  <si>
    <t>SATA SARL</t>
  </si>
  <si>
    <t>Ousmane Fall</t>
  </si>
  <si>
    <t>oufall@sata.sn</t>
  </si>
  <si>
    <t>HATCH ASSOCIATES LIMITED</t>
  </si>
  <si>
    <t>Mulalo Silidi</t>
  </si>
  <si>
    <t>mulalo.silidi@hatch.com</t>
  </si>
  <si>
    <t>HATCH AFRICA (PTY) LTD</t>
  </si>
  <si>
    <t>Deshigan Padayachee</t>
  </si>
  <si>
    <t>deshigan.padayachee@hatch.com</t>
  </si>
  <si>
    <t>SIDEM SA</t>
  </si>
  <si>
    <t>Wael ATTIEH</t>
  </si>
  <si>
    <t>sirmel@sirmel.sn</t>
  </si>
  <si>
    <t>MEDICAL RH</t>
  </si>
  <si>
    <t>Murnel DZON</t>
  </si>
  <si>
    <t>m.dzon.jojo@beta.one</t>
  </si>
  <si>
    <t>GROUPE YAKHINE</t>
  </si>
  <si>
    <t>Ahmadou bamba Diop</t>
  </si>
  <si>
    <t>commercial.gy@gmail.com</t>
  </si>
  <si>
    <t xml:space="preserve">SARAYA CONSTRUCTIONS ET SERVICES </t>
  </si>
  <si>
    <t xml:space="preserve">Mamadou Ouleye  Diallo </t>
  </si>
  <si>
    <t>dmamadououle@yahoo.fr</t>
  </si>
  <si>
    <t>SKAKO VIBRATION</t>
  </si>
  <si>
    <t>Déborah MATTER</t>
  </si>
  <si>
    <t>skakovibration.fr@skako.com</t>
  </si>
  <si>
    <t>RAINBO SUPPLIES &amp; SERVICES LTD</t>
  </si>
  <si>
    <t>Mark Sealey</t>
  </si>
  <si>
    <t>sales@rainbosupplies.com</t>
  </si>
  <si>
    <t>WAFGATE SAS</t>
  </si>
  <si>
    <t>Aissatou Ndong</t>
  </si>
  <si>
    <t>andong@wafgatesn.com</t>
  </si>
  <si>
    <t>TEMICO SN</t>
  </si>
  <si>
    <t>Patrick TIOMELA</t>
  </si>
  <si>
    <t>contact@temico.sn</t>
  </si>
  <si>
    <t>ZUTARI (PTY) LTD</t>
  </si>
  <si>
    <t>Venter Landi</t>
  </si>
  <si>
    <t>tenders@zutari.com</t>
  </si>
  <si>
    <t>SSCM</t>
  </si>
  <si>
    <t>Vincent Korri SARR</t>
  </si>
  <si>
    <t>facturation@sscm.sn</t>
  </si>
  <si>
    <t>DGMS</t>
  </si>
  <si>
    <t>Doune MBENGUE</t>
  </si>
  <si>
    <t>dgmsparts@gmail.com</t>
  </si>
  <si>
    <t>MINE PETRO</t>
  </si>
  <si>
    <t>Seydina Ababacar Ndiaye</t>
  </si>
  <si>
    <t>seydina.ee@gmail.com</t>
  </si>
  <si>
    <t>AZURTECH SENEGAL</t>
  </si>
  <si>
    <t>MOUHAMADOU BECAYE BARRY</t>
  </si>
  <si>
    <t>barrybecaye@gmail.com</t>
  </si>
  <si>
    <t>CSP</t>
  </si>
  <si>
    <t>Abdourahim Athie</t>
  </si>
  <si>
    <t>abdourahimathie@gmail.com</t>
  </si>
  <si>
    <t xml:space="preserve">MDDEV EMERGE </t>
  </si>
  <si>
    <t>MADY CISSOKHO</t>
  </si>
  <si>
    <t>mady.cissokho1005@gmail.com</t>
  </si>
  <si>
    <t>AGMS</t>
  </si>
  <si>
    <t>Abdourahmane Diallo LO</t>
  </si>
  <si>
    <t>alokarim@gmail.com</t>
  </si>
  <si>
    <t>T3 PROJECTS SENEGAL SASU</t>
  </si>
  <si>
    <t>RACHI DOUM</t>
  </si>
  <si>
    <t>doumssheed@gmail.com</t>
  </si>
  <si>
    <t>HYDRASS CONSULTING</t>
  </si>
  <si>
    <t>MOUSSA DIOP</t>
  </si>
  <si>
    <t>hydrassconsulting@gmail.com</t>
  </si>
  <si>
    <t>GEKKO SYSTEMS</t>
  </si>
  <si>
    <t>Bell Tim</t>
  </si>
  <si>
    <t>gekkos@gekkos.com</t>
  </si>
  <si>
    <t>SEA ENGINEERING</t>
  </si>
  <si>
    <t>Mamadou DIOP</t>
  </si>
  <si>
    <t>mamadou.diop@seaengineering-ltd.com</t>
  </si>
  <si>
    <t>ZENITH</t>
  </si>
  <si>
    <t>Khadim Dia</t>
  </si>
  <si>
    <t>nbamba620@gmail.com</t>
  </si>
  <si>
    <t>MATSPACE TECHNOLOGY SUARL</t>
  </si>
  <si>
    <t>papa boure DIOUF</t>
  </si>
  <si>
    <t>papabourediouf74@gmail.com</t>
  </si>
  <si>
    <t>TFE SÉNÉGAL</t>
  </si>
  <si>
    <t>Louis SANTI</t>
  </si>
  <si>
    <t>louis.santi@grouptfe.com</t>
  </si>
  <si>
    <t>MDESS</t>
  </si>
  <si>
    <t>Samba Gueye</t>
  </si>
  <si>
    <t>mdess_sarl@yahoo.com</t>
  </si>
  <si>
    <t>CORAXIS SARL</t>
  </si>
  <si>
    <t>Ramatoulaye DIEDHIOU</t>
  </si>
  <si>
    <t>bijoudiedhiou@gmail.com</t>
  </si>
  <si>
    <t>CONNECTPLUS SENEGAL SARL</t>
  </si>
  <si>
    <t>ASTHOU MBAYE</t>
  </si>
  <si>
    <t>astthi2002@gmail.com</t>
  </si>
  <si>
    <t>POLYTECH ENTREPRISE SUARL</t>
  </si>
  <si>
    <t>MOR NDOYE</t>
  </si>
  <si>
    <t>polytech@polytechentreprise.sn</t>
  </si>
  <si>
    <t>ARES ARCHITECTURE ET INGÉNIERIE DU BÂTIMENT SUARL</t>
  </si>
  <si>
    <t>KAMA DANFAKHA</t>
  </si>
  <si>
    <t>ares_architecture@yahoo.fr</t>
  </si>
  <si>
    <t>ABDOU SECURITE</t>
  </si>
  <si>
    <t>Abdramane  ndiaye</t>
  </si>
  <si>
    <t>abdramanendiaye26@gmail.com</t>
  </si>
  <si>
    <t>KEUR MAME DABA AWA DIOP(MDAD)</t>
  </si>
  <si>
    <t>Beye Abdou</t>
  </si>
  <si>
    <t>mdaddiogo@gmail.com</t>
  </si>
  <si>
    <t>KIMS</t>
  </si>
  <si>
    <t>Mohamed Habib  Cissokho</t>
  </si>
  <si>
    <t>industrialminingservices.kims@gmail.com</t>
  </si>
  <si>
    <t xml:space="preserve">RASSOUL GLOBAL SERVICES SUARL </t>
  </si>
  <si>
    <t>PAPE THIERNO TOP</t>
  </si>
  <si>
    <t>contact@rassoulglobalservices.sn</t>
  </si>
  <si>
    <t>CARRIERE360 SARL</t>
  </si>
  <si>
    <t>Abdoul Aziz Ciss</t>
  </si>
  <si>
    <t>aciss@carriere360.com</t>
  </si>
  <si>
    <t>KALOM CONSTRUCTION ETUDE ET SUIVI</t>
  </si>
  <si>
    <t>YOUSSOUPHA NDIAYE</t>
  </si>
  <si>
    <t>kalomconstruction@gmail.com</t>
  </si>
  <si>
    <t>SUSTAIN AFRICA</t>
  </si>
  <si>
    <t>SALLA NDIAYE</t>
  </si>
  <si>
    <t>salla.ndiaye@sustainafrica.net</t>
  </si>
  <si>
    <t>C2K STAFFING S.A.R.L</t>
  </si>
  <si>
    <t xml:space="preserve">MAMADOU DOUDOU NDIAYE </t>
  </si>
  <si>
    <t>mamadou.ndiaye@c2kstaffing.com</t>
  </si>
  <si>
    <t>COMPTOIR COMMERCIAL KEUR SERIGNE SALIOU</t>
  </si>
  <si>
    <t>cckss.senegal@gmail.com</t>
  </si>
  <si>
    <t>THIAM TOLERIE ET PEINTURE</t>
  </si>
  <si>
    <t>BOUYA  THIAM</t>
  </si>
  <si>
    <t>bouyathiam97@gmail.com</t>
  </si>
  <si>
    <t>NAS</t>
  </si>
  <si>
    <t>Mady Dangnokho</t>
  </si>
  <si>
    <t>dangnokhomady816@gmail.com</t>
  </si>
  <si>
    <t xml:space="preserve">INSTRUMAINT SARL </t>
  </si>
  <si>
    <t>BAYE SECK</t>
  </si>
  <si>
    <t>baseck@instrumaint.org</t>
  </si>
  <si>
    <t>AFRICA ENGINEERING &amp; LOGISTICS SOLUTIONS</t>
  </si>
  <si>
    <t>Mamadou SENE</t>
  </si>
  <si>
    <t>mamadou.sene@africaels.com</t>
  </si>
  <si>
    <t>GREAT MINERALS RESOURCES - SARL</t>
  </si>
  <si>
    <t>Cheikh Babou</t>
  </si>
  <si>
    <t>cheikh.babou@greatmineralsresources.com</t>
  </si>
  <si>
    <t>ASSOCIATION TECHNIQUE ENERGIE ET ENVIRONNEMENT DU SÉNÉGAL A.T.E.E.S</t>
  </si>
  <si>
    <t>Youssouph DIEDHIOU</t>
  </si>
  <si>
    <t>youtend1212@gmail.com</t>
  </si>
  <si>
    <t>SEEE ENERGIES</t>
  </si>
  <si>
    <t>KHADY DIOP</t>
  </si>
  <si>
    <t>khady.diop@seee-energies.com</t>
  </si>
  <si>
    <t xml:space="preserve">NOVAGO SENEGAL </t>
  </si>
  <si>
    <t>Mohamed LY</t>
  </si>
  <si>
    <t>mohamed.ly@novago.africa</t>
  </si>
  <si>
    <t xml:space="preserve">GIE BEUGUE FALLOU SERVICES </t>
  </si>
  <si>
    <t>Fatou Touré</t>
  </si>
  <si>
    <t>giebeuguefallouservices@gmail.com</t>
  </si>
  <si>
    <t>AMA GROUP SERVICES (AGS)</t>
  </si>
  <si>
    <t>Eustache Nestor Badji</t>
  </si>
  <si>
    <t>nestor.badji@ags-sn.com</t>
  </si>
  <si>
    <t>EGB R-BADARACCHI</t>
  </si>
  <si>
    <t>Georges DIOUF</t>
  </si>
  <si>
    <t>contact@badaracchi.com</t>
  </si>
  <si>
    <t>TECHNIQUES INDUSTRIES</t>
  </si>
  <si>
    <t>MAMADOU MASSECK THIAM</t>
  </si>
  <si>
    <t>masseck.thiam@tind.sn</t>
  </si>
  <si>
    <t xml:space="preserve">PSYCHOLOGIES ET CONSEILS </t>
  </si>
  <si>
    <t xml:space="preserve">Thomas  Tine </t>
  </si>
  <si>
    <t>thomastine@psychologiesetconseils.com</t>
  </si>
  <si>
    <t>PST ENERGY</t>
  </si>
  <si>
    <t>Hady SOW</t>
  </si>
  <si>
    <t>direction@pstenergy.com</t>
  </si>
  <si>
    <t>SARAYA ALPHAYA QUINCAILLERIE GÉNÉRALE ASSALAM(SAQGA)</t>
  </si>
  <si>
    <t>Mamadou Alpha `Diallo</t>
  </si>
  <si>
    <t>phadioo87@gmail.com</t>
  </si>
  <si>
    <t>DALAFORCE</t>
  </si>
  <si>
    <t>Fatou kine Dia</t>
  </si>
  <si>
    <t>dala.force12@gmail.com</t>
  </si>
  <si>
    <t>ENTREPRISE ABDOULAYE KEBE (EAK)</t>
  </si>
  <si>
    <t>Babacar  Mbodj</t>
  </si>
  <si>
    <t>sakhocheikhou97@gmail.com</t>
  </si>
  <si>
    <t>SENSOG</t>
  </si>
  <si>
    <t>Fabrice DESGARDIN</t>
  </si>
  <si>
    <t>fdesgardin@soudotec.net</t>
  </si>
  <si>
    <t xml:space="preserve">SENENGINEERING INTERNATIONAL SA </t>
  </si>
  <si>
    <t xml:space="preserve">SENE Dr. Moustapha </t>
  </si>
  <si>
    <t>m-sene@sen-engineering.com</t>
  </si>
  <si>
    <t>WAKANO GROUP</t>
  </si>
  <si>
    <t>Fily Mady SOUMARE</t>
  </si>
  <si>
    <t>lyfidyma@gmail.com</t>
  </si>
  <si>
    <t>TELETRACK SOLUTIONS</t>
  </si>
  <si>
    <t>Bakary Sall</t>
  </si>
  <si>
    <t>bakarysall@teletracksolutions.com</t>
  </si>
  <si>
    <t xml:space="preserve">KAWSARA TECHNOLOGIE </t>
  </si>
  <si>
    <t>Ibrahima  Sow</t>
  </si>
  <si>
    <t>kawsaratechnologie@gmail.com</t>
  </si>
  <si>
    <t>KACYBER TECHNOLOGIES SARL</t>
  </si>
  <si>
    <t>MBENGUE Amsatou</t>
  </si>
  <si>
    <t>amsa@kacyber.com</t>
  </si>
  <si>
    <t>KULAX</t>
  </si>
  <si>
    <t>Pape Ibrahima  SAMBE</t>
  </si>
  <si>
    <t>kulaxcontact@gmail.com</t>
  </si>
  <si>
    <t>EQUIPEX</t>
  </si>
  <si>
    <t>Sadou Diallo</t>
  </si>
  <si>
    <t>diallo.lamine@equipex.sn</t>
  </si>
  <si>
    <t xml:space="preserve">HYBATP CO </t>
  </si>
  <si>
    <t>Mohamed SIDIBE</t>
  </si>
  <si>
    <t>mohamedsid88@hotmail.fr</t>
  </si>
  <si>
    <t>INTERFACE CAPITAL SARL</t>
  </si>
  <si>
    <t>Moussa TRAORE</t>
  </si>
  <si>
    <t>moussa.traore@bem.sn</t>
  </si>
  <si>
    <t>MBORO DIAMOU</t>
  </si>
  <si>
    <t>Gora Gueye</t>
  </si>
  <si>
    <t>mborodiamou@gmail.com</t>
  </si>
  <si>
    <t>LAWRIE SYSTEMS AND SOLUTIONS MAURITIUS</t>
  </si>
  <si>
    <t>Richard Lawrie</t>
  </si>
  <si>
    <t>mauritius@lawriesas.com</t>
  </si>
  <si>
    <t>NEXUS TP</t>
  </si>
  <si>
    <t>didier ROUSSELLE</t>
  </si>
  <si>
    <t>drousselle@nexus-groupe.com</t>
  </si>
  <si>
    <t>ENERGECO-AFRIQUE</t>
  </si>
  <si>
    <t xml:space="preserve">NIANG Libasse </t>
  </si>
  <si>
    <t>energeco@orange.sn</t>
  </si>
  <si>
    <t>PETROLUBE EQUIPMENTS PARTS TRADING AND SERVICES</t>
  </si>
  <si>
    <t>Oumar DIENG</t>
  </si>
  <si>
    <t>oumar@petrolubepts.com</t>
  </si>
  <si>
    <t>FN GROUP SUARL</t>
  </si>
  <si>
    <t>FALLIL NIANG</t>
  </si>
  <si>
    <t>f.niang@fngroup.sn</t>
  </si>
  <si>
    <t>ISTAMCO SA</t>
  </si>
  <si>
    <t>Ahmadou Diop</t>
  </si>
  <si>
    <t>forwarding@istamco.com</t>
  </si>
  <si>
    <t>OSMOSE GEOTEX</t>
  </si>
  <si>
    <t xml:space="preserve">Eliasse GANSORE </t>
  </si>
  <si>
    <t>osmosegeotexsarl@gmail.com</t>
  </si>
  <si>
    <t xml:space="preserve">UNIVERSAL PRESTATION SERVICE </t>
  </si>
  <si>
    <t xml:space="preserve">Makhtar Ndoumbe  Mbaye </t>
  </si>
  <si>
    <t>universalprestaservices@gmail.com</t>
  </si>
  <si>
    <t>ENTREPRISE ALPHA DIALLO</t>
  </si>
  <si>
    <t>Alpha DIALLO</t>
  </si>
  <si>
    <t>dalpha5200@gmail.com</t>
  </si>
  <si>
    <t>SOUTIEN INDUSTRIE SARL</t>
  </si>
  <si>
    <t>Ahmadou Khadim  Khoule</t>
  </si>
  <si>
    <t>sisarl@orange.sn</t>
  </si>
  <si>
    <t>PROSEN SARL</t>
  </si>
  <si>
    <t>cheikh sadibou ndiaye</t>
  </si>
  <si>
    <t>cheikh.ndiaye@prosen.sn</t>
  </si>
  <si>
    <t>KHADIM SOUDURE MONTAGE INDUSTRIELLE</t>
  </si>
  <si>
    <t>Khadim FALL</t>
  </si>
  <si>
    <t>ksmikhadim@gmail.com</t>
  </si>
  <si>
    <t>DAKAR INTÉRIM SÉCURITÉ S.A.</t>
  </si>
  <si>
    <t>Erick DERAMBURE</t>
  </si>
  <si>
    <t>de.erick99@gmail.com</t>
  </si>
  <si>
    <t xml:space="preserve">AFRIQUE DES MERVEILLES </t>
  </si>
  <si>
    <t xml:space="preserve">Doro  NIANG </t>
  </si>
  <si>
    <t>montsnimbasenegal@gmail.com</t>
  </si>
  <si>
    <t>MSC ETUDES</t>
  </si>
  <si>
    <t>DAME KANE</t>
  </si>
  <si>
    <t>kanedame2277@gmail.com</t>
  </si>
  <si>
    <t>CODIPRES SARL</t>
  </si>
  <si>
    <t>PAPA YORO DIALLO</t>
  </si>
  <si>
    <t>codipres@yahoo.fr</t>
  </si>
  <si>
    <t>CARREFOUR</t>
  </si>
  <si>
    <t>Chérif DIOP</t>
  </si>
  <si>
    <t>carrefourcd@gmail.com</t>
  </si>
  <si>
    <t>ALLIANCE AUTO GROUP (AAG)</t>
  </si>
  <si>
    <t>Ousmane BA</t>
  </si>
  <si>
    <t>ousmane.ba@aag.sn</t>
  </si>
  <si>
    <t>HALADJIAN SENEGAL SUARL</t>
  </si>
  <si>
    <t>Thierry Favre</t>
  </si>
  <si>
    <t>jsuaud@haladjian.com</t>
  </si>
  <si>
    <t>MENDEZ TUYAUTERIE ET FORAGES SUARL</t>
  </si>
  <si>
    <t>LAURA MENDEZ</t>
  </si>
  <si>
    <t>tuyauterie.et.foragesmendez@gmail.com</t>
  </si>
  <si>
    <t>SWAMI MINES SA</t>
  </si>
  <si>
    <t>DJIBRIL BOYE</t>
  </si>
  <si>
    <t>djibril.boye@senegindia.com</t>
  </si>
  <si>
    <t>DISTRIBUTION TECH PRO</t>
  </si>
  <si>
    <t xml:space="preserve">Oumar  Ba </t>
  </si>
  <si>
    <t>distributiontechpro4@gmail.com</t>
  </si>
  <si>
    <t>SOCABEG MINING SA</t>
  </si>
  <si>
    <t>ROKHAYA DIOP</t>
  </si>
  <si>
    <t>rdiop@socabeg.sn</t>
  </si>
  <si>
    <t>BABAT</t>
  </si>
  <si>
    <t>SAMBA NDIAYE</t>
  </si>
  <si>
    <t>beyty11@gmail.com</t>
  </si>
  <si>
    <t>OPUS BUYER</t>
  </si>
  <si>
    <t>Penda Gaye</t>
  </si>
  <si>
    <t>penda.gaye@opusbuyer.com</t>
  </si>
  <si>
    <t>DANFAKHA ET FRERE</t>
  </si>
  <si>
    <t>Mady DANFAKHA</t>
  </si>
  <si>
    <t>danfakhakabamady@gmail.com</t>
  </si>
  <si>
    <t>SAREDICA</t>
  </si>
  <si>
    <t>BRA MBAYE</t>
  </si>
  <si>
    <t>saredica@saredica.com</t>
  </si>
  <si>
    <t>OTTO BI SARL</t>
  </si>
  <si>
    <t>Djeri Celin NGABERE</t>
  </si>
  <si>
    <t>gerant@otto-bi.com</t>
  </si>
  <si>
    <t>DR  SETT SAS</t>
  </si>
  <si>
    <t>Ille Nelson SIBI</t>
  </si>
  <si>
    <t>ille.sibi@docteursett.com</t>
  </si>
  <si>
    <t>AC GROUP</t>
  </si>
  <si>
    <t>Samba Ndiobène KA</t>
  </si>
  <si>
    <t>pdg_acg@acgroup.sn</t>
  </si>
  <si>
    <t>TECHSPARES SENEGAL SAS</t>
  </si>
  <si>
    <t>Malick SARR</t>
  </si>
  <si>
    <t>malick.sarr@techspares.fr</t>
  </si>
  <si>
    <t>AFRICA CARGO CENTRAL - ACC SARL</t>
  </si>
  <si>
    <t>LOGISTICS ACC</t>
  </si>
  <si>
    <t>p.niang@acc-logistics.net</t>
  </si>
  <si>
    <t>CORICA MINING SERVICES SARL</t>
  </si>
  <si>
    <t>Abdoulaye DIALLO</t>
  </si>
  <si>
    <t>abdoulaye.diallo@corica.com</t>
  </si>
  <si>
    <t>GLOBAL PHYSIO</t>
  </si>
  <si>
    <t>Omar Diouf</t>
  </si>
  <si>
    <t>globalphysio221@gmail.com</t>
  </si>
  <si>
    <t xml:space="preserve">ABITA SENEGAL </t>
  </si>
  <si>
    <t>Bara Nguirane</t>
  </si>
  <si>
    <t>nguirane@gmail.com</t>
  </si>
  <si>
    <t>SENDRILL ROCK TOOLS</t>
  </si>
  <si>
    <t>Sadek Tarraf</t>
  </si>
  <si>
    <t>info@sendrillrocktools.com</t>
  </si>
  <si>
    <t>GIE FASSO BARA</t>
  </si>
  <si>
    <t>Abdou mamadou diarra ndiaye</t>
  </si>
  <si>
    <t>sokoyoabdou@gmail.com</t>
  </si>
  <si>
    <t>CENTRE D'AFFAIRES MEDICALES AFRIQUE / CAMA</t>
  </si>
  <si>
    <t xml:space="preserve">Mamadou Fadel  Mbaye </t>
  </si>
  <si>
    <t>camamatmed@gmail.com</t>
  </si>
  <si>
    <t xml:space="preserve">CACTUS MINING SUPPLY SENEGAL </t>
  </si>
  <si>
    <t>Abdoulaye Déguessi MAKANGUILE</t>
  </si>
  <si>
    <t>amakanguile@cactusmining.com</t>
  </si>
  <si>
    <t xml:space="preserve">SERVICE DE FROID INDUSTRIEL ET COMMERCIAL </t>
  </si>
  <si>
    <t>Jonas Kangny</t>
  </si>
  <si>
    <t>jonaskangny@gmail.com</t>
  </si>
  <si>
    <t>EC2MI</t>
  </si>
  <si>
    <t>Paul Marie Jacques Daniel NGOM</t>
  </si>
  <si>
    <t>paulngom48@gmail.com</t>
  </si>
  <si>
    <t>SERVICES PRO</t>
  </si>
  <si>
    <t>papa Laye Sene</t>
  </si>
  <si>
    <t>abdoulayeseresene@gmail.com</t>
  </si>
  <si>
    <t>RTDK</t>
  </si>
  <si>
    <t>Sambe Mbaye</t>
  </si>
  <si>
    <t>rtdkstructure@gmail.com</t>
  </si>
  <si>
    <t>OTEW OFFICE TECHNOLOGY WORLD</t>
  </si>
  <si>
    <t>AISSATOU DIOP</t>
  </si>
  <si>
    <t>otew@otew.sn</t>
  </si>
  <si>
    <t>HYDRO INDUSTRIES INTERNATIONAL ( H2I)</t>
  </si>
  <si>
    <t>SOCE FAYE</t>
  </si>
  <si>
    <t>soce@hydro-industrie.com</t>
  </si>
  <si>
    <t xml:space="preserve">GEO PARTNERS CONSULTING </t>
  </si>
  <si>
    <t>Mame Bousso  Fall</t>
  </si>
  <si>
    <t>falldiara@hotmail.com</t>
  </si>
  <si>
    <t>E.R.T.E.X</t>
  </si>
  <si>
    <t>Diop Abdoulaye</t>
  </si>
  <si>
    <t>abdou.diop@ertex.sn</t>
  </si>
  <si>
    <t>ODIM SARL</t>
  </si>
  <si>
    <t>Abdoulaye Ba</t>
  </si>
  <si>
    <t>odim.senegal@gmail.com</t>
  </si>
  <si>
    <t>GROUPE CF-ID HR PARTNER</t>
  </si>
  <si>
    <t>Patrick MAILLET</t>
  </si>
  <si>
    <t>patrick.maillet@groupe-cfid.com</t>
  </si>
  <si>
    <t>EFOR</t>
  </si>
  <si>
    <t>MAIMOUNA GUEYE MBAYE</t>
  </si>
  <si>
    <t>efor.commercial@efor.sn</t>
  </si>
  <si>
    <t>ENEC</t>
  </si>
  <si>
    <t>Papa Madiop NDIAYE</t>
  </si>
  <si>
    <t>enec.entreprise@gmail.com</t>
  </si>
  <si>
    <t>BAYE CONNECT</t>
  </si>
  <si>
    <t>Amadou SOW</t>
  </si>
  <si>
    <t>amadou@bayeconnect.com</t>
  </si>
  <si>
    <t>ENTREPRISE GENERALE DE MECANIQUE CHAUDRONNERIE ET DE SABLAGE</t>
  </si>
  <si>
    <t>DIENG IBRA</t>
  </si>
  <si>
    <t>dibra3317@gmail.com</t>
  </si>
  <si>
    <t>ME ELECMETAL SOUTH AFRICA (PTY) LTD</t>
  </si>
  <si>
    <t>ELEMETAL ME</t>
  </si>
  <si>
    <t>debtors@primaindustrial.co</t>
  </si>
  <si>
    <t>IBA TECHNOLOGIE</t>
  </si>
  <si>
    <t>Ibrahima BA</t>
  </si>
  <si>
    <t>ibatechnologie@gmail.com</t>
  </si>
  <si>
    <t>EAU CLAIRE SENEGAL SARL</t>
  </si>
  <si>
    <t>Ousmane Diallo</t>
  </si>
  <si>
    <t>eauclairesenegal@gmail.com</t>
  </si>
  <si>
    <t>EIFFAGE SENEGAL SAS</t>
  </si>
  <si>
    <t>Dame Ndiaye SENE</t>
  </si>
  <si>
    <t>dame.sene@eiffage.com</t>
  </si>
  <si>
    <t>STEL/BTP</t>
  </si>
  <si>
    <t>Laity DIOUF</t>
  </si>
  <si>
    <t>sdf.laity@gmail.com</t>
  </si>
  <si>
    <t>LOMBOL SERVICES SARL</t>
  </si>
  <si>
    <t xml:space="preserve">Danfakha Tamba </t>
  </si>
  <si>
    <t>tdanfakha09@gmail.com</t>
  </si>
  <si>
    <t>ECKO</t>
  </si>
  <si>
    <t>Laissa Diallo Ndiaye</t>
  </si>
  <si>
    <t>ecko@ecko.sn</t>
  </si>
  <si>
    <t>BATINOV SARL</t>
  </si>
  <si>
    <t>administration@batinov.sn</t>
  </si>
  <si>
    <t>EMPOWERSEN</t>
  </si>
  <si>
    <t>Oumar Toguyeni</t>
  </si>
  <si>
    <t>otoguyeni@outlook.com</t>
  </si>
  <si>
    <t>DIGITAL ELECTRONIC</t>
  </si>
  <si>
    <t>Pierre DIONE</t>
  </si>
  <si>
    <t>pierre.dione@digitalelectronicsn.com</t>
  </si>
  <si>
    <t>SEN LEVAGE SUARL</t>
  </si>
  <si>
    <t>Mamadou DIA</t>
  </si>
  <si>
    <t>senlevage@gmail.com</t>
  </si>
  <si>
    <t>BAMBUK MINERALS SÉNÉGAL</t>
  </si>
  <si>
    <t>Hamidou Oumar SOW</t>
  </si>
  <si>
    <t>hamidou.sow@petowal.com</t>
  </si>
  <si>
    <t>SAHE SARL</t>
  </si>
  <si>
    <t>Amadou  DIALLO</t>
  </si>
  <si>
    <t>amadou.diallo@sahe.sn</t>
  </si>
  <si>
    <t>RENTALL</t>
  </si>
  <si>
    <t>Diop Mamadou</t>
  </si>
  <si>
    <t>servicecommercial@rentall-sn.com</t>
  </si>
  <si>
    <t xml:space="preserve">ERGONE SERVICES </t>
  </si>
  <si>
    <t>Massamba Diouf</t>
  </si>
  <si>
    <t>massdioufpro@gmail.com</t>
  </si>
  <si>
    <t>BOURGI TRANSPORT LOGISTIQUE</t>
  </si>
  <si>
    <t>Issa Bourgi</t>
  </si>
  <si>
    <t>bourgiissa@gmail.com</t>
  </si>
  <si>
    <t>SAER EMPLOI MINES SENEGAL</t>
  </si>
  <si>
    <t>Khary baba  FALL</t>
  </si>
  <si>
    <t>kharyb.fall@saer-emploi.com</t>
  </si>
  <si>
    <t>FORACO SENEGAL</t>
  </si>
  <si>
    <t>ARNAUD PEY</t>
  </si>
  <si>
    <t>pey@foraco.com</t>
  </si>
  <si>
    <t>ERATHOT</t>
  </si>
  <si>
    <t>Youssouf ADAMOU HAROUNA</t>
  </si>
  <si>
    <t>y.harouna@erathot.com</t>
  </si>
  <si>
    <t xml:space="preserve">SOUMARE TRANSPORT IMMOBILIER </t>
  </si>
  <si>
    <t xml:space="preserve">Mady Soumare </t>
  </si>
  <si>
    <t>soumaretransportimmobilier@gmail.com</t>
  </si>
  <si>
    <t>GIE LENDENG</t>
  </si>
  <si>
    <t>Cheikh Abdoul Khadre Diakhaté</t>
  </si>
  <si>
    <t>khadre67@yahoo.fr</t>
  </si>
  <si>
    <t>BCM GROUP SENEGAL</t>
  </si>
  <si>
    <t>Laurent Gaba</t>
  </si>
  <si>
    <t>gabalaurent@gmail.com</t>
  </si>
  <si>
    <t>KAMAF TRANSPORTS SUARL</t>
  </si>
  <si>
    <t>Karim  Fall</t>
  </si>
  <si>
    <t>kamaftransports@gmail.com</t>
  </si>
  <si>
    <t>GIE CONSTRUCTION METALLIQUE ET TECHNILOGIE</t>
  </si>
  <si>
    <t xml:space="preserve">PAPE ABLAYE ALWANE  KHOUSSA </t>
  </si>
  <si>
    <t>giecomet@gmail.com</t>
  </si>
  <si>
    <t>EQUILOG SN</t>
  </si>
  <si>
    <t>Victor Louis DIOP DIOP</t>
  </si>
  <si>
    <t>victor.diop@equilogsn.com</t>
  </si>
  <si>
    <t>SITMEL SARL</t>
  </si>
  <si>
    <t>Saliou Wade</t>
  </si>
  <si>
    <t>infos@sitmel.com</t>
  </si>
  <si>
    <t>L3S</t>
  </si>
  <si>
    <t>Abdoulaye Thiam</t>
  </si>
  <si>
    <t>thiamabdoulaye1000@gmail.com</t>
  </si>
  <si>
    <t>FRANCE AGRO INDUSTRIES</t>
  </si>
  <si>
    <t>MATTHIEU BISCAINO</t>
  </si>
  <si>
    <t>mb@fai.fr</t>
  </si>
  <si>
    <t>RIO CONSTRUCTION</t>
  </si>
  <si>
    <t>WANE Momar GAYE</t>
  </si>
  <si>
    <t>rioconstruction2025@gmail.com</t>
  </si>
  <si>
    <t>BIRIMA GOLD RESOURCES</t>
  </si>
  <si>
    <t>Serigne Dieng</t>
  </si>
  <si>
    <t>cordiordieng@hotmail.com</t>
  </si>
  <si>
    <t>CBI</t>
  </si>
  <si>
    <t>sada dia</t>
  </si>
  <si>
    <t>sada.dia@cbi.sn</t>
  </si>
  <si>
    <t>LES CIMENTS DE L'AFRIQUE S.A</t>
  </si>
  <si>
    <t>Ndeye Ndoumbe COULIBALY</t>
  </si>
  <si>
    <t>ndndoumb@gmail.com</t>
  </si>
  <si>
    <t>MINTECH SARL</t>
  </si>
  <si>
    <t>Khady GUEYE</t>
  </si>
  <si>
    <t>khady.gueye@mining-technologie.com</t>
  </si>
  <si>
    <t>GLOBAL ENERGY SERVICES</t>
  </si>
  <si>
    <t>Tony CISSE</t>
  </si>
  <si>
    <t>info@ges-company.com</t>
  </si>
  <si>
    <t>GARAGE  SALIKHOU</t>
  </si>
  <si>
    <t>Salikhou  SAMBE</t>
  </si>
  <si>
    <t>zal66@yahoo.fr</t>
  </si>
  <si>
    <t>MANUTENTION SERVICES SÉNÉGAL</t>
  </si>
  <si>
    <t>alex beda</t>
  </si>
  <si>
    <t>juridique@manutentionservices.com</t>
  </si>
  <si>
    <t>BA CONSULTANCE SARL</t>
  </si>
  <si>
    <t>Papa Gora BA</t>
  </si>
  <si>
    <t>papa-gora.ba@baconsultance.com</t>
  </si>
  <si>
    <t>TDK WAKEUR SERIGNE SALIOU</t>
  </si>
  <si>
    <t>BASSIROU DIOP</t>
  </si>
  <si>
    <t>toubadaroukhoudosswst@gmail.com</t>
  </si>
  <si>
    <t>GEDIMEX SA</t>
  </si>
  <si>
    <t>MAMADOU NDAO</t>
  </si>
  <si>
    <t>gedimex@orange.sn</t>
  </si>
  <si>
    <t>DIDI'S GARDEN SARL</t>
  </si>
  <si>
    <t>NDÈYE KHADY SY</t>
  </si>
  <si>
    <t>didi.mb74@gmail.com</t>
  </si>
  <si>
    <t>BEABA</t>
  </si>
  <si>
    <t>Bineta SENE</t>
  </si>
  <si>
    <t>info@beablondin-agency.com</t>
  </si>
  <si>
    <t>MINING LOGISTICS &amp; SUPPLIES</t>
  </si>
  <si>
    <t>MARIEME AMITH FALL</t>
  </si>
  <si>
    <t>amith.fall@milos-group.com</t>
  </si>
  <si>
    <t>T3 PROJECTS PTY LTD</t>
  </si>
  <si>
    <t>RACHID DOUMBOUYA</t>
  </si>
  <si>
    <t>abdou.rasheed@yahoo.com</t>
  </si>
  <si>
    <t>SYNERGIE ENVIRONNEMENT</t>
  </si>
  <si>
    <t>Amath Dior Mbaye</t>
  </si>
  <si>
    <t>amathdiormbaye@gmail.com</t>
  </si>
  <si>
    <t xml:space="preserve">DIMEXCO SENEGAL </t>
  </si>
  <si>
    <t>Guillaume t'Serstevens</t>
  </si>
  <si>
    <t>gmc@dimexco.be</t>
  </si>
  <si>
    <t>MSN TRAV EQUIP PRESTA</t>
  </si>
  <si>
    <t>Moussa Sall NDIAYE</t>
  </si>
  <si>
    <t>msntravequipresta@gmail.com</t>
  </si>
  <si>
    <t>SAHEL SECURITY SARL</t>
  </si>
  <si>
    <t>Assane FAYE</t>
  </si>
  <si>
    <t>sahel@sahelsecurity.com</t>
  </si>
  <si>
    <t>WESTERN ALLIANCE SN</t>
  </si>
  <si>
    <t>Soudatou Sow</t>
  </si>
  <si>
    <t>soudatou@gmail.com</t>
  </si>
  <si>
    <t>SENTEK</t>
  </si>
  <si>
    <t>MOHAMADOU MBAYE</t>
  </si>
  <si>
    <t>mlmbaye@sentekservices.com</t>
  </si>
  <si>
    <t>AUTOMECA SENEGAL</t>
  </si>
  <si>
    <t>MOHAMED JARKAS</t>
  </si>
  <si>
    <t>direction@automeca.sn</t>
  </si>
  <si>
    <t>DIEYLANI AER SASU</t>
  </si>
  <si>
    <t>Abdou Khadre DIOP</t>
  </si>
  <si>
    <t>abdou.diop@dieylani.com</t>
  </si>
  <si>
    <t>GIE BENNO LIGEY</t>
  </si>
  <si>
    <t>Mbacke Seck</t>
  </si>
  <si>
    <t>seckmbacke507@gmail.com</t>
  </si>
  <si>
    <t xml:space="preserve">SACOTEN-SN SUARL </t>
  </si>
  <si>
    <t>Amadou Wilfried Hashime SANON</t>
  </si>
  <si>
    <t>swilfried@sacoten.com</t>
  </si>
  <si>
    <t xml:space="preserve">TALIXMAN </t>
  </si>
  <si>
    <t>Assane Sy</t>
  </si>
  <si>
    <t>assane.sy@talixmangroup.com</t>
  </si>
  <si>
    <t>RIT ( RUFISQUE TECHNOLOGIE INDUSTRIES)</t>
  </si>
  <si>
    <t>ELHADJI MAYORO SAWARE</t>
  </si>
  <si>
    <t>elhadjimayorosaware@gmail.com</t>
  </si>
  <si>
    <t>CPEXELITGROUP</t>
  </si>
  <si>
    <t>Cpex ElitGroup</t>
  </si>
  <si>
    <t>ndeye.dieumbe@cpex-mining.com</t>
  </si>
  <si>
    <t>SONATEL</t>
  </si>
  <si>
    <t>Aminata KOUNTA</t>
  </si>
  <si>
    <t>aminata.kounta@orange-sonatel.com</t>
  </si>
  <si>
    <t>H.E.C.T SARL</t>
  </si>
  <si>
    <t>Alioune Sene</t>
  </si>
  <si>
    <t>contact@heavycranetrucks.com</t>
  </si>
  <si>
    <t>SAHEL GAZ</t>
  </si>
  <si>
    <t>AHMADOU BAMBA SENE</t>
  </si>
  <si>
    <t>diarra.bs.diop@sahelgaz.com</t>
  </si>
  <si>
    <t xml:space="preserve">AXINEO CONSTRUCTION </t>
  </si>
  <si>
    <t>Elhadji yelly  MARIKO</t>
  </si>
  <si>
    <t>axineo.construction@gmail.com</t>
  </si>
  <si>
    <t>CSE IMMOBILIER</t>
  </si>
  <si>
    <t>Mamadou GAYE</t>
  </si>
  <si>
    <t>mgaye@groupecse.com</t>
  </si>
  <si>
    <t>SAMORI PROTECTION PRIVEE</t>
  </si>
  <si>
    <t>Jean-Baptitste Ciss</t>
  </si>
  <si>
    <t>samoriprotectionprivee@gmail.com</t>
  </si>
  <si>
    <t>SCIS SARL</t>
  </si>
  <si>
    <t>Abdoulaye DIOP</t>
  </si>
  <si>
    <t>abdoulaye.diop@scis-sn.com</t>
  </si>
  <si>
    <t>ETS MALEYE SARL</t>
  </si>
  <si>
    <t>NDEYE FAMA DIONGUE</t>
  </si>
  <si>
    <t>ets_maleye@yahoo.fr</t>
  </si>
  <si>
    <t>CASSIS EQUIPEMENTS</t>
  </si>
  <si>
    <t>Gabriella Rafidy</t>
  </si>
  <si>
    <t>joumana.yahya@cassisequipements.com</t>
  </si>
  <si>
    <t>GLOBAL AFRICINVEST</t>
  </si>
  <si>
    <t>LAMINE DIEDHIOU</t>
  </si>
  <si>
    <t>lamine.globalai@gmail.com</t>
  </si>
  <si>
    <t>HIGH TECHNOLOGY AFRICA</t>
  </si>
  <si>
    <t>Saer DIOP</t>
  </si>
  <si>
    <t>saerdiop75@gmail.com</t>
  </si>
  <si>
    <t>DMH GEO SENEGAL</t>
  </si>
  <si>
    <t>Papa Sana Camara</t>
  </si>
  <si>
    <t>papasanacamara@gmail.com</t>
  </si>
  <si>
    <t>SEMBOUYA AGRO BUSINESS(SAB)</t>
  </si>
  <si>
    <t>Bangaly Danfakha</t>
  </si>
  <si>
    <t>bangalydanfakha2015@gmail.com</t>
  </si>
  <si>
    <t xml:space="preserve">MARINE PROCUREMENT SERVICES </t>
  </si>
  <si>
    <t>Hane Maki</t>
  </si>
  <si>
    <t>maki@mpssn.com</t>
  </si>
  <si>
    <t>SAMA HOTELS</t>
  </si>
  <si>
    <t>Awa BADIANE</t>
  </si>
  <si>
    <t>abadiane@samahotels.com</t>
  </si>
  <si>
    <t>ENTREPRISE ALBARKA</t>
  </si>
  <si>
    <t>AWA SEYE</t>
  </si>
  <si>
    <t>seyeawa662@gmail.com</t>
  </si>
  <si>
    <t>BIA DAKAR</t>
  </si>
  <si>
    <t>GOMIS ISABELLE</t>
  </si>
  <si>
    <t>biadakar.cl@biagroup.com</t>
  </si>
  <si>
    <t>MAKABINGUI GOLD COPORATION</t>
  </si>
  <si>
    <t>Papa Ndongo SOW</t>
  </si>
  <si>
    <t>papans@mgosn.com</t>
  </si>
  <si>
    <t>CCBM INDUSTRIES AUTOMOBILES</t>
  </si>
  <si>
    <t>Ditoma ALETA</t>
  </si>
  <si>
    <t>ditoma.aleta@ccbm.sn</t>
  </si>
  <si>
    <t>STEP'IN SARL</t>
  </si>
  <si>
    <t>Abdourahmane Tall</t>
  </si>
  <si>
    <t>abdourahmane.tall@stepin-africa.com</t>
  </si>
  <si>
    <t>BILAL OIL</t>
  </si>
  <si>
    <t>ADAMA GUEYE</t>
  </si>
  <si>
    <t>bilaloil@bilaloil.com</t>
  </si>
  <si>
    <t>SENEGAL CATERING ET SERVICES SARL</t>
  </si>
  <si>
    <t>SEYDOU SALL</t>
  </si>
  <si>
    <t>scs84kedougou@gmail.com</t>
  </si>
  <si>
    <t>ETS YOLLI SOPE NABY</t>
  </si>
  <si>
    <t>SOULEYMANE KANE</t>
  </si>
  <si>
    <t>epicerie1001merveilles@gmail.com</t>
  </si>
  <si>
    <t>SE2I SAS</t>
  </si>
  <si>
    <t>Mamadou Djiby SALL</t>
  </si>
  <si>
    <t>djiby.sall@se2i.com</t>
  </si>
  <si>
    <t>ENIKON SENEGAL SARL</t>
  </si>
  <si>
    <t>PASCAL DIATTA</t>
  </si>
  <si>
    <t>pascalambou@gmail.com</t>
  </si>
  <si>
    <t xml:space="preserve">GALAXIE SERVICES ENGINEERING </t>
  </si>
  <si>
    <t xml:space="preserve">Papa El Hadji Malick  NDIAYE </t>
  </si>
  <si>
    <t>papamalickndiaye033@gmail.com</t>
  </si>
  <si>
    <t>GROUPE BACA</t>
  </si>
  <si>
    <t>Bacary DIATTA</t>
  </si>
  <si>
    <t>groupebacagb@gmail.com</t>
  </si>
  <si>
    <t>MERCURE TRADING SERVICES</t>
  </si>
  <si>
    <t>Mélanie Akono</t>
  </si>
  <si>
    <t>m.akono@mercure-cab.com</t>
  </si>
  <si>
    <t>TOPWELDING STRUCTURES</t>
  </si>
  <si>
    <t>SEKHOU TRAORE</t>
  </si>
  <si>
    <t>info@topweldingstructures.com</t>
  </si>
  <si>
    <t>TOUBA INTERNATIONAL DEALINGS</t>
  </si>
  <si>
    <t>bachir mbacke</t>
  </si>
  <si>
    <t>toubaidsarl@gmail.com</t>
  </si>
  <si>
    <t>OXY SEN</t>
  </si>
  <si>
    <t>ZAIAT Saleh</t>
  </si>
  <si>
    <t>oxysen@oxysen.sn</t>
  </si>
  <si>
    <t>SEN MAP DRONE</t>
  </si>
  <si>
    <t>Papa Demba DIEYE</t>
  </si>
  <si>
    <t>dembadieye18@gmail.com</t>
  </si>
  <si>
    <t>DPM CONSULTING</t>
  </si>
  <si>
    <t>Ndeye Thioumboulaye NDIAYE</t>
  </si>
  <si>
    <t>al.ba@dpm-sn.com</t>
  </si>
  <si>
    <t>CODEX SA</t>
  </si>
  <si>
    <t>Fatou Kine SARR</t>
  </si>
  <si>
    <t>fatou.sarr@codexepc.net</t>
  </si>
  <si>
    <t>WISE</t>
  </si>
  <si>
    <t>Didi Diouf</t>
  </si>
  <si>
    <t>didi.diouf@wise-group.tech</t>
  </si>
  <si>
    <t>JURIFISC &amp; SERVICES CONSULTING SARL</t>
  </si>
  <si>
    <t>Demba Sény Diallo</t>
  </si>
  <si>
    <t>diallodembaseny@gmail.com</t>
  </si>
  <si>
    <t>Cheikh Sadibou Ndiaye</t>
  </si>
  <si>
    <t>contact@prosen.sn</t>
  </si>
  <si>
    <t>TOP STRUCTURES</t>
  </si>
  <si>
    <t>Birame  TOP</t>
  </si>
  <si>
    <t>info@topstructures.de</t>
  </si>
  <si>
    <t>AFRICA POWER SERVICES</t>
  </si>
  <si>
    <t>Anne laure Bertinotti</t>
  </si>
  <si>
    <t>legal@africapowerservices.com</t>
  </si>
  <si>
    <t>KAYNANN SUARL</t>
  </si>
  <si>
    <t>Axel Hermann Foutou MBOKO</t>
  </si>
  <si>
    <t>amboko@kaynann.com</t>
  </si>
  <si>
    <t>AM-CO CONSULTING &amp; SERVICES</t>
  </si>
  <si>
    <t>AMINATA BA</t>
  </si>
  <si>
    <t>aminata.ba@amcoconsultingservices.com</t>
  </si>
  <si>
    <t>FAYMA-ALPAM</t>
  </si>
  <si>
    <t>FATOU BINETOU  DIOP</t>
  </si>
  <si>
    <t>alpam@faymaalpam.com</t>
  </si>
  <si>
    <t>GIE MAKOTEAM MULTISERVICES</t>
  </si>
  <si>
    <t>SEYDOU DIALLO</t>
  </si>
  <si>
    <t>makoteamm@gmail.com</t>
  </si>
  <si>
    <t>YAM INDUSTRIE</t>
  </si>
  <si>
    <t>DIOUF ABDOU</t>
  </si>
  <si>
    <t>yamabdou67@gmail.com</t>
  </si>
  <si>
    <t xml:space="preserve">TECHNICAL CONSTRUCTION </t>
  </si>
  <si>
    <t xml:space="preserve">El hadji omar  Ndiaye </t>
  </si>
  <si>
    <t>lieutenanomar@gmail.com</t>
  </si>
  <si>
    <t>DERGANE SARL</t>
  </si>
  <si>
    <t>Modou Diome FAYE</t>
  </si>
  <si>
    <t>mdfaye@dergane.com</t>
  </si>
  <si>
    <t>AURELIEN SERTELET</t>
  </si>
  <si>
    <t>AURELIEN SERTELET SESTI</t>
  </si>
  <si>
    <t>sesti@sesti.fr</t>
  </si>
  <si>
    <t>AMBB TECHNOLOGIES SARL</t>
  </si>
  <si>
    <t>Babacar Ba</t>
  </si>
  <si>
    <t>babacar.ba@ambbtechnologies.com</t>
  </si>
  <si>
    <t>RACONNEX</t>
  </si>
  <si>
    <t>elhadji malick gueye</t>
  </si>
  <si>
    <t>raconnexmultiservices@gmail.com</t>
  </si>
  <si>
    <t>SEEE SENEGAL SA</t>
  </si>
  <si>
    <t>Pap Ismaél NDAO</t>
  </si>
  <si>
    <t>seee.senegal@gmail.com</t>
  </si>
  <si>
    <t>DELUXE ENGINEERING COMPANY GROUP SUARL</t>
  </si>
  <si>
    <t>Abdou NDIAYE</t>
  </si>
  <si>
    <t>abdou@deluxegroupe.com</t>
  </si>
  <si>
    <t xml:space="preserve">SABODALA BTP SERVICES SBTPS </t>
  </si>
  <si>
    <t xml:space="preserve">Mamadou Coulibaly </t>
  </si>
  <si>
    <t>sabodolabtpservicessbtps@gmail.com</t>
  </si>
  <si>
    <t>CTD CONSTRUCTIONS ET DESIGN SUARL</t>
  </si>
  <si>
    <t>Cheikh DIA</t>
  </si>
  <si>
    <t>constructionsetdesign@outlook.com</t>
  </si>
  <si>
    <t>SET SARL</t>
  </si>
  <si>
    <t>Awa NDOYE</t>
  </si>
  <si>
    <t>awa.ndoye@setinterim.com</t>
  </si>
  <si>
    <t>INTERNATIONAL OCCUPATIONAL SAFETY &amp; HEALTH OFFICE</t>
  </si>
  <si>
    <t>OUMOU KALSOUM SECK</t>
  </si>
  <si>
    <t>oumou.kalsoum@iosho.sn</t>
  </si>
  <si>
    <t>EMF CONSULTING</t>
  </si>
  <si>
    <t>emf-groupe@emf-groupe.com</t>
  </si>
  <si>
    <t>SAADIX GROUPE</t>
  </si>
  <si>
    <t>Cheikh ahmadou bamba Diaw</t>
  </si>
  <si>
    <t>cheikhbamba87@gmail.com</t>
  </si>
  <si>
    <t>TRAORE ET COMPAGNIE SARL</t>
  </si>
  <si>
    <t>TRAORE Baba</t>
  </si>
  <si>
    <t>tratraco20@gmail.com</t>
  </si>
  <si>
    <t>ITTE CONSULTING SARL</t>
  </si>
  <si>
    <t>Thiané DIOP</t>
  </si>
  <si>
    <t>thiane.diop@itteconsulting.com</t>
  </si>
  <si>
    <t>GEOLOGICAL &amp; MINING EQUIPEMENTS</t>
  </si>
  <si>
    <t>AMADOU DIOULDE  BARRY</t>
  </si>
  <si>
    <t>amadoudiouldebarry47@yahoo.fr</t>
  </si>
  <si>
    <t>COMPAGNIE SENEGALAISE DE TRAVAUX ET D'INTERVENTION SUARL</t>
  </si>
  <si>
    <t>SAMBA ABDOULAYE SARR</t>
  </si>
  <si>
    <t>abdoulayesarr64@gmail.com</t>
  </si>
  <si>
    <t>E.C.T.I</t>
  </si>
  <si>
    <t xml:space="preserve">Moussa  Sambou </t>
  </si>
  <si>
    <t>m.sambou.ecti@gmail.com</t>
  </si>
  <si>
    <t xml:space="preserve">URGENCES ET SOLUTIONS MEDICALES </t>
  </si>
  <si>
    <t xml:space="preserve">ELHADJI MALICK NIANG </t>
  </si>
  <si>
    <t>niang.malick@urgsolutionsmed.sn</t>
  </si>
  <si>
    <t>SPIE GLOBAL SERVICES ENERGY SENEGAL</t>
  </si>
  <si>
    <t>Mark  Notoma</t>
  </si>
  <si>
    <t>mark.notoma@spie.com</t>
  </si>
  <si>
    <t>VENISE DISTRIBUTION SENEGAL</t>
  </si>
  <si>
    <t>sowrahma2@gmail.com</t>
  </si>
  <si>
    <t>VINCI ENERGIES SENEGAL</t>
  </si>
  <si>
    <t>VINCI Energies Sénégal</t>
  </si>
  <si>
    <t>contact.ves@vinci-energies.com</t>
  </si>
  <si>
    <t>ENTREPRISE GÉNÉRALE DE TRAVAUX</t>
  </si>
  <si>
    <t>Papa Demba  Thiam</t>
  </si>
  <si>
    <t>dfthiam@gmail.com</t>
  </si>
  <si>
    <t xml:space="preserve">SEN RELAIS </t>
  </si>
  <si>
    <t xml:space="preserve">FALL  MASSAMBA </t>
  </si>
  <si>
    <t>senrelais@gmail.com</t>
  </si>
  <si>
    <t>SANET SERVICES</t>
  </si>
  <si>
    <t xml:space="preserve">Sagna Seynabou </t>
  </si>
  <si>
    <t>seynabousagna1997@gmail.com</t>
  </si>
  <si>
    <t>BERNABE SENEGAL</t>
  </si>
  <si>
    <t>MOUHAMADOU MOUSTAPHA THIAM</t>
  </si>
  <si>
    <t>moustapha.thiam@bernabeafrique.com</t>
  </si>
  <si>
    <t>AEROMINETECH</t>
  </si>
  <si>
    <t>Daouda Ibrahima BA</t>
  </si>
  <si>
    <t>aerominetech@gmail.com</t>
  </si>
  <si>
    <t>SAREQ GROUP</t>
  </si>
  <si>
    <t>AMINATA NDIAYE</t>
  </si>
  <si>
    <t>a.ndiaye@sareqgroup.com</t>
  </si>
  <si>
    <t>ENTREPRISE  BOU SERIGNE ABDOU KARIM MBACKÉ</t>
  </si>
  <si>
    <t>Mbery Ndoye</t>
  </si>
  <si>
    <t>ndoyemberi@gmail.com</t>
  </si>
  <si>
    <t>JAGUARS SECURITE SERVICES</t>
  </si>
  <si>
    <t>Amadou KANE</t>
  </si>
  <si>
    <t>contact@jaguarssecurite.com</t>
  </si>
  <si>
    <t>IVOS SENEGAL</t>
  </si>
  <si>
    <t>Fatou SECK</t>
  </si>
  <si>
    <t>fatou.seck@ivos-ci.com</t>
  </si>
  <si>
    <t>LOGISTIQUE SUR MESURE SUARL</t>
  </si>
  <si>
    <t>Aminata Gadiaga</t>
  </si>
  <si>
    <t>logistiquesmesure@gmail.com</t>
  </si>
  <si>
    <t>BAOLA ENERGY GROUP</t>
  </si>
  <si>
    <t>Lina Manuelle MILENDJI NYARE</t>
  </si>
  <si>
    <t>lina.nyare@baolaenergy.com</t>
  </si>
  <si>
    <t>OXYNIUM</t>
  </si>
  <si>
    <t>Nene Foula Diallo</t>
  </si>
  <si>
    <t>foula.diallo@oxynium-o2.com</t>
  </si>
  <si>
    <t>GLOBALFOOD SUPPLY</t>
  </si>
  <si>
    <t>Habibou Gabriel d.habibou@global-foodsupply.com</t>
  </si>
  <si>
    <t>d.habibou@global-foodsupply.com</t>
  </si>
  <si>
    <t>TERANGA OIL &amp; GAS SERVICES</t>
  </si>
  <si>
    <t>Otoikhine Ehis</t>
  </si>
  <si>
    <t>ehis@terangaogcorp.com</t>
  </si>
  <si>
    <t>NAY VISION SARL</t>
  </si>
  <si>
    <t>Maxime DIATTA</t>
  </si>
  <si>
    <t>elephantgmd@yahoo.fr</t>
  </si>
  <si>
    <t>SOGUI DEVELOPPEMENT EXPRESS</t>
  </si>
  <si>
    <t>Mamadou ngawa Dembele</t>
  </si>
  <si>
    <t>dembeleham@gmail.com</t>
  </si>
  <si>
    <t>KHAFANDAM</t>
  </si>
  <si>
    <t>Lamine Ndour</t>
  </si>
  <si>
    <t>xafandamsn@gmail.com</t>
  </si>
  <si>
    <t>PETROSEN TRADING ET SERVICES</t>
  </si>
  <si>
    <t>Petrosen Trading et Services Petrosen Trading et Services</t>
  </si>
  <si>
    <t>aliou.diouf@petrosents.com</t>
  </si>
  <si>
    <t>JAN BTP SUARL</t>
  </si>
  <si>
    <t>Mouhamadou Oury  Diallo</t>
  </si>
  <si>
    <t>janbtpsuarl@outlook.com</t>
  </si>
  <si>
    <t>CODAC SA</t>
  </si>
  <si>
    <t>PAUL SARR</t>
  </si>
  <si>
    <t>codacsa@orange.sn</t>
  </si>
  <si>
    <t>RASSOUL INDUSTRIE BTP SUARL</t>
  </si>
  <si>
    <t>Alassane DIALLO</t>
  </si>
  <si>
    <t>rassoulindustriebtp@gmail.com</t>
  </si>
  <si>
    <t>ENTREPRISE YA SALAM</t>
  </si>
  <si>
    <t>entrepriseyasalam.diouf@gmail.com</t>
  </si>
  <si>
    <t>SAHARA TRADINGS</t>
  </si>
  <si>
    <t>Abdoulaye BATHILY</t>
  </si>
  <si>
    <t>a.bathily@saharatradings.com</t>
  </si>
  <si>
    <t>INTEGRAL FINANCE CONSULTING</t>
  </si>
  <si>
    <t>Malick LO</t>
  </si>
  <si>
    <t>mlo@ifinanceconsulting.com</t>
  </si>
  <si>
    <t>SMEDIA</t>
  </si>
  <si>
    <t>Sala NDIAYE</t>
  </si>
  <si>
    <t>geniepreira@gmail.com</t>
  </si>
  <si>
    <t>MKA EXCELLENCE</t>
  </si>
  <si>
    <t>MAME MOR GUEYE</t>
  </si>
  <si>
    <t>info@mkaexcellence.com</t>
  </si>
  <si>
    <t>STR SARL</t>
  </si>
  <si>
    <t>Moussa Gueye</t>
  </si>
  <si>
    <t>contactstr2019@gmail.com</t>
  </si>
  <si>
    <t>BAOBAB MINING AND CHEMICALS COORPORATION</t>
  </si>
  <si>
    <t>Ndeye Léna SARR</t>
  </si>
  <si>
    <t>lsarr@baobabphosphate.com</t>
  </si>
  <si>
    <t>GROUPE TOP INTER</t>
  </si>
  <si>
    <t>Oumar DIOP</t>
  </si>
  <si>
    <t>oumardiop@groupe-topinter.com</t>
  </si>
  <si>
    <t xml:space="preserve">COMPAGNIE AL AMINE MAINTENANCE ET SERVICES </t>
  </si>
  <si>
    <t>Abdou Aziz DIOP</t>
  </si>
  <si>
    <t>camsalaminesarl@gmail.com</t>
  </si>
  <si>
    <t>REG-PRO ENERGY</t>
  </si>
  <si>
    <t>NDEYE FATOU NDOUR</t>
  </si>
  <si>
    <t>ndeyefatou.ndour@regpro-energy.com</t>
  </si>
  <si>
    <t>GROUPE N2M SARL</t>
  </si>
  <si>
    <t>contact@securite-n2m.com</t>
  </si>
  <si>
    <t>AFRICAINE DE COMMERCE ET D'OUVARAGE</t>
  </si>
  <si>
    <t>ABLAYE DIOP</t>
  </si>
  <si>
    <t>africaineco2007@gmail.com</t>
  </si>
  <si>
    <t xml:space="preserve">ESETRAP </t>
  </si>
  <si>
    <t>Guèye  Insa</t>
  </si>
  <si>
    <t>insagueye30@gmail.com</t>
  </si>
  <si>
    <t>SENPROC SARL</t>
  </si>
  <si>
    <t>Matar LO</t>
  </si>
  <si>
    <t>senproc@senproc.sn</t>
  </si>
  <si>
    <t>B AND O TRADING SARL</t>
  </si>
  <si>
    <t>babacar diouf</t>
  </si>
  <si>
    <t>babacardioufbando@gmail.com</t>
  </si>
  <si>
    <t>EPC MINEEX SA</t>
  </si>
  <si>
    <t xml:space="preserve">Innocencia Marie MBAYE </t>
  </si>
  <si>
    <t>innocencia.mbaye@epc-mineex.sn</t>
  </si>
  <si>
    <t>L'AFRICAINE DE LOGISTIQUE ET DES TRAVAUX</t>
  </si>
  <si>
    <t>Cheikh Modou Bamba SENE</t>
  </si>
  <si>
    <t>cheikhbamba@alt-afrique.com</t>
  </si>
  <si>
    <t>DCI</t>
  </si>
  <si>
    <t>Djamal BENDOUMA</t>
  </si>
  <si>
    <t>djamalsene@yahoo.fr</t>
  </si>
  <si>
    <t>LAIMRI SARL (LABORATOIRE INTERNATIONAL D</t>
  </si>
  <si>
    <t>Papa Ngoumba SENE</t>
  </si>
  <si>
    <t>dg@laboratoiredemetrologie.com</t>
  </si>
  <si>
    <t>NEUROTECH</t>
  </si>
  <si>
    <t>Safietou Birahim NDIAYE</t>
  </si>
  <si>
    <t>safietou.ndiaye@groupeneurotech.com</t>
  </si>
  <si>
    <t>DABAKH PRODUCTION SERVICE</t>
  </si>
  <si>
    <t>Birane Dieng</t>
  </si>
  <si>
    <t>eljidieng@gmail.com</t>
  </si>
  <si>
    <t>AFRICA POWER SERVICES SENEGAL</t>
  </si>
  <si>
    <t>anne laure bertinotti</t>
  </si>
  <si>
    <t>juridique@delmasip.com</t>
  </si>
  <si>
    <t>MALAIKA DEVELOPMENT CAPITAL</t>
  </si>
  <si>
    <t>El Hadji Malick Dieye</t>
  </si>
  <si>
    <t>md@malaika-development.com</t>
  </si>
  <si>
    <t>EGAS FAKHA</t>
  </si>
  <si>
    <t>Cheikh Mbacke FALL</t>
  </si>
  <si>
    <t>papaharas@gmail.com</t>
  </si>
  <si>
    <t>DIENE SERVICE CENTER SARL</t>
  </si>
  <si>
    <t>Seydina Ousmane DIENE</t>
  </si>
  <si>
    <t>diene@dienesc.com</t>
  </si>
  <si>
    <t>TRI ENGINEERING SARL</t>
  </si>
  <si>
    <t xml:space="preserve">THOMAS MANOJ </t>
  </si>
  <si>
    <t>manoj.thomas@triengineering.co</t>
  </si>
  <si>
    <t>SOMEM SÉNÉGAL</t>
  </si>
  <si>
    <t>Eric Gilles  SAGNA</t>
  </si>
  <si>
    <t>esagna@somemsn.com</t>
  </si>
  <si>
    <t>PITEXTILE CORPORATION</t>
  </si>
  <si>
    <t>FATOU NDIAYE</t>
  </si>
  <si>
    <t>pitextile.louga@gmail.com</t>
  </si>
  <si>
    <t>CISSOKHO SN COMMERCE INTERNATIONAL ET PRESTATION SERVICES PLUS</t>
  </si>
  <si>
    <t xml:space="preserve">Diandian Cissokho </t>
  </si>
  <si>
    <t>diandiancissokho08@gmail.com</t>
  </si>
  <si>
    <t xml:space="preserve">ECM PENE ET FILS </t>
  </si>
  <si>
    <t>Mor Pene</t>
  </si>
  <si>
    <t>ecmpene@gmail.com</t>
  </si>
  <si>
    <t xml:space="preserve">VM STEEL </t>
  </si>
  <si>
    <t>Pascal Vandevelde</t>
  </si>
  <si>
    <t>p.vandevelde@vmsteel.com</t>
  </si>
  <si>
    <t>HELIX SEN</t>
  </si>
  <si>
    <t>Youssou Jules DIOP</t>
  </si>
  <si>
    <t>jules.diop@helixsen.com</t>
  </si>
  <si>
    <t>INGENIERIE ET TECHNOLOGIE</t>
  </si>
  <si>
    <t>Mor Wade</t>
  </si>
  <si>
    <t>mor.wade@ingetechnologie.com</t>
  </si>
  <si>
    <t>AND</t>
  </si>
  <si>
    <t xml:space="preserve">Sengane  DIAGNE </t>
  </si>
  <si>
    <t>amdy6968@gmail.com</t>
  </si>
  <si>
    <t>SYSROAD</t>
  </si>
  <si>
    <t>Oumar SECK</t>
  </si>
  <si>
    <t>info@sysroad.com</t>
  </si>
  <si>
    <t>DA ROSA SERVICES</t>
  </si>
  <si>
    <t>VICTOR PIERRE DA-ROSA</t>
  </si>
  <si>
    <t>victorpierredarosa@gmail.com</t>
  </si>
  <si>
    <t>ONG EAU VIE ENVIRONNEMENT - EVE</t>
  </si>
  <si>
    <t>Aly DIOUF</t>
  </si>
  <si>
    <t>alydiouf@eve-sn.org</t>
  </si>
  <si>
    <t>LEZZETTLI</t>
  </si>
  <si>
    <t>Bineta  DIAGNE</t>
  </si>
  <si>
    <t>lezzetli@lezzetli.sn</t>
  </si>
  <si>
    <t>TERANGA GLOBAL SYSTÈME</t>
  </si>
  <si>
    <t>mamadou cisse</t>
  </si>
  <si>
    <t>contact@tgs.sn</t>
  </si>
  <si>
    <t>AFRIC ISOLE</t>
  </si>
  <si>
    <t>Aminata SAGNA</t>
  </si>
  <si>
    <t>aminata.sagna@afric-isole.com</t>
  </si>
  <si>
    <t>GENTTRA</t>
  </si>
  <si>
    <t>CHEIKH FALL</t>
  </si>
  <si>
    <t>genttra@gmail.com</t>
  </si>
  <si>
    <t>M2 CONSTRUCTION</t>
  </si>
  <si>
    <t>Mamadou Thiam</t>
  </si>
  <si>
    <t>mamadou.thiam@m2c.sn</t>
  </si>
  <si>
    <t>SOCOTRA /MS</t>
  </si>
  <si>
    <t xml:space="preserve">Elhadji ndongo  Lecor </t>
  </si>
  <si>
    <t>socotra1.ms@gmail.com</t>
  </si>
  <si>
    <t>Abdoulaye DIENG</t>
  </si>
  <si>
    <t>snshared.contenulocal@sococim.sn</t>
  </si>
  <si>
    <t>GIE JUMEAUX ET FRERES</t>
  </si>
  <si>
    <t>SENY DANFAKHA</t>
  </si>
  <si>
    <t>danfakhaseny880@gmail.com</t>
  </si>
  <si>
    <t>MEDITECHS (MÉDICAL TECHNOLOGIES SERVICES)</t>
  </si>
  <si>
    <t>ANDRE NDIAYE</t>
  </si>
  <si>
    <t>meditechsgroup2007@gmail.com</t>
  </si>
  <si>
    <t>GALAXY INDUSTRIES CORPORATION</t>
  </si>
  <si>
    <t>Marie Helene DOCANTO</t>
  </si>
  <si>
    <t>mh@galaxyindustriescorp.com</t>
  </si>
  <si>
    <t>SAHEL MINING SERVICES</t>
  </si>
  <si>
    <t>AISSATOU DRAME</t>
  </si>
  <si>
    <t>sahelmining2014@gmail.com</t>
  </si>
  <si>
    <t>ELMASA SENEGAL, S.A.</t>
  </si>
  <si>
    <t>CESAR GONZALEZ</t>
  </si>
  <si>
    <t>cgojeda@elmasa.org</t>
  </si>
  <si>
    <t>SET CONS (EX ETAB)</t>
  </si>
  <si>
    <t>Mawdo DIOUF</t>
  </si>
  <si>
    <t>dioufetab@hotmail.com</t>
  </si>
  <si>
    <t>AMARIS EQUIPMENT SERVICES</t>
  </si>
  <si>
    <t>SAIDI SAIDI</t>
  </si>
  <si>
    <t>asaidi@amaris-equipment.com</t>
  </si>
  <si>
    <t>SIGNAL ROUTES SARL</t>
  </si>
  <si>
    <t>ABDOU SALAM HANN</t>
  </si>
  <si>
    <t>signal_routes@orange.sn</t>
  </si>
  <si>
    <t>MATONDO SUARL</t>
  </si>
  <si>
    <t>Helene SARR</t>
  </si>
  <si>
    <t>adv@matondo.sn</t>
  </si>
  <si>
    <t>PANOM HOLDING SUARL</t>
  </si>
  <si>
    <t>IDRISSA DIALLO</t>
  </si>
  <si>
    <t>elhadjidaouda94@gmail.com</t>
  </si>
  <si>
    <t>SODIMEL INTERNATIONALE SA</t>
  </si>
  <si>
    <t>Cheikhou DIALLO</t>
  </si>
  <si>
    <t>cdiallo@sodimelsa.sn</t>
  </si>
  <si>
    <t>AXIUM PROPERTIES</t>
  </si>
  <si>
    <t xml:space="preserve">Civol Kane </t>
  </si>
  <si>
    <t>civolkane@gmail.com</t>
  </si>
  <si>
    <t xml:space="preserve">INFINITY OVERSEAS </t>
  </si>
  <si>
    <t>Arame der Khoule</t>
  </si>
  <si>
    <t>arame@infinity-overseas.com</t>
  </si>
  <si>
    <t xml:space="preserve">UNIVERSAL TECH SUPPLY </t>
  </si>
  <si>
    <t>UNIVERSAL TECH  SUPPLY</t>
  </si>
  <si>
    <t>info@uts-tech.net</t>
  </si>
  <si>
    <t>ENERGENSE</t>
  </si>
  <si>
    <t>Samba Fall</t>
  </si>
  <si>
    <t>samba.fall@energense.net</t>
  </si>
  <si>
    <t>COMPAGNIE DES PÉTROLES DU SUD</t>
  </si>
  <si>
    <t>Samba Cor Bathily</t>
  </si>
  <si>
    <t>sbathily@magikoil.com</t>
  </si>
  <si>
    <t>EDEN INGÉNIEURS CONSEILS</t>
  </si>
  <si>
    <t>Mouhamadou Lamine DIA</t>
  </si>
  <si>
    <t>eden@eden-ic.com</t>
  </si>
  <si>
    <t xml:space="preserve">BMA ENGINEERING&amp; SERVICES </t>
  </si>
  <si>
    <t>BIRAME TOP</t>
  </si>
  <si>
    <t>info@bma.sn</t>
  </si>
  <si>
    <t>GS AFRIQUE</t>
  </si>
  <si>
    <t>Ndane DIOUF</t>
  </si>
  <si>
    <t>ndanegeometre90@gmail.com</t>
  </si>
  <si>
    <t>SERIGNE GUEYE ET FILS</t>
  </si>
  <si>
    <t>Modou Gueye</t>
  </si>
  <si>
    <t>modou@sgf.sn</t>
  </si>
  <si>
    <t>PETOWAL MINING COMPAGNY</t>
  </si>
  <si>
    <t>CHEIKH AHMET TIDIANE CISSE</t>
  </si>
  <si>
    <t>tidiane.cisse@petowal.com</t>
  </si>
  <si>
    <t>ENTREPRISE DIOKINE CISSE CONSTRUCTION SENEGAL</t>
  </si>
  <si>
    <t>CISSE ABLAYE</t>
  </si>
  <si>
    <t>diokinecisse.construction@gmail.com</t>
  </si>
  <si>
    <t>SENBIO CHIMIE SARL</t>
  </si>
  <si>
    <t>Ndioro NDIAYE</t>
  </si>
  <si>
    <t>ndioro.ndiaye@senbiochimie.com</t>
  </si>
  <si>
    <t xml:space="preserve">GÉNIE CIVIL MILLÉNIUM PRESTATION (GCMP) </t>
  </si>
  <si>
    <t>Aliou Sene</t>
  </si>
  <si>
    <t>gcmpaliou@gmail.com</t>
  </si>
  <si>
    <t xml:space="preserve">SNIJDER MINING CONTRACTING </t>
  </si>
  <si>
    <t>Roel te Braake</t>
  </si>
  <si>
    <t>r.tebraake@snijder.nl</t>
  </si>
  <si>
    <t>AFRICAN UNDERGROUND MINING SERVICES SENEGAL SUARL</t>
  </si>
  <si>
    <t>Mark McLaskey</t>
  </si>
  <si>
    <t>mark.mclaskey@amsgh.com</t>
  </si>
  <si>
    <t>FBR TRANSPORT</t>
  </si>
  <si>
    <t>Illo Ndoye</t>
  </si>
  <si>
    <t>illo.ndoye@fbr-transports.com</t>
  </si>
  <si>
    <t>ERIUM SENEGAL</t>
  </si>
  <si>
    <t>KHOUDIEDJI  SOUMARE</t>
  </si>
  <si>
    <t>khoudiedji.soumare@erium.com</t>
  </si>
  <si>
    <t>Birame  FALL</t>
  </si>
  <si>
    <t>birame.fall@dangote.com</t>
  </si>
  <si>
    <t>MHK LOGISTIQUE</t>
  </si>
  <si>
    <t>Mamadou Malal  Kane</t>
  </si>
  <si>
    <t>logistiquemhk@gmail.com</t>
  </si>
  <si>
    <t>INFOGEO SENEGAL</t>
  </si>
  <si>
    <t>Abdoulaye Badara FAYE</t>
  </si>
  <si>
    <t>bfaye@infogeo-senegal.com</t>
  </si>
  <si>
    <t>AFRICA LUBES AND SERVICES SARL</t>
  </si>
  <si>
    <t>Mathieu Youga Thiaw</t>
  </si>
  <si>
    <t>mathieu.thiaw@africalubeservices.com</t>
  </si>
  <si>
    <t>TOUBA TRAVAUX PUBLICS SUARL</t>
  </si>
  <si>
    <t>Amadou Khaïta Diagne</t>
  </si>
  <si>
    <t>amadou@toubatravauxpublics.com</t>
  </si>
  <si>
    <t xml:space="preserve">PROPLUS </t>
  </si>
  <si>
    <t>Khalifa Abdoul Aziz  NIANG</t>
  </si>
  <si>
    <t>proplus.senegal@gmail.com</t>
  </si>
  <si>
    <t xml:space="preserve">SAS AEC ENERGY SERVICES </t>
  </si>
  <si>
    <t>Kevin Aveline</t>
  </si>
  <si>
    <t>kevin.aveline@aec-energyservices.com</t>
  </si>
  <si>
    <t xml:space="preserve">KEKENDO AFRICA ENGINEERING </t>
  </si>
  <si>
    <t>Mamadou Lamine KAGNY</t>
  </si>
  <si>
    <t>kagny.lamine@kekendoafricapoly.com</t>
  </si>
  <si>
    <t>SOCIETE MINIERE AFRICAINE</t>
  </si>
  <si>
    <t>Moussa Diene</t>
  </si>
  <si>
    <t>mdiene@gmail.com</t>
  </si>
  <si>
    <t>MAXAM SENEGAL</t>
  </si>
  <si>
    <t>Bertrand Kafando</t>
  </si>
  <si>
    <t>bkafando@maxamcorp.com</t>
  </si>
  <si>
    <t>TOTALENERGIES MARKETING SÉNÉGAL</t>
  </si>
  <si>
    <t>DIE SENE</t>
  </si>
  <si>
    <t>die-sene.paye@totalenergies.com</t>
  </si>
  <si>
    <t>GROUPE YOLLI SOP NABI</t>
  </si>
  <si>
    <t>etsyollisopnabi@gmail.com</t>
  </si>
  <si>
    <t>GIE ISOTHERMI</t>
  </si>
  <si>
    <t>PAUL DIOP</t>
  </si>
  <si>
    <t>gieisothermi2@gmail.com</t>
  </si>
  <si>
    <t>GROUPE GTX</t>
  </si>
  <si>
    <t xml:space="preserve">Alassane   DIAGNE </t>
  </si>
  <si>
    <t>alassane.diagne@groupegtx.com</t>
  </si>
  <si>
    <t>DOUAISIS PREMIUM</t>
  </si>
  <si>
    <t>Laurent PHILIPPON</t>
  </si>
  <si>
    <t>l.philippon@douaisis.com</t>
  </si>
  <si>
    <t>FUELEX SA</t>
  </si>
  <si>
    <t>Hyacinthe SAMBOU</t>
  </si>
  <si>
    <t>hyacinthe.sambou@fuelex.sn</t>
  </si>
  <si>
    <t>3MD ENERGY</t>
  </si>
  <si>
    <t>Carole Maria MBENGUE</t>
  </si>
  <si>
    <t>carolemaria.mbengue@3mdenergy.com</t>
  </si>
  <si>
    <t>MECSEN GROUP</t>
  </si>
  <si>
    <t>Mohamed El Habib Sow</t>
  </si>
  <si>
    <t>habib.sow@outlook.com</t>
  </si>
  <si>
    <t>BOC LOGISTIC SARL</t>
  </si>
  <si>
    <t>FABIENNE DIOUF</t>
  </si>
  <si>
    <t>boclogisticssarl@outlook.com</t>
  </si>
  <si>
    <t>AZ SERVICES SARL</t>
  </si>
  <si>
    <t>Bassim Hachem</t>
  </si>
  <si>
    <t>azservicessarl@gmail.com</t>
  </si>
  <si>
    <t>ACADÉMIE COUPE ET COUTURE THIES</t>
  </si>
  <si>
    <t>babacar gueye</t>
  </si>
  <si>
    <t>acctthies@gmail.com</t>
  </si>
  <si>
    <t>KOCC BARMA FALL</t>
  </si>
  <si>
    <t>Barma fall Kocc</t>
  </si>
  <si>
    <t>koccbarmafalldiogo@gmail.com</t>
  </si>
  <si>
    <t>GEOAXIS MINING SOLUTIONS</t>
  </si>
  <si>
    <t>ROBERT PONZIO</t>
  </si>
  <si>
    <t>b.diallo@geoaxisminingsolutions.com</t>
  </si>
  <si>
    <t>LAPP PORTUGAL</t>
  </si>
  <si>
    <t>Miguel Epifânio</t>
  </si>
  <si>
    <t>miguel.epifanio@lapp.com</t>
  </si>
  <si>
    <t>OTIS GROUP SENEGAL</t>
  </si>
  <si>
    <t>ASSANE DIENG</t>
  </si>
  <si>
    <t>otisgroupsen@gmail.com</t>
  </si>
  <si>
    <t>Colonne1</t>
  </si>
  <si>
    <t xml:space="preserve">GÉNIE CIVIL MILLÉNIUM PRESTATION </t>
  </si>
  <si>
    <t>HYDRO INDUSTRIES INTERNATIONAL</t>
  </si>
  <si>
    <t>KEUR MAME DABA AWA DIOP</t>
  </si>
  <si>
    <t>RIT</t>
  </si>
  <si>
    <t>SEMBOUYA AGRO BUSINESS</t>
  </si>
  <si>
    <t>SERVICE GÉOLOGIQUE NATIONAL DU SÉNÉGA</t>
  </si>
  <si>
    <t>WEST AFRICA TIRE SERVICES</t>
  </si>
  <si>
    <t>ALLIANCE AUTO GROUP</t>
  </si>
  <si>
    <t>ASSOCIATION TECHNIQUE ENERGIE ET ENVIRONNEMENT DU SÉNÉGAL</t>
  </si>
  <si>
    <t xml:space="preserve">BMA ENGINEERING  &amp; SERVICES </t>
  </si>
  <si>
    <t>CENTRE D'AFFAIRES MEDICALES AFRIQUE</t>
  </si>
  <si>
    <t>MEDITECHS</t>
  </si>
  <si>
    <t>MINING SUPPLY SOLUTIONS</t>
  </si>
  <si>
    <t>SARAYA ALPHAYA QUINCAILLERIE GÉNÉRALE ASSALAM</t>
  </si>
  <si>
    <t>Code</t>
  </si>
  <si>
    <t>Nom</t>
  </si>
  <si>
    <t>Parties</t>
  </si>
  <si>
    <t>Juridiction</t>
  </si>
  <si>
    <t>Type</t>
  </si>
  <si>
    <t>Substances</t>
  </si>
  <si>
    <t>Demande faite</t>
  </si>
  <si>
    <t>Octroyé</t>
  </si>
  <si>
    <t>Expire le</t>
  </si>
  <si>
    <t>Renouvelé</t>
  </si>
  <si>
    <t>superficie</t>
  </si>
  <si>
    <t>000028</t>
  </si>
  <si>
    <t>LAM-LAM NORD</t>
  </si>
  <si>
    <t>AGPL INVESTMENTS PTE.LTD (100%)</t>
  </si>
  <si>
    <t>PR</t>
  </si>
  <si>
    <t>ph a</t>
  </si>
  <si>
    <t>Demande Rejetée</t>
  </si>
  <si>
    <t>4,805.8687 Ha</t>
  </si>
  <si>
    <t>000030</t>
  </si>
  <si>
    <t>ELENILTO SENEGAL SARL (100%)</t>
  </si>
  <si>
    <t>Zir</t>
  </si>
  <si>
    <t>186.9924 km²</t>
  </si>
  <si>
    <t>00032</t>
  </si>
  <si>
    <t>Nétéboulou</t>
  </si>
  <si>
    <t>SOCIETE CENTRALE DES TRAVAUX (100%)</t>
  </si>
  <si>
    <t>AECPT</t>
  </si>
  <si>
    <t>latérite</t>
  </si>
  <si>
    <t>Expiré</t>
  </si>
  <si>
    <t>4.0000 Ha</t>
  </si>
  <si>
    <t>00090</t>
  </si>
  <si>
    <t>NIOMAR-SESSENE</t>
  </si>
  <si>
    <t>ENTREPRISE BOUGAR DIOUF (100%)</t>
  </si>
  <si>
    <t>sable de dune</t>
  </si>
  <si>
    <t>8.0980 Ha</t>
  </si>
  <si>
    <t>00117</t>
  </si>
  <si>
    <t>Sébikotane</t>
  </si>
  <si>
    <t>SOCIETE DE TRAVAUX PUBLICS DE BATIMENTS ET DE TRANSPORTS NETTOIEMENT (100%)</t>
  </si>
  <si>
    <t>1.9257 Ha</t>
  </si>
  <si>
    <t>00120</t>
  </si>
  <si>
    <t>Diendery Guedj</t>
  </si>
  <si>
    <t>SALOUM TRAIDING SERVICES-SARL (100%)</t>
  </si>
  <si>
    <t>4.8365 Ha</t>
  </si>
  <si>
    <t>00144</t>
  </si>
  <si>
    <t>Baguère</t>
  </si>
  <si>
    <t>GENERAL SERVICES SARL (100%)</t>
  </si>
  <si>
    <t>Argile</t>
  </si>
  <si>
    <t>Kolda</t>
  </si>
  <si>
    <t>4.6664 Ha</t>
  </si>
  <si>
    <t>00145</t>
  </si>
  <si>
    <t>Gollom</t>
  </si>
  <si>
    <t>DIOP AMADOU MAME (100%)</t>
  </si>
  <si>
    <t>1.6856 Ha</t>
  </si>
  <si>
    <t>000151</t>
  </si>
  <si>
    <t>TETACAR (100%)</t>
  </si>
  <si>
    <t>AP</t>
  </si>
  <si>
    <t>Argile, calcaire, Td</t>
  </si>
  <si>
    <t>21.8007 km²</t>
  </si>
  <si>
    <t>000180</t>
  </si>
  <si>
    <t>Bambilor</t>
  </si>
  <si>
    <t>STE APANGUENSSO SUARL (100%)</t>
  </si>
  <si>
    <t>Renouvellement Rejeté</t>
  </si>
  <si>
    <t>1.6935 Ha</t>
  </si>
  <si>
    <t>00214</t>
  </si>
  <si>
    <t>Saraya</t>
  </si>
  <si>
    <t>SAGNA GOLD (100%)</t>
  </si>
  <si>
    <t>Au</t>
  </si>
  <si>
    <t>Annulé</t>
  </si>
  <si>
    <t>Kedougou</t>
  </si>
  <si>
    <t>3,401.9979 Ha</t>
  </si>
  <si>
    <t>00258</t>
  </si>
  <si>
    <t>Sinthiou Mogo</t>
  </si>
  <si>
    <t>DARAY MAME LAMP CONSTRUCTION (100%)</t>
  </si>
  <si>
    <t>Matam</t>
  </si>
  <si>
    <t>4.9761 Ha</t>
  </si>
  <si>
    <t>00269</t>
  </si>
  <si>
    <t>Santhie Sérère</t>
  </si>
  <si>
    <t>HGR SENEGAL SARL (100%)</t>
  </si>
  <si>
    <t>basalte</t>
  </si>
  <si>
    <t>70.5014 Ha</t>
  </si>
  <si>
    <t>000275</t>
  </si>
  <si>
    <t>SALIOU MINES INDUSTRIES ET TECHNIQUES</t>
  </si>
  <si>
    <t>13.7740 Ha</t>
  </si>
  <si>
    <t>00293</t>
  </si>
  <si>
    <t>3.0039 Ha</t>
  </si>
  <si>
    <t>00313</t>
  </si>
  <si>
    <t>Diendé</t>
  </si>
  <si>
    <t>CABIT ENTREPRISES SA (100%)</t>
  </si>
  <si>
    <t>8.1386 Ha</t>
  </si>
  <si>
    <t>00319</t>
  </si>
  <si>
    <t>Cayar</t>
  </si>
  <si>
    <t>AFRICA TRADING  EQUIPEMENT CONSTRUCTION SUARL (100%)</t>
  </si>
  <si>
    <t>1.7193 Ha</t>
  </si>
  <si>
    <t>00324</t>
  </si>
  <si>
    <t>ngoundiane</t>
  </si>
  <si>
    <t>SOCIETE DE CONCASSAGE ET DE BETON SARL (100%)</t>
  </si>
  <si>
    <t>40.2333 Ha</t>
  </si>
  <si>
    <t>00344</t>
  </si>
  <si>
    <t>GECAMINES.SA (100%)</t>
  </si>
  <si>
    <t>133.5665 Ha</t>
  </si>
  <si>
    <t>707</t>
  </si>
  <si>
    <t>GIE GENERAL SERVICE (100%)</t>
  </si>
  <si>
    <t>29.6660 Ha</t>
  </si>
  <si>
    <t>000720</t>
  </si>
  <si>
    <t>KEDOUGOU</t>
  </si>
  <si>
    <t>CASA BAMBA  (100%)</t>
  </si>
  <si>
    <t>19.9263 Ha</t>
  </si>
  <si>
    <t>000807</t>
  </si>
  <si>
    <t>Kaniack</t>
  </si>
  <si>
    <t>Iba Cissé (100%)</t>
  </si>
  <si>
    <t>2.7428 Ha</t>
  </si>
  <si>
    <t xml:space="preserve"> 00001010</t>
  </si>
  <si>
    <t>Baba Garage</t>
  </si>
  <si>
    <t>COMMUNE DE BABA GARAGE (100%)</t>
  </si>
  <si>
    <t>AECPubT</t>
  </si>
  <si>
    <t>3.8651 Ha</t>
  </si>
  <si>
    <t>001054</t>
  </si>
  <si>
    <t>YENE</t>
  </si>
  <si>
    <t>Adama DIAKHATE (100%)</t>
  </si>
  <si>
    <t>17.7398 Ha</t>
  </si>
  <si>
    <t>1067</t>
  </si>
  <si>
    <t>NIAGAPEUL</t>
  </si>
  <si>
    <t>DIAMINE TP (100%)</t>
  </si>
  <si>
    <t>25.0158 Ha</t>
  </si>
  <si>
    <t>01108</t>
  </si>
  <si>
    <t>bambilor</t>
  </si>
  <si>
    <t>CARREFOUR IMMO SERVICES-SUARL</t>
  </si>
  <si>
    <t>1.3260 Ha</t>
  </si>
  <si>
    <t>001222</t>
  </si>
  <si>
    <t>SEA WORLD COMPANY (100%)</t>
  </si>
  <si>
    <t>1,130.0028 Ha</t>
  </si>
  <si>
    <t>01257</t>
  </si>
  <si>
    <t>Diack</t>
  </si>
  <si>
    <t>SENEGALAISE DES MATERIAUX MINERAUX ET METAUX (100%)</t>
  </si>
  <si>
    <t>11.0664 Ha</t>
  </si>
  <si>
    <t>001269</t>
  </si>
  <si>
    <t>SOCIETE DE BATIMENT MODERNES (100%)</t>
  </si>
  <si>
    <t>35.1016 km²</t>
  </si>
  <si>
    <t>02001</t>
  </si>
  <si>
    <t>COMPAGNIE  SENEGALAISE DES PHOSPHATES DE TAIBA</t>
  </si>
  <si>
    <t>CM</t>
  </si>
  <si>
    <t>phosphate de chaux</t>
  </si>
  <si>
    <t>Active</t>
  </si>
  <si>
    <t>104.9462 km²</t>
  </si>
  <si>
    <t>02002</t>
  </si>
  <si>
    <t>PROCHIMAT</t>
  </si>
  <si>
    <t>21.8889 km²</t>
  </si>
  <si>
    <t>02003</t>
  </si>
  <si>
    <t>ENTREPRISE DE GENIE CIVIL CONCASSEUR BASALTE NDIAMBOUR (EGCCBN) SUARL  (100%)</t>
  </si>
  <si>
    <t>AECPP</t>
  </si>
  <si>
    <t>6.3789 Ha</t>
  </si>
  <si>
    <t>02004</t>
  </si>
  <si>
    <t>D1985-399 Warrang</t>
  </si>
  <si>
    <t>SOCIETE SENEGALAISE DES PHOSPHATES DE THIES</t>
  </si>
  <si>
    <t>argile industrielle, attapulgite, sépiolite</t>
  </si>
  <si>
    <t>1.3304 km²</t>
  </si>
  <si>
    <t>02005</t>
  </si>
  <si>
    <t>D1985-409 Mbodiène</t>
  </si>
  <si>
    <t>Argile, attapulgite, sépiolite</t>
  </si>
  <si>
    <t>1.1881 km²</t>
  </si>
  <si>
    <t>02006</t>
  </si>
  <si>
    <t>D1985-411 Allou Kagne</t>
  </si>
  <si>
    <t>Renouvellement en Cours</t>
  </si>
  <si>
    <t>13.0547 km²</t>
  </si>
  <si>
    <t>02007</t>
  </si>
  <si>
    <t>D1985-413 Sébikotane</t>
  </si>
  <si>
    <t>3.2995 km²</t>
  </si>
  <si>
    <t>02008</t>
  </si>
  <si>
    <t>COMPAGNIE GENERALE D'EXPLOITATION DE CARRIERE (100%)</t>
  </si>
  <si>
    <t>2.7659 Ha</t>
  </si>
  <si>
    <t>02009</t>
  </si>
  <si>
    <t>A007953 Diack</t>
  </si>
  <si>
    <t>0.0193 km²</t>
  </si>
  <si>
    <t>02010</t>
  </si>
  <si>
    <t>COMPAGNIE SAHELIENNE D'ENTREPRISE GRANULATS (100%)</t>
  </si>
  <si>
    <t>Avertissement Renouvellement</t>
  </si>
  <si>
    <t>17.5424 Ha</t>
  </si>
  <si>
    <t>02011</t>
  </si>
  <si>
    <t>Bandia</t>
  </si>
  <si>
    <t>GECAMINES.SA</t>
  </si>
  <si>
    <t>calcaire</t>
  </si>
  <si>
    <t>11.1313 Ha</t>
  </si>
  <si>
    <t>02012</t>
  </si>
  <si>
    <t>BANDIA</t>
  </si>
  <si>
    <t>TRANSPORTS AHMED DJOUMA GAZAL (100%)</t>
  </si>
  <si>
    <t>14.1242 Ha</t>
  </si>
  <si>
    <t>02013</t>
  </si>
  <si>
    <t>6.4607 Ha</t>
  </si>
  <si>
    <t>02014</t>
  </si>
  <si>
    <t>Mbodiène</t>
  </si>
  <si>
    <t>SENEGAL MINES</t>
  </si>
  <si>
    <t>Argile, attapulgite</t>
  </si>
  <si>
    <t>269.4724 Ha</t>
  </si>
  <si>
    <t>02015</t>
  </si>
  <si>
    <t>D1999-1020 Tobène Nord_ICS</t>
  </si>
  <si>
    <t>INDUSTRIES CHIMIQUES DU SENEGAL</t>
  </si>
  <si>
    <t>247.9598 km²</t>
  </si>
  <si>
    <t>02016</t>
  </si>
  <si>
    <t>Tobene Sud_ICS</t>
  </si>
  <si>
    <t>18.4142 km²</t>
  </si>
  <si>
    <t>02017</t>
  </si>
  <si>
    <t>Kirène</t>
  </si>
  <si>
    <t>CIMENTS DU SAHEL</t>
  </si>
  <si>
    <t>586.2024 Ha</t>
  </si>
  <si>
    <t>02018</t>
  </si>
  <si>
    <t>D2000-106 Thicky</t>
  </si>
  <si>
    <t>1.9998 km²</t>
  </si>
  <si>
    <t>02019</t>
  </si>
  <si>
    <t>D1998-238 Niamia</t>
  </si>
  <si>
    <t>SOCIETE DE RECHERCHE ET DE DEVELOPPEMENT DES MINES SA (SORED-MINES)</t>
  </si>
  <si>
    <t>Au, substance connexes</t>
  </si>
  <si>
    <t>116.7547 km²</t>
  </si>
  <si>
    <t>02020</t>
  </si>
  <si>
    <t>Moura et Bondala</t>
  </si>
  <si>
    <t>DIOMAYE GRANULATS/GROUPE HOLDING DIOMAYE (100%)</t>
  </si>
  <si>
    <t>AEPM</t>
  </si>
  <si>
    <t>Retrait</t>
  </si>
  <si>
    <t>499.2683 Ha</t>
  </si>
  <si>
    <t>02021</t>
  </si>
  <si>
    <t>172.2807 Ha</t>
  </si>
  <si>
    <t>02022</t>
  </si>
  <si>
    <t>SABODALA-GORA-MASSAWA</t>
  </si>
  <si>
    <t>SABODALA GOLD OPERATIONS SA (SGO)</t>
  </si>
  <si>
    <t>611.0000 km²</t>
  </si>
  <si>
    <t>02023</t>
  </si>
  <si>
    <t>Tinkoto</t>
  </si>
  <si>
    <t>GIE DIONDA</t>
  </si>
  <si>
    <t>AEMSM</t>
  </si>
  <si>
    <t>0.5772 km²</t>
  </si>
  <si>
    <t>02024</t>
  </si>
  <si>
    <t>Carrière de calcaire dans la forêt classée de Pout</t>
  </si>
  <si>
    <t>31.8389 Ha</t>
  </si>
  <si>
    <t>02025</t>
  </si>
  <si>
    <t>D2006-359 Bargny</t>
  </si>
  <si>
    <t xml:space="preserve">SOCIETE DE COMMERCIALISATION DU CIMENT (SOCOCIM) INDUSTRIES </t>
  </si>
  <si>
    <t>4.6153 km²</t>
  </si>
  <si>
    <t>02026</t>
  </si>
  <si>
    <t>Bandia_SOCOCIM</t>
  </si>
  <si>
    <t>SOCIETE DE COMMERCIALISATION DU CIMENT (SOCOCIM) INDUSTRIES  (100%)</t>
  </si>
  <si>
    <t>1.1345 km²</t>
  </si>
  <si>
    <t>02027</t>
  </si>
  <si>
    <t>D2006-361 Pout</t>
  </si>
  <si>
    <t>4.1711 km²</t>
  </si>
  <si>
    <t>02028</t>
  </si>
  <si>
    <t>Grande Côte_MDL</t>
  </si>
  <si>
    <t xml:space="preserve">GRANDE COTE OPERATIONS SA </t>
  </si>
  <si>
    <t>ML</t>
  </si>
  <si>
    <t>451.9490 km²</t>
  </si>
  <si>
    <t>02029</t>
  </si>
  <si>
    <t>PAKI</t>
  </si>
  <si>
    <t>LIBASSE NIANG (100%)</t>
  </si>
  <si>
    <t>grès</t>
  </si>
  <si>
    <t>5.5140 Ha</t>
  </si>
  <si>
    <t>02030</t>
  </si>
  <si>
    <t>A004068 Diack_Houar-Sintram</t>
  </si>
  <si>
    <t>GROUPEMENT D'ENTREPRISE HOUAR-SINTRAM</t>
  </si>
  <si>
    <t>3.9543 Ha</t>
  </si>
  <si>
    <t>02031</t>
  </si>
  <si>
    <t>Allou Kagne</t>
  </si>
  <si>
    <t>CARRIERE ET SABLES (100%)</t>
  </si>
  <si>
    <t>6.1856 Ha</t>
  </si>
  <si>
    <t>02032</t>
  </si>
  <si>
    <t>Ourossogui</t>
  </si>
  <si>
    <t>AFRICAN PHOSPHATE COMPANY (100%)</t>
  </si>
  <si>
    <t>717.6338 km²</t>
  </si>
  <si>
    <t>02033</t>
  </si>
  <si>
    <t>GAZAL CARRIERES (100%)</t>
  </si>
  <si>
    <t>17.3762 Ha</t>
  </si>
  <si>
    <t>02034</t>
  </si>
  <si>
    <t>Thicky-Pout</t>
  </si>
  <si>
    <t>DANGOTE INDUSTRIES SENEGAL SA</t>
  </si>
  <si>
    <t>argile industrielle, calcaire, latérite</t>
  </si>
  <si>
    <t>13.0574 km²</t>
  </si>
  <si>
    <t>02035</t>
  </si>
  <si>
    <t>A008206 Diack</t>
  </si>
  <si>
    <t>40.8988 Ha</t>
  </si>
  <si>
    <t>02036</t>
  </si>
  <si>
    <t>CARRIERE ABDOU FATTAH SA (100%)</t>
  </si>
  <si>
    <t>15.2686 Ha</t>
  </si>
  <si>
    <t>02037</t>
  </si>
  <si>
    <t>A07540 _ Périmètre de Diack</t>
  </si>
  <si>
    <t>14.9861 Ha</t>
  </si>
  <si>
    <t>02038</t>
  </si>
  <si>
    <t>DOUTA</t>
  </si>
  <si>
    <t>INTERNATIONAL MINING COMPANY (100%)</t>
  </si>
  <si>
    <t>58.1464 km²</t>
  </si>
  <si>
    <t>02039</t>
  </si>
  <si>
    <t>Bondala</t>
  </si>
  <si>
    <t>LIBIDOR (100%)</t>
  </si>
  <si>
    <t>499.1415 Ha</t>
  </si>
  <si>
    <t>02040</t>
  </si>
  <si>
    <t>Lobe Sud-Ouest Ndendouri</t>
  </si>
  <si>
    <t>SOCIETE D'ETUDES ET DE REALISATION DES PHOSPHATES DE MATAM (SERPM)</t>
  </si>
  <si>
    <t>0.7567 km²</t>
  </si>
  <si>
    <t>02041</t>
  </si>
  <si>
    <t>5.0028 Ha</t>
  </si>
  <si>
    <t>02042</t>
  </si>
  <si>
    <t>WEST AFRICAN TRADING INVESTMENT CONSTRUCTION (100%)</t>
  </si>
  <si>
    <t>5.6591 Ha</t>
  </si>
  <si>
    <t>02043</t>
  </si>
  <si>
    <t>MAROUNDING</t>
  </si>
  <si>
    <t>COMPAGNIE KHADIM RASSOUL</t>
  </si>
  <si>
    <t>0.5062 km²</t>
  </si>
  <si>
    <t>02044</t>
  </si>
  <si>
    <t>DIACK</t>
  </si>
  <si>
    <t>14.0155 Ha</t>
  </si>
  <si>
    <t>02045</t>
  </si>
  <si>
    <t>21.1191 Ha</t>
  </si>
  <si>
    <t>02047</t>
  </si>
  <si>
    <t>NDIAMBOUR</t>
  </si>
  <si>
    <t>11.3183 Ha</t>
  </si>
  <si>
    <t>02048</t>
  </si>
  <si>
    <t>Périmétre Lam-Lam</t>
  </si>
  <si>
    <t>SEPHOS (100%)</t>
  </si>
  <si>
    <t>499.4376 Ha</t>
  </si>
  <si>
    <t>02049</t>
  </si>
  <si>
    <t>Tomboronkoto</t>
  </si>
  <si>
    <t>GIE  TOMBORONKOTO (100%)</t>
  </si>
  <si>
    <t>49.9997 Ha</t>
  </si>
  <si>
    <t>02050</t>
  </si>
  <si>
    <t>NGARI SEEKOTO</t>
  </si>
  <si>
    <t>GIE BENKANTO (100%)</t>
  </si>
  <si>
    <t>50.2907 Ha</t>
  </si>
  <si>
    <t>02051</t>
  </si>
  <si>
    <t>NGARI</t>
  </si>
  <si>
    <t>GIE BENCOUTOU (100%)</t>
  </si>
  <si>
    <t>0.4999 km²</t>
  </si>
  <si>
    <t>02052</t>
  </si>
  <si>
    <t>ENTREPRISE MAPATHE NDIOUCK (100%)</t>
  </si>
  <si>
    <t>10.0835 Ha</t>
  </si>
  <si>
    <t>02053</t>
  </si>
  <si>
    <t>petite mine de grés rouge</t>
  </si>
  <si>
    <t>gr</t>
  </si>
  <si>
    <t>507.5874 Ha</t>
  </si>
  <si>
    <t>02054</t>
  </si>
  <si>
    <t>grés noir  à Bakel</t>
  </si>
  <si>
    <t>gn</t>
  </si>
  <si>
    <t>511.2435 Ha</t>
  </si>
  <si>
    <t>02056</t>
  </si>
  <si>
    <t>DJINDJI BASSARI</t>
  </si>
  <si>
    <t>GIE CARECIM (100%)</t>
  </si>
  <si>
    <t>0.5000 km²</t>
  </si>
  <si>
    <t>02057</t>
  </si>
  <si>
    <t>Bargny</t>
  </si>
  <si>
    <t>SECAMI (100%)</t>
  </si>
  <si>
    <t>10.0000 Ha</t>
  </si>
  <si>
    <t>02058</t>
  </si>
  <si>
    <t>IBEL &amp; BANDAFASSI</t>
  </si>
  <si>
    <t>MAGAL GUI CARREAUX Suarl (100%)</t>
  </si>
  <si>
    <t>marbre</t>
  </si>
  <si>
    <t>128.7931 Ha</t>
  </si>
  <si>
    <t>02059</t>
  </si>
  <si>
    <t>Woyé</t>
  </si>
  <si>
    <t>MINING RESEARCH COMPANY S.L (100%)</t>
  </si>
  <si>
    <t>52.8169 km²</t>
  </si>
  <si>
    <t>02060</t>
  </si>
  <si>
    <t>Ndoukoura Ouolof- SYPROM SA</t>
  </si>
  <si>
    <t>SYPROM SA (100%)</t>
  </si>
  <si>
    <t>11.4965 Ha</t>
  </si>
  <si>
    <t>02061</t>
  </si>
  <si>
    <t>Ngari Marounding</t>
  </si>
  <si>
    <t>SONKO ET FILS SARL (100%)</t>
  </si>
  <si>
    <t>0.4675 km²</t>
  </si>
  <si>
    <t>02062</t>
  </si>
  <si>
    <t>TAIBA</t>
  </si>
  <si>
    <t>Sl</t>
  </si>
  <si>
    <t>73.9197 Ha</t>
  </si>
  <si>
    <t>02063</t>
  </si>
  <si>
    <t>SEGUEKHO BIS</t>
  </si>
  <si>
    <t>DIAKHA GOLD MINES</t>
  </si>
  <si>
    <t>0.5001 km²</t>
  </si>
  <si>
    <t>02064</t>
  </si>
  <si>
    <t>Lingokoto</t>
  </si>
  <si>
    <t>AFRIGEM SL (100%)</t>
  </si>
  <si>
    <t>119.8954 km²</t>
  </si>
  <si>
    <t>02065</t>
  </si>
  <si>
    <t>MADINA</t>
  </si>
  <si>
    <t>AMAR CONSULTING (100%)</t>
  </si>
  <si>
    <t>174.8785 km²</t>
  </si>
  <si>
    <t>02066</t>
  </si>
  <si>
    <t>FADOUGOU NIAFFA</t>
  </si>
  <si>
    <t>NIAZA BTP SARL  (100%)</t>
  </si>
  <si>
    <t>49.3337 Ha</t>
  </si>
  <si>
    <t>02067</t>
  </si>
  <si>
    <t>carrière de grès à Ndiass</t>
  </si>
  <si>
    <t>AL AZHAR MINES ET CARRIERES (100%)</t>
  </si>
  <si>
    <t>29.9166 Ha</t>
  </si>
  <si>
    <t>02068</t>
  </si>
  <si>
    <t>Wassadou Nord</t>
  </si>
  <si>
    <t>SOCIETE DES MINES DU SENEGAL (SODEMINES) (100%)</t>
  </si>
  <si>
    <t>30.2035 km²</t>
  </si>
  <si>
    <t>02069</t>
  </si>
  <si>
    <t>DIAKHA</t>
  </si>
  <si>
    <t>COMPTOIR NUMISMATIQUE SERGE GUELLE KEDOUGOU</t>
  </si>
  <si>
    <t>502.5383 Ha</t>
  </si>
  <si>
    <t>02070</t>
  </si>
  <si>
    <t>Ndoukhoura Wolof</t>
  </si>
  <si>
    <t>11.5537 Ha</t>
  </si>
  <si>
    <t>02071</t>
  </si>
  <si>
    <t>XEWELL CIMENTERIES SA (100%)</t>
  </si>
  <si>
    <t>89.8361 Ha</t>
  </si>
  <si>
    <t>02072</t>
  </si>
  <si>
    <t>Diendouri Ouali Diala</t>
  </si>
  <si>
    <t>633.5624 km²</t>
  </si>
  <si>
    <t>02073</t>
  </si>
  <si>
    <t>Orkadièré</t>
  </si>
  <si>
    <t>389.3345 km²</t>
  </si>
  <si>
    <t>02074</t>
  </si>
  <si>
    <t>FADOUMARA</t>
  </si>
  <si>
    <t>GIE WALY GNIMA</t>
  </si>
  <si>
    <t>49.9174 Ha</t>
  </si>
  <si>
    <t>02075</t>
  </si>
  <si>
    <t>SANSAMBA</t>
  </si>
  <si>
    <t>SERIGNE SALIOU MBACKE SARL</t>
  </si>
  <si>
    <t>5.0133 km²</t>
  </si>
  <si>
    <t>02076</t>
  </si>
  <si>
    <t>Noto</t>
  </si>
  <si>
    <t>PLASMA (100%)</t>
  </si>
  <si>
    <t>390.8459 km²</t>
  </si>
  <si>
    <t>02077</t>
  </si>
  <si>
    <t>BANTA SUD</t>
  </si>
  <si>
    <t>GIE ORPAILLEURS DE BANTAKO (100%)</t>
  </si>
  <si>
    <t>49.9886 Ha</t>
  </si>
  <si>
    <t>02078</t>
  </si>
  <si>
    <t>Wassadou Sud</t>
  </si>
  <si>
    <t>37.4632 km²</t>
  </si>
  <si>
    <t>02079</t>
  </si>
  <si>
    <t>Tomormadji</t>
  </si>
  <si>
    <t>GH MINING SARL (100%)</t>
  </si>
  <si>
    <t>Mn</t>
  </si>
  <si>
    <t>Transformation en Cours</t>
  </si>
  <si>
    <t>243.3180 km²</t>
  </si>
  <si>
    <t>02080</t>
  </si>
  <si>
    <t>Lam-Lam Nord-Est</t>
  </si>
  <si>
    <t>9,079.9179 Ha</t>
  </si>
  <si>
    <t>02082</t>
  </si>
  <si>
    <t>kOULOUNTOU</t>
  </si>
  <si>
    <t>AAURIC HOLDINGS PTE.LTD (100%)</t>
  </si>
  <si>
    <t>20.4000 km²</t>
  </si>
  <si>
    <t>02083</t>
  </si>
  <si>
    <t>Aouré</t>
  </si>
  <si>
    <t>497.1276 Ha</t>
  </si>
  <si>
    <t>02084</t>
  </si>
  <si>
    <t>Sud Kenieba &amp; Medina Foulbe</t>
  </si>
  <si>
    <t>4.9797 km²</t>
  </si>
  <si>
    <t>02085</t>
  </si>
  <si>
    <t>Sud Saint Louis</t>
  </si>
  <si>
    <t>SEN-HMC MINING SUARL (100%)</t>
  </si>
  <si>
    <t>Saint Louis</t>
  </si>
  <si>
    <t>5.0002 km²</t>
  </si>
  <si>
    <t>02086</t>
  </si>
  <si>
    <t>Marounding Sud</t>
  </si>
  <si>
    <t>VAN-GOLD S.U.A.R.L (100%)</t>
  </si>
  <si>
    <t>50.0650 Ha</t>
  </si>
  <si>
    <t>02087</t>
  </si>
  <si>
    <t>TCHICKY</t>
  </si>
  <si>
    <t>Amadou Kebe (100%)</t>
  </si>
  <si>
    <t>6.3067 Ha</t>
  </si>
  <si>
    <t>02088</t>
  </si>
  <si>
    <t>Thicky</t>
  </si>
  <si>
    <t>SOFAMAC (100%)</t>
  </si>
  <si>
    <t>19.6166 Ha</t>
  </si>
  <si>
    <t>02089</t>
  </si>
  <si>
    <t>TIANKOU BASSADIE</t>
  </si>
  <si>
    <t>GOLDEN AFRIK (100%)</t>
  </si>
  <si>
    <t>02090</t>
  </si>
  <si>
    <t>1.5148 Ha</t>
  </si>
  <si>
    <t>02091</t>
  </si>
  <si>
    <t>YANG-YANG</t>
  </si>
  <si>
    <t>COMPTOIRE COMMERCIAL DAOUDA DIA SUARL (100%)</t>
  </si>
  <si>
    <t>Louga</t>
  </si>
  <si>
    <t>20.1820 Ha</t>
  </si>
  <si>
    <t>02092</t>
  </si>
  <si>
    <t>Koussolo</t>
  </si>
  <si>
    <t>36.5101 km²</t>
  </si>
  <si>
    <t>02093</t>
  </si>
  <si>
    <t>Fissel</t>
  </si>
  <si>
    <t>2,603.8350 km²</t>
  </si>
  <si>
    <t>02094</t>
  </si>
  <si>
    <t>LOWRE INDUSTRIES (100%)</t>
  </si>
  <si>
    <t>15.4380 Ha</t>
  </si>
  <si>
    <t>02095</t>
  </si>
  <si>
    <t>sadio</t>
  </si>
  <si>
    <t>4,100.1026 km²</t>
  </si>
  <si>
    <t>02096</t>
  </si>
  <si>
    <t>Makana Est</t>
  </si>
  <si>
    <t>WEST AFRICAN INVESTMENT HOLDING SA (100%)</t>
  </si>
  <si>
    <t>39.7022 km²</t>
  </si>
  <si>
    <t>02097</t>
  </si>
  <si>
    <t>Thioun</t>
  </si>
  <si>
    <t>4.9733 km²</t>
  </si>
  <si>
    <t>02098</t>
  </si>
  <si>
    <t>BANDAFASSI</t>
  </si>
  <si>
    <t>IGNACIO  GARCIA MARTIN (100%)</t>
  </si>
  <si>
    <t>dl</t>
  </si>
  <si>
    <t>2.7020 km²</t>
  </si>
  <si>
    <t>02099</t>
  </si>
  <si>
    <t>SAME</t>
  </si>
  <si>
    <t>COMPAGNIE SENEGALAISE DES MINES</t>
  </si>
  <si>
    <t>50.2180 Ha</t>
  </si>
  <si>
    <t>02100</t>
  </si>
  <si>
    <t>KEBEMER</t>
  </si>
  <si>
    <t>CAYOR PHOSPHATE MINING SA (100%)</t>
  </si>
  <si>
    <t>637.4849 km²</t>
  </si>
  <si>
    <t>02101</t>
  </si>
  <si>
    <t>DIOUBELA</t>
  </si>
  <si>
    <t>DG MINING (100%)</t>
  </si>
  <si>
    <t>666.9563 km²</t>
  </si>
  <si>
    <t>02102</t>
  </si>
  <si>
    <t>Placer de Bondala</t>
  </si>
  <si>
    <t>SEN ITA GOLD (100%)</t>
  </si>
  <si>
    <t>50.0000 Ha</t>
  </si>
  <si>
    <t>02103</t>
  </si>
  <si>
    <t>SOCIETE MINIERE DJIBREIL DIAGNE MON PARENT (100%)</t>
  </si>
  <si>
    <t>10.0586 Ha</t>
  </si>
  <si>
    <t>02104</t>
  </si>
  <si>
    <t>Baytilaye</t>
  </si>
  <si>
    <t>SDK MINING SA (100%)</t>
  </si>
  <si>
    <t>154.4092 km²</t>
  </si>
  <si>
    <t>02105</t>
  </si>
  <si>
    <t>Couloir 1_Diabougou</t>
  </si>
  <si>
    <t>REPUBLIQUE DU SENEGAL (100%)</t>
  </si>
  <si>
    <t>CO</t>
  </si>
  <si>
    <t>1,190.3535 Ha</t>
  </si>
  <si>
    <t>02106</t>
  </si>
  <si>
    <t>Couloir 2_Soukounkou</t>
  </si>
  <si>
    <t>1,087.8000 Ha</t>
  </si>
  <si>
    <t>02107</t>
  </si>
  <si>
    <t>Couloir 3_Soreto</t>
  </si>
  <si>
    <t>6.3000 km²</t>
  </si>
  <si>
    <t>02108</t>
  </si>
  <si>
    <t>Couloir 4_Makana</t>
  </si>
  <si>
    <t>190.0117 Ha</t>
  </si>
  <si>
    <t>02109</t>
  </si>
  <si>
    <t>Couloir 5_Tinkoto</t>
  </si>
  <si>
    <t>17.8249 km²</t>
  </si>
  <si>
    <t>02110</t>
  </si>
  <si>
    <t>Couloir 6_Bantako</t>
  </si>
  <si>
    <t>7.3250 km²</t>
  </si>
  <si>
    <t>02111</t>
  </si>
  <si>
    <t>Couloir 7_Sansamba</t>
  </si>
  <si>
    <t>02112</t>
  </si>
  <si>
    <t>Couloir 8_kabetea Gossan</t>
  </si>
  <si>
    <t>107.6606 Ha</t>
  </si>
  <si>
    <t>02113</t>
  </si>
  <si>
    <t>Couloir 9_Baqata</t>
  </si>
  <si>
    <t>0.8458 km²</t>
  </si>
  <si>
    <t>02114</t>
  </si>
  <si>
    <t>Couloir 10_Garaboureya</t>
  </si>
  <si>
    <t>5.4193 km²</t>
  </si>
  <si>
    <t>02115</t>
  </si>
  <si>
    <t>Couloir 11_Satadougou</t>
  </si>
  <si>
    <t>12.0891 km²</t>
  </si>
  <si>
    <t>02116</t>
  </si>
  <si>
    <t>Couloir12_Daorala</t>
  </si>
  <si>
    <t>3,060.7524 Ha</t>
  </si>
  <si>
    <t>02117</t>
  </si>
  <si>
    <t>Couloir13_Karakaena</t>
  </si>
  <si>
    <t>27.0468 Ha</t>
  </si>
  <si>
    <t>02118</t>
  </si>
  <si>
    <t>Couloir 14_Bondola</t>
  </si>
  <si>
    <t>28.9050 km²</t>
  </si>
  <si>
    <t>02119</t>
  </si>
  <si>
    <t>Couloir 15_Lingokhoto</t>
  </si>
  <si>
    <t>37.8666 km²</t>
  </si>
  <si>
    <t>02120</t>
  </si>
  <si>
    <t>Couloir 16_Diakhaling</t>
  </si>
  <si>
    <t>12.7868 km²</t>
  </si>
  <si>
    <t>02121</t>
  </si>
  <si>
    <t>Couloir 17_Balankonko</t>
  </si>
  <si>
    <t>37.5356 km²</t>
  </si>
  <si>
    <t>02122</t>
  </si>
  <si>
    <t>Tambabérie</t>
  </si>
  <si>
    <t>02123</t>
  </si>
  <si>
    <t>Niamaya</t>
  </si>
  <si>
    <t>NIAMAYA GOLD</t>
  </si>
  <si>
    <t>43.4168 km²</t>
  </si>
  <si>
    <t>02124</t>
  </si>
  <si>
    <t>BARAFOUTE</t>
  </si>
  <si>
    <t>TSG MINING COMPANY SARL (100%)</t>
  </si>
  <si>
    <t>10.7330 Ha</t>
  </si>
  <si>
    <t>02125</t>
  </si>
  <si>
    <t>Garaboureye-Nord</t>
  </si>
  <si>
    <t>NDEYE MATY TRADE (100%)</t>
  </si>
  <si>
    <t>02126</t>
  </si>
  <si>
    <t>A04252_ Diack</t>
  </si>
  <si>
    <t>5.0633 Ha</t>
  </si>
  <si>
    <t>02127</t>
  </si>
  <si>
    <t>Thilogne</t>
  </si>
  <si>
    <t>AMAFRIQUE SENEGAL (100%)</t>
  </si>
  <si>
    <t>891.7500 km²</t>
  </si>
  <si>
    <t>02128</t>
  </si>
  <si>
    <t>VAPROM AFRICA SA (100%)</t>
  </si>
  <si>
    <t>14.3139 Ha</t>
  </si>
  <si>
    <t>02129</t>
  </si>
  <si>
    <t>Pout</t>
  </si>
  <si>
    <t>SOCIETE INDUSTRIELLE ET MINIERE SUARL (100%)</t>
  </si>
  <si>
    <t>10.0173 Ha</t>
  </si>
  <si>
    <t>02130</t>
  </si>
  <si>
    <t>Diamba Sud</t>
  </si>
  <si>
    <t>BOYA SAU</t>
  </si>
  <si>
    <t>53.4554 km²</t>
  </si>
  <si>
    <t>02131</t>
  </si>
  <si>
    <t>DIAMBA NORD</t>
  </si>
  <si>
    <t>Au, Cu</t>
  </si>
  <si>
    <t>180.6493 km²</t>
  </si>
  <si>
    <t>02132</t>
  </si>
  <si>
    <t>Sud Kanel</t>
  </si>
  <si>
    <t>1,704.0622 km²</t>
  </si>
  <si>
    <t>02133</t>
  </si>
  <si>
    <t>ETS/PID</t>
  </si>
  <si>
    <t>19.6553 Ha</t>
  </si>
  <si>
    <t>02134</t>
  </si>
  <si>
    <t>NIAKHENE</t>
  </si>
  <si>
    <t>G-PHOS S.A.U</t>
  </si>
  <si>
    <t>636.0975 km²</t>
  </si>
  <si>
    <t>02135</t>
  </si>
  <si>
    <t>LIMETECH SA (100%)</t>
  </si>
  <si>
    <t>19.6820 Ha</t>
  </si>
  <si>
    <t>02136</t>
  </si>
  <si>
    <t>MOM SARL (100%)</t>
  </si>
  <si>
    <t>6.0200 Ha</t>
  </si>
  <si>
    <t>02137</t>
  </si>
  <si>
    <t>29.2383 Ha</t>
  </si>
  <si>
    <t>02138</t>
  </si>
  <si>
    <t>DELTA MINING (100%)</t>
  </si>
  <si>
    <t>15.5190 Ha</t>
  </si>
  <si>
    <t>02139</t>
  </si>
  <si>
    <t>DOUMA SEYE (100%)</t>
  </si>
  <si>
    <t>10.4384 Ha</t>
  </si>
  <si>
    <t>02140</t>
  </si>
  <si>
    <t>SOCIETE DES TERRES NEUVES SARL (100%)</t>
  </si>
  <si>
    <t>17.2358 Ha</t>
  </si>
  <si>
    <t>02141</t>
  </si>
  <si>
    <t>Pape Sangoné Sall</t>
  </si>
  <si>
    <t>0.0765 km²</t>
  </si>
  <si>
    <t>02142</t>
  </si>
  <si>
    <t>SOCIETE DE SERVICES, BATIMENT ET COMMERCE INTERNATIONALE 2SBCI SUARL (100%)</t>
  </si>
  <si>
    <t>30.0345 Ha</t>
  </si>
  <si>
    <t>02143</t>
  </si>
  <si>
    <t>MAKO</t>
  </si>
  <si>
    <t>CONSORTIUM SENEGALAISE D' INDUSTRIE ET DE COMMERCE</t>
  </si>
  <si>
    <t>22.2585 Ha</t>
  </si>
  <si>
    <t>02144</t>
  </si>
  <si>
    <t>D2007-851 Falémé</t>
  </si>
  <si>
    <t>SOCIETE  DES MINES DE FER DE LA FALEME (MIFERSO)</t>
  </si>
  <si>
    <t>fer</t>
  </si>
  <si>
    <t>1,331.7571 km²</t>
  </si>
  <si>
    <t>02145</t>
  </si>
  <si>
    <t>NORD-OUEST LINGUEKHOTO</t>
  </si>
  <si>
    <t>SESAM GOLD SARL (100%)</t>
  </si>
  <si>
    <t>02146</t>
  </si>
  <si>
    <t>KARAKAENA</t>
  </si>
  <si>
    <t>AFRIGOLD  SARL (90%)</t>
  </si>
  <si>
    <t>PE</t>
  </si>
  <si>
    <t>38.6940 km²</t>
  </si>
  <si>
    <t>02147</t>
  </si>
  <si>
    <t>SAMEKOUTA</t>
  </si>
  <si>
    <t>BASMALA INTERNATIONAL SARL (100%)</t>
  </si>
  <si>
    <t>45.4950 Ha</t>
  </si>
  <si>
    <t>02148</t>
  </si>
  <si>
    <t>POUT</t>
  </si>
  <si>
    <t>SPGCC SARL (100%)</t>
  </si>
  <si>
    <t>14.9082 Ha</t>
  </si>
  <si>
    <t>02149</t>
  </si>
  <si>
    <t>Cherif Lo Ngakham</t>
  </si>
  <si>
    <t>BAOBAB MINING AND CHEMICAL CORP SA</t>
  </si>
  <si>
    <t>74.5280 km²</t>
  </si>
  <si>
    <t>02150</t>
  </si>
  <si>
    <t>NDINDY</t>
  </si>
  <si>
    <t>SOCIETE D'AMENAGEMENT DE BATIMENT ET D'ETUDES GENERALES (SOCABEG) (100%)</t>
  </si>
  <si>
    <t>490.4012 km²</t>
  </si>
  <si>
    <t>02151</t>
  </si>
  <si>
    <t>Kalikoutoto</t>
  </si>
  <si>
    <t>02152</t>
  </si>
  <si>
    <t>Sambarabougou</t>
  </si>
  <si>
    <t>MAKABINGUI GOLD OPERATIONS SA (90%)</t>
  </si>
  <si>
    <t>121.4052 km²</t>
  </si>
  <si>
    <t>02153</t>
  </si>
  <si>
    <t>KEUR LAT DIOP FALL</t>
  </si>
  <si>
    <t>LES CARRIERES CTG SARL (100%)</t>
  </si>
  <si>
    <t>173.9988 Ha</t>
  </si>
  <si>
    <t>02154</t>
  </si>
  <si>
    <t>ISLE WORLDWIDE (100%)</t>
  </si>
  <si>
    <t>AEHTR</t>
  </si>
  <si>
    <t>0.0002 km²</t>
  </si>
  <si>
    <t>02155</t>
  </si>
  <si>
    <t>PETOWAL MINING COMPANY (PMC) SA</t>
  </si>
  <si>
    <t>87.2102 km²</t>
  </si>
  <si>
    <t>02156</t>
  </si>
  <si>
    <t>COKI</t>
  </si>
  <si>
    <t>CHALLENGER NORD-SUD INTERNATIONAL SAS</t>
  </si>
  <si>
    <t>4,396.4806 km²</t>
  </si>
  <si>
    <t>02157</t>
  </si>
  <si>
    <t>KHARAKHENA</t>
  </si>
  <si>
    <t>GIE KEDOUGOU DENTAL</t>
  </si>
  <si>
    <t>0.4950 km²</t>
  </si>
  <si>
    <t>02158</t>
  </si>
  <si>
    <t>TINKOTO SOU</t>
  </si>
  <si>
    <t>GIE SINING KANG (100%)</t>
  </si>
  <si>
    <t>36.2410 Ha</t>
  </si>
  <si>
    <t>02159</t>
  </si>
  <si>
    <t>Tassette</t>
  </si>
  <si>
    <t>SOCIETE CIVILE IMMOBILIERE S.C.I.D.D (100%)</t>
  </si>
  <si>
    <t>38.3335 Ha</t>
  </si>
  <si>
    <t>02160</t>
  </si>
  <si>
    <t>ENTREPRISE GENERALE D'EQUIPEMENT  SARL (100%)</t>
  </si>
  <si>
    <t>17.3701 Ha</t>
  </si>
  <si>
    <t>02161</t>
  </si>
  <si>
    <t>Taiba</t>
  </si>
  <si>
    <t>URBAINE D'ENTREPRISE (100%)</t>
  </si>
  <si>
    <t>0.0000 km²</t>
  </si>
  <si>
    <t>02162</t>
  </si>
  <si>
    <t>DIAGUIRY</t>
  </si>
  <si>
    <t>INTERNATIONAL COMPANY OF TRADE AND SERVICES SA  (100%)</t>
  </si>
  <si>
    <t>215.5623 km²</t>
  </si>
  <si>
    <t>02163</t>
  </si>
  <si>
    <t>SWAMI MINES SAU (100%)</t>
  </si>
  <si>
    <t>0.0000 Ha</t>
  </si>
  <si>
    <t>02164</t>
  </si>
  <si>
    <t>TOUBA TOUL</t>
  </si>
  <si>
    <t>phosphate de chaux, substances connexes</t>
  </si>
  <si>
    <t>314.5745 km²</t>
  </si>
  <si>
    <t>02165</t>
  </si>
  <si>
    <t>AGROMINE SUARL (100%)</t>
  </si>
  <si>
    <t>38.5224 Ha</t>
  </si>
  <si>
    <t>02166</t>
  </si>
  <si>
    <t>94.9570 Ha</t>
  </si>
  <si>
    <t>02167</t>
  </si>
  <si>
    <t>BUL FAALE PRODUCTION (100%)</t>
  </si>
  <si>
    <t>4.8899 Ha</t>
  </si>
  <si>
    <t>02168</t>
  </si>
  <si>
    <t>BOUSANKOBA</t>
  </si>
  <si>
    <t>GIE BOUSANKO GOLD (100%)</t>
  </si>
  <si>
    <t>02169</t>
  </si>
  <si>
    <t>CIMENTS DE L'AFRIQUE  (100%)</t>
  </si>
  <si>
    <t>803.6826 Ha</t>
  </si>
  <si>
    <t>02170</t>
  </si>
  <si>
    <t>692.2136 Ha</t>
  </si>
  <si>
    <t>02171</t>
  </si>
  <si>
    <t>MAROUNDING NORD</t>
  </si>
  <si>
    <t>SALLA NIANG Sarl (100%)</t>
  </si>
  <si>
    <t>51.0000 Ha</t>
  </si>
  <si>
    <t>02172</t>
  </si>
  <si>
    <t>Darou</t>
  </si>
  <si>
    <t>SEMAC (100%)</t>
  </si>
  <si>
    <t>0.0004 km²</t>
  </si>
  <si>
    <t>02173</t>
  </si>
  <si>
    <t>BOULBI</t>
  </si>
  <si>
    <t>SAHEL MINERALS SARL (100%)</t>
  </si>
  <si>
    <t>Cu, substances connexes</t>
  </si>
  <si>
    <t>316.2000 km²</t>
  </si>
  <si>
    <t>02174</t>
  </si>
  <si>
    <t>BETON DU SAHEL  (100%)</t>
  </si>
  <si>
    <t>02175</t>
  </si>
  <si>
    <t>WAKALI GINDE</t>
  </si>
  <si>
    <t>31.7186 km²</t>
  </si>
  <si>
    <t>02176</t>
  </si>
  <si>
    <t>KOULOUNTOU EST</t>
  </si>
  <si>
    <t>BAMBUK MINERALS (100%)</t>
  </si>
  <si>
    <t>26.0411 km²</t>
  </si>
  <si>
    <t>02177</t>
  </si>
  <si>
    <t>NIAFRANG</t>
  </si>
  <si>
    <t>SENEGAL MINERAL RESOURCES SA (100%)</t>
  </si>
  <si>
    <t>184.9057 Ha</t>
  </si>
  <si>
    <t>02178</t>
  </si>
  <si>
    <t>FUTURIS IMMOBILIER (100%)</t>
  </si>
  <si>
    <t>0.0003 km²</t>
  </si>
  <si>
    <t>02179</t>
  </si>
  <si>
    <t>MBF PROPERTIES SA (100%)</t>
  </si>
  <si>
    <t>20.4228 Ha</t>
  </si>
  <si>
    <t>02180</t>
  </si>
  <si>
    <t>LAFIA</t>
  </si>
  <si>
    <t>212.1363 km²</t>
  </si>
  <si>
    <t>02181</t>
  </si>
  <si>
    <t>Bafoundou</t>
  </si>
  <si>
    <t>MAISON INTERNATIONALE DU COMMERCE (MIC) (100%)</t>
  </si>
  <si>
    <t>201.1024 Ha</t>
  </si>
  <si>
    <t>02182</t>
  </si>
  <si>
    <t>ORING TECHNOLOGIES SARL (100%)</t>
  </si>
  <si>
    <t>5.0850 Ha</t>
  </si>
  <si>
    <t>02183</t>
  </si>
  <si>
    <t>KEREKONKO</t>
  </si>
  <si>
    <t>G.I.E. " LE WOUROUS"</t>
  </si>
  <si>
    <t>49.8468 Ha</t>
  </si>
  <si>
    <t>02184</t>
  </si>
  <si>
    <t>MOUHAMED RASSOUL SECK SERVICES (100%)</t>
  </si>
  <si>
    <t>5.1048 Ha</t>
  </si>
  <si>
    <t>02185</t>
  </si>
  <si>
    <t>Ndebou</t>
  </si>
  <si>
    <t>SEGIMAR SA</t>
  </si>
  <si>
    <t>10.1638 Ha</t>
  </si>
  <si>
    <t>02186</t>
  </si>
  <si>
    <t>OUEST DJIKOYE</t>
  </si>
  <si>
    <t>SOCAM SARL</t>
  </si>
  <si>
    <t>02187</t>
  </si>
  <si>
    <t>Deni Biram Ndao</t>
  </si>
  <si>
    <t>DIAMENTE TECHNOLOGIE (100%)</t>
  </si>
  <si>
    <t>106.2912 Ha</t>
  </si>
  <si>
    <t>02188</t>
  </si>
  <si>
    <t>ALBINA SENEGAL (100%)</t>
  </si>
  <si>
    <t>15.0505 Ha</t>
  </si>
  <si>
    <t>02189</t>
  </si>
  <si>
    <t>BANTAKO</t>
  </si>
  <si>
    <t>GIE REBISEN (100%)</t>
  </si>
  <si>
    <t>02190</t>
  </si>
  <si>
    <t>SEGUEKO2</t>
  </si>
  <si>
    <t>GIE KEDOUGOU BISNESS</t>
  </si>
  <si>
    <t>02191</t>
  </si>
  <si>
    <t>SOCIETE SENEGALAISE DES MINES ET CARRIERES (100%)</t>
  </si>
  <si>
    <t>0.1010 Ha</t>
  </si>
  <si>
    <t>02192</t>
  </si>
  <si>
    <t>LES CARRIERES DE DAROU (100%)</t>
  </si>
  <si>
    <t>0.1790 Ha</t>
  </si>
  <si>
    <t>02193</t>
  </si>
  <si>
    <t>GOUYE MBINDE CONCASSAGE SARL (100%)</t>
  </si>
  <si>
    <t>0.1210 Ha</t>
  </si>
  <si>
    <t>02194</t>
  </si>
  <si>
    <t>BAISSO</t>
  </si>
  <si>
    <t>VAN-GOLD S.U.A.R.L</t>
  </si>
  <si>
    <t>4.5614 km²</t>
  </si>
  <si>
    <t>02195</t>
  </si>
  <si>
    <t>02196</t>
  </si>
  <si>
    <t>ICS/TAIBA</t>
  </si>
  <si>
    <t>LES MAMELLES SARL (100%)</t>
  </si>
  <si>
    <t>0.0021 km²</t>
  </si>
  <si>
    <t>02197</t>
  </si>
  <si>
    <t>Diass</t>
  </si>
  <si>
    <t>MANSOUR YAYOU MANSOUR (100%)</t>
  </si>
  <si>
    <t>10.7468 Ha</t>
  </si>
  <si>
    <t>02198</t>
  </si>
  <si>
    <t>ROCHES BETONS ET OUVRAGES DU SENEGAL  SARL   (100%)</t>
  </si>
  <si>
    <t>0.0260 Ha</t>
  </si>
  <si>
    <t>02199</t>
  </si>
  <si>
    <t>MADINA FOULBE</t>
  </si>
  <si>
    <t>146.2646 km²</t>
  </si>
  <si>
    <t>02200</t>
  </si>
  <si>
    <t>BRANSAN</t>
  </si>
  <si>
    <t>SABODALA MINING COMPANY (100%)</t>
  </si>
  <si>
    <t>Au, substances connexes</t>
  </si>
  <si>
    <t>193.3617 km²</t>
  </si>
  <si>
    <t>02201</t>
  </si>
  <si>
    <t>SOUNKOUNKOU</t>
  </si>
  <si>
    <t>Renonciation</t>
  </si>
  <si>
    <t>291.6796 km²</t>
  </si>
  <si>
    <t>02202</t>
  </si>
  <si>
    <t>KASSASSOKO</t>
  </si>
  <si>
    <t>SOYA GOLD SARL (100%)</t>
  </si>
  <si>
    <t>39.3783 Ha</t>
  </si>
  <si>
    <t>02203</t>
  </si>
  <si>
    <t>TRIYANGS INTERNATIONAL MINING GROUP SA (100%)</t>
  </si>
  <si>
    <t>18.2902 km²</t>
  </si>
  <si>
    <t>02204</t>
  </si>
  <si>
    <t>ENTREPRISE GENERALE D'ELECTRICITE (100%)</t>
  </si>
  <si>
    <t>0.0001 km²</t>
  </si>
  <si>
    <t>02205</t>
  </si>
  <si>
    <t>Toglou</t>
  </si>
  <si>
    <t>MRL INTERNATIONAL INDUSTRIES SARL (100%)</t>
  </si>
  <si>
    <t>4.4956 Ha</t>
  </si>
  <si>
    <t>02206</t>
  </si>
  <si>
    <t>Ibel et Ndébou</t>
  </si>
  <si>
    <t>NOUVELLES SOCIETE DES MINES ET DES TRAVAUX PUBLIQUES (100%)</t>
  </si>
  <si>
    <t>36.1886 Ha</t>
  </si>
  <si>
    <t>02207</t>
  </si>
  <si>
    <t>BEGAL-BAITI</t>
  </si>
  <si>
    <t>68.3042 km²</t>
  </si>
  <si>
    <t>02208</t>
  </si>
  <si>
    <t>SARAYA</t>
  </si>
  <si>
    <t>MANDINGA RESOURCES SARL (100%)</t>
  </si>
  <si>
    <t>substances connexes, uranium</t>
  </si>
  <si>
    <t>1,648.1931 km²</t>
  </si>
  <si>
    <t>02209</t>
  </si>
  <si>
    <t>MOUVEMENT FEDERAL ANSAROUL AHMADIYA (100%)</t>
  </si>
  <si>
    <t>02210</t>
  </si>
  <si>
    <t>MBS BUSINESS SERVICES (100%)</t>
  </si>
  <si>
    <t>14.1267 Ha</t>
  </si>
  <si>
    <t>02211</t>
  </si>
  <si>
    <t>LAMINIA</t>
  </si>
  <si>
    <t>ETS MAMADOU DIOUF CISSE (100%)</t>
  </si>
  <si>
    <t>40.0000 Ha</t>
  </si>
  <si>
    <t>02212</t>
  </si>
  <si>
    <t>0.0865 Ha</t>
  </si>
  <si>
    <t>02213</t>
  </si>
  <si>
    <t>Ndoukhoura</t>
  </si>
  <si>
    <t>GRAVILLONS MMS ET SITOR SA (100%)</t>
  </si>
  <si>
    <t>2.8168 Ha</t>
  </si>
  <si>
    <t>02214</t>
  </si>
  <si>
    <t>TAWA PEUL</t>
  </si>
  <si>
    <t>PRESTIGES-EXPORT LLC (100%)</t>
  </si>
  <si>
    <t>Sasi</t>
  </si>
  <si>
    <t>9.8176 km²</t>
  </si>
  <si>
    <t>02215</t>
  </si>
  <si>
    <t>NOUMOUFOUKHA</t>
  </si>
  <si>
    <t>AGEM (100%)</t>
  </si>
  <si>
    <t>60.0113 km²</t>
  </si>
  <si>
    <t>02216</t>
  </si>
  <si>
    <t>INSTITUT GEOSCIENCES DE DAKAR SARL (100%)</t>
  </si>
  <si>
    <t>32.2291 Ha</t>
  </si>
  <si>
    <t>02217</t>
  </si>
  <si>
    <t>2.7624 Ha</t>
  </si>
  <si>
    <t>02219</t>
  </si>
  <si>
    <t>CARREFOUR IMMO SERVICES-SUARL (100%)</t>
  </si>
  <si>
    <t>22.7252 Ha</t>
  </si>
  <si>
    <t>02220</t>
  </si>
  <si>
    <t>Marougoukoto</t>
  </si>
  <si>
    <t>FUTURMINE SARL (100%)</t>
  </si>
  <si>
    <t>93.5415 Ha</t>
  </si>
  <si>
    <t>02221</t>
  </si>
  <si>
    <t>Dilaya 1</t>
  </si>
  <si>
    <t>SENIP SENEGAL GROUP SARL (100%)</t>
  </si>
  <si>
    <t>02222</t>
  </si>
  <si>
    <t>Bambadji</t>
  </si>
  <si>
    <t>BAMBADJI SA (100%)</t>
  </si>
  <si>
    <t>129.5913 km²</t>
  </si>
  <si>
    <t>02223</t>
  </si>
  <si>
    <t>TANOR SOLUTIONS INDUSTRIELLES (100%)</t>
  </si>
  <si>
    <t>32.2284 Ha</t>
  </si>
  <si>
    <t>02224</t>
  </si>
  <si>
    <t>1.6957 Ha</t>
  </si>
  <si>
    <t>02225</t>
  </si>
  <si>
    <t>ILIMALO</t>
  </si>
  <si>
    <t>INTERNATIONAL TRADING COMPANY (ITC) (100%)</t>
  </si>
  <si>
    <t>diamant</t>
  </si>
  <si>
    <t>50.0598 Ha</t>
  </si>
  <si>
    <t>02226</t>
  </si>
  <si>
    <t>ETABLISSEMENT WI MARS (100%)</t>
  </si>
  <si>
    <t>02227</t>
  </si>
  <si>
    <t>ENTREPRISE D’ETUDES DE REALISATION ET DE SUPERVISION  (100%)</t>
  </si>
  <si>
    <t>02228</t>
  </si>
  <si>
    <t>02229</t>
  </si>
  <si>
    <t>COMPAGNIE DES SABLES DU SENEGAL  (100%)</t>
  </si>
  <si>
    <t>02230</t>
  </si>
  <si>
    <t>0.0020 km²</t>
  </si>
  <si>
    <t>02231</t>
  </si>
  <si>
    <t xml:space="preserve"> AFRICA TRADE AND INVESTMENT CONSULTING SARL (100%)</t>
  </si>
  <si>
    <t>0.0795 Ha</t>
  </si>
  <si>
    <t>02232</t>
  </si>
  <si>
    <t>DIENG &amp; CO ENGINEERING SAS (100%)</t>
  </si>
  <si>
    <t>0.0670 Ha</t>
  </si>
  <si>
    <t>02233</t>
  </si>
  <si>
    <t>15.9334 Ha</t>
  </si>
  <si>
    <t>02234</t>
  </si>
  <si>
    <t>BOMBOYA</t>
  </si>
  <si>
    <t>GOLD COAST (100%)</t>
  </si>
  <si>
    <t>32.2662 Ha</t>
  </si>
  <si>
    <t>02235</t>
  </si>
  <si>
    <t>SOCIETE DE BATIMENT et TRAVAUX PUBLICS SUARL (100%)</t>
  </si>
  <si>
    <t>0.0013 km²</t>
  </si>
  <si>
    <t>02236</t>
  </si>
  <si>
    <t>TWYFORD CERAMICS LIMITED (100%)</t>
  </si>
  <si>
    <t>19.1763 Ha</t>
  </si>
  <si>
    <t>02237</t>
  </si>
  <si>
    <t>0.0017 km²</t>
  </si>
  <si>
    <t>02238</t>
  </si>
  <si>
    <t>BABJUF MINES (100%)</t>
  </si>
  <si>
    <t>0.0910 Ha</t>
  </si>
  <si>
    <t>02239</t>
  </si>
  <si>
    <t>Tabadian</t>
  </si>
  <si>
    <t>Sédhiou</t>
  </si>
  <si>
    <t>7.9240 Ha</t>
  </si>
  <si>
    <t>02240</t>
  </si>
  <si>
    <t>GEO CONSULTING (100%)</t>
  </si>
  <si>
    <t>02241</t>
  </si>
  <si>
    <t>0.1780 Ha</t>
  </si>
  <si>
    <t>02242</t>
  </si>
  <si>
    <t>GLOBAL IMMO SENEGAL SARL (100%)</t>
  </si>
  <si>
    <t>0.1860 Ha</t>
  </si>
  <si>
    <t>02243</t>
  </si>
  <si>
    <t>SAHEL MINING SERVICES SARL (100%)</t>
  </si>
  <si>
    <t>0.0019 km²</t>
  </si>
  <si>
    <t>02244</t>
  </si>
  <si>
    <t>Mansadala</t>
  </si>
  <si>
    <t>AREZKI S.A (100%)</t>
  </si>
  <si>
    <t>8.4541 Ha</t>
  </si>
  <si>
    <t>02245</t>
  </si>
  <si>
    <t>KEUR SAMBA KANE</t>
  </si>
  <si>
    <t>EBONY AUSTRALIA TRADE &amp; SERVICES (EATS) (100%)</t>
  </si>
  <si>
    <t>225.4271 km²</t>
  </si>
  <si>
    <t>02246</t>
  </si>
  <si>
    <t>Sable/ICS</t>
  </si>
  <si>
    <t>RAMATOO (100%)</t>
  </si>
  <si>
    <t>0.3128 Ha</t>
  </si>
  <si>
    <t>02247</t>
  </si>
  <si>
    <t>0.1020 Ha</t>
  </si>
  <si>
    <t>02248</t>
  </si>
  <si>
    <t>Sédembou</t>
  </si>
  <si>
    <t>YAN WEST AFRICA INVESTMENT (100%)</t>
  </si>
  <si>
    <t>50.0072 Ha</t>
  </si>
  <si>
    <t>02249</t>
  </si>
  <si>
    <t>AECPubP</t>
  </si>
  <si>
    <t>3.8942 Ha</t>
  </si>
  <si>
    <t>02250</t>
  </si>
  <si>
    <t>GOKIROUWOL</t>
  </si>
  <si>
    <t>50.3424 Ha</t>
  </si>
  <si>
    <t>02251</t>
  </si>
  <si>
    <t>Ndiaganio</t>
  </si>
  <si>
    <t>2.6627 Ha</t>
  </si>
  <si>
    <t>02252</t>
  </si>
  <si>
    <t>PROFILEX COMPANY (100%)</t>
  </si>
  <si>
    <t>0.1600 Ha</t>
  </si>
  <si>
    <t>02253</t>
  </si>
  <si>
    <t xml:space="preserve"> KAYAR SUD</t>
  </si>
  <si>
    <t>KAYAR HMC MINING SA (100%)</t>
  </si>
  <si>
    <t>17.0071 km²</t>
  </si>
  <si>
    <t>02254</t>
  </si>
  <si>
    <t>Bousankhoba</t>
  </si>
  <si>
    <t>ARDIMINES</t>
  </si>
  <si>
    <t>374.0005 km²</t>
  </si>
  <si>
    <t>02255</t>
  </si>
  <si>
    <t>ICS</t>
  </si>
  <si>
    <t>ARDIMINES (100%)</t>
  </si>
  <si>
    <t>0.0600 Ha</t>
  </si>
  <si>
    <t>02256</t>
  </si>
  <si>
    <t>ICS/Taiba</t>
  </si>
  <si>
    <t>SINEB DAROU NAKHIME SARL (100%)</t>
  </si>
  <si>
    <t>0.0340 Ha</t>
  </si>
  <si>
    <t>02257</t>
  </si>
  <si>
    <t>Bélé</t>
  </si>
  <si>
    <t>ALPHA BUSINESS AFRICA GROUP SUARL (100%)</t>
  </si>
  <si>
    <t>02258</t>
  </si>
  <si>
    <t>BINIA</t>
  </si>
  <si>
    <t>JIWANA RESOURCES PTY. LTD. (100%)</t>
  </si>
  <si>
    <t>Li, Sn</t>
  </si>
  <si>
    <t>240.0000 km²</t>
  </si>
  <si>
    <t>02259</t>
  </si>
  <si>
    <t>Mako</t>
  </si>
  <si>
    <t>115.0372 Ha</t>
  </si>
  <si>
    <t>02260</t>
  </si>
  <si>
    <t>CHALLENGERS ASSOCIATES SARL (100%)</t>
  </si>
  <si>
    <t>0.0650 Ha</t>
  </si>
  <si>
    <t>02261</t>
  </si>
  <si>
    <t>KENIEKOTO</t>
  </si>
  <si>
    <t>NEW ENERGY INVESTISMENT SARL (100%)</t>
  </si>
  <si>
    <t>82.5046 km²</t>
  </si>
  <si>
    <t>02262</t>
  </si>
  <si>
    <t>NORD WONDIO</t>
  </si>
  <si>
    <t>SOREXMINE SUARL (100%)</t>
  </si>
  <si>
    <t>02263</t>
  </si>
  <si>
    <t>SOUROUMDOU</t>
  </si>
  <si>
    <t>61.4628 km²</t>
  </si>
  <si>
    <t>02264</t>
  </si>
  <si>
    <t>BADERY</t>
  </si>
  <si>
    <t>IMPROVE SENEGAL SAS (100%)</t>
  </si>
  <si>
    <t>84.1912 km²</t>
  </si>
  <si>
    <t>02265</t>
  </si>
  <si>
    <t>ECOMINES SA (100%)</t>
  </si>
  <si>
    <t>124.2649 Ha</t>
  </si>
  <si>
    <t>02266</t>
  </si>
  <si>
    <t>SW SEGUEKHO</t>
  </si>
  <si>
    <t>49.9980 Ha</t>
  </si>
  <si>
    <t>02267</t>
  </si>
  <si>
    <t>DJIDJIAN 2</t>
  </si>
  <si>
    <t>SOCIETE BENKHADY BAMBARAYA SARL (100%)</t>
  </si>
  <si>
    <t>02268</t>
  </si>
  <si>
    <t>SOCIETE SENEGALAISE DE GRAVIERS SARL (100%)</t>
  </si>
  <si>
    <t>0.1695 Ha</t>
  </si>
  <si>
    <t>02269</t>
  </si>
  <si>
    <t>SOMINES GRANULATS SA (100%)</t>
  </si>
  <si>
    <t>15.9109 Ha</t>
  </si>
  <si>
    <t>02270</t>
  </si>
  <si>
    <t xml:space="preserve"> SOCIETE TIMITA TECHNO SERVICES (100%)</t>
  </si>
  <si>
    <t>0.2455 Ha</t>
  </si>
  <si>
    <t>02271</t>
  </si>
  <si>
    <t>LAM SUARL (100%)</t>
  </si>
  <si>
    <t>0.0090 Ha</t>
  </si>
  <si>
    <t>02272</t>
  </si>
  <si>
    <t>LES GRANDS TRAVAUX DU SAHEL (100%)</t>
  </si>
  <si>
    <t>0.0008 km²</t>
  </si>
  <si>
    <t>02273</t>
  </si>
  <si>
    <t>LAMBAYE</t>
  </si>
  <si>
    <t>421.8438 km²</t>
  </si>
  <si>
    <t>02274</t>
  </si>
  <si>
    <t>GIE MARBRE BASALTE-GRANITE DU SENEGAL (100%)</t>
  </si>
  <si>
    <t>0.1506 km²</t>
  </si>
  <si>
    <t>02275</t>
  </si>
  <si>
    <t>NW DIALABA</t>
  </si>
  <si>
    <t>ITACA Sarl (100%)</t>
  </si>
  <si>
    <t>02276</t>
  </si>
  <si>
    <t>AFRICAN INVESTMENT GROUP SA (100%)</t>
  </si>
  <si>
    <t>500.0177 Ha</t>
  </si>
  <si>
    <t>02278</t>
  </si>
  <si>
    <t>Roundé</t>
  </si>
  <si>
    <t>GB MINERAL SARL (100%)</t>
  </si>
  <si>
    <t>02279</t>
  </si>
  <si>
    <t>02280</t>
  </si>
  <si>
    <t>BOTO</t>
  </si>
  <si>
    <t>BOTO SA (90%)</t>
  </si>
  <si>
    <t>146.8491 km²</t>
  </si>
  <si>
    <t>02281</t>
  </si>
  <si>
    <t>MADINA TOUBAKOTA</t>
  </si>
  <si>
    <t>CONSULTING BUSINESS AGENCY Sarl (100%)</t>
  </si>
  <si>
    <t>252.2036 km²</t>
  </si>
  <si>
    <t>02282</t>
  </si>
  <si>
    <t>BEE ENGINEERING SARL (100%)</t>
  </si>
  <si>
    <t>0.1100 Ha</t>
  </si>
  <si>
    <t>02283</t>
  </si>
  <si>
    <t>DIYAN EXPLOITATION MINIERE SUARL (100%)</t>
  </si>
  <si>
    <t>0.0018 km²</t>
  </si>
  <si>
    <t>02284</t>
  </si>
  <si>
    <t>SUD DIAGUIRY</t>
  </si>
  <si>
    <t>500.0000 Ha</t>
  </si>
  <si>
    <t>02285</t>
  </si>
  <si>
    <t>Sud Sandiara</t>
  </si>
  <si>
    <t>CIMSEN SARL (100%)</t>
  </si>
  <si>
    <t>21.1600 km²</t>
  </si>
  <si>
    <t>02286</t>
  </si>
  <si>
    <t>THERMO LOGIC AFRICA SARL (100%)</t>
  </si>
  <si>
    <t>0.2780 Ha</t>
  </si>
  <si>
    <t>02287</t>
  </si>
  <si>
    <t>AFRICAINE DE TRAVAUX D'INGENIERIE ET DE SERVICES (100%)</t>
  </si>
  <si>
    <t>02288</t>
  </si>
  <si>
    <t>SENEGINDIA SARL (100%)</t>
  </si>
  <si>
    <t>20.0000 Ha</t>
  </si>
  <si>
    <t>02289</t>
  </si>
  <si>
    <t>SANGOLA</t>
  </si>
  <si>
    <t>287.7772 km²</t>
  </si>
  <si>
    <t>02290</t>
  </si>
  <si>
    <t>30.0000 Ha</t>
  </si>
  <si>
    <t>02291</t>
  </si>
  <si>
    <t>COMPTOIR COMMERCIAL BAYE IBRA THIAW (100%)</t>
  </si>
  <si>
    <t>21.6293 Ha</t>
  </si>
  <si>
    <t>02292</t>
  </si>
  <si>
    <t>Sindia</t>
  </si>
  <si>
    <t>IRION TRANSFERS SARL (100%)</t>
  </si>
  <si>
    <t>1.2143 Ha</t>
  </si>
  <si>
    <t>02293</t>
  </si>
  <si>
    <t>GENERALE DE REALISATION ET D'EQUIPEMENT  (100%)</t>
  </si>
  <si>
    <t>02294</t>
  </si>
  <si>
    <t>SADIO TRADING (100%)</t>
  </si>
  <si>
    <t>02295</t>
  </si>
  <si>
    <t>POINT OF VIEW (100%)</t>
  </si>
  <si>
    <t>02296</t>
  </si>
  <si>
    <t>SABODALA GOLD OPERATIONS SA (SGO) (90%)</t>
  </si>
  <si>
    <t>319.4885 km²</t>
  </si>
  <si>
    <t>02297</t>
  </si>
  <si>
    <t>Paki</t>
  </si>
  <si>
    <t>ETABLISSEMENT OUSMANE SOW (100%)</t>
  </si>
  <si>
    <t>4.0398 Ha</t>
  </si>
  <si>
    <t>02298</t>
  </si>
  <si>
    <t>granite</t>
  </si>
  <si>
    <t>19.0460 Ha</t>
  </si>
  <si>
    <t>02299</t>
  </si>
  <si>
    <t>NGOUNDIANE</t>
  </si>
  <si>
    <t>25.2231 Ha</t>
  </si>
  <si>
    <t>02300</t>
  </si>
  <si>
    <t>MAKANA</t>
  </si>
  <si>
    <t>COMPTOIR AURIFERE DE L'AFRIQUE (100%)</t>
  </si>
  <si>
    <t>123.8364 km²</t>
  </si>
  <si>
    <t>02301</t>
  </si>
  <si>
    <t>Saroudia</t>
  </si>
  <si>
    <t>SALAM GOLD (100%)</t>
  </si>
  <si>
    <t>5.0000 km²</t>
  </si>
  <si>
    <t>02302</t>
  </si>
  <si>
    <t>TRANSAT SARL (100%)</t>
  </si>
  <si>
    <t>0.2000 km²</t>
  </si>
  <si>
    <t>02303</t>
  </si>
  <si>
    <t>UNIVERSAL BUSINESS COMPANY (100%)</t>
  </si>
  <si>
    <t>6.0438 Ha</t>
  </si>
  <si>
    <t>02304</t>
  </si>
  <si>
    <t>SCATY INDUSTRIES  (100%)</t>
  </si>
  <si>
    <t>43.0910 Ha</t>
  </si>
  <si>
    <t>02306</t>
  </si>
  <si>
    <t>SENALA</t>
  </si>
  <si>
    <t>STRATEX-EMC SA (50%)</t>
  </si>
  <si>
    <t>354.4861 km²</t>
  </si>
  <si>
    <t>02307</t>
  </si>
  <si>
    <t>SEN-STONES (100%)</t>
  </si>
  <si>
    <t>02308</t>
  </si>
  <si>
    <t>WEST AFRICA MINING SARL (100%)</t>
  </si>
  <si>
    <t>12.5088 Ha</t>
  </si>
  <si>
    <t>02309</t>
  </si>
  <si>
    <t>ARC EN CIEL (100%)</t>
  </si>
  <si>
    <t>7.8597 Ha</t>
  </si>
  <si>
    <t>02310</t>
  </si>
  <si>
    <t>Bandafassi</t>
  </si>
  <si>
    <t>CONSORTIUM D'ENTREPRISES (CDE) (100%)</t>
  </si>
  <si>
    <t>9.0322 Ha</t>
  </si>
  <si>
    <t>02312</t>
  </si>
  <si>
    <t>SOCIETE D'EQUIPEMENT ET DE CONSTRUCTION (100%)</t>
  </si>
  <si>
    <t>0.0567 km²</t>
  </si>
  <si>
    <t>02313</t>
  </si>
  <si>
    <t>DJIGUI</t>
  </si>
  <si>
    <t>GIE DJIGUI (100%)</t>
  </si>
  <si>
    <t>49.8546 Ha</t>
  </si>
  <si>
    <t>02314</t>
  </si>
  <si>
    <t>MIRZAN SARL (100%)</t>
  </si>
  <si>
    <t>02315</t>
  </si>
  <si>
    <t>SADATOU</t>
  </si>
  <si>
    <t>LYONS FIELD SUARL (100%)</t>
  </si>
  <si>
    <t>497.3462 km²</t>
  </si>
  <si>
    <t>02316</t>
  </si>
  <si>
    <t>Kambila</t>
  </si>
  <si>
    <t xml:space="preserve"> SENEGAL KOM KOM PLUS SUARL (100%)</t>
  </si>
  <si>
    <t>8.4930 Ha</t>
  </si>
  <si>
    <t>02317</t>
  </si>
  <si>
    <t>Wékh Whékh</t>
  </si>
  <si>
    <t>DIENG FAMILY (100%)</t>
  </si>
  <si>
    <t>5.2499 Ha</t>
  </si>
  <si>
    <t>02318</t>
  </si>
  <si>
    <t>NW SABODALA</t>
  </si>
  <si>
    <t>SIMEC ENTREPRISES (100%)</t>
  </si>
  <si>
    <t>69.9963 km²</t>
  </si>
  <si>
    <t>02319</t>
  </si>
  <si>
    <t>Diender</t>
  </si>
  <si>
    <t>DIOM MULTI EXPLOITATION (100%)</t>
  </si>
  <si>
    <t>2.0102 Ha</t>
  </si>
  <si>
    <t>02320</t>
  </si>
  <si>
    <t>Gandon</t>
  </si>
  <si>
    <t>1.3102 Ha</t>
  </si>
  <si>
    <t>02321</t>
  </si>
  <si>
    <t>SOUROUKOTO</t>
  </si>
  <si>
    <t>SAMA GOLD SARL (100%)</t>
  </si>
  <si>
    <t>923.7671 Ha</t>
  </si>
  <si>
    <t>02322</t>
  </si>
  <si>
    <t>Tombo</t>
  </si>
  <si>
    <t>18.9029 km²</t>
  </si>
  <si>
    <t>02323</t>
  </si>
  <si>
    <t>Santhie Mam Gor</t>
  </si>
  <si>
    <t>ENTREPRISE MAME NDIEGNE BTP SUARL (100%)</t>
  </si>
  <si>
    <t>3.0514 Ha</t>
  </si>
  <si>
    <t>02324</t>
  </si>
  <si>
    <t>saly</t>
  </si>
  <si>
    <t>VAN OORD DRAGAGES ET TRAVAUX MARITIMES SENEGAL (100%)</t>
  </si>
  <si>
    <t>2.0000 km²</t>
  </si>
  <si>
    <t>02325</t>
  </si>
  <si>
    <t>Lam-lam</t>
  </si>
  <si>
    <t>SOCIETE SENEGALAISE DES PHOSPHATES DE THIES (100%)</t>
  </si>
  <si>
    <t>14.8070 km²</t>
  </si>
  <si>
    <t>02326</t>
  </si>
  <si>
    <t>SINTRADIMMO SA (100%)</t>
  </si>
  <si>
    <t>499.3642 Ha</t>
  </si>
  <si>
    <t>02327</t>
  </si>
  <si>
    <t>Ouest Laminia</t>
  </si>
  <si>
    <t>PROSPECTIUNI (10%)</t>
  </si>
  <si>
    <t>239.0016 km²</t>
  </si>
  <si>
    <t>02328</t>
  </si>
  <si>
    <t>SUD KAYAR</t>
  </si>
  <si>
    <t>NRA</t>
  </si>
  <si>
    <t>Duplicate</t>
  </si>
  <si>
    <t>10.5734 km²</t>
  </si>
  <si>
    <t>02329</t>
  </si>
  <si>
    <t>Wortokhati</t>
  </si>
  <si>
    <t>JAMOMINING SARL (100%)</t>
  </si>
  <si>
    <t>10.0628 km²</t>
  </si>
  <si>
    <t>02330</t>
  </si>
  <si>
    <t>SENEGAL MINING AND SERVICES CORPORATE (100%)</t>
  </si>
  <si>
    <t>70.3634 Ha</t>
  </si>
  <si>
    <t>02331</t>
  </si>
  <si>
    <t>SOCIETE NDIGUEULE FALL (100%)</t>
  </si>
  <si>
    <t>4.0189 Ha</t>
  </si>
  <si>
    <t>02332</t>
  </si>
  <si>
    <t>Kanoumba</t>
  </si>
  <si>
    <t>MASSAWA JERSEY LIMITED (100%)</t>
  </si>
  <si>
    <t>28,548.2438 Ha</t>
  </si>
  <si>
    <t>02333</t>
  </si>
  <si>
    <t>Déni Biram NDAO</t>
  </si>
  <si>
    <t>ENTREPRISE AICHA (100%)</t>
  </si>
  <si>
    <t>17.5239 Ha</t>
  </si>
  <si>
    <t>02334</t>
  </si>
  <si>
    <t>Seune sérère</t>
  </si>
  <si>
    <t>TECHNOLOGIES CONSULTING SERVICES</t>
  </si>
  <si>
    <t>29.6050 Ha</t>
  </si>
  <si>
    <t>02335</t>
  </si>
  <si>
    <t>WASSADOU SUD</t>
  </si>
  <si>
    <t>320.5987 Ha</t>
  </si>
  <si>
    <t>02336</t>
  </si>
  <si>
    <t>KANIAK</t>
  </si>
  <si>
    <t>BOKAMINE SARL (100%)</t>
  </si>
  <si>
    <t>2.7635 Ha</t>
  </si>
  <si>
    <t>02337</t>
  </si>
  <si>
    <t>Keur Mboucki</t>
  </si>
  <si>
    <t>ALAMA SUARL (100%)</t>
  </si>
  <si>
    <t>15.9165 Ha</t>
  </si>
  <si>
    <t>0002338</t>
  </si>
  <si>
    <t>AFRIGOLD  SARL (100%)</t>
  </si>
  <si>
    <t>4.9754 km²</t>
  </si>
  <si>
    <t>02338</t>
  </si>
  <si>
    <t>Mamankanti</t>
  </si>
  <si>
    <t>32.5718 km²</t>
  </si>
  <si>
    <t>02339</t>
  </si>
  <si>
    <t>Kaourou</t>
  </si>
  <si>
    <t>BHAIRAVA AGRICOL SARL (100%)</t>
  </si>
  <si>
    <t>144.2171 km²</t>
  </si>
  <si>
    <t>02340</t>
  </si>
  <si>
    <t>Kérékonko et Soukouta</t>
  </si>
  <si>
    <t>THIAM SENEGAL GOLD FAMILY (100%)</t>
  </si>
  <si>
    <t>108.4239 Ha</t>
  </si>
  <si>
    <t>02341</t>
  </si>
  <si>
    <t>COMPTOIR COMMERCIAL BALLA AICHA CCBA SUARL</t>
  </si>
  <si>
    <t>kao</t>
  </si>
  <si>
    <t>8.2865 Ha</t>
  </si>
  <si>
    <t>02342</t>
  </si>
  <si>
    <t>GEOMINE CONSULT SUARL (100%)</t>
  </si>
  <si>
    <t>49.9977 Ha</t>
  </si>
  <si>
    <t>02343</t>
  </si>
  <si>
    <t>THIORO MBAYE (100%)</t>
  </si>
  <si>
    <t>1.6510 Ha</t>
  </si>
  <si>
    <t>02344</t>
  </si>
  <si>
    <t>GAYE SERIGNE ASS FALLE (100%)</t>
  </si>
  <si>
    <t>1.3900 Ha</t>
  </si>
  <si>
    <t>02345</t>
  </si>
  <si>
    <t>Deni Biram NDAO Nord</t>
  </si>
  <si>
    <t>ZEYNA TRANSPORTS-IMMO-CONSTRUCTIONS (100%)</t>
  </si>
  <si>
    <t>11.5490 Ha</t>
  </si>
  <si>
    <t>02346</t>
  </si>
  <si>
    <t>NDOYE MASYLLA (100%)</t>
  </si>
  <si>
    <t>1.3948 Ha</t>
  </si>
  <si>
    <t>02347</t>
  </si>
  <si>
    <t>Nébou</t>
  </si>
  <si>
    <t>355.0933 Ha</t>
  </si>
  <si>
    <t>02348</t>
  </si>
  <si>
    <t>ETABLISSEMENT AMADOU DIALLO (100%)</t>
  </si>
  <si>
    <t>10.7872 Ha</t>
  </si>
  <si>
    <t>02349</t>
  </si>
  <si>
    <t>12.1526 Ha</t>
  </si>
  <si>
    <t>02350</t>
  </si>
  <si>
    <t>AIDARA GESTION IMMOBILIERE CONSTRUCTION-COMMERCE MULTISERVICES (100%)</t>
  </si>
  <si>
    <t>3.6488 Ha</t>
  </si>
  <si>
    <t>02351</t>
  </si>
  <si>
    <t>4.2666 Ha</t>
  </si>
  <si>
    <t>02352</t>
  </si>
  <si>
    <t>DEEJA IMMO SUARL (100%)</t>
  </si>
  <si>
    <t>1.6072 Ha</t>
  </si>
  <si>
    <t>02353</t>
  </si>
  <si>
    <t>MBOUP NDEYE MAGUETTE</t>
  </si>
  <si>
    <t>5.0008 Ha</t>
  </si>
  <si>
    <t>02354</t>
  </si>
  <si>
    <t>EIFFAGE (100%)</t>
  </si>
  <si>
    <t>0.8401 Ha</t>
  </si>
  <si>
    <t>02355</t>
  </si>
  <si>
    <t>1.9830 Ha</t>
  </si>
  <si>
    <t>02356</t>
  </si>
  <si>
    <t>Kayamakho</t>
  </si>
  <si>
    <t>GIE SOLIDARITE POUR LE DEVELOPPEMENT (100%)</t>
  </si>
  <si>
    <t>0.4938 km²</t>
  </si>
  <si>
    <t>02357</t>
  </si>
  <si>
    <t>DAMOUNGHAYE SUARL (100%)</t>
  </si>
  <si>
    <t>9.6357 Ha</t>
  </si>
  <si>
    <t>02358</t>
  </si>
  <si>
    <t>Dendeye GouyGui</t>
  </si>
  <si>
    <t>NIANE SERIGNE MBACKE (100%)</t>
  </si>
  <si>
    <t>0.0184 km²</t>
  </si>
  <si>
    <t>02359</t>
  </si>
  <si>
    <t>kénioto</t>
  </si>
  <si>
    <t>GENERALE SERVICES  (100%)</t>
  </si>
  <si>
    <t>128.0335 Ha</t>
  </si>
  <si>
    <t>02360</t>
  </si>
  <si>
    <t>JEAN LEFEBVRE SENEGAL (100%)</t>
  </si>
  <si>
    <t>12.5814 Ha</t>
  </si>
  <si>
    <t>02361</t>
  </si>
  <si>
    <t>TEMOTO</t>
  </si>
  <si>
    <t>DAKAR-GUEYE GENERAL</t>
  </si>
  <si>
    <t>50.4900 Ha</t>
  </si>
  <si>
    <t>02362</t>
  </si>
  <si>
    <t>ENTREPRISE GENERALE DE CONSTRUCTION ET D'AMENAGEMENT (100%)</t>
  </si>
  <si>
    <t>236.7651 Ha</t>
  </si>
  <si>
    <t>02363</t>
  </si>
  <si>
    <t>Thiébo</t>
  </si>
  <si>
    <t>SOCIETE COMMERCIAL NDIABOUR NDIGAL SA (100%)</t>
  </si>
  <si>
    <t>10.1580 Ha</t>
  </si>
  <si>
    <t>02364</t>
  </si>
  <si>
    <t>HOLDING ATLANTIC MINING PETROLUM " MINE PETRO-SA" (100%)</t>
  </si>
  <si>
    <t>0.0005 km²</t>
  </si>
  <si>
    <t>02365</t>
  </si>
  <si>
    <t>kolda</t>
  </si>
  <si>
    <t>DAMASH MINERALS LTD (100%)</t>
  </si>
  <si>
    <t>124.8769 km²</t>
  </si>
  <si>
    <t>02366</t>
  </si>
  <si>
    <t>Niakhène</t>
  </si>
  <si>
    <t>CHALLENGER NORD-SUD INTERNATIONAL SAS (100%)</t>
  </si>
  <si>
    <t>498.9377 km²</t>
  </si>
  <si>
    <t>02367</t>
  </si>
  <si>
    <t>KHOSSANTO</t>
  </si>
  <si>
    <t>CANGAY MINES</t>
  </si>
  <si>
    <t>13.9581 km²</t>
  </si>
  <si>
    <t>02368</t>
  </si>
  <si>
    <t>Aînoumane</t>
  </si>
  <si>
    <t>586.6647 km²</t>
  </si>
  <si>
    <t>02369</t>
  </si>
  <si>
    <t>277.3672 Ha</t>
  </si>
  <si>
    <t>02370</t>
  </si>
  <si>
    <t>Thiolom FALL</t>
  </si>
  <si>
    <t>COMMUNE DE NDANDE (100%)</t>
  </si>
  <si>
    <t>0.7206 Ha</t>
  </si>
  <si>
    <t>02371</t>
  </si>
  <si>
    <t>3.4764 Ha</t>
  </si>
  <si>
    <t>02372</t>
  </si>
  <si>
    <t>SYFARO MINING COMPANY SUARL (100%)</t>
  </si>
  <si>
    <t>50.0030 Ha</t>
  </si>
  <si>
    <t>02373</t>
  </si>
  <si>
    <t>Boto</t>
  </si>
  <si>
    <t>23.7464 Ha</t>
  </si>
  <si>
    <t>02374</t>
  </si>
  <si>
    <t>GECAMINES GRANULATS (100%)</t>
  </si>
  <si>
    <t>10.5667 Ha</t>
  </si>
  <si>
    <t>02375</t>
  </si>
  <si>
    <t>SOCIETE DIAMADA INTERNATIONAL (100%)</t>
  </si>
  <si>
    <t>0.0029 km²</t>
  </si>
  <si>
    <t>02377</t>
  </si>
  <si>
    <t>SENEGALAISE DE COMMERCE ET DE SERVICES (100%)</t>
  </si>
  <si>
    <t>02378</t>
  </si>
  <si>
    <t>Mamacono</t>
  </si>
  <si>
    <t>SABODALA GOLD OPERATIONS SA (SGO) (100%)</t>
  </si>
  <si>
    <t>0.0002 Ha</t>
  </si>
  <si>
    <t>02379</t>
  </si>
  <si>
    <t>MARSAL TRANSPORT ET LOGISTIC (100%)</t>
  </si>
  <si>
    <t>16.4250 km²</t>
  </si>
  <si>
    <t>02380</t>
  </si>
  <si>
    <t>DIAMON GOL PETROL SL SUARL (100%)</t>
  </si>
  <si>
    <t>02381</t>
  </si>
  <si>
    <t>1.0021 Ha</t>
  </si>
  <si>
    <t>02382</t>
  </si>
  <si>
    <t>SOCIETE WAAGAAN BTP SARL (100%)</t>
  </si>
  <si>
    <t>02383</t>
  </si>
  <si>
    <t>INTERNATIONAL COMPANY OF TRADE AND SERVICES SA  (100%); SOCIETE CAPITAL PLUS (100%)</t>
  </si>
  <si>
    <t>02384</t>
  </si>
  <si>
    <t>Baliga</t>
  </si>
  <si>
    <t>39.9745 Ha</t>
  </si>
  <si>
    <t>02385</t>
  </si>
  <si>
    <t>ORIENTAL TECHNOLOGIES SARL (100%)</t>
  </si>
  <si>
    <t>1.5000 km²</t>
  </si>
  <si>
    <t>02386</t>
  </si>
  <si>
    <t>C.G.B.S SARL SERVICES (10%)</t>
  </si>
  <si>
    <t>1.4751 Ha</t>
  </si>
  <si>
    <t>02387</t>
  </si>
  <si>
    <t>Sabodala</t>
  </si>
  <si>
    <t>1.3090 Ha</t>
  </si>
  <si>
    <t>02388</t>
  </si>
  <si>
    <t>Retrait en Cours</t>
  </si>
  <si>
    <t>0.1631 km²</t>
  </si>
  <si>
    <t>02389</t>
  </si>
  <si>
    <t>Popoguine, Dayane</t>
  </si>
  <si>
    <t>MAXAJARA INVEST (100%)</t>
  </si>
  <si>
    <t>PP</t>
  </si>
  <si>
    <t>0.6059 Ha</t>
  </si>
  <si>
    <t>02390</t>
  </si>
  <si>
    <t>INTERNATIONAL DAROU SALAM ENTREPRISE (100%)</t>
  </si>
  <si>
    <t>Col</t>
  </si>
  <si>
    <t>283.8750 km²</t>
  </si>
  <si>
    <t>02391</t>
  </si>
  <si>
    <t>NGARAF</t>
  </si>
  <si>
    <t>COMPAGNIE SAHELIENNE D'ENTREPRISE (100%)</t>
  </si>
  <si>
    <t>35.3681 Ha</t>
  </si>
  <si>
    <t>02392</t>
  </si>
  <si>
    <t>Carrière de calcaire</t>
  </si>
  <si>
    <t>SOCIETE DE DEVELOPPEMENT ET DE CONSTRUCTION (100%)</t>
  </si>
  <si>
    <t>02393</t>
  </si>
  <si>
    <t>A009899 Bandia</t>
  </si>
  <si>
    <t>SOCIETE POUR LE DEVELOPPEMENT DE L'INDUSTRIE DU TOURISME ET DE L'HABITAT AU SENEGAL (SODEVIT) (100%)</t>
  </si>
  <si>
    <t>0.0842 km²</t>
  </si>
  <si>
    <t>002647</t>
  </si>
  <si>
    <t>ONDA MINE SARL (100%)</t>
  </si>
  <si>
    <t>14.7538 km²</t>
  </si>
  <si>
    <t>03006</t>
  </si>
  <si>
    <t>DALEMA</t>
  </si>
  <si>
    <t>EBONY NATURAL RESOURCES - SUARL (100%)</t>
  </si>
  <si>
    <t>222.3545 km²</t>
  </si>
  <si>
    <t>03016</t>
  </si>
  <si>
    <t>Mbayene Diack</t>
  </si>
  <si>
    <t>WAKEUR SERIGNE TOUBA MINES ET CONSTRUCTION SARL (100%)</t>
  </si>
  <si>
    <t>24.4640 Ha</t>
  </si>
  <si>
    <t>03029</t>
  </si>
  <si>
    <t>3.0027 Ha</t>
  </si>
  <si>
    <t>03035</t>
  </si>
  <si>
    <t>Diamal</t>
  </si>
  <si>
    <t>COMMUNE DE DIAMAL (100%)</t>
  </si>
  <si>
    <t>Kaffrine</t>
  </si>
  <si>
    <t>2.0274 Ha</t>
  </si>
  <si>
    <t>03036</t>
  </si>
  <si>
    <t>GIE OWEN G (100%)</t>
  </si>
  <si>
    <t>28.8524 Ha</t>
  </si>
  <si>
    <t>03037</t>
  </si>
  <si>
    <t>Bembou</t>
  </si>
  <si>
    <t>SOCIETE DE COMMERCE DE PRODUIT D'ACIER (100%)</t>
  </si>
  <si>
    <t>3.0397 Ha</t>
  </si>
  <si>
    <t>03038</t>
  </si>
  <si>
    <t>2.8619 Ha</t>
  </si>
  <si>
    <t>03040</t>
  </si>
  <si>
    <t>BAKHOUM BUSINESS COMPANY (100%)</t>
  </si>
  <si>
    <t>5.0505 Ha</t>
  </si>
  <si>
    <t>03042</t>
  </si>
  <si>
    <t>TOP DU MONDE (100%)</t>
  </si>
  <si>
    <t>205.2650 km²</t>
  </si>
  <si>
    <t>03043</t>
  </si>
  <si>
    <t>MASSILATOURS (100%)</t>
  </si>
  <si>
    <t>1.0278 Ha</t>
  </si>
  <si>
    <t>03045</t>
  </si>
  <si>
    <t>Bouroubourou</t>
  </si>
  <si>
    <t>76.9181 km²</t>
  </si>
  <si>
    <t>03046</t>
  </si>
  <si>
    <t>SEGOU</t>
  </si>
  <si>
    <t>BIRIMIAN RESSOURCES SARL (100%)</t>
  </si>
  <si>
    <t>682.0000 km²</t>
  </si>
  <si>
    <t>03047</t>
  </si>
  <si>
    <t>7.0493 Ha</t>
  </si>
  <si>
    <t>03048</t>
  </si>
  <si>
    <t>20.0475 Ha</t>
  </si>
  <si>
    <t>03049</t>
  </si>
  <si>
    <t>DIENDER</t>
  </si>
  <si>
    <t>DMAR GESTION SARL AU</t>
  </si>
  <si>
    <t>attapulgite</t>
  </si>
  <si>
    <t>3.4278 km²</t>
  </si>
  <si>
    <t>03050</t>
  </si>
  <si>
    <t>Dialacoto</t>
  </si>
  <si>
    <t>MS MINES (100%)</t>
  </si>
  <si>
    <t>2.9133 Ha</t>
  </si>
  <si>
    <t>03051</t>
  </si>
  <si>
    <t>KHOUMA COMPAGNIE (100%)</t>
  </si>
  <si>
    <t>4.1762 Ha</t>
  </si>
  <si>
    <t>03052</t>
  </si>
  <si>
    <t>Ndoukhoura wolof</t>
  </si>
  <si>
    <t>0.0377 km²</t>
  </si>
  <si>
    <t>03054</t>
  </si>
  <si>
    <t>AZ SERVICES SARL (100%)</t>
  </si>
  <si>
    <t>50.0002 Ha</t>
  </si>
  <si>
    <t>03055</t>
  </si>
  <si>
    <t>A10184_ Périmètre de Pout</t>
  </si>
  <si>
    <t>SOCIETE SENEGALAISE DE CHAUX (100%)</t>
  </si>
  <si>
    <t>50.0842 Ha</t>
  </si>
  <si>
    <t>03056</t>
  </si>
  <si>
    <t>LES GRANDES CARRIERES DU SENEGAL (100%)</t>
  </si>
  <si>
    <t>1.0007 Ha</t>
  </si>
  <si>
    <t>03057</t>
  </si>
  <si>
    <t>ETS MAMADOU DIOP (100%)</t>
  </si>
  <si>
    <t>3.0015 Ha</t>
  </si>
  <si>
    <t>03059</t>
  </si>
  <si>
    <t>Keur Moussa Hann</t>
  </si>
  <si>
    <t>ETS GASSAMA (100%)</t>
  </si>
  <si>
    <t>5.5134 Ha</t>
  </si>
  <si>
    <t>03061</t>
  </si>
  <si>
    <t>5.9999 Ha</t>
  </si>
  <si>
    <t>03062</t>
  </si>
  <si>
    <t>TERANGAMINE (100%)</t>
  </si>
  <si>
    <t>03064</t>
  </si>
  <si>
    <t>Tchicky</t>
  </si>
  <si>
    <t>MALICK MAGLOIRE LOGBO (100%)</t>
  </si>
  <si>
    <t>2.9921 Ha</t>
  </si>
  <si>
    <t>03065</t>
  </si>
  <si>
    <t>16.4101 Ha</t>
  </si>
  <si>
    <t>03066</t>
  </si>
  <si>
    <t xml:space="preserve"> ETABLISSEMENT DABAKH TRANSPORT</t>
  </si>
  <si>
    <t>2.4204 Ha</t>
  </si>
  <si>
    <t>03067</t>
  </si>
  <si>
    <t>KHONDIONGNE</t>
  </si>
  <si>
    <t>0.0375 Ha</t>
  </si>
  <si>
    <t>03069</t>
  </si>
  <si>
    <t>Kérékonko</t>
  </si>
  <si>
    <t>TCHILMA BUILDING SUARL (100%)</t>
  </si>
  <si>
    <t>50.1903 Ha</t>
  </si>
  <si>
    <t>03070</t>
  </si>
  <si>
    <t>Taifa-Nefis</t>
  </si>
  <si>
    <t>NEGOCE FIABLE SENEGAL SARL (100%)</t>
  </si>
  <si>
    <t>50.3247 Ha</t>
  </si>
  <si>
    <t>03071</t>
  </si>
  <si>
    <t>Baithilaye Nord</t>
  </si>
  <si>
    <t>KEDOUGOU BUSINESS &amp; MINING SERVICES SARL (100%)</t>
  </si>
  <si>
    <t>49.7388 Ha</t>
  </si>
  <si>
    <t>03072</t>
  </si>
  <si>
    <t>gorom 1</t>
  </si>
  <si>
    <t>1.0689 Ha</t>
  </si>
  <si>
    <t>03073</t>
  </si>
  <si>
    <t>LOGISTIQUE, CARRIERES, MINES ET SERVICES (LOCMIS) SARL  (100%)</t>
  </si>
  <si>
    <t>4.9892 Ha</t>
  </si>
  <si>
    <t>03074</t>
  </si>
  <si>
    <t>ENTREPRISE NAFOR SARL (100%)</t>
  </si>
  <si>
    <t>3.4637 Ha</t>
  </si>
  <si>
    <t>03075</t>
  </si>
  <si>
    <t xml:space="preserve"> SAKHO MAME KHADY</t>
  </si>
  <si>
    <t>2.0418 Ha</t>
  </si>
  <si>
    <t>03076</t>
  </si>
  <si>
    <t>HABITAT - SUARL (100%)</t>
  </si>
  <si>
    <t>Demande attribuée sous réserve</t>
  </si>
  <si>
    <t>50.1600 Ha</t>
  </si>
  <si>
    <t>03084</t>
  </si>
  <si>
    <t>AMATH NDIAYE INTERNATIONALE PRESTIGE SUARL (100%)</t>
  </si>
  <si>
    <t>44.0000 Ha</t>
  </si>
  <si>
    <t>03091</t>
  </si>
  <si>
    <t>GIE KAMBA KAMBA (100%)</t>
  </si>
  <si>
    <t>20.0209 Ha</t>
  </si>
  <si>
    <t>03093</t>
  </si>
  <si>
    <t>SENEGALAISE DE NEGOCE ET DE PRESTATION DE SERVICES SARL (100%)</t>
  </si>
  <si>
    <t>0.0007 km²</t>
  </si>
  <si>
    <t>03096</t>
  </si>
  <si>
    <t>10.0417 Ha</t>
  </si>
  <si>
    <t>03098</t>
  </si>
  <si>
    <t>03101</t>
  </si>
  <si>
    <t>TAYSIR SARL (100%)</t>
  </si>
  <si>
    <t>27.5130 Ha</t>
  </si>
  <si>
    <t>03102</t>
  </si>
  <si>
    <t>PS-SENECAT (100%)</t>
  </si>
  <si>
    <t>4.2427 km²</t>
  </si>
  <si>
    <t>03103</t>
  </si>
  <si>
    <t>Soukouta</t>
  </si>
  <si>
    <t>35.9560 Ha</t>
  </si>
  <si>
    <t>03107</t>
  </si>
  <si>
    <t>30.4538 Ha</t>
  </si>
  <si>
    <t>03182</t>
  </si>
  <si>
    <t>SOCIETE DE FORAGE ET DE TRAVAUX PUBLICS MINING (100%)</t>
  </si>
  <si>
    <t>10.2223 Ha</t>
  </si>
  <si>
    <t>03188</t>
  </si>
  <si>
    <t>ENTREPRISE NDIAYE (100%)</t>
  </si>
  <si>
    <t>0.6239 Ha</t>
  </si>
  <si>
    <t>03189</t>
  </si>
  <si>
    <t>Sébi Yeba</t>
  </si>
  <si>
    <t>1.2388 Ha</t>
  </si>
  <si>
    <t>03190</t>
  </si>
  <si>
    <t>SENECORPORATION (100%)</t>
  </si>
  <si>
    <t>03191</t>
  </si>
  <si>
    <t>Sainsoutou</t>
  </si>
  <si>
    <t>501.3800 Ha</t>
  </si>
  <si>
    <t>03192</t>
  </si>
  <si>
    <t>FABRIMETAL (100%)</t>
  </si>
  <si>
    <t>177.6021 Ha</t>
  </si>
  <si>
    <t>03194</t>
  </si>
  <si>
    <t>34.4500 Ha</t>
  </si>
  <si>
    <t>03195</t>
  </si>
  <si>
    <t>COTRAC-SARL</t>
  </si>
  <si>
    <t>COMPAGNIE DES TRAVAUX ET CONSTRUCTION SARL (100%)</t>
  </si>
  <si>
    <t>6.4158 Ha</t>
  </si>
  <si>
    <t>03198</t>
  </si>
  <si>
    <t>Gorom 2</t>
  </si>
  <si>
    <t>SOCIETE IMMOBILIER 3KF (100%)</t>
  </si>
  <si>
    <t>7.6513 Ha</t>
  </si>
  <si>
    <t>03199</t>
  </si>
  <si>
    <t>ETABLISSEMENT SAM SARL (100%)</t>
  </si>
  <si>
    <t>03200</t>
  </si>
  <si>
    <t>SERVICE REGIONAL DE TAMBACOUNDA (100%)</t>
  </si>
  <si>
    <t>10.0094 Ha</t>
  </si>
  <si>
    <t>03202</t>
  </si>
  <si>
    <t>GIE PASTEEF BEER (100%)</t>
  </si>
  <si>
    <t>43.2263 km²</t>
  </si>
  <si>
    <t>03204</t>
  </si>
  <si>
    <t>DIASS
THICKY-DL ONE SERVICES</t>
  </si>
  <si>
    <t>0.8999 Ha</t>
  </si>
  <si>
    <t>03205</t>
  </si>
  <si>
    <t>Mabo</t>
  </si>
  <si>
    <t>COMMUNE DE MABO (100%)</t>
  </si>
  <si>
    <t>0.8780 Ha</t>
  </si>
  <si>
    <t>03206</t>
  </si>
  <si>
    <t>Merekoure</t>
  </si>
  <si>
    <t>SEN GENERAL ACTIVITES SARL (100%)</t>
  </si>
  <si>
    <t>48.8070 Ha</t>
  </si>
  <si>
    <t>03207</t>
  </si>
  <si>
    <t>220.4874 Ha</t>
  </si>
  <si>
    <t>03209</t>
  </si>
  <si>
    <t>Sabodala 2</t>
  </si>
  <si>
    <t>1.3781 Ha</t>
  </si>
  <si>
    <t>03210</t>
  </si>
  <si>
    <t>Keur massouka</t>
  </si>
  <si>
    <t>GUILLAYE DIOP (100%)</t>
  </si>
  <si>
    <t>3.9851 Ha</t>
  </si>
  <si>
    <t>03212</t>
  </si>
  <si>
    <t>Thiewo</t>
  </si>
  <si>
    <t>SOCIETE SENEGALAISE DE CONSTRUCTION ET D 'AMENAGEMENT (100%)</t>
  </si>
  <si>
    <t>73.0741 Ha</t>
  </si>
  <si>
    <t>03213</t>
  </si>
  <si>
    <t>24.8130 Ha</t>
  </si>
  <si>
    <t>03214</t>
  </si>
  <si>
    <t>Tafia-Nefis</t>
  </si>
  <si>
    <t>48.7817 Ha</t>
  </si>
  <si>
    <t>03215</t>
  </si>
  <si>
    <t>Keur Mbir Ndaw</t>
  </si>
  <si>
    <t>LITON GROUP LTD SARL (100%)</t>
  </si>
  <si>
    <t>17.2242 Ha</t>
  </si>
  <si>
    <t>03216</t>
  </si>
  <si>
    <t>25.4296 Ha</t>
  </si>
  <si>
    <t>03217</t>
  </si>
  <si>
    <t>Franding</t>
  </si>
  <si>
    <t>S DOM HOLDING GOLD SARL (100%)</t>
  </si>
  <si>
    <t>424.7041 Ha</t>
  </si>
  <si>
    <t>03218</t>
  </si>
  <si>
    <t>LOGICOM (100%)</t>
  </si>
  <si>
    <t>30.0876 Ha</t>
  </si>
  <si>
    <t>03219</t>
  </si>
  <si>
    <t>BANDESERVICES (100%)</t>
  </si>
  <si>
    <t>27.9553 Ha</t>
  </si>
  <si>
    <t>03221</t>
  </si>
  <si>
    <t>Meissa waly</t>
  </si>
  <si>
    <t>3.0000 Ha</t>
  </si>
  <si>
    <t>03222</t>
  </si>
  <si>
    <t>C&amp;A BUILDING (100%)</t>
  </si>
  <si>
    <t>22.6412 Ha</t>
  </si>
  <si>
    <t>03223</t>
  </si>
  <si>
    <t>Mékhé</t>
  </si>
  <si>
    <t>GIE NGUAAYE DJITE (100%)</t>
  </si>
  <si>
    <t>3.2724 Ha</t>
  </si>
  <si>
    <t>03224</t>
  </si>
  <si>
    <t>SOCIETE IMMOBILIERE DE DIASS SARL (100%)</t>
  </si>
  <si>
    <t>2.5002 Ha</t>
  </si>
  <si>
    <t>03225</t>
  </si>
  <si>
    <t>Dimboli</t>
  </si>
  <si>
    <t>ALCATRAS INTERNATIONAL (100%)</t>
  </si>
  <si>
    <t>50.6755 Ha</t>
  </si>
  <si>
    <t>03227</t>
  </si>
  <si>
    <t>Keur Massouka</t>
  </si>
  <si>
    <t>EBONY NATURAL RESOURCES - SUARL</t>
  </si>
  <si>
    <t>1.9444 Ha</t>
  </si>
  <si>
    <t>03228</t>
  </si>
  <si>
    <t>BETAMINES SA (100%)</t>
  </si>
  <si>
    <t>basalte, tf</t>
  </si>
  <si>
    <t>31.9992 km²</t>
  </si>
  <si>
    <t>03229</t>
  </si>
  <si>
    <t>27.1320 Ha</t>
  </si>
  <si>
    <t>03230</t>
  </si>
  <si>
    <t>SAMB CONSULTING (100%)</t>
  </si>
  <si>
    <t>2.2306 Ha</t>
  </si>
  <si>
    <t>03231</t>
  </si>
  <si>
    <t>GLOBAL AFRICINVEST SARL (100%)</t>
  </si>
  <si>
    <t>1.3433 Ha</t>
  </si>
  <si>
    <t>03232</t>
  </si>
  <si>
    <t>Sangalkam</t>
  </si>
  <si>
    <t>SALIOU MINES INDUSTRIES ET TECHNIQUES (100%)</t>
  </si>
  <si>
    <t>2.5256 Ha</t>
  </si>
  <si>
    <t>03233</t>
  </si>
  <si>
    <t>1.7928 Ha</t>
  </si>
  <si>
    <t>03234</t>
  </si>
  <si>
    <t>0.5044 Ha</t>
  </si>
  <si>
    <t>03235</t>
  </si>
  <si>
    <t>SYMPATIK SERVICE NEW BUSINESS TRADING  (100%)</t>
  </si>
  <si>
    <t>2.6306 Ha</t>
  </si>
  <si>
    <t>03236</t>
  </si>
  <si>
    <t>SOCIETE COMMERCIALE NDIAMBOUR NDIGUEUL SARL (100%)</t>
  </si>
  <si>
    <t>2.2880 Ha</t>
  </si>
  <si>
    <t>03237</t>
  </si>
  <si>
    <t>LES PROFESSIONNELS DU BATIMENT ET SERVICES  (100%)</t>
  </si>
  <si>
    <t>3.0088 Ha</t>
  </si>
  <si>
    <t>03238</t>
  </si>
  <si>
    <t>Chicky</t>
  </si>
  <si>
    <t>29.0783 Ha</t>
  </si>
  <si>
    <t>03239</t>
  </si>
  <si>
    <t>9.1280 Ha</t>
  </si>
  <si>
    <t>03241</t>
  </si>
  <si>
    <t>SOFITA SERVICES &amp; LOGISTIQUE (100%)</t>
  </si>
  <si>
    <t>25.0100 Ha</t>
  </si>
  <si>
    <t>03246</t>
  </si>
  <si>
    <t>GAYA  GROUPE OIL (100%)</t>
  </si>
  <si>
    <t>2.7208 Ha</t>
  </si>
  <si>
    <t>03248</t>
  </si>
  <si>
    <t>cayar</t>
  </si>
  <si>
    <t>TOUBA DAROU KARIM INDUSTRIE</t>
  </si>
  <si>
    <t>2.9374 Ha</t>
  </si>
  <si>
    <t>03249</t>
  </si>
  <si>
    <t>7.4496 Ha</t>
  </si>
  <si>
    <t>03250</t>
  </si>
  <si>
    <t>Diembéring</t>
  </si>
  <si>
    <t>DIENABA ET JEAN SARL (100%)</t>
  </si>
  <si>
    <t>2.5343 Ha</t>
  </si>
  <si>
    <t>03252</t>
  </si>
  <si>
    <t>8.1362 Ha</t>
  </si>
  <si>
    <t>03253</t>
  </si>
  <si>
    <t>Keur Mbouki</t>
  </si>
  <si>
    <t>SOCIETE COMMERCIALE NDIAMBOUR NDIGUEUL SARL</t>
  </si>
  <si>
    <t>2.1150 Ha</t>
  </si>
  <si>
    <t>03255</t>
  </si>
  <si>
    <t>1.1421 Ha</t>
  </si>
  <si>
    <t>03256</t>
  </si>
  <si>
    <t>28.2366 Ha</t>
  </si>
  <si>
    <t>03257</t>
  </si>
  <si>
    <t>DIASPORA TRADING SERVICES SUARL (100%)</t>
  </si>
  <si>
    <t>13.4907 Ha</t>
  </si>
  <si>
    <t>03258</t>
  </si>
  <si>
    <t>2.7003 Ha</t>
  </si>
  <si>
    <t>03259</t>
  </si>
  <si>
    <t>Notto Diobass</t>
  </si>
  <si>
    <t>3.8098 Ha</t>
  </si>
  <si>
    <t>03260</t>
  </si>
  <si>
    <t>ELIKANE SUARL (100%)</t>
  </si>
  <si>
    <t>65.8981 Ha</t>
  </si>
  <si>
    <t>03261</t>
  </si>
  <si>
    <t>SOCIETE DE CONSTRUCTION ET DE PRESTATIONS DE SERVICES (100%)</t>
  </si>
  <si>
    <t>6.0165 Ha</t>
  </si>
  <si>
    <t>03263</t>
  </si>
  <si>
    <t>ABN HOLDING-SARL (100%)</t>
  </si>
  <si>
    <t>8.4798 Ha</t>
  </si>
  <si>
    <t>03264</t>
  </si>
  <si>
    <t>Packi</t>
  </si>
  <si>
    <t>AMIN TRANS SUARL (100%)</t>
  </si>
  <si>
    <t>grès, latérite</t>
  </si>
  <si>
    <t>1.9792 Ha</t>
  </si>
  <si>
    <t>03265</t>
  </si>
  <si>
    <t>ICS/Darou khoudosse</t>
  </si>
  <si>
    <t>03268</t>
  </si>
  <si>
    <t>DIOR GOLD SUARL (100%)</t>
  </si>
  <si>
    <t>49.9720 Ha</t>
  </si>
  <si>
    <t>03269</t>
  </si>
  <si>
    <t>Chérif LÔ</t>
  </si>
  <si>
    <t>MAWDO NDIAYE (100%)</t>
  </si>
  <si>
    <t>1.3214 Ha</t>
  </si>
  <si>
    <t>03270</t>
  </si>
  <si>
    <t>2.5001 Ha</t>
  </si>
  <si>
    <t>03271</t>
  </si>
  <si>
    <t>SILIKA GRANULATS SARL (100%)</t>
  </si>
  <si>
    <t>03272</t>
  </si>
  <si>
    <t>03273</t>
  </si>
  <si>
    <t>GROUPE MOZAIC (100%)</t>
  </si>
  <si>
    <t>03274</t>
  </si>
  <si>
    <t>Ndiaganiao</t>
  </si>
  <si>
    <t>MENDY DOUDOU (100%)</t>
  </si>
  <si>
    <t>1.8837 Ha</t>
  </si>
  <si>
    <t>03275</t>
  </si>
  <si>
    <t>DIOM MULTI EXPLOITATION</t>
  </si>
  <si>
    <t>1.6435 Ha</t>
  </si>
  <si>
    <t>03276</t>
  </si>
  <si>
    <t>DIAGNE AMADOU MACTAR  (100%)</t>
  </si>
  <si>
    <t>1.0056 km²</t>
  </si>
  <si>
    <t>03277</t>
  </si>
  <si>
    <t>Diender Guedji</t>
  </si>
  <si>
    <t>0.8703 Ha</t>
  </si>
  <si>
    <t>03278</t>
  </si>
  <si>
    <t>Kérékonko2</t>
  </si>
  <si>
    <t>ALCATRAS INTERNATIONAL</t>
  </si>
  <si>
    <t>29.1395 Ha</t>
  </si>
  <si>
    <t>03279</t>
  </si>
  <si>
    <t>Chérif Lo</t>
  </si>
  <si>
    <t>HORIZON PLUS TECHNOLOGIE (100%)</t>
  </si>
  <si>
    <t>4.7334 Ha</t>
  </si>
  <si>
    <t>03280</t>
  </si>
  <si>
    <t>Beer</t>
  </si>
  <si>
    <t>1.3976 Ha</t>
  </si>
  <si>
    <t>03281</t>
  </si>
  <si>
    <t>Samécouta</t>
  </si>
  <si>
    <t xml:space="preserve"> TIANJI INVESTMENTS GROUP (100%)</t>
  </si>
  <si>
    <t>2.5205 km²</t>
  </si>
  <si>
    <t>03282</t>
  </si>
  <si>
    <t>Keur Moussa</t>
  </si>
  <si>
    <t>DIARRA MAMADOU DIAKHITE</t>
  </si>
  <si>
    <t>9.1248 Ha</t>
  </si>
  <si>
    <t>03283</t>
  </si>
  <si>
    <t>TESORO SERVICES (100%)</t>
  </si>
  <si>
    <t>03284</t>
  </si>
  <si>
    <t>YAM</t>
  </si>
  <si>
    <t>ETABLISSEMENT IDDIS INTERNATIONAL (100%)</t>
  </si>
  <si>
    <t>4.1214 Ha</t>
  </si>
  <si>
    <t>03285</t>
  </si>
  <si>
    <t>Keur Martin</t>
  </si>
  <si>
    <t>0.7724 Ha</t>
  </si>
  <si>
    <t>03286</t>
  </si>
  <si>
    <t>SENEGALAISES DES MINES ET DE LA GEOLOGIE (100%)</t>
  </si>
  <si>
    <t>3.6714 Ha</t>
  </si>
  <si>
    <t>03287</t>
  </si>
  <si>
    <t>Kadam</t>
  </si>
  <si>
    <t>AMADOU YOUSSOUF SY (100%)</t>
  </si>
  <si>
    <t>0.0083 Ha</t>
  </si>
  <si>
    <t>03288</t>
  </si>
  <si>
    <t>BAU (100%)</t>
  </si>
  <si>
    <t>6.3347 Ha</t>
  </si>
  <si>
    <t>03289</t>
  </si>
  <si>
    <t>50.3961 Ha</t>
  </si>
  <si>
    <t>03291</t>
  </si>
  <si>
    <t>20.2082 Ha</t>
  </si>
  <si>
    <t>03292</t>
  </si>
  <si>
    <t>GREENFIELD ASSETS INVEST GAIN (100%)</t>
  </si>
  <si>
    <t>Argile, latérite</t>
  </si>
  <si>
    <t>59.9400 Ha</t>
  </si>
  <si>
    <t>03293</t>
  </si>
  <si>
    <t>1.1483 km²</t>
  </si>
  <si>
    <t>03295</t>
  </si>
  <si>
    <t>SOCIETE DE COMMERCE DE TRANSPORT ET DE BATIMENT</t>
  </si>
  <si>
    <t>03297</t>
  </si>
  <si>
    <t>Keur Sega</t>
  </si>
  <si>
    <t>ENTREPRISE AFIA SERVICES (100%)</t>
  </si>
  <si>
    <t>1.2523 Ha</t>
  </si>
  <si>
    <t>03299</t>
  </si>
  <si>
    <t>ICS TAIBA</t>
  </si>
  <si>
    <t>SEN CONSORTIUM D'ENTREPRISE SARL (100%)</t>
  </si>
  <si>
    <t>03301</t>
  </si>
  <si>
    <t>Sinthiou  Mago</t>
  </si>
  <si>
    <t>CAD LOGISTICS SARL (100%)</t>
  </si>
  <si>
    <t>9.1008 Ha</t>
  </si>
  <si>
    <t>03302</t>
  </si>
  <si>
    <t>SEUN SERERE</t>
  </si>
  <si>
    <t>BAMINE-SA (100%)</t>
  </si>
  <si>
    <t>27.1447 Ha</t>
  </si>
  <si>
    <t>03303</t>
  </si>
  <si>
    <t>93.0049 Ha</t>
  </si>
  <si>
    <t>03304</t>
  </si>
  <si>
    <t>NDIAYE OUSMANE CARAHMA (100%)</t>
  </si>
  <si>
    <t>2.6976 Ha</t>
  </si>
  <si>
    <t>03306</t>
  </si>
  <si>
    <t>TRANS FAVO SUARL (100%)</t>
  </si>
  <si>
    <t>03307</t>
  </si>
  <si>
    <t>2.5760 Ha</t>
  </si>
  <si>
    <t>03308</t>
  </si>
  <si>
    <t>Kérékonko1</t>
  </si>
  <si>
    <t>29.0816 Ha</t>
  </si>
  <si>
    <t>03311</t>
  </si>
  <si>
    <t>Nénéfécha</t>
  </si>
  <si>
    <t>NOGA MINE SARL (100%)</t>
  </si>
  <si>
    <t>823.7787 Ha</t>
  </si>
  <si>
    <t>03314</t>
  </si>
  <si>
    <t>Sosesa/ICS darou khoudosse</t>
  </si>
  <si>
    <t>GROUPE SOCIETE SENEGALO SUISSE DES AFFAIRES SUARL (100%)</t>
  </si>
  <si>
    <t>03315</t>
  </si>
  <si>
    <t>DANKY</t>
  </si>
  <si>
    <t>8.8139 Ha</t>
  </si>
  <si>
    <t>03316</t>
  </si>
  <si>
    <t>NINEFECHA ET KHARAKHENA</t>
  </si>
  <si>
    <t>GENERAL TRAVAUX EQUIPEMENT (100%)</t>
  </si>
  <si>
    <t>27.9343 km²</t>
  </si>
  <si>
    <t>03317</t>
  </si>
  <si>
    <t>Lam Lam</t>
  </si>
  <si>
    <t>GEO CONSULTING</t>
  </si>
  <si>
    <t>03318</t>
  </si>
  <si>
    <t>ETABLISSEMENT OUSMANE NDIAYE</t>
  </si>
  <si>
    <t>2.0804 Ha</t>
  </si>
  <si>
    <t>03319</t>
  </si>
  <si>
    <t>DALOTO NORD-OUEST</t>
  </si>
  <si>
    <t>GLOBAL MINING OPERATIONS (100%)</t>
  </si>
  <si>
    <t>49.9917 km²</t>
  </si>
  <si>
    <t>03322</t>
  </si>
  <si>
    <t>ndiokop</t>
  </si>
  <si>
    <t>ETS ALIOUNE NDIAYE (100%)</t>
  </si>
  <si>
    <t>0.7372 Ha</t>
  </si>
  <si>
    <t>03325</t>
  </si>
  <si>
    <t>Sinthiou Aly Bocar</t>
  </si>
  <si>
    <t>MFC INTERNATIONAL (100%)</t>
  </si>
  <si>
    <t>2.7453 Ha</t>
  </si>
  <si>
    <t>03327</t>
  </si>
  <si>
    <t>DENI BIRAM NDAO</t>
  </si>
  <si>
    <t>4.4522 Ha</t>
  </si>
  <si>
    <t>03329</t>
  </si>
  <si>
    <t>Wortokhati 4</t>
  </si>
  <si>
    <t>JAMOMINING SARL</t>
  </si>
  <si>
    <t>49.7694 Ha</t>
  </si>
  <si>
    <t>03330</t>
  </si>
  <si>
    <t>Gorom 1</t>
  </si>
  <si>
    <t>2.0768 Ha</t>
  </si>
  <si>
    <t>03331</t>
  </si>
  <si>
    <t>Khabane</t>
  </si>
  <si>
    <t>59.1627 Ha</t>
  </si>
  <si>
    <t>03332</t>
  </si>
  <si>
    <t>Djindji Bassari</t>
  </si>
  <si>
    <t>49.7631 Ha</t>
  </si>
  <si>
    <t>03333</t>
  </si>
  <si>
    <t>Darou Bayakh</t>
  </si>
  <si>
    <t>7.8692 Ha</t>
  </si>
  <si>
    <t>03335</t>
  </si>
  <si>
    <t>Wortokhati 5</t>
  </si>
  <si>
    <t>49.5180 Ha</t>
  </si>
  <si>
    <t>03336</t>
  </si>
  <si>
    <t>GIE ESPERANCE21 (100%)</t>
  </si>
  <si>
    <t>9.6652 Ha</t>
  </si>
  <si>
    <t>03337</t>
  </si>
  <si>
    <t>GIE ESPERANCE21</t>
  </si>
  <si>
    <t>10.6924 Ha</t>
  </si>
  <si>
    <t>03338</t>
  </si>
  <si>
    <t>keur mousse</t>
  </si>
  <si>
    <t>5.5304 Ha</t>
  </si>
  <si>
    <t>03339</t>
  </si>
  <si>
    <t>2.9880 Ha</t>
  </si>
  <si>
    <t>03340</t>
  </si>
  <si>
    <t>QINGNING SUARL (100%)</t>
  </si>
  <si>
    <t>03341</t>
  </si>
  <si>
    <t>Tomboronko</t>
  </si>
  <si>
    <t>109.7411 Ha</t>
  </si>
  <si>
    <t>03342</t>
  </si>
  <si>
    <t>MBABOU</t>
  </si>
  <si>
    <t>5.0600 Ha</t>
  </si>
  <si>
    <t>03343</t>
  </si>
  <si>
    <t>kayar</t>
  </si>
  <si>
    <t>ETS MAMADOU DIOP</t>
  </si>
  <si>
    <t>2.8861 Ha</t>
  </si>
  <si>
    <t>03344</t>
  </si>
  <si>
    <t>49.9888 Ha</t>
  </si>
  <si>
    <t>03346</t>
  </si>
  <si>
    <t>ICS MBORO</t>
  </si>
  <si>
    <t>ADAMA UNIVERSAL IMMOBILIER ET AFFAIRES (100%)</t>
  </si>
  <si>
    <t>03347</t>
  </si>
  <si>
    <t>03348</t>
  </si>
  <si>
    <t>1.5824 Ha</t>
  </si>
  <si>
    <t>03349</t>
  </si>
  <si>
    <t>3.2783 Ha</t>
  </si>
  <si>
    <t>03351</t>
  </si>
  <si>
    <t>Kharakheina</t>
  </si>
  <si>
    <t>03356</t>
  </si>
  <si>
    <t>GOLDIMA (100%)</t>
  </si>
  <si>
    <t>03357</t>
  </si>
  <si>
    <t>DIMAT BAT &amp; TP SAU (100%)</t>
  </si>
  <si>
    <t>24.7367 Ha</t>
  </si>
  <si>
    <t>03358</t>
  </si>
  <si>
    <t>BONDALA</t>
  </si>
  <si>
    <t>CHESSER SAU (100%)</t>
  </si>
  <si>
    <t>207.1757 km²</t>
  </si>
  <si>
    <t>03360</t>
  </si>
  <si>
    <t>MORICHOU</t>
  </si>
  <si>
    <t>431.2050 km²</t>
  </si>
  <si>
    <t>03363</t>
  </si>
  <si>
    <t>NDIAYE PAPA OUSMANE (100%)</t>
  </si>
  <si>
    <t>3.4514 Ha</t>
  </si>
  <si>
    <t>03364</t>
  </si>
  <si>
    <t>CILAGE MINE (100%)</t>
  </si>
  <si>
    <t>41.9329 Ha</t>
  </si>
  <si>
    <t>03365</t>
  </si>
  <si>
    <t>MAIGA HOLDING (100%)</t>
  </si>
  <si>
    <t>2,855.2328 km²</t>
  </si>
  <si>
    <t>03367</t>
  </si>
  <si>
    <t>MEDINA  CHEIKH</t>
  </si>
  <si>
    <t>4.8374 Ha</t>
  </si>
  <si>
    <t>03368</t>
  </si>
  <si>
    <t>Madina foulbé 1</t>
  </si>
  <si>
    <t>49.0967 Ha</t>
  </si>
  <si>
    <t>03369</t>
  </si>
  <si>
    <t>madina foulbé 2</t>
  </si>
  <si>
    <t>48.4423 Ha</t>
  </si>
  <si>
    <t>03370</t>
  </si>
  <si>
    <t>8.1988 Ha</t>
  </si>
  <si>
    <t>03371</t>
  </si>
  <si>
    <t>LERAL</t>
  </si>
  <si>
    <t>2.4670 Ha</t>
  </si>
  <si>
    <t>03372</t>
  </si>
  <si>
    <t>03373</t>
  </si>
  <si>
    <t xml:space="preserve">Keur Abdou NDOYE
</t>
  </si>
  <si>
    <t>0.0180 km²</t>
  </si>
  <si>
    <t>03374</t>
  </si>
  <si>
    <t>INTERNATIONAL COMPANY TRADE SERVICE SARL (100%)</t>
  </si>
  <si>
    <t>gypse</t>
  </si>
  <si>
    <t>1.0571 km²</t>
  </si>
  <si>
    <t>03375</t>
  </si>
  <si>
    <t>DIAMBAR IMMOBILIER SARL</t>
  </si>
  <si>
    <t>03376</t>
  </si>
  <si>
    <t>Wortokhati 3</t>
  </si>
  <si>
    <t>49.9797 Ha</t>
  </si>
  <si>
    <t>03377</t>
  </si>
  <si>
    <t>WEST AFRICAN MINERALS INC SARL (100%)</t>
  </si>
  <si>
    <t>42.8750 Ha</t>
  </si>
  <si>
    <t>03378</t>
  </si>
  <si>
    <t>48.0243 Ha</t>
  </si>
  <si>
    <t>03379</t>
  </si>
  <si>
    <t>49.6799 Ha</t>
  </si>
  <si>
    <t>03380</t>
  </si>
  <si>
    <t>Kassassoko</t>
  </si>
  <si>
    <t>03381</t>
  </si>
  <si>
    <t>Wakilaré</t>
  </si>
  <si>
    <t>GIE JOKKER ENDANG WAKILARE (100%)</t>
  </si>
  <si>
    <t>50.4400 Ha</t>
  </si>
  <si>
    <t>03382</t>
  </si>
  <si>
    <t>NGari Sud</t>
  </si>
  <si>
    <t>GOLDSKY (100%)</t>
  </si>
  <si>
    <t>0.4992 km²</t>
  </si>
  <si>
    <t>03383</t>
  </si>
  <si>
    <t>Daléma</t>
  </si>
  <si>
    <t>47.3616 Ha</t>
  </si>
  <si>
    <t>03384</t>
  </si>
  <si>
    <t>1.2309 Ha</t>
  </si>
  <si>
    <t>03385</t>
  </si>
  <si>
    <t>BAMBAYA</t>
  </si>
  <si>
    <t>RASSOUL MINING OIL GAS &amp; ENERGY (100%)</t>
  </si>
  <si>
    <t>Bauxite</t>
  </si>
  <si>
    <t>55.6800 km²</t>
  </si>
  <si>
    <t>03387</t>
  </si>
  <si>
    <t>Périmètre 2</t>
  </si>
  <si>
    <t>CILAGE MINE SUARL (100%)</t>
  </si>
  <si>
    <t>14.8837 Ha</t>
  </si>
  <si>
    <t>03388</t>
  </si>
  <si>
    <t>Mbeer</t>
  </si>
  <si>
    <t>ENTREPRISE AFRICA-IMMO SERVICES (100%)</t>
  </si>
  <si>
    <t>5.4081 Ha</t>
  </si>
  <si>
    <t>03389</t>
  </si>
  <si>
    <t>Périmètre 1</t>
  </si>
  <si>
    <t>15.1226 Ha</t>
  </si>
  <si>
    <t>03392</t>
  </si>
  <si>
    <t>SOCIETE D'EXPLOITATION DE LOGISTIQUE ET DES TRAVAUX (100%)</t>
  </si>
  <si>
    <t>5.7859 km²</t>
  </si>
  <si>
    <t>03394</t>
  </si>
  <si>
    <t>3.0058 Ha</t>
  </si>
  <si>
    <t>03398</t>
  </si>
  <si>
    <t>TABASS SOCIETE (100%)</t>
  </si>
  <si>
    <t>5.1276 km²</t>
  </si>
  <si>
    <t>03400</t>
  </si>
  <si>
    <t>BAMBADJI SUD</t>
  </si>
  <si>
    <t>BARRICK GOLD SENEGAL SA (100%)</t>
  </si>
  <si>
    <t>58.2506 km²</t>
  </si>
  <si>
    <t>03401</t>
  </si>
  <si>
    <t>17.1701 Ha</t>
  </si>
  <si>
    <t>03402</t>
  </si>
  <si>
    <t>Pirogue</t>
  </si>
  <si>
    <t>XINJIN ZIRCONIUM INDUSTRY SARL (100%)</t>
  </si>
  <si>
    <t>17.1569 Ha</t>
  </si>
  <si>
    <t>03403</t>
  </si>
  <si>
    <t>Koliya</t>
  </si>
  <si>
    <t>37.7460 Ha</t>
  </si>
  <si>
    <t>03404</t>
  </si>
  <si>
    <t>ILYMALO</t>
  </si>
  <si>
    <t>Li</t>
  </si>
  <si>
    <t>258.6613 km²</t>
  </si>
  <si>
    <t>03405</t>
  </si>
  <si>
    <t>Diombalou</t>
  </si>
  <si>
    <t>667.0690 km²</t>
  </si>
  <si>
    <t>03406</t>
  </si>
  <si>
    <t>Nord Diabougou</t>
  </si>
  <si>
    <t>SHIFENG MINING COMPANY SARL (100%)</t>
  </si>
  <si>
    <t>44.7300 Ha</t>
  </si>
  <si>
    <t>03410</t>
  </si>
  <si>
    <t>Kawsara</t>
  </si>
  <si>
    <t>MANSA GOLD CORPORATION (100%)</t>
  </si>
  <si>
    <t>49.9590 Ha</t>
  </si>
  <si>
    <t>03411</t>
  </si>
  <si>
    <t>ENTREPRISE INTERNATIONALE DES BIENS ET SERVICES  (100%)</t>
  </si>
  <si>
    <t>47.5780 Ha</t>
  </si>
  <si>
    <t>03413</t>
  </si>
  <si>
    <t>Samékouta</t>
  </si>
  <si>
    <t>188.7209 km²</t>
  </si>
  <si>
    <t>03414</t>
  </si>
  <si>
    <t>GACH MINING COMPANY LIMITED SENEGAL SARL (100%)</t>
  </si>
  <si>
    <t>613.3050 Ha</t>
  </si>
  <si>
    <t>03416</t>
  </si>
  <si>
    <t>5.7915 Ha</t>
  </si>
  <si>
    <t>03417</t>
  </si>
  <si>
    <t>2.2800 Ha</t>
  </si>
  <si>
    <t>03418</t>
  </si>
  <si>
    <t>03419</t>
  </si>
  <si>
    <t>Madina</t>
  </si>
  <si>
    <t>MINE PETRO SA (100%)</t>
  </si>
  <si>
    <t>03420</t>
  </si>
  <si>
    <t>Ngadiawane</t>
  </si>
  <si>
    <t>ENEVIS SENEGAL  SA (100%)</t>
  </si>
  <si>
    <t>270.9270 km²</t>
  </si>
  <si>
    <t>03421</t>
  </si>
  <si>
    <t>Périmètre 3</t>
  </si>
  <si>
    <t>22.4300 Ha</t>
  </si>
  <si>
    <t>03422</t>
  </si>
  <si>
    <t>THIORE BUISINESS GROUP SARL (100%)</t>
  </si>
  <si>
    <t>46.2305 Ha</t>
  </si>
  <si>
    <t>03423</t>
  </si>
  <si>
    <t>03424</t>
  </si>
  <si>
    <t>03425</t>
  </si>
  <si>
    <t>4.8863 Ha</t>
  </si>
  <si>
    <t>03427</t>
  </si>
  <si>
    <t>NDATTE YALLAH COMPAGNIE (100%)</t>
  </si>
  <si>
    <t>48.0125 Ha</t>
  </si>
  <si>
    <t>03428</t>
  </si>
  <si>
    <t>Djendy bassari</t>
  </si>
  <si>
    <t>Demande</t>
  </si>
  <si>
    <t>49.9999 Ha</t>
  </si>
  <si>
    <t>03429</t>
  </si>
  <si>
    <t>Kolomdinnkourou</t>
  </si>
  <si>
    <t>46.4440 Ha</t>
  </si>
  <si>
    <t>03430</t>
  </si>
  <si>
    <t>Tambanoumiya</t>
  </si>
  <si>
    <t>44.4012 Ha</t>
  </si>
  <si>
    <t>03431</t>
  </si>
  <si>
    <t>ETAT DU SENEGAL (100%)</t>
  </si>
  <si>
    <t>ZP</t>
  </si>
  <si>
    <t>291.7405 km²</t>
  </si>
  <si>
    <t>03432</t>
  </si>
  <si>
    <t>03434</t>
  </si>
  <si>
    <t>DIMBOLI</t>
  </si>
  <si>
    <t>502.9349 Ha</t>
  </si>
  <si>
    <t>03435</t>
  </si>
  <si>
    <t>EMEEF CONSULTING (100%)</t>
  </si>
  <si>
    <t>0.8010 Ha</t>
  </si>
  <si>
    <t>03436</t>
  </si>
  <si>
    <t>84.4863 km²</t>
  </si>
  <si>
    <t>03437</t>
  </si>
  <si>
    <t>ph a, phosphate de chaux</t>
  </si>
  <si>
    <t>130.7275 km²</t>
  </si>
  <si>
    <t>03438</t>
  </si>
  <si>
    <t>S&amp;S INDUSTRIAL CO. LTD AND GUANXI HANRUI INVESTEMENT GROUP SENEGAL SA (100%)</t>
  </si>
  <si>
    <t>718.3452 Ha</t>
  </si>
  <si>
    <t>03439</t>
  </si>
  <si>
    <t>DESK OFFICE SARL (100%)</t>
  </si>
  <si>
    <t>03443</t>
  </si>
  <si>
    <t>Keur Mbouky</t>
  </si>
  <si>
    <t>ENTREPRISE GENERALE DAROU SALAM (100%)</t>
  </si>
  <si>
    <t>3.3375 Ha</t>
  </si>
  <si>
    <t>03444</t>
  </si>
  <si>
    <t>Thiallé</t>
  </si>
  <si>
    <t>ETS PAPA SANGONE SALL (100%)</t>
  </si>
  <si>
    <t>2.9140 Ha</t>
  </si>
  <si>
    <t>03445</t>
  </si>
  <si>
    <t>SENEGALAISE DE CARRIERES (100%)</t>
  </si>
  <si>
    <t>03446</t>
  </si>
  <si>
    <t>Kab Gueye</t>
  </si>
  <si>
    <t>LES PHOSPHATES DU SENEGAL (100%)</t>
  </si>
  <si>
    <t>232.3272 km²</t>
  </si>
  <si>
    <t>03447</t>
  </si>
  <si>
    <t>GIE GEOCOM CONSULTING SERVICES (100%)</t>
  </si>
  <si>
    <t>1.2644 Ha</t>
  </si>
  <si>
    <t>03448</t>
  </si>
  <si>
    <t>ETABLISSEMENT GENERAL DE COMMERCE IMPORT/EXPORT (100%)</t>
  </si>
  <si>
    <t>03449</t>
  </si>
  <si>
    <t>5.7017 Ha</t>
  </si>
  <si>
    <t>03450</t>
  </si>
  <si>
    <t>TOP BUSINESS-CONCEPT-SAS</t>
  </si>
  <si>
    <t>4.1935 Ha</t>
  </si>
  <si>
    <t>03451</t>
  </si>
  <si>
    <t>LES SERVITEURS (100%)</t>
  </si>
  <si>
    <t>03452</t>
  </si>
  <si>
    <t>ALWAR PRODUCTION GROUP (100%)</t>
  </si>
  <si>
    <t>03453</t>
  </si>
  <si>
    <t>SENEGAL MINES (100%)</t>
  </si>
  <si>
    <t>69.0021 Ha</t>
  </si>
  <si>
    <t>03454</t>
  </si>
  <si>
    <t>KOUNDA GROUP SA (100%)</t>
  </si>
  <si>
    <t>41.4195 km²</t>
  </si>
  <si>
    <t>03455</t>
  </si>
  <si>
    <t>Kégnéba 2</t>
  </si>
  <si>
    <t>GIE DES FEMMES DE KEGNEBA (100%)</t>
  </si>
  <si>
    <t>49.9940 Ha</t>
  </si>
  <si>
    <t>03456</t>
  </si>
  <si>
    <t>Kégnéba 1</t>
  </si>
  <si>
    <t>49.6068 Ha</t>
  </si>
  <si>
    <t>03457</t>
  </si>
  <si>
    <t>GIE TOUBA DAROU KHOUDOSS (100%)</t>
  </si>
  <si>
    <t>774.0669 Ha</t>
  </si>
  <si>
    <t>03458</t>
  </si>
  <si>
    <t>DANGOTE CEMENT SENEGAL SA (100%)</t>
  </si>
  <si>
    <t>Argile, calcaire</t>
  </si>
  <si>
    <t>61.7400 Ha</t>
  </si>
  <si>
    <t>03462</t>
  </si>
  <si>
    <t>Mboul</t>
  </si>
  <si>
    <t>ADICO SARL (100%)</t>
  </si>
  <si>
    <t>2.9907 Ha</t>
  </si>
  <si>
    <t>03463</t>
  </si>
  <si>
    <t>ZEYKA SARL (100%)</t>
  </si>
  <si>
    <t>03464</t>
  </si>
  <si>
    <t>SENEGAL SILEX SA (100%)</t>
  </si>
  <si>
    <t>03465</t>
  </si>
  <si>
    <t>YELLOW GROUND SENEGAL SAS (100%)</t>
  </si>
  <si>
    <t>6.8117 km²</t>
  </si>
  <si>
    <t>03466</t>
  </si>
  <si>
    <t>SCI FABITAPH (100%)</t>
  </si>
  <si>
    <t>32.0512 Ha</t>
  </si>
  <si>
    <t>03469</t>
  </si>
  <si>
    <t>KONKOUTOU GOLD OPERATION SUARL (100%)</t>
  </si>
  <si>
    <t>03471</t>
  </si>
  <si>
    <t xml:space="preserve">LAM LAM
</t>
  </si>
  <si>
    <t>03472</t>
  </si>
  <si>
    <t>DIAGNE ASSANE (100%)</t>
  </si>
  <si>
    <t>03473</t>
  </si>
  <si>
    <t>IBEL SUD</t>
  </si>
  <si>
    <t>HARANGA RESOURCES LIMETED (100%)</t>
  </si>
  <si>
    <t>182.2500 km²</t>
  </si>
  <si>
    <t>03474</t>
  </si>
  <si>
    <t>missirah 1</t>
  </si>
  <si>
    <t>THA MINES &amp; INDUSTRIES SARL (100%)</t>
  </si>
  <si>
    <t>49.8693 Ha</t>
  </si>
  <si>
    <t>03475</t>
  </si>
  <si>
    <t>Missirah 2</t>
  </si>
  <si>
    <t>48.5373 Ha</t>
  </si>
  <si>
    <t>03476</t>
  </si>
  <si>
    <t>bandia</t>
  </si>
  <si>
    <t>STAM BDA SARL (100%)</t>
  </si>
  <si>
    <t>Argile, calcaire, latérite</t>
  </si>
  <si>
    <t>20.5880 Ha</t>
  </si>
  <si>
    <t>03477</t>
  </si>
  <si>
    <t>03478</t>
  </si>
  <si>
    <t>SAFIA IMPORT EXPORT (100%)</t>
  </si>
  <si>
    <t>03479</t>
  </si>
  <si>
    <t>EL MODI SERVICES (100%)</t>
  </si>
  <si>
    <t>03482</t>
  </si>
  <si>
    <t>39.8996 Ha</t>
  </si>
  <si>
    <t>03484</t>
  </si>
  <si>
    <t>GENIUS MULTISERVICE SUARL  (100%)</t>
  </si>
  <si>
    <t>03485</t>
  </si>
  <si>
    <t>BAOBAB MINERALS SARL (100%)</t>
  </si>
  <si>
    <t>2.5008 km²</t>
  </si>
  <si>
    <t>03487</t>
  </si>
  <si>
    <t>GLADIAMA SUARL (100%)</t>
  </si>
  <si>
    <t>19.9353 Ha</t>
  </si>
  <si>
    <t>03488</t>
  </si>
  <si>
    <t>50.0225 Ha</t>
  </si>
  <si>
    <t>03489</t>
  </si>
  <si>
    <t>APSA MINES SA  (100%)</t>
  </si>
  <si>
    <t>20.0270 Ha</t>
  </si>
  <si>
    <t>03490</t>
  </si>
  <si>
    <t>TOUBA AMEUBLEMENT (100%)</t>
  </si>
  <si>
    <t>03491</t>
  </si>
  <si>
    <t>GIE CAYOR SILEX CORPORATION CSC (100%)</t>
  </si>
  <si>
    <t>03492</t>
  </si>
  <si>
    <t>03493</t>
  </si>
  <si>
    <t>SARAYA ENERGY (100%)</t>
  </si>
  <si>
    <t>1,045.8607 km²</t>
  </si>
  <si>
    <t>03494</t>
  </si>
  <si>
    <t xml:space="preserve">DALOTO
</t>
  </si>
  <si>
    <t>146.5961 km²</t>
  </si>
  <si>
    <t>03495</t>
  </si>
  <si>
    <t>Seun Diack</t>
  </si>
  <si>
    <t>2,161.4954 Ha</t>
  </si>
  <si>
    <t>03496</t>
  </si>
  <si>
    <t>Seun Serrere</t>
  </si>
  <si>
    <t>489.4578 Ha</t>
  </si>
  <si>
    <t>03498</t>
  </si>
  <si>
    <t>Lam-Lam</t>
  </si>
  <si>
    <t>ENTREPRISE DIAKHATE DAME (100%)</t>
  </si>
  <si>
    <t>2.7710 Ha</t>
  </si>
  <si>
    <t>03499</t>
  </si>
  <si>
    <t>SOCIETE DE DISTRIBUTION DE PRODUITS PETROLIES (100%)</t>
  </si>
  <si>
    <t>34.6423 Ha</t>
  </si>
  <si>
    <t>03500</t>
  </si>
  <si>
    <t>Djindji-Taifa</t>
  </si>
  <si>
    <t>GIE SYLLA KOUNDA (100%)</t>
  </si>
  <si>
    <t>49.7000 Ha</t>
  </si>
  <si>
    <t>03502</t>
  </si>
  <si>
    <t>Lérabé</t>
  </si>
  <si>
    <t>COMMUNE GUEDE VILLAGE (100%)</t>
  </si>
  <si>
    <t>7.3084 Ha</t>
  </si>
  <si>
    <t>03503</t>
  </si>
  <si>
    <t>Déni birame NDAO</t>
  </si>
  <si>
    <t>10.9414 Ha</t>
  </si>
  <si>
    <t>03504</t>
  </si>
  <si>
    <t>Tchicky Hebong</t>
  </si>
  <si>
    <t>BAMTAARE COMPANY (100%)</t>
  </si>
  <si>
    <t>03505</t>
  </si>
  <si>
    <t>Bayakh</t>
  </si>
  <si>
    <t>2.9326 Ha</t>
  </si>
  <si>
    <t>03506</t>
  </si>
  <si>
    <t>Malika</t>
  </si>
  <si>
    <t>SOCIETE IMMOBILIERE D'HABIT MODERNES (100%)</t>
  </si>
  <si>
    <t>3.5661 Ha</t>
  </si>
  <si>
    <t>03507</t>
  </si>
  <si>
    <t>03508</t>
  </si>
  <si>
    <t>BOUTA CONSULTING ET SERVICE (GAYE PAPA AL HOUSSEYNOU) (100%)</t>
  </si>
  <si>
    <t>03510</t>
  </si>
  <si>
    <t>GIE FALL ET FRERES DE KHOUMA (100%)</t>
  </si>
  <si>
    <t>03511</t>
  </si>
  <si>
    <t>LOCAL BUSINESS SERVICES  (NDONGO DJIBRIL) (100%)</t>
  </si>
  <si>
    <t>03512</t>
  </si>
  <si>
    <t>RACKY PRESTATIONS TECHNIQUES SARL (100%)</t>
  </si>
  <si>
    <t>28.1601 Ha</t>
  </si>
  <si>
    <t>03513</t>
  </si>
  <si>
    <t>ROMOU-SASU (100%)</t>
  </si>
  <si>
    <t>25.2000 Ha</t>
  </si>
  <si>
    <t>03514</t>
  </si>
  <si>
    <t>SAHEL 2M CIE SARL (100%)</t>
  </si>
  <si>
    <t>03515</t>
  </si>
  <si>
    <t>SALAME ENTREPRISE SARL (100%)</t>
  </si>
  <si>
    <t>03516</t>
  </si>
  <si>
    <t>GIE BOOK JOM ANDE LIGUEY MECKE (100%)</t>
  </si>
  <si>
    <t>2.2625 Ha</t>
  </si>
  <si>
    <t>03517</t>
  </si>
  <si>
    <t>SOCIETE DE COMMERCE DE FABRICATION  DE MATERIAUX ET CONSTRUCTION-SA (100%)</t>
  </si>
  <si>
    <t>03518</t>
  </si>
  <si>
    <t>Wassadou</t>
  </si>
  <si>
    <t>29.7500 Ha</t>
  </si>
  <si>
    <t>03519</t>
  </si>
  <si>
    <t>LES MINES DE DIAMA (100%)</t>
  </si>
  <si>
    <t>39.4497 Ha</t>
  </si>
  <si>
    <t>03520</t>
  </si>
  <si>
    <t>1.7612 Ha</t>
  </si>
  <si>
    <t>03521</t>
  </si>
  <si>
    <t>Guerina</t>
  </si>
  <si>
    <t>KEUR BASSINE SARL (100%)</t>
  </si>
  <si>
    <t>14.6829 Ha</t>
  </si>
  <si>
    <t>03522</t>
  </si>
  <si>
    <t>19.9999 Ha</t>
  </si>
  <si>
    <t>03525</t>
  </si>
  <si>
    <t>KASSAGUIRI</t>
  </si>
  <si>
    <t>SINTRADE SA (100%)</t>
  </si>
  <si>
    <t>72.1236 km²</t>
  </si>
  <si>
    <t>03526</t>
  </si>
  <si>
    <t>ASSANE DIOP CORPORATION  SARL</t>
  </si>
  <si>
    <t>03527</t>
  </si>
  <si>
    <t>GENERAL MULTI SERVICES TRADING SENEGAL SARL (100%)</t>
  </si>
  <si>
    <t>49.7158 Ha</t>
  </si>
  <si>
    <t>03528</t>
  </si>
  <si>
    <t>03529</t>
  </si>
  <si>
    <t>ENTREPRISE OUSMANE SOW</t>
  </si>
  <si>
    <t>11.1452 Ha</t>
  </si>
  <si>
    <t>03530</t>
  </si>
  <si>
    <t>Notto Gouye Diama</t>
  </si>
  <si>
    <t>ENTREPRISE DE DISTRIBUTION (100%)</t>
  </si>
  <si>
    <t>1.2596 Ha</t>
  </si>
  <si>
    <t>03531</t>
  </si>
  <si>
    <t>calcaire, latérite</t>
  </si>
  <si>
    <t>1,155.6300 km²</t>
  </si>
  <si>
    <t>03532</t>
  </si>
  <si>
    <t>289.8957 Ha</t>
  </si>
  <si>
    <t>03534</t>
  </si>
  <si>
    <t>KHELKOM'S LION SARL (100%)</t>
  </si>
  <si>
    <t>49.1180 Ha</t>
  </si>
  <si>
    <t>03536</t>
  </si>
  <si>
    <t>COMPAGNIE SENEGALAISE DE TRANSPORT MINIER ET AGRICOLE  SA (100%)</t>
  </si>
  <si>
    <t>5.7575 Ha</t>
  </si>
  <si>
    <t>03537</t>
  </si>
  <si>
    <t>COLAS AFRIQUE SUCCURSALE DU SENEGAL (100%)</t>
  </si>
  <si>
    <t>1.6273 Ha</t>
  </si>
  <si>
    <t>03538</t>
  </si>
  <si>
    <t>VINCI Grands Projets/ANDRITZ-Hydro (100%)</t>
  </si>
  <si>
    <t>17.8500 Ha</t>
  </si>
  <si>
    <t>03539</t>
  </si>
  <si>
    <t>SOCIETE SAHELIENNE D'EQUIPEMENT ET DE TERASSEMENT  (100%)</t>
  </si>
  <si>
    <t>1.7205 Ha</t>
  </si>
  <si>
    <t>03540</t>
  </si>
  <si>
    <t>Weyloundery</t>
  </si>
  <si>
    <t>6.4800 Ha</t>
  </si>
  <si>
    <t>03541</t>
  </si>
  <si>
    <t>COMPTOIR COMMERCIAL BALLA AICHA CCBA SUARL (100%)</t>
  </si>
  <si>
    <t>198.9000 km²</t>
  </si>
  <si>
    <t>03547</t>
  </si>
  <si>
    <t>Colobane</t>
  </si>
  <si>
    <t>ETS WAKEUR BOROM GAWANE (100%)</t>
  </si>
  <si>
    <t>3.9846 Ha</t>
  </si>
  <si>
    <t>03552</t>
  </si>
  <si>
    <t>Silacounda</t>
  </si>
  <si>
    <t>SOCIETE GAILLAC-GUEYE SARL (100%)</t>
  </si>
  <si>
    <t>49.9800 Ha</t>
  </si>
  <si>
    <t>03556</t>
  </si>
  <si>
    <t>6.5898 Ha</t>
  </si>
  <si>
    <t>03557</t>
  </si>
  <si>
    <t>GIE FARLOU (100%)</t>
  </si>
  <si>
    <t>03558</t>
  </si>
  <si>
    <t>Pout Ndoff-Tassette</t>
  </si>
  <si>
    <t>GIE LINGUERE (100%)</t>
  </si>
  <si>
    <t>3.9349 Ha</t>
  </si>
  <si>
    <t>03559</t>
  </si>
  <si>
    <t>MEDY INDUSTRIE SARL (100%)</t>
  </si>
  <si>
    <t>03560</t>
  </si>
  <si>
    <t>03561</t>
  </si>
  <si>
    <t>Sandiniery</t>
  </si>
  <si>
    <t>7.7750 Ha</t>
  </si>
  <si>
    <t>03562</t>
  </si>
  <si>
    <t>1.2136 Ha</t>
  </si>
  <si>
    <t>03563</t>
  </si>
  <si>
    <t>KIDIRA</t>
  </si>
  <si>
    <t>34.7200 Ha</t>
  </si>
  <si>
    <t>03564</t>
  </si>
  <si>
    <t>Ngabou</t>
  </si>
  <si>
    <t>54.6000 Ha</t>
  </si>
  <si>
    <t>03565</t>
  </si>
  <si>
    <t>TOULAYE AFRIQUE SARL (100%)</t>
  </si>
  <si>
    <t>03566</t>
  </si>
  <si>
    <t>SENECARMINES (SENEGALAISE DES MINES ET CARRIERES ) (100%)</t>
  </si>
  <si>
    <t>03567</t>
  </si>
  <si>
    <t>6.0987 Ha</t>
  </si>
  <si>
    <t>03568</t>
  </si>
  <si>
    <t>Kassagueri Est 2</t>
  </si>
  <si>
    <t>20.6629 Ha</t>
  </si>
  <si>
    <t>03569</t>
  </si>
  <si>
    <t>Kassagueri Est 1</t>
  </si>
  <si>
    <t>49.7025 Ha</t>
  </si>
  <si>
    <t>03570</t>
  </si>
  <si>
    <t>SOCIETE IMMOBILIERE DE CONSTRUCTION ET DE GERANCE  ( SICOGER ) SARL (100%)</t>
  </si>
  <si>
    <t>03573</t>
  </si>
  <si>
    <t>1.5600 Ha</t>
  </si>
  <si>
    <t>03574</t>
  </si>
  <si>
    <t>2.7000 Ha</t>
  </si>
  <si>
    <t>03575</t>
  </si>
  <si>
    <t>2.8800 Ha</t>
  </si>
  <si>
    <t>03576</t>
  </si>
  <si>
    <t>2.5200 Ha</t>
  </si>
  <si>
    <t>03577</t>
  </si>
  <si>
    <t>SIRAJ MINES ET INDUSTRIES SARL (100%)</t>
  </si>
  <si>
    <t>5.0350 Ha</t>
  </si>
  <si>
    <t>03580</t>
  </si>
  <si>
    <t>49.6984 Ha</t>
  </si>
  <si>
    <t>03581</t>
  </si>
  <si>
    <t>49.9018 Ha</t>
  </si>
  <si>
    <t>03583</t>
  </si>
  <si>
    <t>G-SAND SARL (100%)</t>
  </si>
  <si>
    <t>0.9428 km²</t>
  </si>
  <si>
    <t>03585</t>
  </si>
  <si>
    <t>LEYDI MINING COMPANY SARL (100%)</t>
  </si>
  <si>
    <t>03588</t>
  </si>
  <si>
    <t>17.7650 Ha</t>
  </si>
  <si>
    <t>03591</t>
  </si>
  <si>
    <t>BOSFOR SARL (100%)</t>
  </si>
  <si>
    <t>0.2387 km²</t>
  </si>
  <si>
    <t>03592</t>
  </si>
  <si>
    <t>0.2151 km²</t>
  </si>
  <si>
    <t>03594</t>
  </si>
  <si>
    <t>2.5315 km²</t>
  </si>
  <si>
    <t>03596</t>
  </si>
  <si>
    <t>Médina Foulbé</t>
  </si>
  <si>
    <t>AFRIK'MINES SUARL (100%)</t>
  </si>
  <si>
    <t>4.6373 km²</t>
  </si>
  <si>
    <t>03597</t>
  </si>
  <si>
    <t>WEST AFRICA MINES SUARL (100%)</t>
  </si>
  <si>
    <t>4.2755 km²</t>
  </si>
  <si>
    <t>03599</t>
  </si>
  <si>
    <t>Keur Gane</t>
  </si>
  <si>
    <t>ECOTRA SA (100%)</t>
  </si>
  <si>
    <t>8.5994 Ha</t>
  </si>
  <si>
    <t>03600</t>
  </si>
  <si>
    <t>MC TRANSPORT AND TRADING SARL (100%)</t>
  </si>
  <si>
    <t>5.7227 Ha</t>
  </si>
  <si>
    <t>03601</t>
  </si>
  <si>
    <t>03602</t>
  </si>
  <si>
    <t>3.9688 Ha</t>
  </si>
  <si>
    <t>03603</t>
  </si>
  <si>
    <t>ngathie naoude</t>
  </si>
  <si>
    <t>CHINA ROAD AND BRIDGE CORPORATION SENEGAL (100%)</t>
  </si>
  <si>
    <t>25.5313 Ha</t>
  </si>
  <si>
    <t>03604</t>
  </si>
  <si>
    <t>10.8836 Ha</t>
  </si>
  <si>
    <t>03605</t>
  </si>
  <si>
    <t>Dya</t>
  </si>
  <si>
    <t>7.9976 Ha</t>
  </si>
  <si>
    <t>03606</t>
  </si>
  <si>
    <t>03607</t>
  </si>
  <si>
    <t>SOCIETE "S3D" SARL (100%)</t>
  </si>
  <si>
    <t>20.3860 Ha</t>
  </si>
  <si>
    <t>03608</t>
  </si>
  <si>
    <t>GUETIE</t>
  </si>
  <si>
    <t>ABANDOUR GEOLINK (100%)</t>
  </si>
  <si>
    <t>Cu</t>
  </si>
  <si>
    <t>95.0099 km²</t>
  </si>
  <si>
    <t>03609</t>
  </si>
  <si>
    <t>SOCOTRABAT SUARL (100%)</t>
  </si>
  <si>
    <t>03610</t>
  </si>
  <si>
    <t>48.4750 Ha</t>
  </si>
  <si>
    <t>03612</t>
  </si>
  <si>
    <t>BEROLA BONDALA</t>
  </si>
  <si>
    <t>GEO EXPLOIT SARL (100%)</t>
  </si>
  <si>
    <t>42.5191 km²</t>
  </si>
  <si>
    <t>03613</t>
  </si>
  <si>
    <t>SCI NGARAFF (100%)</t>
  </si>
  <si>
    <t>03614</t>
  </si>
  <si>
    <t>COMPTOIR IMMOBILIER ET SERVICE SARL (100%)</t>
  </si>
  <si>
    <t>6.4788 Ha</t>
  </si>
  <si>
    <t>03615</t>
  </si>
  <si>
    <t>SOCIETE TOUBA NIBODJI SUARL (100%)</t>
  </si>
  <si>
    <t>30.0092 Ha</t>
  </si>
  <si>
    <t>03616</t>
  </si>
  <si>
    <t>03618</t>
  </si>
  <si>
    <t>03619</t>
  </si>
  <si>
    <t>GENERAL DE SERVICE DE NDINDY (100%)</t>
  </si>
  <si>
    <t>03620</t>
  </si>
  <si>
    <t>CARECIM SARL (100%)</t>
  </si>
  <si>
    <t>89.8750 Ha</t>
  </si>
  <si>
    <t>03621</t>
  </si>
  <si>
    <t>SOCIETE INTERNATIONALE DE BATIMENT ET DE COMMERCE ET DE TRAVAUX PUBLICS (SICOBAT TP) (100%)</t>
  </si>
  <si>
    <t>03622</t>
  </si>
  <si>
    <t>03623</t>
  </si>
  <si>
    <t>MBACKE SERIGNE CHEIKH IBRA  (100%)</t>
  </si>
  <si>
    <t>03626</t>
  </si>
  <si>
    <t>LANVIC CONSULTING (100%)</t>
  </si>
  <si>
    <t>03627</t>
  </si>
  <si>
    <t>INTER GLOBAL SERVICES SARL (100%)</t>
  </si>
  <si>
    <t>03628</t>
  </si>
  <si>
    <t>Sékoto</t>
  </si>
  <si>
    <t>MINES PROFESSIONAL HOLDING SARL (100%)</t>
  </si>
  <si>
    <t>21.4489 Ha</t>
  </si>
  <si>
    <t>03629</t>
  </si>
  <si>
    <t>ENTREPRISE MOUSTAPHA NDIAYE (100%)</t>
  </si>
  <si>
    <t>0.9343 Ha</t>
  </si>
  <si>
    <t>03630</t>
  </si>
  <si>
    <t>Moussala_Bloc 1</t>
  </si>
  <si>
    <t>48.4081 Ha</t>
  </si>
  <si>
    <t>03632</t>
  </si>
  <si>
    <t>Moussala_Bloc 2</t>
  </si>
  <si>
    <t>48.0048 Ha</t>
  </si>
  <si>
    <t>03634</t>
  </si>
  <si>
    <t>56.5004 km²</t>
  </si>
  <si>
    <t>03635</t>
  </si>
  <si>
    <t>Keur Moussa Hanna</t>
  </si>
  <si>
    <t>3.5158 Ha</t>
  </si>
  <si>
    <t>03636</t>
  </si>
  <si>
    <t>MBAYE FAMILY BUSINESS GROUP  (100%)</t>
  </si>
  <si>
    <t>491.9114 Ha</t>
  </si>
  <si>
    <t>03637</t>
  </si>
  <si>
    <t>DJINDJI</t>
  </si>
  <si>
    <t>GIE BENKANTO DJINDJI (100%)</t>
  </si>
  <si>
    <t>48.5599 Ha</t>
  </si>
  <si>
    <t>03638</t>
  </si>
  <si>
    <t>TOUBA MINING CORPORATION SARL (100%)</t>
  </si>
  <si>
    <t>21.2750 Ha</t>
  </si>
  <si>
    <t>03639</t>
  </si>
  <si>
    <t>ENTREPRISE DJOLOF TRANSPORT (100%)</t>
  </si>
  <si>
    <t>1.0658 Ha</t>
  </si>
  <si>
    <t>03641</t>
  </si>
  <si>
    <t>GOLDMINE BISINESS (100%)</t>
  </si>
  <si>
    <t>33.5839 Ha</t>
  </si>
  <si>
    <t>03642</t>
  </si>
  <si>
    <t>17.8527 Ha</t>
  </si>
  <si>
    <t>03643</t>
  </si>
  <si>
    <t>kédougou</t>
  </si>
  <si>
    <t>21.6426 Ha</t>
  </si>
  <si>
    <t>03644</t>
  </si>
  <si>
    <t>10.3246 Ha</t>
  </si>
  <si>
    <t>03645</t>
  </si>
  <si>
    <t>03646</t>
  </si>
  <si>
    <t>03648</t>
  </si>
  <si>
    <t>35.9712 Ha</t>
  </si>
  <si>
    <t>03649</t>
  </si>
  <si>
    <t>Ylimalo</t>
  </si>
  <si>
    <t>498.1406 Ha</t>
  </si>
  <si>
    <t>03650</t>
  </si>
  <si>
    <t>ENTREPRISE  MBOLO BAKH (100%)</t>
  </si>
  <si>
    <t>3.2822 Ha</t>
  </si>
  <si>
    <t>03651</t>
  </si>
  <si>
    <t>ABENE</t>
  </si>
  <si>
    <t>121.2642 Ha</t>
  </si>
  <si>
    <t>03652</t>
  </si>
  <si>
    <t xml:space="preserve">Khar Yalla </t>
  </si>
  <si>
    <t>1.0176 Ha</t>
  </si>
  <si>
    <t>03653</t>
  </si>
  <si>
    <t>FODE BINEYA</t>
  </si>
  <si>
    <t>SKDT NEW ENERGY TECHNOLOGY SARL (100%)</t>
  </si>
  <si>
    <t>308.7705 km²</t>
  </si>
  <si>
    <t>03654</t>
  </si>
  <si>
    <t>MAYO</t>
  </si>
  <si>
    <t>1,904.7880 km²</t>
  </si>
  <si>
    <t>03655</t>
  </si>
  <si>
    <t>3.1714 Ha</t>
  </si>
  <si>
    <t>03656</t>
  </si>
  <si>
    <t>KANIACK</t>
  </si>
  <si>
    <t>SOCIETE ABABACAR DIOP TRANSPORTS SARL (100%)</t>
  </si>
  <si>
    <t>0.3462 Ha</t>
  </si>
  <si>
    <t>03658</t>
  </si>
  <si>
    <t>périmètre 2</t>
  </si>
  <si>
    <t>35.4414 Ha</t>
  </si>
  <si>
    <t>03659</t>
  </si>
  <si>
    <t>périmètre 3</t>
  </si>
  <si>
    <t>44.3000 Ha</t>
  </si>
  <si>
    <t>03660</t>
  </si>
  <si>
    <t>Thiokoye</t>
  </si>
  <si>
    <t>49.8525 Ha</t>
  </si>
  <si>
    <t>03661</t>
  </si>
  <si>
    <t>CHEIKH TRANSPORT CARRIERE (100%)</t>
  </si>
  <si>
    <t>1.7855 Ha</t>
  </si>
  <si>
    <t>03663</t>
  </si>
  <si>
    <t>16.7460 Ha</t>
  </si>
  <si>
    <t>03664</t>
  </si>
  <si>
    <t>65.4480 Ha</t>
  </si>
  <si>
    <t>03665</t>
  </si>
  <si>
    <t>GIE SENEGAL NDINDI (100%)</t>
  </si>
  <si>
    <t>0.3810 Ha</t>
  </si>
  <si>
    <t>03666</t>
  </si>
  <si>
    <t>MAODO GLOBAL BUISINESS (100%)</t>
  </si>
  <si>
    <t>03668</t>
  </si>
  <si>
    <t>MBAYE THIORO  (100%)</t>
  </si>
  <si>
    <t>1.6807 Ha</t>
  </si>
  <si>
    <t>03669</t>
  </si>
  <si>
    <t>49.8270 Ha</t>
  </si>
  <si>
    <t>03670</t>
  </si>
  <si>
    <t>Bantako koto2</t>
  </si>
  <si>
    <t>37.0954 Ha</t>
  </si>
  <si>
    <t>03672</t>
  </si>
  <si>
    <t>AL JABER BTP SAU (100%)</t>
  </si>
  <si>
    <t>03674</t>
  </si>
  <si>
    <t>Souroukoto Sud 2</t>
  </si>
  <si>
    <t>33.8980 Ha</t>
  </si>
  <si>
    <t>03675</t>
  </si>
  <si>
    <t>Souroukoto Nord</t>
  </si>
  <si>
    <t>39.3631 Ha</t>
  </si>
  <si>
    <t>03676</t>
  </si>
  <si>
    <t>FIRDAWSI GLOBAL BUSINESS SUARL (100%)</t>
  </si>
  <si>
    <t>03677</t>
  </si>
  <si>
    <t>STE.AGRO-SENEGAL EXPORTS SARL (100%)</t>
  </si>
  <si>
    <t>17.5559 Ha</t>
  </si>
  <si>
    <t>03678</t>
  </si>
  <si>
    <t>Niakhare</t>
  </si>
  <si>
    <t>13.4316 Ha</t>
  </si>
  <si>
    <t>03679</t>
  </si>
  <si>
    <t>TAYSTONES SARL (100%)</t>
  </si>
  <si>
    <t>99.8157 km²</t>
  </si>
  <si>
    <t>03680</t>
  </si>
  <si>
    <t>Ndiob</t>
  </si>
  <si>
    <t>SILO SENEGAL (100%)</t>
  </si>
  <si>
    <t>299.2396 km²</t>
  </si>
  <si>
    <t>03682</t>
  </si>
  <si>
    <t>INTERNATIONAL COMPANY OF TRADE AND SERVICES SARL</t>
  </si>
  <si>
    <t>18.9708 km²</t>
  </si>
  <si>
    <t>03683</t>
  </si>
  <si>
    <t>Wassangara-moussala</t>
  </si>
  <si>
    <t>BIGSAM OR SARL (100%)</t>
  </si>
  <si>
    <t>49.2256 Ha</t>
  </si>
  <si>
    <t>03684</t>
  </si>
  <si>
    <t>Ndiébène Gandiol, GIE Generation 2000 BM</t>
  </si>
  <si>
    <t>GIE GENERATION 2000 BM (100%)</t>
  </si>
  <si>
    <t>0.7081 Ha</t>
  </si>
  <si>
    <t>03688</t>
  </si>
  <si>
    <t>ICONS (100%)</t>
  </si>
  <si>
    <t>latérite, sable de dune</t>
  </si>
  <si>
    <t>9.9970 Ha</t>
  </si>
  <si>
    <t>03690</t>
  </si>
  <si>
    <t>AWAHABA GROUP (100%)</t>
  </si>
  <si>
    <t>10.5715 Ha</t>
  </si>
  <si>
    <t>03691</t>
  </si>
  <si>
    <t>FABRIMETAL</t>
  </si>
  <si>
    <t>1.7760 km²</t>
  </si>
  <si>
    <t>03693</t>
  </si>
  <si>
    <t>diakhaba 1</t>
  </si>
  <si>
    <t>PARTNERS MINING DEVELOPMENT SERVICES SAS (100%)</t>
  </si>
  <si>
    <t>49.7306 Ha</t>
  </si>
  <si>
    <t>03694</t>
  </si>
  <si>
    <t>Diakhaba 2</t>
  </si>
  <si>
    <t>GIE AGIR POUR LE DEVELOPPEMENT LOCAL (100%)</t>
  </si>
  <si>
    <t>49.9641 Ha</t>
  </si>
  <si>
    <t>03697</t>
  </si>
  <si>
    <t>4.9540 km²</t>
  </si>
  <si>
    <t>03698</t>
  </si>
  <si>
    <t>SALAMATA</t>
  </si>
  <si>
    <t>AVENIR MINERALS SARL (100%)</t>
  </si>
  <si>
    <t>687.2689 km²</t>
  </si>
  <si>
    <t>03702</t>
  </si>
  <si>
    <t>Matam-Nord</t>
  </si>
  <si>
    <t>WEST WIND SA (100%)</t>
  </si>
  <si>
    <t>280.0357 km²</t>
  </si>
  <si>
    <t>03703</t>
  </si>
  <si>
    <t>FANDING</t>
  </si>
  <si>
    <t>TAMIL MINES SARL</t>
  </si>
  <si>
    <t>48.6500 Ha</t>
  </si>
  <si>
    <t>03704</t>
  </si>
  <si>
    <t>Djikoy S</t>
  </si>
  <si>
    <t>SERTER SARL (100%)</t>
  </si>
  <si>
    <t>49.3699 Ha</t>
  </si>
  <si>
    <t>03708</t>
  </si>
  <si>
    <t>Madina kénioto</t>
  </si>
  <si>
    <t>COMPTOIR D'OR DE LA REGION SARL (100%)</t>
  </si>
  <si>
    <t>49.4500 Ha</t>
  </si>
  <si>
    <t>03709</t>
  </si>
  <si>
    <t>Ouest Douta</t>
  </si>
  <si>
    <t>BIRIMA GOLD RESOURCES (100%)</t>
  </si>
  <si>
    <t>106.0213 km²</t>
  </si>
  <si>
    <t>03710</t>
  </si>
  <si>
    <t>FONGOLOMBIE</t>
  </si>
  <si>
    <t>AMK RESSOURCES (100%)</t>
  </si>
  <si>
    <t>54.2286 km²</t>
  </si>
  <si>
    <t>03712</t>
  </si>
  <si>
    <t>Habibou</t>
  </si>
  <si>
    <t>72.5968 km²</t>
  </si>
  <si>
    <t>03713</t>
  </si>
  <si>
    <t>HALWAR MULTISERVICES SARL (100%)</t>
  </si>
  <si>
    <t>49.9646 Ha</t>
  </si>
  <si>
    <t>03714</t>
  </si>
  <si>
    <t>Diakhaba</t>
  </si>
  <si>
    <t>GIE KANBIN BAADIN NA (100%)</t>
  </si>
  <si>
    <t>03715</t>
  </si>
  <si>
    <t>calcaire, kao, substances connexes</t>
  </si>
  <si>
    <t>250.0848 Ha</t>
  </si>
  <si>
    <t>03716</t>
  </si>
  <si>
    <t>STARDUST GOLD COMPANY SARL (100%)</t>
  </si>
  <si>
    <t>0.4155 km²</t>
  </si>
  <si>
    <t>03717</t>
  </si>
  <si>
    <t>8.4791 Ha</t>
  </si>
  <si>
    <t>03718</t>
  </si>
  <si>
    <t>12.0600 Ha</t>
  </si>
  <si>
    <t>03719</t>
  </si>
  <si>
    <t xml:space="preserve"> AFRICA TRADE AND INVESTMENT CONSULTING SARL</t>
  </si>
  <si>
    <t>0.2636 km²</t>
  </si>
  <si>
    <t>03720</t>
  </si>
  <si>
    <t>BOUSANKHOBA</t>
  </si>
  <si>
    <t>GLOBAL MINING &amp; RESSOURCES SA</t>
  </si>
  <si>
    <t>03721</t>
  </si>
  <si>
    <t>BAYTILAYE 2</t>
  </si>
  <si>
    <t>KEDOUGOU BUSINESS &amp; MINING SERVICES SARL</t>
  </si>
  <si>
    <t>24.4200 km²</t>
  </si>
  <si>
    <t>03725</t>
  </si>
  <si>
    <t>49.9233 Ha</t>
  </si>
  <si>
    <t>03727</t>
  </si>
  <si>
    <t>211.4608 Ha</t>
  </si>
  <si>
    <t>03729</t>
  </si>
  <si>
    <t>Yenne</t>
  </si>
  <si>
    <t>IMMOCARSEN SUARL (100%)</t>
  </si>
  <si>
    <t>2.5800 Ha</t>
  </si>
  <si>
    <t>03730</t>
  </si>
  <si>
    <t>0.6536 Ha</t>
  </si>
  <si>
    <t>03738</t>
  </si>
  <si>
    <t>Sud Sayara</t>
  </si>
  <si>
    <t>SDT NEW ENERGY TECHNOLOGY (100%)</t>
  </si>
  <si>
    <t>1,121.2027 km²</t>
  </si>
  <si>
    <t>03742</t>
  </si>
  <si>
    <t>Keur BABA</t>
  </si>
  <si>
    <t>Maire de Keur BABA (100%)</t>
  </si>
  <si>
    <t>2.0460 Ha</t>
  </si>
  <si>
    <t>03743</t>
  </si>
  <si>
    <t>03746</t>
  </si>
  <si>
    <t>GIE DIAGNE ET FRERES DE SARAYA (100%)</t>
  </si>
  <si>
    <t>49.9065 Ha</t>
  </si>
  <si>
    <t>03750</t>
  </si>
  <si>
    <t>AMCI GOLD MINE SARL (100%)</t>
  </si>
  <si>
    <t>49.9810 Ha</t>
  </si>
  <si>
    <t>03751</t>
  </si>
  <si>
    <t>38.7250 Ha</t>
  </si>
  <si>
    <t>03753</t>
  </si>
  <si>
    <t>44.6050 Ha</t>
  </si>
  <si>
    <t>03754</t>
  </si>
  <si>
    <t>Lougol</t>
  </si>
  <si>
    <t>3.1308 Ha</t>
  </si>
  <si>
    <t>03755</t>
  </si>
  <si>
    <t>NIANY TRANSIT SARL (100%)</t>
  </si>
  <si>
    <t>49.3680 Ha</t>
  </si>
  <si>
    <t>03756</t>
  </si>
  <si>
    <t>49.2075 Ha</t>
  </si>
  <si>
    <t>03757</t>
  </si>
  <si>
    <t>Ndiolle peulh</t>
  </si>
  <si>
    <t>GIE ABDOULAYE DIOP DE THIOUBALOL (100%)</t>
  </si>
  <si>
    <t>5.0244 Ha</t>
  </si>
  <si>
    <t>03762</t>
  </si>
  <si>
    <t>KANEL</t>
  </si>
  <si>
    <t>SANTARGILE SA</t>
  </si>
  <si>
    <t>8.5431 km²</t>
  </si>
  <si>
    <t>03765</t>
  </si>
  <si>
    <t>TSENG GOLD GROUP (100%)</t>
  </si>
  <si>
    <t>500.2569 Ha</t>
  </si>
  <si>
    <t>03766</t>
  </si>
  <si>
    <t>4.9879 km²</t>
  </si>
  <si>
    <t>03767</t>
  </si>
  <si>
    <t>Tobor</t>
  </si>
  <si>
    <t>SOCIETE D'EXPLOITATION DE LOGISTIQUE ET DE TRAVAUX SUARL (199%)</t>
  </si>
  <si>
    <t>6.9864 Ha</t>
  </si>
  <si>
    <t>03768</t>
  </si>
  <si>
    <t>35.7780 Ha</t>
  </si>
  <si>
    <t>03769</t>
  </si>
  <si>
    <t>ouest-Baitilaye</t>
  </si>
  <si>
    <t>FAKMOZ SARL (100%)</t>
  </si>
  <si>
    <t>03771</t>
  </si>
  <si>
    <t>56.0500 Ha</t>
  </si>
  <si>
    <t>03772</t>
  </si>
  <si>
    <t>THOR</t>
  </si>
  <si>
    <t>GREENFIELD ASSETS INVEST  (100%)</t>
  </si>
  <si>
    <t>4.9790 km²</t>
  </si>
  <si>
    <t>03773</t>
  </si>
  <si>
    <t>GUEYE NAFISSATOU  GOLDIN (100%)</t>
  </si>
  <si>
    <t>49.9200 Ha</t>
  </si>
  <si>
    <t>03776</t>
  </si>
  <si>
    <t>kéniéba</t>
  </si>
  <si>
    <t>GIE FEDDE MADINA KENIEBA DIOUBOYE TRONKA (100%)</t>
  </si>
  <si>
    <t>49.4088 Ha</t>
  </si>
  <si>
    <t>03777</t>
  </si>
  <si>
    <t>Dioubeba</t>
  </si>
  <si>
    <t>GIE KANKISSI SALAYAMA (100%)</t>
  </si>
  <si>
    <t>48.1012 Ha</t>
  </si>
  <si>
    <t>03779</t>
  </si>
  <si>
    <t>CONSTRUCTION COMMERCE BATIMENT TRAVAUX PUBLIC (100%)</t>
  </si>
  <si>
    <t>1.4660 km²</t>
  </si>
  <si>
    <t>03780</t>
  </si>
  <si>
    <t>1.3267 Ha</t>
  </si>
  <si>
    <t>03781</t>
  </si>
  <si>
    <t>1.8786 Ha</t>
  </si>
  <si>
    <t>03782</t>
  </si>
  <si>
    <t>4.2596 Ha</t>
  </si>
  <si>
    <t>03783</t>
  </si>
  <si>
    <t>ETS ABDOU LAHAT MBAYE (100%)</t>
  </si>
  <si>
    <t>0.1606 km²</t>
  </si>
  <si>
    <t>03784</t>
  </si>
  <si>
    <t>Nazata &amp; Maya</t>
  </si>
  <si>
    <t>NAZATA AND MAYA SAS (100%)</t>
  </si>
  <si>
    <t>49.6100 Ha</t>
  </si>
  <si>
    <t>03785</t>
  </si>
  <si>
    <t>3T SARL (100%)</t>
  </si>
  <si>
    <t>49.6480 Ha</t>
  </si>
  <si>
    <t>03786</t>
  </si>
  <si>
    <t>LEOBA</t>
  </si>
  <si>
    <t>IMPERATOR RESOURCE SARL</t>
  </si>
  <si>
    <t>92.2886 km²</t>
  </si>
  <si>
    <t>03787</t>
  </si>
  <si>
    <t>Déni Birame NDAW</t>
  </si>
  <si>
    <t>3.6225 Ha</t>
  </si>
  <si>
    <t>03788</t>
  </si>
  <si>
    <t>DIA AMINATA (100%)</t>
  </si>
  <si>
    <t>49.9272 Ha</t>
  </si>
  <si>
    <t>03789</t>
  </si>
  <si>
    <t>19.2214 Ha</t>
  </si>
  <si>
    <t>03790</t>
  </si>
  <si>
    <t>SUD SARAYA</t>
  </si>
  <si>
    <t>HLNT SENEGAL (100%)</t>
  </si>
  <si>
    <t>617.4641 km²</t>
  </si>
  <si>
    <t>03791</t>
  </si>
  <si>
    <t>NDENDORY</t>
  </si>
  <si>
    <t>SOCIETE MINIERE AFRICAINE (100%)</t>
  </si>
  <si>
    <t>83.3000 Ha</t>
  </si>
  <si>
    <t>03793</t>
  </si>
  <si>
    <t xml:space="preserve">Ndiébène Gandiol 
</t>
  </si>
  <si>
    <t>13.7500 Ha</t>
  </si>
  <si>
    <t>03794</t>
  </si>
  <si>
    <t>Tivaoune Peulh</t>
  </si>
  <si>
    <t>4.6739 Ha</t>
  </si>
  <si>
    <t>03795</t>
  </si>
  <si>
    <t>Kael</t>
  </si>
  <si>
    <t>ENTREPRISE SAMBA KA (100%)</t>
  </si>
  <si>
    <t>4.3293 Ha</t>
  </si>
  <si>
    <t>03796</t>
  </si>
  <si>
    <t>CHL CONSTRUCTION SENEGAL SARL (100%)</t>
  </si>
  <si>
    <t>49.8750 Ha</t>
  </si>
  <si>
    <t>03802</t>
  </si>
  <si>
    <t>40.1464 Ha</t>
  </si>
  <si>
    <t>03804</t>
  </si>
  <si>
    <t>49.8132 Ha</t>
  </si>
  <si>
    <t>03805</t>
  </si>
  <si>
    <t>28.4794 Ha</t>
  </si>
  <si>
    <t>03806</t>
  </si>
  <si>
    <t>DIADIAKO</t>
  </si>
  <si>
    <t>NODA SA (100%)</t>
  </si>
  <si>
    <t>63.6656 km²</t>
  </si>
  <si>
    <t>03807</t>
  </si>
  <si>
    <t>BA MAMADOU (100%)</t>
  </si>
  <si>
    <t>5.7561 Ha</t>
  </si>
  <si>
    <t>03808</t>
  </si>
  <si>
    <t>TASSETTE</t>
  </si>
  <si>
    <t>MARAX SARL (100%)</t>
  </si>
  <si>
    <t>0.3080 km²</t>
  </si>
  <si>
    <t>03809</t>
  </si>
  <si>
    <t>NDIAGANIAO</t>
  </si>
  <si>
    <t>0.2761 km²</t>
  </si>
  <si>
    <t>03815</t>
  </si>
  <si>
    <t>1.2555 Ha</t>
  </si>
  <si>
    <t>03818</t>
  </si>
  <si>
    <t>Darou Khoudoss</t>
  </si>
  <si>
    <t>ENTREPRISE SERIGNE CHEIKH AHMED TIDINE SY (100%)</t>
  </si>
  <si>
    <t>9.1980 Ha</t>
  </si>
  <si>
    <t>03819</t>
  </si>
  <si>
    <t>ETABLISSEMENT BAYA (100%)</t>
  </si>
  <si>
    <t>0.4284 Ha</t>
  </si>
  <si>
    <t>03822</t>
  </si>
  <si>
    <t>Koussola</t>
  </si>
  <si>
    <t>HYDROMIN SENEGAL (100%)</t>
  </si>
  <si>
    <t>74.3119 km²</t>
  </si>
  <si>
    <t>03823</t>
  </si>
  <si>
    <t>48.4410 Ha</t>
  </si>
  <si>
    <t>03824</t>
  </si>
  <si>
    <t>79.5969 km²</t>
  </si>
  <si>
    <t>03829</t>
  </si>
  <si>
    <t>GUEYE ET FRERES THIORO TRANSPORT-GF2T (100%)</t>
  </si>
  <si>
    <t>0.5487 Ha</t>
  </si>
  <si>
    <t>03831</t>
  </si>
  <si>
    <t>30.0634 Ha</t>
  </si>
  <si>
    <t>03833</t>
  </si>
  <si>
    <t>49.7770 Ha</t>
  </si>
  <si>
    <t>03836</t>
  </si>
  <si>
    <t>CIMENTS DE L'AFRIQUE  (90%)</t>
  </si>
  <si>
    <t>calcaire, substance connexes</t>
  </si>
  <si>
    <t>8.5900 km²</t>
  </si>
  <si>
    <t>03837</t>
  </si>
  <si>
    <t>LES MINES DU JEGUEUM (100%)</t>
  </si>
  <si>
    <t>0.4127 km²</t>
  </si>
  <si>
    <t>03838</t>
  </si>
  <si>
    <t>Netteboulou</t>
  </si>
  <si>
    <t>0.3187 Ha</t>
  </si>
  <si>
    <t>03839</t>
  </si>
  <si>
    <t>PALO YOUGO</t>
  </si>
  <si>
    <t>MAKE COMPANY SARL</t>
  </si>
  <si>
    <t>199.7600 Ha</t>
  </si>
  <si>
    <t>03840</t>
  </si>
  <si>
    <t>ENERGIE DISTRIBUTION SERVICES SUARL (100%)</t>
  </si>
  <si>
    <t>03841</t>
  </si>
  <si>
    <t>MAREEG SUARL (100%)</t>
  </si>
  <si>
    <t>03843</t>
  </si>
  <si>
    <t>KABIR 313 SUARL (100%)</t>
  </si>
  <si>
    <t>03844</t>
  </si>
  <si>
    <t>Touba FALL, EGTPB</t>
  </si>
  <si>
    <t>ENTREPRISE GENERALE DE TRAVAUX PUBLICS ET BATIMENTS (100%)</t>
  </si>
  <si>
    <t>0.6322 Ha</t>
  </si>
  <si>
    <t>03847</t>
  </si>
  <si>
    <t>Karakeana</t>
  </si>
  <si>
    <t>MUSA MINING COMPANY SARL (100%)</t>
  </si>
  <si>
    <t>481.0746 km²</t>
  </si>
  <si>
    <t>03848</t>
  </si>
  <si>
    <t>50.0507 Ha</t>
  </si>
  <si>
    <t>03849</t>
  </si>
  <si>
    <t>25.0535 Ha</t>
  </si>
  <si>
    <t>03850</t>
  </si>
  <si>
    <t>0.7922 Ha</t>
  </si>
  <si>
    <t>03851</t>
  </si>
  <si>
    <t>SANDIARA</t>
  </si>
  <si>
    <t>13.5679 Ha</t>
  </si>
  <si>
    <t>03852</t>
  </si>
  <si>
    <t>FORET KASSAS</t>
  </si>
  <si>
    <t>26.4555 Ha</t>
  </si>
  <si>
    <t>03853</t>
  </si>
  <si>
    <t>mbellacadiao</t>
  </si>
  <si>
    <t>11.8557 Ha</t>
  </si>
  <si>
    <t>03854</t>
  </si>
  <si>
    <t>MBELLACADIAO</t>
  </si>
  <si>
    <t>23.4427 Ha</t>
  </si>
  <si>
    <t>03855</t>
  </si>
  <si>
    <t>Kéniéba</t>
  </si>
  <si>
    <t>4.9545 km²</t>
  </si>
  <si>
    <t>03856</t>
  </si>
  <si>
    <t>11.2833 Ha</t>
  </si>
  <si>
    <t>03857</t>
  </si>
  <si>
    <t>GIE BINKHANTO BAITOULAYE (100%)</t>
  </si>
  <si>
    <t>47.4948 Ha</t>
  </si>
  <si>
    <t>03858</t>
  </si>
  <si>
    <t>AGRO SENEGAL EXPORTS SARL</t>
  </si>
  <si>
    <t>49.9571 Ha</t>
  </si>
  <si>
    <t>03862</t>
  </si>
  <si>
    <t>Madina 1</t>
  </si>
  <si>
    <t>AMCI GOLD MINE SARL</t>
  </si>
  <si>
    <t>41.6203 Ha</t>
  </si>
  <si>
    <t>03863</t>
  </si>
  <si>
    <t>Madina 2</t>
  </si>
  <si>
    <t>38.1227 Ha</t>
  </si>
  <si>
    <t>03864</t>
  </si>
  <si>
    <t>ALIM GOLD SARL (100%)</t>
  </si>
  <si>
    <t>43.9332 Ha</t>
  </si>
  <si>
    <t>03868</t>
  </si>
  <si>
    <t>Tambanoumya</t>
  </si>
  <si>
    <t>SOFRU SARL</t>
  </si>
  <si>
    <t>49.4441 Ha</t>
  </si>
  <si>
    <t>03872</t>
  </si>
  <si>
    <t>25.3750 Ha</t>
  </si>
  <si>
    <t>03873</t>
  </si>
  <si>
    <t>ETE MINING SARL</t>
  </si>
  <si>
    <t>49.9468 Ha</t>
  </si>
  <si>
    <t>03874</t>
  </si>
  <si>
    <t>Bafouou Sud-Est</t>
  </si>
  <si>
    <t>AL MAKHTOUM GENERAL TRADING SUARL (100%)</t>
  </si>
  <si>
    <t>47.5800 Ha</t>
  </si>
  <si>
    <t>03875</t>
  </si>
  <si>
    <t>Kéniéba 1 et 2</t>
  </si>
  <si>
    <t>NGALAM MINING SARL</t>
  </si>
  <si>
    <t>49.9613 Ha</t>
  </si>
  <si>
    <t>03876</t>
  </si>
  <si>
    <t>GIE DJIGUIBADALA (100%)</t>
  </si>
  <si>
    <t>49.9781 Ha</t>
  </si>
  <si>
    <t>03877</t>
  </si>
  <si>
    <t>KEUR MOUSSA ANN</t>
  </si>
  <si>
    <t>BAKHOUM BUSINESS COMPAGNY (100%)</t>
  </si>
  <si>
    <t>0.8462 Ha</t>
  </si>
  <si>
    <t>03878</t>
  </si>
  <si>
    <t>EMERGENCE MINES &amp; INVESTISSEMENTS (100%)</t>
  </si>
  <si>
    <t>16.4295 km²</t>
  </si>
  <si>
    <t>03879</t>
  </si>
  <si>
    <t>SAOCASIK COMPANU SASU (100%)</t>
  </si>
  <si>
    <t>23.6095 Ha</t>
  </si>
  <si>
    <t>03880</t>
  </si>
  <si>
    <t>43.7750 Ha</t>
  </si>
  <si>
    <t>03881</t>
  </si>
  <si>
    <t>TANOR SA (100%)</t>
  </si>
  <si>
    <t>54.4320 Ha</t>
  </si>
  <si>
    <t>03882</t>
  </si>
  <si>
    <t>SCI LA PROMOBILERE (100%)</t>
  </si>
  <si>
    <t>16.7400 Ha</t>
  </si>
  <si>
    <t>03883</t>
  </si>
  <si>
    <t>SOM-SOLUTION MINING (100%)</t>
  </si>
  <si>
    <t>03884</t>
  </si>
  <si>
    <t>Noflaye</t>
  </si>
  <si>
    <t>ENTREPRISE LINTHIO GLOBAL BUSINESS (100%)</t>
  </si>
  <si>
    <t>5.5634 Ha</t>
  </si>
  <si>
    <t>03885</t>
  </si>
  <si>
    <t>Déni biram Ndao</t>
  </si>
  <si>
    <t>3.4955 Ha</t>
  </si>
  <si>
    <t>03887</t>
  </si>
  <si>
    <t xml:space="preserve">Cherif lo </t>
  </si>
  <si>
    <t>GIE EBTS  (100%)</t>
  </si>
  <si>
    <t>1.4421 Ha</t>
  </si>
  <si>
    <t>03888</t>
  </si>
  <si>
    <t>LOULY BENTEGNE</t>
  </si>
  <si>
    <t>5.3173 Ha</t>
  </si>
  <si>
    <t>03889</t>
  </si>
  <si>
    <t>Mbadakhoune</t>
  </si>
  <si>
    <t>8.8004 Ha</t>
  </si>
  <si>
    <t>03890</t>
  </si>
  <si>
    <t>2.5183 Ha</t>
  </si>
  <si>
    <t>03891</t>
  </si>
  <si>
    <t>TATTAGUINE</t>
  </si>
  <si>
    <t>30.9792 Ha</t>
  </si>
  <si>
    <t>03893</t>
  </si>
  <si>
    <t>DIASS</t>
  </si>
  <si>
    <t>0.7830 Ha</t>
  </si>
  <si>
    <t>03894</t>
  </si>
  <si>
    <t>missirah sirimana</t>
  </si>
  <si>
    <t>X.W.O. SARL (100%)</t>
  </si>
  <si>
    <t>45.8203 Ha</t>
  </si>
  <si>
    <t>03896</t>
  </si>
  <si>
    <t>ENTREPRISE DE RECHERCHE ET D'EXPLOITATION MIIERE (EREM) (100%)</t>
  </si>
  <si>
    <t>26.2598 Ha</t>
  </si>
  <si>
    <t>03897</t>
  </si>
  <si>
    <t>THICKY</t>
  </si>
  <si>
    <t>LOGBO MALICK MAGLOIRE (100%)</t>
  </si>
  <si>
    <t>1.3851 Ha</t>
  </si>
  <si>
    <t>03898</t>
  </si>
  <si>
    <t>CONSTRUCTION GESTION INNOVATION IMMOBILIERE (100%)</t>
  </si>
  <si>
    <t>03899</t>
  </si>
  <si>
    <t>MG TRADING SARL (100%)</t>
  </si>
  <si>
    <t>03900</t>
  </si>
  <si>
    <t>DIAMONDIOP ENTREPRISES ET COMPAGNIES SARL (100%)</t>
  </si>
  <si>
    <t>03901</t>
  </si>
  <si>
    <t>11.7360 Ha</t>
  </si>
  <si>
    <t>03902</t>
  </si>
  <si>
    <t>BINOME SARL (100%)</t>
  </si>
  <si>
    <t>7.7490 Ha</t>
  </si>
  <si>
    <t>03903</t>
  </si>
  <si>
    <t>Touré mbonde</t>
  </si>
  <si>
    <t>4.6594 Ha</t>
  </si>
  <si>
    <t>03904</t>
  </si>
  <si>
    <t>INTERNATIONAL CONSULTING GROUP (100%)</t>
  </si>
  <si>
    <t>03905</t>
  </si>
  <si>
    <t>Pambal</t>
  </si>
  <si>
    <t>9.8400 Ha</t>
  </si>
  <si>
    <t>03906</t>
  </si>
  <si>
    <t>Dendeye guouygui</t>
  </si>
  <si>
    <t>2.9452 Ha</t>
  </si>
  <si>
    <t>03907</t>
  </si>
  <si>
    <t>khar yalla</t>
  </si>
  <si>
    <t>LAYE BEYE (100%)</t>
  </si>
  <si>
    <t>3.9999 Ha</t>
  </si>
  <si>
    <t>03908</t>
  </si>
  <si>
    <t>03909</t>
  </si>
  <si>
    <t>03910</t>
  </si>
  <si>
    <t>Daorala</t>
  </si>
  <si>
    <t>GAYESY SUARL (100%)</t>
  </si>
  <si>
    <t>49.9942 Ha</t>
  </si>
  <si>
    <t>03911</t>
  </si>
  <si>
    <t>SARR BOUNA (100%)</t>
  </si>
  <si>
    <t>2.1667 Ha</t>
  </si>
  <si>
    <t>03912</t>
  </si>
  <si>
    <t>KEUR BAKA</t>
  </si>
  <si>
    <t>MAIRIE DE KEUR BAKA (100%)</t>
  </si>
  <si>
    <t>2.0375 Ha</t>
  </si>
  <si>
    <t>03913</t>
  </si>
  <si>
    <t>Malème Niany</t>
  </si>
  <si>
    <t>2.3714 Ha</t>
  </si>
  <si>
    <t>03914</t>
  </si>
  <si>
    <t>Nabadji Civol</t>
  </si>
  <si>
    <t>MOGOMINING ET SERVICES SARL (100%)</t>
  </si>
  <si>
    <t>8.7048 Ha</t>
  </si>
  <si>
    <t>03917</t>
  </si>
  <si>
    <t>MELIFERA SUARL (100%)</t>
  </si>
  <si>
    <t>2.9463 Ha</t>
  </si>
  <si>
    <t>03918</t>
  </si>
  <si>
    <t>7.7385 Ha</t>
  </si>
  <si>
    <t>03921</t>
  </si>
  <si>
    <t>Périmètre 4</t>
  </si>
  <si>
    <t>AMFICI GOLD (100%)</t>
  </si>
  <si>
    <t>38.7200 Ha</t>
  </si>
  <si>
    <t>03922</t>
  </si>
  <si>
    <t>35.0200 Ha</t>
  </si>
  <si>
    <t>03923</t>
  </si>
  <si>
    <t>Bloc1-Bloc2-Bloc3-Bloc4</t>
  </si>
  <si>
    <t>49.9020 Ha</t>
  </si>
  <si>
    <t>03924</t>
  </si>
  <si>
    <t>MABO</t>
  </si>
  <si>
    <t>6.0678 Ha</t>
  </si>
  <si>
    <t>03925</t>
  </si>
  <si>
    <t>49.3363 Ha</t>
  </si>
  <si>
    <t>03926</t>
  </si>
  <si>
    <t>MEHKE</t>
  </si>
  <si>
    <t>GIE NGAAY DJITTE (100%)</t>
  </si>
  <si>
    <t>2.2500 Ha</t>
  </si>
  <si>
    <t>03927</t>
  </si>
  <si>
    <t>GARAGE DU SINE NIANE ET FRERES (100%)</t>
  </si>
  <si>
    <t>03928</t>
  </si>
  <si>
    <t>Boumouda</t>
  </si>
  <si>
    <t>ENTREPRISE BATISSEUR DU SUD (100%)</t>
  </si>
  <si>
    <t>4.0365 Ha</t>
  </si>
  <si>
    <t>03929</t>
  </si>
  <si>
    <t>KHANIANG LIMITED - SARL (100%)</t>
  </si>
  <si>
    <t>1.6378 Ha</t>
  </si>
  <si>
    <t>03930</t>
  </si>
  <si>
    <t>Kourou Diakhoma</t>
  </si>
  <si>
    <t>TRIYANGS INTERNATIONAL MINING GROUP SA</t>
  </si>
  <si>
    <t>43.9905 Ha</t>
  </si>
  <si>
    <t>03931</t>
  </si>
  <si>
    <t>GIE DAKAR EXPRESS (100%)</t>
  </si>
  <si>
    <t>0.8414 Ha</t>
  </si>
  <si>
    <t>03932</t>
  </si>
  <si>
    <t>28.8160 Ha</t>
  </si>
  <si>
    <t>03934</t>
  </si>
  <si>
    <t>KA BUSINESS COMPANY</t>
  </si>
  <si>
    <t>KA BUSINESS COMPANY (100%)</t>
  </si>
  <si>
    <t>0.5415 Ha</t>
  </si>
  <si>
    <t>03935</t>
  </si>
  <si>
    <t xml:space="preserve">Thicky </t>
  </si>
  <si>
    <t>1.1219 Ha</t>
  </si>
  <si>
    <t>03941</t>
  </si>
  <si>
    <t>SINO-AFRICAINE COMMUNICATION SUARL</t>
  </si>
  <si>
    <t>49.0850 Ha</t>
  </si>
  <si>
    <t>03942</t>
  </si>
  <si>
    <t>49.7920 Ha</t>
  </si>
  <si>
    <t>03943</t>
  </si>
  <si>
    <t xml:space="preserve">Sindia </t>
  </si>
  <si>
    <t>Moussa FALL (100%)</t>
  </si>
  <si>
    <t>0.7218 Ha</t>
  </si>
  <si>
    <t>03944</t>
  </si>
  <si>
    <t>Badon</t>
  </si>
  <si>
    <t>9.4795 Ha</t>
  </si>
  <si>
    <t>03945</t>
  </si>
  <si>
    <t xml:space="preserve">Botou Sinthiou Malem Touba Sam Sam </t>
  </si>
  <si>
    <t>2.3015 Ha</t>
  </si>
  <si>
    <t>03946</t>
  </si>
  <si>
    <t>Rafou</t>
  </si>
  <si>
    <t>ALPHA OMEGA (100%)</t>
  </si>
  <si>
    <t>30.1500 Ha</t>
  </si>
  <si>
    <t>03947</t>
  </si>
  <si>
    <t>Lour Ribo Escale N°1
Volume 51789.136m3</t>
  </si>
  <si>
    <t>AREZKI S.A</t>
  </si>
  <si>
    <t>17.6919 Ha</t>
  </si>
  <si>
    <t>03948</t>
  </si>
  <si>
    <t xml:space="preserve">Lour Ribo Escale
Numero 4 
Volume 25085.21m3 </t>
  </si>
  <si>
    <t>7.4533 Ha</t>
  </si>
  <si>
    <t>03949</t>
  </si>
  <si>
    <t>Lour Ribo Escale Numero 2 Volume 44728.768m3</t>
  </si>
  <si>
    <t>98.9508 Ha</t>
  </si>
  <si>
    <t>03950</t>
  </si>
  <si>
    <t>Lour Ribo Escale Numero 3
Volume 34704.26m3</t>
  </si>
  <si>
    <t>10.1518 Ha</t>
  </si>
  <si>
    <t>03951</t>
  </si>
  <si>
    <t>SINDIA</t>
  </si>
  <si>
    <t>LAMAAN INDUSTRIES SARL  (100%)</t>
  </si>
  <si>
    <t>6.0001 Ha</t>
  </si>
  <si>
    <t>03952</t>
  </si>
  <si>
    <t>Cherif LO</t>
  </si>
  <si>
    <t>4.3142 Ha</t>
  </si>
  <si>
    <t>03953</t>
  </si>
  <si>
    <t>GIE DJIGUISSEMBE (100%)</t>
  </si>
  <si>
    <t>49.6000 Ha</t>
  </si>
  <si>
    <t>03954</t>
  </si>
  <si>
    <t>Keur Moussa HAnne</t>
  </si>
  <si>
    <t>GIE KARAMBA (100%)</t>
  </si>
  <si>
    <t>2.1232 Ha</t>
  </si>
  <si>
    <t>03955</t>
  </si>
  <si>
    <t xml:space="preserve">ENTREPRISE DIENDER </t>
  </si>
  <si>
    <t>ENTREPRISE DIENDER  (100%)</t>
  </si>
  <si>
    <t>5.0011 Ha</t>
  </si>
  <si>
    <t>03956</t>
  </si>
  <si>
    <t>03957</t>
  </si>
  <si>
    <t>Tocky</t>
  </si>
  <si>
    <t>ENTREPRISE DAROU SALAM TAWFEKH (100%)</t>
  </si>
  <si>
    <t>03958</t>
  </si>
  <si>
    <t>Sabodala-2</t>
  </si>
  <si>
    <t>4.3155 km²</t>
  </si>
  <si>
    <t>03959</t>
  </si>
  <si>
    <t>Sabodala-1</t>
  </si>
  <si>
    <t>4.1656 km²</t>
  </si>
  <si>
    <t>03960</t>
  </si>
  <si>
    <t>4.1882 km²</t>
  </si>
  <si>
    <t>03961</t>
  </si>
  <si>
    <t>AFRICA CAPITAL INVEST-SARL (100%)</t>
  </si>
  <si>
    <t>03962</t>
  </si>
  <si>
    <t>2.3849 Ha</t>
  </si>
  <si>
    <t>03964</t>
  </si>
  <si>
    <t>TCHIKI</t>
  </si>
  <si>
    <t>BAYE ISMAILA GUEYE PRESTATAIRE (100%)</t>
  </si>
  <si>
    <t>1.9297 Ha</t>
  </si>
  <si>
    <t>03967</t>
  </si>
  <si>
    <t>Touba Toul</t>
  </si>
  <si>
    <t>ENTREPRISE TOUBA DAROU SALAM TRANSPORT  (100%)</t>
  </si>
  <si>
    <t>2.6849 Ha</t>
  </si>
  <si>
    <t>03968</t>
  </si>
  <si>
    <t>FOUA</t>
  </si>
  <si>
    <t>SOLUTION MODERNE (100%)</t>
  </si>
  <si>
    <t>2.5832 Ha</t>
  </si>
  <si>
    <t>03969</t>
  </si>
  <si>
    <t>GIE BALAL COMMUNE DE MADINA FOULBE (100%)</t>
  </si>
  <si>
    <t>03970</t>
  </si>
  <si>
    <t>AMMSA GROUP AFRICA . SA</t>
  </si>
  <si>
    <t>03971</t>
  </si>
  <si>
    <t>48.7346 Ha</t>
  </si>
  <si>
    <t>03972</t>
  </si>
  <si>
    <t>49.9569 Ha</t>
  </si>
  <si>
    <t>03973</t>
  </si>
  <si>
    <t>49.9278 Ha</t>
  </si>
  <si>
    <t>03974</t>
  </si>
  <si>
    <t>Beer Thialane</t>
  </si>
  <si>
    <t>2.7482 Ha</t>
  </si>
  <si>
    <t>03979</t>
  </si>
  <si>
    <t>SALL PAPA SANGONE (100%)</t>
  </si>
  <si>
    <t>0.9790 Ha</t>
  </si>
  <si>
    <t>03981</t>
  </si>
  <si>
    <t>AIBD</t>
  </si>
  <si>
    <t>50.4179 Ha</t>
  </si>
  <si>
    <t>03982</t>
  </si>
  <si>
    <t>tambacounda</t>
  </si>
  <si>
    <t>3.5164 Ha</t>
  </si>
  <si>
    <t>03983</t>
  </si>
  <si>
    <t>Togho</t>
  </si>
  <si>
    <t>8.9951 Ha</t>
  </si>
  <si>
    <t>03984</t>
  </si>
  <si>
    <t>GOLLAM/ Diender</t>
  </si>
  <si>
    <t>GIE LINGUERE</t>
  </si>
  <si>
    <t>3.0626 Ha</t>
  </si>
  <si>
    <t>03985</t>
  </si>
  <si>
    <t>Koumpentoum</t>
  </si>
  <si>
    <t>14.3795 Ha</t>
  </si>
  <si>
    <t>03986</t>
  </si>
  <si>
    <t xml:space="preserve">Deny Birame Nord </t>
  </si>
  <si>
    <t>FUKUSHIMA MASATO  (100%)</t>
  </si>
  <si>
    <t>3.2160 Ha</t>
  </si>
  <si>
    <t>03987</t>
  </si>
  <si>
    <t>XAAY-WERU/ CAYAR</t>
  </si>
  <si>
    <t>ETS- DIOME MALICK EXPLOITATION  (100%)</t>
  </si>
  <si>
    <t>03988</t>
  </si>
  <si>
    <t>Birkilane</t>
  </si>
  <si>
    <t>THIAM YOUSSOU (100%)</t>
  </si>
  <si>
    <t>1.9548 Ha</t>
  </si>
  <si>
    <t>03989</t>
  </si>
  <si>
    <t>SUD TOGLOU</t>
  </si>
  <si>
    <t>16.6074 Ha</t>
  </si>
  <si>
    <t>03992</t>
  </si>
  <si>
    <t>GENERAL SERVICES SARL</t>
  </si>
  <si>
    <t>6.5462 Ha</t>
  </si>
  <si>
    <t>03993</t>
  </si>
  <si>
    <t>GENERALE ENTREPRISE DE REALISATION D'ETUDE ET DE SUPERVISION (100%)</t>
  </si>
  <si>
    <t>03994</t>
  </si>
  <si>
    <t>beer thialane</t>
  </si>
  <si>
    <t>2.0730 Ha</t>
  </si>
  <si>
    <t>03995</t>
  </si>
  <si>
    <t>ics</t>
  </si>
  <si>
    <t>MAOR TECHNOLOGIES SA (100%)</t>
  </si>
  <si>
    <t>03997</t>
  </si>
  <si>
    <t>03998</t>
  </si>
  <si>
    <t>Thiankone</t>
  </si>
  <si>
    <t>AFRICA GLOBAL GEOINGENIERIE SARL  (100%)</t>
  </si>
  <si>
    <t>15.7209 Ha</t>
  </si>
  <si>
    <t>03999</t>
  </si>
  <si>
    <t>GIE GROUPE AIDE DEVELOPPEMENT (100%)</t>
  </si>
  <si>
    <t>04000</t>
  </si>
  <si>
    <t>DAME DIAKHATE (100%)</t>
  </si>
  <si>
    <t>1.1133 Ha</t>
  </si>
  <si>
    <t>04001</t>
  </si>
  <si>
    <t>LES GRANDS TRAVAUX DE GOUNASS SARL (100%)</t>
  </si>
  <si>
    <t>04004</t>
  </si>
  <si>
    <t>NIAMAYA</t>
  </si>
  <si>
    <t>74.2347 km²</t>
  </si>
  <si>
    <t>04005</t>
  </si>
  <si>
    <t>04006</t>
  </si>
  <si>
    <t>GAYESY SUARL</t>
  </si>
  <si>
    <t>04007</t>
  </si>
  <si>
    <t>SOCIETE D'EXPLOITATION DES MINES ET CARRIERES (SEMC) (100%)</t>
  </si>
  <si>
    <t>04008</t>
  </si>
  <si>
    <t>ENTREPRISE DE CONSTRUCTION ET DE DISTRIBUTION</t>
  </si>
  <si>
    <t>04009</t>
  </si>
  <si>
    <t>YICHEN SARL (100%)</t>
  </si>
  <si>
    <t>41.6505 Ha</t>
  </si>
  <si>
    <t>04010</t>
  </si>
  <si>
    <t>GIE KHALIFA ABABACAR SY (100%)</t>
  </si>
  <si>
    <t>04011</t>
  </si>
  <si>
    <t>SOCIETE CARRIERE MINES SENEGAL SARL (100%)</t>
  </si>
  <si>
    <t>04014</t>
  </si>
  <si>
    <t>SOCIETE GADDE FROID PRESTATIONS ET SERVICES (100%)</t>
  </si>
  <si>
    <t>04017</t>
  </si>
  <si>
    <t>Nghaye, EGTPBG</t>
  </si>
  <si>
    <t>6.6025 Ha</t>
  </si>
  <si>
    <t>04018</t>
  </si>
  <si>
    <t>Tieudène Ouest</t>
  </si>
  <si>
    <t>4.9519 km²</t>
  </si>
  <si>
    <t>04019</t>
  </si>
  <si>
    <t>Sansamba</t>
  </si>
  <si>
    <t>5.0000 Ha</t>
  </si>
  <si>
    <t>04020</t>
  </si>
  <si>
    <t xml:space="preserve">Mekhe </t>
  </si>
  <si>
    <t>Tiendrebeogo ALI (100%)</t>
  </si>
  <si>
    <t>1.5021 Ha</t>
  </si>
  <si>
    <t>04021</t>
  </si>
  <si>
    <t>48.4600 Ha</t>
  </si>
  <si>
    <t>04024</t>
  </si>
  <si>
    <t>ETS THIEUDEME SAR SERVICE (100%)</t>
  </si>
  <si>
    <t>1.0059 Ha</t>
  </si>
  <si>
    <t>04025</t>
  </si>
  <si>
    <t xml:space="preserve">SARAYA </t>
  </si>
  <si>
    <t>45.5386 Ha</t>
  </si>
  <si>
    <t>04027</t>
  </si>
  <si>
    <t>3.7080 Ha</t>
  </si>
  <si>
    <t>04028</t>
  </si>
  <si>
    <t>Djikoye</t>
  </si>
  <si>
    <t>GIE MEDIA GOLD MINE (100%)</t>
  </si>
  <si>
    <t>49.8000 Ha</t>
  </si>
  <si>
    <t>04029</t>
  </si>
  <si>
    <t>PISCHON</t>
  </si>
  <si>
    <t>GRACE GOLD COMPANY SENEGAL SARL (100%)</t>
  </si>
  <si>
    <t>59.0542 km²</t>
  </si>
  <si>
    <t>04030</t>
  </si>
  <si>
    <t>SINTHIOU 1</t>
  </si>
  <si>
    <t>KANEL RESOURCES SARL (100%)</t>
  </si>
  <si>
    <t>4.9995 km²</t>
  </si>
  <si>
    <t>04031</t>
  </si>
  <si>
    <t>SINTHIOU 2</t>
  </si>
  <si>
    <t>171.4388 Ha</t>
  </si>
  <si>
    <t>04032</t>
  </si>
  <si>
    <t>DENI BIRAME NDOA</t>
  </si>
  <si>
    <t>1.9588 Ha</t>
  </si>
  <si>
    <t>04033</t>
  </si>
  <si>
    <t>ngendouf</t>
  </si>
  <si>
    <t>2.5704 Ha</t>
  </si>
  <si>
    <t>04036</t>
  </si>
  <si>
    <t>Wouro Sidy</t>
  </si>
  <si>
    <t>7.0520 Ha</t>
  </si>
  <si>
    <t>04037</t>
  </si>
  <si>
    <t>SOCIETE ALMUDO SARL (100%)</t>
  </si>
  <si>
    <t>50.5108 Ha</t>
  </si>
  <si>
    <t>04038</t>
  </si>
  <si>
    <t>Yeumbeul</t>
  </si>
  <si>
    <t>ICIBUSINESS (100%)</t>
  </si>
  <si>
    <t>4.9533 Ha</t>
  </si>
  <si>
    <t>04039</t>
  </si>
  <si>
    <t>SOCIETE SEN AFRICA SERVICES (100%)</t>
  </si>
  <si>
    <t>0.0010 km²</t>
  </si>
  <si>
    <t>04040</t>
  </si>
  <si>
    <t>2.7682 Ha</t>
  </si>
  <si>
    <t>04041</t>
  </si>
  <si>
    <t>CAYAR</t>
  </si>
  <si>
    <t>SCI ARAMIS IMMOBILIER (100%)</t>
  </si>
  <si>
    <t>1.1984 Ha</t>
  </si>
  <si>
    <t>04044</t>
  </si>
  <si>
    <t xml:space="preserve">Xilssal Mbatal, Malika
</t>
  </si>
  <si>
    <t>Travaux Hydraulique du Sahel  (100%)</t>
  </si>
  <si>
    <t>7.9684 Ha</t>
  </si>
  <si>
    <t>04045</t>
  </si>
  <si>
    <t>150.2589 Ha</t>
  </si>
  <si>
    <t>04047</t>
  </si>
  <si>
    <t>30.0121 Ha</t>
  </si>
  <si>
    <t>04048</t>
  </si>
  <si>
    <t>dougue</t>
  </si>
  <si>
    <t>MAIN (100%)</t>
  </si>
  <si>
    <t>04049</t>
  </si>
  <si>
    <t>Galoyabé</t>
  </si>
  <si>
    <t>15.0480 Ha</t>
  </si>
  <si>
    <t>04050</t>
  </si>
  <si>
    <t>15.6291 Ha</t>
  </si>
  <si>
    <t>04054</t>
  </si>
  <si>
    <t>10.9873 Ha</t>
  </si>
  <si>
    <t>04055</t>
  </si>
  <si>
    <t>3.1454 Ha</t>
  </si>
  <si>
    <t>04056</t>
  </si>
  <si>
    <t>48.8775 Ha</t>
  </si>
  <si>
    <t>04057</t>
  </si>
  <si>
    <t>83.5849 Ha</t>
  </si>
  <si>
    <t>04058</t>
  </si>
  <si>
    <t>74.5858 Ha</t>
  </si>
  <si>
    <t>04059</t>
  </si>
  <si>
    <t>1.4590 km²</t>
  </si>
  <si>
    <t>04060</t>
  </si>
  <si>
    <t>1.6419 Ha</t>
  </si>
  <si>
    <t>04062</t>
  </si>
  <si>
    <t>DIA MANSOUR - DIA COMPANY  (100%)</t>
  </si>
  <si>
    <t>1.0404 Ha</t>
  </si>
  <si>
    <t>04063</t>
  </si>
  <si>
    <t xml:space="preserve">AFRICA GLOBAL GEOINGENIERIE SARL </t>
  </si>
  <si>
    <t>49.3027 Ha</t>
  </si>
  <si>
    <t>04065</t>
  </si>
  <si>
    <t>408.4754 Ha</t>
  </si>
  <si>
    <t>04066</t>
  </si>
  <si>
    <t>4.9978 km²</t>
  </si>
  <si>
    <t>04067</t>
  </si>
  <si>
    <t>MEDY INDUSTRIES MODERNES SARL (100%)</t>
  </si>
  <si>
    <t>04068</t>
  </si>
  <si>
    <t>Bembou-Sabodala</t>
  </si>
  <si>
    <t>4.5936 Ha</t>
  </si>
  <si>
    <t>04069</t>
  </si>
  <si>
    <t>17.6179 Ha</t>
  </si>
  <si>
    <t>04070</t>
  </si>
  <si>
    <t>Ndiébéne Gandiol</t>
  </si>
  <si>
    <t>SOCIETE EDTSG-SARL (100%)</t>
  </si>
  <si>
    <t>2.7957 Ha</t>
  </si>
  <si>
    <t>04071</t>
  </si>
  <si>
    <t>12.0344 Ha</t>
  </si>
  <si>
    <t>04072</t>
  </si>
  <si>
    <t>SENECARRIERE (100%)</t>
  </si>
  <si>
    <t>0.2641 Ha</t>
  </si>
  <si>
    <t>04073</t>
  </si>
  <si>
    <t>KOLDA</t>
  </si>
  <si>
    <t>499.7440 Ha</t>
  </si>
  <si>
    <t>04074</t>
  </si>
  <si>
    <t>SOCIETE D'AMENAGEMENT DE BATIMENT ET D'ETUDES GENERALES (SOCABEG)</t>
  </si>
  <si>
    <t>4.9999 km²</t>
  </si>
  <si>
    <t>04075</t>
  </si>
  <si>
    <t>BANDJI</t>
  </si>
  <si>
    <t>4.9935 km²</t>
  </si>
  <si>
    <t>04076</t>
  </si>
  <si>
    <t>Est_Diala</t>
  </si>
  <si>
    <t>SOCIETE SENEGALAISE DE SERVICES MINIERS DE GENIE CIVIL SARL (100%)</t>
  </si>
  <si>
    <t>47.2328 Ha</t>
  </si>
  <si>
    <t>04078</t>
  </si>
  <si>
    <t>LAMP MINES BTP SA (100%)</t>
  </si>
  <si>
    <t>49.7871 Ha</t>
  </si>
  <si>
    <t>04079</t>
  </si>
  <si>
    <t>49.9713 Ha</t>
  </si>
  <si>
    <t>04080</t>
  </si>
  <si>
    <t>48.4067 Ha</t>
  </si>
  <si>
    <t>04082</t>
  </si>
  <si>
    <t>LAMP MINES BTP SA</t>
  </si>
  <si>
    <t>43.3089 Ha</t>
  </si>
  <si>
    <t>04083</t>
  </si>
  <si>
    <t>39.5229 Ha</t>
  </si>
  <si>
    <t>04086</t>
  </si>
  <si>
    <t>AGRO SENEGAL EXPORTS SARL (100%)</t>
  </si>
  <si>
    <t>49.9813 Ha</t>
  </si>
  <si>
    <t>04087</t>
  </si>
  <si>
    <t>49.1609 Ha</t>
  </si>
  <si>
    <t>04088</t>
  </si>
  <si>
    <t>WAKEUR SERIGNE TOUBA MINES ET CONSTRUCTION SARL</t>
  </si>
  <si>
    <t>24.5225 Ha</t>
  </si>
  <si>
    <t>04089</t>
  </si>
  <si>
    <t>47.1726 Ha</t>
  </si>
  <si>
    <t>04090</t>
  </si>
  <si>
    <t>49.5800 Ha</t>
  </si>
  <si>
    <t>04091</t>
  </si>
  <si>
    <t>326.6250 Ha</t>
  </si>
  <si>
    <t>04093</t>
  </si>
  <si>
    <t>Tinkoto Nding</t>
  </si>
  <si>
    <t>GIE KHAMBEINTEINKOTO NDIN (100%)</t>
  </si>
  <si>
    <t>04094</t>
  </si>
  <si>
    <t>AMMSA GROUP AFRICA . SA (100%)</t>
  </si>
  <si>
    <t>49.7060 Ha</t>
  </si>
  <si>
    <t>04095</t>
  </si>
  <si>
    <t>Malika, Tivaouane Peul</t>
  </si>
  <si>
    <t>Rassoul Building  (100%)</t>
  </si>
  <si>
    <t>1.0706 Ha</t>
  </si>
  <si>
    <t>04096</t>
  </si>
  <si>
    <t>karantaba</t>
  </si>
  <si>
    <t>CARRIMINES GROUP (100%)</t>
  </si>
  <si>
    <t>20.9000 Ha</t>
  </si>
  <si>
    <t>04097</t>
  </si>
  <si>
    <t>ROSS BETHIO</t>
  </si>
  <si>
    <t>COMMUNE DE ROSS-BETHIO (100%)</t>
  </si>
  <si>
    <t>2.8110 Ha</t>
  </si>
  <si>
    <t>04098</t>
  </si>
  <si>
    <t>SAGNA ET DIANKE SOUF</t>
  </si>
  <si>
    <t>8.3226 Ha</t>
  </si>
  <si>
    <t>04099</t>
  </si>
  <si>
    <t>Barga</t>
  </si>
  <si>
    <t>SOCIÉTÉ TERRACALCO SÉNÉGAL  (100%)</t>
  </si>
  <si>
    <t>39.5736 Ha</t>
  </si>
  <si>
    <t>04100</t>
  </si>
  <si>
    <t>49.8637 Ha</t>
  </si>
  <si>
    <t>04103</t>
  </si>
  <si>
    <t>133.1415 Ha</t>
  </si>
  <si>
    <t>04104</t>
  </si>
  <si>
    <t>SALI ESCALE - KOUNGEUL- 22936m3</t>
  </si>
  <si>
    <t>49.2734 Ha</t>
  </si>
  <si>
    <t>04105</t>
  </si>
  <si>
    <t>Taif</t>
  </si>
  <si>
    <t>10.8648 Ha</t>
  </si>
  <si>
    <t>04106</t>
  </si>
  <si>
    <t>IVOIRE INGENIERIE PLUS SUARL (100%)</t>
  </si>
  <si>
    <t>49.5173 Ha</t>
  </si>
  <si>
    <t>04107</t>
  </si>
  <si>
    <t>ndiébène gandiole</t>
  </si>
  <si>
    <t>0.5400 Ha</t>
  </si>
  <si>
    <t>04110</t>
  </si>
  <si>
    <t>ZEYNA TRANSPORTS IMMO CONSTRUCTIONS (100%)</t>
  </si>
  <si>
    <t>9.4161 Ha</t>
  </si>
  <si>
    <t>04111</t>
  </si>
  <si>
    <t>CODIMAT (100%)</t>
  </si>
  <si>
    <t>9.0043 Ha</t>
  </si>
  <si>
    <t>04112</t>
  </si>
  <si>
    <t>04113</t>
  </si>
  <si>
    <t>DELTA MARINE BUSINESS INDUSTRIEL DU SENEGAL (100%)</t>
  </si>
  <si>
    <t>2.2237 Ha</t>
  </si>
  <si>
    <t>04114</t>
  </si>
  <si>
    <t>20.0151 Ha</t>
  </si>
  <si>
    <t>04115</t>
  </si>
  <si>
    <t>SOCIETE D'EXPLOITATION MINIERE IMMOBILIERE ET COMMERCIALE (100%)</t>
  </si>
  <si>
    <t>04116</t>
  </si>
  <si>
    <t xml:space="preserve">SOUMBEDIOUNE  EXPORT SOUMEX SARL </t>
  </si>
  <si>
    <t>04117</t>
  </si>
  <si>
    <t>SENEGALAISE DES MINES &amp; CARRIERES SARL (100%)</t>
  </si>
  <si>
    <t>04119</t>
  </si>
  <si>
    <t>04121</t>
  </si>
  <si>
    <t>54.1294 Ha</t>
  </si>
  <si>
    <t>04122</t>
  </si>
  <si>
    <t>THIAM CHEIKH AHMADOU BAMBA (100%)</t>
  </si>
  <si>
    <t>49.9400 Ha</t>
  </si>
  <si>
    <t>04123</t>
  </si>
  <si>
    <t>Dalla Ngabou</t>
  </si>
  <si>
    <t>SERIGNE MBACKE NIANE (100%)</t>
  </si>
  <si>
    <t>2.0834 Ha</t>
  </si>
  <si>
    <t>04124</t>
  </si>
  <si>
    <t xml:space="preserve"> SURVEY SERVICES SUARL</t>
  </si>
  <si>
    <t>04125</t>
  </si>
  <si>
    <t>Sud-Est_Koliya</t>
  </si>
  <si>
    <t>45.8601 Ha</t>
  </si>
  <si>
    <t>04127</t>
  </si>
  <si>
    <t>FARABA</t>
  </si>
  <si>
    <t>BAMBOUK EXPLORATION SARL (100%)</t>
  </si>
  <si>
    <t>677.9946 km²</t>
  </si>
  <si>
    <t>04128</t>
  </si>
  <si>
    <t>GENERALE SERVICE SARL (100%)</t>
  </si>
  <si>
    <t>3.9990 Ha</t>
  </si>
  <si>
    <t>04129</t>
  </si>
  <si>
    <t>ASSANE MININGUE</t>
  </si>
  <si>
    <t>ASSANE MINING INVESTMENT GROUP (100%)</t>
  </si>
  <si>
    <t>49.4254 Ha</t>
  </si>
  <si>
    <t>04130</t>
  </si>
  <si>
    <t>ROCAMJO SUARL (100%)</t>
  </si>
  <si>
    <t>48.7725 Ha</t>
  </si>
  <si>
    <t>04131</t>
  </si>
  <si>
    <t>Tiankoun Bassadie Nord 1</t>
  </si>
  <si>
    <t>15.8522 Ha</t>
  </si>
  <si>
    <t>04132</t>
  </si>
  <si>
    <t>48.1380 Ha</t>
  </si>
  <si>
    <t>04133</t>
  </si>
  <si>
    <t>BIJOUTERIE SERIGNE BABACAR SY (100%)</t>
  </si>
  <si>
    <t>49.7640 Ha</t>
  </si>
  <si>
    <t>04134</t>
  </si>
  <si>
    <t>kANIACK 2</t>
  </si>
  <si>
    <t>6.9408 Ha</t>
  </si>
  <si>
    <t>04135</t>
  </si>
  <si>
    <t>SOCIETE CIVILE H2 MOCOSA (100%)</t>
  </si>
  <si>
    <t>47.5175 Ha</t>
  </si>
  <si>
    <t>04136</t>
  </si>
  <si>
    <t>ADAMA UNIVERSAL IMMOBILIER ET AFFAIRES</t>
  </si>
  <si>
    <t>46.9929 Ha</t>
  </si>
  <si>
    <t>04137</t>
  </si>
  <si>
    <t>MATMINING SARL  (100%)</t>
  </si>
  <si>
    <t>44.4106 Ha</t>
  </si>
  <si>
    <t>04138</t>
  </si>
  <si>
    <t>OUONCK</t>
  </si>
  <si>
    <t>INTERMEDIATION COMMERCIALE  ET PRESTATION SERVICE SUARL (100%)</t>
  </si>
  <si>
    <t>9.0300 Ha</t>
  </si>
  <si>
    <t>04140</t>
  </si>
  <si>
    <t xml:space="preserve">Keur Sassy </t>
  </si>
  <si>
    <t>Mamadou Sene Transport et Commerce (MSTC)- SARL  (100%)</t>
  </si>
  <si>
    <t>8.0450 Ha</t>
  </si>
  <si>
    <t>04141</t>
  </si>
  <si>
    <t>SOUKOUTA</t>
  </si>
  <si>
    <t>4.9896 km²</t>
  </si>
  <si>
    <t>04142</t>
  </si>
  <si>
    <t>Raffo</t>
  </si>
  <si>
    <t>SANTARGILE SA (100%)</t>
  </si>
  <si>
    <t>9.1459 Ha</t>
  </si>
  <si>
    <t>04143</t>
  </si>
  <si>
    <t>Cayar-Khay Wérou</t>
  </si>
  <si>
    <t>1.7493 Ha</t>
  </si>
  <si>
    <t>04144</t>
  </si>
  <si>
    <t>Xaay Weru</t>
  </si>
  <si>
    <t>2.2326 Ha</t>
  </si>
  <si>
    <t>04145</t>
  </si>
  <si>
    <t>SENEGALAISE D'ETUDE, DE REALISATION ET DE SERVICES SA (100%)</t>
  </si>
  <si>
    <t>04146</t>
  </si>
  <si>
    <t>PROMO MINES SARL (100%)</t>
  </si>
  <si>
    <t>04148</t>
  </si>
  <si>
    <t>MOULT INVEST - SUARL (100%)</t>
  </si>
  <si>
    <t>18.7572 Ha</t>
  </si>
  <si>
    <t>04150</t>
  </si>
  <si>
    <t>NGUENIENE</t>
  </si>
  <si>
    <t>2.0087 Ha</t>
  </si>
  <si>
    <t>04151</t>
  </si>
  <si>
    <t>GEOPARTNERS CONSULTING (100%)</t>
  </si>
  <si>
    <t>7.8897 Ha</t>
  </si>
  <si>
    <t>04152</t>
  </si>
  <si>
    <t>PAN PROJET SARL (100%)</t>
  </si>
  <si>
    <t>04155</t>
  </si>
  <si>
    <t>SOCIETE DE GESTION DES CARRIERES DU SENEGAL (100%)</t>
  </si>
  <si>
    <t>2.2777 Ha</t>
  </si>
  <si>
    <t>04156</t>
  </si>
  <si>
    <t>KHOTANE SERERE</t>
  </si>
  <si>
    <t>MBENGUE FAMILY BUSINESS SARL (100%)</t>
  </si>
  <si>
    <t>2.1914 Ha</t>
  </si>
  <si>
    <t>04157</t>
  </si>
  <si>
    <t>Baniomba</t>
  </si>
  <si>
    <t>23.3780 Ha</t>
  </si>
  <si>
    <t>04158</t>
  </si>
  <si>
    <t>MBACKE MOHAMADOU MOURTADA (100%)</t>
  </si>
  <si>
    <t>2.8268 Ha</t>
  </si>
  <si>
    <t>04159</t>
  </si>
  <si>
    <t>MN MINING SASU EXPLOITATION MINIERE (100%)</t>
  </si>
  <si>
    <t>43.1945 Ha</t>
  </si>
  <si>
    <t>04160</t>
  </si>
  <si>
    <t>16.4150 Ha</t>
  </si>
  <si>
    <t>04161</t>
  </si>
  <si>
    <t>KEUR ABDOU NDOYE</t>
  </si>
  <si>
    <t>4.2611 Ha</t>
  </si>
  <si>
    <t>04162</t>
  </si>
  <si>
    <t>Khelcom Birame</t>
  </si>
  <si>
    <t>6.0000 Ha</t>
  </si>
  <si>
    <t>04163</t>
  </si>
  <si>
    <t>Dabaly</t>
  </si>
  <si>
    <t>Mairie de Latmingue  (100%)</t>
  </si>
  <si>
    <t>0.9663 Ha</t>
  </si>
  <si>
    <t>04164</t>
  </si>
  <si>
    <t>Lam-lam, Pambal</t>
  </si>
  <si>
    <t>25.1620 Ha</t>
  </si>
  <si>
    <t>04165</t>
  </si>
  <si>
    <t>2.5164 Ha</t>
  </si>
  <si>
    <t>04167</t>
  </si>
  <si>
    <t>Tataguine</t>
  </si>
  <si>
    <t>8.3836 Ha</t>
  </si>
  <si>
    <t>04168</t>
  </si>
  <si>
    <t>Ndiouroup</t>
  </si>
  <si>
    <t>11.0764 Ha</t>
  </si>
  <si>
    <t>04169</t>
  </si>
  <si>
    <t>Ndiarrère</t>
  </si>
  <si>
    <t>10.2513 Ha</t>
  </si>
  <si>
    <t>04170</t>
  </si>
  <si>
    <t>déni biram nado</t>
  </si>
  <si>
    <t>04171</t>
  </si>
  <si>
    <t>1.9648 Ha</t>
  </si>
  <si>
    <t>04172</t>
  </si>
  <si>
    <t>NOGAYE BUSINESS CONSULTING COMPAGNY (100%)</t>
  </si>
  <si>
    <t>1.8614 km²</t>
  </si>
  <si>
    <t>04173</t>
  </si>
  <si>
    <t>19.6436 Ha</t>
  </si>
  <si>
    <t>04174</t>
  </si>
  <si>
    <t>GOLLAM</t>
  </si>
  <si>
    <t>3.4810 Ha</t>
  </si>
  <si>
    <t>04176</t>
  </si>
  <si>
    <t>THIOMBY</t>
  </si>
  <si>
    <t>20.4357 Ha</t>
  </si>
  <si>
    <t>04177</t>
  </si>
  <si>
    <t>Mbellecadiao</t>
  </si>
  <si>
    <t>48.0468 Ha</t>
  </si>
  <si>
    <t>04178</t>
  </si>
  <si>
    <t>NGALOU EXPLOITATION ET SERVICES-SASU (100%)</t>
  </si>
  <si>
    <t>3.0094 Ha</t>
  </si>
  <si>
    <t>04179</t>
  </si>
  <si>
    <t>14.8166 Ha</t>
  </si>
  <si>
    <t>04180</t>
  </si>
  <si>
    <t>KHAR YALLAH</t>
  </si>
  <si>
    <t>GIE KA BUSINESS COMPANY (100%)</t>
  </si>
  <si>
    <t>1.9744 Ha</t>
  </si>
  <si>
    <t>04181</t>
  </si>
  <si>
    <t>DENI BIRAME NDAO NORD</t>
  </si>
  <si>
    <t>6.2951 Ha</t>
  </si>
  <si>
    <t>04182</t>
  </si>
  <si>
    <t>sindia</t>
  </si>
  <si>
    <t>1.2170 Ha</t>
  </si>
  <si>
    <t>04183</t>
  </si>
  <si>
    <t>WALY DIOUF PARTNERS SOLUTION (100%)</t>
  </si>
  <si>
    <t>04184</t>
  </si>
  <si>
    <t>Ngaye Mékhé</t>
  </si>
  <si>
    <t>2.2499 Ha</t>
  </si>
  <si>
    <t>04185</t>
  </si>
  <si>
    <t>14.2560 Ha</t>
  </si>
  <si>
    <t>04187</t>
  </si>
  <si>
    <t xml:space="preserve">ICS </t>
  </si>
  <si>
    <t>NAZATA AND MAYA SAS</t>
  </si>
  <si>
    <t>04188</t>
  </si>
  <si>
    <t xml:space="preserve">YEBA </t>
  </si>
  <si>
    <t>9.8815 Ha</t>
  </si>
  <si>
    <t>04189</t>
  </si>
  <si>
    <t>KOLIA 1</t>
  </si>
  <si>
    <t>GIE KOLIA (100%)</t>
  </si>
  <si>
    <t>49.4100 Ha</t>
  </si>
  <si>
    <t>04191</t>
  </si>
  <si>
    <t>SEN UK FARM SARL (100%)</t>
  </si>
  <si>
    <t>3.9022 Ha</t>
  </si>
  <si>
    <t>04192</t>
  </si>
  <si>
    <t>BOSSOLEL WOLOF</t>
  </si>
  <si>
    <t>25.4395 Ha</t>
  </si>
  <si>
    <t>04194</t>
  </si>
  <si>
    <t>Tchiky</t>
  </si>
  <si>
    <t>18.0230 Ha</t>
  </si>
  <si>
    <t>04195</t>
  </si>
  <si>
    <t>SENEGOOD SARL (100%)</t>
  </si>
  <si>
    <t>04196</t>
  </si>
  <si>
    <t>CENTRALE DE MATERIEL ET MATERIAUX SARL (100%)</t>
  </si>
  <si>
    <t>04197</t>
  </si>
  <si>
    <t>49.8977 Ha</t>
  </si>
  <si>
    <t>04198</t>
  </si>
  <si>
    <t>Diabougou 1</t>
  </si>
  <si>
    <t>Tamba Heard Mining Group  (100%)</t>
  </si>
  <si>
    <t>27.2205 Ha</t>
  </si>
  <si>
    <t>04199</t>
  </si>
  <si>
    <t>Diabougou 2</t>
  </si>
  <si>
    <t>35.4160 Ha</t>
  </si>
  <si>
    <t>04200</t>
  </si>
  <si>
    <t>COULIBALY CREATIVES MINES (100%)</t>
  </si>
  <si>
    <t>9.6145 Ha</t>
  </si>
  <si>
    <t>04202</t>
  </si>
  <si>
    <t>3.3408 Ha</t>
  </si>
  <si>
    <t>04203</t>
  </si>
  <si>
    <t>SOCIETE DE GESTION DES MINES ET CARRIERES SARL (100%)</t>
  </si>
  <si>
    <t>5.0981 Ha</t>
  </si>
  <si>
    <t>04204</t>
  </si>
  <si>
    <t>16.3494 Ha</t>
  </si>
  <si>
    <t>04205</t>
  </si>
  <si>
    <t>7.9999 Ha</t>
  </si>
  <si>
    <t>04206</t>
  </si>
  <si>
    <t>diass</t>
  </si>
  <si>
    <t>GIE GANDAL (100%)</t>
  </si>
  <si>
    <t>2.8304 Ha</t>
  </si>
  <si>
    <t>04208</t>
  </si>
  <si>
    <t>NAMEL</t>
  </si>
  <si>
    <t>333.2234 km²</t>
  </si>
  <si>
    <t>04209</t>
  </si>
  <si>
    <t>KENIEBA Mn</t>
  </si>
  <si>
    <t>LAMTORO NATURAL RERSOURCES (100%)</t>
  </si>
  <si>
    <t>53.4137 km²</t>
  </si>
  <si>
    <t>04210</t>
  </si>
  <si>
    <t>Diamniadio</t>
  </si>
  <si>
    <t>DIEUF DIEUL TAWFEKH IMMO SARL (100%)</t>
  </si>
  <si>
    <t>22.9226 Ha</t>
  </si>
  <si>
    <t>04211</t>
  </si>
  <si>
    <t>Mangary</t>
  </si>
  <si>
    <t>ENTREPRISE BOUGAR DIOUF</t>
  </si>
  <si>
    <t>9.0401 Ha</t>
  </si>
  <si>
    <t>04213</t>
  </si>
  <si>
    <t>CHROME SUARL (100%)</t>
  </si>
  <si>
    <t>04214</t>
  </si>
  <si>
    <t>SOCIETE CIVILE H2 MOCOSA</t>
  </si>
  <si>
    <t>04215</t>
  </si>
  <si>
    <t>Global Equipement Services et Travaux (GEST SUARL) (100%)</t>
  </si>
  <si>
    <t>04217</t>
  </si>
  <si>
    <t>K-COM SARL (100%)</t>
  </si>
  <si>
    <t>1.5186 Ha</t>
  </si>
  <si>
    <t>04218</t>
  </si>
  <si>
    <t>ETABLISSEMENT HABIB SAMB (100%)</t>
  </si>
  <si>
    <t>04219</t>
  </si>
  <si>
    <t>TALIX MINES SARL (100%)</t>
  </si>
  <si>
    <t>04220</t>
  </si>
  <si>
    <t>985.4720 Ha</t>
  </si>
  <si>
    <t>04221</t>
  </si>
  <si>
    <t>Sun Sèrére</t>
  </si>
  <si>
    <t>SENGPS MINING (100%)</t>
  </si>
  <si>
    <t>0.2034 km²</t>
  </si>
  <si>
    <t>04222</t>
  </si>
  <si>
    <t>2.2030 km²</t>
  </si>
  <si>
    <t>04223</t>
  </si>
  <si>
    <t>Périmètre 6</t>
  </si>
  <si>
    <t>BLACK ROCK MINING SUARL (100%)</t>
  </si>
  <si>
    <t>49.5576 Ha</t>
  </si>
  <si>
    <t>04224</t>
  </si>
  <si>
    <t>45.5129 Ha</t>
  </si>
  <si>
    <t>04225</t>
  </si>
  <si>
    <t>Madina Foulbe</t>
  </si>
  <si>
    <t>S.S - D.D SA (100%)</t>
  </si>
  <si>
    <t>1,593.7856 km²</t>
  </si>
  <si>
    <t>04226</t>
  </si>
  <si>
    <t>dougar</t>
  </si>
  <si>
    <t>23.0159 Ha</t>
  </si>
  <si>
    <t>04227</t>
  </si>
  <si>
    <t>3.5290 Ha</t>
  </si>
  <si>
    <t>04228</t>
  </si>
  <si>
    <t>Bloc1</t>
  </si>
  <si>
    <t>49.9885 Ha</t>
  </si>
  <si>
    <t>04229</t>
  </si>
  <si>
    <t>THIKI</t>
  </si>
  <si>
    <t>WAHABA BUILDING (100%)</t>
  </si>
  <si>
    <t>4.6999 Ha</t>
  </si>
  <si>
    <t>04230</t>
  </si>
  <si>
    <t>BANTACOUNTOU</t>
  </si>
  <si>
    <t>49.9985 Ha</t>
  </si>
  <si>
    <t>04231</t>
  </si>
  <si>
    <t>kidira</t>
  </si>
  <si>
    <t>48.7882 Ha</t>
  </si>
  <si>
    <t>04232</t>
  </si>
  <si>
    <t>04233</t>
  </si>
  <si>
    <t>PROXI SOLUTION SUARL (100%)</t>
  </si>
  <si>
    <t>04234</t>
  </si>
  <si>
    <t>TOGLOU</t>
  </si>
  <si>
    <t>3.5418 Ha</t>
  </si>
  <si>
    <t>04235</t>
  </si>
  <si>
    <t>ENTREPRISE DE TRAVAUX D'INDUSTRIE ET DE COMMERCE  (100%)</t>
  </si>
  <si>
    <t>04236</t>
  </si>
  <si>
    <t>MN TRADING COMPANY SUARL (100%)</t>
  </si>
  <si>
    <t>04237</t>
  </si>
  <si>
    <t>24.9705 Ha</t>
  </si>
  <si>
    <t>04238</t>
  </si>
  <si>
    <t>SCI HOLDING MBAR (100%)</t>
  </si>
  <si>
    <t>04239</t>
  </si>
  <si>
    <t>04240</t>
  </si>
  <si>
    <t>5.7481 Ha</t>
  </si>
  <si>
    <t>04241</t>
  </si>
  <si>
    <t>Ngathie Naoude</t>
  </si>
  <si>
    <t>MAMADOU SENE TRANSPORT ET COMMERCE SARL  (100%)</t>
  </si>
  <si>
    <t>5.8447 Ha</t>
  </si>
  <si>
    <t>04242</t>
  </si>
  <si>
    <t>bambali</t>
  </si>
  <si>
    <t>8.0352 Ha</t>
  </si>
  <si>
    <t>04243</t>
  </si>
  <si>
    <t>TCHIKY</t>
  </si>
  <si>
    <t>GIE EXPRESS LOGISTICS PLUS (100%)</t>
  </si>
  <si>
    <t>4.9863 Ha</t>
  </si>
  <si>
    <t>04245</t>
  </si>
  <si>
    <t>BOYENADJI</t>
  </si>
  <si>
    <t>228.7510 Ha</t>
  </si>
  <si>
    <t>04246</t>
  </si>
  <si>
    <t>491.9820 Ha</t>
  </si>
  <si>
    <t>04247</t>
  </si>
  <si>
    <t>4.9586 km²</t>
  </si>
  <si>
    <t>04248</t>
  </si>
  <si>
    <t>Kolia</t>
  </si>
  <si>
    <t>AFRIQUE MINES COMPANY PLUS (100%)</t>
  </si>
  <si>
    <t>45.6814 Ha</t>
  </si>
  <si>
    <t>04251</t>
  </si>
  <si>
    <t>DARA SALAM - SUARL (100%)</t>
  </si>
  <si>
    <t>320.2818 km²</t>
  </si>
  <si>
    <t>04252</t>
  </si>
  <si>
    <t>BARIBARIE 1</t>
  </si>
  <si>
    <t>AFG RESSOURCES  (100%)</t>
  </si>
  <si>
    <t>98.9681 km²</t>
  </si>
  <si>
    <t>04253</t>
  </si>
  <si>
    <t>DIARRA MAMADOU DIAKHATE (100%)</t>
  </si>
  <si>
    <t>27.4968 Ha</t>
  </si>
  <si>
    <t>04254</t>
  </si>
  <si>
    <t>CEDEAO (100%)</t>
  </si>
  <si>
    <t>2,978.8080 km²</t>
  </si>
  <si>
    <t>04255</t>
  </si>
  <si>
    <t>04257</t>
  </si>
  <si>
    <t>4.9999 Ha</t>
  </si>
  <si>
    <t>04258</t>
  </si>
  <si>
    <t>tchiky</t>
  </si>
  <si>
    <t>LES GRANDES CARRIERES DU SENEGAL SARL (100%)</t>
  </si>
  <si>
    <t>2.2939 Ha</t>
  </si>
  <si>
    <t>04259</t>
  </si>
  <si>
    <t>AVENIR BUSINESS SERVICES SUARL (100%)</t>
  </si>
  <si>
    <t>4.4557 Ha</t>
  </si>
  <si>
    <t>04260</t>
  </si>
  <si>
    <t>GROUPE DE SOCIETES ULSAN (100%)</t>
  </si>
  <si>
    <t>116.4829 km²</t>
  </si>
  <si>
    <t>04261</t>
  </si>
  <si>
    <t>KOLOBA</t>
  </si>
  <si>
    <t>CHEHUMA SARL (100%)</t>
  </si>
  <si>
    <t>364.0026 km²</t>
  </si>
  <si>
    <t>04262</t>
  </si>
  <si>
    <t>NDOYE ABDOULAYE (EAND) (100%)</t>
  </si>
  <si>
    <t>1.4342 Ha</t>
  </si>
  <si>
    <t>04266</t>
  </si>
  <si>
    <t>Mboro</t>
  </si>
  <si>
    <t>KAPI GROUP (100%)</t>
  </si>
  <si>
    <t>04267</t>
  </si>
  <si>
    <t>AFRICAN BUILDERS SARL (100%)</t>
  </si>
  <si>
    <t>48.6722 Ha</t>
  </si>
  <si>
    <t>04268</t>
  </si>
  <si>
    <t>MAMANKANTI</t>
  </si>
  <si>
    <t>AIR DYNAMICS SOLUTIONS SENEGAL (100%)</t>
  </si>
  <si>
    <t>18.6813 km²</t>
  </si>
  <si>
    <t>04269</t>
  </si>
  <si>
    <t>ROYAL SENEGAL MINES ET EQUIPEMENTS (100%)</t>
  </si>
  <si>
    <t>43.7842 Ha</t>
  </si>
  <si>
    <t>04270</t>
  </si>
  <si>
    <t xml:space="preserve">Madina Kael, doublon a supprimer </t>
  </si>
  <si>
    <t>6.8407 Ha</t>
  </si>
  <si>
    <t>04273</t>
  </si>
  <si>
    <t>Bantakokoto</t>
  </si>
  <si>
    <t>04274</t>
  </si>
  <si>
    <t>Barabérie</t>
  </si>
  <si>
    <t>381.5028 km²</t>
  </si>
  <si>
    <t>04276</t>
  </si>
  <si>
    <t>GNITH</t>
  </si>
  <si>
    <t>53.5362 Ha</t>
  </si>
  <si>
    <t>04277</t>
  </si>
  <si>
    <t>53.0339 Ha</t>
  </si>
  <si>
    <t>04278</t>
  </si>
  <si>
    <t>52.6750 Ha</t>
  </si>
  <si>
    <t>04279</t>
  </si>
  <si>
    <t>Koussoko</t>
  </si>
  <si>
    <t>GOLD MINING CORPORATION (100%)</t>
  </si>
  <si>
    <t>26.1967 km²</t>
  </si>
  <si>
    <t>04280</t>
  </si>
  <si>
    <t>0.4152 km²</t>
  </si>
  <si>
    <t>04285</t>
  </si>
  <si>
    <t>CK CARRIERE  (100%)</t>
  </si>
  <si>
    <t>20.2251 Ha</t>
  </si>
  <si>
    <t>04293</t>
  </si>
  <si>
    <t>0.8329 Ha</t>
  </si>
  <si>
    <t>04300</t>
  </si>
  <si>
    <t>PFO AFRICA SENEGAL SA (100%)</t>
  </si>
  <si>
    <t>9.7040 Ha</t>
  </si>
  <si>
    <t>04301</t>
  </si>
  <si>
    <t>10.5408 Ha</t>
  </si>
  <si>
    <t>04302</t>
  </si>
  <si>
    <t>11.9319 Ha</t>
  </si>
  <si>
    <t>04303</t>
  </si>
  <si>
    <t>3.8202 Ha</t>
  </si>
  <si>
    <t>04308</t>
  </si>
  <si>
    <t>113.3540 Ha</t>
  </si>
  <si>
    <t>04309</t>
  </si>
  <si>
    <t>Mbang</t>
  </si>
  <si>
    <t>EXCAF ASIA-AFRICA (100%)</t>
  </si>
  <si>
    <t>11.6557 Ha</t>
  </si>
  <si>
    <t>04312</t>
  </si>
  <si>
    <t>Moussa Fall (100%)</t>
  </si>
  <si>
    <t>0.0240 km²</t>
  </si>
  <si>
    <t>04315</t>
  </si>
  <si>
    <t>GALASS DISTRIBUTION INTERNATIONALE ET SERVICES (100%)</t>
  </si>
  <si>
    <t>04319</t>
  </si>
  <si>
    <t>Ndiébène Gandiol</t>
  </si>
  <si>
    <t>COMMUNE DE NDIEBENE GANDIOL (100%)</t>
  </si>
  <si>
    <t>3.0439 Ha</t>
  </si>
  <si>
    <t>04320</t>
  </si>
  <si>
    <t>GIE YELLITAARE NDEMA NGAINNAKA (100%)</t>
  </si>
  <si>
    <t>100.0000 Ha</t>
  </si>
  <si>
    <t>04328</t>
  </si>
  <si>
    <t>FAYMINING COPORATE SARL (100%)</t>
  </si>
  <si>
    <t>12.6712 Ha</t>
  </si>
  <si>
    <t>04335</t>
  </si>
  <si>
    <t>TIANKOUN BASSADIE</t>
  </si>
  <si>
    <t>SEN ZANGHUA MINERAL</t>
  </si>
  <si>
    <t>47.2464 Ha</t>
  </si>
  <si>
    <t>04336</t>
  </si>
  <si>
    <t>Nord Ouest Tiankoun Bassadie</t>
  </si>
  <si>
    <t>SEN ZANGHUA MINERAL (100%)</t>
  </si>
  <si>
    <t>47.5600 Ha</t>
  </si>
  <si>
    <t>04339</t>
  </si>
  <si>
    <t>KEDOUGOU MINE ET CARRIERE SARL (100%)</t>
  </si>
  <si>
    <t>04340</t>
  </si>
  <si>
    <t>PERIMETRE 2</t>
  </si>
  <si>
    <t>04342</t>
  </si>
  <si>
    <t>AFRICA SERVICES GROUP SUARL (100%)</t>
  </si>
  <si>
    <t>2.4073 Ha</t>
  </si>
  <si>
    <t>04352</t>
  </si>
  <si>
    <t>EBD ENTREPRISES SUARL (100%)</t>
  </si>
  <si>
    <t>2.2219 Ha</t>
  </si>
  <si>
    <t>04356</t>
  </si>
  <si>
    <t>4.4178 Ha</t>
  </si>
  <si>
    <t>04358</t>
  </si>
  <si>
    <t>COMMUNE GANDON</t>
  </si>
  <si>
    <t>25.6800 Ha</t>
  </si>
  <si>
    <t>04359</t>
  </si>
  <si>
    <t>GIE GARAGE SOUF (100%)</t>
  </si>
  <si>
    <t>1.8459 Ha</t>
  </si>
  <si>
    <t>04360</t>
  </si>
  <si>
    <t>COMMUNE DE BOKHOL (100%)</t>
  </si>
  <si>
    <t>7.3698 Ha</t>
  </si>
  <si>
    <t>04361</t>
  </si>
  <si>
    <t>12.0690 Ha</t>
  </si>
  <si>
    <t>04362</t>
  </si>
  <si>
    <t>VILLAGE WANAR GOU MAGG -MABO</t>
  </si>
  <si>
    <t>10.0442 Ha</t>
  </si>
  <si>
    <t>04363</t>
  </si>
  <si>
    <t>12.3839 Ha</t>
  </si>
  <si>
    <t>04364</t>
  </si>
  <si>
    <t>15.4842 Ha</t>
  </si>
  <si>
    <t>04365</t>
  </si>
  <si>
    <t>SAHEL MINES ET LOGISTICS SARL (100%)</t>
  </si>
  <si>
    <t>0.3159 Ha</t>
  </si>
  <si>
    <t>04366</t>
  </si>
  <si>
    <t>MAX STEEL SUARL (100%)</t>
  </si>
  <si>
    <t>1.9411 Ha</t>
  </si>
  <si>
    <t>04367</t>
  </si>
  <si>
    <t>COMMUNE DE PIRE  (100%)</t>
  </si>
  <si>
    <t>5.4997 Ha</t>
  </si>
  <si>
    <t>04370</t>
  </si>
  <si>
    <t>6.4154 Ha</t>
  </si>
  <si>
    <t>04371</t>
  </si>
  <si>
    <t>KEUR MOUSSA</t>
  </si>
  <si>
    <t>50.0003 Ha</t>
  </si>
  <si>
    <t>04372</t>
  </si>
  <si>
    <t xml:space="preserve">KOUNGHEUL </t>
  </si>
  <si>
    <t>LD ECOMINING- SARL (100%)</t>
  </si>
  <si>
    <t>15.1312 Ha</t>
  </si>
  <si>
    <t>04375</t>
  </si>
  <si>
    <t>3.0077 Ha</t>
  </si>
  <si>
    <t>04376</t>
  </si>
  <si>
    <t>1.0786 Ha</t>
  </si>
  <si>
    <t>04377</t>
  </si>
  <si>
    <t>MAIRIE DE BOKHOL (100%)</t>
  </si>
  <si>
    <t>04378</t>
  </si>
  <si>
    <t>SENEGAL CARRIERE IMMO SARL (100%)</t>
  </si>
  <si>
    <t>4.1508 Ha</t>
  </si>
  <si>
    <t>04383</t>
  </si>
  <si>
    <t>SINOIL SUARL (100%)</t>
  </si>
  <si>
    <t>49.1856 Ha</t>
  </si>
  <si>
    <t>04385</t>
  </si>
  <si>
    <t>KAANGUI A-F SUARL</t>
  </si>
  <si>
    <t>1.1560 Ha</t>
  </si>
  <si>
    <t>04386</t>
  </si>
  <si>
    <t>KAANGUI A-F SUARL (100%)</t>
  </si>
  <si>
    <t>3.4610 Ha</t>
  </si>
  <si>
    <t>04387</t>
  </si>
  <si>
    <t>1.8611 Ha</t>
  </si>
  <si>
    <t>04389</t>
  </si>
  <si>
    <t>11.5518 Ha</t>
  </si>
  <si>
    <t>04390</t>
  </si>
  <si>
    <t>9.7213 Ha</t>
  </si>
  <si>
    <t>04391</t>
  </si>
  <si>
    <t>Patar LIA</t>
  </si>
  <si>
    <t>DAROU MINAM PRESTIGE SUARL (100%)</t>
  </si>
  <si>
    <t>3.4315 Ha</t>
  </si>
  <si>
    <t>04393</t>
  </si>
  <si>
    <t>1.8200 Ha</t>
  </si>
  <si>
    <t>04394</t>
  </si>
  <si>
    <t>9.5747 Ha</t>
  </si>
  <si>
    <t>04395</t>
  </si>
  <si>
    <t>4.9794 km²</t>
  </si>
  <si>
    <t>04396</t>
  </si>
  <si>
    <t>CHINA HARBOUR ENGINEERING COMPANY SENEGAL SUARL (100%)</t>
  </si>
  <si>
    <t>4.7181 Ha</t>
  </si>
  <si>
    <t>04397</t>
  </si>
  <si>
    <t>GIE LIGGUEY BUNU BOKOU (100%)</t>
  </si>
  <si>
    <t>3.1218 Ha</t>
  </si>
  <si>
    <t>04398</t>
  </si>
  <si>
    <t xml:space="preserve">Patar LIA </t>
  </si>
  <si>
    <t>1.1026 Ha</t>
  </si>
  <si>
    <t>04400</t>
  </si>
  <si>
    <t xml:space="preserve">Mbadiane </t>
  </si>
  <si>
    <t xml:space="preserve">Maire de la Commune de Mbadiane </t>
  </si>
  <si>
    <t>3.0012 Ha</t>
  </si>
  <si>
    <t>04401</t>
  </si>
  <si>
    <t>Ngogom</t>
  </si>
  <si>
    <t>1.5574 Ha</t>
  </si>
  <si>
    <t>04403</t>
  </si>
  <si>
    <t>5.8253 Ha</t>
  </si>
  <si>
    <t>04404</t>
  </si>
  <si>
    <t>REPUBLIQUE DU SENEGAL</t>
  </si>
  <si>
    <t>28.6083 km²</t>
  </si>
  <si>
    <t>04406</t>
  </si>
  <si>
    <t>181.7465 km²</t>
  </si>
  <si>
    <t>04408</t>
  </si>
  <si>
    <t>12.7231 km²</t>
  </si>
  <si>
    <t>04409</t>
  </si>
  <si>
    <t>17.4576 km²</t>
  </si>
  <si>
    <t>04410</t>
  </si>
  <si>
    <t>1.8545 Ha</t>
  </si>
  <si>
    <t>04412</t>
  </si>
  <si>
    <t>COMPAGNY SAKHO - C.S (100%)</t>
  </si>
  <si>
    <t>2.9600 Ha</t>
  </si>
  <si>
    <t>04413</t>
  </si>
  <si>
    <t>31.5164 Ha</t>
  </si>
  <si>
    <t>04414</t>
  </si>
  <si>
    <t>Salamata/Bahadadji</t>
  </si>
  <si>
    <t>Mairie de la commune de Bagadadji (100%)</t>
  </si>
  <si>
    <t>3.0358 Ha</t>
  </si>
  <si>
    <t>04415</t>
  </si>
  <si>
    <t>MEDINA DALHATOU/ Bagadadji</t>
  </si>
  <si>
    <t>5.2179 Ha</t>
  </si>
  <si>
    <t>04416</t>
  </si>
  <si>
    <t>Mbadiane</t>
  </si>
  <si>
    <t>2.0048 Ha</t>
  </si>
  <si>
    <t>04417</t>
  </si>
  <si>
    <t>66.9457 km²</t>
  </si>
  <si>
    <t>04419</t>
  </si>
  <si>
    <t>COMMUNE DE NGUIDILLE  (100%)</t>
  </si>
  <si>
    <t>8.7627 Ha</t>
  </si>
  <si>
    <t>04421</t>
  </si>
  <si>
    <t>3,095.4867 Ha</t>
  </si>
  <si>
    <t>04423</t>
  </si>
  <si>
    <t>OGO</t>
  </si>
  <si>
    <t>04424</t>
  </si>
  <si>
    <t>Ngahye</t>
  </si>
  <si>
    <t>ENTREPRISE WAKEUR BOROME GAWANE</t>
  </si>
  <si>
    <t>4.1284 Ha</t>
  </si>
  <si>
    <t>04425</t>
  </si>
  <si>
    <t>ENTREPRISE DE TRANSPORT ET DE COMMERCE (100%)</t>
  </si>
  <si>
    <t>2.2367 Ha</t>
  </si>
  <si>
    <t>04426</t>
  </si>
  <si>
    <t>14.6329 Ha</t>
  </si>
  <si>
    <t>04427</t>
  </si>
  <si>
    <t>MAIRIE DE DYA (100%)</t>
  </si>
  <si>
    <t>1.7374 Ha</t>
  </si>
  <si>
    <t>04428</t>
  </si>
  <si>
    <t>CSE GRANULATS SA (100%)</t>
  </si>
  <si>
    <t>3.9994 Ha</t>
  </si>
  <si>
    <t>04429</t>
  </si>
  <si>
    <t>DAROU SALAM TRANSPORTS SARL (100%)</t>
  </si>
  <si>
    <t>5.3603 Ha</t>
  </si>
  <si>
    <t>04430</t>
  </si>
  <si>
    <t>1.2215 Ha</t>
  </si>
  <si>
    <t>04431</t>
  </si>
  <si>
    <t>14.7832 Ha</t>
  </si>
  <si>
    <t>04432</t>
  </si>
  <si>
    <t>GASS IMMO SUARL (100%)</t>
  </si>
  <si>
    <t>26.2330 Ha</t>
  </si>
  <si>
    <t>04433</t>
  </si>
  <si>
    <t>0.6789 Ha</t>
  </si>
  <si>
    <t>04434</t>
  </si>
  <si>
    <t>BEMBOU</t>
  </si>
  <si>
    <t>1.1420 Ha</t>
  </si>
  <si>
    <t>04435</t>
  </si>
  <si>
    <t>SOCIETE DES MINES DU SENEGAL (100%)</t>
  </si>
  <si>
    <t>57.0654 km²</t>
  </si>
  <si>
    <t>04436</t>
  </si>
  <si>
    <t>2.8094 Ha</t>
  </si>
  <si>
    <t>04437</t>
  </si>
  <si>
    <t>3.4965 Ha</t>
  </si>
  <si>
    <t>04438</t>
  </si>
  <si>
    <t>5.7000 Ha</t>
  </si>
  <si>
    <t>04439</t>
  </si>
  <si>
    <t>04440</t>
  </si>
  <si>
    <t>4.0890 Ha</t>
  </si>
  <si>
    <t>04441</t>
  </si>
  <si>
    <t>COMMUNE DE KEUR MADIABEL (100%)</t>
  </si>
  <si>
    <t>2.0169 Ha</t>
  </si>
  <si>
    <t>04442</t>
  </si>
  <si>
    <t>2.0887 Ha</t>
  </si>
  <si>
    <t>04443</t>
  </si>
  <si>
    <t>DI CORP SAS (100%)</t>
  </si>
  <si>
    <t>0.9068 Ha</t>
  </si>
  <si>
    <t>04444</t>
  </si>
  <si>
    <t>ETOILE X 313 SUARL (100%)</t>
  </si>
  <si>
    <t>5.1339 Ha</t>
  </si>
  <si>
    <t>04445</t>
  </si>
  <si>
    <t>388.2075 Ha</t>
  </si>
  <si>
    <t>04448</t>
  </si>
  <si>
    <t>LION RISE CEMENT CO SARL (100%)</t>
  </si>
  <si>
    <t>32.0622 km²</t>
  </si>
  <si>
    <t>04449</t>
  </si>
  <si>
    <t>KEDA CERAMICS COMPANY LIMITED (100%)</t>
  </si>
  <si>
    <t>04460</t>
  </si>
  <si>
    <t>DIARRERE</t>
  </si>
  <si>
    <t>1.7812 Ha</t>
  </si>
  <si>
    <t>04462</t>
  </si>
  <si>
    <t>Kayar</t>
  </si>
  <si>
    <t>DIA COMPANY NAFOORE-SARL (100%)</t>
  </si>
  <si>
    <t>5.0001 Ha</t>
  </si>
  <si>
    <t>04463</t>
  </si>
  <si>
    <t>Forêt classée de Popenguine</t>
  </si>
  <si>
    <t>5.1871 Ha</t>
  </si>
  <si>
    <t>04464</t>
  </si>
  <si>
    <t>FORET CLASSEE DE POPENGUINE</t>
  </si>
  <si>
    <t>5.2096 Ha</t>
  </si>
  <si>
    <t>04465</t>
  </si>
  <si>
    <t>2.4076 Ha</t>
  </si>
  <si>
    <t>04471</t>
  </si>
  <si>
    <t>TOUBA CARRIERES SARL  (100%)</t>
  </si>
  <si>
    <t>0.4542 km²</t>
  </si>
  <si>
    <t>04472</t>
  </si>
  <si>
    <t>1,773.8522 Ha</t>
  </si>
  <si>
    <t>04474</t>
  </si>
  <si>
    <t>10.0188 Ha</t>
  </si>
  <si>
    <t>04476</t>
  </si>
  <si>
    <t>THIENABA</t>
  </si>
  <si>
    <t>SOCIETE DAROU SALAM TAWFEKH (100%)</t>
  </si>
  <si>
    <t>4.8013 Ha</t>
  </si>
  <si>
    <t>04477</t>
  </si>
  <si>
    <t>Thienaba</t>
  </si>
  <si>
    <t>2.9998 Ha</t>
  </si>
  <si>
    <t>04478</t>
  </si>
  <si>
    <t xml:space="preserve"> CHERIF LO
</t>
  </si>
  <si>
    <t>ETABLISSEMENT SERIGNE BABACAR (100%)</t>
  </si>
  <si>
    <t>6.0722 Ha</t>
  </si>
  <si>
    <t>04479</t>
  </si>
  <si>
    <t>1.9973 Ha</t>
  </si>
  <si>
    <t>04480</t>
  </si>
  <si>
    <t>7.9171 Ha</t>
  </si>
  <si>
    <t>04481</t>
  </si>
  <si>
    <t>9.5243 Ha</t>
  </si>
  <si>
    <t>04483</t>
  </si>
  <si>
    <t>AXIOME GROUP (100%)</t>
  </si>
  <si>
    <t>1.9067 Ha</t>
  </si>
  <si>
    <t>04484</t>
  </si>
  <si>
    <t>Thieneba</t>
  </si>
  <si>
    <t>COMPTOIR COMMERCIAL DE SEOKHAYE Sarl (CCS) (100%)</t>
  </si>
  <si>
    <t>1.4869 Ha</t>
  </si>
  <si>
    <t>04486</t>
  </si>
  <si>
    <t>Keur Madiabel</t>
  </si>
  <si>
    <t>2.0000 Ha</t>
  </si>
  <si>
    <t>04487</t>
  </si>
  <si>
    <t>2.5208 Ha</t>
  </si>
  <si>
    <t>04489</t>
  </si>
  <si>
    <t>KEUR MOUSSA HANNE</t>
  </si>
  <si>
    <t>GIE KARAMBA</t>
  </si>
  <si>
    <t>0.9966 Ha</t>
  </si>
  <si>
    <t>04490</t>
  </si>
  <si>
    <t>Coumbacara</t>
  </si>
  <si>
    <t>Commune de Coumbacara (100%)</t>
  </si>
  <si>
    <t>0.3483 Ha</t>
  </si>
  <si>
    <t>04491</t>
  </si>
  <si>
    <t>0.3783 Ha</t>
  </si>
  <si>
    <t>04492</t>
  </si>
  <si>
    <t>Kandia</t>
  </si>
  <si>
    <t>Commune de Kandia (100%)</t>
  </si>
  <si>
    <t>2.3902 Ha</t>
  </si>
  <si>
    <t>04493</t>
  </si>
  <si>
    <t>SERIGNE MANSOURSY BOROME DARAJI SUARL (100%)</t>
  </si>
  <si>
    <t>4.9811 Ha</t>
  </si>
  <si>
    <t>04496</t>
  </si>
  <si>
    <t>Village de Kaniack</t>
  </si>
  <si>
    <t>2.0160 Ha</t>
  </si>
  <si>
    <t>5384</t>
  </si>
  <si>
    <t>136.5080 Ha</t>
  </si>
  <si>
    <t>012678</t>
  </si>
  <si>
    <t>carrière de grès à PAKI</t>
  </si>
  <si>
    <t>Ibrahima Niang (100%)</t>
  </si>
  <si>
    <t>013954</t>
  </si>
  <si>
    <t>Sandiara</t>
  </si>
  <si>
    <t>2.0180 Ha</t>
  </si>
  <si>
    <t>014933</t>
  </si>
  <si>
    <t>02020003</t>
  </si>
  <si>
    <t>MAKO OUEST</t>
  </si>
  <si>
    <t>GROUPE D'ETUDE, DE REALISATION INDUSTRIELLES TECHNOLOGIQUES SARL (100%)</t>
  </si>
  <si>
    <t>02022012</t>
  </si>
  <si>
    <t>kARAKAENA</t>
  </si>
  <si>
    <t>05102012</t>
  </si>
  <si>
    <t>TIVAOUANE PEUL</t>
  </si>
  <si>
    <t>Mactar Ndiaye (100%)</t>
  </si>
  <si>
    <t>0.0181 km²</t>
  </si>
  <si>
    <t>06082012</t>
  </si>
  <si>
    <t>Ngagne Thiam (100%)</t>
  </si>
  <si>
    <t>3.4596 km²</t>
  </si>
  <si>
    <t>08012013</t>
  </si>
  <si>
    <t>Pape Abdoulaye Bakhoume (100%)</t>
  </si>
  <si>
    <t>0.0422 km²</t>
  </si>
  <si>
    <t>08082012</t>
  </si>
  <si>
    <t>COMPAGNIE SENEGALAISE DES MINES (100%)</t>
  </si>
  <si>
    <t>5.4100 km²</t>
  </si>
  <si>
    <t>11112014</t>
  </si>
  <si>
    <t>El hadji Abdoul Aziz  LO (100%)</t>
  </si>
  <si>
    <t>187.4255 Ha</t>
  </si>
  <si>
    <t>14062012</t>
  </si>
  <si>
    <t>36.0000 Ha</t>
  </si>
  <si>
    <t>19122012</t>
  </si>
  <si>
    <t>CONSORTIUM TENDER SA-TENDER AFRICA SARL-PROSPECTIUNI SA (100%)</t>
  </si>
  <si>
    <t>114.0376 km²</t>
  </si>
  <si>
    <t>22092011</t>
  </si>
  <si>
    <t>5.8994 km²</t>
  </si>
  <si>
    <t>27122012</t>
  </si>
  <si>
    <t>AFRICA GREEN MINING (100%)</t>
  </si>
  <si>
    <t>1.4854 km²</t>
  </si>
  <si>
    <t>029062012</t>
  </si>
  <si>
    <t>4.7748 km²</t>
  </si>
  <si>
    <t>0150120213</t>
  </si>
  <si>
    <t>A000009</t>
  </si>
  <si>
    <t>DIAMA</t>
  </si>
  <si>
    <t>RAZEL SENEGAL (100%)</t>
  </si>
  <si>
    <t>21,539.0000 Ha</t>
  </si>
  <si>
    <t>A18/04/2013</t>
  </si>
  <si>
    <t>KOUMOUTOUROU</t>
  </si>
  <si>
    <t>WARI VENTURES SENEGAL SUARL (100%)</t>
  </si>
  <si>
    <t>289.8463 km²</t>
  </si>
  <si>
    <t>A000025</t>
  </si>
  <si>
    <t>FUERTESEN (100%)</t>
  </si>
  <si>
    <t>4.8805 km²</t>
  </si>
  <si>
    <t>A000032</t>
  </si>
  <si>
    <t>Cherif Lo</t>
  </si>
  <si>
    <t>KANE ASSAINISSEMENT DU SENEGAL  (100%)</t>
  </si>
  <si>
    <t>1.1471 Ha</t>
  </si>
  <si>
    <t>A000039</t>
  </si>
  <si>
    <t>ENTREPRISE PALLENE SABLE DUNE (100%)</t>
  </si>
  <si>
    <t>3.5902 Ha</t>
  </si>
  <si>
    <t>A000042</t>
  </si>
  <si>
    <t>2.0461 Ha</t>
  </si>
  <si>
    <t>A000047</t>
  </si>
  <si>
    <t>LES CARRIERES CTG SARL</t>
  </si>
  <si>
    <t>0.0225 km²</t>
  </si>
  <si>
    <t>A000060</t>
  </si>
  <si>
    <t>Tivaoune Peuhl</t>
  </si>
  <si>
    <t>SOCABEG SA (100%)</t>
  </si>
  <si>
    <t>45.9930 Ha</t>
  </si>
  <si>
    <t>A000068</t>
  </si>
  <si>
    <t>Santafara</t>
  </si>
  <si>
    <t>SOCIETE YPSOS EXPLORATION MANAGEMENT CONSTRUCTION (100%)</t>
  </si>
  <si>
    <t>AEA</t>
  </si>
  <si>
    <t>49.9273 Ha</t>
  </si>
  <si>
    <t>A00070</t>
  </si>
  <si>
    <t>Santhie Mame Gor</t>
  </si>
  <si>
    <t>GENERAL D'INGENIERIE ET DE TECHNOLOGIE (GENITEC) (100%)</t>
  </si>
  <si>
    <t>A0091</t>
  </si>
  <si>
    <t>KHONDIOGNE</t>
  </si>
  <si>
    <t>3.0641 Ha</t>
  </si>
  <si>
    <t>A000095</t>
  </si>
  <si>
    <t>Djender</t>
  </si>
  <si>
    <t>1.5554 Ha</t>
  </si>
  <si>
    <t>A000108</t>
  </si>
  <si>
    <t>Dougar Potto</t>
  </si>
  <si>
    <t>28.6392 Ha</t>
  </si>
  <si>
    <t>A000112</t>
  </si>
  <si>
    <t>KEUR  MODOU MATAR</t>
  </si>
  <si>
    <t>0.0201 km²</t>
  </si>
  <si>
    <t>A0137</t>
  </si>
  <si>
    <t>Ndendouri ouali Diala</t>
  </si>
  <si>
    <t>SOCIETE D'ETUDES ET DE REALISATION DES PHOSPHATES DE MATAM (SERPM) (100%)</t>
  </si>
  <si>
    <t>669.5896 km²</t>
  </si>
  <si>
    <t>A000142</t>
  </si>
  <si>
    <t>Ngohe</t>
  </si>
  <si>
    <t>5.5402 Ha</t>
  </si>
  <si>
    <t>A00144</t>
  </si>
  <si>
    <t>BAMBILOR</t>
  </si>
  <si>
    <t>EL HADJI SEYDOU NOUROU DIALLO (100%)</t>
  </si>
  <si>
    <t>9.6509 Ha</t>
  </si>
  <si>
    <t>A00197</t>
  </si>
  <si>
    <t xml:space="preserve"> Dembala Berola</t>
  </si>
  <si>
    <t>SABODALA MINING COMPANY</t>
  </si>
  <si>
    <t>227.6799 km²</t>
  </si>
  <si>
    <t>A000198</t>
  </si>
  <si>
    <t xml:space="preserve"> Thicky</t>
  </si>
  <si>
    <t>HANSA GEOMIN CONSULT GMBH (100%)</t>
  </si>
  <si>
    <t>Argile, substance connexes</t>
  </si>
  <si>
    <t>1.8717 km²</t>
  </si>
  <si>
    <t>A000198bis</t>
  </si>
  <si>
    <t>4.3811 Ha</t>
  </si>
  <si>
    <t>A00202</t>
  </si>
  <si>
    <t>1.9883 Ha</t>
  </si>
  <si>
    <t>A000210</t>
  </si>
  <si>
    <t>CHINA GEO ENGINEERING CORPORATION INTERNATIONAL SENEGAL SA (100%)</t>
  </si>
  <si>
    <t>0.4371 Ha</t>
  </si>
  <si>
    <t>A000218</t>
  </si>
  <si>
    <t>9.8393 Ha</t>
  </si>
  <si>
    <t>A00231</t>
  </si>
  <si>
    <t>Amadou Ndiaye (100%)</t>
  </si>
  <si>
    <t>4.7042 Ha</t>
  </si>
  <si>
    <t>A000240</t>
  </si>
  <si>
    <t>LEONA MBAYENNE</t>
  </si>
  <si>
    <t>498.3000 km²</t>
  </si>
  <si>
    <t>A00248</t>
  </si>
  <si>
    <t>Lav 13.7d</t>
  </si>
  <si>
    <t>CONDURIL ENGENHARIA SENEGAL (100%)</t>
  </si>
  <si>
    <t>0.0670 km²</t>
  </si>
  <si>
    <t>A000248</t>
  </si>
  <si>
    <t>K07.7D</t>
  </si>
  <si>
    <t>0.1540 km²</t>
  </si>
  <si>
    <t>A000261</t>
  </si>
  <si>
    <t>Linguékoto</t>
  </si>
  <si>
    <t>GIE DIAMAGUIGUI (100%)</t>
  </si>
  <si>
    <t>0.4987 km²</t>
  </si>
  <si>
    <t>A000262bis</t>
  </si>
  <si>
    <t>ABC-GROUP SARL (100%)</t>
  </si>
  <si>
    <t>9.7450 Ha</t>
  </si>
  <si>
    <t>A000263</t>
  </si>
  <si>
    <t>AFRICA BUSINESS CENTER SUARL (100%)</t>
  </si>
  <si>
    <t>10.6931 Ha</t>
  </si>
  <si>
    <t>A000264</t>
  </si>
  <si>
    <t>DEMBALA</t>
  </si>
  <si>
    <t>GIE WAKILO  (100%)</t>
  </si>
  <si>
    <t>A00265</t>
  </si>
  <si>
    <t>GIE KAMBING (100%)</t>
  </si>
  <si>
    <t>0.5019 km²</t>
  </si>
  <si>
    <t>A000266</t>
  </si>
  <si>
    <t>Keur Abdou Ndoye</t>
  </si>
  <si>
    <t>TECHNODIS SARL (100%)</t>
  </si>
  <si>
    <t>1.4095 Ha</t>
  </si>
  <si>
    <t>A00267</t>
  </si>
  <si>
    <t>douta</t>
  </si>
  <si>
    <t>GIE SANOUBARA (100%)</t>
  </si>
  <si>
    <t>0.4945 km²</t>
  </si>
  <si>
    <t>A000269</t>
  </si>
  <si>
    <t>MOURA</t>
  </si>
  <si>
    <t>GIE TESSITO (100%)</t>
  </si>
  <si>
    <t>0.5014 km²</t>
  </si>
  <si>
    <t>A000269bis</t>
  </si>
  <si>
    <t>NGNIT</t>
  </si>
  <si>
    <t>1.5748 Ha</t>
  </si>
  <si>
    <t>A00271</t>
  </si>
  <si>
    <t>A000271 Pout</t>
  </si>
  <si>
    <t>SOCIETE AUXILIAIRE D'ENTREPRISE (100%)</t>
  </si>
  <si>
    <t>0.0606 km²</t>
  </si>
  <si>
    <t>A000271</t>
  </si>
  <si>
    <t>SENEGALEASE GREEN GOLD (SEGG)</t>
  </si>
  <si>
    <t>2.3235 Ha</t>
  </si>
  <si>
    <t>A000272</t>
  </si>
  <si>
    <t>1.4705 Ha</t>
  </si>
  <si>
    <t>A000276</t>
  </si>
  <si>
    <t>Ngiéniene</t>
  </si>
  <si>
    <t>BATI SOLAR (100%)</t>
  </si>
  <si>
    <t>1.9498 Ha</t>
  </si>
  <si>
    <t>A00276</t>
  </si>
  <si>
    <t>SOCIETE SENEGALAISE D'EXPLOITATION DES RESSOURCES NATURELLES (100%)</t>
  </si>
  <si>
    <t>20.8615 Ha</t>
  </si>
  <si>
    <t>A000280</t>
  </si>
  <si>
    <t>Déni Biram Ndao</t>
  </si>
  <si>
    <t>CHEIKH MASSAMBA DIAGNE</t>
  </si>
  <si>
    <t>2.5000 Ha</t>
  </si>
  <si>
    <t>A000284</t>
  </si>
  <si>
    <t>PK 35+400 du djeuss et Route du Djoudj village Ndig</t>
  </si>
  <si>
    <t>0.4959 km²</t>
  </si>
  <si>
    <t>A000293</t>
  </si>
  <si>
    <t>MISSIRA SIRIMANA</t>
  </si>
  <si>
    <t>PRYM'OR (100%)</t>
  </si>
  <si>
    <t>79.5075 km²</t>
  </si>
  <si>
    <t>A000294</t>
  </si>
  <si>
    <t>CWE SENEGAL SUARL (100%)</t>
  </si>
  <si>
    <t>34.2238 Ha</t>
  </si>
  <si>
    <t>A000296</t>
  </si>
  <si>
    <t>Foret classée de Thies</t>
  </si>
  <si>
    <t>50.1976 Ha</t>
  </si>
  <si>
    <t>A000296 bis</t>
  </si>
  <si>
    <t>SOCIETE DE SERVICES, BATIMENT ET COMMERCE INTERNATIONALE 2SBCI SUARL</t>
  </si>
  <si>
    <t>100.9088 Ha</t>
  </si>
  <si>
    <t>A000307</t>
  </si>
  <si>
    <t>TIVAOUANE PEULH</t>
  </si>
  <si>
    <t>ETS SOW ET FRERES</t>
  </si>
  <si>
    <t>0.0876 km²</t>
  </si>
  <si>
    <t>A000312</t>
  </si>
  <si>
    <t>Ndorna Bounda</t>
  </si>
  <si>
    <t>CSE/SOSETER (100%)</t>
  </si>
  <si>
    <t>0.0270 Ha</t>
  </si>
  <si>
    <t>A000316</t>
  </si>
  <si>
    <t>3.6795 Ha</t>
  </si>
  <si>
    <t>A000329</t>
  </si>
  <si>
    <t>AFRIC MINING SARL (100%)</t>
  </si>
  <si>
    <t>2.3056 Ha</t>
  </si>
  <si>
    <t>A000336</t>
  </si>
  <si>
    <t>Louly Ngogom</t>
  </si>
  <si>
    <t>5.9108 Ha</t>
  </si>
  <si>
    <t>A000341</t>
  </si>
  <si>
    <t>Ndeni Biram Ndao</t>
  </si>
  <si>
    <t>5.8620 Ha</t>
  </si>
  <si>
    <t>A000344</t>
  </si>
  <si>
    <t>Nguéniéne</t>
  </si>
  <si>
    <t>1.6135 Ha</t>
  </si>
  <si>
    <t>A00349</t>
  </si>
  <si>
    <t>A00349_Périmètre de Douta</t>
  </si>
  <si>
    <t>AFRICA GOLD MINE AND REFINERY COMPANY SARL (100%)</t>
  </si>
  <si>
    <t>64.1200 Ha</t>
  </si>
  <si>
    <t>A0357</t>
  </si>
  <si>
    <t>DAME DIENG (100%)</t>
  </si>
  <si>
    <t>6.0682 Ha</t>
  </si>
  <si>
    <t>A000357</t>
  </si>
  <si>
    <t>Babacar SOCE (100%)</t>
  </si>
  <si>
    <t>0.0174 km²</t>
  </si>
  <si>
    <t>A000358</t>
  </si>
  <si>
    <t>YAMAR SEYE (100%)</t>
  </si>
  <si>
    <t>A00358</t>
  </si>
  <si>
    <t>Déni Biram Ndao Sud</t>
  </si>
  <si>
    <t>TABOU SERVICES (100%)</t>
  </si>
  <si>
    <t>6.9230 Ha</t>
  </si>
  <si>
    <t>A000360</t>
  </si>
  <si>
    <t>19.9713 Ha</t>
  </si>
  <si>
    <t>A000362</t>
  </si>
  <si>
    <t>NDIOL MANGANE</t>
  </si>
  <si>
    <t>1.5028 Ha</t>
  </si>
  <si>
    <t>A000366</t>
  </si>
  <si>
    <t>1.1443 Ha</t>
  </si>
  <si>
    <t>A000367</t>
  </si>
  <si>
    <t>ETS TOUBA DAROU KHOUDOSS (100%)</t>
  </si>
  <si>
    <t>5.5130 Ha</t>
  </si>
  <si>
    <t>A000386</t>
  </si>
  <si>
    <t>5.1384 Ha</t>
  </si>
  <si>
    <t>A000392</t>
  </si>
  <si>
    <t xml:space="preserve"> Paki</t>
  </si>
  <si>
    <t>GIACHINO MARIO SYLVAIN (100%)</t>
  </si>
  <si>
    <t>83.4428 Ha</t>
  </si>
  <si>
    <t>A000393</t>
  </si>
  <si>
    <t>Petite mine à Douta</t>
  </si>
  <si>
    <t>BUISINESS E IVESTOR GRUPO INVERSOR (100%)</t>
  </si>
  <si>
    <t>A000396</t>
  </si>
  <si>
    <t>NDIAKHIRATE</t>
  </si>
  <si>
    <t>ETS POLYSERVICES (100%)</t>
  </si>
  <si>
    <t>A00406</t>
  </si>
  <si>
    <t>2.0127 Ha</t>
  </si>
  <si>
    <t>A000415</t>
  </si>
  <si>
    <t>Mbeuth</t>
  </si>
  <si>
    <t>INSTITUT ISLAMIQUE DAARA DAROU SALAM GAYE (100%)</t>
  </si>
  <si>
    <t>A000421</t>
  </si>
  <si>
    <t>Déni Biram Ndao Nord</t>
  </si>
  <si>
    <t>Astou MBODJ (100%)</t>
  </si>
  <si>
    <t>11.1311 Ha</t>
  </si>
  <si>
    <t>A00428</t>
  </si>
  <si>
    <t>4.9910 Ha</t>
  </si>
  <si>
    <t>A000429</t>
  </si>
  <si>
    <t>Masandala</t>
  </si>
  <si>
    <t>11.7326 Ha</t>
  </si>
  <si>
    <t>A000434</t>
  </si>
  <si>
    <t>EXCAF ASIA-AFRICA</t>
  </si>
  <si>
    <t>A000435</t>
  </si>
  <si>
    <t>72.8584 Ha</t>
  </si>
  <si>
    <t>A000435bis</t>
  </si>
  <si>
    <t>FATOU NDOUR IMMOBILIER SUARL (100%)</t>
  </si>
  <si>
    <t>1.0001 Ha</t>
  </si>
  <si>
    <t>A000436</t>
  </si>
  <si>
    <t>Saly Escale</t>
  </si>
  <si>
    <t>ENTREPRISE-CONSTRUCTION-COMMERCE DE TRANSPORT ET DE TRANSFORMATION (100%)</t>
  </si>
  <si>
    <t>2.5324 Ha</t>
  </si>
  <si>
    <t>A000437</t>
  </si>
  <si>
    <t>Nganda</t>
  </si>
  <si>
    <t>1.3656 Ha</t>
  </si>
  <si>
    <t>A000438</t>
  </si>
  <si>
    <t>Medinatoul Salam 2</t>
  </si>
  <si>
    <t>0.8627 Ha</t>
  </si>
  <si>
    <t>A00447</t>
  </si>
  <si>
    <t>8.2815 Ha</t>
  </si>
  <si>
    <t>A00448</t>
  </si>
  <si>
    <t>SOCIETE IMMOBILIERE WAKEUR  MAME CHEIKH IBRAHIMA FALL (100%)</t>
  </si>
  <si>
    <t>0.1103 km²</t>
  </si>
  <si>
    <t>A000448</t>
  </si>
  <si>
    <t>LOULY NGOGOM</t>
  </si>
  <si>
    <t>0.0591 km²</t>
  </si>
  <si>
    <t>A000449</t>
  </si>
  <si>
    <t>1.6914 Ha</t>
  </si>
  <si>
    <t>A000450</t>
  </si>
  <si>
    <t>BURGER (100%)</t>
  </si>
  <si>
    <t>9.9808 Ha</t>
  </si>
  <si>
    <t>A000454</t>
  </si>
  <si>
    <t>A000454 Keur Ndiaye Lô</t>
  </si>
  <si>
    <t>0.0300 km²</t>
  </si>
  <si>
    <t>A000455</t>
  </si>
  <si>
    <t>A000455 Popenguine</t>
  </si>
  <si>
    <t>SOCIETE SENEGALAISE DE CONCASSAGE  (100%)</t>
  </si>
  <si>
    <t>0.0644 km²</t>
  </si>
  <si>
    <t>A000464</t>
  </si>
  <si>
    <t>Tattaguine</t>
  </si>
  <si>
    <t>1.3288 Ha</t>
  </si>
  <si>
    <t>A000468</t>
  </si>
  <si>
    <t>Déni Birame Ndao</t>
  </si>
  <si>
    <t>ETS FALL &amp; FRERES (100%)</t>
  </si>
  <si>
    <t>9.8842 Ha</t>
  </si>
  <si>
    <t>A00471</t>
  </si>
  <si>
    <t>17.7819 Ha</t>
  </si>
  <si>
    <t>A00472</t>
  </si>
  <si>
    <t>1.4307 Ha</t>
  </si>
  <si>
    <t>A00478</t>
  </si>
  <si>
    <t>Keur Moussa Hanne</t>
  </si>
  <si>
    <t>4.5783 Ha</t>
  </si>
  <si>
    <t>A000478</t>
  </si>
  <si>
    <t>DIAW MATAR (100%)</t>
  </si>
  <si>
    <t>A000479</t>
  </si>
  <si>
    <t>A00484</t>
  </si>
  <si>
    <t>NDIEBENE GANDIOL</t>
  </si>
  <si>
    <t>1.4823 Ha</t>
  </si>
  <si>
    <t>A000484</t>
  </si>
  <si>
    <t>A00484BIS</t>
  </si>
  <si>
    <t>GUILLAYE DIOP</t>
  </si>
  <si>
    <t>6.1654 Ha</t>
  </si>
  <si>
    <t>A000493</t>
  </si>
  <si>
    <t>Oumar DIOP (100%)</t>
  </si>
  <si>
    <t>10.8690 Ha</t>
  </si>
  <si>
    <t>A00504</t>
  </si>
  <si>
    <t>1.8009 Ha</t>
  </si>
  <si>
    <t>A000527</t>
  </si>
  <si>
    <t>Bransan</t>
  </si>
  <si>
    <t>A00537</t>
  </si>
  <si>
    <t>GIE SERVICE PLUS (100%)</t>
  </si>
  <si>
    <t>10.9631 Ha</t>
  </si>
  <si>
    <t>A00539</t>
  </si>
  <si>
    <t>Sansela 1</t>
  </si>
  <si>
    <t>GALAXIES INDUSTRIES CORPORATION SA</t>
  </si>
  <si>
    <t>A00541</t>
  </si>
  <si>
    <t>PAKI TOGLOU</t>
  </si>
  <si>
    <t>Ndoye Abdoulaye (100%)</t>
  </si>
  <si>
    <t>1.3564 Ha</t>
  </si>
  <si>
    <t>A000542</t>
  </si>
  <si>
    <t>OUSMANE SERVICES GROUP (100%)</t>
  </si>
  <si>
    <t>0.2093 Ha</t>
  </si>
  <si>
    <t>A000545</t>
  </si>
  <si>
    <t>Diama</t>
  </si>
  <si>
    <t>99,421.0000 m²</t>
  </si>
  <si>
    <t>A000546</t>
  </si>
  <si>
    <t>3.9773 Ha</t>
  </si>
  <si>
    <t>A000553</t>
  </si>
  <si>
    <t>Gand 02d</t>
  </si>
  <si>
    <t>70,432.0000 m²</t>
  </si>
  <si>
    <t>A000554</t>
  </si>
  <si>
    <t>LAV 05g</t>
  </si>
  <si>
    <t>A000559</t>
  </si>
  <si>
    <t>9.6348 Ha</t>
  </si>
  <si>
    <t>A000577</t>
  </si>
  <si>
    <t>Wassangara</t>
  </si>
  <si>
    <t>2SH SALY SOFTWARE ET HARDWARE</t>
  </si>
  <si>
    <t>613.9996 km²</t>
  </si>
  <si>
    <t>A000578</t>
  </si>
  <si>
    <t>MOUNA TRANSPORT (100%)</t>
  </si>
  <si>
    <t>0.6247 Ha</t>
  </si>
  <si>
    <t>A00582</t>
  </si>
  <si>
    <t>UNIVERSAL TRADE (100%)</t>
  </si>
  <si>
    <t>250.2186 Ha</t>
  </si>
  <si>
    <t>A000591</t>
  </si>
  <si>
    <t>Fouloum</t>
  </si>
  <si>
    <t>0.1500 km²</t>
  </si>
  <si>
    <t>A000593</t>
  </si>
  <si>
    <t>Nguékokh</t>
  </si>
  <si>
    <t>8.1744 Ha</t>
  </si>
  <si>
    <t>A000594</t>
  </si>
  <si>
    <t>popeguine</t>
  </si>
  <si>
    <t>26.6594 Ha</t>
  </si>
  <si>
    <t>A00603</t>
  </si>
  <si>
    <t>DABAKH TRANSPORT (100%)</t>
  </si>
  <si>
    <t>1.8869 Ha</t>
  </si>
  <si>
    <t>A00604</t>
  </si>
  <si>
    <t>Kahi</t>
  </si>
  <si>
    <t>1.8032 Ha</t>
  </si>
  <si>
    <t>A000605</t>
  </si>
  <si>
    <t>0.4291 Ha</t>
  </si>
  <si>
    <t>A00605</t>
  </si>
  <si>
    <t>Kathiotte</t>
  </si>
  <si>
    <t>5.8014 Ha</t>
  </si>
  <si>
    <t>A00606</t>
  </si>
  <si>
    <t>0.8040 Ha</t>
  </si>
  <si>
    <t>A00607</t>
  </si>
  <si>
    <t>24.7140 Ha</t>
  </si>
  <si>
    <t>A00614</t>
  </si>
  <si>
    <t>2.6924 Ha</t>
  </si>
  <si>
    <t>A000635</t>
  </si>
  <si>
    <t>A000635 Ndoukoura</t>
  </si>
  <si>
    <t>Abdourahmane Ndiaye (100%)</t>
  </si>
  <si>
    <t>A000636</t>
  </si>
  <si>
    <t>INTERNATIONAL MINING AND GOLD COMPANY  (100%)</t>
  </si>
  <si>
    <t>A000650</t>
  </si>
  <si>
    <t>5.9476 Ha</t>
  </si>
  <si>
    <t>A00670</t>
  </si>
  <si>
    <t>BATIMENTS EBENISTERIE CONSTRUCTION METALLIQUE ET COMMERCE GENERAL (100%)</t>
  </si>
  <si>
    <t>4.4297 Ha</t>
  </si>
  <si>
    <t>A000684</t>
  </si>
  <si>
    <t>A000686</t>
  </si>
  <si>
    <t>A000688</t>
  </si>
  <si>
    <t>GIE WAKEUR JARAAF (100%)</t>
  </si>
  <si>
    <t>0.0012 km²</t>
  </si>
  <si>
    <t>A000696</t>
  </si>
  <si>
    <t>2.9750 Ha</t>
  </si>
  <si>
    <t>A000707</t>
  </si>
  <si>
    <t>Thieudeme, Diender</t>
  </si>
  <si>
    <t>SOCIETE AFRICAINE DE DEVELOPPEMENT ECONOMIQUE ET SOCIAL INTEGRE (100%)</t>
  </si>
  <si>
    <t>11.6667 Ha</t>
  </si>
  <si>
    <t>A000709</t>
  </si>
  <si>
    <t>GOROM1</t>
  </si>
  <si>
    <t>1.0767 Ha</t>
  </si>
  <si>
    <t>A000711</t>
  </si>
  <si>
    <t>BELVEDERE</t>
  </si>
  <si>
    <t>Mbargo DIA (100%)</t>
  </si>
  <si>
    <t>0.0078 km²</t>
  </si>
  <si>
    <t>A000711 bis</t>
  </si>
  <si>
    <t>9.5030 Ha</t>
  </si>
  <si>
    <t>A00728</t>
  </si>
  <si>
    <t>Ndiaffate</t>
  </si>
  <si>
    <t>GIE SANS SOUCIS</t>
  </si>
  <si>
    <t>2.8264 Ha</t>
  </si>
  <si>
    <t>A000730</t>
  </si>
  <si>
    <t>3.0220 Ha</t>
  </si>
  <si>
    <t>A000731</t>
  </si>
  <si>
    <t>MAMADOU DIA (100%)</t>
  </si>
  <si>
    <t>5.5167 Ha</t>
  </si>
  <si>
    <t>A000733</t>
  </si>
  <si>
    <t>Lam lam</t>
  </si>
  <si>
    <t>1.9999 Ha</t>
  </si>
  <si>
    <t>A000737</t>
  </si>
  <si>
    <t>MBAPAMA B.T.P SARL (100%)</t>
  </si>
  <si>
    <t>0.6776 Ha</t>
  </si>
  <si>
    <t>A000746</t>
  </si>
  <si>
    <t>Niacourab</t>
  </si>
  <si>
    <t>ALY SALA KANE (100%)</t>
  </si>
  <si>
    <t>2.4409 Ha</t>
  </si>
  <si>
    <t>A000747</t>
  </si>
  <si>
    <t>Chérif LO</t>
  </si>
  <si>
    <t>ADAD SAS (100%)</t>
  </si>
  <si>
    <t>3.9962 Ha</t>
  </si>
  <si>
    <t>A000759</t>
  </si>
  <si>
    <t>Laba BA (100%)</t>
  </si>
  <si>
    <t>2.7251 Ha</t>
  </si>
  <si>
    <t>A00761</t>
  </si>
  <si>
    <t>Maroukoundi</t>
  </si>
  <si>
    <t>LAM GOLD COMPANY (100%)</t>
  </si>
  <si>
    <t>0.4795 km²</t>
  </si>
  <si>
    <t>A000762</t>
  </si>
  <si>
    <t>Sarako</t>
  </si>
  <si>
    <t>GIE GOLD PLACER (100%)</t>
  </si>
  <si>
    <t>50.0220 Ha</t>
  </si>
  <si>
    <t>A000764</t>
  </si>
  <si>
    <t>SANSELA</t>
  </si>
  <si>
    <t>GIE LAWOL BAMTAARE (100%)</t>
  </si>
  <si>
    <t>A00771</t>
  </si>
  <si>
    <t xml:space="preserve"> Saint Louis</t>
  </si>
  <si>
    <t>AFRICAN MINING AND INDUSTRY COMPANY LIMITED SA (100%)</t>
  </si>
  <si>
    <t>77.5407 km²</t>
  </si>
  <si>
    <t>A000772</t>
  </si>
  <si>
    <t>48.0948 km²</t>
  </si>
  <si>
    <t>A000773</t>
  </si>
  <si>
    <t>Fatako</t>
  </si>
  <si>
    <t>GIE PROKHANE MAME DIARRA SERVICES (100%)</t>
  </si>
  <si>
    <t>A000774</t>
  </si>
  <si>
    <t>Satadougou bafé</t>
  </si>
  <si>
    <t>SARL SENEGAL GOLD RECORD TRADING (100%)</t>
  </si>
  <si>
    <t>A000783</t>
  </si>
  <si>
    <t>NDENI BIRAM NDAO SUD</t>
  </si>
  <si>
    <t>CHERIF AMADOU SENE (100%)</t>
  </si>
  <si>
    <t>0.0859 km²</t>
  </si>
  <si>
    <t>A000798</t>
  </si>
  <si>
    <t>NOTO</t>
  </si>
  <si>
    <t>BOUBACAR WANE (100%)</t>
  </si>
  <si>
    <t>220.7500 Ha</t>
  </si>
  <si>
    <t>A000799</t>
  </si>
  <si>
    <t>Mbawane</t>
  </si>
  <si>
    <t>Seynabou NDIAYE (100%)</t>
  </si>
  <si>
    <t>1.4149 Ha</t>
  </si>
  <si>
    <t>A000800</t>
  </si>
  <si>
    <t>Ndoyene Ndiorga</t>
  </si>
  <si>
    <t>MAMADOU LO (100%)</t>
  </si>
  <si>
    <t>2.9516 Ha</t>
  </si>
  <si>
    <t>A000809</t>
  </si>
  <si>
    <t>6.8010 Ha</t>
  </si>
  <si>
    <t>A000820</t>
  </si>
  <si>
    <t>A000820 Paki - Toglou</t>
  </si>
  <si>
    <t>HOLDING KEUR KHADIM (100%)</t>
  </si>
  <si>
    <t>0.0431 km²</t>
  </si>
  <si>
    <t>A00827</t>
  </si>
  <si>
    <t>Diender Guedj</t>
  </si>
  <si>
    <t>1.4428 Ha</t>
  </si>
  <si>
    <t>A000840</t>
  </si>
  <si>
    <t>Gotou Malick</t>
  </si>
  <si>
    <t>SOCIETE GENERALE DES TRAVAUX PUBLICS (100%)</t>
  </si>
  <si>
    <t>8.7528 Ha</t>
  </si>
  <si>
    <t>A000841</t>
  </si>
  <si>
    <t>Ngodiba</t>
  </si>
  <si>
    <t>5.9106 Ha</t>
  </si>
  <si>
    <t>A000844</t>
  </si>
  <si>
    <t>Littoral sud 1</t>
  </si>
  <si>
    <t>PAN AFRICAN SENEGAL LIMITED (100%)</t>
  </si>
  <si>
    <t>813.8525 km²</t>
  </si>
  <si>
    <t>A000846</t>
  </si>
  <si>
    <t>Littoral sud 3</t>
  </si>
  <si>
    <t>2,135.7263 km²</t>
  </si>
  <si>
    <t>A000847</t>
  </si>
  <si>
    <t>Namilo</t>
  </si>
  <si>
    <t>PANAFRICAIN MINERALS RESSOURCES LTD (100%); SAHEL INVESTMENT &amp; CONSULTING</t>
  </si>
  <si>
    <t>462.7631 km²</t>
  </si>
  <si>
    <t>A000850</t>
  </si>
  <si>
    <t>Yélimalo</t>
  </si>
  <si>
    <t>PALM RESOURCES (100%)</t>
  </si>
  <si>
    <t>55.4948 km²</t>
  </si>
  <si>
    <t>A000864</t>
  </si>
  <si>
    <t>GIE TOUBA MBOUSSOBE (100%)</t>
  </si>
  <si>
    <t>A000879</t>
  </si>
  <si>
    <t>KANDAM</t>
  </si>
  <si>
    <t>ABABACAR DIOP (100%)</t>
  </si>
  <si>
    <t>2.0243 Ha</t>
  </si>
  <si>
    <t>A000881</t>
  </si>
  <si>
    <t>10.6450 Ha</t>
  </si>
  <si>
    <t>A000889</t>
  </si>
  <si>
    <t>PAPA ABDOULAYE BAKHOUM (100%)</t>
  </si>
  <si>
    <t>3.6170 Ha</t>
  </si>
  <si>
    <t>A00893</t>
  </si>
  <si>
    <t>2.8598 Ha</t>
  </si>
  <si>
    <t>A000893</t>
  </si>
  <si>
    <t>Taiba Ndiouféne</t>
  </si>
  <si>
    <t>MOMATH CISSE (100%)</t>
  </si>
  <si>
    <t>1.1995 Ha</t>
  </si>
  <si>
    <t>A000895</t>
  </si>
  <si>
    <t>Gadiadji</t>
  </si>
  <si>
    <t>ENTREPRISE WAKEUR BOROM SAME (100%)</t>
  </si>
  <si>
    <t>A000907</t>
  </si>
  <si>
    <t>SOCIETE DIASS MINES SUARL (100%)</t>
  </si>
  <si>
    <t>26.2616 Ha</t>
  </si>
  <si>
    <t>A000909</t>
  </si>
  <si>
    <t>ABDOULAYE FALL (100%)</t>
  </si>
  <si>
    <t>2.2653 Ha</t>
  </si>
  <si>
    <t>A000914</t>
  </si>
  <si>
    <t>Daorala-Boto</t>
  </si>
  <si>
    <t>335.9311 km²</t>
  </si>
  <si>
    <t>A000917</t>
  </si>
  <si>
    <t>MOURTALA KA (100%)</t>
  </si>
  <si>
    <t>A000918</t>
  </si>
  <si>
    <t xml:space="preserve"> Sabodala</t>
  </si>
  <si>
    <t>OROMIN EXPLORATION LTD (100%)</t>
  </si>
  <si>
    <t>A00930</t>
  </si>
  <si>
    <t>Gollom 2</t>
  </si>
  <si>
    <t>SENEGALEASE GREEN GOLD (SEGG) (100%)</t>
  </si>
  <si>
    <t>2.3712 Ha</t>
  </si>
  <si>
    <t>A000939</t>
  </si>
  <si>
    <t>Gollam</t>
  </si>
  <si>
    <t>LES SPECIALISTES DU BATIMENTS &amp; TP (100%)</t>
  </si>
  <si>
    <t>2.9069 Ha</t>
  </si>
  <si>
    <t>A00945</t>
  </si>
  <si>
    <t>Tawa Peul</t>
  </si>
  <si>
    <t>11.8740 km²</t>
  </si>
  <si>
    <t>A000947</t>
  </si>
  <si>
    <t>NABOU TRANSPORT (100%)</t>
  </si>
  <si>
    <t>2.4709 Ha</t>
  </si>
  <si>
    <t>A000953</t>
  </si>
  <si>
    <t>BEER</t>
  </si>
  <si>
    <t>Selle Ndoye (100%)</t>
  </si>
  <si>
    <t>5.1383 Ha</t>
  </si>
  <si>
    <t>A000953/IRION</t>
  </si>
  <si>
    <t>A000956</t>
  </si>
  <si>
    <t>K INTER (100%)</t>
  </si>
  <si>
    <t>A000971</t>
  </si>
  <si>
    <t>1.9984 Ha</t>
  </si>
  <si>
    <t>A000981</t>
  </si>
  <si>
    <t>GAND 03G</t>
  </si>
  <si>
    <t>29.6342 Ha</t>
  </si>
  <si>
    <t>A000982</t>
  </si>
  <si>
    <t>Lm 19d</t>
  </si>
  <si>
    <t>5.2517 Ha</t>
  </si>
  <si>
    <t>A000985</t>
  </si>
  <si>
    <t>Gorom2</t>
  </si>
  <si>
    <t>3.0754 Ha</t>
  </si>
  <si>
    <t>A000989</t>
  </si>
  <si>
    <t>A000991</t>
  </si>
  <si>
    <t>Kaél</t>
  </si>
  <si>
    <t>SAREQ GROUP (100%)</t>
  </si>
  <si>
    <t>19.3063 Ha</t>
  </si>
  <si>
    <t>A000992</t>
  </si>
  <si>
    <t>ENTREPRISE DE MANUTENTION TRANSPORT ET DE CONCASSAGE (100%)</t>
  </si>
  <si>
    <t>A001031</t>
  </si>
  <si>
    <t>GLOBAL ROUTE SERVICES (100%)</t>
  </si>
  <si>
    <t>1.3663 Ha</t>
  </si>
  <si>
    <t>A00001037</t>
  </si>
  <si>
    <t>16.4102 Ha</t>
  </si>
  <si>
    <t>A001042</t>
  </si>
  <si>
    <t>Ndiognick</t>
  </si>
  <si>
    <t>SENTHRAS SURl (100%)</t>
  </si>
  <si>
    <t>2.8482 Ha</t>
  </si>
  <si>
    <t>A001046</t>
  </si>
  <si>
    <t>ETUDE COORDINATION TRAVAUX - SA (100%)</t>
  </si>
  <si>
    <t>A001047</t>
  </si>
  <si>
    <t>DACPV13072015</t>
  </si>
  <si>
    <t>A01049</t>
  </si>
  <si>
    <t>KOUROUDIAKO</t>
  </si>
  <si>
    <t>ZHONGSAI MINING SA</t>
  </si>
  <si>
    <t>49.7951 Ha</t>
  </si>
  <si>
    <t>A001052</t>
  </si>
  <si>
    <t>3.5777 Ha</t>
  </si>
  <si>
    <t>A001052bis</t>
  </si>
  <si>
    <t>Keur Mssaer Dieng</t>
  </si>
  <si>
    <t>19.7218 Ha</t>
  </si>
  <si>
    <t>A01053</t>
  </si>
  <si>
    <t>Makabingui</t>
  </si>
  <si>
    <t>GIE JAMA GUIGUI</t>
  </si>
  <si>
    <t>A001061</t>
  </si>
  <si>
    <t xml:space="preserve"> Séguékho</t>
  </si>
  <si>
    <t>DIAKHA GOLD MINES (100%)</t>
  </si>
  <si>
    <t>A001067</t>
  </si>
  <si>
    <t>NIAGA PEUL</t>
  </si>
  <si>
    <t>0.0680 km²</t>
  </si>
  <si>
    <t>A001077</t>
  </si>
  <si>
    <t>0.9729 Ha</t>
  </si>
  <si>
    <t>A01078</t>
  </si>
  <si>
    <t>17.4969 Ha</t>
  </si>
  <si>
    <t>A001088</t>
  </si>
  <si>
    <t>Djidjan</t>
  </si>
  <si>
    <t>GIE BELEDOUGOU MAMAKHONO (100%)</t>
  </si>
  <si>
    <t>A001141</t>
  </si>
  <si>
    <t>TOP GOLD  (100%)</t>
  </si>
  <si>
    <t>3.4363 Ha</t>
  </si>
  <si>
    <t>A001157</t>
  </si>
  <si>
    <t>CHEIKH Tall DIOUM (100%)</t>
  </si>
  <si>
    <t>A01176</t>
  </si>
  <si>
    <t>sandiara</t>
  </si>
  <si>
    <t>SANDIARA PRESTIGE GROUP (100%)</t>
  </si>
  <si>
    <t>5.0841 Ha</t>
  </si>
  <si>
    <t>A001178</t>
  </si>
  <si>
    <t>Dougar</t>
  </si>
  <si>
    <t>AGENCE IMMOBILIERE "LA BAIE" (100%)</t>
  </si>
  <si>
    <t>4.5529 Ha</t>
  </si>
  <si>
    <t>A01184</t>
  </si>
  <si>
    <t>ENTREPRISE KEBEWHEWEL (100%)</t>
  </si>
  <si>
    <t>4.7702 Ha</t>
  </si>
  <si>
    <t>A1218</t>
  </si>
  <si>
    <t>4.0397 Ha</t>
  </si>
  <si>
    <t>A001228</t>
  </si>
  <si>
    <t>LA CLE SUARL (100%)</t>
  </si>
  <si>
    <t>101.9310 Ha</t>
  </si>
  <si>
    <t>A01248</t>
  </si>
  <si>
    <t>GLOBAL FALLENE HOLDING SERVICE (100%)</t>
  </si>
  <si>
    <t>3.4753 Ha</t>
  </si>
  <si>
    <t>A001249</t>
  </si>
  <si>
    <t>Meri/PK2+550</t>
  </si>
  <si>
    <t>2.7799 Ha</t>
  </si>
  <si>
    <t>A001249bis</t>
  </si>
  <si>
    <t>Meri /PK6+425</t>
  </si>
  <si>
    <t>4.4773 Ha</t>
  </si>
  <si>
    <t>A001250</t>
  </si>
  <si>
    <t>MboliBirame/PK 34+000</t>
  </si>
  <si>
    <t>29,553.4501 m²</t>
  </si>
  <si>
    <t>A01250</t>
  </si>
  <si>
    <t>7.2901 Ha</t>
  </si>
  <si>
    <t>A001250bis</t>
  </si>
  <si>
    <t>Mbolo Birame/ PK47+500</t>
  </si>
  <si>
    <t>10.0004 Ha</t>
  </si>
  <si>
    <t>A001251</t>
  </si>
  <si>
    <t>Mboumba/PK10+800</t>
  </si>
  <si>
    <t>8.2800 Ha</t>
  </si>
  <si>
    <t>A001252</t>
  </si>
  <si>
    <t>Dialloubé/PK15+050</t>
  </si>
  <si>
    <t>5.2856 Ha</t>
  </si>
  <si>
    <t>A001253</t>
  </si>
  <si>
    <t>Daouda  FAYE (100%)</t>
  </si>
  <si>
    <t>1.9988 Ha</t>
  </si>
  <si>
    <t>A001263</t>
  </si>
  <si>
    <t>Kidira</t>
  </si>
  <si>
    <t>MINERAL TRADE GROUP (100%)</t>
  </si>
  <si>
    <t>Ba</t>
  </si>
  <si>
    <t>393.2500 km²</t>
  </si>
  <si>
    <t>A001281</t>
  </si>
  <si>
    <t>1.4810 Ha</t>
  </si>
  <si>
    <t>A001282 bis</t>
  </si>
  <si>
    <t>SALIOU MBAYE (100%)</t>
  </si>
  <si>
    <t>14.0464 Ha</t>
  </si>
  <si>
    <t>A001283 bis</t>
  </si>
  <si>
    <t>3.6209 Ha</t>
  </si>
  <si>
    <t>A001284</t>
  </si>
  <si>
    <t>Kanéméré</t>
  </si>
  <si>
    <t>CORE MINERALS PTE.LTD (100%)</t>
  </si>
  <si>
    <t>Mo</t>
  </si>
  <si>
    <t>354.9068 km²</t>
  </si>
  <si>
    <t>A001290</t>
  </si>
  <si>
    <t>Massa Massa</t>
  </si>
  <si>
    <t>ANCR SENEGAL SARL (100%)</t>
  </si>
  <si>
    <t>120.9097 km²</t>
  </si>
  <si>
    <t>A001291</t>
  </si>
  <si>
    <t>76.2294 km²</t>
  </si>
  <si>
    <t>A001311</t>
  </si>
  <si>
    <t>5.5510 Ha</t>
  </si>
  <si>
    <t>A001328</t>
  </si>
  <si>
    <t>Mbéye</t>
  </si>
  <si>
    <t>2.0405 Ha</t>
  </si>
  <si>
    <t>A001329</t>
  </si>
  <si>
    <t>Ndiassé Mbaye</t>
  </si>
  <si>
    <t>2.0014 Ha</t>
  </si>
  <si>
    <t>A001330</t>
  </si>
  <si>
    <t>Ndiadiaga</t>
  </si>
  <si>
    <t>2.0109 Ha</t>
  </si>
  <si>
    <t>A001331</t>
  </si>
  <si>
    <t>30.5334 Ha</t>
  </si>
  <si>
    <t>A001332</t>
  </si>
  <si>
    <t>Keur Dame</t>
  </si>
  <si>
    <t>2.0296 Ha</t>
  </si>
  <si>
    <t>A001333</t>
  </si>
  <si>
    <t>Thiendieng</t>
  </si>
  <si>
    <t>1.9875 Ha</t>
  </si>
  <si>
    <t>A001334</t>
  </si>
  <si>
    <t>Keur Khar Diéye</t>
  </si>
  <si>
    <t>4.4582 Ha</t>
  </si>
  <si>
    <t>A001335</t>
  </si>
  <si>
    <t>Keur Yoro Sadio</t>
  </si>
  <si>
    <t>4.0331 Ha</t>
  </si>
  <si>
    <t>A001336</t>
  </si>
  <si>
    <t xml:space="preserve"> Mbaba</t>
  </si>
  <si>
    <t>4.8070 Ha</t>
  </si>
  <si>
    <t>A001337</t>
  </si>
  <si>
    <t>Mbabou</t>
  </si>
  <si>
    <t>4.5403 Ha</t>
  </si>
  <si>
    <t>A001338</t>
  </si>
  <si>
    <t>Ngoméne Ball</t>
  </si>
  <si>
    <t>3.9888 Ha</t>
  </si>
  <si>
    <t>A001339</t>
  </si>
  <si>
    <t>Palé Seck</t>
  </si>
  <si>
    <t>2.0081 Ha</t>
  </si>
  <si>
    <t>A001340</t>
  </si>
  <si>
    <t>Ndiéry Mbengue</t>
  </si>
  <si>
    <t>10.9587 Ha</t>
  </si>
  <si>
    <t>A001341</t>
  </si>
  <si>
    <t>Melo Fall / Ndeme Ndiaye</t>
  </si>
  <si>
    <t>1.9962 Ha</t>
  </si>
  <si>
    <t>A001342</t>
  </si>
  <si>
    <t>Thiarene Diama</t>
  </si>
  <si>
    <t>0.0217 Ha</t>
  </si>
  <si>
    <t>A001349</t>
  </si>
  <si>
    <t>GIE KEDOUGOU DENTAL (100%)</t>
  </si>
  <si>
    <t>600.7766 Ha</t>
  </si>
  <si>
    <t>A001351</t>
  </si>
  <si>
    <t>Abibou FAYE (100%)</t>
  </si>
  <si>
    <t>3.3044 Ha</t>
  </si>
  <si>
    <t>A001375</t>
  </si>
  <si>
    <t>ABDOULAYE GUEYE</t>
  </si>
  <si>
    <t>5.9546 Ha</t>
  </si>
  <si>
    <t>A001401</t>
  </si>
  <si>
    <t>LELO SERERE POUT</t>
  </si>
  <si>
    <t>0.0040 km²</t>
  </si>
  <si>
    <t>A001403</t>
  </si>
  <si>
    <t xml:space="preserve">NOFLAYE </t>
  </si>
  <si>
    <t>OUMAR SYLLA (100%)</t>
  </si>
  <si>
    <t>55.8217 Ha</t>
  </si>
  <si>
    <t>A001412</t>
  </si>
  <si>
    <t>Deni Birame Ndao</t>
  </si>
  <si>
    <t>Assane BEYE (100%)</t>
  </si>
  <si>
    <t>4.7398 Ha</t>
  </si>
  <si>
    <t>A001419</t>
  </si>
  <si>
    <t>MBEUT</t>
  </si>
  <si>
    <t>Moustapha Diagne (100%)</t>
  </si>
  <si>
    <t>12.2965 Ha</t>
  </si>
  <si>
    <t>A001444</t>
  </si>
  <si>
    <t>Ndiokhob</t>
  </si>
  <si>
    <t>CUBO 4 SARL (100%)</t>
  </si>
  <si>
    <t>20.1432 Ha</t>
  </si>
  <si>
    <t>A001467</t>
  </si>
  <si>
    <t xml:space="preserve"> Yang-Yang (Louga)</t>
  </si>
  <si>
    <t>0.3000 km²</t>
  </si>
  <si>
    <t>A001499</t>
  </si>
  <si>
    <t>CHERIF  GASSAMA (100%)</t>
  </si>
  <si>
    <t>4.5567 Ha</t>
  </si>
  <si>
    <t>A001508</t>
  </si>
  <si>
    <t>Alpha Moussa KANE (100%)</t>
  </si>
  <si>
    <t>1.3503 Ha</t>
  </si>
  <si>
    <t>A001522</t>
  </si>
  <si>
    <t>55.3875 Ha</t>
  </si>
  <si>
    <t>A001553</t>
  </si>
  <si>
    <t>TYR KAMB</t>
  </si>
  <si>
    <t>Matar Diop (100%)</t>
  </si>
  <si>
    <t>3.1694 Ha</t>
  </si>
  <si>
    <t>A001556</t>
  </si>
  <si>
    <t>DENI BIRAME NDAO</t>
  </si>
  <si>
    <t>ALhassane Dieng (100%)</t>
  </si>
  <si>
    <t>10.2139 Ha</t>
  </si>
  <si>
    <t>A01577</t>
  </si>
  <si>
    <t>LUIGI</t>
  </si>
  <si>
    <t>50.0122 Ha</t>
  </si>
  <si>
    <t>A01578</t>
  </si>
  <si>
    <t>NDIASS</t>
  </si>
  <si>
    <t>EDK Oil</t>
  </si>
  <si>
    <t>0.2057 km²</t>
  </si>
  <si>
    <t>A01599</t>
  </si>
  <si>
    <t>Seun Sérère</t>
  </si>
  <si>
    <t>10.2756 Ha</t>
  </si>
  <si>
    <t>A001638</t>
  </si>
  <si>
    <t>Khondiogne</t>
  </si>
  <si>
    <t>3.0054 Ha</t>
  </si>
  <si>
    <t>A01638</t>
  </si>
  <si>
    <t>A012986 Diack</t>
  </si>
  <si>
    <t>0.0176 km²</t>
  </si>
  <si>
    <t>A001734</t>
  </si>
  <si>
    <t>RUF UNIVERSEL SERVICES SARL (100%)</t>
  </si>
  <si>
    <t>3.7375 Ha</t>
  </si>
  <si>
    <t>A01848</t>
  </si>
  <si>
    <t>MAKO EXPLORATION COMPANY SA (100%)</t>
  </si>
  <si>
    <t>150.4051 km²</t>
  </si>
  <si>
    <t>A001849</t>
  </si>
  <si>
    <t>Saraya ouest</t>
  </si>
  <si>
    <t>KANSALA RESOURCES (100%)</t>
  </si>
  <si>
    <t>1,991.8382 km²</t>
  </si>
  <si>
    <t>A001914</t>
  </si>
  <si>
    <t>Saraya Est</t>
  </si>
  <si>
    <t>URAMIN EXPLORATION LIMITED (100%)</t>
  </si>
  <si>
    <t>2,861.4342 km²</t>
  </si>
  <si>
    <t>A002047</t>
  </si>
  <si>
    <t>Moura</t>
  </si>
  <si>
    <t>SENGOLD MINING N.L. (100%)</t>
  </si>
  <si>
    <t>156.8833 km²</t>
  </si>
  <si>
    <t>A002048</t>
  </si>
  <si>
    <t>Nord Kondokhou</t>
  </si>
  <si>
    <t>179.0094 km²</t>
  </si>
  <si>
    <t>A002049</t>
  </si>
  <si>
    <t>Taiba Ndiaye</t>
  </si>
  <si>
    <t>59.6970 km²</t>
  </si>
  <si>
    <t>A002050</t>
  </si>
  <si>
    <t>Pallo Dial</t>
  </si>
  <si>
    <t>20.6220 km²</t>
  </si>
  <si>
    <t>A02096</t>
  </si>
  <si>
    <t>A002036 Thicky</t>
  </si>
  <si>
    <t>COMPAGNIE DES ARGILES DU SAHEL (100%)</t>
  </si>
  <si>
    <t>1.7282 km²</t>
  </si>
  <si>
    <t>A002232</t>
  </si>
  <si>
    <t>Diack_Gecamines</t>
  </si>
  <si>
    <t>0.0444 km²</t>
  </si>
  <si>
    <t>A002342</t>
  </si>
  <si>
    <t xml:space="preserve"> Témoto</t>
  </si>
  <si>
    <t>DAKAR-GUEYE GENERAL (100%)</t>
  </si>
  <si>
    <t>0.7914 km²</t>
  </si>
  <si>
    <t>A02351</t>
  </si>
  <si>
    <t>SOCIETE MINIERE INDUSTRIELLE ET COMMERCIALE (100%)</t>
  </si>
  <si>
    <t>15.0764 Ha</t>
  </si>
  <si>
    <t>A02352</t>
  </si>
  <si>
    <t>Cheikh KANE (100%)</t>
  </si>
  <si>
    <t>15.3955 Ha</t>
  </si>
  <si>
    <t>A02353</t>
  </si>
  <si>
    <t>22.2626 Ha</t>
  </si>
  <si>
    <t>A02358</t>
  </si>
  <si>
    <t>SCI AMWAST ALMADIEs</t>
  </si>
  <si>
    <t>19.9585 Ha</t>
  </si>
  <si>
    <t>A02361</t>
  </si>
  <si>
    <t>SALAM</t>
  </si>
  <si>
    <t>Mouhamadou Moustapha SY (100%)</t>
  </si>
  <si>
    <t>49.8548 Ha</t>
  </si>
  <si>
    <t>A02363</t>
  </si>
  <si>
    <t>5.4362 Ha</t>
  </si>
  <si>
    <t>A02472-18</t>
  </si>
  <si>
    <t>Couloir 18_Wassadou SUD</t>
  </si>
  <si>
    <t>19.8375 km²</t>
  </si>
  <si>
    <t>A02472-19</t>
  </si>
  <si>
    <t>Couloir 19_Garaboureya SUD</t>
  </si>
  <si>
    <t>11.5262 km²</t>
  </si>
  <si>
    <t>A002620</t>
  </si>
  <si>
    <t>A002620 Souroundou</t>
  </si>
  <si>
    <t>MAURIGOLD LTD (100%)</t>
  </si>
  <si>
    <t>183.1161 km²</t>
  </si>
  <si>
    <t>A002659</t>
  </si>
  <si>
    <t>A002661</t>
  </si>
  <si>
    <t>41.5292 Ha</t>
  </si>
  <si>
    <t>A002875</t>
  </si>
  <si>
    <t>Permis de SEN-SERERE (POUT)</t>
  </si>
  <si>
    <t>A002876</t>
  </si>
  <si>
    <t>Bada Ndiaye (100%)</t>
  </si>
  <si>
    <t>0.0050 km²</t>
  </si>
  <si>
    <t>A003031</t>
  </si>
  <si>
    <t>Périmetre de Paki</t>
  </si>
  <si>
    <t>SO.CE.MI.CA (100%)</t>
  </si>
  <si>
    <t>A003071</t>
  </si>
  <si>
    <t>10.2559 Ha</t>
  </si>
  <si>
    <t>A03080</t>
  </si>
  <si>
    <t>périmètre de Makabingui</t>
  </si>
  <si>
    <t>GIE TERIYA (100%)</t>
  </si>
  <si>
    <t>49.9722 Ha</t>
  </si>
  <si>
    <t>A003121</t>
  </si>
  <si>
    <t>BANTAGUI</t>
  </si>
  <si>
    <t>SOCIETE DE LOGISTIQUE INTERNATIONALE DU SENEGAL ORIENTAL (100%)</t>
  </si>
  <si>
    <t>A003126</t>
  </si>
  <si>
    <t>Kagnout</t>
  </si>
  <si>
    <t>35.1897 km²</t>
  </si>
  <si>
    <t>A003266</t>
  </si>
  <si>
    <t>A003266 Mbeubeuss</t>
  </si>
  <si>
    <t>A03281</t>
  </si>
  <si>
    <t>BARABERIE</t>
  </si>
  <si>
    <t>381.5241 km²</t>
  </si>
  <si>
    <t>A003336</t>
  </si>
  <si>
    <t xml:space="preserve"> Petewole</t>
  </si>
  <si>
    <t>SOCIETE INTERNATIONALE DES BIENS ET SERVICES (100%)</t>
  </si>
  <si>
    <t>0.8349 km²</t>
  </si>
  <si>
    <t>A003347</t>
  </si>
  <si>
    <t>A003379</t>
  </si>
  <si>
    <t>Amath DANSOKHO (100%)</t>
  </si>
  <si>
    <t>0.1000 km²</t>
  </si>
  <si>
    <t>A003658</t>
  </si>
  <si>
    <t xml:space="preserve"> Douta</t>
  </si>
  <si>
    <t>SOCIETE DE DEVELOPPEMENT ET D'APPLICATIONS TECHNIQUES (100%)</t>
  </si>
  <si>
    <t>A003660</t>
  </si>
  <si>
    <t>A003660 Seun Sérére (Pout)</t>
  </si>
  <si>
    <t>2.5795 Ha</t>
  </si>
  <si>
    <t>A003664</t>
  </si>
  <si>
    <t xml:space="preserve"> Messé-Messé</t>
  </si>
  <si>
    <t>EMIS (100%)</t>
  </si>
  <si>
    <t>16.0456 km²</t>
  </si>
  <si>
    <t>A003665</t>
  </si>
  <si>
    <t xml:space="preserve"> Makabingui et Sakhodofi</t>
  </si>
  <si>
    <t>102.2546 Ha</t>
  </si>
  <si>
    <t>A03672</t>
  </si>
  <si>
    <t>0.0231 km²</t>
  </si>
  <si>
    <t>A003674</t>
  </si>
  <si>
    <t>A003674 Bargny</t>
  </si>
  <si>
    <t>0.0200 km²</t>
  </si>
  <si>
    <t>A003677</t>
  </si>
  <si>
    <t>Mamadou Gadio (100%)</t>
  </si>
  <si>
    <t>3.1421 Ha</t>
  </si>
  <si>
    <t>A003678</t>
  </si>
  <si>
    <t>A003819 carrière de Popenguine</t>
  </si>
  <si>
    <t>A003678 b</t>
  </si>
  <si>
    <t>A009568</t>
  </si>
  <si>
    <t>8.6585 Ha</t>
  </si>
  <si>
    <t>A003808</t>
  </si>
  <si>
    <t>Carrière de grès à Paki</t>
  </si>
  <si>
    <t>SOCIETE KEBE DE CONCASSAGE ET DE TRAVAUX PUBLICS (100%)</t>
  </si>
  <si>
    <t>A003818</t>
  </si>
  <si>
    <t>A003818 Bargny</t>
  </si>
  <si>
    <t>marne</t>
  </si>
  <si>
    <t>0.9000 km²</t>
  </si>
  <si>
    <t>A003908</t>
  </si>
  <si>
    <t>CCIA (100%)</t>
  </si>
  <si>
    <t>9.4608 km²</t>
  </si>
  <si>
    <t>A004079</t>
  </si>
  <si>
    <t>A004079 Ndoukhoura Ouolof</t>
  </si>
  <si>
    <t>Amath Diallo (100%)</t>
  </si>
  <si>
    <t>calcaire, grès</t>
  </si>
  <si>
    <t>0.0400 km²</t>
  </si>
  <si>
    <t>A04119</t>
  </si>
  <si>
    <t>OUEST BOKOLI</t>
  </si>
  <si>
    <t>AXIOME DEVELOPPEMENT (100%)</t>
  </si>
  <si>
    <t>49.3000 Ha</t>
  </si>
  <si>
    <t>A04165</t>
  </si>
  <si>
    <t>KHARAHEINA</t>
  </si>
  <si>
    <t>GIE CARRACOL (100%)</t>
  </si>
  <si>
    <t>A04309</t>
  </si>
  <si>
    <t>Ndiébéne Gandiole</t>
  </si>
  <si>
    <t>3.8805 Ha</t>
  </si>
  <si>
    <t>A04310</t>
  </si>
  <si>
    <t>Mboubène</t>
  </si>
  <si>
    <t>9.0461 Ha</t>
  </si>
  <si>
    <t>A04428</t>
  </si>
  <si>
    <t>Lam-Lam Zone 8 Centre Est</t>
  </si>
  <si>
    <t>MATLOGEC (100%)</t>
  </si>
  <si>
    <t>108.6400 Ha</t>
  </si>
  <si>
    <t>A004597</t>
  </si>
  <si>
    <t>Bounsankoba</t>
  </si>
  <si>
    <t>LIBAH INVESTMENTS LIMITED (DPPM) (100%)</t>
  </si>
  <si>
    <t>208.0502 km²</t>
  </si>
  <si>
    <t>A04638</t>
  </si>
  <si>
    <t>RANDGOLD (100%)</t>
  </si>
  <si>
    <t>Transformation</t>
  </si>
  <si>
    <t>600.5500 km²</t>
  </si>
  <si>
    <t>A004660</t>
  </si>
  <si>
    <t>Ngari Ouest</t>
  </si>
  <si>
    <t>WESTIN SENEGAL SARL (100%)</t>
  </si>
  <si>
    <t>A004662</t>
  </si>
  <si>
    <t>BRANDOUFARY</t>
  </si>
  <si>
    <t>0.5393 km²</t>
  </si>
  <si>
    <t>A04680</t>
  </si>
  <si>
    <t>Zone 8 Sud Ouest_Lam-Lam</t>
  </si>
  <si>
    <t>AFRICAN MINERAL CORPORATION (100%)</t>
  </si>
  <si>
    <t>110.8196 Ha</t>
  </si>
  <si>
    <t>A04898</t>
  </si>
  <si>
    <t>228.2819 km²</t>
  </si>
  <si>
    <t>A004901</t>
  </si>
  <si>
    <t>A004901 Bargny</t>
  </si>
  <si>
    <t>BARGNY CALCAIRE (100%)</t>
  </si>
  <si>
    <t>0.0640 km²</t>
  </si>
  <si>
    <t>A04956</t>
  </si>
  <si>
    <t>Nguelou</t>
  </si>
  <si>
    <t>5.3390 Ha</t>
  </si>
  <si>
    <t>A04958</t>
  </si>
  <si>
    <t>MONT ROLLAND</t>
  </si>
  <si>
    <t>SOCIETE INDUSTRIELLE ET COMMERCIALE DE L'AUTOMOBILE DU SENEGAL (SICAS)</t>
  </si>
  <si>
    <t>14.8593 Ha</t>
  </si>
  <si>
    <t>A04959</t>
  </si>
  <si>
    <t>FIRST CITY BUILDING OF SENEGAL</t>
  </si>
  <si>
    <t>3.8914 Ha</t>
  </si>
  <si>
    <t>A04998</t>
  </si>
  <si>
    <t>NIAMBOUR</t>
  </si>
  <si>
    <t>El Hadji Bathie DIOP (100%)</t>
  </si>
  <si>
    <t>A005099</t>
  </si>
  <si>
    <t>RSW INC.  (100%)</t>
  </si>
  <si>
    <t>233.7532 km²</t>
  </si>
  <si>
    <t>A005105</t>
  </si>
  <si>
    <t>wassangara</t>
  </si>
  <si>
    <t>SOCIETES QUMBA MOR ET COMPAGNIE (100%); SOCIETE QUMBA MORT ET COMPAGNIE SUARL (0%)</t>
  </si>
  <si>
    <t>66.6191 km²</t>
  </si>
  <si>
    <t>A005114</t>
  </si>
  <si>
    <t>A005114 Paki</t>
  </si>
  <si>
    <t>0.0560 km²</t>
  </si>
  <si>
    <t>A005175</t>
  </si>
  <si>
    <t>A005175 Thiécky</t>
  </si>
  <si>
    <t>SOCIETE SARL BRIQUETERIE INDUSTRIELLE DU SENEGAL (100%)</t>
  </si>
  <si>
    <t>A05181</t>
  </si>
  <si>
    <t>Wasssangara</t>
  </si>
  <si>
    <t>GROUPE D'ETUDE, DE REALISATION INDUSTRIELLES TECHNOLOGIQUES SARL</t>
  </si>
  <si>
    <t>1,067.6758 Ha</t>
  </si>
  <si>
    <t>A005243</t>
  </si>
  <si>
    <t>A005243 Pout</t>
  </si>
  <si>
    <t>A05246</t>
  </si>
  <si>
    <t>KEUR IBRA FALL</t>
  </si>
  <si>
    <t>20.3408 Ha</t>
  </si>
  <si>
    <t>A005253</t>
  </si>
  <si>
    <t>A005253 Thicky</t>
  </si>
  <si>
    <t>CERAM (100%)</t>
  </si>
  <si>
    <t>A005254</t>
  </si>
  <si>
    <t>A005254 Diack_Mapathé Ndiouck</t>
  </si>
  <si>
    <t>NDIOUK (100%)</t>
  </si>
  <si>
    <t>0.0228 km²</t>
  </si>
  <si>
    <t>A005282</t>
  </si>
  <si>
    <t>A007181 Diack_Comica</t>
  </si>
  <si>
    <t>COMICA (100%)</t>
  </si>
  <si>
    <t>0.0420 km²</t>
  </si>
  <si>
    <t>A005322</t>
  </si>
  <si>
    <t>A005322 Pout</t>
  </si>
  <si>
    <t>NGUER (100%)</t>
  </si>
  <si>
    <t>0.0170 km²</t>
  </si>
  <si>
    <t>A05325</t>
  </si>
  <si>
    <t>A05325_ Forét classée de Thiès</t>
  </si>
  <si>
    <t>A005350</t>
  </si>
  <si>
    <t>A005350 Bargny</t>
  </si>
  <si>
    <t>SOCIETE 2 MI (100%)</t>
  </si>
  <si>
    <t>0.0850 km²</t>
  </si>
  <si>
    <t>A005351</t>
  </si>
  <si>
    <t>A005351 Bargny</t>
  </si>
  <si>
    <t>A005383</t>
  </si>
  <si>
    <t>A005383 Bargny</t>
  </si>
  <si>
    <t>SENEGALAISE DE MINES ET DE TRAVAUX PUBLICS (100%)</t>
  </si>
  <si>
    <t>A005384</t>
  </si>
  <si>
    <t>SOCIETE SENEGALAISE DE CARRIERES MODERNES</t>
  </si>
  <si>
    <t>A005680</t>
  </si>
  <si>
    <t>Bantako-Couta</t>
  </si>
  <si>
    <t>GIE JOB (100%)</t>
  </si>
  <si>
    <t>Ag, Au, diamant, substances connexes</t>
  </si>
  <si>
    <t>A005889</t>
  </si>
  <si>
    <t>OLOLDOU</t>
  </si>
  <si>
    <t>SOCIETE  DES MINES DE FER DE LA FALEME (MIFERSO) (100%)</t>
  </si>
  <si>
    <t>4,522.0544 km²</t>
  </si>
  <si>
    <t>A005897</t>
  </si>
  <si>
    <t>A005897 Tkicky</t>
  </si>
  <si>
    <t>CAYORIENNE DES TRANSPORTS, CARRIERES ET TRAVAUX PUBLICS (100%)</t>
  </si>
  <si>
    <t>A005898</t>
  </si>
  <si>
    <t>A005898 Mako</t>
  </si>
  <si>
    <t>59.2248 Ha</t>
  </si>
  <si>
    <t>A005920</t>
  </si>
  <si>
    <t>A005920 Albar Saint - Louis</t>
  </si>
  <si>
    <t>0.0514 km²</t>
  </si>
  <si>
    <t>A005921</t>
  </si>
  <si>
    <t xml:space="preserve">Heremakono
</t>
  </si>
  <si>
    <t>AXMIN LIMITED (100%)</t>
  </si>
  <si>
    <t>199.3663 km²</t>
  </si>
  <si>
    <t>A005964</t>
  </si>
  <si>
    <t>82.2728 km²</t>
  </si>
  <si>
    <t>A006052</t>
  </si>
  <si>
    <t>A006052 Diack_SOSECAR</t>
  </si>
  <si>
    <t>SOCIETE SENEGALAISE D'EXPLOITATION DE CARRIERES (SOSECAR) (100%)</t>
  </si>
  <si>
    <t>0.0139 km²</t>
  </si>
  <si>
    <t>A06101 bis</t>
  </si>
  <si>
    <t xml:space="preserve"> Bandia</t>
  </si>
  <si>
    <t>A006229</t>
  </si>
  <si>
    <t>A006229 Sounkounkou</t>
  </si>
  <si>
    <t>91.3665 km²</t>
  </si>
  <si>
    <t>A06315</t>
  </si>
  <si>
    <t>MARSA</t>
  </si>
  <si>
    <t>GEOMINING &amp; CONSULTING (GMC) SARL (100%)</t>
  </si>
  <si>
    <t>338.1706 km²</t>
  </si>
  <si>
    <t>A006329</t>
  </si>
  <si>
    <t>PHOSPHATES RESSOURCES SARL</t>
  </si>
  <si>
    <t>5,567.4187 km²</t>
  </si>
  <si>
    <t>A06355</t>
  </si>
  <si>
    <t>Sébikhotane</t>
  </si>
  <si>
    <t>A006381</t>
  </si>
  <si>
    <t>Tamakoumala</t>
  </si>
  <si>
    <t>SN MINERAL MINING (100%)</t>
  </si>
  <si>
    <t>0.5280 km²</t>
  </si>
  <si>
    <t>A006410</t>
  </si>
  <si>
    <t>A006410 Diack_Mapathé Ndiouck</t>
  </si>
  <si>
    <t>0.0413 km²</t>
  </si>
  <si>
    <t>A006557</t>
  </si>
  <si>
    <t>Zone8 NORD OUEST</t>
  </si>
  <si>
    <t>163.3589 Ha</t>
  </si>
  <si>
    <t>A006562</t>
  </si>
  <si>
    <t>0.0980 km²</t>
  </si>
  <si>
    <t>A06659</t>
  </si>
  <si>
    <t>DAR-SALAM</t>
  </si>
  <si>
    <t>263.6928 km²</t>
  </si>
  <si>
    <t>A006707</t>
  </si>
  <si>
    <t>A006707 Douta</t>
  </si>
  <si>
    <t>MG TRADE FINANCES INTERNATIONAL (100%)</t>
  </si>
  <si>
    <t>6.6774 km²</t>
  </si>
  <si>
    <t>A06813</t>
  </si>
  <si>
    <t>SENOR GROUP (100%)</t>
  </si>
  <si>
    <t>1.4296 km²</t>
  </si>
  <si>
    <t>A006830</t>
  </si>
  <si>
    <t>A006830 Yang-Yang</t>
  </si>
  <si>
    <t>CARRIERE - INDUSTRIE - MINES (100%)</t>
  </si>
  <si>
    <t>0.4000 km²</t>
  </si>
  <si>
    <t>A006846</t>
  </si>
  <si>
    <t>Popenguine</t>
  </si>
  <si>
    <t>A06864</t>
  </si>
  <si>
    <t>Daloto</t>
  </si>
  <si>
    <t>CASE D'OR</t>
  </si>
  <si>
    <t>0.5083 km²</t>
  </si>
  <si>
    <t>A006933</t>
  </si>
  <si>
    <t>198.4404 km²</t>
  </si>
  <si>
    <t>A006942</t>
  </si>
  <si>
    <t>A006942 Diack</t>
  </si>
  <si>
    <t>Cheikh Kane (100%)</t>
  </si>
  <si>
    <t>15.0191 Ha</t>
  </si>
  <si>
    <t>A007154</t>
  </si>
  <si>
    <t>A007154 Sene - Sérére</t>
  </si>
  <si>
    <t>SOMICAS (100%)</t>
  </si>
  <si>
    <t>A07190</t>
  </si>
  <si>
    <t>0.5100 km²</t>
  </si>
  <si>
    <t>A007409</t>
  </si>
  <si>
    <t>Dindéfélou</t>
  </si>
  <si>
    <t>149.4234 km²</t>
  </si>
  <si>
    <t>A007415</t>
  </si>
  <si>
    <t>perimetre de Soukounkou</t>
  </si>
  <si>
    <t>AVGOLD Ltd (100%)</t>
  </si>
  <si>
    <t>343.6225 km²</t>
  </si>
  <si>
    <t>A007416</t>
  </si>
  <si>
    <t>A007416 Notto</t>
  </si>
  <si>
    <t>A007418</t>
  </si>
  <si>
    <t>A007418 Thienaba</t>
  </si>
  <si>
    <t>A07419</t>
  </si>
  <si>
    <t>Massacounda</t>
  </si>
  <si>
    <t>190.0974 km²</t>
  </si>
  <si>
    <t>A007434</t>
  </si>
  <si>
    <t>Oréfondé</t>
  </si>
  <si>
    <t>SENEGAL MINING CORPORATION SA (100%)</t>
  </si>
  <si>
    <t>1,310.1270 km²</t>
  </si>
  <si>
    <t>A007435</t>
  </si>
  <si>
    <t>dagana</t>
  </si>
  <si>
    <t>3,694.9381 km²</t>
  </si>
  <si>
    <t>A07436</t>
  </si>
  <si>
    <t>2,331.0098 km²</t>
  </si>
  <si>
    <t>A007436</t>
  </si>
  <si>
    <t>Nabadji</t>
  </si>
  <si>
    <t>538.3543 km²</t>
  </si>
  <si>
    <t>A007474</t>
  </si>
  <si>
    <t>A007474- permis de la grande cote</t>
  </si>
  <si>
    <t>GRANDE COTE OPERATIONS SA  (100%)</t>
  </si>
  <si>
    <t>374.1986 Ha</t>
  </si>
  <si>
    <t>A007488</t>
  </si>
  <si>
    <t>A007488 Bargny</t>
  </si>
  <si>
    <t>Mamadou Guèye (100%)</t>
  </si>
  <si>
    <t>0.0191 km²</t>
  </si>
  <si>
    <t>A007554</t>
  </si>
  <si>
    <t xml:space="preserve"> Sambarabougou</t>
  </si>
  <si>
    <t>396.1326 km²</t>
  </si>
  <si>
    <t>A007662</t>
  </si>
  <si>
    <t>Linguère</t>
  </si>
  <si>
    <t>6,084.2183 km²</t>
  </si>
  <si>
    <t>A007663</t>
  </si>
  <si>
    <t>Coki</t>
  </si>
  <si>
    <t>A07762</t>
  </si>
  <si>
    <t>SOCIETE SENEGALAISE DES TRANSPORTS, TRAVAUX HYDRAULIQUES, ROUTES ET ASSAISSEMENTS (100%)</t>
  </si>
  <si>
    <t>23.9772 Ha</t>
  </si>
  <si>
    <t>A07786</t>
  </si>
  <si>
    <t>Garabouréya</t>
  </si>
  <si>
    <t>24.6126 km²</t>
  </si>
  <si>
    <t>A07787</t>
  </si>
  <si>
    <t>Périmètre de Balakonko</t>
  </si>
  <si>
    <t>59.0406 km²</t>
  </si>
  <si>
    <t>A007858</t>
  </si>
  <si>
    <t>THIOUN</t>
  </si>
  <si>
    <t>3.3116 km²</t>
  </si>
  <si>
    <t>A7859</t>
  </si>
  <si>
    <t>GROUPEMENT ALHAMAD SARL (100%)</t>
  </si>
  <si>
    <t>A007922</t>
  </si>
  <si>
    <t>Chérif Lô-Ngakham</t>
  </si>
  <si>
    <t>1,163.1976 km²</t>
  </si>
  <si>
    <t>A008024</t>
  </si>
  <si>
    <t>5.0082 Ha</t>
  </si>
  <si>
    <t>A008125</t>
  </si>
  <si>
    <t>A008125 Bargny</t>
  </si>
  <si>
    <t>ENTREPRISE DES TRAVAUX PUBLICS ET D'ETUDES (100%)</t>
  </si>
  <si>
    <t>A08161</t>
  </si>
  <si>
    <t>Madina Foulbé</t>
  </si>
  <si>
    <t>260.5057 km²</t>
  </si>
  <si>
    <t>A008162</t>
  </si>
  <si>
    <t>Ndiass</t>
  </si>
  <si>
    <t>CAMISEN (100%)</t>
  </si>
  <si>
    <t>8.3295 Ha</t>
  </si>
  <si>
    <t>A008206</t>
  </si>
  <si>
    <t>0.0165 km²</t>
  </si>
  <si>
    <t>A008211</t>
  </si>
  <si>
    <t>A008211 Pout</t>
  </si>
  <si>
    <t>36.9374 Ha</t>
  </si>
  <si>
    <t>A008223</t>
  </si>
  <si>
    <t>Permis de Diack</t>
  </si>
  <si>
    <t>SY DJAMIL (100%)</t>
  </si>
  <si>
    <t>4,340.8759 km²</t>
  </si>
  <si>
    <t>A008228</t>
  </si>
  <si>
    <t>Miko</t>
  </si>
  <si>
    <t>6,233.5328 Ha</t>
  </si>
  <si>
    <t>A008230</t>
  </si>
  <si>
    <t>Perimetre de Ndayane</t>
  </si>
  <si>
    <t>FIBRO MAC (100%)</t>
  </si>
  <si>
    <t>0.9356 Ha</t>
  </si>
  <si>
    <t>A008252</t>
  </si>
  <si>
    <t>Dialé</t>
  </si>
  <si>
    <t>SOCIETE QUMBA MORT ET COMPAGNIE SUARL (100%)</t>
  </si>
  <si>
    <t>0.4997 km²</t>
  </si>
  <si>
    <t>A08260</t>
  </si>
  <si>
    <t>6.7505 Ha</t>
  </si>
  <si>
    <t>A008297</t>
  </si>
  <si>
    <t>COMPAGNIE D'EXPLOITATION DES MATERIAUX</t>
  </si>
  <si>
    <t>A08322</t>
  </si>
  <si>
    <t>KOROKONKO</t>
  </si>
  <si>
    <t>EEEMS Sarl (100%)</t>
  </si>
  <si>
    <t>49.7024 Ha</t>
  </si>
  <si>
    <t>A08325</t>
  </si>
  <si>
    <t>GAMBA</t>
  </si>
  <si>
    <t>GIE 18 SAFAR KANE ET FRERES</t>
  </si>
  <si>
    <t>A008326</t>
  </si>
  <si>
    <t>A008326 Dya (Kaolack)</t>
  </si>
  <si>
    <t>El Hadji Cheikh Thiam (100%)</t>
  </si>
  <si>
    <t>0.0100 km²</t>
  </si>
  <si>
    <t>A8378</t>
  </si>
  <si>
    <t>A005670_ perimetre de Paki</t>
  </si>
  <si>
    <t>NDIOGOU  DIOUF (100%)</t>
  </si>
  <si>
    <t>0.3955 Ha</t>
  </si>
  <si>
    <t>A008566</t>
  </si>
  <si>
    <t>0.0487 km²</t>
  </si>
  <si>
    <t>A008567</t>
  </si>
  <si>
    <t>A008567 Bargny</t>
  </si>
  <si>
    <t>Djibril Seck (100%)</t>
  </si>
  <si>
    <t>A008570</t>
  </si>
  <si>
    <t>A008570 Natengo</t>
  </si>
  <si>
    <t>A008573</t>
  </si>
  <si>
    <t>A008573 Carrière de calcaire</t>
  </si>
  <si>
    <t>A008576</t>
  </si>
  <si>
    <t>A008576 Bandia</t>
  </si>
  <si>
    <t>0.1008 km²</t>
  </si>
  <si>
    <t>A008710</t>
  </si>
  <si>
    <t>A008710 Bandia</t>
  </si>
  <si>
    <t>0.2639 km²</t>
  </si>
  <si>
    <t>A08737</t>
  </si>
  <si>
    <t>Niakhene</t>
  </si>
  <si>
    <t>ROXWELL MINING LIMITED (100%)</t>
  </si>
  <si>
    <t>511,030.0293 Ha</t>
  </si>
  <si>
    <t>A08864</t>
  </si>
  <si>
    <t>Permis Dindefelou</t>
  </si>
  <si>
    <t>ORANTO PETROLEUM LIMITED (100%)</t>
  </si>
  <si>
    <t>255.9133 km²</t>
  </si>
  <si>
    <t>A08866</t>
  </si>
  <si>
    <t>Boulbi</t>
  </si>
  <si>
    <t>substance connexes</t>
  </si>
  <si>
    <t>255.5085 km²</t>
  </si>
  <si>
    <t>A09039</t>
  </si>
  <si>
    <t>49.8394 Ha</t>
  </si>
  <si>
    <t>A009047</t>
  </si>
  <si>
    <t>A009048</t>
  </si>
  <si>
    <t>KOCHMAN (100%)</t>
  </si>
  <si>
    <t>0.0094 km²</t>
  </si>
  <si>
    <t>A09098</t>
  </si>
  <si>
    <t>A006356 Diack_Gecamines</t>
  </si>
  <si>
    <t>0.0217 km²</t>
  </si>
  <si>
    <t>A09103</t>
  </si>
  <si>
    <t>Niamanoukhou</t>
  </si>
  <si>
    <t>LA SOCIETE SENEGALAISE D'INDUSTRIE ET D'ENTREPRISES SARL (100%)</t>
  </si>
  <si>
    <t>0.5257 km²</t>
  </si>
  <si>
    <t>A09115</t>
  </si>
  <si>
    <t>Lam Lam périmètre zone 8 N-E</t>
  </si>
  <si>
    <t xml:space="preserve"> EXCEL GROUP COMPANY (100%)</t>
  </si>
  <si>
    <t>106.1200 Ha</t>
  </si>
  <si>
    <t>A09116</t>
  </si>
  <si>
    <t>Nord-Ouest Sabodala</t>
  </si>
  <si>
    <t>122.6222 km²</t>
  </si>
  <si>
    <t>A09146</t>
  </si>
  <si>
    <t>Perimetre_Sangola</t>
  </si>
  <si>
    <t>GOLDSTONE RESOURCES LTD (100%)</t>
  </si>
  <si>
    <t>353.7500 km²</t>
  </si>
  <si>
    <t>A009147</t>
  </si>
  <si>
    <t>A009148</t>
  </si>
  <si>
    <t>A009148 Bandian</t>
  </si>
  <si>
    <t>0.0102 km²</t>
  </si>
  <si>
    <t>A009150</t>
  </si>
  <si>
    <t>A009150 Kaël</t>
  </si>
  <si>
    <t>A009151</t>
  </si>
  <si>
    <t>Carrière d'argile Thicky</t>
  </si>
  <si>
    <t>Moussa Dia (100%)</t>
  </si>
  <si>
    <t>2.5080 Ha</t>
  </si>
  <si>
    <t>A009155</t>
  </si>
  <si>
    <t>A009155 Bargny</t>
  </si>
  <si>
    <t>Amadou Seck (100%)</t>
  </si>
  <si>
    <t>A009157</t>
  </si>
  <si>
    <t>A009157_ périmètre de Allou Kagne</t>
  </si>
  <si>
    <t>Gallo NGUER (100%)</t>
  </si>
  <si>
    <t>A009170</t>
  </si>
  <si>
    <t>COMPAGNIE SAHELIENNE D'ENTREPRISE</t>
  </si>
  <si>
    <t>8.6599 Ha</t>
  </si>
  <si>
    <t>A009170 bis</t>
  </si>
  <si>
    <t>A003678 Popenguine</t>
  </si>
  <si>
    <t>0.1110 km²</t>
  </si>
  <si>
    <t>A009174</t>
  </si>
  <si>
    <t>A009174_carriere_Paki</t>
  </si>
  <si>
    <t>COMPLEXE TOUBA KERE (100%)</t>
  </si>
  <si>
    <t>2.0693 Ha</t>
  </si>
  <si>
    <t>A009216</t>
  </si>
  <si>
    <t>A009216 Toglou</t>
  </si>
  <si>
    <t>SOCIETE COMMERCIALE INDUSTRIELLE AGROPASTORALE ET TRANSPORT (100%)</t>
  </si>
  <si>
    <t>A009325</t>
  </si>
  <si>
    <t>A009325 Bargny</t>
  </si>
  <si>
    <t>ALFA SENEGAL TRANSPORT (100%)</t>
  </si>
  <si>
    <t>A009326</t>
  </si>
  <si>
    <t>Jean Pierre Chami (100%)</t>
  </si>
  <si>
    <t>A09448</t>
  </si>
  <si>
    <t>BUSINESS DEVELOPPEMENT AGROALIMENTAIRE (100%)</t>
  </si>
  <si>
    <t>20.0282 Ha</t>
  </si>
  <si>
    <t>A009544</t>
  </si>
  <si>
    <t>Toglou - Paki</t>
  </si>
  <si>
    <t>0.0119 km²</t>
  </si>
  <si>
    <t>A09569</t>
  </si>
  <si>
    <t>A009724</t>
  </si>
  <si>
    <t>19.5282 Ha</t>
  </si>
  <si>
    <t>A009805</t>
  </si>
  <si>
    <t>Périmètre de Vélingara</t>
  </si>
  <si>
    <t>418.0722 km²</t>
  </si>
  <si>
    <t>A009807</t>
  </si>
  <si>
    <t>Badiara</t>
  </si>
  <si>
    <t>AFRICAN INVESTMENT CORPORATE</t>
  </si>
  <si>
    <t>46.1353 km²</t>
  </si>
  <si>
    <t>A009893</t>
  </si>
  <si>
    <t>A9893_Basalte _DIACK</t>
  </si>
  <si>
    <t>SOCIETE D'EXPLOITATION DES CARRIERES DU BAOL (100%)</t>
  </si>
  <si>
    <t>6.7770 Ha</t>
  </si>
  <si>
    <t>A09930</t>
  </si>
  <si>
    <t>MADINA LINGUEYA</t>
  </si>
  <si>
    <t>IBRAHIMA SAMB (100%)</t>
  </si>
  <si>
    <t>0.4998 km²</t>
  </si>
  <si>
    <t>A09940</t>
  </si>
  <si>
    <t>Foukhanding</t>
  </si>
  <si>
    <t>0.4979 km²</t>
  </si>
  <si>
    <t>A09944</t>
  </si>
  <si>
    <t>KAWSARA</t>
  </si>
  <si>
    <t>SENGOLD COMPANY (100%)</t>
  </si>
  <si>
    <t>49.7800 Ha</t>
  </si>
  <si>
    <t>A09945</t>
  </si>
  <si>
    <t>221.3508 km²</t>
  </si>
  <si>
    <t>A009954</t>
  </si>
  <si>
    <t>Bransan Est</t>
  </si>
  <si>
    <t>MRS MINING SENEGAL SARL (100%)</t>
  </si>
  <si>
    <t>44.1411 km²</t>
  </si>
  <si>
    <t>A009955</t>
  </si>
  <si>
    <t>Mba</t>
  </si>
  <si>
    <t>14.3503 km²</t>
  </si>
  <si>
    <t>A009956</t>
  </si>
  <si>
    <t>GUEOUL</t>
  </si>
  <si>
    <t>308.2416 km²</t>
  </si>
  <si>
    <t>A010038</t>
  </si>
  <si>
    <t>Carrière Samketch</t>
  </si>
  <si>
    <t>10.4006 Ha</t>
  </si>
  <si>
    <t>A010152</t>
  </si>
  <si>
    <t>0.0628 km²</t>
  </si>
  <si>
    <t>A010155</t>
  </si>
  <si>
    <t>A010155 Bargny</t>
  </si>
  <si>
    <t>DESPLATS (100%)</t>
  </si>
  <si>
    <t>0.0321 km²</t>
  </si>
  <si>
    <t>A10281</t>
  </si>
  <si>
    <t>BRANSAN SUD</t>
  </si>
  <si>
    <t>5.8325 km²</t>
  </si>
  <si>
    <t>A10282</t>
  </si>
  <si>
    <t>SABODALA OUEST</t>
  </si>
  <si>
    <t>3.0274 km²</t>
  </si>
  <si>
    <t>A10283</t>
  </si>
  <si>
    <t>Saiensoutou</t>
  </si>
  <si>
    <t>72.0457 km²</t>
  </si>
  <si>
    <t>A010430</t>
  </si>
  <si>
    <t xml:space="preserve"> kabatéguinda</t>
  </si>
  <si>
    <t>A010454</t>
  </si>
  <si>
    <t>A010454 Makana</t>
  </si>
  <si>
    <t>NAFPEC (100%)</t>
  </si>
  <si>
    <t>84.6305 km²</t>
  </si>
  <si>
    <t>A10455</t>
  </si>
  <si>
    <t>Casamance</t>
  </si>
  <si>
    <t>ASTRON LIMITED (100%)</t>
  </si>
  <si>
    <t>211.8606 km²</t>
  </si>
  <si>
    <t>A10496</t>
  </si>
  <si>
    <t>Zone 8 Sud-est Lam-Lam</t>
  </si>
  <si>
    <t>SENEGAL MINING RESOURCES (100%)</t>
  </si>
  <si>
    <t>1.0864 km²</t>
  </si>
  <si>
    <t>A10497</t>
  </si>
  <si>
    <t>ZONE8 NORD OUEST</t>
  </si>
  <si>
    <t>113.4512 Ha</t>
  </si>
  <si>
    <t>A010497</t>
  </si>
  <si>
    <t>10.2569 Ha</t>
  </si>
  <si>
    <t>A010546</t>
  </si>
  <si>
    <t>Carrière de calcaire à Bandia</t>
  </si>
  <si>
    <t>A00010660</t>
  </si>
  <si>
    <t>INCA SARL (100%)</t>
  </si>
  <si>
    <t>20.8983 Ha</t>
  </si>
  <si>
    <t>A10685</t>
  </si>
  <si>
    <t>GLOBAL TRANSPORT ET MINES (100%)</t>
  </si>
  <si>
    <t>8.6952 Ha</t>
  </si>
  <si>
    <t>A010827</t>
  </si>
  <si>
    <t>Perimetre de Bandia</t>
  </si>
  <si>
    <t>SOCIETE SENEGALAISE DE CARRIERES MODERNES (100%)</t>
  </si>
  <si>
    <t>4.7067 Ha</t>
  </si>
  <si>
    <t>A10863</t>
  </si>
  <si>
    <t>ETUDE TOPOGRAPHIQUE ET MINIERE (100%)</t>
  </si>
  <si>
    <t>A010866</t>
  </si>
  <si>
    <t>SUD KABATEGUINDA</t>
  </si>
  <si>
    <t>BOKAMINE SARL</t>
  </si>
  <si>
    <t>A10955</t>
  </si>
  <si>
    <t>Petite mine dans le périmètre de Douta</t>
  </si>
  <si>
    <t>A010988</t>
  </si>
  <si>
    <t>A010988 Diack SOSECAR</t>
  </si>
  <si>
    <t>0.0250 km²</t>
  </si>
  <si>
    <t>A011033</t>
  </si>
  <si>
    <t>A011033 Diack_SOSECAR</t>
  </si>
  <si>
    <t>0.0137 km²</t>
  </si>
  <si>
    <t>A011311</t>
  </si>
  <si>
    <t>BAFOUNDOU RESOURCES SARL</t>
  </si>
  <si>
    <t>212.7853 km²</t>
  </si>
  <si>
    <t>A011312</t>
  </si>
  <si>
    <t>Laminia</t>
  </si>
  <si>
    <t>LAMINIA RESSOURCES (100%)</t>
  </si>
  <si>
    <t>325.4254 km²</t>
  </si>
  <si>
    <t>A011314</t>
  </si>
  <si>
    <t>Sud-Mbour</t>
  </si>
  <si>
    <t>SALOUM RESSOURCES SARL</t>
  </si>
  <si>
    <t>1,599.6635 km²</t>
  </si>
  <si>
    <t>A011345</t>
  </si>
  <si>
    <t>Soudouta</t>
  </si>
  <si>
    <t>CEPHOS INTERNATIONAL (100%)</t>
  </si>
  <si>
    <t>1,716.8774 km²</t>
  </si>
  <si>
    <t>A011496</t>
  </si>
  <si>
    <t>A011496 Kakadian Sud</t>
  </si>
  <si>
    <t>MAGO RESOURCES (100%)</t>
  </si>
  <si>
    <t>2,097.5880 km²</t>
  </si>
  <si>
    <t>A011497</t>
  </si>
  <si>
    <t>A011497 Kakadian Nord</t>
  </si>
  <si>
    <t>RIVERDALE RESOURCES LIMITED (100%)</t>
  </si>
  <si>
    <t>2,311.6154 km²</t>
  </si>
  <si>
    <t>A011560</t>
  </si>
  <si>
    <t>station de concassage de basalte</t>
  </si>
  <si>
    <t>A0011581</t>
  </si>
  <si>
    <t>A009579 Bandia</t>
  </si>
  <si>
    <t>SOCIETE DES TRANSPORTS ET DES TRAVAUX PUBLICS (100%)</t>
  </si>
  <si>
    <t>A012039</t>
  </si>
  <si>
    <t>DIOUMBELA</t>
  </si>
  <si>
    <t>74.8355 km²</t>
  </si>
  <si>
    <t>A012042</t>
  </si>
  <si>
    <t>Khayamakho dioura</t>
  </si>
  <si>
    <t>MADISSIMO (100%)</t>
  </si>
  <si>
    <t>49.6083 Ha</t>
  </si>
  <si>
    <t>A012112</t>
  </si>
  <si>
    <t>A012112 Diack</t>
  </si>
  <si>
    <t>A012128</t>
  </si>
  <si>
    <t>A012128 Pout_SOCOCIM</t>
  </si>
  <si>
    <t>1.0000 km²</t>
  </si>
  <si>
    <t>A012200</t>
  </si>
  <si>
    <t>Binia</t>
  </si>
  <si>
    <t>BINIA RESOURCES SARL (100%)</t>
  </si>
  <si>
    <t>Sn</t>
  </si>
  <si>
    <t>1,821.5234 km²</t>
  </si>
  <si>
    <t>A012433</t>
  </si>
  <si>
    <t>Carrière de basalte</t>
  </si>
  <si>
    <t>NOUVELLE SOCIETE DE CONCASSAGE DE BASALTE DE LAMANE (100%)</t>
  </si>
  <si>
    <t>A12433</t>
  </si>
  <si>
    <t>0.0715 km²</t>
  </si>
  <si>
    <t>A012439</t>
  </si>
  <si>
    <t>6.4106 Ha</t>
  </si>
  <si>
    <t>A012520</t>
  </si>
  <si>
    <t>LIN SHI INTERNATIONAL INVESTMENT SARL (100%)</t>
  </si>
  <si>
    <t>A012689</t>
  </si>
  <si>
    <t>A012689 Paki</t>
  </si>
  <si>
    <t>Cheikh DIENG (100%)</t>
  </si>
  <si>
    <t>0.0069 km²</t>
  </si>
  <si>
    <t>A012895</t>
  </si>
  <si>
    <t>Madina Samba</t>
  </si>
  <si>
    <t>4,651.5583 km²</t>
  </si>
  <si>
    <t>A12951</t>
  </si>
  <si>
    <t>NABADJI MINERALS (100%)</t>
  </si>
  <si>
    <t>1,256.1114 km²</t>
  </si>
  <si>
    <t>A13008</t>
  </si>
  <si>
    <t>ZHONGSAI MINING SA (100%)</t>
  </si>
  <si>
    <t>21.9750 Ha</t>
  </si>
  <si>
    <t>A013089</t>
  </si>
  <si>
    <t xml:space="preserve"> Bokhou</t>
  </si>
  <si>
    <t>COGEC (100%)</t>
  </si>
  <si>
    <t>0.0277 km²</t>
  </si>
  <si>
    <t>A13199</t>
  </si>
  <si>
    <t>DJIKOYE</t>
  </si>
  <si>
    <t>HYDROBAT INTERNATIONAL</t>
  </si>
  <si>
    <t>A013208</t>
  </si>
  <si>
    <t>Dalafin</t>
  </si>
  <si>
    <t>ENERGY AND MINING CORPORATION (100%)</t>
  </si>
  <si>
    <t>473.0833 km²</t>
  </si>
  <si>
    <t>A013246</t>
  </si>
  <si>
    <t>Gabou</t>
  </si>
  <si>
    <t>479.6891 km²</t>
  </si>
  <si>
    <t>A13354</t>
  </si>
  <si>
    <t>DJILABOUGOU</t>
  </si>
  <si>
    <t>BANDAFASSI SARL</t>
  </si>
  <si>
    <t>A13357</t>
  </si>
  <si>
    <t>10.3750 km²</t>
  </si>
  <si>
    <t>A013430</t>
  </si>
  <si>
    <t>Youboubou</t>
  </si>
  <si>
    <t>ERIN RESOURCES SENEGAL (100%)</t>
  </si>
  <si>
    <t>113.3601 km²</t>
  </si>
  <si>
    <t>A13458</t>
  </si>
  <si>
    <t>Mandankholi</t>
  </si>
  <si>
    <t>15,783.3737 Ha</t>
  </si>
  <si>
    <t>A013729</t>
  </si>
  <si>
    <t>Yang yang</t>
  </si>
  <si>
    <t>Ibrahima  Diaw (100%)</t>
  </si>
  <si>
    <t>21.6000 Ha</t>
  </si>
  <si>
    <t>A013833</t>
  </si>
  <si>
    <t>Namel</t>
  </si>
  <si>
    <t>SPOTLIGHT GLOBAL-SARL</t>
  </si>
  <si>
    <t>658.7888 km²</t>
  </si>
  <si>
    <t>A013955</t>
  </si>
  <si>
    <t>MEKHE</t>
  </si>
  <si>
    <t>L&amp;P HOLDING SARL (100%)</t>
  </si>
  <si>
    <t>578.4202 km²</t>
  </si>
  <si>
    <t>A13981</t>
  </si>
  <si>
    <t>OUEST BANTACOKOUTA</t>
  </si>
  <si>
    <t>INTERNATIONAL GOLD ALWAR Sarl</t>
  </si>
  <si>
    <t>A13985</t>
  </si>
  <si>
    <t>NORD BANTAKO KOTO</t>
  </si>
  <si>
    <t>GAYE THIOLOM GANDIOLE ENTREPRISES SUARL</t>
  </si>
  <si>
    <t>A13991</t>
  </si>
  <si>
    <t>KENIOTO</t>
  </si>
  <si>
    <t xml:space="preserve">GENERALE SERVICES </t>
  </si>
  <si>
    <t>A13993</t>
  </si>
  <si>
    <t>GAMBA GAMBA</t>
  </si>
  <si>
    <t>A014139</t>
  </si>
  <si>
    <t>Kassel</t>
  </si>
  <si>
    <t>140.8567 km²</t>
  </si>
  <si>
    <t>A014141</t>
  </si>
  <si>
    <t>Yang Yang</t>
  </si>
  <si>
    <t>ETUDE ET REALISATION BATIMENET- ASSAINISSEMENT- TERRASSEMENT (100%)</t>
  </si>
  <si>
    <t>24.2700 Ha</t>
  </si>
  <si>
    <t>A14142</t>
  </si>
  <si>
    <t>KENIEBA</t>
  </si>
  <si>
    <t>3S INTERNATIONAL (100%)</t>
  </si>
  <si>
    <t>304.0244 km²</t>
  </si>
  <si>
    <t>A014172</t>
  </si>
  <si>
    <t>POUT Diack</t>
  </si>
  <si>
    <t>100.3327 Ha</t>
  </si>
  <si>
    <t>A14205</t>
  </si>
  <si>
    <t>2.5950 km²</t>
  </si>
  <si>
    <t>A014207</t>
  </si>
  <si>
    <t>G.I.E. " LE WOUROUS" (100%)</t>
  </si>
  <si>
    <t>A014208</t>
  </si>
  <si>
    <t>Bandola</t>
  </si>
  <si>
    <t>CONSORTIUM PETROMIR &amp; PETROLINE</t>
  </si>
  <si>
    <t>A0014212</t>
  </si>
  <si>
    <t>GIE XEERWI (100%)</t>
  </si>
  <si>
    <t>A014235</t>
  </si>
  <si>
    <t>BOFETO FALEME</t>
  </si>
  <si>
    <t>GIMAS SUARL</t>
  </si>
  <si>
    <t>53.3899 Ha</t>
  </si>
  <si>
    <t>A014470</t>
  </si>
  <si>
    <t>Carrière de Basalte à Diack</t>
  </si>
  <si>
    <t>SOCIETE DES DRAGAGES ET TRAVAUX PUBLICS (100%)</t>
  </si>
  <si>
    <t>A014683</t>
  </si>
  <si>
    <t>MAILLAT (100%)</t>
  </si>
  <si>
    <t>A0014840</t>
  </si>
  <si>
    <t>Seune Sérére</t>
  </si>
  <si>
    <t>A0015064</t>
  </si>
  <si>
    <t>567.2461 km²</t>
  </si>
  <si>
    <t>A15098</t>
  </si>
  <si>
    <t>MADINA DIAKHO</t>
  </si>
  <si>
    <t>FARLEELO TRADING COMPANY</t>
  </si>
  <si>
    <t>49.2736 Ha</t>
  </si>
  <si>
    <t>A15099</t>
  </si>
  <si>
    <t>BANTACO</t>
  </si>
  <si>
    <t>SNEPAC INTERNATIONAL SARL</t>
  </si>
  <si>
    <t>63.5128 km²</t>
  </si>
  <si>
    <t>A015395</t>
  </si>
  <si>
    <t>BANTAKOCOUTA</t>
  </si>
  <si>
    <t>GIE FOUKHABA (100%)</t>
  </si>
  <si>
    <t>50.1081 Ha</t>
  </si>
  <si>
    <t>A15395</t>
  </si>
  <si>
    <t>Foukhaba</t>
  </si>
  <si>
    <t>49.4726 Ha</t>
  </si>
  <si>
    <t>A015771</t>
  </si>
  <si>
    <t xml:space="preserve">TAIBA NDIAYE </t>
  </si>
  <si>
    <t>GRETA RESOURCES SENEGAL (100%)</t>
  </si>
  <si>
    <t>44.6200 km²</t>
  </si>
  <si>
    <t>A015902</t>
  </si>
  <si>
    <t>Tiombane Est</t>
  </si>
  <si>
    <t>SOCIETE INDUSTRIELLE AGRO-ALIMENTAIRE POUR L'AFRIQUE DE L'OUEST</t>
  </si>
  <si>
    <t>318.4514 Ha</t>
  </si>
  <si>
    <t>A015903</t>
  </si>
  <si>
    <t>Tiombane Ouest</t>
  </si>
  <si>
    <t>281.1418 Ha</t>
  </si>
  <si>
    <t>A15904</t>
  </si>
  <si>
    <t>pallo dial</t>
  </si>
  <si>
    <t>GRETA RESOURCES SENEGAL (0%)</t>
  </si>
  <si>
    <t>15.4775 km²</t>
  </si>
  <si>
    <t>A016394</t>
  </si>
  <si>
    <t>DALOTO</t>
  </si>
  <si>
    <t>CASE D'OR (100%)</t>
  </si>
  <si>
    <t>50.8332 Ha</t>
  </si>
  <si>
    <t>A16397</t>
  </si>
  <si>
    <t>TABA AGRICULTURE CONSULTING INFRASTRUCTURE AND MINING (TAACIM) SUARL</t>
  </si>
  <si>
    <t>47.8000 Ha</t>
  </si>
  <si>
    <t>A16564</t>
  </si>
  <si>
    <t>A16569</t>
  </si>
  <si>
    <t>19.8690 Ha</t>
  </si>
  <si>
    <t>A0017338</t>
  </si>
  <si>
    <t>Packi-Toglou</t>
  </si>
  <si>
    <t>IB DISTRIBUTION (100%)</t>
  </si>
  <si>
    <t>4.4643 Ha</t>
  </si>
  <si>
    <t>A017339</t>
  </si>
  <si>
    <t>Ngary Ouest</t>
  </si>
  <si>
    <t>VENDOME HOLDING SAU (100%)</t>
  </si>
  <si>
    <t>A0017345</t>
  </si>
  <si>
    <t>Gangara</t>
  </si>
  <si>
    <t>A0017346</t>
  </si>
  <si>
    <t>Fadoumara bis</t>
  </si>
  <si>
    <t>YPSOS EXPLOITATION MANAGEMENT CONSTRUCTION (100%)</t>
  </si>
  <si>
    <t>50.8641 Ha</t>
  </si>
  <si>
    <t>A0017349</t>
  </si>
  <si>
    <t>NGOYE WADE</t>
  </si>
  <si>
    <t>133.3038 km²</t>
  </si>
  <si>
    <t>A17617</t>
  </si>
  <si>
    <t>OUEST FOUKHANDING</t>
  </si>
  <si>
    <t>49.6244 Ha</t>
  </si>
  <si>
    <t>A17619</t>
  </si>
  <si>
    <t>A17620</t>
  </si>
  <si>
    <t>GANGARA</t>
  </si>
  <si>
    <t>A18375</t>
  </si>
  <si>
    <t>BAITI</t>
  </si>
  <si>
    <t>4.9672 km²</t>
  </si>
  <si>
    <t>A018463</t>
  </si>
  <si>
    <t>CK CARRIRES SA (100%)</t>
  </si>
  <si>
    <t>A018605</t>
  </si>
  <si>
    <t xml:space="preserve">TOGLOU </t>
  </si>
  <si>
    <t>7.3793 Ha</t>
  </si>
  <si>
    <t>A19008</t>
  </si>
  <si>
    <t>242.9679 km²</t>
  </si>
  <si>
    <t>A019381</t>
  </si>
  <si>
    <t>KONKOUTOU</t>
  </si>
  <si>
    <t>49.7755 Ha</t>
  </si>
  <si>
    <t>A019383</t>
  </si>
  <si>
    <t>KANOUMERING</t>
  </si>
  <si>
    <t>SENETRANS AFRICA BUSINESS (SETAB) (100%)</t>
  </si>
  <si>
    <t>A020493</t>
  </si>
  <si>
    <t>5.8922 Ha</t>
  </si>
  <si>
    <t>A020755</t>
  </si>
  <si>
    <t>DIDE</t>
  </si>
  <si>
    <t>SIRK INTERNATIONAL MINING SUARL (100%)</t>
  </si>
  <si>
    <t>397.8000 km²</t>
  </si>
  <si>
    <t>A21998</t>
  </si>
  <si>
    <t>DIOURA DE DIAKHA</t>
  </si>
  <si>
    <t>GIE DIOURA DE DIAKHA (100%)</t>
  </si>
  <si>
    <t>A22463</t>
  </si>
  <si>
    <t>SOCIETE SENEGALAISE DE MATERAUX CARRIERES ET NEGOCE</t>
  </si>
  <si>
    <t>30.0600 Ha</t>
  </si>
  <si>
    <t>A22728</t>
  </si>
  <si>
    <t>EST DALEMA</t>
  </si>
  <si>
    <t>GIE MANKO LIGUEY (100%)</t>
  </si>
  <si>
    <t>48.7290 Ha</t>
  </si>
  <si>
    <t>A024194</t>
  </si>
  <si>
    <t>ZONE ICS</t>
  </si>
  <si>
    <t>SOZAMINES (100%)</t>
  </si>
  <si>
    <t>A026585</t>
  </si>
  <si>
    <t>ETS MOUBARAKA.SUARL (100%)</t>
  </si>
  <si>
    <t>2.8695 Ha</t>
  </si>
  <si>
    <t>A027976</t>
  </si>
  <si>
    <t>ics taiba</t>
  </si>
  <si>
    <t>MINES et BATIMENTS GROUP MBG Sarl (100%)</t>
  </si>
  <si>
    <t>0.0097 km²</t>
  </si>
  <si>
    <t>A0112013</t>
  </si>
  <si>
    <t>Abou Adama Diallo (100%)</t>
  </si>
  <si>
    <t>4.9986 Ha</t>
  </si>
  <si>
    <t>A000016052013</t>
  </si>
  <si>
    <t>A00014052013</t>
  </si>
  <si>
    <t>68.0369 km²</t>
  </si>
  <si>
    <t>A02052013</t>
  </si>
  <si>
    <t>0.2615 km²</t>
  </si>
  <si>
    <t>A00027112012</t>
  </si>
  <si>
    <t>GOULOUGULA</t>
  </si>
  <si>
    <t>279.5993 km²</t>
  </si>
  <si>
    <t>A00030112012</t>
  </si>
  <si>
    <t>BOUREYE</t>
  </si>
  <si>
    <t>347.0379 km²</t>
  </si>
  <si>
    <t>A04032013</t>
  </si>
  <si>
    <t>39.7029 km²</t>
  </si>
  <si>
    <t>A04102012</t>
  </si>
  <si>
    <t>ALUMINIUM DU SENEGAL (100%)</t>
  </si>
  <si>
    <t>1,529.2232 Ha</t>
  </si>
  <si>
    <t>A11072013</t>
  </si>
  <si>
    <t>271.8482 km²</t>
  </si>
  <si>
    <t>A0011122012</t>
  </si>
  <si>
    <t>Djindji Bassari Est</t>
  </si>
  <si>
    <t>A0012032013bis</t>
  </si>
  <si>
    <t>NAMEL SUD</t>
  </si>
  <si>
    <t>IRIS RESSOURCES (100%)</t>
  </si>
  <si>
    <t>999.6401 km²</t>
  </si>
  <si>
    <t>A0013112012</t>
  </si>
  <si>
    <t>Barafoute</t>
  </si>
  <si>
    <t>A0014012013</t>
  </si>
  <si>
    <t>GIE KEDOUGOU BISNESS (100%)</t>
  </si>
  <si>
    <t>6.6526 km²</t>
  </si>
  <si>
    <t>A0015032013</t>
  </si>
  <si>
    <t>GIE GOLD FAMILY (100%)</t>
  </si>
  <si>
    <t>0.5051 km²</t>
  </si>
  <si>
    <t>A0015072013</t>
  </si>
  <si>
    <t>Barabérie Ouest</t>
  </si>
  <si>
    <t>PRODEMINE LTD (100%)</t>
  </si>
  <si>
    <t>Au, Li</t>
  </si>
  <si>
    <t>143.3608 km²</t>
  </si>
  <si>
    <t>A0016112011</t>
  </si>
  <si>
    <t>160.5448 km²</t>
  </si>
  <si>
    <t>A18092012</t>
  </si>
  <si>
    <t>32.0000 Ha</t>
  </si>
  <si>
    <t>A0019032014</t>
  </si>
  <si>
    <t>BADON</t>
  </si>
  <si>
    <t>41.2515 km²</t>
  </si>
  <si>
    <t>A0019112012</t>
  </si>
  <si>
    <t>1,011.6733 km²</t>
  </si>
  <si>
    <t>A0019122012</t>
  </si>
  <si>
    <t>COMPTOIR NUMISMATIQUE SERGE GUELLE KEDOUGOU (100%)</t>
  </si>
  <si>
    <t>498.9000 Ha</t>
  </si>
  <si>
    <t>A0021022012</t>
  </si>
  <si>
    <t>Ibrahima Fofana (100%)</t>
  </si>
  <si>
    <t>1.3504 Ha</t>
  </si>
  <si>
    <t>A021112012</t>
  </si>
  <si>
    <t>5.2743 km²</t>
  </si>
  <si>
    <t>A0022022012</t>
  </si>
  <si>
    <t>212.2067 Ha</t>
  </si>
  <si>
    <t>A0023042013</t>
  </si>
  <si>
    <t>1,085.3817 Ha</t>
  </si>
  <si>
    <t>A023052013</t>
  </si>
  <si>
    <t>ETS ADK (100%)</t>
  </si>
  <si>
    <t>14.9739 Ha</t>
  </si>
  <si>
    <t>A0024042013</t>
  </si>
  <si>
    <t>117.4036 km²</t>
  </si>
  <si>
    <t>A0026012012</t>
  </si>
  <si>
    <t>1,497.7247 Ha</t>
  </si>
  <si>
    <t>A0027112012</t>
  </si>
  <si>
    <t>kHOSSANTO</t>
  </si>
  <si>
    <t>2,273.5600 km²</t>
  </si>
  <si>
    <t>A027112012</t>
  </si>
  <si>
    <t>628.2309 km²</t>
  </si>
  <si>
    <t>A0028032013</t>
  </si>
  <si>
    <t>Simenti</t>
  </si>
  <si>
    <t>1,766.2449 km²</t>
  </si>
  <si>
    <t>A0029052012</t>
  </si>
  <si>
    <t>2.0400 km²</t>
  </si>
  <si>
    <t>A030042013</t>
  </si>
  <si>
    <t>A0030112012a</t>
  </si>
  <si>
    <t>Tassette Nguékhokh</t>
  </si>
  <si>
    <t>Saliou Dieng (100%)</t>
  </si>
  <si>
    <t>6.0774 Ha</t>
  </si>
  <si>
    <t>ACT00157</t>
  </si>
  <si>
    <t>URBAINE D'ENTREPRISE</t>
  </si>
  <si>
    <t>0.3002 km²</t>
  </si>
  <si>
    <t>ACT000223</t>
  </si>
  <si>
    <t>NDOYEN PEUL</t>
  </si>
  <si>
    <t>Mamadou Lo (100%)</t>
  </si>
  <si>
    <t>2.9546 Ha</t>
  </si>
  <si>
    <t>ACT000568</t>
  </si>
  <si>
    <t>ACT000813</t>
  </si>
  <si>
    <t>NOFLAYE GUENDOUF</t>
  </si>
  <si>
    <t>Mouhamadou Lamine  Gassama (100%)</t>
  </si>
  <si>
    <t>ACT000839</t>
  </si>
  <si>
    <t>SIPRES (100%)</t>
  </si>
  <si>
    <t>108.5747 Ha</t>
  </si>
  <si>
    <t>ACT000854</t>
  </si>
  <si>
    <t>lav 12g</t>
  </si>
  <si>
    <t>4.1003 Ha</t>
  </si>
  <si>
    <t>ACT000878</t>
  </si>
  <si>
    <t>Cheikh  Diao</t>
  </si>
  <si>
    <t>ACT001044</t>
  </si>
  <si>
    <t>Tyr Kamb</t>
  </si>
  <si>
    <t>37.1919 Ha</t>
  </si>
  <si>
    <t>ACT001458</t>
  </si>
  <si>
    <t>HARMONY GROUP SUARL (100%)</t>
  </si>
  <si>
    <t>7.2278 Ha</t>
  </si>
  <si>
    <t>ACT001461</t>
  </si>
  <si>
    <t>2.0002 Ha</t>
  </si>
  <si>
    <t>ACT001518</t>
  </si>
  <si>
    <t>Pape Cheikh A. NDIAYE (100%)</t>
  </si>
  <si>
    <t>ACT900896</t>
  </si>
  <si>
    <t>AECT23/10/2013</t>
  </si>
  <si>
    <t>BISSETTE</t>
  </si>
  <si>
    <t>86,793.0000 m²</t>
  </si>
  <si>
    <t>AECT87</t>
  </si>
  <si>
    <t>NIAGA WOLOF</t>
  </si>
  <si>
    <t>Samba Niang (100%)</t>
  </si>
  <si>
    <t>2.6861 Ha</t>
  </si>
  <si>
    <t>AECT0095</t>
  </si>
  <si>
    <t>BOUNDOUM</t>
  </si>
  <si>
    <t>126,708.7451 m²</t>
  </si>
  <si>
    <t>AECT 242</t>
  </si>
  <si>
    <t>LAM 19-1</t>
  </si>
  <si>
    <t>849,719.5782 m²</t>
  </si>
  <si>
    <t>AECT000244</t>
  </si>
  <si>
    <t>YORO NDIAYE (100%)</t>
  </si>
  <si>
    <t>0.0092 km²</t>
  </si>
  <si>
    <t>AECT00297</t>
  </si>
  <si>
    <t>0.0063 km²</t>
  </si>
  <si>
    <t>AECT000595</t>
  </si>
  <si>
    <t>NDIAYENE-PENDAO</t>
  </si>
  <si>
    <t>RC CONSTRUCOES SENEGAL SAU (100%)</t>
  </si>
  <si>
    <t>0.3034 km²</t>
  </si>
  <si>
    <t>AECT00658</t>
  </si>
  <si>
    <t>tivaoun Peulh</t>
  </si>
  <si>
    <t>0.0509 km²</t>
  </si>
  <si>
    <t>AECT00774</t>
  </si>
  <si>
    <t>BANCO</t>
  </si>
  <si>
    <t>GANDHI SUARL (100%)</t>
  </si>
  <si>
    <t>8.5814 Ha</t>
  </si>
  <si>
    <t>AECT000811</t>
  </si>
  <si>
    <t>MSF (100%)</t>
  </si>
  <si>
    <t>1.0040 Ha</t>
  </si>
  <si>
    <t>AECT000855</t>
  </si>
  <si>
    <t>Alpha Bocar Khouma (100%)</t>
  </si>
  <si>
    <t>0.0113 km²</t>
  </si>
  <si>
    <t>AECT000899</t>
  </si>
  <si>
    <t>NIAGA PEULH</t>
  </si>
  <si>
    <t>MOMAR SOKHNA DIOP (100%)</t>
  </si>
  <si>
    <t>1.8713 Ha</t>
  </si>
  <si>
    <t>AECT000948</t>
  </si>
  <si>
    <t>KEUR NDIAYE LO</t>
  </si>
  <si>
    <t>OUSMANE  DIA (100%)</t>
  </si>
  <si>
    <t>0.7007 Ha</t>
  </si>
  <si>
    <t>AECT0948</t>
  </si>
  <si>
    <t>NOFLAYE</t>
  </si>
  <si>
    <t>ALFOUSSEYNI BADIANE (100%)</t>
  </si>
  <si>
    <t>0.0336 km²</t>
  </si>
  <si>
    <t>AECT000991</t>
  </si>
  <si>
    <t>150.4805 km²</t>
  </si>
  <si>
    <t>AECT001099</t>
  </si>
  <si>
    <t>ABDOUL AZIZ LO</t>
  </si>
  <si>
    <t>0.0015 km²</t>
  </si>
  <si>
    <t>AECT01163</t>
  </si>
  <si>
    <t>AD INVEST SA</t>
  </si>
  <si>
    <t>7.3791 Ha</t>
  </si>
  <si>
    <t>AECT001217</t>
  </si>
  <si>
    <t>ASN TRADING &amp; EQUIPEMENTS SARL (100%)</t>
  </si>
  <si>
    <t>0.0389 km²</t>
  </si>
  <si>
    <t>AECT01748</t>
  </si>
  <si>
    <t>Cheikh Diouf (100%)</t>
  </si>
  <si>
    <t>0.0518 km²</t>
  </si>
  <si>
    <t>AECT10042015</t>
  </si>
  <si>
    <t>LAC ROSE</t>
  </si>
  <si>
    <t>SOBAMO.TP</t>
  </si>
  <si>
    <t>AEPM24022020</t>
  </si>
  <si>
    <t>MYSAKA GROUP SAS (100%)</t>
  </si>
  <si>
    <t>142.7230 Ha</t>
  </si>
  <si>
    <t>AESM 24022020</t>
  </si>
  <si>
    <t>Hongtao BI (100%)</t>
  </si>
  <si>
    <t>24.5267 Ha</t>
  </si>
  <si>
    <t>AN°19-10-2011</t>
  </si>
  <si>
    <t>497.5384 Ha</t>
  </si>
  <si>
    <t>AP02/06/2013</t>
  </si>
  <si>
    <t>GIE KAMBIN BAADINNIA (100%)</t>
  </si>
  <si>
    <t>2,465.0000 Ha</t>
  </si>
  <si>
    <t>AP27/02/2013</t>
  </si>
  <si>
    <t>PROSPECTIUNI (100%)</t>
  </si>
  <si>
    <t>AP000037</t>
  </si>
  <si>
    <t>WEST AFRICAN MINING CONSULTANT SARL (100%)</t>
  </si>
  <si>
    <t>13.1952 Ha</t>
  </si>
  <si>
    <t>AP00123</t>
  </si>
  <si>
    <t>45.9536 Ha</t>
  </si>
  <si>
    <t>AP00248</t>
  </si>
  <si>
    <t>Bantakoto koto2</t>
  </si>
  <si>
    <t>37.2675 Ha</t>
  </si>
  <si>
    <t>AP00259</t>
  </si>
  <si>
    <t>Kabatéguinda</t>
  </si>
  <si>
    <t>50.4297 Ha</t>
  </si>
  <si>
    <t>AP00260</t>
  </si>
  <si>
    <t>XELCOM TRADING (100%)</t>
  </si>
  <si>
    <t>AP000291</t>
  </si>
  <si>
    <t>SEYDINA OUMAR THIAW (100%)</t>
  </si>
  <si>
    <t>16.2029 km²</t>
  </si>
  <si>
    <t>AP000292</t>
  </si>
  <si>
    <t>0.1950 km²</t>
  </si>
  <si>
    <t>AP000297</t>
  </si>
  <si>
    <t>62.7149 km²</t>
  </si>
  <si>
    <t>AP000321</t>
  </si>
  <si>
    <t>250.7549 km²</t>
  </si>
  <si>
    <t>AP000346</t>
  </si>
  <si>
    <t>0.2631 km²</t>
  </si>
  <si>
    <t>AP000347</t>
  </si>
  <si>
    <t>Moussa SISSOKO (100%)</t>
  </si>
  <si>
    <t>AP000351</t>
  </si>
  <si>
    <t>GIE GAS-GOLD (100%)</t>
  </si>
  <si>
    <t>2.6962 km²</t>
  </si>
  <si>
    <t>AP000370</t>
  </si>
  <si>
    <t>THOCOMAR (100%)</t>
  </si>
  <si>
    <t>0.0009 km²</t>
  </si>
  <si>
    <t>AP000371</t>
  </si>
  <si>
    <t>TOUBA DIALIBATOU PRESTIGE SUARL (100%)</t>
  </si>
  <si>
    <t>0.1825 km²</t>
  </si>
  <si>
    <t>AP0380</t>
  </si>
  <si>
    <t>GM GOLD GUEYE MAHAMADOU (100%)</t>
  </si>
  <si>
    <t>10.5291 Ha</t>
  </si>
  <si>
    <t>AP000407</t>
  </si>
  <si>
    <t>Ndeye Maguette  Mar (100%)</t>
  </si>
  <si>
    <t>0.9038 km²</t>
  </si>
  <si>
    <t>AP00416</t>
  </si>
  <si>
    <t>NATIONAL CONSTRUCTION (100%)</t>
  </si>
  <si>
    <t>AP00433</t>
  </si>
  <si>
    <t>28.4417 km²</t>
  </si>
  <si>
    <t>AP00460</t>
  </si>
  <si>
    <t>486.4474 Ha</t>
  </si>
  <si>
    <t>AP000484</t>
  </si>
  <si>
    <t>GIE TEDOUGAL (100%)</t>
  </si>
  <si>
    <t>AP000486</t>
  </si>
  <si>
    <t>0.0172 km²</t>
  </si>
  <si>
    <t>AP000487</t>
  </si>
  <si>
    <t>SENEGAL ORIENTAL</t>
  </si>
  <si>
    <t>SPOTLIGHT GLOBAL-SARL (100%)</t>
  </si>
  <si>
    <t>AP000507</t>
  </si>
  <si>
    <t>ENTREPRISE BELAA (100%)</t>
  </si>
  <si>
    <t>Au, basalte, granite</t>
  </si>
  <si>
    <t>0.0153 km²</t>
  </si>
  <si>
    <t>AP000630</t>
  </si>
  <si>
    <t>302.0808 Ha</t>
  </si>
  <si>
    <t>AP000638</t>
  </si>
  <si>
    <t>BOMBAYA</t>
  </si>
  <si>
    <t>AP000640</t>
  </si>
  <si>
    <t>HUANG LONG GOLD FIELD SUARL (100%)</t>
  </si>
  <si>
    <t>15.8719 km²</t>
  </si>
  <si>
    <t>AP000641</t>
  </si>
  <si>
    <t>AP000650</t>
  </si>
  <si>
    <t>SKY SENEGAL SUARL (100%)</t>
  </si>
  <si>
    <t>2.9955 km²</t>
  </si>
  <si>
    <t>AP000679</t>
  </si>
  <si>
    <t>FLEUVE FALEME</t>
  </si>
  <si>
    <t>PMPS MINING COMPANY SARL (100%)</t>
  </si>
  <si>
    <t>AP000684</t>
  </si>
  <si>
    <t>AP000685</t>
  </si>
  <si>
    <t>Serigne Sidy MBACKE (100%)</t>
  </si>
  <si>
    <t>AP000686</t>
  </si>
  <si>
    <t>NDIAGNA NIANG (100%)</t>
  </si>
  <si>
    <t>0.0006 km²</t>
  </si>
  <si>
    <t>AP000715</t>
  </si>
  <si>
    <t>ETUDES ET REALISATIONS DES TALIBES MOURIDES (100%)</t>
  </si>
  <si>
    <t>49.9508 Ha</t>
  </si>
  <si>
    <t>AP00716</t>
  </si>
  <si>
    <t>GIE BIJOUTERIE AIR FRANCE (100%)</t>
  </si>
  <si>
    <t>22.3110 km²</t>
  </si>
  <si>
    <t>AP000773</t>
  </si>
  <si>
    <t>Ngoundiane</t>
  </si>
  <si>
    <t>GROUPEMENT HOUAR-SINTRAM (100%)</t>
  </si>
  <si>
    <t>8.9988 Ha</t>
  </si>
  <si>
    <t>AP00805</t>
  </si>
  <si>
    <t>Seune Serere II</t>
  </si>
  <si>
    <t>49.9156 Ha</t>
  </si>
  <si>
    <t>AP000903</t>
  </si>
  <si>
    <t>GIE RIZKHOUMA INDAA LAH  (100%)</t>
  </si>
  <si>
    <t>2.7518 km²</t>
  </si>
  <si>
    <t>AP00917</t>
  </si>
  <si>
    <t>Seune Serere I</t>
  </si>
  <si>
    <t>19.1898 Ha</t>
  </si>
  <si>
    <t>AP000921</t>
  </si>
  <si>
    <t>kedougou</t>
  </si>
  <si>
    <t>SAMAIPO SARL (100%)</t>
  </si>
  <si>
    <t>AP00930</t>
  </si>
  <si>
    <t>KEYSTONE (100%)</t>
  </si>
  <si>
    <t>AP000949</t>
  </si>
  <si>
    <t>GIE GENERAL RESSOURCE (100%)</t>
  </si>
  <si>
    <t>AP000951</t>
  </si>
  <si>
    <t>SOCODIS-INTERNATIONAL (100%)</t>
  </si>
  <si>
    <t>AP000952</t>
  </si>
  <si>
    <t>basalte, calcaire</t>
  </si>
  <si>
    <t>AP000959</t>
  </si>
  <si>
    <t>Mamadou SYLLA (100%)</t>
  </si>
  <si>
    <t>AP000963</t>
  </si>
  <si>
    <t>41.5072 km²</t>
  </si>
  <si>
    <t>AP000964</t>
  </si>
  <si>
    <t>GIE DIALLO TRANSPORT ET FILS (100%)</t>
  </si>
  <si>
    <t>0.4227 Ha</t>
  </si>
  <si>
    <t>AP000967</t>
  </si>
  <si>
    <t>29.3369 km²</t>
  </si>
  <si>
    <t>AP001005</t>
  </si>
  <si>
    <t>SESSENE DIACK</t>
  </si>
  <si>
    <t>GIE GIMPEX (100%)</t>
  </si>
  <si>
    <t>10.7429 Ha</t>
  </si>
  <si>
    <t>AP001040</t>
  </si>
  <si>
    <t>GIE DIABY ET FRERES (100%)</t>
  </si>
  <si>
    <t>AP001042</t>
  </si>
  <si>
    <t>GIE AFRIQUE YIRINA (100%)</t>
  </si>
  <si>
    <t>AP001044</t>
  </si>
  <si>
    <t>DORADO SUARL (100%)</t>
  </si>
  <si>
    <t>359.0644 Ha</t>
  </si>
  <si>
    <t>AP001045</t>
  </si>
  <si>
    <t>DAP13082015</t>
  </si>
  <si>
    <t>GENIT SARL (100%)</t>
  </si>
  <si>
    <t>AP001118</t>
  </si>
  <si>
    <t>AMADOU OURY DIALLO (100%)</t>
  </si>
  <si>
    <t>7.3362 km²</t>
  </si>
  <si>
    <t>AP001119</t>
  </si>
  <si>
    <t>CHEICKNA KOUREKAMA (100%)</t>
  </si>
  <si>
    <t>73.2200 Ha</t>
  </si>
  <si>
    <t>AP001149</t>
  </si>
  <si>
    <t>TAMBAKUMALA SARL (100%)</t>
  </si>
  <si>
    <t>49.9730 Ha</t>
  </si>
  <si>
    <t>AP001281</t>
  </si>
  <si>
    <t>HABIBOU GABRIEL DIOUF (100%)</t>
  </si>
  <si>
    <t>AP001290</t>
  </si>
  <si>
    <t>GIE TOMBOULMA (100%)</t>
  </si>
  <si>
    <t>88.0402 Ha</t>
  </si>
  <si>
    <t>AP001302</t>
  </si>
  <si>
    <t>Paki-Toglou</t>
  </si>
  <si>
    <t>ABDOULAYE TOURE (100%)</t>
  </si>
  <si>
    <t>17.9712 Ha</t>
  </si>
  <si>
    <t>AP001334</t>
  </si>
  <si>
    <t>ETS MODOU NIANG</t>
  </si>
  <si>
    <t>1,365.0490 Ha</t>
  </si>
  <si>
    <t>AP001445</t>
  </si>
  <si>
    <t>60.0710 km²</t>
  </si>
  <si>
    <t>AP001508</t>
  </si>
  <si>
    <t>CHINA ROAD AND BRIDGE CORPORATION SENEGAL</t>
  </si>
  <si>
    <t>3,651.9629 km²</t>
  </si>
  <si>
    <t>AP001517</t>
  </si>
  <si>
    <t>TOMBONKOTO</t>
  </si>
  <si>
    <t>BASMALA INTERNATIONAL SARL</t>
  </si>
  <si>
    <t>2,916.9349 km²</t>
  </si>
  <si>
    <t>AP001564</t>
  </si>
  <si>
    <t>BOUNTOU-SAMBARABOUGOU-YLIMALO DAORALA</t>
  </si>
  <si>
    <t>INTERNATIONAL GOLD ALWAR Sarl (100%)</t>
  </si>
  <si>
    <t>34.3155 km²</t>
  </si>
  <si>
    <t>AP08092014</t>
  </si>
  <si>
    <t>NIBODJI-TRADE-CENTER (100%)</t>
  </si>
  <si>
    <t>0.0109 km²</t>
  </si>
  <si>
    <t>AP23092014</t>
  </si>
  <si>
    <t>0.2317 km²</t>
  </si>
  <si>
    <t>AP26122017</t>
  </si>
  <si>
    <t>GIE BMC</t>
  </si>
  <si>
    <t>AP28042015_1</t>
  </si>
  <si>
    <t>AP28042015_2</t>
  </si>
  <si>
    <t>0.3218 km²</t>
  </si>
  <si>
    <t>AP28112017</t>
  </si>
  <si>
    <t>44.8229 Ha</t>
  </si>
  <si>
    <t>COMPAGNIE KHADIMOU RASSOUL SARL</t>
  </si>
  <si>
    <t>COMPAGNIE KHADIMOU RASSOUL (CKR) Sarl (100%)</t>
  </si>
  <si>
    <t>344.6883 Ha</t>
  </si>
  <si>
    <t>D18/01/2013</t>
  </si>
  <si>
    <t>El Hdji Abdoul Aziz  LO (100%)</t>
  </si>
  <si>
    <t>0.0101 km²</t>
  </si>
  <si>
    <t>D21/02/2013</t>
  </si>
  <si>
    <t>SOUNTOUKHONO</t>
  </si>
  <si>
    <t>53.2000 Ha</t>
  </si>
  <si>
    <t>D99 - 22</t>
  </si>
  <si>
    <t>D 99 - 22 périmètre de SONKOUNKOU</t>
  </si>
  <si>
    <t>D1995-1056</t>
  </si>
  <si>
    <t>D1995-1056 Fouloum et Thiéwo</t>
  </si>
  <si>
    <t>6,415.9306 Ha</t>
  </si>
  <si>
    <t>D1996-887</t>
  </si>
  <si>
    <t>Périmètre de Kéniaba</t>
  </si>
  <si>
    <t>387.5297 km²</t>
  </si>
  <si>
    <t>D1998-238</t>
  </si>
  <si>
    <t xml:space="preserve">D1998-238                  </t>
  </si>
  <si>
    <t>ETUDES ET EXPLOITATION INDUSTRIELLES ET COMMERCIALES DE L'OR EN AFRIQUE (100%)</t>
  </si>
  <si>
    <t>D2002-1080</t>
  </si>
  <si>
    <t>D2002-1080 Kanouméring</t>
  </si>
  <si>
    <t>D2003-381</t>
  </si>
  <si>
    <t>D2003-381 Kounemba</t>
  </si>
  <si>
    <t>D2005-207</t>
  </si>
  <si>
    <t>D2005-207 Ibel et Ndébou</t>
  </si>
  <si>
    <t>NOUVELLES SOCIETE DES MINES ET DES TRAVAUX PUBLIQUES (90%)</t>
  </si>
  <si>
    <t>15.3736 Ha</t>
  </si>
  <si>
    <t>D2005-208</t>
  </si>
  <si>
    <t>D2005-208 Ndébou</t>
  </si>
  <si>
    <t>SOCIETE D'EXPLOITATION DES GISEMENTS DE MARBRES (100%)</t>
  </si>
  <si>
    <t>0.1220 km²</t>
  </si>
  <si>
    <t>D2005-209</t>
  </si>
  <si>
    <t>D2005-209 Bandafassi et Ndébou</t>
  </si>
  <si>
    <t>SOCIETE POLYMARBRE BZOU FES</t>
  </si>
  <si>
    <t>0.7831 km²</t>
  </si>
  <si>
    <t>D2010-83</t>
  </si>
  <si>
    <t>Goulouma</t>
  </si>
  <si>
    <t>OROMIN JOINT VENTURE GROUP LTD</t>
  </si>
  <si>
    <t>211.6741 km²</t>
  </si>
  <si>
    <t>D2010-1094</t>
  </si>
  <si>
    <t>Douta</t>
  </si>
  <si>
    <t>WEST AFRICAN TRADING INVESTMENT CONSTRUCTION (90%)</t>
  </si>
  <si>
    <t>28.8200 km²</t>
  </si>
  <si>
    <t>D2011-1031</t>
  </si>
  <si>
    <t>SENEGALAISE DES INDUSTRIES</t>
  </si>
  <si>
    <t>665.4706 Ha</t>
  </si>
  <si>
    <t>D2012-264</t>
  </si>
  <si>
    <t>Fass _Boye-Diogo</t>
  </si>
  <si>
    <t>SOCIETE INDUSTRIE AFRICAINE DES VERRES IAV-SA</t>
  </si>
  <si>
    <t>4.5018 km²</t>
  </si>
  <si>
    <t>D2000000</t>
  </si>
  <si>
    <t>AGPL INVESTMENTS PTE.LTD</t>
  </si>
  <si>
    <t>81.4401 km²</t>
  </si>
  <si>
    <t>D25022014</t>
  </si>
  <si>
    <t>114.2097 km²</t>
  </si>
  <si>
    <t>DAA000909</t>
  </si>
  <si>
    <t>GIE GROUPEMENT AGRO PASTORALE (100%)</t>
  </si>
  <si>
    <t>2.7748 Ha</t>
  </si>
  <si>
    <t>DAA07042014</t>
  </si>
  <si>
    <t>GIE THIERNO ALASSANE DIA ALMOUDOU (100%)</t>
  </si>
  <si>
    <t>DACP18/11/2013</t>
  </si>
  <si>
    <t>ECAR SA (100%)</t>
  </si>
  <si>
    <t>20.0075 Ha</t>
  </si>
  <si>
    <t>DACP24/07/2013</t>
  </si>
  <si>
    <t>49.1900 Ha</t>
  </si>
  <si>
    <t>DACP2862015_1</t>
  </si>
  <si>
    <t>LINGUERE 2</t>
  </si>
  <si>
    <t>IBRAHIMA SARR PRODUCTION</t>
  </si>
  <si>
    <t>2,930.5425 km²</t>
  </si>
  <si>
    <t>DACP06092016</t>
  </si>
  <si>
    <t>Ngomene Balla</t>
  </si>
  <si>
    <t>DACP09012015</t>
  </si>
  <si>
    <t>SOBAMO.TP (100%)</t>
  </si>
  <si>
    <t>51.1666 Ha</t>
  </si>
  <si>
    <t>DACP11052015</t>
  </si>
  <si>
    <t>DAROU SALAM SARL</t>
  </si>
  <si>
    <t>0.2017 km²</t>
  </si>
  <si>
    <t>DACP15052015</t>
  </si>
  <si>
    <t>Abdoulaye  SECK</t>
  </si>
  <si>
    <t>1.1850 km²</t>
  </si>
  <si>
    <t>DACP18022015</t>
  </si>
  <si>
    <t>RICOTTE</t>
  </si>
  <si>
    <t>1.0860 Ha</t>
  </si>
  <si>
    <t>DACP18032015</t>
  </si>
  <si>
    <t>SEYDINA OUMAR THIAW</t>
  </si>
  <si>
    <t>0.1700 km²</t>
  </si>
  <si>
    <t>DACP21062015</t>
  </si>
  <si>
    <t>DACP21102020</t>
  </si>
  <si>
    <t>Ndande</t>
  </si>
  <si>
    <t>DACP21122015</t>
  </si>
  <si>
    <t>19.0785 Ha</t>
  </si>
  <si>
    <t>DACP23032015</t>
  </si>
  <si>
    <t>SOCIETE SENEGALAISE D'EXPLOITATION ET DE TRANSPORT DES PRODUITS MINIERS SARL (100%)</t>
  </si>
  <si>
    <t>96.9240 Ha</t>
  </si>
  <si>
    <t>DACP23062016</t>
  </si>
  <si>
    <t>Keur Samba</t>
  </si>
  <si>
    <t>DACP25032016</t>
  </si>
  <si>
    <t>Aynoumadi</t>
  </si>
  <si>
    <t>74.1278 Ha</t>
  </si>
  <si>
    <t>DACP26122019</t>
  </si>
  <si>
    <t>3.8070 Ha</t>
  </si>
  <si>
    <t>DACP028032013</t>
  </si>
  <si>
    <t>SENEGALAISE DES MATERIAUX DE CONSTRUCTION (100%)</t>
  </si>
  <si>
    <t>36.3933 Ha</t>
  </si>
  <si>
    <t>DACPI12082020-1</t>
  </si>
  <si>
    <t>S&amp;S INDUSTRIAL COMPANY LIMITED (100%)</t>
  </si>
  <si>
    <t>20.8740 Ha</t>
  </si>
  <si>
    <t>DACPP01022019</t>
  </si>
  <si>
    <t>GEOSCIENCES AND PROCESS SERVICES (100%)</t>
  </si>
  <si>
    <t>DACPP01022019-1</t>
  </si>
  <si>
    <t>GROUPOO SARL (100%)</t>
  </si>
  <si>
    <t>19.9938 Ha</t>
  </si>
  <si>
    <t>DACPP01082018</t>
  </si>
  <si>
    <t>FELOU TRADING IMPORT EXPORT SARL (100%)</t>
  </si>
  <si>
    <t>35.9015 Ha</t>
  </si>
  <si>
    <t>DACPP02012019</t>
  </si>
  <si>
    <t>ETERVI SUARL (100%)</t>
  </si>
  <si>
    <t>20.0286 Ha</t>
  </si>
  <si>
    <t>DACPP03022021</t>
  </si>
  <si>
    <t>24.4688 Ha</t>
  </si>
  <si>
    <t>DACPP03092018</t>
  </si>
  <si>
    <t>AF GROUP SARL (100%)</t>
  </si>
  <si>
    <t>20.8906 Ha</t>
  </si>
  <si>
    <t>DACPP03092018-1</t>
  </si>
  <si>
    <t>34.0100 Ha</t>
  </si>
  <si>
    <t>DACPP04052017-1</t>
  </si>
  <si>
    <t>19.9397 Ha</t>
  </si>
  <si>
    <t>DACPP04092018</t>
  </si>
  <si>
    <t>70.3011 Ha</t>
  </si>
  <si>
    <t>DACPP05062020</t>
  </si>
  <si>
    <t>FIDEO HOLDING SASU (100%)</t>
  </si>
  <si>
    <t>9.9840 Ha</t>
  </si>
  <si>
    <t>DACPP05082019</t>
  </si>
  <si>
    <t>40.2036 Ha</t>
  </si>
  <si>
    <t>DACPP05102017</t>
  </si>
  <si>
    <t>CHEIKH KANE TRANSPORTEUR SAU (100%)</t>
  </si>
  <si>
    <t>DACPP06032019</t>
  </si>
  <si>
    <t>24.2062 Ha</t>
  </si>
  <si>
    <t>DACPP06062017</t>
  </si>
  <si>
    <t>9.6724 Ha</t>
  </si>
  <si>
    <t>DACPP06072017</t>
  </si>
  <si>
    <t>SOCIETE OUEST AFICAINE DE CONCASSAGE (SOAC) SARL (100%)</t>
  </si>
  <si>
    <t>10.2149 Ha</t>
  </si>
  <si>
    <t>DACPP06092018</t>
  </si>
  <si>
    <t>ZELTEX SENEGAL SA (100%)</t>
  </si>
  <si>
    <t>6.7342 Ha</t>
  </si>
  <si>
    <t>DACPP08012019-1</t>
  </si>
  <si>
    <t>56.0000 Ha</t>
  </si>
  <si>
    <t>DACPP08012021-1</t>
  </si>
  <si>
    <t>MSB BUSINESS SARL (100%)</t>
  </si>
  <si>
    <t>14.4670 Ha</t>
  </si>
  <si>
    <t>DACPP08022018</t>
  </si>
  <si>
    <t>DACPP09082019</t>
  </si>
  <si>
    <t>GENERAL TRANSPORT AND LOGISTICS SAS (100%)</t>
  </si>
  <si>
    <t>10.8993 Ha</t>
  </si>
  <si>
    <t>DACPP10072018</t>
  </si>
  <si>
    <t>9.3252 Ha</t>
  </si>
  <si>
    <t>DACPP12022018</t>
  </si>
  <si>
    <t>NIKANTE SN SARL (100%)</t>
  </si>
  <si>
    <t>DACPP12042018-1</t>
  </si>
  <si>
    <t>BANDAFASSI SF20 SUD</t>
  </si>
  <si>
    <t>13.5053 Ha</t>
  </si>
  <si>
    <t>DACPP12042018-2</t>
  </si>
  <si>
    <t>55.8081 Ha</t>
  </si>
  <si>
    <t>DACPP12072018</t>
  </si>
  <si>
    <t>GRUPO VEPANA (100%)</t>
  </si>
  <si>
    <t>18.1930 Ha</t>
  </si>
  <si>
    <t>DACPP13032019</t>
  </si>
  <si>
    <t>BSTRATEXO SARL (100%)</t>
  </si>
  <si>
    <t>12.0550 Ha</t>
  </si>
  <si>
    <t>DACPP14022018</t>
  </si>
  <si>
    <t>DACPP14032018</t>
  </si>
  <si>
    <t>30.5997 Ha</t>
  </si>
  <si>
    <t>DACPP15032018-1</t>
  </si>
  <si>
    <t>10.0762 Ha</t>
  </si>
  <si>
    <t>DACPP15052018-1</t>
  </si>
  <si>
    <t>10.1313 Ha</t>
  </si>
  <si>
    <t>DACPP16012019</t>
  </si>
  <si>
    <t>DACPP16102018</t>
  </si>
  <si>
    <t>44.2888 Ha</t>
  </si>
  <si>
    <t>DACPP16102018-1</t>
  </si>
  <si>
    <t>30.9388 Ha</t>
  </si>
  <si>
    <t>DACPP16102018-2</t>
  </si>
  <si>
    <t>NIORO</t>
  </si>
  <si>
    <t>18.8416 Ha</t>
  </si>
  <si>
    <t>DACPP18102018</t>
  </si>
  <si>
    <t>200.0250 Ha</t>
  </si>
  <si>
    <t>DACPP18102018-1</t>
  </si>
  <si>
    <t>50.7500 Ha</t>
  </si>
  <si>
    <t>DACPP19032019</t>
  </si>
  <si>
    <t>SOCIETES DE FORAGES ET DES TRAVAUX PUBLICS (SFTP) (100%)</t>
  </si>
  <si>
    <t>46.5190 Ha</t>
  </si>
  <si>
    <t>DACPP19092019</t>
  </si>
  <si>
    <t>DACPP20032018</t>
  </si>
  <si>
    <t>17.0278 Ha</t>
  </si>
  <si>
    <t>DACPP20032020</t>
  </si>
  <si>
    <t>SEBIKOTANE</t>
  </si>
  <si>
    <t>8.5882 Ha</t>
  </si>
  <si>
    <t>DACPP20062017</t>
  </si>
  <si>
    <t>ETUDE CONSTRUCTION SERVICE-E.C.S. GENIE CIVIL (100%)</t>
  </si>
  <si>
    <t>60.7000 Ha</t>
  </si>
  <si>
    <t>DACPP20062018</t>
  </si>
  <si>
    <t>GLOBAL MINING COMPANY SARL (100%)</t>
  </si>
  <si>
    <t>51.5359 Ha</t>
  </si>
  <si>
    <t>DACPP20072017</t>
  </si>
  <si>
    <t>19.2635 Ha</t>
  </si>
  <si>
    <t>DACPP20072018</t>
  </si>
  <si>
    <t>55.8448 Ha</t>
  </si>
  <si>
    <t>DACPP22102020</t>
  </si>
  <si>
    <t>Bandafassi Landjéni</t>
  </si>
  <si>
    <t>PROMSPEC (100%)</t>
  </si>
  <si>
    <t>0.1519 Ha</t>
  </si>
  <si>
    <t>DACPP22112019</t>
  </si>
  <si>
    <t>67.5500 Ha</t>
  </si>
  <si>
    <t>DACPP23042018</t>
  </si>
  <si>
    <t>14.7008 Ha</t>
  </si>
  <si>
    <t>DACPP23072018-1</t>
  </si>
  <si>
    <t>38.7168 Ha</t>
  </si>
  <si>
    <t>DACPP23072018-3</t>
  </si>
  <si>
    <t>50.0086 Ha</t>
  </si>
  <si>
    <t>DACPP24092018</t>
  </si>
  <si>
    <t>DACPP25042018</t>
  </si>
  <si>
    <t>ORIENTAL GENIE CIVIL (100%)</t>
  </si>
  <si>
    <t>50.0441 Ha</t>
  </si>
  <si>
    <t>DACPP25122020</t>
  </si>
  <si>
    <t>SOCIETE ATLANTIQUE HYDROCARBURE GROUPE (100%)</t>
  </si>
  <si>
    <t>85.2780 Ha</t>
  </si>
  <si>
    <t>DACPP26032019</t>
  </si>
  <si>
    <t>COMPAGNIE DE RECHERCHE ET D'EXPLOITATION MINIERE SARL (100%)</t>
  </si>
  <si>
    <t>20.1496 Ha</t>
  </si>
  <si>
    <t>DACPP26052020</t>
  </si>
  <si>
    <t>51.4082 Ha</t>
  </si>
  <si>
    <t>DACPP26072017</t>
  </si>
  <si>
    <t>62.5536 Ha</t>
  </si>
  <si>
    <t>DACPP26092018</t>
  </si>
  <si>
    <t>85.4679 Ha</t>
  </si>
  <si>
    <t>DACPP27022018</t>
  </si>
  <si>
    <t>DACPP27032018</t>
  </si>
  <si>
    <t>71.3391 Ha</t>
  </si>
  <si>
    <t>DACPP27032018-1</t>
  </si>
  <si>
    <t>LES CARRIERES DE DIACK (100%)</t>
  </si>
  <si>
    <t>22.1000 Ha</t>
  </si>
  <si>
    <t>DACPP27112018</t>
  </si>
  <si>
    <t>Sebikotane</t>
  </si>
  <si>
    <t>AFRICAN INDUSTRIES GATEWAY (100%)</t>
  </si>
  <si>
    <t>DACPP27122017</t>
  </si>
  <si>
    <t>17.9446 Ha</t>
  </si>
  <si>
    <t>DACPP27122017-1</t>
  </si>
  <si>
    <t>34.5254 Ha</t>
  </si>
  <si>
    <t>DACPP28082018</t>
  </si>
  <si>
    <t>SK MINING OPERATIONS SARL (100%)</t>
  </si>
  <si>
    <t>49.8334 Ha</t>
  </si>
  <si>
    <t>DACPP28082018-1</t>
  </si>
  <si>
    <t>22.7656 Ha</t>
  </si>
  <si>
    <t>DACPP28122018</t>
  </si>
  <si>
    <t>DACPP28122018-1</t>
  </si>
  <si>
    <t>21.0694 Ha</t>
  </si>
  <si>
    <t>DACPP29062017</t>
  </si>
  <si>
    <t>TAMIL MINES SARL (100%)</t>
  </si>
  <si>
    <t>45.3546 Ha</t>
  </si>
  <si>
    <t>DACPP31072018</t>
  </si>
  <si>
    <t>Sud ouest Bafoundou</t>
  </si>
  <si>
    <t>23.7434 Ha</t>
  </si>
  <si>
    <t>DACPPSANTARGILE26052020</t>
  </si>
  <si>
    <t>54.4606 Ha</t>
  </si>
  <si>
    <t>DACPT 2019</t>
  </si>
  <si>
    <t>SOCIETE SENEGALAISE DE CONSTRUCTION ET DE PROMOTION IMMOBILIERE (100%)</t>
  </si>
  <si>
    <t>0.3252 km²</t>
  </si>
  <si>
    <t>DACPT01022018</t>
  </si>
  <si>
    <t>SENEGAL MINERGY PORT (100%)</t>
  </si>
  <si>
    <t>DACPT02012019-1</t>
  </si>
  <si>
    <t>SOCIETE SENEGALAISE DE TRANSPORT SUR CHANTIER (100%)</t>
  </si>
  <si>
    <t>2.6650 Ha</t>
  </si>
  <si>
    <t>DACPT02022020</t>
  </si>
  <si>
    <t>MINERAL MINING ENERGY (100%)</t>
  </si>
  <si>
    <t>2.9977 Ha</t>
  </si>
  <si>
    <t>DACPT02022021</t>
  </si>
  <si>
    <t>0.3037 km²</t>
  </si>
  <si>
    <t>DACPT02052018</t>
  </si>
  <si>
    <t>Deni BIRAME ndao</t>
  </si>
  <si>
    <t>COMPTOIR COMMERCIAL ABDOU DIENG SARL  (100%)</t>
  </si>
  <si>
    <t>7.1138 Ha</t>
  </si>
  <si>
    <t>DACPT02122019-1</t>
  </si>
  <si>
    <t>5.2267 Ha</t>
  </si>
  <si>
    <t>DACPT02122020</t>
  </si>
  <si>
    <t>4.1389 Ha</t>
  </si>
  <si>
    <t>DACPT04102017</t>
  </si>
  <si>
    <t>6.0942 Ha</t>
  </si>
  <si>
    <t>DACPT05012021</t>
  </si>
  <si>
    <t>COMPAGNIE SENEGALAISE DE TRAVAUX ET DE NEGOCE SUARL (100%)</t>
  </si>
  <si>
    <t>32.4791 Ha</t>
  </si>
  <si>
    <t>DACPT05092018</t>
  </si>
  <si>
    <t>TEYLIOM LOGISTICS SENEGAL (100%)</t>
  </si>
  <si>
    <t>DACPT06012021_1</t>
  </si>
  <si>
    <t>DACPT06062017</t>
  </si>
  <si>
    <t>9.3372 Ha</t>
  </si>
  <si>
    <t>DACPT06072017</t>
  </si>
  <si>
    <t>Kandam</t>
  </si>
  <si>
    <t>34.9324 Ha</t>
  </si>
  <si>
    <t>DACPT07032019</t>
  </si>
  <si>
    <t>Sinthiou Mame Ngor</t>
  </si>
  <si>
    <t>1.9464 Ha</t>
  </si>
  <si>
    <t>DACPT07062018</t>
  </si>
  <si>
    <t>Nguédiaga Malika</t>
  </si>
  <si>
    <t>COMMUNAUTE LAYENNE (100%)</t>
  </si>
  <si>
    <t>18.0001 Ha</t>
  </si>
  <si>
    <t>DACPT07092020-1</t>
  </si>
  <si>
    <t>Bayakh Sylla</t>
  </si>
  <si>
    <t>ETABLISSEMENT TOUBA DAROU KHOUDOSS (100%)</t>
  </si>
  <si>
    <t>1.3555 Ha</t>
  </si>
  <si>
    <t>DACPT08012020</t>
  </si>
  <si>
    <t>GENERALE D'ENTREPRISE (100%)</t>
  </si>
  <si>
    <t>0.9680 Ha</t>
  </si>
  <si>
    <t>DACPT08052019</t>
  </si>
  <si>
    <t>LES NOUVELLES CARRIERES DU SUD SARL (100%)</t>
  </si>
  <si>
    <t>58.9700 Ha</t>
  </si>
  <si>
    <t>DACPT08072019</t>
  </si>
  <si>
    <t>6.4291 Ha</t>
  </si>
  <si>
    <t>DACPT08092020</t>
  </si>
  <si>
    <t>PSS SERVICES (100%)</t>
  </si>
  <si>
    <t>5.0995 Ha</t>
  </si>
  <si>
    <t>DACPT08102020</t>
  </si>
  <si>
    <t>Tivaoune Peulh Niague</t>
  </si>
  <si>
    <t>CAYOR TECHNO PLUS SUARL (100%)</t>
  </si>
  <si>
    <t>6.0049 Ha</t>
  </si>
  <si>
    <t>DACPT08122020</t>
  </si>
  <si>
    <t>0.0130 Ha</t>
  </si>
  <si>
    <t>DACPT09042019-1</t>
  </si>
  <si>
    <t>DACPT09092019</t>
  </si>
  <si>
    <t>8.5168 Ha</t>
  </si>
  <si>
    <t>DACPT09112020</t>
  </si>
  <si>
    <t>CHINA INTERNATIONAL WATER &amp; ELECTRONIC CORP</t>
  </si>
  <si>
    <t>1.5168 Ha</t>
  </si>
  <si>
    <t>DACPT10102018</t>
  </si>
  <si>
    <t>2.8538 Ha</t>
  </si>
  <si>
    <t>DACPT10112020-2</t>
  </si>
  <si>
    <t>2.0623 Ha</t>
  </si>
  <si>
    <t>DACPT10122020</t>
  </si>
  <si>
    <t>1.5670 Ha</t>
  </si>
  <si>
    <t>DACPT10122020-1</t>
  </si>
  <si>
    <t>DACPT11032019</t>
  </si>
  <si>
    <t>2.7652 Ha</t>
  </si>
  <si>
    <t>DACPT11032019-1</t>
  </si>
  <si>
    <t>ENTREPRISE AFRICAINE DE TRAVAUX PUBLICS (100%)</t>
  </si>
  <si>
    <t>2.6834 Ha</t>
  </si>
  <si>
    <t>DACPT11032020</t>
  </si>
  <si>
    <t>174.1948 Ha</t>
  </si>
  <si>
    <t>DACPT11102018-1</t>
  </si>
  <si>
    <t>7.0072 Ha</t>
  </si>
  <si>
    <t>DACPT11102019</t>
  </si>
  <si>
    <t>INTERPORT BTP SARL (100%)</t>
  </si>
  <si>
    <t>4.1580 Ha</t>
  </si>
  <si>
    <t>DACPT11112020-1</t>
  </si>
  <si>
    <t xml:space="preserve"> SAKHO MAME KHADY (100%)</t>
  </si>
  <si>
    <t>4.0934 Ha</t>
  </si>
  <si>
    <t>DACPT11122017</t>
  </si>
  <si>
    <t>82.4974 Ha</t>
  </si>
  <si>
    <t>DACPT11122017-1</t>
  </si>
  <si>
    <t>15.6048 Ha</t>
  </si>
  <si>
    <t>DACPT11122018</t>
  </si>
  <si>
    <t>HENAN CHINE SENAGAL SA (100%)</t>
  </si>
  <si>
    <t>0.3744 Ha</t>
  </si>
  <si>
    <t>DACPT12022020-1</t>
  </si>
  <si>
    <t>Xeey-Weru</t>
  </si>
  <si>
    <t>LES MANGUIERS DE BAMBILOR (100%)</t>
  </si>
  <si>
    <t>3.0056 Ha</t>
  </si>
  <si>
    <t>DACPT12032020</t>
  </si>
  <si>
    <t>2.4081 Ha</t>
  </si>
  <si>
    <t>DACPT12082020</t>
  </si>
  <si>
    <t>Thiobo</t>
  </si>
  <si>
    <t>HM LOGISTIQUE SUARL (100%)</t>
  </si>
  <si>
    <t>16.2568 Ha</t>
  </si>
  <si>
    <t>DACPT12102017</t>
  </si>
  <si>
    <t>101.0907 Ha</t>
  </si>
  <si>
    <t>DACPT13022018</t>
  </si>
  <si>
    <t>ETABLISSEMENT OUSMANE NDIAYE (100%)</t>
  </si>
  <si>
    <t>2.9950 Ha</t>
  </si>
  <si>
    <t>DACPT13022018-1</t>
  </si>
  <si>
    <t>SOCIETE INDUSTRIELLE DE TRAITEMENT D'ORDURES MENAGERES (SITROM) (100%)</t>
  </si>
  <si>
    <t>DACPT13032019-1</t>
  </si>
  <si>
    <t>2.2375 Ha</t>
  </si>
  <si>
    <t>DACPT14012021</t>
  </si>
  <si>
    <t>CERPIL SARL (100%)</t>
  </si>
  <si>
    <t>2.9683 Ha</t>
  </si>
  <si>
    <t>DACPT14022018</t>
  </si>
  <si>
    <t>3.2931 Ha</t>
  </si>
  <si>
    <t>DACPT14072020</t>
  </si>
  <si>
    <t>DACPT14112017</t>
  </si>
  <si>
    <t>8.2845 Ha</t>
  </si>
  <si>
    <t>DACPT14112017-2</t>
  </si>
  <si>
    <t>116.8455 Ha</t>
  </si>
  <si>
    <t>DACPT14112018</t>
  </si>
  <si>
    <t>DELTA ENTREPRISE SUARL (100%)</t>
  </si>
  <si>
    <t>1.0761 Ha</t>
  </si>
  <si>
    <t>DACPT15032018</t>
  </si>
  <si>
    <t>DIALLO IBRAHIMA (100%)</t>
  </si>
  <si>
    <t>0.0905 Ha</t>
  </si>
  <si>
    <t>DACPT15072019-2</t>
  </si>
  <si>
    <t>ENTREPRISE D'EXPLOITATION DES CARRIERES (100%)</t>
  </si>
  <si>
    <t>3.0513 Ha</t>
  </si>
  <si>
    <t>DACPT15112017</t>
  </si>
  <si>
    <t>DACPT15112018</t>
  </si>
  <si>
    <t>SUXALY SINE (100%)</t>
  </si>
  <si>
    <t>2.0108 Ha</t>
  </si>
  <si>
    <t>DACPT16062020</t>
  </si>
  <si>
    <t>5.4836 Ha</t>
  </si>
  <si>
    <t>DACPT16072019</t>
  </si>
  <si>
    <t>Thicky-Dandang</t>
  </si>
  <si>
    <t>0.8364 Ha</t>
  </si>
  <si>
    <t>DACPT16072020</t>
  </si>
  <si>
    <t>NABY IMMO SUARL (100%)</t>
  </si>
  <si>
    <t>1.9564 Ha</t>
  </si>
  <si>
    <t>DACPT16082018</t>
  </si>
  <si>
    <t>3.2798 Ha</t>
  </si>
  <si>
    <t>DACPT17042020</t>
  </si>
  <si>
    <t>3.0241 Ha</t>
  </si>
  <si>
    <t>DACPT17062020-2</t>
  </si>
  <si>
    <t>Thieudeme</t>
  </si>
  <si>
    <t>TOUBA DAROU KARIM INDUSTRIE (100%)</t>
  </si>
  <si>
    <t>DACPT17092019</t>
  </si>
  <si>
    <t>TERANGA Contractor (100%)</t>
  </si>
  <si>
    <t>0.9940 Ha</t>
  </si>
  <si>
    <t>DACPT17102018</t>
  </si>
  <si>
    <t>1.9474 Ha</t>
  </si>
  <si>
    <t>DACPT18022020</t>
  </si>
  <si>
    <t>DACPT18052017-1</t>
  </si>
  <si>
    <t>0.1975 Ha</t>
  </si>
  <si>
    <t>DACPT18062020</t>
  </si>
  <si>
    <t>2.0632 Ha</t>
  </si>
  <si>
    <t>DACPT18092017</t>
  </si>
  <si>
    <t>DIAMALAYE MINES (100%)</t>
  </si>
  <si>
    <t>DACPT19062020-1</t>
  </si>
  <si>
    <t>3.0040 Ha</t>
  </si>
  <si>
    <t>DACPT19092019</t>
  </si>
  <si>
    <t>3.4252 Ha</t>
  </si>
  <si>
    <t>DACPT20072020-2</t>
  </si>
  <si>
    <t>90.4430 Ha</t>
  </si>
  <si>
    <t>DACPT20072020-3</t>
  </si>
  <si>
    <t>GIE KEUR SERIGNE SALIOU MBACKE (100%)</t>
  </si>
  <si>
    <t>1.6122 Ha</t>
  </si>
  <si>
    <t>DACPT20092019</t>
  </si>
  <si>
    <t>TOUBA BAMBILOR IMMOBILIER SARL (100%)</t>
  </si>
  <si>
    <t>8.2452 Ha</t>
  </si>
  <si>
    <t>DACPT20122018</t>
  </si>
  <si>
    <t>COOPERATIVE D'HABITAT LA SAMARITAINE (100%)</t>
  </si>
  <si>
    <t>94.0971 Ha</t>
  </si>
  <si>
    <t>DACPT21052019</t>
  </si>
  <si>
    <t>Tivaouane Peulh</t>
  </si>
  <si>
    <t>NDIOBO ADAMA SUARL (100%)</t>
  </si>
  <si>
    <t>0.7796 Ha</t>
  </si>
  <si>
    <t>DACPT21062017</t>
  </si>
  <si>
    <t>2.4507 Ha</t>
  </si>
  <si>
    <t>DACPT22022021-1</t>
  </si>
  <si>
    <t>0.2154 km²</t>
  </si>
  <si>
    <t>DACPT22052017</t>
  </si>
  <si>
    <t>160.0003 Ha</t>
  </si>
  <si>
    <t>DACPT22052019</t>
  </si>
  <si>
    <t>COMPAGNIE SENEGALO MAROCAINE D'INVESTISSEMENT (100%)</t>
  </si>
  <si>
    <t>2.1990 Ha</t>
  </si>
  <si>
    <t>DACPT22062017-1</t>
  </si>
  <si>
    <t>0.5644 Ha</t>
  </si>
  <si>
    <t>DACPT22062020</t>
  </si>
  <si>
    <t>EDK Oil (100%)</t>
  </si>
  <si>
    <t>9.3998 Ha</t>
  </si>
  <si>
    <t>DACPT22062020-1</t>
  </si>
  <si>
    <t>SOCIETE IMMOBILIERE AFRICAINE (100%)</t>
  </si>
  <si>
    <t>8.5726 Ha</t>
  </si>
  <si>
    <t>DACPT22062020-2</t>
  </si>
  <si>
    <t>UNIVERSEL SERVICE RAPIDE  (100%)</t>
  </si>
  <si>
    <t>DACPT22062020-4</t>
  </si>
  <si>
    <t>Yéne</t>
  </si>
  <si>
    <t>MINEKIP FOURNITURES MINIERES (100%)</t>
  </si>
  <si>
    <t>7.7539 Ha</t>
  </si>
  <si>
    <t>DACPT24042018</t>
  </si>
  <si>
    <t>666.4000 Ha</t>
  </si>
  <si>
    <t>DACPT24072018-1</t>
  </si>
  <si>
    <t>4.4032 Ha</t>
  </si>
  <si>
    <t>DACPT24092019</t>
  </si>
  <si>
    <t>GAM-SENE MGTL IMPORT ET EXPORT (100%)</t>
  </si>
  <si>
    <t>DACPT24092020</t>
  </si>
  <si>
    <t>BENOBA</t>
  </si>
  <si>
    <t>GUEYE SAMBA THIAM (100%)</t>
  </si>
  <si>
    <t>0.3861 Ha</t>
  </si>
  <si>
    <t>DACPT25032021</t>
  </si>
  <si>
    <t xml:space="preserve">Ndiawdoune
</t>
  </si>
  <si>
    <t>1.4627 Ha</t>
  </si>
  <si>
    <t>DACPT25032021-1</t>
  </si>
  <si>
    <t>Mbenguène</t>
  </si>
  <si>
    <t>14.0149 Ha</t>
  </si>
  <si>
    <t>DACPT25072019</t>
  </si>
  <si>
    <t>99.3523 Ha</t>
  </si>
  <si>
    <t>DACPT26022020</t>
  </si>
  <si>
    <t>Xaay-weri Darou Salam</t>
  </si>
  <si>
    <t>OMAR KANDJI (100%)</t>
  </si>
  <si>
    <t>3.0105 Ha</t>
  </si>
  <si>
    <t>DACPT26042017</t>
  </si>
  <si>
    <t>Paki toglou</t>
  </si>
  <si>
    <t>DACPT26062018</t>
  </si>
  <si>
    <t>3.7781 Ha</t>
  </si>
  <si>
    <t>DACPT26072019-1</t>
  </si>
  <si>
    <t>3.4539 Ha</t>
  </si>
  <si>
    <t>DACPT26092018</t>
  </si>
  <si>
    <t>11.4257 Ha</t>
  </si>
  <si>
    <t>DACPT26112020</t>
  </si>
  <si>
    <t xml:space="preserve"> ETABLISSEMENT DABAKH TRANSPORT (100%)</t>
  </si>
  <si>
    <t>3.7877 Ha</t>
  </si>
  <si>
    <t>DACPT26122019</t>
  </si>
  <si>
    <t>49.8095 Ha</t>
  </si>
  <si>
    <t>DACPT26122019-1</t>
  </si>
  <si>
    <t>DACPT27022018-1</t>
  </si>
  <si>
    <t>100.0015 Ha</t>
  </si>
  <si>
    <t>DACPT27032018</t>
  </si>
  <si>
    <t>SYLLA PRESTATION SERVICES SARL (100%)</t>
  </si>
  <si>
    <t>DACPT27092018</t>
  </si>
  <si>
    <t>KEUR KHADIM BTP ET SERVICES (100%)</t>
  </si>
  <si>
    <t>5.9403 Ha</t>
  </si>
  <si>
    <t>DACPT27102020-1</t>
  </si>
  <si>
    <t>DACPT27122019</t>
  </si>
  <si>
    <t>0.4579 Ha</t>
  </si>
  <si>
    <t>DACPT28062017-2</t>
  </si>
  <si>
    <t>3.9955 Ha</t>
  </si>
  <si>
    <t>DACPT28062018</t>
  </si>
  <si>
    <t>25.1532 Ha</t>
  </si>
  <si>
    <t>DACPT28062019</t>
  </si>
  <si>
    <t>Déni Sud</t>
  </si>
  <si>
    <t>7.9678 Ha</t>
  </si>
  <si>
    <t>DACPT28082018</t>
  </si>
  <si>
    <t>DACPT29032018</t>
  </si>
  <si>
    <t>GIE RELA (100%)</t>
  </si>
  <si>
    <t>9.4964 Ha</t>
  </si>
  <si>
    <t>DACPT29032021</t>
  </si>
  <si>
    <t>ETS SEGOM (100%)</t>
  </si>
  <si>
    <t>2.7660 Ha</t>
  </si>
  <si>
    <t>DACPT29042019-1</t>
  </si>
  <si>
    <t>1.3633 Ha</t>
  </si>
  <si>
    <t>DACPT29052018</t>
  </si>
  <si>
    <t>DACPT29052018-1</t>
  </si>
  <si>
    <t>2.5399 Ha</t>
  </si>
  <si>
    <t>DACPT29062017</t>
  </si>
  <si>
    <t>SOCIETE MINIERE DU DIOBASSE SA (100%)</t>
  </si>
  <si>
    <t>DACPT29102019-1</t>
  </si>
  <si>
    <t>Binta DIA (100%)</t>
  </si>
  <si>
    <t>DACPT29112017</t>
  </si>
  <si>
    <t>0.0165 Ha</t>
  </si>
  <si>
    <t>DACPT29112018</t>
  </si>
  <si>
    <t>11.0353 Ha</t>
  </si>
  <si>
    <t>DACPT30072018</t>
  </si>
  <si>
    <t>0.8901 Ha</t>
  </si>
  <si>
    <t>DACPT31012018-1</t>
  </si>
  <si>
    <t>19.5115 Ha</t>
  </si>
  <si>
    <t>DACPT31052018</t>
  </si>
  <si>
    <t>19.6125 Ha</t>
  </si>
  <si>
    <t>DACPTAFRIG20062019</t>
  </si>
  <si>
    <t>6.0943 Ha</t>
  </si>
  <si>
    <t>DACPV01022016</t>
  </si>
  <si>
    <t>ASSOCIATION INTERNATIONALE SECOURS A L'ENFANCE ET LA FEMME RURALE (100%)</t>
  </si>
  <si>
    <t>DACPV01092016</t>
  </si>
  <si>
    <t>AFRICA GLOBE (100%)</t>
  </si>
  <si>
    <t>DACPV02062016</t>
  </si>
  <si>
    <t>ETABLISSEMENT OUMAR DIENG (100%)</t>
  </si>
  <si>
    <t>DACPV03082015</t>
  </si>
  <si>
    <t>Elimane DIOUF (100%)</t>
  </si>
  <si>
    <t>DACPV04012016</t>
  </si>
  <si>
    <t>261.5310 Ha</t>
  </si>
  <si>
    <t>DACPV04082015</t>
  </si>
  <si>
    <t>Djibril DIA (100%)</t>
  </si>
  <si>
    <t>DACPV06112015</t>
  </si>
  <si>
    <t>CENTRAL SPARE PARTS (CSP) (100%)</t>
  </si>
  <si>
    <t>45.1565 Ha</t>
  </si>
  <si>
    <t>DACPV07082015</t>
  </si>
  <si>
    <t>CIMAT (100%)</t>
  </si>
  <si>
    <t>1,990.2022 Ha</t>
  </si>
  <si>
    <t>DACPV08042016</t>
  </si>
  <si>
    <t>SOCIETE AFRICAINE D'ACHAT DE RACHAT ET DE DISTRIBUTION (100%)</t>
  </si>
  <si>
    <t>33.4564 Ha</t>
  </si>
  <si>
    <t>DACPV08122015</t>
  </si>
  <si>
    <t>BSM LA BETONNIERE SARL</t>
  </si>
  <si>
    <t>granite, marbre</t>
  </si>
  <si>
    <t>DACPV09062015</t>
  </si>
  <si>
    <t>ASSOCIATION ISLAMIQUE DE SECOURS A L'ENFANCE DESHERITEE (100%)</t>
  </si>
  <si>
    <t>DACPV10082015</t>
  </si>
  <si>
    <t>DOMAINE ECOLOGIQUE SARL (100%)</t>
  </si>
  <si>
    <t>DACPV10122015</t>
  </si>
  <si>
    <t>COMPTOIR COMMERCIAL CCBD suarl</t>
  </si>
  <si>
    <t>DACPV11012017</t>
  </si>
  <si>
    <t>SOCIETE INDUSTRIELLE ET COMMERCIALE DE L'AUTOMOBILE DU SENEGAL (SICAS) (100%)</t>
  </si>
  <si>
    <t>28.9492 Ha</t>
  </si>
  <si>
    <t>DACPV12042016</t>
  </si>
  <si>
    <t>804.1341 Ha</t>
  </si>
  <si>
    <t>DACPV12062015</t>
  </si>
  <si>
    <t>18.2312 Ha</t>
  </si>
  <si>
    <t>DACPV14062016</t>
  </si>
  <si>
    <t>9.5534 Ha</t>
  </si>
  <si>
    <t>DACPV16082016</t>
  </si>
  <si>
    <t>ZAHRA (100%)</t>
  </si>
  <si>
    <t>1,430.5434 Ha</t>
  </si>
  <si>
    <t>DACPV17032014</t>
  </si>
  <si>
    <t>Thiecky</t>
  </si>
  <si>
    <t>argile industrielle</t>
  </si>
  <si>
    <t>49.9359 Ha</t>
  </si>
  <si>
    <t>DACPV17032016</t>
  </si>
  <si>
    <t>KHADIM SECK (100%)</t>
  </si>
  <si>
    <t>8.1252 Ha</t>
  </si>
  <si>
    <t>DACPV17032016-1</t>
  </si>
  <si>
    <t>RAMATOULAYE SALL (100%)</t>
  </si>
  <si>
    <t>basalte, grès</t>
  </si>
  <si>
    <t>0.0032 km²</t>
  </si>
  <si>
    <t>DACPV18012016</t>
  </si>
  <si>
    <t>ALYOU (100%)</t>
  </si>
  <si>
    <t>DACPV18032016</t>
  </si>
  <si>
    <t>IMMO TROPIC SARL (100%)</t>
  </si>
  <si>
    <t>DACPV21042016</t>
  </si>
  <si>
    <t>DACPV22042016</t>
  </si>
  <si>
    <t>ENTREPRISE AMADOU BOUSSO (100%)</t>
  </si>
  <si>
    <t>4.0250 Ha</t>
  </si>
  <si>
    <t>DACPV22062017</t>
  </si>
  <si>
    <t xml:space="preserve">CIMENTS DE L'AFRIQUE </t>
  </si>
  <si>
    <t>247.5400 Ha</t>
  </si>
  <si>
    <t>DACPV22072016</t>
  </si>
  <si>
    <t>SODIPROSEN SARL (100%)</t>
  </si>
  <si>
    <t>0.0061 km²</t>
  </si>
  <si>
    <t>DACPV22072016-1</t>
  </si>
  <si>
    <t>0.0011 km²</t>
  </si>
  <si>
    <t>DACPV23082016</t>
  </si>
  <si>
    <t>DACPV24032016</t>
  </si>
  <si>
    <t>Thiaye</t>
  </si>
  <si>
    <t>158.2968 Ha</t>
  </si>
  <si>
    <t>DACPV24072015</t>
  </si>
  <si>
    <t>HES (100%)</t>
  </si>
  <si>
    <t>DACPV25022016-1</t>
  </si>
  <si>
    <t>OXIM SERVICES (100%)</t>
  </si>
  <si>
    <t>DACPV26052017</t>
  </si>
  <si>
    <t>284.5000 Ha</t>
  </si>
  <si>
    <t>DACPV26062015</t>
  </si>
  <si>
    <t>18.1488 Ha</t>
  </si>
  <si>
    <t>DACPV28082015</t>
  </si>
  <si>
    <t>30.0872 Ha</t>
  </si>
  <si>
    <t>DACPV29012016</t>
  </si>
  <si>
    <t>FAR INDUSTRIES (100%)</t>
  </si>
  <si>
    <t>42.6520 Ha</t>
  </si>
  <si>
    <t>DACPV30032015</t>
  </si>
  <si>
    <t>TOUBA AGROPOLE SARL (100%)</t>
  </si>
  <si>
    <t>19.4106 Ha</t>
  </si>
  <si>
    <t>DACPV30032015A</t>
  </si>
  <si>
    <t>AFRICA BUSINESS CONTRACTING SARL (100%)</t>
  </si>
  <si>
    <t>21.5361 Ha</t>
  </si>
  <si>
    <t>DACPV31052016</t>
  </si>
  <si>
    <t>SOCIETE SENEGALAISE DE DEVELOPPEMENT ET DE PRODUCTION MINIERE ET SERVICE (SDPR MINES) SUARL (100%)</t>
  </si>
  <si>
    <t>DACPVP12042017</t>
  </si>
  <si>
    <t>NOUROUL AMINE SARL (100%)</t>
  </si>
  <si>
    <t>DACT01/08/2013</t>
  </si>
  <si>
    <t>51.5716 Ha</t>
  </si>
  <si>
    <t>DACT09/11/2012</t>
  </si>
  <si>
    <t>DENI GUEDJ NIAGA</t>
  </si>
  <si>
    <t>MAMADOU MANE (100%)</t>
  </si>
  <si>
    <t>1.2517 Ha</t>
  </si>
  <si>
    <t>DACT01022016</t>
  </si>
  <si>
    <t>AMADOU YOUSSOUF SY</t>
  </si>
  <si>
    <t>DACT01042016</t>
  </si>
  <si>
    <t>Deni Birame Ndao Sud</t>
  </si>
  <si>
    <t>Alassane  DIENG (100%)</t>
  </si>
  <si>
    <t>9.7855 Ha</t>
  </si>
  <si>
    <t>DACT01062015</t>
  </si>
  <si>
    <t>4.0097 Ha</t>
  </si>
  <si>
    <t>DACT02062016-2</t>
  </si>
  <si>
    <t>DACT02112016</t>
  </si>
  <si>
    <t>7.2430 Ha</t>
  </si>
  <si>
    <t>DACT03072015</t>
  </si>
  <si>
    <t>2.6337 Ha</t>
  </si>
  <si>
    <t>DACT03092015</t>
  </si>
  <si>
    <t>DACT03102016-5</t>
  </si>
  <si>
    <t>Mbadianème</t>
  </si>
  <si>
    <t>70.3127 Ha</t>
  </si>
  <si>
    <t>DACT04092015</t>
  </si>
  <si>
    <t>Cheikh DIOUF (100%)</t>
  </si>
  <si>
    <t>6.5630 Ha</t>
  </si>
  <si>
    <t>DACT04092015-1</t>
  </si>
  <si>
    <t>88.0522 Ha</t>
  </si>
  <si>
    <t>DACT06062016-1</t>
  </si>
  <si>
    <t>SENEGAL DIASS MINES SUARL (100%)</t>
  </si>
  <si>
    <t>120.8322 Ha</t>
  </si>
  <si>
    <t>DACT06082015</t>
  </si>
  <si>
    <t>Abdoul Aziz DIOP (100%)</t>
  </si>
  <si>
    <t>6.3411 Ha</t>
  </si>
  <si>
    <t>DACT07042015</t>
  </si>
  <si>
    <t>DIADIEM 3</t>
  </si>
  <si>
    <t>0.7108 Ha</t>
  </si>
  <si>
    <t>DACT09012015</t>
  </si>
  <si>
    <t>0.0404 km²</t>
  </si>
  <si>
    <t>DACT09062015</t>
  </si>
  <si>
    <t>99.6206 Ha</t>
  </si>
  <si>
    <t>DACT10112015</t>
  </si>
  <si>
    <t>COMPAGNIE SENEGALAISE DE TRAVAUX PUBLICS (100%)</t>
  </si>
  <si>
    <t>0.9816 Ha</t>
  </si>
  <si>
    <t>DACT11022019</t>
  </si>
  <si>
    <t>BIRAICHA SUARL (100%)</t>
  </si>
  <si>
    <t>1.2073 Ha</t>
  </si>
  <si>
    <t>DACT11042016-1</t>
  </si>
  <si>
    <t>ORIGINES SA-2S (100%)</t>
  </si>
  <si>
    <t>DACT11082015</t>
  </si>
  <si>
    <t>BAMBYLOR</t>
  </si>
  <si>
    <t>DACT11092015</t>
  </si>
  <si>
    <t>TAN SUARL (100%)</t>
  </si>
  <si>
    <t>2.0517 Ha</t>
  </si>
  <si>
    <t>DACT12012016</t>
  </si>
  <si>
    <t>NDOUKHOURA</t>
  </si>
  <si>
    <t>SYPROM SA</t>
  </si>
  <si>
    <t>DACT12042016</t>
  </si>
  <si>
    <t>Lelo Serere Pout</t>
  </si>
  <si>
    <t>2.4500 Ha</t>
  </si>
  <si>
    <t>DACT13052015</t>
  </si>
  <si>
    <t>LOT3 DIAMA</t>
  </si>
  <si>
    <t>4.9975 Ha</t>
  </si>
  <si>
    <t>DACT13052015-1</t>
  </si>
  <si>
    <t>SENEGALAISE DE VOIRIE DE TRAVAUX PUBLICS ET DE GENIE CIVIL (100%)</t>
  </si>
  <si>
    <t>1.8030 Ha</t>
  </si>
  <si>
    <t>DACT14032016</t>
  </si>
  <si>
    <t>Tyrkamb</t>
  </si>
  <si>
    <t>COMPAGNIE SENEGALAISE DE PROMOTION IMMOBILIERE (100%)</t>
  </si>
  <si>
    <t>5.1862 Ha</t>
  </si>
  <si>
    <t>DACT14122015</t>
  </si>
  <si>
    <t>SOTRACOM SA</t>
  </si>
  <si>
    <t>DACT16022015</t>
  </si>
  <si>
    <t>GANDON</t>
  </si>
  <si>
    <t>0.1005 km²</t>
  </si>
  <si>
    <t>DACT16062015</t>
  </si>
  <si>
    <t>GIE RAMANDON (100%)</t>
  </si>
  <si>
    <t>DACT16072015</t>
  </si>
  <si>
    <t>THIABE CARE</t>
  </si>
  <si>
    <t>GOUVERNANCE KEDOUGOU  (100%)</t>
  </si>
  <si>
    <t>13.1872 Ha</t>
  </si>
  <si>
    <t>DACT16072015-1</t>
  </si>
  <si>
    <t>PONDALA</t>
  </si>
  <si>
    <t>9.9008 Ha</t>
  </si>
  <si>
    <t>DACT16112015</t>
  </si>
  <si>
    <t>ASSANE NDOYE</t>
  </si>
  <si>
    <t>2.5006 Ha</t>
  </si>
  <si>
    <t>DACT16122015</t>
  </si>
  <si>
    <t>BALLA NGOM</t>
  </si>
  <si>
    <t>5.7911 Ha</t>
  </si>
  <si>
    <t>DACT17032015</t>
  </si>
  <si>
    <t>0.0016 km²</t>
  </si>
  <si>
    <t>DACT17112016</t>
  </si>
  <si>
    <t>REFLEXE CONSTRUCTION (100%)</t>
  </si>
  <si>
    <t>19.8631 Ha</t>
  </si>
  <si>
    <t>DACT17122015-1</t>
  </si>
  <si>
    <t>SAMBA WADJ</t>
  </si>
  <si>
    <t>0.9748 Ha</t>
  </si>
  <si>
    <t>DACT17122015-2</t>
  </si>
  <si>
    <t>KIGNINE</t>
  </si>
  <si>
    <t>ISOLUX CORSAN</t>
  </si>
  <si>
    <t>1.1975 Ha</t>
  </si>
  <si>
    <t>DACT18012016</t>
  </si>
  <si>
    <t>0.0001 Ha</t>
  </si>
  <si>
    <t>DACT18032016</t>
  </si>
  <si>
    <t>TOUBA MATERIAUX SARL (100%)</t>
  </si>
  <si>
    <t>0.0512 Ha</t>
  </si>
  <si>
    <t>DACT18032016-1</t>
  </si>
  <si>
    <t>0.1850 Ha</t>
  </si>
  <si>
    <t>DACT18052015</t>
  </si>
  <si>
    <t>Lav 09d</t>
  </si>
  <si>
    <t>2.9113 Ha</t>
  </si>
  <si>
    <t>DACT18082016</t>
  </si>
  <si>
    <t>GIE BAMOU SERVICES (100%)</t>
  </si>
  <si>
    <t>DACT19052015</t>
  </si>
  <si>
    <t>1.1310 Ha</t>
  </si>
  <si>
    <t>DACT19072016</t>
  </si>
  <si>
    <t>PAPA MBAR  MBAYE (100%)</t>
  </si>
  <si>
    <t>DACT20012015</t>
  </si>
  <si>
    <t>LAV 00.8D</t>
  </si>
  <si>
    <t>0.0421 km²</t>
  </si>
  <si>
    <t>DACT21062016</t>
  </si>
  <si>
    <t>Malick NDIAYE (100%)</t>
  </si>
  <si>
    <t>DACT22012016</t>
  </si>
  <si>
    <t>Samba ANE (100%)</t>
  </si>
  <si>
    <t>DACT22072016</t>
  </si>
  <si>
    <t>ISOLUX CORSAN (100%)</t>
  </si>
  <si>
    <t>4,012.8428 m²</t>
  </si>
  <si>
    <t>DACT23022016</t>
  </si>
  <si>
    <t>FATOUMATA SALL</t>
  </si>
  <si>
    <t>sable de dune, sable de mer</t>
  </si>
  <si>
    <t>DACT23022016-1</t>
  </si>
  <si>
    <t>Dakar, Thies</t>
  </si>
  <si>
    <t>FATOUMATA SALL (100%)</t>
  </si>
  <si>
    <t>DACT23072015</t>
  </si>
  <si>
    <t>COMMUNE DE JOAL FADIOUTH (100%)</t>
  </si>
  <si>
    <t>DACT23072015-1</t>
  </si>
  <si>
    <t>Abdoul BA (100%)</t>
  </si>
  <si>
    <t>1.5095 Ha</t>
  </si>
  <si>
    <t>DACT23112016</t>
  </si>
  <si>
    <t>Malick Alioune GUEYE (100%)</t>
  </si>
  <si>
    <t>DACT24022015</t>
  </si>
  <si>
    <t>GADAYE SUD</t>
  </si>
  <si>
    <t>IBRAHIMA DIOP (100%)</t>
  </si>
  <si>
    <t>0.0306 km²</t>
  </si>
  <si>
    <t>DACT24032016-1</t>
  </si>
  <si>
    <t>Ndouloumadji Dembe</t>
  </si>
  <si>
    <t>OUMAR DEME (100%)</t>
  </si>
  <si>
    <t>152.0376 Ha</t>
  </si>
  <si>
    <t>DACT26052015</t>
  </si>
  <si>
    <t>Pk 6+900 ETENDU et Pk 35+400 (Extension2)</t>
  </si>
  <si>
    <t>3.9671 Ha</t>
  </si>
  <si>
    <t>DACT27012016</t>
  </si>
  <si>
    <t xml:space="preserve">SANDIARA
</t>
  </si>
  <si>
    <t>CHERIF  GASSAMA</t>
  </si>
  <si>
    <t>3.9862 Ha</t>
  </si>
  <si>
    <t>DACT27092016</t>
  </si>
  <si>
    <t>14.9818 Ha</t>
  </si>
  <si>
    <t>DACT27112015</t>
  </si>
  <si>
    <t>CONSORTIUM D'ENTREPRISES (CDE)</t>
  </si>
  <si>
    <t>DACT27112015-1</t>
  </si>
  <si>
    <t>Paul R. M. JOANNON</t>
  </si>
  <si>
    <t>DACT28032017</t>
  </si>
  <si>
    <t>12.8918 km²</t>
  </si>
  <si>
    <t>DACT28122015-1</t>
  </si>
  <si>
    <t>SOCIETE DES TERRES NEUVES SARL</t>
  </si>
  <si>
    <t>53.7760 Ha</t>
  </si>
  <si>
    <t>DACT31072015</t>
  </si>
  <si>
    <t>4.5192 Ha</t>
  </si>
  <si>
    <t>DACT31072015-1</t>
  </si>
  <si>
    <t>EL HADJI MOR NDIAYE (100%)</t>
  </si>
  <si>
    <t>3.4931 Ha</t>
  </si>
  <si>
    <t>DAE15/11/2013</t>
  </si>
  <si>
    <t>DAEA09/12/2013</t>
  </si>
  <si>
    <t>OPAKOTO</t>
  </si>
  <si>
    <t>DAEA10/02/2014</t>
  </si>
  <si>
    <t>FOUKHANDING</t>
  </si>
  <si>
    <t>50.6010 Ha</t>
  </si>
  <si>
    <t>DAEA10/04/2014</t>
  </si>
  <si>
    <t>SANTAFARA</t>
  </si>
  <si>
    <t>KHELCOM'S LION (100%)</t>
  </si>
  <si>
    <t>DAEA10/05/2013</t>
  </si>
  <si>
    <t>SOMEF (100%)</t>
  </si>
  <si>
    <t>478.0812 Ha</t>
  </si>
  <si>
    <t>DAEA 13/05/2013</t>
  </si>
  <si>
    <t>Nor Ouest Sabodala</t>
  </si>
  <si>
    <t>20,432.0851 Ha</t>
  </si>
  <si>
    <t>DAEA16/08/2013</t>
  </si>
  <si>
    <t>69.5672 Ha</t>
  </si>
  <si>
    <t>DAEA30/12/2013</t>
  </si>
  <si>
    <t>Nord Brandoufary</t>
  </si>
  <si>
    <t>50.1387 Ha</t>
  </si>
  <si>
    <t>DAEA02082016</t>
  </si>
  <si>
    <t>DAEA03082016</t>
  </si>
  <si>
    <t>OUMY MBAYE (100%)</t>
  </si>
  <si>
    <t>52.4000 Ha</t>
  </si>
  <si>
    <t>DAEA04032016</t>
  </si>
  <si>
    <t>GIE TEDOUGAL</t>
  </si>
  <si>
    <t>DAEA04082015</t>
  </si>
  <si>
    <t>DIANDJI</t>
  </si>
  <si>
    <t>GIE WILLAYA GOLD (100%)</t>
  </si>
  <si>
    <t>50.0653 Ha</t>
  </si>
  <si>
    <t>DAEA05122016</t>
  </si>
  <si>
    <t>MBAYE KANE (100%)</t>
  </si>
  <si>
    <t>DAEA06012015</t>
  </si>
  <si>
    <t>GIE ESPOIR</t>
  </si>
  <si>
    <t>DAEA06012016-1</t>
  </si>
  <si>
    <t>BANTATA</t>
  </si>
  <si>
    <t>ETUDES ET REALISATIONS DES TALIBES MOURIDES</t>
  </si>
  <si>
    <t>51.0812 Ha</t>
  </si>
  <si>
    <t>DAEA07102015</t>
  </si>
  <si>
    <t>Mohamed GAYE (100%)</t>
  </si>
  <si>
    <t>DAEA09072015</t>
  </si>
  <si>
    <t>DAEA12012016</t>
  </si>
  <si>
    <t>ENTREPRISE SAFA</t>
  </si>
  <si>
    <t>55.6480 Ha</t>
  </si>
  <si>
    <t>DAEA12052015</t>
  </si>
  <si>
    <t>GIE ALA MOUTA (100%)</t>
  </si>
  <si>
    <t>50.9338 Ha</t>
  </si>
  <si>
    <t>DAEA13102015</t>
  </si>
  <si>
    <t>EXPLOITATION YELIMALO</t>
  </si>
  <si>
    <t>30.2066 Ha</t>
  </si>
  <si>
    <t>DAEA13112015</t>
  </si>
  <si>
    <t>SUD BENCOUTOU</t>
  </si>
  <si>
    <t>49.9918 Ha</t>
  </si>
  <si>
    <t>DAEA14122016</t>
  </si>
  <si>
    <t>70.7200 Ha</t>
  </si>
  <si>
    <t>DAEA14122016-1</t>
  </si>
  <si>
    <t>34.7040 Ha</t>
  </si>
  <si>
    <t>DAEA14122016-3</t>
  </si>
  <si>
    <t>35.0000 Ha</t>
  </si>
  <si>
    <t>DAEA15092016</t>
  </si>
  <si>
    <t>GROUPEMENT DES ANCIENS MILITAIRES ET PARAMILITAIRES DE KEDOUGOU (100%)</t>
  </si>
  <si>
    <t>DAEA16122015</t>
  </si>
  <si>
    <t>DENTILA</t>
  </si>
  <si>
    <t>49.7705 Ha</t>
  </si>
  <si>
    <t>DAEA17082016</t>
  </si>
  <si>
    <t>GIE AGRI PLUS (100%)</t>
  </si>
  <si>
    <t>DAEA17102016</t>
  </si>
  <si>
    <t>LABASSALA</t>
  </si>
  <si>
    <t>49.6957 Ha</t>
  </si>
  <si>
    <t>DAEA18082016-1</t>
  </si>
  <si>
    <t>0.5200 km²</t>
  </si>
  <si>
    <t>DAEA19102015</t>
  </si>
  <si>
    <t>GIE XORONDOM (100%)</t>
  </si>
  <si>
    <t>49.8770 Ha</t>
  </si>
  <si>
    <t>DAEA19102016</t>
  </si>
  <si>
    <t>DAEA25052022</t>
  </si>
  <si>
    <t>Kegnéba</t>
  </si>
  <si>
    <t>139.2958 Ha</t>
  </si>
  <si>
    <t>DAEA25072016-1</t>
  </si>
  <si>
    <t>MADINA MOUSSALA</t>
  </si>
  <si>
    <t>0.4701 km²</t>
  </si>
  <si>
    <t>DAEA26032015</t>
  </si>
  <si>
    <t>Ckénéné</t>
  </si>
  <si>
    <t>47.4712 Ha</t>
  </si>
  <si>
    <t>DAEA27092016</t>
  </si>
  <si>
    <t>Ndeye Ngoné DIOP (100%)</t>
  </si>
  <si>
    <t>DAEA28082015</t>
  </si>
  <si>
    <t>ENTREPRISE SAFA (100%)</t>
  </si>
  <si>
    <t>49.7432 Ha</t>
  </si>
  <si>
    <t>DAEA28082015-1</t>
  </si>
  <si>
    <t>Almamy DRAME (100%)</t>
  </si>
  <si>
    <t>49.7875 Ha</t>
  </si>
  <si>
    <t>DAEA28122015</t>
  </si>
  <si>
    <t>FALEME MEDINA MOUSSALA</t>
  </si>
  <si>
    <t>42.3900 Ha</t>
  </si>
  <si>
    <t>DAEA28122015-1</t>
  </si>
  <si>
    <t>BUL FAALE PRODUCTION</t>
  </si>
  <si>
    <t>DAEA29082016</t>
  </si>
  <si>
    <t>SUD WOUNDOUNDOU</t>
  </si>
  <si>
    <t>0.5097 km²</t>
  </si>
  <si>
    <t>DAEA29082016-1</t>
  </si>
  <si>
    <t>DAEA31032016</t>
  </si>
  <si>
    <t>FALEME MADINA MOUSSALA</t>
  </si>
  <si>
    <t>50.0584 Ha</t>
  </si>
  <si>
    <t>DAEA31122015</t>
  </si>
  <si>
    <t>NORD-DOUTA</t>
  </si>
  <si>
    <t>5.1603 Ha</t>
  </si>
  <si>
    <t>DAECP08/04/2014</t>
  </si>
  <si>
    <t>SEBI GARE</t>
  </si>
  <si>
    <t>14.7246 Ha</t>
  </si>
  <si>
    <t>DAECP16/08/2013</t>
  </si>
  <si>
    <t>21.8505 Ha</t>
  </si>
  <si>
    <t>DAECP22/05/2014</t>
  </si>
  <si>
    <t>ETABLISSEMENT KHADIM SAMB (100%)</t>
  </si>
  <si>
    <t>23.1341 Ha</t>
  </si>
  <si>
    <t>DAECP03062019</t>
  </si>
  <si>
    <t>4.7668 Ha</t>
  </si>
  <si>
    <t>DAECP27032015</t>
  </si>
  <si>
    <t>NIEMENEKE</t>
  </si>
  <si>
    <t>GIE DIEUF DIEUL</t>
  </si>
  <si>
    <t>DAECPT02122019</t>
  </si>
  <si>
    <t>0.0071 km²</t>
  </si>
  <si>
    <t>DAECPT04122019-1</t>
  </si>
  <si>
    <t>DAECPT10012020</t>
  </si>
  <si>
    <t>DAECPT14012020</t>
  </si>
  <si>
    <t>143.6266 Ha</t>
  </si>
  <si>
    <t>DAECT</t>
  </si>
  <si>
    <t>DAECT05/12/2013</t>
  </si>
  <si>
    <t>198,924.9628 m²</t>
  </si>
  <si>
    <t>DAECT07/05/2013</t>
  </si>
  <si>
    <t>10.2141 Ha</t>
  </si>
  <si>
    <t>DAECT13/08/2013</t>
  </si>
  <si>
    <t>ALIOU ABDOULAYE GASSAMA (100%)</t>
  </si>
  <si>
    <t>DAECT13/11/2013</t>
  </si>
  <si>
    <t>kANEMA ET KAOUR</t>
  </si>
  <si>
    <t>31,611.0000 m²</t>
  </si>
  <si>
    <t>DAECT13/12/2013</t>
  </si>
  <si>
    <t>Moustapha  DIAGNE (100%)</t>
  </si>
  <si>
    <t>12.3016 Ha</t>
  </si>
  <si>
    <t>DAECT16/04/2014</t>
  </si>
  <si>
    <t>Amoulyakaar  Ndoye (100%)</t>
  </si>
  <si>
    <t>12.2930 Ha</t>
  </si>
  <si>
    <t>DAECT18/02/2014</t>
  </si>
  <si>
    <t>SR THIES/ETAT MINISTERE CHARGE DES MINES (100%)</t>
  </si>
  <si>
    <t>2.4395 Ha</t>
  </si>
  <si>
    <t>DAECT24/06/2013</t>
  </si>
  <si>
    <t>YENNE</t>
  </si>
  <si>
    <t>adama Diakhaté Ndiaye (100%)</t>
  </si>
  <si>
    <t>3.1686 Ha</t>
  </si>
  <si>
    <t>DAECT24/07/2013</t>
  </si>
  <si>
    <t>AD INVEST SA (100%)</t>
  </si>
  <si>
    <t>DAECT25/07/2013</t>
  </si>
  <si>
    <t>Cheikh Ahmed Tidiane  SY (100%)</t>
  </si>
  <si>
    <t>20.3047 Ha</t>
  </si>
  <si>
    <t>DAECT31/01/2014</t>
  </si>
  <si>
    <t>9.5300 Ha</t>
  </si>
  <si>
    <t>DAECT11012013</t>
  </si>
  <si>
    <t>El Hdji Abdoul Aziz  LO</t>
  </si>
  <si>
    <t>0.0138 km²</t>
  </si>
  <si>
    <t>DAECT14062013</t>
  </si>
  <si>
    <t>DAEP</t>
  </si>
  <si>
    <t>Oumar Ngom (100%)</t>
  </si>
  <si>
    <t>0.0584 km²</t>
  </si>
  <si>
    <t>DAEPM26/10/2013</t>
  </si>
  <si>
    <t>DIAKHALING</t>
  </si>
  <si>
    <t>4.9665 km²</t>
  </si>
  <si>
    <t>DAEPM14122020</t>
  </si>
  <si>
    <t>Toumbingfara Sud</t>
  </si>
  <si>
    <t>2M TRADING MULTISERVICES SARL (100%)</t>
  </si>
  <si>
    <t>456.5792 Ha</t>
  </si>
  <si>
    <t>DAEPM16032020</t>
  </si>
  <si>
    <t>4.9189 km²</t>
  </si>
  <si>
    <t>DAEPM17082016</t>
  </si>
  <si>
    <t>BOYA SAU (100%)</t>
  </si>
  <si>
    <t>4.9944 km²</t>
  </si>
  <si>
    <t>DAEPM21012021</t>
  </si>
  <si>
    <t>HOLDING PRESTIGE GOLD SARL (100%)</t>
  </si>
  <si>
    <t>498.3445 Ha</t>
  </si>
  <si>
    <t>DAEPM23072020</t>
  </si>
  <si>
    <t>BUSINESS LINK GROUP (100%)</t>
  </si>
  <si>
    <t>5.0018 km²</t>
  </si>
  <si>
    <t>DAEPM31082016</t>
  </si>
  <si>
    <t>4.8997 km²</t>
  </si>
  <si>
    <t>DAEPMBIS 26/10/2013</t>
  </si>
  <si>
    <t>BONMADIGUI</t>
  </si>
  <si>
    <t>4.9747 km²</t>
  </si>
  <si>
    <t>DAESM05012021</t>
  </si>
  <si>
    <t>Satadougou Baffé</t>
  </si>
  <si>
    <t>49.0068 Ha</t>
  </si>
  <si>
    <t>DAESM09112020</t>
  </si>
  <si>
    <t>Baitilaye</t>
  </si>
  <si>
    <t>48.8855 Ha</t>
  </si>
  <si>
    <t>DAESM18012021</t>
  </si>
  <si>
    <t>Satadougou Bafé</t>
  </si>
  <si>
    <t>50.1808 Ha</t>
  </si>
  <si>
    <t>DAESM18122019</t>
  </si>
  <si>
    <t>Missira</t>
  </si>
  <si>
    <t>DAESM20052020</t>
  </si>
  <si>
    <t>Mandakholi</t>
  </si>
  <si>
    <t>ENTREPRISE PAPE DEMBA LO (100%)</t>
  </si>
  <si>
    <t>33.0020 Ha</t>
  </si>
  <si>
    <t>DAESM20112020</t>
  </si>
  <si>
    <t>Diakhaling</t>
  </si>
  <si>
    <t>ORIONGOLD SUARL (100%)</t>
  </si>
  <si>
    <t>DAESM27102020</t>
  </si>
  <si>
    <t>Moussala</t>
  </si>
  <si>
    <t>GIE FRERES UNIS (100%)</t>
  </si>
  <si>
    <t>42.7749 Ha</t>
  </si>
  <si>
    <t>DAESM28122020</t>
  </si>
  <si>
    <t>50.8173 Ha</t>
  </si>
  <si>
    <t>DAESM30122020</t>
  </si>
  <si>
    <t>LA GENERALE DES MINES ET TRAVAUX PUBLIQUES SARL (100%)</t>
  </si>
  <si>
    <t>42.3235 Ha</t>
  </si>
  <si>
    <t>DAESMGEOENERGY09042020</t>
  </si>
  <si>
    <t>Konkouto</t>
  </si>
  <si>
    <t>GEOENERGY AFRICA (100%)</t>
  </si>
  <si>
    <t>0.4981 km²</t>
  </si>
  <si>
    <t>DAESMGTBBO</t>
  </si>
  <si>
    <t>GROUPE TRAVAUX BUSINESS BALANCE D'OR (100%)</t>
  </si>
  <si>
    <t>49.6824 Ha</t>
  </si>
  <si>
    <t>DAESSENEMINES02072019</t>
  </si>
  <si>
    <t>SENEMINE (100%)</t>
  </si>
  <si>
    <t>50.0250 Ha</t>
  </si>
  <si>
    <t>DAP</t>
  </si>
  <si>
    <t>DAP08/01/2015</t>
  </si>
  <si>
    <t>DAP08/05/2013</t>
  </si>
  <si>
    <t>GIE KEITA ET FRERES (100%)</t>
  </si>
  <si>
    <t>812.2956 Ha</t>
  </si>
  <si>
    <t>DAP10/04/2013</t>
  </si>
  <si>
    <t>4.2127 km²</t>
  </si>
  <si>
    <t>DAP 11/03/2013</t>
  </si>
  <si>
    <t>1.3746 km²</t>
  </si>
  <si>
    <t>DAP14/08/2013</t>
  </si>
  <si>
    <t>4.7291 Ha</t>
  </si>
  <si>
    <t>DAP15/07/2013</t>
  </si>
  <si>
    <t>RSP GROUP (EST AFRICA) (100%)</t>
  </si>
  <si>
    <t>150.1262 km²</t>
  </si>
  <si>
    <t>DAP23/05/2013</t>
  </si>
  <si>
    <t>10,499.3094 Ha</t>
  </si>
  <si>
    <t>DAP25/11/2013</t>
  </si>
  <si>
    <t>ITAL-TECH sarl (100%)</t>
  </si>
  <si>
    <t>10.0549 Ha</t>
  </si>
  <si>
    <t>DAP31/05/2013</t>
  </si>
  <si>
    <t>Mouhamadou Masseck Fall (100%)</t>
  </si>
  <si>
    <t>140.9095 km²</t>
  </si>
  <si>
    <t>DAP01022016</t>
  </si>
  <si>
    <t>DAP01082017</t>
  </si>
  <si>
    <t>KENIOTO PEUL</t>
  </si>
  <si>
    <t>TOPA TOOL (100%)</t>
  </si>
  <si>
    <t>DAP02012019</t>
  </si>
  <si>
    <t>18.6266 Ha</t>
  </si>
  <si>
    <t>DAP02022016</t>
  </si>
  <si>
    <t>DAP02032016</t>
  </si>
  <si>
    <t>EEEMS Sarl</t>
  </si>
  <si>
    <t>DAP02042020</t>
  </si>
  <si>
    <t>HAMD SARL (100%)</t>
  </si>
  <si>
    <t>44.3232 Ha</t>
  </si>
  <si>
    <t>DAP02062017</t>
  </si>
  <si>
    <t>BANDIA-THIEO</t>
  </si>
  <si>
    <t>GIE MARBRE BASALTE-GRANITE DU SENEGAL</t>
  </si>
  <si>
    <t>145.1144 Ha</t>
  </si>
  <si>
    <t>DAP02072018</t>
  </si>
  <si>
    <t>ASIAN GROUP SARL (100%)</t>
  </si>
  <si>
    <t>15.0000 Ha</t>
  </si>
  <si>
    <t>DAP02082017</t>
  </si>
  <si>
    <t>CHIALI SERVICES AFRIQUE DE L'OUEST (100%)</t>
  </si>
  <si>
    <t>DAP02082017-1</t>
  </si>
  <si>
    <t>SOCIETE D'INVESTISSEMENT INDUSTRIEL (100%)</t>
  </si>
  <si>
    <t>30.9246 km²</t>
  </si>
  <si>
    <t>DAP02112017</t>
  </si>
  <si>
    <t>DAP02122016</t>
  </si>
  <si>
    <t>SORY TOURE (100%)</t>
  </si>
  <si>
    <t>8,191.2030 Ha</t>
  </si>
  <si>
    <t>DAP02122016-1</t>
  </si>
  <si>
    <t>ASSOCIATION NATIONALE DES MARCHANDS D'OR COLLECTEURS REVENDEURS (ANMO/CRV) (100%)</t>
  </si>
  <si>
    <t>75.0000 Ha</t>
  </si>
  <si>
    <t>DAP03012017</t>
  </si>
  <si>
    <t>DIMBOJI</t>
  </si>
  <si>
    <t>DAP03012017-1</t>
  </si>
  <si>
    <t>DAP03042019</t>
  </si>
  <si>
    <t>49.2047 Ha</t>
  </si>
  <si>
    <t>DAP03052016</t>
  </si>
  <si>
    <t>THIES</t>
  </si>
  <si>
    <t>64.2821 Ha</t>
  </si>
  <si>
    <t>DAP03092018</t>
  </si>
  <si>
    <t>20.2298 Ha</t>
  </si>
  <si>
    <t>DAP04012016</t>
  </si>
  <si>
    <t>MANDINGOLD SA</t>
  </si>
  <si>
    <t>DAP04012016-1</t>
  </si>
  <si>
    <t>DJIBRIL NDOYE</t>
  </si>
  <si>
    <t>DAP04022016</t>
  </si>
  <si>
    <t>KARAMBE HAMED</t>
  </si>
  <si>
    <t>DAP04022016-1</t>
  </si>
  <si>
    <t>GIE TORODOGOLD SERVICES</t>
  </si>
  <si>
    <t>540.0000 Ha</t>
  </si>
  <si>
    <t>DAP04082017</t>
  </si>
  <si>
    <t>AXIOM RESOURCES (100%)</t>
  </si>
  <si>
    <t>3.5653 km²</t>
  </si>
  <si>
    <t>DAP04082017-1</t>
  </si>
  <si>
    <t>MANSADALA</t>
  </si>
  <si>
    <t>33.7500 Ha</t>
  </si>
  <si>
    <t>DAP04092015</t>
  </si>
  <si>
    <t>DAP04102016</t>
  </si>
  <si>
    <t>2,523.5413 Ha</t>
  </si>
  <si>
    <t>DAP04112015</t>
  </si>
  <si>
    <t>Mamadou Diouf CISSE (100%)</t>
  </si>
  <si>
    <t>DAP04122014</t>
  </si>
  <si>
    <t>195.9206 km²</t>
  </si>
  <si>
    <t>DAP04122018</t>
  </si>
  <si>
    <t>BOUFAN SUARL (100%)</t>
  </si>
  <si>
    <t>11.0000 Ha</t>
  </si>
  <si>
    <t>DAP04122018-1</t>
  </si>
  <si>
    <t>DAP05012016</t>
  </si>
  <si>
    <t>PMPS MINING COMPANY SARL</t>
  </si>
  <si>
    <t>DAP05012016-1</t>
  </si>
  <si>
    <t>KUABENA KUSI</t>
  </si>
  <si>
    <t>DAP05022016</t>
  </si>
  <si>
    <t>MARIE JOSEPHINE HORTENSE GBAGUIDI</t>
  </si>
  <si>
    <t>48.8800 Ha</t>
  </si>
  <si>
    <t>DAP05042018</t>
  </si>
  <si>
    <t>EVERGREEN AGRO EXPORT SUARL (100%)</t>
  </si>
  <si>
    <t>11.1834 km²</t>
  </si>
  <si>
    <t>DAP05052020</t>
  </si>
  <si>
    <t>DAKAR POST HORIZON CORPORATION SAS (100%)</t>
  </si>
  <si>
    <t>49.1055 Ha</t>
  </si>
  <si>
    <t>DAP05062018</t>
  </si>
  <si>
    <t>DAP05062018-2</t>
  </si>
  <si>
    <t>DAP05092014</t>
  </si>
  <si>
    <t>TOMBORONKOTO</t>
  </si>
  <si>
    <t>EST CISSOKHO (100%)</t>
  </si>
  <si>
    <t>0.2953 km²</t>
  </si>
  <si>
    <t>DAP05112015</t>
  </si>
  <si>
    <t>ENTREPRISE FALILOU DIENG (100%)</t>
  </si>
  <si>
    <t>Argile, latérite, phosphate de chaux</t>
  </si>
  <si>
    <t>DAP05112018</t>
  </si>
  <si>
    <t>77.6258 Ha</t>
  </si>
  <si>
    <t>DAP05122018</t>
  </si>
  <si>
    <t>52.7626 Ha</t>
  </si>
  <si>
    <t>DAP06022019</t>
  </si>
  <si>
    <t>DEMSEN (100%)</t>
  </si>
  <si>
    <t>316.6780 Ha</t>
  </si>
  <si>
    <t>DAP06092016</t>
  </si>
  <si>
    <t>OUMAR SISSOKO (100%)</t>
  </si>
  <si>
    <t>67.5000 Ha</t>
  </si>
  <si>
    <t>DAP07062017</t>
  </si>
  <si>
    <t>MOUSSA TOURE</t>
  </si>
  <si>
    <t>DAP07062017-1</t>
  </si>
  <si>
    <t>FODE TOURE</t>
  </si>
  <si>
    <t>57.5000 Ha</t>
  </si>
  <si>
    <t>DAP07072015</t>
  </si>
  <si>
    <t>GOUVERNANCE THIES (100%)</t>
  </si>
  <si>
    <t>DAP07102015</t>
  </si>
  <si>
    <t>GIE BB GOLD &amp; FILS (100%)</t>
  </si>
  <si>
    <t>DAP07122015</t>
  </si>
  <si>
    <t>GIE NITODIYA PRODUCTION</t>
  </si>
  <si>
    <t>90.6330 Ha</t>
  </si>
  <si>
    <t>DAP08012019</t>
  </si>
  <si>
    <t>INDOSEN SARL (100%)</t>
  </si>
  <si>
    <t>22.5000 Ha</t>
  </si>
  <si>
    <t>DAP08022021</t>
  </si>
  <si>
    <t>AFRIMART IMMOBILIER ET BTP</t>
  </si>
  <si>
    <t>grès, kao</t>
  </si>
  <si>
    <t>0.6163 Ha</t>
  </si>
  <si>
    <t>DAP08072020</t>
  </si>
  <si>
    <t>29.4123 Ha</t>
  </si>
  <si>
    <t>DAP08072020-1</t>
  </si>
  <si>
    <t>49.9038 Ha</t>
  </si>
  <si>
    <t>DAP08072020-3</t>
  </si>
  <si>
    <t>Keur Mamour</t>
  </si>
  <si>
    <t>50.1933 Ha</t>
  </si>
  <si>
    <t>DAP09032016</t>
  </si>
  <si>
    <t>UNIVERSAL COLORS</t>
  </si>
  <si>
    <t>DAP09042018</t>
  </si>
  <si>
    <t>SOCIETE DE GENIE CIVIL SA (100%)</t>
  </si>
  <si>
    <t>DAP09042019</t>
  </si>
  <si>
    <t>337.6861 Ha</t>
  </si>
  <si>
    <t>DAP09042019-1</t>
  </si>
  <si>
    <t>DAP09052016</t>
  </si>
  <si>
    <t>MAKHTAR NIANG</t>
  </si>
  <si>
    <t>DAP09052017</t>
  </si>
  <si>
    <t>WENNDIA</t>
  </si>
  <si>
    <t>SEYDINA DIENE</t>
  </si>
  <si>
    <t>DAP09052019</t>
  </si>
  <si>
    <t>27.4476 Ha</t>
  </si>
  <si>
    <t>DAP09092015</t>
  </si>
  <si>
    <t>Fallou THIAM (100%)</t>
  </si>
  <si>
    <t>DAP09102017</t>
  </si>
  <si>
    <t>ENTREPRISE ASS (100%)</t>
  </si>
  <si>
    <t>DAP10022015</t>
  </si>
  <si>
    <t>0.0618 km²</t>
  </si>
  <si>
    <t>DAP10032016</t>
  </si>
  <si>
    <t>TAMBACOUNDA</t>
  </si>
  <si>
    <t>ETABLISSEMENT YACINE DIALLO (100%)</t>
  </si>
  <si>
    <t>DAP10032016-1</t>
  </si>
  <si>
    <t>WANDOULOU DANSOKHO</t>
  </si>
  <si>
    <t>DAP10042015B</t>
  </si>
  <si>
    <t>0.0025 km²</t>
  </si>
  <si>
    <t>DAP10052017</t>
  </si>
  <si>
    <t>DJI GOLD COMPANY</t>
  </si>
  <si>
    <t>31.1450 km²</t>
  </si>
  <si>
    <t>DAP10052017-1</t>
  </si>
  <si>
    <t>JUMELLES GOLD SUARL</t>
  </si>
  <si>
    <t>DAP10052017-2</t>
  </si>
  <si>
    <t>MOR SECK</t>
  </si>
  <si>
    <t>DAP10082016</t>
  </si>
  <si>
    <t>RAWANE DIOP (100%)</t>
  </si>
  <si>
    <t>0.0726 km²</t>
  </si>
  <si>
    <t>DAP10122014</t>
  </si>
  <si>
    <t>TAMBAKUMALA SARL</t>
  </si>
  <si>
    <t>636.1095 Ha</t>
  </si>
  <si>
    <t>DAP11022015</t>
  </si>
  <si>
    <t>Babangoto</t>
  </si>
  <si>
    <t>36.0163 km²</t>
  </si>
  <si>
    <t>DAP11022015A</t>
  </si>
  <si>
    <t>27.5000 Ha</t>
  </si>
  <si>
    <t>DAP11042019</t>
  </si>
  <si>
    <t>NW VELINGARA</t>
  </si>
  <si>
    <t>DAP11052017</t>
  </si>
  <si>
    <t>FATIMATA DIOP</t>
  </si>
  <si>
    <t>DAP11052017-1</t>
  </si>
  <si>
    <t>GIE BOSSOCOUNDA DE FARABA</t>
  </si>
  <si>
    <t>DAP11052017-2</t>
  </si>
  <si>
    <t>INTERNATIONAL TRADING COMPANY (ITC)</t>
  </si>
  <si>
    <t>DAP11102018</t>
  </si>
  <si>
    <t>GEO EXPLOIT SARL</t>
  </si>
  <si>
    <t>57.6608 km²</t>
  </si>
  <si>
    <t>DAP11102018-1</t>
  </si>
  <si>
    <t>SOLYA INVESTMENTS SARL (100%)</t>
  </si>
  <si>
    <t>31.8795 Ha</t>
  </si>
  <si>
    <t>DAP11122018</t>
  </si>
  <si>
    <t>187.2894 Ha</t>
  </si>
  <si>
    <t>DAP11122018-1</t>
  </si>
  <si>
    <t>44.9918 Ha</t>
  </si>
  <si>
    <t>DAP11122018-2</t>
  </si>
  <si>
    <t>20.0015 Ha</t>
  </si>
  <si>
    <t>DAP11122018-3</t>
  </si>
  <si>
    <t>75.6776 Ha</t>
  </si>
  <si>
    <t>DAP12022014</t>
  </si>
  <si>
    <t>2.4407 km²</t>
  </si>
  <si>
    <t>DAP12022018</t>
  </si>
  <si>
    <t>50.0158 Ha</t>
  </si>
  <si>
    <t>DAP12092018</t>
  </si>
  <si>
    <t>NEW SENEGAL INVESTMENT SARL (100%)</t>
  </si>
  <si>
    <t>DAP13012016</t>
  </si>
  <si>
    <t>DAP13032018</t>
  </si>
  <si>
    <t>LUCKY OCEAN INTERNATIONAL TRADING SUARL (100%)</t>
  </si>
  <si>
    <t>Argile, kao</t>
  </si>
  <si>
    <t>76.6800 km²</t>
  </si>
  <si>
    <t>DAP13032019</t>
  </si>
  <si>
    <t>BETA TRADE &amp; CONTRACTING SARL (100%)</t>
  </si>
  <si>
    <t>DAP13052019</t>
  </si>
  <si>
    <t>THEO</t>
  </si>
  <si>
    <t>18.6500 Ha</t>
  </si>
  <si>
    <t>DAP13072020</t>
  </si>
  <si>
    <t>Seune sérère-Pout</t>
  </si>
  <si>
    <t>SOCIETE D'EXPLOITATION DE CARRIERES SUARL (100%)</t>
  </si>
  <si>
    <t>28.1036 Ha</t>
  </si>
  <si>
    <t>DAP13092018</t>
  </si>
  <si>
    <t>CB SENEGAL SA (100%)</t>
  </si>
  <si>
    <t>68.7824 Ha</t>
  </si>
  <si>
    <t>DAP14012015</t>
  </si>
  <si>
    <t>1.9110 km²</t>
  </si>
  <si>
    <t>DAP14012016</t>
  </si>
  <si>
    <t>SADA SY KA</t>
  </si>
  <si>
    <t>275.1801 Ha</t>
  </si>
  <si>
    <t>DAP14032016</t>
  </si>
  <si>
    <t>SERIGNE FALLOU MBACKE</t>
  </si>
  <si>
    <t>DAP14042016</t>
  </si>
  <si>
    <t>320.3811 Ha</t>
  </si>
  <si>
    <t>DAP14042016-1</t>
  </si>
  <si>
    <t>Cécile Aeléonore GBAGUIDI</t>
  </si>
  <si>
    <t>105.2602 Ha</t>
  </si>
  <si>
    <t>DAP14072017</t>
  </si>
  <si>
    <t>PLANETE GOLD AFRICA</t>
  </si>
  <si>
    <t>DAP14092016</t>
  </si>
  <si>
    <t>4.9996 km²</t>
  </si>
  <si>
    <t>DAP14112016</t>
  </si>
  <si>
    <t>SIDIYA  DIABY (100%)</t>
  </si>
  <si>
    <t>DAP14112016-1</t>
  </si>
  <si>
    <t>49.0000 Ha</t>
  </si>
  <si>
    <t>DAP15012015</t>
  </si>
  <si>
    <t>2.5437 km²</t>
  </si>
  <si>
    <t>DAP15012020-2</t>
  </si>
  <si>
    <t xml:space="preserve">SOCIETE SENEGALAISE DE CONCASSAGE </t>
  </si>
  <si>
    <t>DAP15032016</t>
  </si>
  <si>
    <t>MOMAR SECK</t>
  </si>
  <si>
    <t>DAP15032019</t>
  </si>
  <si>
    <t>DEME SOLARIS INDUSTRIE (100%)</t>
  </si>
  <si>
    <t>4.1441 Ha</t>
  </si>
  <si>
    <t>DAP15032021</t>
  </si>
  <si>
    <t>ZENITH CONSTRUCTION METALLIQUE SARL (100%)</t>
  </si>
  <si>
    <t>12.1280 km²</t>
  </si>
  <si>
    <t>DAP15042016</t>
  </si>
  <si>
    <t>APROMINE SARL</t>
  </si>
  <si>
    <t>DAP15052019</t>
  </si>
  <si>
    <t>NEBOU</t>
  </si>
  <si>
    <t>51.7350 Ha</t>
  </si>
  <si>
    <t>DAP15112017</t>
  </si>
  <si>
    <t>Kourou Diakhouma Sud</t>
  </si>
  <si>
    <t>51.4500 Ha</t>
  </si>
  <si>
    <t>DAP15112018</t>
  </si>
  <si>
    <t>SPINTECH (100%)</t>
  </si>
  <si>
    <t>25.0957 Ha</t>
  </si>
  <si>
    <t>DAP16012015</t>
  </si>
  <si>
    <t>324.4475 Ha</t>
  </si>
  <si>
    <t>DAP16012017</t>
  </si>
  <si>
    <t>ABDOU FALL</t>
  </si>
  <si>
    <t>DAP16012017-1</t>
  </si>
  <si>
    <t>MAMADOU DIOUF</t>
  </si>
  <si>
    <t>DAP16012017-2</t>
  </si>
  <si>
    <t>FATOUMATA LY</t>
  </si>
  <si>
    <t>DAP16012017-3</t>
  </si>
  <si>
    <t>AWA LY</t>
  </si>
  <si>
    <t>DAP16012017-4</t>
  </si>
  <si>
    <t>MOHSEN HAYSSAM AHMAD</t>
  </si>
  <si>
    <t>9.0000 km²</t>
  </si>
  <si>
    <t>DAP16012020</t>
  </si>
  <si>
    <t>DAP16042019</t>
  </si>
  <si>
    <t>19.2779 km²</t>
  </si>
  <si>
    <t>DAP16062017</t>
  </si>
  <si>
    <t>94.6737 km²</t>
  </si>
  <si>
    <t>DAP16062017-1</t>
  </si>
  <si>
    <t>MOUSSA DIOUF</t>
  </si>
  <si>
    <t>DAP16062017-2</t>
  </si>
  <si>
    <t>10.3320 km²</t>
  </si>
  <si>
    <t>DAP16112015</t>
  </si>
  <si>
    <t>GIE BINKADIYA (100%)</t>
  </si>
  <si>
    <t>DAP17022015</t>
  </si>
  <si>
    <t>MARCELUCE BULIN (100%)</t>
  </si>
  <si>
    <t>49.3848 Ha</t>
  </si>
  <si>
    <t>DAP17032020</t>
  </si>
  <si>
    <t>19.9740 Ha</t>
  </si>
  <si>
    <t>DAP17082016</t>
  </si>
  <si>
    <t>MAMADOU SYLLA (100%)</t>
  </si>
  <si>
    <t>DAP17092018</t>
  </si>
  <si>
    <t>basalte, dl</t>
  </si>
  <si>
    <t>DAP17102016</t>
  </si>
  <si>
    <t>20.3139 Ha</t>
  </si>
  <si>
    <t>DAP17122018</t>
  </si>
  <si>
    <t>DIANTANG-KATOUDIE</t>
  </si>
  <si>
    <t>12.9851 Ha</t>
  </si>
  <si>
    <t>DAP17122018-1</t>
  </si>
  <si>
    <t>NIMZATT</t>
  </si>
  <si>
    <t>DAP17122018-2</t>
  </si>
  <si>
    <t>NDIAYE BOPP</t>
  </si>
  <si>
    <t>48.5827 Ha</t>
  </si>
  <si>
    <t>DAP17122018-3</t>
  </si>
  <si>
    <t>MLOMP</t>
  </si>
  <si>
    <t>1.4884 Ha</t>
  </si>
  <si>
    <t>DAP17122018-4</t>
  </si>
  <si>
    <t>RAO PEULH</t>
  </si>
  <si>
    <t>580.5304 Ha</t>
  </si>
  <si>
    <t>DAP18032019</t>
  </si>
  <si>
    <t>DAP18032019-1</t>
  </si>
  <si>
    <t>KABAYASSE</t>
  </si>
  <si>
    <t>IMPERIAL COMMODITIES SARL (100%)</t>
  </si>
  <si>
    <t>178.8910 km²</t>
  </si>
  <si>
    <t>DAP18042018</t>
  </si>
  <si>
    <t>Niéménéké</t>
  </si>
  <si>
    <t>SOCAM SARL (100%)</t>
  </si>
  <si>
    <t>18.0000 Ha</t>
  </si>
  <si>
    <t>DAP18042018-1</t>
  </si>
  <si>
    <t>16.0000 Ha</t>
  </si>
  <si>
    <t>DAP19012016</t>
  </si>
  <si>
    <t>MAMADOU TOURE</t>
  </si>
  <si>
    <t>DAP19042017</t>
  </si>
  <si>
    <t>1.0957 km²</t>
  </si>
  <si>
    <t>DAP19062015-1</t>
  </si>
  <si>
    <t>DAP19062020</t>
  </si>
  <si>
    <t>DAP19072013</t>
  </si>
  <si>
    <t>Nemaoul</t>
  </si>
  <si>
    <t>487.4389 Ha</t>
  </si>
  <si>
    <t>DAP19072017</t>
  </si>
  <si>
    <t>MOUSSALA MAHINAMINE</t>
  </si>
  <si>
    <t>COLY DANFAKHA</t>
  </si>
  <si>
    <t>DAP19072017-1</t>
  </si>
  <si>
    <t>FANOMBO DEMBELE</t>
  </si>
  <si>
    <t>DAP19082016</t>
  </si>
  <si>
    <t>ALY WANE (100%)</t>
  </si>
  <si>
    <t>DAP19092016</t>
  </si>
  <si>
    <t>basalte, Sl</t>
  </si>
  <si>
    <t>DAP19122019</t>
  </si>
  <si>
    <t>MINING SHENG MINING (100%)</t>
  </si>
  <si>
    <t>55.8268 Ha</t>
  </si>
  <si>
    <t>DAP19122019-1</t>
  </si>
  <si>
    <t>ANHUA XIANGLONG MINING Co., Ltd (100%)</t>
  </si>
  <si>
    <t>3,425.9104 Ha</t>
  </si>
  <si>
    <t>DAP20012020</t>
  </si>
  <si>
    <t>DAP20032015</t>
  </si>
  <si>
    <t>GIE SIDIBE ET FRERES (100%)</t>
  </si>
  <si>
    <t>0.0095 km²</t>
  </si>
  <si>
    <t>DAP20032019-1</t>
  </si>
  <si>
    <t>500.6428 Ha</t>
  </si>
  <si>
    <t>DAP20052019</t>
  </si>
  <si>
    <t>DAP20062018</t>
  </si>
  <si>
    <t>ECOMINES SA</t>
  </si>
  <si>
    <t>494.8022 Ha</t>
  </si>
  <si>
    <t>DAP20062018-1</t>
  </si>
  <si>
    <t>Khombole</t>
  </si>
  <si>
    <t>DAP21022019</t>
  </si>
  <si>
    <t>MAYA GOLD SUARL (100%)</t>
  </si>
  <si>
    <t>46.5068 Ha</t>
  </si>
  <si>
    <t>DAP21032016</t>
  </si>
  <si>
    <t>ASKANWI</t>
  </si>
  <si>
    <t>DAP21032016-1</t>
  </si>
  <si>
    <t>MONZON SAMAKE</t>
  </si>
  <si>
    <t>47.9058 Ha</t>
  </si>
  <si>
    <t>DAP21052019</t>
  </si>
  <si>
    <t>DAP21112016</t>
  </si>
  <si>
    <t>MAMADOU DRAME (100%)</t>
  </si>
  <si>
    <t>44.9800 Ha</t>
  </si>
  <si>
    <t>DAP21112019</t>
  </si>
  <si>
    <t>Bantakonkoto1</t>
  </si>
  <si>
    <t>80.3612 Ha</t>
  </si>
  <si>
    <t>DAP22012019</t>
  </si>
  <si>
    <t>BAMBA INVESTMENT SARL (100%)</t>
  </si>
  <si>
    <t>DAP22012020</t>
  </si>
  <si>
    <t>KABATEGUINDA</t>
  </si>
  <si>
    <t>DAP22032016</t>
  </si>
  <si>
    <t>SABOUGNOUMA SARL</t>
  </si>
  <si>
    <t>99.9500 Ha</t>
  </si>
  <si>
    <t>DAP22032016-1</t>
  </si>
  <si>
    <t>MONT-ROLLAND</t>
  </si>
  <si>
    <t>DAP22032019</t>
  </si>
  <si>
    <t>GEOMIN (100%)</t>
  </si>
  <si>
    <t>105.6685 km²</t>
  </si>
  <si>
    <t>DAP22042015</t>
  </si>
  <si>
    <t>Mamadou Khalifa AIDARA (100%)</t>
  </si>
  <si>
    <t>DAP22042015A</t>
  </si>
  <si>
    <t>Salif CISSOKHO (100%)</t>
  </si>
  <si>
    <t>0.0022 km²</t>
  </si>
  <si>
    <t>DAP22052017</t>
  </si>
  <si>
    <t>Cheikh Ahmed Tidiany  THIAM</t>
  </si>
  <si>
    <t>55.0400 Ha</t>
  </si>
  <si>
    <t>DAP22062017</t>
  </si>
  <si>
    <t>GIE KEITA ET FRERES</t>
  </si>
  <si>
    <t>353.5158 Ha</t>
  </si>
  <si>
    <t>DAP22062018</t>
  </si>
  <si>
    <t>DAP22062018-1</t>
  </si>
  <si>
    <t>DAP22062020</t>
  </si>
  <si>
    <t>DAP22092016</t>
  </si>
  <si>
    <t>GIE CHRYSOS (100%)</t>
  </si>
  <si>
    <t>DAP23062017</t>
  </si>
  <si>
    <t>SERIGNE TOURE</t>
  </si>
  <si>
    <t>DAP23062017-1</t>
  </si>
  <si>
    <t>MASSE TOURE</t>
  </si>
  <si>
    <t>DAP23072018</t>
  </si>
  <si>
    <t>DAP23082017</t>
  </si>
  <si>
    <t>Keur Khazabé</t>
  </si>
  <si>
    <t>DAP23112017</t>
  </si>
  <si>
    <t>FONGOLIMBI</t>
  </si>
  <si>
    <t>19.3200 km²</t>
  </si>
  <si>
    <t>DAP23122016</t>
  </si>
  <si>
    <t>PLANETE GOLD AFRICA (100%)</t>
  </si>
  <si>
    <t>DAP24032015</t>
  </si>
  <si>
    <t>Abdou PILOR (100%)</t>
  </si>
  <si>
    <t>0.0730 km²</t>
  </si>
  <si>
    <t>DAP24032016</t>
  </si>
  <si>
    <t>Naka KONATE</t>
  </si>
  <si>
    <t>49.8400 Ha</t>
  </si>
  <si>
    <t>DAP24032016-1</t>
  </si>
  <si>
    <t>GOLDMINE BISINESS</t>
  </si>
  <si>
    <t>DAP24032017</t>
  </si>
  <si>
    <t>TABA AGRICULTURE CONSULTING INFRASTRUCTURE AND MINING (TAACIM) SUARL (100%)</t>
  </si>
  <si>
    <t>DAP25022015</t>
  </si>
  <si>
    <t>0.0058 km²</t>
  </si>
  <si>
    <t>DAP25032019</t>
  </si>
  <si>
    <t>47.9000 km²</t>
  </si>
  <si>
    <t>DAP25072017</t>
  </si>
  <si>
    <t>NDOUKHOURA WOLOF</t>
  </si>
  <si>
    <t>MODOU TOURE GENERAL BUSINESS (MTGB) Sarl</t>
  </si>
  <si>
    <t>186.7720 Ha</t>
  </si>
  <si>
    <t>DAP26032015</t>
  </si>
  <si>
    <t>0.0044 km²</t>
  </si>
  <si>
    <t>DAP26032015B</t>
  </si>
  <si>
    <t>Cheikh Sidy Mouhamed DRAME (100%)</t>
  </si>
  <si>
    <t>DAP26032015C</t>
  </si>
  <si>
    <t>AFRICA GOLD SARL (100%)</t>
  </si>
  <si>
    <t>0.0046 km²</t>
  </si>
  <si>
    <t>DAP26042019</t>
  </si>
  <si>
    <t>DAP26102015</t>
  </si>
  <si>
    <t>GIE PERFORMANCES (100%)</t>
  </si>
  <si>
    <t>DAP26102015-1</t>
  </si>
  <si>
    <t>SIDIYA DIABY (100%)</t>
  </si>
  <si>
    <t>DAP26112015</t>
  </si>
  <si>
    <t>MOUSSALA</t>
  </si>
  <si>
    <t>DAP26112015-1</t>
  </si>
  <si>
    <t>IDRISSA SOUMARE</t>
  </si>
  <si>
    <t>DAP27052016</t>
  </si>
  <si>
    <t>0.9900 Ha</t>
  </si>
  <si>
    <t>DAP27072016</t>
  </si>
  <si>
    <t>ASKANWI (100%)</t>
  </si>
  <si>
    <t>1.9629 km²</t>
  </si>
  <si>
    <t>DAP27072017</t>
  </si>
  <si>
    <t>Seune Sérère</t>
  </si>
  <si>
    <t>GRUPO VEPANA</t>
  </si>
  <si>
    <t>18.5734 Ha</t>
  </si>
  <si>
    <t>DAP27072017-1</t>
  </si>
  <si>
    <t>182,152.3507 Ha</t>
  </si>
  <si>
    <t>DAP27082014</t>
  </si>
  <si>
    <t>0.4988 km²</t>
  </si>
  <si>
    <t>DAP27092016</t>
  </si>
  <si>
    <t>LUCIANO BRASCA (100%)</t>
  </si>
  <si>
    <t>basalte, latérite</t>
  </si>
  <si>
    <t>DAP27102020</t>
  </si>
  <si>
    <t>231.3887 Ha</t>
  </si>
  <si>
    <t>DAP27112015</t>
  </si>
  <si>
    <t>Cheikh Ahmed Tidiany THIAM</t>
  </si>
  <si>
    <t>DAP28052015</t>
  </si>
  <si>
    <t>GIE ETOILE DU SUD (100%)</t>
  </si>
  <si>
    <t>DAP28062019</t>
  </si>
  <si>
    <t>OROSEN SARL (100%)</t>
  </si>
  <si>
    <t>56.2072 Ha</t>
  </si>
  <si>
    <t>DAP28062019-2</t>
  </si>
  <si>
    <t>Kélomassi</t>
  </si>
  <si>
    <t>9,036.7579 Ha</t>
  </si>
  <si>
    <t>DAP28072020</t>
  </si>
  <si>
    <t>Fandène</t>
  </si>
  <si>
    <t>DAP28102015</t>
  </si>
  <si>
    <t>SIDIYA TOURE (100%)</t>
  </si>
  <si>
    <t>DAP28102015-1</t>
  </si>
  <si>
    <t>GIE ESPOIR (100%)</t>
  </si>
  <si>
    <t>DAP28102015-2</t>
  </si>
  <si>
    <t xml:space="preserve">DIACK
</t>
  </si>
  <si>
    <t>DIST LUB (100%)</t>
  </si>
  <si>
    <t>8.4176 Ha</t>
  </si>
  <si>
    <t>DAP28112016</t>
  </si>
  <si>
    <t>COLY DANFAKHA (100%)</t>
  </si>
  <si>
    <t>DAP28122018</t>
  </si>
  <si>
    <t>AEAN DEVELOPPEMENT (100%)</t>
  </si>
  <si>
    <t>101.4095 Ha</t>
  </si>
  <si>
    <t>DAP29012018</t>
  </si>
  <si>
    <t>Djiby BA (100%)</t>
  </si>
  <si>
    <t>58.3250 Ha</t>
  </si>
  <si>
    <t>DAP29012019</t>
  </si>
  <si>
    <t>40.2437 Ha</t>
  </si>
  <si>
    <t>DAP29012020</t>
  </si>
  <si>
    <t>Bantako koto1</t>
  </si>
  <si>
    <t>DAP29012020-2</t>
  </si>
  <si>
    <t>Bantako koto 2</t>
  </si>
  <si>
    <t>DAP29042016</t>
  </si>
  <si>
    <t>0.3698 km²</t>
  </si>
  <si>
    <t>DAP29042019</t>
  </si>
  <si>
    <t>GROUPEMENT KHALIL ET SERVICES (100%)</t>
  </si>
  <si>
    <t>36.6653 km²</t>
  </si>
  <si>
    <t>DAP29052015-1</t>
  </si>
  <si>
    <t>ASCOM WEST AFRICA (100%)</t>
  </si>
  <si>
    <t>Au, calcaire, kao, phosphate de chaux</t>
  </si>
  <si>
    <t>DAP29082016</t>
  </si>
  <si>
    <t>DAP29082016-1</t>
  </si>
  <si>
    <t>DAP29092020</t>
  </si>
  <si>
    <t>Kémaye</t>
  </si>
  <si>
    <t>6.9192 Ha</t>
  </si>
  <si>
    <t>DAP29122020-1</t>
  </si>
  <si>
    <t>CARRIERE JONATHAN KHALIL (100%)</t>
  </si>
  <si>
    <t>30.0120 Ha</t>
  </si>
  <si>
    <t>DAP30052017</t>
  </si>
  <si>
    <t>16.8578 Ha</t>
  </si>
  <si>
    <t>DAP30082016</t>
  </si>
  <si>
    <t>Mbeuleukhé</t>
  </si>
  <si>
    <t>SENFOR SARL (100%)</t>
  </si>
  <si>
    <t>21.7211 Ha</t>
  </si>
  <si>
    <t>DAP30102018</t>
  </si>
  <si>
    <t>14.4862 Ha</t>
  </si>
  <si>
    <t>DAP30112018</t>
  </si>
  <si>
    <t>DAR AL PEULH</t>
  </si>
  <si>
    <t>177.1793 Ha</t>
  </si>
  <si>
    <t>DAP30122015</t>
  </si>
  <si>
    <t>CHEN TONGYUN</t>
  </si>
  <si>
    <t>DAP31102018</t>
  </si>
  <si>
    <t>DIENDE</t>
  </si>
  <si>
    <t>31.6290 Ha</t>
  </si>
  <si>
    <t>DAPCORAF</t>
  </si>
  <si>
    <t>418.8283 Ha</t>
  </si>
  <si>
    <t>DAPHGR20012020</t>
  </si>
  <si>
    <t>132.0207 Ha</t>
  </si>
  <si>
    <t>DAPMINING SHENG01102019</t>
  </si>
  <si>
    <t>624.3605 Ha</t>
  </si>
  <si>
    <t>DAPP09122020</t>
  </si>
  <si>
    <t>C.S.C TRADING SASU (100%)</t>
  </si>
  <si>
    <t>1,841.4175 Ha</t>
  </si>
  <si>
    <t>DAPP16062020</t>
  </si>
  <si>
    <t>AFRICAN MINING LOGISTIQUE SERVICE</t>
  </si>
  <si>
    <t>118.8423 Ha</t>
  </si>
  <si>
    <t>DAPP16102020</t>
  </si>
  <si>
    <t>SOCIETE COMPAGNIE MOUHAMADOU BEN SALIM SUARL (100%)</t>
  </si>
  <si>
    <t>19.6588 Ha</t>
  </si>
  <si>
    <t>DAPP20082020</t>
  </si>
  <si>
    <t>DOLY PRESTATION DE SERVICES EMERGENT SUARL (100%)</t>
  </si>
  <si>
    <t>DAPP23072020</t>
  </si>
  <si>
    <t>SEN AFRICA SERVICES (100%)</t>
  </si>
  <si>
    <t>2,491.5967 Ha</t>
  </si>
  <si>
    <t>DAPP28052020</t>
  </si>
  <si>
    <t>10.5161 Ha</t>
  </si>
  <si>
    <t>DAPP28072020</t>
  </si>
  <si>
    <t>0.3009 km²</t>
  </si>
  <si>
    <t>DAPS3Mx08012020</t>
  </si>
  <si>
    <t>1,495.1822 Ha</t>
  </si>
  <si>
    <t>DAPSMSC24012020</t>
  </si>
  <si>
    <t>99.9970 Ha</t>
  </si>
  <si>
    <t>dAt17022014</t>
  </si>
  <si>
    <t>0.0729 km²</t>
  </si>
  <si>
    <t>DCM01022016</t>
  </si>
  <si>
    <t>GENERALE D'ENTREPRISE ET DEVELOPPEMENT</t>
  </si>
  <si>
    <t>DCM06012016</t>
  </si>
  <si>
    <t>MAKABINGUI</t>
  </si>
  <si>
    <t>WEST AFRICAN TRADING INVESTMENT CONSTRUCTION</t>
  </si>
  <si>
    <t>DCM11112015</t>
  </si>
  <si>
    <t>AFRICAN INVESTMENT GROUP SA</t>
  </si>
  <si>
    <t>235.7933 km²</t>
  </si>
  <si>
    <t>DCM19012016</t>
  </si>
  <si>
    <t>SEPHOS (90%)</t>
  </si>
  <si>
    <t>34.9525 km²</t>
  </si>
  <si>
    <t>DCM25042016</t>
  </si>
  <si>
    <t>RANDGOLD</t>
  </si>
  <si>
    <t>507.0551 km²</t>
  </si>
  <si>
    <t xml:space="preserve"> DCPP03092018</t>
  </si>
  <si>
    <t>SOCIETES DE SERVICES BATIMENTS ET TRAVAUX PUBLICS Sarl (100%)</t>
  </si>
  <si>
    <t>22.8723 Ha</t>
  </si>
  <si>
    <t>DCPP07092018</t>
  </si>
  <si>
    <t>DCPP29082018</t>
  </si>
  <si>
    <t>HOLDING TOUBA KHELCOM (100%)</t>
  </si>
  <si>
    <t>32.6606 Ha</t>
  </si>
  <si>
    <t>DCPP31082018</t>
  </si>
  <si>
    <t>UNIVERSEL BUSINESS GROUP SENEGAL SARL (100%)</t>
  </si>
  <si>
    <t>37.9927 Ha</t>
  </si>
  <si>
    <t>DCPT11022019</t>
  </si>
  <si>
    <t>HBTP (100%)</t>
  </si>
  <si>
    <t>29.9992 Ha</t>
  </si>
  <si>
    <t>DCPV02022015</t>
  </si>
  <si>
    <t>0.2177 km²</t>
  </si>
  <si>
    <t>DCPV17102013</t>
  </si>
  <si>
    <t>22.8976 Ha</t>
  </si>
  <si>
    <t>DCT24/04/2013</t>
  </si>
  <si>
    <t>TAIBA MBORO</t>
  </si>
  <si>
    <t>GROUPEMENT D'ACHAT PHENIX (100%)</t>
  </si>
  <si>
    <t>0.2000 Ha</t>
  </si>
  <si>
    <t>DEA03/04/2031</t>
  </si>
  <si>
    <t>Opakhoto</t>
  </si>
  <si>
    <t>GROUPE TOP HORIZON (100%)</t>
  </si>
  <si>
    <t>DEA17122014</t>
  </si>
  <si>
    <t>48.0000 Ha</t>
  </si>
  <si>
    <t>deamande 29082013</t>
  </si>
  <si>
    <t>BAFOUNDOU RESOURCES SARL (100%)</t>
  </si>
  <si>
    <t>Cr, Cu</t>
  </si>
  <si>
    <t>193.0413 km²</t>
  </si>
  <si>
    <t>DECP09052014</t>
  </si>
  <si>
    <t>CARMISEN (100%)</t>
  </si>
  <si>
    <t>99.4952 Ha</t>
  </si>
  <si>
    <t>DECT05052014</t>
  </si>
  <si>
    <t>Alioune NDIAYE (100%)</t>
  </si>
  <si>
    <t>0.0771 km²</t>
  </si>
  <si>
    <t>DECT30072014</t>
  </si>
  <si>
    <t>Balla Ngom (100%)</t>
  </si>
  <si>
    <t>0.0602 km²</t>
  </si>
  <si>
    <t>Dem04062014</t>
  </si>
  <si>
    <t>77.3156 Ha</t>
  </si>
  <si>
    <t>Dem14042014</t>
  </si>
  <si>
    <t>Balla Samb (100%)</t>
  </si>
  <si>
    <t>Dem015072014</t>
  </si>
  <si>
    <t>ETABLISSEMENT TAMSIR MBOUP ET FRERES (100%)</t>
  </si>
  <si>
    <t>7.1790 Ha</t>
  </si>
  <si>
    <t>Dem26032014</t>
  </si>
  <si>
    <t>101.1463 km²</t>
  </si>
  <si>
    <t>deman28012014</t>
  </si>
  <si>
    <t>0.4884 km²</t>
  </si>
  <si>
    <t>demand 28012014</t>
  </si>
  <si>
    <t>3,177.1654 km²</t>
  </si>
  <si>
    <t>demande</t>
  </si>
  <si>
    <t>toubatoul</t>
  </si>
  <si>
    <t>329.6543 km²</t>
  </si>
  <si>
    <t>DEMANDE 000002</t>
  </si>
  <si>
    <t>BOKOLI</t>
  </si>
  <si>
    <t>4.5365 km²</t>
  </si>
  <si>
    <t>demande 09 juillet 2013</t>
  </si>
  <si>
    <t>demande082013</t>
  </si>
  <si>
    <t>CARNEGIE/ASTRON (100%)</t>
  </si>
  <si>
    <t>1.8491 km²</t>
  </si>
  <si>
    <t>demande 03122013</t>
  </si>
  <si>
    <t>SOCIETED'INVESTISSEMENT DE NEGOCE ET DE BAMIMENT (100%)</t>
  </si>
  <si>
    <t>50.0939 Ha</t>
  </si>
  <si>
    <t>Demande06012014</t>
  </si>
  <si>
    <t>MOULOUGA</t>
  </si>
  <si>
    <t>120.1328 km²</t>
  </si>
  <si>
    <t>demande07052014</t>
  </si>
  <si>
    <t>Demande08082014</t>
  </si>
  <si>
    <t>148.3606 km²</t>
  </si>
  <si>
    <t>demande 008082014</t>
  </si>
  <si>
    <t>demande09012014</t>
  </si>
  <si>
    <t>MINEEX (100%)</t>
  </si>
  <si>
    <t>14.0110 km²</t>
  </si>
  <si>
    <t>demande 10072013</t>
  </si>
  <si>
    <t>Abdoul Aziz Ly (100%)</t>
  </si>
  <si>
    <t>52.5222 Ha</t>
  </si>
  <si>
    <t>Demande011062013</t>
  </si>
  <si>
    <t>GOLD DRAGON RESSOURCES SENEGAL SARL (100%)</t>
  </si>
  <si>
    <t>0.4512 km²</t>
  </si>
  <si>
    <t>DEMANDe015072014</t>
  </si>
  <si>
    <t>demande016012015</t>
  </si>
  <si>
    <t>SOCIETE SERVICE BATIMENT ET COMERCE INTERNATIONAL</t>
  </si>
  <si>
    <t>0.2322 km²</t>
  </si>
  <si>
    <t>demande 016092013</t>
  </si>
  <si>
    <t>Sebi Ponty</t>
  </si>
  <si>
    <t>14.7170 Ha</t>
  </si>
  <si>
    <t>demande21082014</t>
  </si>
  <si>
    <t>17.9151 Ha</t>
  </si>
  <si>
    <t>demande22072014</t>
  </si>
  <si>
    <t>24.5924 Ha</t>
  </si>
  <si>
    <t>Demande 25092013</t>
  </si>
  <si>
    <t>demande25112013</t>
  </si>
  <si>
    <t>Mamadou Sall (100%)</t>
  </si>
  <si>
    <t>Demande 029082013bis</t>
  </si>
  <si>
    <t>280.8243 km²</t>
  </si>
  <si>
    <t>Demande n°1 SHILOH MINERAL – PROSPECTION</t>
  </si>
  <si>
    <t>SHILOH MINERAL – PROSPECTION (100%)</t>
  </si>
  <si>
    <t>Demande n°2 SHILOH MINERAL – PROSPECTION</t>
  </si>
  <si>
    <t>140,104.9819 Ha</t>
  </si>
  <si>
    <t>Demande N° 10012</t>
  </si>
  <si>
    <t>20.0705 Ha</t>
  </si>
  <si>
    <t>Demande N° 10015</t>
  </si>
  <si>
    <t>SOCIETE DE GESTION DES CARRIERES DU SENEGAL  (100%)</t>
  </si>
  <si>
    <t>Demande N° 10047</t>
  </si>
  <si>
    <t>Ag, Argile, argile industrielle, attapulgite, Au, Ba, basalte, calcaire, Col, Cr, Cu, diamant, dl, f</t>
  </si>
  <si>
    <t>729.1852 Ha</t>
  </si>
  <si>
    <t>Demande N° 10050</t>
  </si>
  <si>
    <t>Demande N° 10054</t>
  </si>
  <si>
    <t>33.0386 Ha</t>
  </si>
  <si>
    <t>Demande N° 10057</t>
  </si>
  <si>
    <t>OULOUSE PROMO (100%)</t>
  </si>
  <si>
    <t>2.8279 Ha</t>
  </si>
  <si>
    <t>Demande N° 10058</t>
  </si>
  <si>
    <t>Bantankoocouta</t>
  </si>
  <si>
    <t>EARTH 7 MINING SARL (100%)</t>
  </si>
  <si>
    <t>Demande N° 10065</t>
  </si>
  <si>
    <t>4,657.3265 Ha</t>
  </si>
  <si>
    <t>Demande N° 10066</t>
  </si>
  <si>
    <t>0.7420 km²</t>
  </si>
  <si>
    <t>Demande N° 10146</t>
  </si>
  <si>
    <t>34.0200 km²</t>
  </si>
  <si>
    <t>Demande N° 10153</t>
  </si>
  <si>
    <t>gypse, substance connexes</t>
  </si>
  <si>
    <t>498.1187 Ha</t>
  </si>
  <si>
    <t>Demande N° 10159</t>
  </si>
  <si>
    <t>Demande N° 10167</t>
  </si>
  <si>
    <t>GIE GOLDIE (100%)</t>
  </si>
  <si>
    <t>50.6461 Ha</t>
  </si>
  <si>
    <t>Demande N° 10173</t>
  </si>
  <si>
    <t>GROUPEMENT EGCA (100%)</t>
  </si>
  <si>
    <t>1.0997 km²</t>
  </si>
  <si>
    <t>Demande N° 10175</t>
  </si>
  <si>
    <t>31.4359 Ha</t>
  </si>
  <si>
    <t>Demande N° 10176</t>
  </si>
  <si>
    <t>COMINTEX SARL (100%)</t>
  </si>
  <si>
    <t>50.4672 Ha</t>
  </si>
  <si>
    <t>Demande N° 10177</t>
  </si>
  <si>
    <t>kharakheina</t>
  </si>
  <si>
    <t>TOUBA XIDMA INTERNATIONAL SARL (100%)</t>
  </si>
  <si>
    <t>50.2320 Ha</t>
  </si>
  <si>
    <t>Demande N° 10185</t>
  </si>
  <si>
    <t>26.9269 Ha</t>
  </si>
  <si>
    <t>Demande N° 10186</t>
  </si>
  <si>
    <t>Mbodiéne</t>
  </si>
  <si>
    <t>197.6311 Ha</t>
  </si>
  <si>
    <t>Demande N° 10187</t>
  </si>
  <si>
    <t>413.6838 Ha</t>
  </si>
  <si>
    <t>Demande N° 10188</t>
  </si>
  <si>
    <t>Ndiass-Sindia</t>
  </si>
  <si>
    <t>34.4173 Ha</t>
  </si>
  <si>
    <t>Demande N° 10189</t>
  </si>
  <si>
    <t>59.3520 Ha</t>
  </si>
  <si>
    <t>Demande N° 10193</t>
  </si>
  <si>
    <t>NIEMENIKE</t>
  </si>
  <si>
    <t>49.9005 Ha</t>
  </si>
  <si>
    <t>Demande N° 10197</t>
  </si>
  <si>
    <t>Demande N° 10198</t>
  </si>
  <si>
    <t>Faraba</t>
  </si>
  <si>
    <t>AGEM EXPLORATION SENEGAL (100%)</t>
  </si>
  <si>
    <t>676.9385 km²</t>
  </si>
  <si>
    <t>Demande N° 10204</t>
  </si>
  <si>
    <t>0.4057 km²</t>
  </si>
  <si>
    <t>Demande N° 10210</t>
  </si>
  <si>
    <t>49.8240 Ha</t>
  </si>
  <si>
    <t>Demande N° 10211</t>
  </si>
  <si>
    <t>50.2095 Ha</t>
  </si>
  <si>
    <t>Demande N° 10213</t>
  </si>
  <si>
    <t>Gossas</t>
  </si>
  <si>
    <t>1,234.8839 km²</t>
  </si>
  <si>
    <t>Demande N° 10231</t>
  </si>
  <si>
    <t>DRAMEALS  (100%)</t>
  </si>
  <si>
    <t>16.2537 km²</t>
  </si>
  <si>
    <t>Demande N° 10233</t>
  </si>
  <si>
    <t>Demande N° 10235</t>
  </si>
  <si>
    <t>50.0964 Ha</t>
  </si>
  <si>
    <t>Demande N° 10241</t>
  </si>
  <si>
    <t>DARA MEALS (100%)</t>
  </si>
  <si>
    <t>Demande N° 10242</t>
  </si>
  <si>
    <t>Demande N° 10243</t>
  </si>
  <si>
    <t>Demande N° 10245</t>
  </si>
  <si>
    <t>PAPA MAMADOU HAMADOU GUEYE  FAYE (100%)</t>
  </si>
  <si>
    <t>5.2128 Ha</t>
  </si>
  <si>
    <t>Demande N° 10253</t>
  </si>
  <si>
    <t>Madina Moussala</t>
  </si>
  <si>
    <t>GIE RESEAU NATIONAL DES BIJOUTIERS DU SENEGAL (100%)</t>
  </si>
  <si>
    <t>Demande N° 10254</t>
  </si>
  <si>
    <t>50.5412 Ha</t>
  </si>
  <si>
    <t>Demande N° 10263</t>
  </si>
  <si>
    <t>Balangouma</t>
  </si>
  <si>
    <t>Demande N° 10264</t>
  </si>
  <si>
    <t>Banta Sud</t>
  </si>
  <si>
    <t>49.8041 Ha</t>
  </si>
  <si>
    <t>Demande N° 10265</t>
  </si>
  <si>
    <t>Médina Baffé</t>
  </si>
  <si>
    <t>44.5050 Ha</t>
  </si>
  <si>
    <t>Demande N° 10267</t>
  </si>
  <si>
    <t>COMPAGNIE GENERALE DE CONSTRUCTION ET D'EXPLOITATION MINIERE - SUARL (100%)</t>
  </si>
  <si>
    <t>41.9250 Ha</t>
  </si>
  <si>
    <t>Demande N° 10273</t>
  </si>
  <si>
    <t>4.8209 Ha</t>
  </si>
  <si>
    <t>Demande N° 10275</t>
  </si>
  <si>
    <t>Batranké</t>
  </si>
  <si>
    <t>GIE NDIAYENE COU (100%)</t>
  </si>
  <si>
    <t>68.9334 Ha</t>
  </si>
  <si>
    <t>Demande N° 10278</t>
  </si>
  <si>
    <t>1.8822 Ha</t>
  </si>
  <si>
    <t>Demande N° 10279</t>
  </si>
  <si>
    <t>49.1040 Ha</t>
  </si>
  <si>
    <t>Demande N° 10281</t>
  </si>
  <si>
    <t>39.3155 Ha</t>
  </si>
  <si>
    <t>Demande N° 10282</t>
  </si>
  <si>
    <t>CARRISEN SARL (70%)</t>
  </si>
  <si>
    <t>50.7780 Ha</t>
  </si>
  <si>
    <t>Demande N° 10284</t>
  </si>
  <si>
    <t>30.1292 km²</t>
  </si>
  <si>
    <t>Demande N° 10287</t>
  </si>
  <si>
    <t>158.4070 km²</t>
  </si>
  <si>
    <t>Demande N° 10290</t>
  </si>
  <si>
    <t>Malicounda</t>
  </si>
  <si>
    <t>1.9786 km²</t>
  </si>
  <si>
    <t>Demande N° 10291</t>
  </si>
  <si>
    <t>FOULOUME</t>
  </si>
  <si>
    <t>317.6393 Ha</t>
  </si>
  <si>
    <t>Demande N° 10292</t>
  </si>
  <si>
    <t>Nianing</t>
  </si>
  <si>
    <t>248.8331 Ha</t>
  </si>
  <si>
    <t>Demande N° 10293</t>
  </si>
  <si>
    <t xml:space="preserve">EST POPENGUINE </t>
  </si>
  <si>
    <t>1.1728 km²</t>
  </si>
  <si>
    <t>Demande N° 10295</t>
  </si>
  <si>
    <t>Périmètre 10 SUD POPENGUINE</t>
  </si>
  <si>
    <t>158.9638 Ha</t>
  </si>
  <si>
    <t>Demande N° 10300</t>
  </si>
  <si>
    <t>DARAMEALS SUARL (100%)</t>
  </si>
  <si>
    <t>0.4565 km²</t>
  </si>
  <si>
    <t>Demande N° 10306</t>
  </si>
  <si>
    <t>Keur Abdou NDOYE</t>
  </si>
  <si>
    <t>ENTREPRISE GANDIOL GROUPE (100%)</t>
  </si>
  <si>
    <t>0.5952 Ha</t>
  </si>
  <si>
    <t>Demande N° 10308</t>
  </si>
  <si>
    <t>30.0217 Ha</t>
  </si>
  <si>
    <t>Demande N° 10309</t>
  </si>
  <si>
    <t>ENTREPRISE ALMANI MBAYE KANE (100%)</t>
  </si>
  <si>
    <t>1.2282 Ha</t>
  </si>
  <si>
    <t>Demande N° 10311</t>
  </si>
  <si>
    <t>Wortokhati 1</t>
  </si>
  <si>
    <t>49.6392 Ha</t>
  </si>
  <si>
    <t>Demande N° 10313</t>
  </si>
  <si>
    <t>Wortokhati 2</t>
  </si>
  <si>
    <t>49.8967 Ha</t>
  </si>
  <si>
    <t>Demande N° 10321</t>
  </si>
  <si>
    <t>23.5755 Ha</t>
  </si>
  <si>
    <t>Demande N° 10322</t>
  </si>
  <si>
    <t>Yaakar</t>
  </si>
  <si>
    <t>LINGO D'OR SENEGAL SARL (100%)</t>
  </si>
  <si>
    <t>Demande N° 10325</t>
  </si>
  <si>
    <t>Thieppe-Kap gaye</t>
  </si>
  <si>
    <t>ilménite, rutile, Zir</t>
  </si>
  <si>
    <t>5,532.7661 Ha</t>
  </si>
  <si>
    <t>Demande N° 10326</t>
  </si>
  <si>
    <t>calcaire, kao</t>
  </si>
  <si>
    <t>Demande N° 10330</t>
  </si>
  <si>
    <t>Soukouto 1</t>
  </si>
  <si>
    <t>SP INTERNATIONAL SUARL (100%)</t>
  </si>
  <si>
    <t>49.9960 Ha</t>
  </si>
  <si>
    <t>Demande N° 10333</t>
  </si>
  <si>
    <t>25.0250 Ha</t>
  </si>
  <si>
    <t>Demande N° 10335</t>
  </si>
  <si>
    <t>RITOT</t>
  </si>
  <si>
    <t>35.5423 km²</t>
  </si>
  <si>
    <t>Demande N° 10336</t>
  </si>
  <si>
    <t>319.8155 km²</t>
  </si>
  <si>
    <t>Demande N° 10337</t>
  </si>
  <si>
    <t>saraya</t>
  </si>
  <si>
    <t>47.0128 Ha</t>
  </si>
  <si>
    <t>Demande N° 10338</t>
  </si>
  <si>
    <t>27.6710 Ha</t>
  </si>
  <si>
    <t>Demande N° 10339</t>
  </si>
  <si>
    <t>KEREMI</t>
  </si>
  <si>
    <t>SOCIETE SENEGALAISE DE SERVICES MINIERS DE GENIE CIVIL SARL</t>
  </si>
  <si>
    <t>49.8972 Ha</t>
  </si>
  <si>
    <t>Demande N° 10341</t>
  </si>
  <si>
    <t>kourou</t>
  </si>
  <si>
    <t>Demande N° 10344</t>
  </si>
  <si>
    <t>Radier</t>
  </si>
  <si>
    <t>35.7113 Ha</t>
  </si>
  <si>
    <t>Demande N° 10347</t>
  </si>
  <si>
    <t>12.0050 Ha</t>
  </si>
  <si>
    <t>Demande N° 10348</t>
  </si>
  <si>
    <t>22.6781 Ha</t>
  </si>
  <si>
    <t>Demande N° 10349</t>
  </si>
  <si>
    <t>22.7168 Ha</t>
  </si>
  <si>
    <t>Demande N° 10355</t>
  </si>
  <si>
    <t>GIE SAKEJI AFRIK (100%)</t>
  </si>
  <si>
    <t>1.7324 km²</t>
  </si>
  <si>
    <t>Demande N° 10356</t>
  </si>
  <si>
    <t>PEKES</t>
  </si>
  <si>
    <t>141.0272 km²</t>
  </si>
  <si>
    <t>Demande N° 10359</t>
  </si>
  <si>
    <t>SEGOTO</t>
  </si>
  <si>
    <t>49.9151 Ha</t>
  </si>
  <si>
    <t>Demande N° 10366</t>
  </si>
  <si>
    <t>ENTREPRISE MAMOUR NDIAYE (100%)</t>
  </si>
  <si>
    <t>2.0811 Ha</t>
  </si>
  <si>
    <t>Demande N° 10367</t>
  </si>
  <si>
    <t>KATAKAEL</t>
  </si>
  <si>
    <t>4.1391 Ha</t>
  </si>
  <si>
    <t>Demande N° 10369</t>
  </si>
  <si>
    <t>CL4</t>
  </si>
  <si>
    <t>39.0346 Ha</t>
  </si>
  <si>
    <t>Demande N° 10374</t>
  </si>
  <si>
    <t>Keur Aliou CISSE</t>
  </si>
  <si>
    <t>17.0227 Ha</t>
  </si>
  <si>
    <t>Demande N° 10382</t>
  </si>
  <si>
    <t>Bamby</t>
  </si>
  <si>
    <t>SERVICE INFORMATIQUES ET TELECOM-CONNECT (100%)</t>
  </si>
  <si>
    <t>49.7087 Ha</t>
  </si>
  <si>
    <t>Demande N° 10387</t>
  </si>
  <si>
    <t>25.1305 Ha</t>
  </si>
  <si>
    <t>Demande N° 10388</t>
  </si>
  <si>
    <t>GIE BEN KABARA</t>
  </si>
  <si>
    <t>48.6000 Ha</t>
  </si>
  <si>
    <t>Demande N° 10389</t>
  </si>
  <si>
    <t>25.1302 Ha</t>
  </si>
  <si>
    <t>Demande N° 10396</t>
  </si>
  <si>
    <t>21.4207 km²</t>
  </si>
  <si>
    <t>Demande N° 10398</t>
  </si>
  <si>
    <t>19.6862 Ha</t>
  </si>
  <si>
    <t>Demande N° 10401</t>
  </si>
  <si>
    <t>44.0226 Ha</t>
  </si>
  <si>
    <t>Demande N° 10410</t>
  </si>
  <si>
    <t>520.4255 Ha</t>
  </si>
  <si>
    <t>Demande N° 10411</t>
  </si>
  <si>
    <t xml:space="preserve">Nieriko </t>
  </si>
  <si>
    <t>110.5938 km²</t>
  </si>
  <si>
    <t>Demande N° 10416</t>
  </si>
  <si>
    <t>Toumbingfara</t>
  </si>
  <si>
    <t>50.7139 Ha</t>
  </si>
  <si>
    <t>Demande N° 10420</t>
  </si>
  <si>
    <t>133.3366 km²</t>
  </si>
  <si>
    <t>Demande N° 10424</t>
  </si>
  <si>
    <t>524.5113 Ha</t>
  </si>
  <si>
    <t>Demande N° 10425</t>
  </si>
  <si>
    <t>KEDA SN CERAMICS COMPANY LIMITED</t>
  </si>
  <si>
    <t>1.1451 km²</t>
  </si>
  <si>
    <t>Demande N° 10426</t>
  </si>
  <si>
    <t>57.5169 km²</t>
  </si>
  <si>
    <t>Demande N° 10435</t>
  </si>
  <si>
    <t>1.6683 Ha</t>
  </si>
  <si>
    <t>Demande N° 10439</t>
  </si>
  <si>
    <t>1,119.3391 km²</t>
  </si>
  <si>
    <t>Demande N° 10446</t>
  </si>
  <si>
    <t>Bantako</t>
  </si>
  <si>
    <t>48.7534 Ha</t>
  </si>
  <si>
    <t>Demande N° 10448</t>
  </si>
  <si>
    <t>168.4223 Ha</t>
  </si>
  <si>
    <t>Demande N° 10450</t>
  </si>
  <si>
    <t>VIA BAMABA (100%)</t>
  </si>
  <si>
    <t>192.6011 km²</t>
  </si>
  <si>
    <t>Demande N° 10452</t>
  </si>
  <si>
    <t>47.3782 Ha</t>
  </si>
  <si>
    <t>Demande N° 10453</t>
  </si>
  <si>
    <t>82.9104 km²</t>
  </si>
  <si>
    <t>Demande N° 10454</t>
  </si>
  <si>
    <t>11.1522 km²</t>
  </si>
  <si>
    <t>Demande N° 10457</t>
  </si>
  <si>
    <t>SERVEY SERVICES SARL (100%)</t>
  </si>
  <si>
    <t>84.1457 km²</t>
  </si>
  <si>
    <t>Demande N° 10468</t>
  </si>
  <si>
    <t>371.0273 km²</t>
  </si>
  <si>
    <t>Demande N° 10469</t>
  </si>
  <si>
    <t>SARSARA INDUSTRIES SA (100%)</t>
  </si>
  <si>
    <t>691.8953 km²</t>
  </si>
  <si>
    <t>Demande N° 10471</t>
  </si>
  <si>
    <t>Thcky</t>
  </si>
  <si>
    <t>ABA SERVICES (100%)</t>
  </si>
  <si>
    <t>1.9608 Ha</t>
  </si>
  <si>
    <t>Demande N° 10472</t>
  </si>
  <si>
    <t>50.0960 Ha</t>
  </si>
  <si>
    <t>Demande N° 10476</t>
  </si>
  <si>
    <t>Kérékonko 1</t>
  </si>
  <si>
    <t>29.0817 Ha</t>
  </si>
  <si>
    <t>Demande N° 10477</t>
  </si>
  <si>
    <t>Kérékonko 2</t>
  </si>
  <si>
    <t>Demande N° 10478</t>
  </si>
  <si>
    <t>0.4949 km²</t>
  </si>
  <si>
    <t>Demande N° 10479</t>
  </si>
  <si>
    <t>0.4725 km²</t>
  </si>
  <si>
    <t>Demande N° 10480</t>
  </si>
  <si>
    <t>Sinthiou Fissa</t>
  </si>
  <si>
    <t xml:space="preserve">ENTREPRISE GENERALE DE METALLURGIE BATIMENTS-BT-VIDANDEDE </t>
  </si>
  <si>
    <t>0.4182 Ha</t>
  </si>
  <si>
    <t>Demande N° 10481</t>
  </si>
  <si>
    <t>15.1385 Ha</t>
  </si>
  <si>
    <t>Demande N° 10485</t>
  </si>
  <si>
    <t>405.2963 km²</t>
  </si>
  <si>
    <t>Demande N° 10495</t>
  </si>
  <si>
    <t>Angola</t>
  </si>
  <si>
    <t>GIE MBOLO (100%)</t>
  </si>
  <si>
    <t>50.0236 Ha</t>
  </si>
  <si>
    <t>Demande N° 10502</t>
  </si>
  <si>
    <t>Demande N° 10503</t>
  </si>
  <si>
    <t>SOCIETE DE TRAVAUX GENERAL ET DE COMMERCE SARL (100%)</t>
  </si>
  <si>
    <t>49.0300 Ha</t>
  </si>
  <si>
    <t>Demande N° 10505</t>
  </si>
  <si>
    <t>50.0400 Ha</t>
  </si>
  <si>
    <t>Demande N° 10509</t>
  </si>
  <si>
    <t>ADJAF UNIVERSEL (100%)</t>
  </si>
  <si>
    <t>2.2382 Ha</t>
  </si>
  <si>
    <t>Demande N° 10521</t>
  </si>
  <si>
    <t>ENTREPRISE KHARITOU YAYAM GROUP</t>
  </si>
  <si>
    <t>13.4322 Ha</t>
  </si>
  <si>
    <t>Demande N° 10522</t>
  </si>
  <si>
    <t>INDUSTRIES CHIMIQUES DU SENEGAL (100%)</t>
  </si>
  <si>
    <t>275.7739 km²</t>
  </si>
  <si>
    <t>Demande N° 10523</t>
  </si>
  <si>
    <t>293.9995 km²</t>
  </si>
  <si>
    <t>Demande N° 10524</t>
  </si>
  <si>
    <t>50.1500 Ha</t>
  </si>
  <si>
    <t>Demande N° 10530</t>
  </si>
  <si>
    <t>292.3105 Ha</t>
  </si>
  <si>
    <t>Demande N° 10531</t>
  </si>
  <si>
    <t>Tenkoto</t>
  </si>
  <si>
    <t>427.5062 Ha</t>
  </si>
  <si>
    <t>Demande N° 10545</t>
  </si>
  <si>
    <t>24.8393 Ha</t>
  </si>
  <si>
    <t>Demande N° 10547</t>
  </si>
  <si>
    <t>Baïtilaye</t>
  </si>
  <si>
    <t>Li, Sn, TR</t>
  </si>
  <si>
    <t>673.8188 km²</t>
  </si>
  <si>
    <t>Demande N° 10549</t>
  </si>
  <si>
    <t>ndieyene sirakh</t>
  </si>
  <si>
    <t>COMMUNE DE NDIEYENE SIRAKH (100%)</t>
  </si>
  <si>
    <t>8.3408 Ha</t>
  </si>
  <si>
    <t>Demande N° 10552</t>
  </si>
  <si>
    <t>1.8812 Ha</t>
  </si>
  <si>
    <t>Demande N° 10554</t>
  </si>
  <si>
    <t>KAYAR</t>
  </si>
  <si>
    <t>KAYAR DAROU SALAM (100%)</t>
  </si>
  <si>
    <t>3.0291 Ha</t>
  </si>
  <si>
    <t>Demande N° 10558</t>
  </si>
  <si>
    <t>291.8472 km²</t>
  </si>
  <si>
    <t>Demande N° 10564</t>
  </si>
  <si>
    <t>48.1014 Ha</t>
  </si>
  <si>
    <t>Demande N° 10566</t>
  </si>
  <si>
    <t>Tomboronkoto 2</t>
  </si>
  <si>
    <t>DJOR AFRICA (100%)</t>
  </si>
  <si>
    <t>495.6699 Ha</t>
  </si>
  <si>
    <t>Demande N° 10568</t>
  </si>
  <si>
    <t>BOUSSA KOBA</t>
  </si>
  <si>
    <t>Demande N° 10570</t>
  </si>
  <si>
    <t>LOUM MAMADOU (100%)</t>
  </si>
  <si>
    <t>24.7577 Ha</t>
  </si>
  <si>
    <t>Demande N° 10572</t>
  </si>
  <si>
    <t>NORD-TAIFA</t>
  </si>
  <si>
    <t>49.5000 Ha</t>
  </si>
  <si>
    <t>Demande N° 10573</t>
  </si>
  <si>
    <t>BARIBARIE2</t>
  </si>
  <si>
    <t>382.9945 km²</t>
  </si>
  <si>
    <t>Demande N° 10575</t>
  </si>
  <si>
    <t>49.0740 Ha</t>
  </si>
  <si>
    <t>Demande N° 10577</t>
  </si>
  <si>
    <t>8.9830 Ha</t>
  </si>
  <si>
    <t>Demande N° 10579</t>
  </si>
  <si>
    <t xml:space="preserve">DIMBOLI
</t>
  </si>
  <si>
    <t>47.3400 km²</t>
  </si>
  <si>
    <t>Demande N° 10581</t>
  </si>
  <si>
    <t>GOLD FAMILY (100%)</t>
  </si>
  <si>
    <t>Demande N° 10582</t>
  </si>
  <si>
    <t>SOCIETE D'INTERVENTIONS FINANCIERES (100%)</t>
  </si>
  <si>
    <t>Demande N° 10587</t>
  </si>
  <si>
    <t>SO.FR.U (100%)</t>
  </si>
  <si>
    <t>8.2375 km²</t>
  </si>
  <si>
    <t>Demande N° 10589</t>
  </si>
  <si>
    <t>75.9500 Ha</t>
  </si>
  <si>
    <t>Demande N° 10591</t>
  </si>
  <si>
    <t>65.8917 Ha</t>
  </si>
  <si>
    <t>Demande N° 10592</t>
  </si>
  <si>
    <t>Gouyrene</t>
  </si>
  <si>
    <t>11.8331 Ha</t>
  </si>
  <si>
    <t>Demande N° 10600</t>
  </si>
  <si>
    <t>25.9104 Ha</t>
  </si>
  <si>
    <t>Demande N° 10601</t>
  </si>
  <si>
    <t>49.2954 Ha</t>
  </si>
  <si>
    <t>Demande N° 10602</t>
  </si>
  <si>
    <t>BUSINESS INTERNATIONAL COMPANY SARL (100%)</t>
  </si>
  <si>
    <t>4.5885 km²</t>
  </si>
  <si>
    <t>Demande N° 10603</t>
  </si>
  <si>
    <t>1.0927 Ha</t>
  </si>
  <si>
    <t>Demande N° 10604</t>
  </si>
  <si>
    <t>11.6755 Ha</t>
  </si>
  <si>
    <t>Demande N° 10605</t>
  </si>
  <si>
    <t>BINIA NORD</t>
  </si>
  <si>
    <t>245.2268 km²</t>
  </si>
  <si>
    <t>Demande N° 10607</t>
  </si>
  <si>
    <t>4.7544 km²</t>
  </si>
  <si>
    <t>Demande N° 10608</t>
  </si>
  <si>
    <t>INTERNATIONAL COMPANY OF TRADE AND SERVICES SARL (100%)</t>
  </si>
  <si>
    <t>Demande N° 10610</t>
  </si>
  <si>
    <t>292.1407 km²</t>
  </si>
  <si>
    <t>Demande N° 10613</t>
  </si>
  <si>
    <t>Dioubela</t>
  </si>
  <si>
    <t>378.9710 km²</t>
  </si>
  <si>
    <t>Demande N° 10619</t>
  </si>
  <si>
    <t>Samé</t>
  </si>
  <si>
    <t>TOUBA GOLD SARL (100%)</t>
  </si>
  <si>
    <t>49.8675 Ha</t>
  </si>
  <si>
    <t>Demande N° 10620</t>
  </si>
  <si>
    <t>47.0068 Ha</t>
  </si>
  <si>
    <t>Demande N° 10626</t>
  </si>
  <si>
    <t>KEUR RASSOUL MINES SARL (100%)</t>
  </si>
  <si>
    <t>49.9850 Ha</t>
  </si>
  <si>
    <t>Demande N° 10627</t>
  </si>
  <si>
    <t>Mamankanti Néguébakho</t>
  </si>
  <si>
    <t>114.8000 Ha</t>
  </si>
  <si>
    <t>Demande N° 10628</t>
  </si>
  <si>
    <t>1.1200 km²</t>
  </si>
  <si>
    <t>Demande N° 10629</t>
  </si>
  <si>
    <t>Demande N° 10630</t>
  </si>
  <si>
    <t>KALE NEW MINERALS LIMITED SARL (100%)</t>
  </si>
  <si>
    <t>Demande N° 10633</t>
  </si>
  <si>
    <t>Demande N° 10634</t>
  </si>
  <si>
    <t>Souroukoto sud 1</t>
  </si>
  <si>
    <t>49.4760 Ha</t>
  </si>
  <si>
    <t>Demande N° 10640</t>
  </si>
  <si>
    <t>Madina Kénotio</t>
  </si>
  <si>
    <t>0.8108 km²</t>
  </si>
  <si>
    <t>Demande N° 10641</t>
  </si>
  <si>
    <t>Demande N° 10642</t>
  </si>
  <si>
    <t>SOFRU SARL (100%)</t>
  </si>
  <si>
    <t>16.0693 Ha</t>
  </si>
  <si>
    <t>Demande N° 10644</t>
  </si>
  <si>
    <t>45.1165 Ha</t>
  </si>
  <si>
    <t>Demande N° 10645</t>
  </si>
  <si>
    <t>4.7393 km²</t>
  </si>
  <si>
    <t>Demande N° 10647</t>
  </si>
  <si>
    <t>Farincounda</t>
  </si>
  <si>
    <t>505.1970 Ha</t>
  </si>
  <si>
    <t>Demande N° 10650</t>
  </si>
  <si>
    <t>2.9015 Ha</t>
  </si>
  <si>
    <t>Demande N° 10651</t>
  </si>
  <si>
    <t>502.2186 Ha</t>
  </si>
  <si>
    <t>Demande N° 10663</t>
  </si>
  <si>
    <t>SOGEPROM SARL (100%)</t>
  </si>
  <si>
    <t>0.2692 km²</t>
  </si>
  <si>
    <t>Demande N° 10664</t>
  </si>
  <si>
    <t>BourouBourou</t>
  </si>
  <si>
    <t>104.7493 km²</t>
  </si>
  <si>
    <t>Demande N° 10674</t>
  </si>
  <si>
    <t>Déni biram NDAO</t>
  </si>
  <si>
    <t>Demande N° 10675</t>
  </si>
  <si>
    <t>GROUPE MASSAMBA MBENGUE SAS</t>
  </si>
  <si>
    <t>1.1400 km²</t>
  </si>
  <si>
    <t>Demande N° 10682</t>
  </si>
  <si>
    <t>Bakel-Kidira</t>
  </si>
  <si>
    <t>0.1756 Ha</t>
  </si>
  <si>
    <t>Demande N° 10683</t>
  </si>
  <si>
    <t>141.0278 km²</t>
  </si>
  <si>
    <t>Demande N° 10686</t>
  </si>
  <si>
    <t>0.6938 km²</t>
  </si>
  <si>
    <t>Demande N° 10688</t>
  </si>
  <si>
    <t>Kiniabour 2</t>
  </si>
  <si>
    <t>ENTREPRISE BATIMENTYS TRAVAUX ET ROUTES (100%)</t>
  </si>
  <si>
    <t>Demande N° 10689</t>
  </si>
  <si>
    <t>2.9808 Ha</t>
  </si>
  <si>
    <t>Demande N° 10691</t>
  </si>
  <si>
    <t>LES PHOSPHATES DU SENEGAL</t>
  </si>
  <si>
    <t>Demande N° 10692</t>
  </si>
  <si>
    <t>Bakel</t>
  </si>
  <si>
    <t>21.3296 Ha</t>
  </si>
  <si>
    <t>Demande N° 10702</t>
  </si>
  <si>
    <t>PMD SERVICES SAS</t>
  </si>
  <si>
    <t>766.0919 Ha</t>
  </si>
  <si>
    <t>Demande N° 10706</t>
  </si>
  <si>
    <t>Demande N° 10707</t>
  </si>
  <si>
    <t>39.1145 Ha</t>
  </si>
  <si>
    <t>Demande N° 10708</t>
  </si>
  <si>
    <t>SOGEPROM SARL</t>
  </si>
  <si>
    <t>0.2127 km²</t>
  </si>
  <si>
    <t>Demande N° 10711</t>
  </si>
  <si>
    <t>Tckicky</t>
  </si>
  <si>
    <t>Demande N° 10716</t>
  </si>
  <si>
    <t>SASE (100%)</t>
  </si>
  <si>
    <t>49.5264 Ha</t>
  </si>
  <si>
    <t>Demande N° 10721</t>
  </si>
  <si>
    <t>Demande N° 10724</t>
  </si>
  <si>
    <t>Kerovane</t>
  </si>
  <si>
    <t>454.4073 km²</t>
  </si>
  <si>
    <t>Demande N° 10725</t>
  </si>
  <si>
    <t>SENE OMAR /DAMOU NGAYE ARAFAT 3  (100%)</t>
  </si>
  <si>
    <t>5.5256 Ha</t>
  </si>
  <si>
    <t>Demande N° 10726</t>
  </si>
  <si>
    <t>BAOBAB CAPITAL LIMITED SARL (100%)</t>
  </si>
  <si>
    <t>1.3852 km²</t>
  </si>
  <si>
    <t>Demande N° 10729</t>
  </si>
  <si>
    <t>1.9529 Ha</t>
  </si>
  <si>
    <t>Demande N° 10732</t>
  </si>
  <si>
    <t>50.7600 Ha</t>
  </si>
  <si>
    <t>Demande N° 10737</t>
  </si>
  <si>
    <t>Ngniling Mbao</t>
  </si>
  <si>
    <t>1.4606 Ha</t>
  </si>
  <si>
    <t>Demande N° 10741</t>
  </si>
  <si>
    <t>TOTIA</t>
  </si>
  <si>
    <t>351.7236 km²</t>
  </si>
  <si>
    <t>Demande N° 10742</t>
  </si>
  <si>
    <t>Demande N° 10743</t>
  </si>
  <si>
    <t>49.8147 Ha</t>
  </si>
  <si>
    <t>Demande N° 10744</t>
  </si>
  <si>
    <t>IMPERATOR RESOURCE SARL (100%)</t>
  </si>
  <si>
    <t>49.9564 Ha</t>
  </si>
  <si>
    <t>Demande N° 10745</t>
  </si>
  <si>
    <t>LANDIENI</t>
  </si>
  <si>
    <t>569.2958 km²</t>
  </si>
  <si>
    <t>Demande N° 10746</t>
  </si>
  <si>
    <t>KA BUISINESS COMPANY (100%)</t>
  </si>
  <si>
    <t>2.3323 Ha</t>
  </si>
  <si>
    <t>Demande N° 10748</t>
  </si>
  <si>
    <t>Keur Massaère-Chérif LO</t>
  </si>
  <si>
    <t>GIE E.B.T.S (100%)</t>
  </si>
  <si>
    <t>Demande N° 10752</t>
  </si>
  <si>
    <t>Keur Maari-Porokhane</t>
  </si>
  <si>
    <t>COMMUNE DE POROKHANE (100%)</t>
  </si>
  <si>
    <t>0.2184 Ha</t>
  </si>
  <si>
    <t>Demande N° 10753</t>
  </si>
  <si>
    <t>KHANING LIMITED SARL (100%)</t>
  </si>
  <si>
    <t>Demande N° 10758</t>
  </si>
  <si>
    <t>Mérékouré</t>
  </si>
  <si>
    <t>Sen Général Activites (100%)</t>
  </si>
  <si>
    <t>Demande N° 10760</t>
  </si>
  <si>
    <t>0.8060 km²</t>
  </si>
  <si>
    <t>Demande N° 10766</t>
  </si>
  <si>
    <t>DALEMA RESOURCES (100%)</t>
  </si>
  <si>
    <t>206.4517 km²</t>
  </si>
  <si>
    <t>Demande N° 10767</t>
  </si>
  <si>
    <t>JOAL</t>
  </si>
  <si>
    <t>LYONS FIELD SUARL</t>
  </si>
  <si>
    <t>40.0080 km²</t>
  </si>
  <si>
    <t>Demande N° 10775</t>
  </si>
  <si>
    <t>32.7352 Ha</t>
  </si>
  <si>
    <t>Demande N° 10777</t>
  </si>
  <si>
    <t>49.2066 Ha</t>
  </si>
  <si>
    <t>Demande N° 10778</t>
  </si>
  <si>
    <t>28.4430 Ha</t>
  </si>
  <si>
    <t>Demande N° 10780</t>
  </si>
  <si>
    <t>Seun sérère</t>
  </si>
  <si>
    <t>SOCIETE D'EXPLOITATION DE LOGISTIQUE ET DE TRAVAUX SUARL (100%)</t>
  </si>
  <si>
    <t>46.3230 Ha</t>
  </si>
  <si>
    <t>Demande N° 10781</t>
  </si>
  <si>
    <t>GIE  JAAMOY (100%)</t>
  </si>
  <si>
    <t>53.0727 Ha</t>
  </si>
  <si>
    <t>Demande N° 10783</t>
  </si>
  <si>
    <t>Bantako koto 3</t>
  </si>
  <si>
    <t>49.9630 Ha</t>
  </si>
  <si>
    <t>Demande N° 10785</t>
  </si>
  <si>
    <t>Ndiamgaba</t>
  </si>
  <si>
    <t>2.5430 Ha</t>
  </si>
  <si>
    <t>Demande N° 10787</t>
  </si>
  <si>
    <t>ENTREPRISE THIAM PAPA MOUHAMETH (100%)</t>
  </si>
  <si>
    <t>5.9281 Ha</t>
  </si>
  <si>
    <t>Demande N° 10790</t>
  </si>
  <si>
    <t>NAFADJI</t>
  </si>
  <si>
    <t>GAMMA CORPORATE (100%)</t>
  </si>
  <si>
    <t>616.3078 km²</t>
  </si>
  <si>
    <t>Demande N° 10792</t>
  </si>
  <si>
    <t>Ngoloum</t>
  </si>
  <si>
    <t>GEOTOP INGENIEURIE (100%)</t>
  </si>
  <si>
    <t>0.7468 Ha</t>
  </si>
  <si>
    <t>Demande N° 10796</t>
  </si>
  <si>
    <t>Soukoulo</t>
  </si>
  <si>
    <t>49.7411 Ha</t>
  </si>
  <si>
    <t>Demande N° 10798</t>
  </si>
  <si>
    <t>Yang-Yang</t>
  </si>
  <si>
    <t>ECGEAE-SAU  (100%)</t>
  </si>
  <si>
    <t>26.6013 Ha</t>
  </si>
  <si>
    <t>Demande N° 10802</t>
  </si>
  <si>
    <t>Ninefecha</t>
  </si>
  <si>
    <t>8.2378 km²</t>
  </si>
  <si>
    <t>Demande N° 10803</t>
  </si>
  <si>
    <t>9.2898 km²</t>
  </si>
  <si>
    <t>Demande N° 10804</t>
  </si>
  <si>
    <t>56.0217 Ha</t>
  </si>
  <si>
    <t>Demande N° 10806</t>
  </si>
  <si>
    <t>LE GRAVIER-SUARL (100%)</t>
  </si>
  <si>
    <t>0.6322 km²</t>
  </si>
  <si>
    <t>Demande N° 10807</t>
  </si>
  <si>
    <t>CISSE OUSMANE (100%)</t>
  </si>
  <si>
    <t>0.4540 Ha</t>
  </si>
  <si>
    <t>Demande N° 10808</t>
  </si>
  <si>
    <t>NGALAM MINING SARL (100%)</t>
  </si>
  <si>
    <t>49.9080 Ha</t>
  </si>
  <si>
    <t>Demande N° 10812</t>
  </si>
  <si>
    <t>4.9925 km²</t>
  </si>
  <si>
    <t>Demande N° 10813</t>
  </si>
  <si>
    <t>Demande N° 10822</t>
  </si>
  <si>
    <t>UTK MINING SENEGAL SUARL (100%)</t>
  </si>
  <si>
    <t>Demande N° 10823</t>
  </si>
  <si>
    <t>0.6968 km²</t>
  </si>
  <si>
    <t>Demande N° 10824</t>
  </si>
  <si>
    <t>GLOBAL GEOSERVICES GROUP-SARL (100%)</t>
  </si>
  <si>
    <t>49.8435 Ha</t>
  </si>
  <si>
    <t>Demande N° 10826</t>
  </si>
  <si>
    <t>49.8322 Ha</t>
  </si>
  <si>
    <t>Demande N° 10827</t>
  </si>
  <si>
    <t>49.4912 Ha</t>
  </si>
  <si>
    <t>Demande N° 10836</t>
  </si>
  <si>
    <t>20.9040 Ha</t>
  </si>
  <si>
    <t>Demande N° 10840</t>
  </si>
  <si>
    <t>Demande N° 10841</t>
  </si>
  <si>
    <t>MARAX SARL</t>
  </si>
  <si>
    <t>2.5300 km²</t>
  </si>
  <si>
    <t>Demande N° 10842</t>
  </si>
  <si>
    <t>3,442.1940 Ha</t>
  </si>
  <si>
    <t>Demande N° 10845</t>
  </si>
  <si>
    <t>ENTREPRISE DE RECHERCHE ET D'EXPLOITATION MINIERE SARL (EREM) (100%)</t>
  </si>
  <si>
    <t>31.5851 Ha</t>
  </si>
  <si>
    <t>Demande N° 10856</t>
  </si>
  <si>
    <t>NDIGUE</t>
  </si>
  <si>
    <t>8.7600 km²</t>
  </si>
  <si>
    <t>Demande N° 10857</t>
  </si>
  <si>
    <t>Moussala 1 &amp; 2</t>
  </si>
  <si>
    <t>49.5019 Ha</t>
  </si>
  <si>
    <t>Demande N° 10858</t>
  </si>
  <si>
    <t>49.3393 Ha</t>
  </si>
  <si>
    <t>Demande N° 10859</t>
  </si>
  <si>
    <t>206.0800 Ha</t>
  </si>
  <si>
    <t>Demande N° 10860</t>
  </si>
  <si>
    <t>SKDT NEW ENERGY TECHNOLOGY SARL</t>
  </si>
  <si>
    <t>49.9950 Ha</t>
  </si>
  <si>
    <t>Demande N° 10861</t>
  </si>
  <si>
    <t>Demande N° 10862</t>
  </si>
  <si>
    <t>Boto 1</t>
  </si>
  <si>
    <t>X.W.O. SARL</t>
  </si>
  <si>
    <t>49.8991 Ha</t>
  </si>
  <si>
    <t>Demande N° 10863</t>
  </si>
  <si>
    <t>Boto 2</t>
  </si>
  <si>
    <t>Demande N° 10864</t>
  </si>
  <si>
    <t>30.4621 Ha</t>
  </si>
  <si>
    <t>Demande N° 10866</t>
  </si>
  <si>
    <t>Madina moussala</t>
  </si>
  <si>
    <t>49.7719 Ha</t>
  </si>
  <si>
    <t>Demande N° 10867</t>
  </si>
  <si>
    <t>32.3680 km²</t>
  </si>
  <si>
    <t>Demande N° 10870</t>
  </si>
  <si>
    <t>kolobo 1</t>
  </si>
  <si>
    <t>Demande N° 10871</t>
  </si>
  <si>
    <t>kolobo 2</t>
  </si>
  <si>
    <t>Demande N° 10873</t>
  </si>
  <si>
    <t>61.9262 Ha</t>
  </si>
  <si>
    <t>Demande N° 10876</t>
  </si>
  <si>
    <t>SCI SAFAR (100%)</t>
  </si>
  <si>
    <t>Demande N° 10879</t>
  </si>
  <si>
    <t xml:space="preserve">Ndiébéne Gandiol,doublon a supprimer </t>
  </si>
  <si>
    <t>Demande N° 10881</t>
  </si>
  <si>
    <t>Demande N° 10882</t>
  </si>
  <si>
    <t>2.0158 km²</t>
  </si>
  <si>
    <t>Demande N° 10888</t>
  </si>
  <si>
    <t>Kanoubering</t>
  </si>
  <si>
    <t>GEOSERVICES ENGENEERING SARL</t>
  </si>
  <si>
    <t>49.8863 Ha</t>
  </si>
  <si>
    <t>Demande N° 10889</t>
  </si>
  <si>
    <t>Koulountou</t>
  </si>
  <si>
    <t>49.9620 Ha</t>
  </si>
  <si>
    <t>Demande N° 10891</t>
  </si>
  <si>
    <t>Beytilaye</t>
  </si>
  <si>
    <t>AMINA ALIMA SECK</t>
  </si>
  <si>
    <t>Demande N° 10896</t>
  </si>
  <si>
    <t>AL MAKHTOUM GENERAL TRADING SUARL</t>
  </si>
  <si>
    <t>45.9200 Ha</t>
  </si>
  <si>
    <t>Demande N° 10897</t>
  </si>
  <si>
    <t>3.4013 km²</t>
  </si>
  <si>
    <t>Demande N° 10898</t>
  </si>
  <si>
    <t xml:space="preserve">GEO PARTNER CONSULTING </t>
  </si>
  <si>
    <t>Demande N° 10900</t>
  </si>
  <si>
    <t>SEMME</t>
  </si>
  <si>
    <t>456.7439 km²</t>
  </si>
  <si>
    <t>Demande N° 10901</t>
  </si>
  <si>
    <t>INTERTIONAL BUSINESS FREIGHT SERVICES</t>
  </si>
  <si>
    <t>650.0000 km²</t>
  </si>
  <si>
    <t>Demande N° 10902</t>
  </si>
  <si>
    <t>48.2517 Ha</t>
  </si>
  <si>
    <t>Demande N° 10903</t>
  </si>
  <si>
    <t>Demande N° 10904</t>
  </si>
  <si>
    <t>0.3633 km²</t>
  </si>
  <si>
    <t>Demande N° 10905</t>
  </si>
  <si>
    <t>Kanimoussaya</t>
  </si>
  <si>
    <t>DANTILA MINE D'OR SARL</t>
  </si>
  <si>
    <t>Demande N° 10907</t>
  </si>
  <si>
    <t>BANTAKO KOTO 2</t>
  </si>
  <si>
    <t>0.3710 km²</t>
  </si>
  <si>
    <t>Demande N° 10914</t>
  </si>
  <si>
    <t>49.9616 Ha</t>
  </si>
  <si>
    <t>Demande N° 10915</t>
  </si>
  <si>
    <t>49.9214 Ha</t>
  </si>
  <si>
    <t>Demande N° 10919</t>
  </si>
  <si>
    <t>Dindiori</t>
  </si>
  <si>
    <t>122.2531 km²</t>
  </si>
  <si>
    <t>Demande N° 10920</t>
  </si>
  <si>
    <t>BANTACOUTA</t>
  </si>
  <si>
    <t>NEW ERA INTERNATIONAL MINING DEVELOPMENT SARL  (100%)</t>
  </si>
  <si>
    <t>4.8156 km²</t>
  </si>
  <si>
    <t>Demande N° 10921</t>
  </si>
  <si>
    <t>Kourou karemi</t>
  </si>
  <si>
    <t>49.4769 Ha</t>
  </si>
  <si>
    <t>Demande N° 10928</t>
  </si>
  <si>
    <t>Missira Dantila</t>
  </si>
  <si>
    <t>144.0017 km²</t>
  </si>
  <si>
    <t>Demande N° 10931</t>
  </si>
  <si>
    <t>0.5500 km²</t>
  </si>
  <si>
    <t>Demande N° 10937</t>
  </si>
  <si>
    <t>1.3855 Ha</t>
  </si>
  <si>
    <t>Demande N° 10938</t>
  </si>
  <si>
    <t>GASSOWOUROUSSE</t>
  </si>
  <si>
    <t>49.9998 Ha</t>
  </si>
  <si>
    <t>Demande N° 10941</t>
  </si>
  <si>
    <t>0.2438 km²</t>
  </si>
  <si>
    <t>Demande N° 10949</t>
  </si>
  <si>
    <t>Tomboromadji</t>
  </si>
  <si>
    <t>GIE LANAYA TOMBOROMADJI</t>
  </si>
  <si>
    <t>49.9500 Ha</t>
  </si>
  <si>
    <t>Demande N° 10951</t>
  </si>
  <si>
    <t>48.9850 Ha</t>
  </si>
  <si>
    <t>Demande N° 10952</t>
  </si>
  <si>
    <t>GETIA INTERNATIONAL SARL (100%)</t>
  </si>
  <si>
    <t>49.6800 Ha</t>
  </si>
  <si>
    <t>Demande N° 10955</t>
  </si>
  <si>
    <t>TAMBACOUNDA KENIEBA</t>
  </si>
  <si>
    <t>46.1342 km²</t>
  </si>
  <si>
    <t>Demande N° 10956</t>
  </si>
  <si>
    <t>BEMBOU BOUSANKHOBA</t>
  </si>
  <si>
    <t>Demande N° 10957</t>
  </si>
  <si>
    <t>4.9376 km²</t>
  </si>
  <si>
    <t>Demande N° 10958</t>
  </si>
  <si>
    <t>KOBOKOTO</t>
  </si>
  <si>
    <t>4.9610 km²</t>
  </si>
  <si>
    <t>Demande N° 10959</t>
  </si>
  <si>
    <t>0.2031 km²</t>
  </si>
  <si>
    <t>Demande N° 10960</t>
  </si>
  <si>
    <t>4.9912 km²</t>
  </si>
  <si>
    <t>Demande N° 10961</t>
  </si>
  <si>
    <t>DAR SALAM</t>
  </si>
  <si>
    <t>4.9802 km²</t>
  </si>
  <si>
    <t>Demande N° 10962</t>
  </si>
  <si>
    <t>25.6650 Ha</t>
  </si>
  <si>
    <t>Demande N° 10965</t>
  </si>
  <si>
    <t>73.7273 km²</t>
  </si>
  <si>
    <t>Demande N° 10966</t>
  </si>
  <si>
    <t>176.1795 Ha</t>
  </si>
  <si>
    <t>Demande N° 10967</t>
  </si>
  <si>
    <t>49.8687 Ha</t>
  </si>
  <si>
    <t>Demande N° 10969</t>
  </si>
  <si>
    <t>TOUBA MINERAL RESSOURCES (100%)</t>
  </si>
  <si>
    <t>693.2757 km²</t>
  </si>
  <si>
    <t>Demande N° 10970</t>
  </si>
  <si>
    <t>50.5270 Ha</t>
  </si>
  <si>
    <t>Demande N° 10971</t>
  </si>
  <si>
    <t>49.9227 Ha</t>
  </si>
  <si>
    <t>Demande N° 10974</t>
  </si>
  <si>
    <t>216.9294 km²</t>
  </si>
  <si>
    <t>Demande N° 10975</t>
  </si>
  <si>
    <t>GIE KANOUMERY (100%)</t>
  </si>
  <si>
    <t>49.9150 Ha</t>
  </si>
  <si>
    <t>Demande N° 10976</t>
  </si>
  <si>
    <t>DOUTA OUEST</t>
  </si>
  <si>
    <t>4.9843 km²</t>
  </si>
  <si>
    <t>Demande N° 10982</t>
  </si>
  <si>
    <t>TOBENE NORD</t>
  </si>
  <si>
    <t>275.7549 km²</t>
  </si>
  <si>
    <t>Demande N° 10984</t>
  </si>
  <si>
    <t xml:space="preserve">SOUKOUTA SUD </t>
  </si>
  <si>
    <t>4.9870 km²</t>
  </si>
  <si>
    <t>Demande N° 10985</t>
  </si>
  <si>
    <t>DIANKE MAKHA SADATOU</t>
  </si>
  <si>
    <t>HACHEM SAFIEDINE  (100%)</t>
  </si>
  <si>
    <t>6.2558 Ha</t>
  </si>
  <si>
    <t>Demande N° 10992</t>
  </si>
  <si>
    <t>33.7804 Ha</t>
  </si>
  <si>
    <t>Demande N° 10993</t>
  </si>
  <si>
    <t>30.7200 Ha</t>
  </si>
  <si>
    <t>Demande N° 10996</t>
  </si>
  <si>
    <t>Périmètre 5</t>
  </si>
  <si>
    <t>39.7000 Ha</t>
  </si>
  <si>
    <t>Demande N° 10997</t>
  </si>
  <si>
    <t>AMFICI GOLD</t>
  </si>
  <si>
    <t>49.5115 Ha</t>
  </si>
  <si>
    <t>Demande N° 10998</t>
  </si>
  <si>
    <t>Périmètre 7</t>
  </si>
  <si>
    <t>49.9820 Ha</t>
  </si>
  <si>
    <t>Demande N° 10999</t>
  </si>
  <si>
    <t>Périmètre 8</t>
  </si>
  <si>
    <t>32.8450 Ha</t>
  </si>
  <si>
    <t>Demande N° 11006</t>
  </si>
  <si>
    <t>KAB GAYE</t>
  </si>
  <si>
    <t>8.7248 km²</t>
  </si>
  <si>
    <t>Demande N° 11007</t>
  </si>
  <si>
    <t>village khossanto</t>
  </si>
  <si>
    <t>LASSANA CISSOKHO (100%)</t>
  </si>
  <si>
    <t>3.2966 Ha</t>
  </si>
  <si>
    <t>Demande N° 11008</t>
  </si>
  <si>
    <t>VALOMINING SASU (100%)</t>
  </si>
  <si>
    <t>68.9564 km²</t>
  </si>
  <si>
    <t>Demande N° 11013</t>
  </si>
  <si>
    <t>Bloc1-Bloc2-bloc3-Bloc4-Bloc5</t>
  </si>
  <si>
    <t>50.0200 Ha</t>
  </si>
  <si>
    <t>Demande N° 11018</t>
  </si>
  <si>
    <t>24.2320 Ha</t>
  </si>
  <si>
    <t>Demande N° 11020</t>
  </si>
  <si>
    <t>Demande N° 11021</t>
  </si>
  <si>
    <t>AFRIMART IMMOBILIER ET BTP (100%)</t>
  </si>
  <si>
    <t>2.6198 km²</t>
  </si>
  <si>
    <t>Demande N° 11022</t>
  </si>
  <si>
    <t>49.0230 Ha</t>
  </si>
  <si>
    <t>Demande N° 11023</t>
  </si>
  <si>
    <t>ITATO</t>
  </si>
  <si>
    <t>SURVEY SERVICES SUARL (100%)</t>
  </si>
  <si>
    <t>135.7144 km²</t>
  </si>
  <si>
    <t>Demande N° 11024</t>
  </si>
  <si>
    <t>49.6358 Ha</t>
  </si>
  <si>
    <t>Demande N° 11027</t>
  </si>
  <si>
    <t>0.1894 km²</t>
  </si>
  <si>
    <t>Demande N° 11032</t>
  </si>
  <si>
    <t>0.2325 km²</t>
  </si>
  <si>
    <t>Demande N° 11035</t>
  </si>
  <si>
    <t>19.8575 km²</t>
  </si>
  <si>
    <t>Demande N° 11039</t>
  </si>
  <si>
    <t>TAMBACOUNDA MEDINA FOULBE</t>
  </si>
  <si>
    <t>SKDT NEW ENERGY TECHNOLOGY (100%)</t>
  </si>
  <si>
    <t>42.9895 km²</t>
  </si>
  <si>
    <t>Demande N° 11040</t>
  </si>
  <si>
    <t>94.7705 km²</t>
  </si>
  <si>
    <t>Demande N° 11041</t>
  </si>
  <si>
    <t>76.3908 km²</t>
  </si>
  <si>
    <t>Demande N° 11042</t>
  </si>
  <si>
    <t>KEDOUGOU KHOSSANTO</t>
  </si>
  <si>
    <t>47.5953 km²</t>
  </si>
  <si>
    <t>Demande N° 11043</t>
  </si>
  <si>
    <t>42.1786 Ha</t>
  </si>
  <si>
    <t>Demande N° 11044</t>
  </si>
  <si>
    <t>34.6975 Ha</t>
  </si>
  <si>
    <t>Demande N° 11045</t>
  </si>
  <si>
    <t>0.2001 km²</t>
  </si>
  <si>
    <t>Demande N° 11046</t>
  </si>
  <si>
    <t>0.3700 km²</t>
  </si>
  <si>
    <t>Demande N° 11047</t>
  </si>
  <si>
    <t>FOGNY-DIABANG</t>
  </si>
  <si>
    <t>SUNMO INTERNATIONAL INVESTMENT COMPAGNIE  SN (100%)</t>
  </si>
  <si>
    <t>2.2058 km²</t>
  </si>
  <si>
    <t>Demande N° 11049</t>
  </si>
  <si>
    <t>MBACKE ET FILS SARL (100%)</t>
  </si>
  <si>
    <t>12.3471 Ha</t>
  </si>
  <si>
    <t>Demande N° 11050</t>
  </si>
  <si>
    <t>49.6050 Ha</t>
  </si>
  <si>
    <t>Demande N° 11052</t>
  </si>
  <si>
    <t>49.3144 Ha</t>
  </si>
  <si>
    <t>Demande N° 11054</t>
  </si>
  <si>
    <t>50.4804 Ha</t>
  </si>
  <si>
    <t>Demande N° 11063</t>
  </si>
  <si>
    <t>128.5411 Ha</t>
  </si>
  <si>
    <t>Demande N° 11064</t>
  </si>
  <si>
    <t>40.8803 Ha</t>
  </si>
  <si>
    <t>Demande N° 11066</t>
  </si>
  <si>
    <t>37.9838 Ha</t>
  </si>
  <si>
    <t>Demande N° 11068</t>
  </si>
  <si>
    <t>Demande N° 11069</t>
  </si>
  <si>
    <t xml:space="preserve">MBAYE FAMILY BUSINESS GROUP </t>
  </si>
  <si>
    <t>Demande N° 11071</t>
  </si>
  <si>
    <t>I M GOLD SARL (100%)</t>
  </si>
  <si>
    <t>31.6992 Ha</t>
  </si>
  <si>
    <t>Demande N° 11072</t>
  </si>
  <si>
    <t>44.0746 km²</t>
  </si>
  <si>
    <t>Demande N° 11077</t>
  </si>
  <si>
    <t>49.7372 Ha</t>
  </si>
  <si>
    <t>Demande N° 11080</t>
  </si>
  <si>
    <t>GUENE MINING (100%)</t>
  </si>
  <si>
    <t>22.8864 km²</t>
  </si>
  <si>
    <t>Demande N° 11081</t>
  </si>
  <si>
    <t>49.3340 Ha</t>
  </si>
  <si>
    <t>Demande N° 11082</t>
  </si>
  <si>
    <t>49.6430 Ha</t>
  </si>
  <si>
    <t>Demande N° 11083</t>
  </si>
  <si>
    <t>432.0099 km²</t>
  </si>
  <si>
    <t>Demande N° 11085</t>
  </si>
  <si>
    <t>OUEST KASSEL</t>
  </si>
  <si>
    <t>227.4850 km²</t>
  </si>
  <si>
    <t>Demande N° 11086</t>
  </si>
  <si>
    <t>MADISSIMO SA (100%)</t>
  </si>
  <si>
    <t>2.1736 km²</t>
  </si>
  <si>
    <t>Demande N° 11087</t>
  </si>
  <si>
    <t>Demande N° 11088</t>
  </si>
  <si>
    <t>49.1164 Ha</t>
  </si>
  <si>
    <t>Demande N° 11089</t>
  </si>
  <si>
    <t>GIE BANTAL DE BEROLA (100%)</t>
  </si>
  <si>
    <t>Demande N° 11092</t>
  </si>
  <si>
    <t>3.2891 Ha</t>
  </si>
  <si>
    <t>Demande N° 11093</t>
  </si>
  <si>
    <t>191.2654 Ha</t>
  </si>
  <si>
    <t>Demande N° 11095</t>
  </si>
  <si>
    <t>Kanel</t>
  </si>
  <si>
    <t>40.2719 Ha</t>
  </si>
  <si>
    <t>Demande N° 11097</t>
  </si>
  <si>
    <t>THILOGNE</t>
  </si>
  <si>
    <t>HAYRE MINING SAU (100%)</t>
  </si>
  <si>
    <t>894.5731 km²</t>
  </si>
  <si>
    <t>Demande N° 11100</t>
  </si>
  <si>
    <t>4.5953 km²</t>
  </si>
  <si>
    <t>Demande N° 11102</t>
  </si>
  <si>
    <t>PIKINE MINING SARL (100%)</t>
  </si>
  <si>
    <t>330.9747 km²</t>
  </si>
  <si>
    <t>Demande N° 11103</t>
  </si>
  <si>
    <t>GIE BENKHANGHO (100%)</t>
  </si>
  <si>
    <t>47.2752 Ha</t>
  </si>
  <si>
    <t>Demande N° 11105</t>
  </si>
  <si>
    <t>EXPO DAKAR IMPORT EXPORT SARL (100%)</t>
  </si>
  <si>
    <t>869.6058 km²</t>
  </si>
  <si>
    <t>Demande N° 11109</t>
  </si>
  <si>
    <t>49.9822 Ha</t>
  </si>
  <si>
    <t>Demande N° 11110</t>
  </si>
  <si>
    <t>49.9921 Ha</t>
  </si>
  <si>
    <t>Demande N° 11111</t>
  </si>
  <si>
    <t>49.5880 Ha</t>
  </si>
  <si>
    <t>Demande N° 11112</t>
  </si>
  <si>
    <t>Lélou lawal 1</t>
  </si>
  <si>
    <t>21.6299 Ha</t>
  </si>
  <si>
    <t>Demande N° 11113</t>
  </si>
  <si>
    <t>Lelou-lawol 2</t>
  </si>
  <si>
    <t>49.6548 Ha</t>
  </si>
  <si>
    <t>Demande N° 11114</t>
  </si>
  <si>
    <t>Fadougou 1</t>
  </si>
  <si>
    <t>48.8575 Ha</t>
  </si>
  <si>
    <t>Demande N° 11115</t>
  </si>
  <si>
    <t>Fadougou 2</t>
  </si>
  <si>
    <t>Demande N° 11117</t>
  </si>
  <si>
    <t>Darou Salam</t>
  </si>
  <si>
    <t>Demande N° 11118</t>
  </si>
  <si>
    <t>Nord Taifa</t>
  </si>
  <si>
    <t>NEGOCE FIABLE SENEGAL SARL</t>
  </si>
  <si>
    <t>Demande N° 11120</t>
  </si>
  <si>
    <t>Sud Makana</t>
  </si>
  <si>
    <t>MA KE COMPANY SARL (100%)</t>
  </si>
  <si>
    <t>42.2220 Ha</t>
  </si>
  <si>
    <t>Demande N° 11121</t>
  </si>
  <si>
    <t>49.5126 Ha</t>
  </si>
  <si>
    <t>Demande N° 11122</t>
  </si>
  <si>
    <t>49.7568 Ha</t>
  </si>
  <si>
    <t>Demande N° 11123</t>
  </si>
  <si>
    <t>KHAAY WERU/ CAYAR</t>
  </si>
  <si>
    <t>ETABLISSEMENT BABACAR MBAYE DIOP -ETS B.M.D (100%)</t>
  </si>
  <si>
    <t>2.9972 Ha</t>
  </si>
  <si>
    <t>Demande N° 11124</t>
  </si>
  <si>
    <t>49.8520 Ha</t>
  </si>
  <si>
    <t>Demande N° 11126</t>
  </si>
  <si>
    <t>PALLO DIAL</t>
  </si>
  <si>
    <t>Demande N° 11127</t>
  </si>
  <si>
    <t>49.5953 Ha</t>
  </si>
  <si>
    <t>Demande N° 11128</t>
  </si>
  <si>
    <t>50.6975 Ha</t>
  </si>
  <si>
    <t>Demande N° 11129</t>
  </si>
  <si>
    <t xml:space="preserve">Sinthiou MOGO </t>
  </si>
  <si>
    <t>DIDI GROUPE SARL (100%)</t>
  </si>
  <si>
    <t>28.2070 Ha</t>
  </si>
  <si>
    <t>Demande N° 11130</t>
  </si>
  <si>
    <t>49.2148 Ha</t>
  </si>
  <si>
    <t>Demande N° 11131</t>
  </si>
  <si>
    <t>MASRA</t>
  </si>
  <si>
    <t>Cu, Mn</t>
  </si>
  <si>
    <t>172.8462 km²</t>
  </si>
  <si>
    <t>Demande N° 11132</t>
  </si>
  <si>
    <t>48.1740 Ha</t>
  </si>
  <si>
    <t>Demande N° 11133</t>
  </si>
  <si>
    <t>46.2400 Ha</t>
  </si>
  <si>
    <t>Demande N° 11135</t>
  </si>
  <si>
    <t>ALIM GOLD SARL</t>
  </si>
  <si>
    <t>26.4069 Ha</t>
  </si>
  <si>
    <t>Demande N° 11136</t>
  </si>
  <si>
    <t>Bokiladji</t>
  </si>
  <si>
    <t>168.0575 km²</t>
  </si>
  <si>
    <t>Demande N° 11137</t>
  </si>
  <si>
    <t>AB MINES SARL (100%)</t>
  </si>
  <si>
    <t>0.5139 km²</t>
  </si>
  <si>
    <t>Demande N° 11138</t>
  </si>
  <si>
    <t>2.8022 km²</t>
  </si>
  <si>
    <t>Demande N° 11139</t>
  </si>
  <si>
    <t>SOCIETE DES MINES DU SENEGAL</t>
  </si>
  <si>
    <t>186.1899 km²</t>
  </si>
  <si>
    <t>Demande N° 11140</t>
  </si>
  <si>
    <t>GEOCOM SONSULTING ET SERVICES (100%)</t>
  </si>
  <si>
    <t>10.1409 Ha</t>
  </si>
  <si>
    <t>Demande N° 11142</t>
  </si>
  <si>
    <t>MAGAL GUI CARREAUX SARL (100%)</t>
  </si>
  <si>
    <t>933.8789 km²</t>
  </si>
  <si>
    <t>Demande N° 11144</t>
  </si>
  <si>
    <t>Demande N° 11150</t>
  </si>
  <si>
    <t>77.8400 Ha</t>
  </si>
  <si>
    <t>Demande N° 11151</t>
  </si>
  <si>
    <t>Demande N° 11155</t>
  </si>
  <si>
    <t>DJEMBERRING</t>
  </si>
  <si>
    <t>88.0292 km²</t>
  </si>
  <si>
    <t>Demande N° 11156</t>
  </si>
  <si>
    <t>SOCIETE CIVILE IMMOBILIERE FABITAPH (100%)</t>
  </si>
  <si>
    <t>104.4231 Ha</t>
  </si>
  <si>
    <t>Demande N° 11163</t>
  </si>
  <si>
    <t>Demande N° 11173</t>
  </si>
  <si>
    <t>GEOCOM CONSULTING &amp; SERVICES (100%)</t>
  </si>
  <si>
    <t>48.3945 Ha</t>
  </si>
  <si>
    <t>Demande N° 11175</t>
  </si>
  <si>
    <t>Bloc_1 et Bloc_2</t>
  </si>
  <si>
    <t>Demande N° 11176</t>
  </si>
  <si>
    <t>Kourou-Diakhoma</t>
  </si>
  <si>
    <t>Demande N° 11177</t>
  </si>
  <si>
    <t>Gamba-Gamba</t>
  </si>
  <si>
    <t>MDNC SA (100%)</t>
  </si>
  <si>
    <t>Demande N° 11179</t>
  </si>
  <si>
    <t>48.7350 Ha</t>
  </si>
  <si>
    <t>Demande N° 11182</t>
  </si>
  <si>
    <t>Pélel Kindessa</t>
  </si>
  <si>
    <t>39.9424 Ha</t>
  </si>
  <si>
    <t>Demande N° 11183</t>
  </si>
  <si>
    <t>BELEL MINING (100%)</t>
  </si>
  <si>
    <t>27.5600 Ha</t>
  </si>
  <si>
    <t>Demande N° 11189</t>
  </si>
  <si>
    <t>12.5244 Ha</t>
  </si>
  <si>
    <t>Demande N° 11192</t>
  </si>
  <si>
    <t>2.3870 Ha</t>
  </si>
  <si>
    <t>Demande N° 11193</t>
  </si>
  <si>
    <t>MBAWANE</t>
  </si>
  <si>
    <t>2.4336 Ha</t>
  </si>
  <si>
    <t>Demande N° 11194</t>
  </si>
  <si>
    <t>0.2984 km²</t>
  </si>
  <si>
    <t>Demande N° 11195</t>
  </si>
  <si>
    <t>Demande N° 11198</t>
  </si>
  <si>
    <t>dialacoto</t>
  </si>
  <si>
    <t>17.9312 Ha</t>
  </si>
  <si>
    <t>Demande N° 11199</t>
  </si>
  <si>
    <t>11.9480 Ha</t>
  </si>
  <si>
    <t>Demande N° 11201</t>
  </si>
  <si>
    <t>SANTACK</t>
  </si>
  <si>
    <t>7.1431 Ha</t>
  </si>
  <si>
    <t>Demande N° 11203</t>
  </si>
  <si>
    <t>GIE AGRI PLUS</t>
  </si>
  <si>
    <t>Demande N° 11204</t>
  </si>
  <si>
    <t>Kanimaussaya</t>
  </si>
  <si>
    <t>CHL CONSTRUCTION SENEGAL SARL</t>
  </si>
  <si>
    <t>49.8108 Ha</t>
  </si>
  <si>
    <t>Demande N° 11205</t>
  </si>
  <si>
    <t>Bloc1-bloc2-Bloc3</t>
  </si>
  <si>
    <t>49.9435 Ha</t>
  </si>
  <si>
    <t>Demande N° 11206</t>
  </si>
  <si>
    <t>37.0000 Ha</t>
  </si>
  <si>
    <t>Demande N° 11210</t>
  </si>
  <si>
    <t>DAGANA</t>
  </si>
  <si>
    <t>315.6771 km²</t>
  </si>
  <si>
    <t>Demande N° 11212</t>
  </si>
  <si>
    <t>28.2574 Ha</t>
  </si>
  <si>
    <t>Demande N° 11213</t>
  </si>
  <si>
    <t>TAMBACOUNDA SADATOU</t>
  </si>
  <si>
    <t>85.9010 km²</t>
  </si>
  <si>
    <t>Demande N° 11214</t>
  </si>
  <si>
    <t>38.0923 Ha</t>
  </si>
  <si>
    <t>Demande N° 11215</t>
  </si>
  <si>
    <t>Ouonk</t>
  </si>
  <si>
    <t>Demande N° 11216</t>
  </si>
  <si>
    <t>TAMBACOUNDA MADINA FOULBE</t>
  </si>
  <si>
    <t>42.9484 km²</t>
  </si>
  <si>
    <t>Demande N° 11218</t>
  </si>
  <si>
    <t>Raffo-Est</t>
  </si>
  <si>
    <t>23.5200 Ha</t>
  </si>
  <si>
    <t>Demande N° 11220</t>
  </si>
  <si>
    <t>Borom 2</t>
  </si>
  <si>
    <t>3.0636 Ha</t>
  </si>
  <si>
    <t>Demande N° 11221</t>
  </si>
  <si>
    <t>0.6144 km²</t>
  </si>
  <si>
    <t>Demande N° 11224</t>
  </si>
  <si>
    <t>177.3579 km²</t>
  </si>
  <si>
    <t>Demande N° 11227</t>
  </si>
  <si>
    <t>Kingroch Mining SAS (100%)</t>
  </si>
  <si>
    <t>Demande N° 11228</t>
  </si>
  <si>
    <t>Bignona</t>
  </si>
  <si>
    <t>8.9322 Ha</t>
  </si>
  <si>
    <t>Demande N° 11229</t>
  </si>
  <si>
    <t>Dialokoto</t>
  </si>
  <si>
    <t>Société d'exploitation et de commercialisation des matières extractives et du transport -SECOMET (100%)</t>
  </si>
  <si>
    <t>7.7808 Ha</t>
  </si>
  <si>
    <t>Demande N° 11230</t>
  </si>
  <si>
    <t>PRESTRANS HOLDING-SARL (100%)</t>
  </si>
  <si>
    <t>23.6983 Ha</t>
  </si>
  <si>
    <t>Demande N° 11231</t>
  </si>
  <si>
    <t>ICOPRES SUARL (100%)</t>
  </si>
  <si>
    <t>Demande N° 11232</t>
  </si>
  <si>
    <t>24.1599 Ha</t>
  </si>
  <si>
    <t>Demande N° 11234</t>
  </si>
  <si>
    <t>53.7091 km²</t>
  </si>
  <si>
    <t>Demande N° 11235</t>
  </si>
  <si>
    <t>9.6307 Ha</t>
  </si>
  <si>
    <t>Demande N° 11236</t>
  </si>
  <si>
    <t>DINDIFELO</t>
  </si>
  <si>
    <t>20.6721 Ha</t>
  </si>
  <si>
    <t>Demande N° 11237</t>
  </si>
  <si>
    <t>170.2320 Ha</t>
  </si>
  <si>
    <t>Demande N° 11239</t>
  </si>
  <si>
    <t>Tiankoun Bassadie Nord 2</t>
  </si>
  <si>
    <t>SHIFENG MINING COMPANY SARL</t>
  </si>
  <si>
    <t>48.7014 Ha</t>
  </si>
  <si>
    <t>Demande N° 11240</t>
  </si>
  <si>
    <t>SINO-AFRICAINE COMMUNICATION SUARL (100%)</t>
  </si>
  <si>
    <t>Demande N° 11242</t>
  </si>
  <si>
    <t>75.0429 km²</t>
  </si>
  <si>
    <t>Demande N° 11243</t>
  </si>
  <si>
    <t>47.1748 km²</t>
  </si>
  <si>
    <t>Demande N° 11248</t>
  </si>
  <si>
    <t>SALI ESCALE - KOUNGEUL - 13722 m3</t>
  </si>
  <si>
    <t>29.2264 Ha</t>
  </si>
  <si>
    <t>Demande N° 11251</t>
  </si>
  <si>
    <t>GIE BAMTAARE DE MADINA FOULBE (100%)</t>
  </si>
  <si>
    <t>Demande N° 11252</t>
  </si>
  <si>
    <t>4.9690 km²</t>
  </si>
  <si>
    <t>Demande N° 11253</t>
  </si>
  <si>
    <t>TOUMBI</t>
  </si>
  <si>
    <t>4.9657 km²</t>
  </si>
  <si>
    <t>Demande N° 11254</t>
  </si>
  <si>
    <t>MAKO-EST</t>
  </si>
  <si>
    <t>INNOVA INVESTMENT SUARL (100%)</t>
  </si>
  <si>
    <t>923.6308 km²</t>
  </si>
  <si>
    <t>Demande N° 11255</t>
  </si>
  <si>
    <t>BOKILADJI</t>
  </si>
  <si>
    <t>637.1540 km²</t>
  </si>
  <si>
    <t>Demande N° 11256</t>
  </si>
  <si>
    <t>49.9518 Ha</t>
  </si>
  <si>
    <t>Demande N° 11257</t>
  </si>
  <si>
    <t>ITACA EST</t>
  </si>
  <si>
    <t>Demande N° 11259</t>
  </si>
  <si>
    <t>21.0000 Ha</t>
  </si>
  <si>
    <t>Demande N° 11261</t>
  </si>
  <si>
    <t>4.7711 Ha</t>
  </si>
  <si>
    <t>Demande N° 11262</t>
  </si>
  <si>
    <t>8.1967 km²</t>
  </si>
  <si>
    <t>Demande N° 11264</t>
  </si>
  <si>
    <t>7.5277 km²</t>
  </si>
  <si>
    <t>Demande N° 11268</t>
  </si>
  <si>
    <t>CHEIKH AHMED TIDIANE SY</t>
  </si>
  <si>
    <t>49.8383 Ha</t>
  </si>
  <si>
    <t>Demande N° 11269</t>
  </si>
  <si>
    <t>4.0026 Ha</t>
  </si>
  <si>
    <t>Demande N° 11271</t>
  </si>
  <si>
    <t>SOUDA</t>
  </si>
  <si>
    <t>6.0006 Ha</t>
  </si>
  <si>
    <t>Demande N° 11274</t>
  </si>
  <si>
    <t>WEST AFRICA MINES (100%)</t>
  </si>
  <si>
    <t>20.7200 Ha</t>
  </si>
  <si>
    <t>Demande N° 11275</t>
  </si>
  <si>
    <t>Demande N° 11276</t>
  </si>
  <si>
    <t>49.4078 Ha</t>
  </si>
  <si>
    <t>Demande N° 11277</t>
  </si>
  <si>
    <t>2.0752 km²</t>
  </si>
  <si>
    <t>Demande N° 11278</t>
  </si>
  <si>
    <t>EAUX SOUTERRAINES DU SENEGAL SARL (100%)</t>
  </si>
  <si>
    <t>49.3320 Ha</t>
  </si>
  <si>
    <t>Demande N° 11279</t>
  </si>
  <si>
    <t>CONSULTING BUSINESS AGENCY (100%)</t>
  </si>
  <si>
    <t>4.8780 km²</t>
  </si>
  <si>
    <t>Demande N° 11280</t>
  </si>
  <si>
    <t>Nord Makana</t>
  </si>
  <si>
    <t>MAKE COMPANY SARL (100%)</t>
  </si>
  <si>
    <t>49.6128 Ha</t>
  </si>
  <si>
    <t>Demande N° 11281</t>
  </si>
  <si>
    <t>SAM INVEST - SA (100%)</t>
  </si>
  <si>
    <t>66.8033 km²</t>
  </si>
  <si>
    <t>Demande N° 11283</t>
  </si>
  <si>
    <t xml:space="preserve"> SURVEY SERVICES SUARL (100%)</t>
  </si>
  <si>
    <t>649.6596 km²</t>
  </si>
  <si>
    <t>Demande N° 11284</t>
  </si>
  <si>
    <t>Coumbamba</t>
  </si>
  <si>
    <t>48.9492 Ha</t>
  </si>
  <si>
    <t>Demande N° 11285</t>
  </si>
  <si>
    <t>BELE</t>
  </si>
  <si>
    <t>SANTANG NEGOCE INVESTMENT GROUP (100%)</t>
  </si>
  <si>
    <t>50.4775 Ha</t>
  </si>
  <si>
    <t>Demande N° 11286</t>
  </si>
  <si>
    <t>5.8140 Ha</t>
  </si>
  <si>
    <t>Demande N° 11287</t>
  </si>
  <si>
    <t>Meouane, Taiba Ndiaye, Tivaoune</t>
  </si>
  <si>
    <t>Société Générale des mines - SARL (100%)</t>
  </si>
  <si>
    <t>24.9998 Ha</t>
  </si>
  <si>
    <t>Demande N° 11290</t>
  </si>
  <si>
    <t>Yilimalo</t>
  </si>
  <si>
    <t>COLT MINE  (100%)</t>
  </si>
  <si>
    <t>26.7537 Ha</t>
  </si>
  <si>
    <t>Demande N° 11292</t>
  </si>
  <si>
    <t>Dialocoto</t>
  </si>
  <si>
    <t>Kheweul Diama  (100%)</t>
  </si>
  <si>
    <t>32.6721 Ha</t>
  </si>
  <si>
    <t>Demande N° 11295</t>
  </si>
  <si>
    <t>49.9445 Ha</t>
  </si>
  <si>
    <t>Demande N° 11296</t>
  </si>
  <si>
    <t>49.5706 Ha</t>
  </si>
  <si>
    <t>Demande N° 11297</t>
  </si>
  <si>
    <t>Barkedji Mbayene et Keur Kouni (Commune de Mabo et SEGRE GATTA)</t>
  </si>
  <si>
    <t>9.5859 Ha</t>
  </si>
  <si>
    <t>Demande N° 11298</t>
  </si>
  <si>
    <t xml:space="preserve">Ndiaganiao </t>
  </si>
  <si>
    <t>20.1572 Ha</t>
  </si>
  <si>
    <t>Demande N° 11299</t>
  </si>
  <si>
    <t>YEUMBEUL NORD</t>
  </si>
  <si>
    <t>DIALLO BOUBACAR (100%)</t>
  </si>
  <si>
    <t>3.2773 Ha</t>
  </si>
  <si>
    <t>Demande N° 11300</t>
  </si>
  <si>
    <t>Itaca Est</t>
  </si>
  <si>
    <t>Demande N° 11301</t>
  </si>
  <si>
    <t>Nord-Ouest Dialaba</t>
  </si>
  <si>
    <t>Demande N° 11304</t>
  </si>
  <si>
    <t>SERSA INVESTMENTS SA  (100%)</t>
  </si>
  <si>
    <t>286.5813 km²</t>
  </si>
  <si>
    <t>Demande N° 11305</t>
  </si>
  <si>
    <t>23.8358 km²</t>
  </si>
  <si>
    <t>Demande N° 11306</t>
  </si>
  <si>
    <t>Walo mines extraction sarl (100%)</t>
  </si>
  <si>
    <t>Demande N° 11307</t>
  </si>
  <si>
    <t>32.4689 Ha</t>
  </si>
  <si>
    <t>Demande N° 11308</t>
  </si>
  <si>
    <t>Demande N° 11309</t>
  </si>
  <si>
    <t>TERANGA HORIZON (100%)</t>
  </si>
  <si>
    <t>Demande N° 11312</t>
  </si>
  <si>
    <t>4.0188 Ha</t>
  </si>
  <si>
    <t>Demande N° 11313</t>
  </si>
  <si>
    <t>DIAMAL</t>
  </si>
  <si>
    <t>4.2413 Ha</t>
  </si>
  <si>
    <t>Demande N° 11317</t>
  </si>
  <si>
    <t>Samékouta 4</t>
  </si>
  <si>
    <t>Demande N° 11318</t>
  </si>
  <si>
    <t>"AVA" SARL UNIPERSONNELLE (100%)</t>
  </si>
  <si>
    <t>Demande N° 11319</t>
  </si>
  <si>
    <t>0.0160 km²</t>
  </si>
  <si>
    <t>Demande N° 11321</t>
  </si>
  <si>
    <t>40.8462 Ha</t>
  </si>
  <si>
    <t>Demande N° 11324</t>
  </si>
  <si>
    <t>GIE TALALATOU (100%)</t>
  </si>
  <si>
    <t>14.2700 Ha</t>
  </si>
  <si>
    <t>Demande N° 11325</t>
  </si>
  <si>
    <t>Samékouta 2</t>
  </si>
  <si>
    <t>49.4086 Ha</t>
  </si>
  <si>
    <t>Demande N° 11328</t>
  </si>
  <si>
    <t>49.9489 Ha</t>
  </si>
  <si>
    <t>Demande N° 11330</t>
  </si>
  <si>
    <t>Demande N° 11331</t>
  </si>
  <si>
    <t>Yandicone Fall (100%)</t>
  </si>
  <si>
    <t>Demande N° 11333</t>
  </si>
  <si>
    <t>Diakhba 3</t>
  </si>
  <si>
    <t>GIE COUMBOUTOUROU (100%)</t>
  </si>
  <si>
    <t>49.9996 Ha</t>
  </si>
  <si>
    <t>Demande N° 11339</t>
  </si>
  <si>
    <t>NORD ORKODIERE</t>
  </si>
  <si>
    <t>SENEMINING SA (100%)</t>
  </si>
  <si>
    <t>417.9551 km²</t>
  </si>
  <si>
    <t>Demande N° 11340</t>
  </si>
  <si>
    <t>KEDA SN CERAMICS COMPANY LIMITED (100%)</t>
  </si>
  <si>
    <t>1.9860 Ha</t>
  </si>
  <si>
    <t>Demande N° 11341</t>
  </si>
  <si>
    <t>Bountou Nord 1</t>
  </si>
  <si>
    <t>50.0085 Ha</t>
  </si>
  <si>
    <t>Demande N° 11342</t>
  </si>
  <si>
    <t>Demande N° 11343</t>
  </si>
  <si>
    <t>49.6499 Ha</t>
  </si>
  <si>
    <t>Demande N° 11346</t>
  </si>
  <si>
    <t>49.9550 Ha</t>
  </si>
  <si>
    <t>Demande N° 11347</t>
  </si>
  <si>
    <t>DIOLACOTO</t>
  </si>
  <si>
    <t>13.3200 Ha</t>
  </si>
  <si>
    <t>Demande N° 11348</t>
  </si>
  <si>
    <t>ETIC SENEGAL SUARL</t>
  </si>
  <si>
    <t>28.7113 Ha</t>
  </si>
  <si>
    <t>Demande N° 11350</t>
  </si>
  <si>
    <t xml:space="preserve">Ngoudiane </t>
  </si>
  <si>
    <t>Poulotech SUARL  (100%)</t>
  </si>
  <si>
    <t>38.6658 Ha</t>
  </si>
  <si>
    <t>Demande N° 11352</t>
  </si>
  <si>
    <t>Tawfekh Mining SARL (100%)</t>
  </si>
  <si>
    <t>39.7449 Ha</t>
  </si>
  <si>
    <t>Demande N° 11353</t>
  </si>
  <si>
    <t xml:space="preserve">Dendeye Guy-gui, Mbacké </t>
  </si>
  <si>
    <t>2.8102 Ha</t>
  </si>
  <si>
    <t>Demande N° 11356</t>
  </si>
  <si>
    <t>45.5442 Ha</t>
  </si>
  <si>
    <t>Demande N° 11357</t>
  </si>
  <si>
    <t>0.4903 km²</t>
  </si>
  <si>
    <t>Demande N° 11358</t>
  </si>
  <si>
    <t>49.8643 Ha</t>
  </si>
  <si>
    <t>Demande N° 11360</t>
  </si>
  <si>
    <t>23.3502 km²</t>
  </si>
  <si>
    <t>Demande N° 11361</t>
  </si>
  <si>
    <t>Dioura de Diakha</t>
  </si>
  <si>
    <t>Demande N° 11362</t>
  </si>
  <si>
    <t>15.9212 km²</t>
  </si>
  <si>
    <t>Demande N° 11363</t>
  </si>
  <si>
    <t>Demande N° 11364</t>
  </si>
  <si>
    <t>379.6689 km²</t>
  </si>
  <si>
    <t>Demande N° 11365</t>
  </si>
  <si>
    <t>Ngary Sekoto</t>
  </si>
  <si>
    <t>GIE DINKHA BARA (100%)</t>
  </si>
  <si>
    <t>Demande N° 11367</t>
  </si>
  <si>
    <t>Samékoto 3</t>
  </si>
  <si>
    <t>Demande N° 11368</t>
  </si>
  <si>
    <t>48.8207 Ha</t>
  </si>
  <si>
    <t>Demande N° 11369</t>
  </si>
  <si>
    <t>Perimetre 5</t>
  </si>
  <si>
    <t>49.4558 Ha</t>
  </si>
  <si>
    <t>Demande N° 11371</t>
  </si>
  <si>
    <t>Perimetre 4</t>
  </si>
  <si>
    <t>45.4783 Ha</t>
  </si>
  <si>
    <t>Demande N° 11373</t>
  </si>
  <si>
    <t>NORD-TAIF</t>
  </si>
  <si>
    <t>Demande N° 11374</t>
  </si>
  <si>
    <t>KALLOSY</t>
  </si>
  <si>
    <t>35.3238 Ha</t>
  </si>
  <si>
    <t>Demande N° 11376</t>
  </si>
  <si>
    <t>35.0900 Ha</t>
  </si>
  <si>
    <t>Demande N° 11377</t>
  </si>
  <si>
    <t>BANDIGNKOTO</t>
  </si>
  <si>
    <t>ENTREPRISE GENERALE DE CONSTRUCTION ET D'AMENAGEMENT (50%); GOLD MINE BUSINESS (50%)</t>
  </si>
  <si>
    <t>3.7979 km²</t>
  </si>
  <si>
    <t>Demande N° 11378</t>
  </si>
  <si>
    <t>34.4726 Ha</t>
  </si>
  <si>
    <t>Demande N° 11383</t>
  </si>
  <si>
    <t>7.6836 Ha</t>
  </si>
  <si>
    <t>Demande N° 11384</t>
  </si>
  <si>
    <t>SOCIETE GENERALE DES MINES SARL (100%)</t>
  </si>
  <si>
    <t>47.1399 Ha</t>
  </si>
  <si>
    <t>Demande N° 11386</t>
  </si>
  <si>
    <t>Bountou Nord 2</t>
  </si>
  <si>
    <t>49.5628 Ha</t>
  </si>
  <si>
    <t>Demande N° 11387</t>
  </si>
  <si>
    <t>ENTREPRISE OUSMANE SOW (100%)</t>
  </si>
  <si>
    <t>4.7977 Ha</t>
  </si>
  <si>
    <t>Demande N° 11390</t>
  </si>
  <si>
    <t>Boboti</t>
  </si>
  <si>
    <t>ETERTINY RESSOURCES SERVICES SARL (100%)</t>
  </si>
  <si>
    <t>49.4611 Ha</t>
  </si>
  <si>
    <t>Demande N° 11392</t>
  </si>
  <si>
    <t>Maire de la commune de Tassette, Thiès (100%)</t>
  </si>
  <si>
    <t>5.0061 Ha</t>
  </si>
  <si>
    <t>Demande N° 11396</t>
  </si>
  <si>
    <t>Saraya, Sabodala</t>
  </si>
  <si>
    <t>3.2792 Ha</t>
  </si>
  <si>
    <t>Demande N° 11397</t>
  </si>
  <si>
    <t>QMD COMPANY SARL (100%)</t>
  </si>
  <si>
    <t>243.8999 km²</t>
  </si>
  <si>
    <t>Demande N° 11398</t>
  </si>
  <si>
    <t>DIMEX (100%)</t>
  </si>
  <si>
    <t>3.1384 Ha</t>
  </si>
  <si>
    <t>Demande N° 11402</t>
  </si>
  <si>
    <t>TAIBA NDIAYE</t>
  </si>
  <si>
    <t>MAIN SUARL (100%)</t>
  </si>
  <si>
    <t>21.3138 Ha</t>
  </si>
  <si>
    <t>Demande N° 11403</t>
  </si>
  <si>
    <t>50.9442 Ha</t>
  </si>
  <si>
    <t>Demande N° 11404</t>
  </si>
  <si>
    <t>Demande N° 11405</t>
  </si>
  <si>
    <t>Waka 1</t>
  </si>
  <si>
    <t>WAKA INVESTMENT CORPORATE SARL (100%)</t>
  </si>
  <si>
    <t>47.5608 Ha</t>
  </si>
  <si>
    <t>Demande N° 11407</t>
  </si>
  <si>
    <t>WEN GROUP SUARL (100%)</t>
  </si>
  <si>
    <t>Demande N° 11408</t>
  </si>
  <si>
    <t>7.9927 Ha</t>
  </si>
  <si>
    <t>Demande N° 11409</t>
  </si>
  <si>
    <t>Koumassaboto-sekoto</t>
  </si>
  <si>
    <t>7.2058 Ha</t>
  </si>
  <si>
    <t>Demande N° 11410</t>
  </si>
  <si>
    <t>4.9933 km²</t>
  </si>
  <si>
    <t>Demande N° 11411</t>
  </si>
  <si>
    <t>46.5920 Ha</t>
  </si>
  <si>
    <t>Demande N° 11412</t>
  </si>
  <si>
    <t>BOLIMBA MULTI SERVICES SUARL (100%)</t>
  </si>
  <si>
    <t>49.8723 Ha</t>
  </si>
  <si>
    <t>Demande N° 11413</t>
  </si>
  <si>
    <t>35.0958 Ha</t>
  </si>
  <si>
    <t>Demande N° 11414</t>
  </si>
  <si>
    <t>ABSSATOU MBACKE DIOKHANE  (100%)</t>
  </si>
  <si>
    <t>43.4763 Ha</t>
  </si>
  <si>
    <t>Demande N° 11415</t>
  </si>
  <si>
    <t>GANGUE TOUS TRAVAUX (100%)</t>
  </si>
  <si>
    <t>0.0248 km²</t>
  </si>
  <si>
    <t>Demande N° 11416</t>
  </si>
  <si>
    <t>Nord Baitilaye</t>
  </si>
  <si>
    <t>50.1761 Ha</t>
  </si>
  <si>
    <t>Demande N° 11418</t>
  </si>
  <si>
    <t>ZONE INTERET AIG</t>
  </si>
  <si>
    <t>ZONE AIG</t>
  </si>
  <si>
    <t>1,053.2311 Ha</t>
  </si>
  <si>
    <t>Demande N° 11419</t>
  </si>
  <si>
    <t>Saraya 2</t>
  </si>
  <si>
    <t>SARAYA MINES INTERNATIONAL  SARL (100%)</t>
  </si>
  <si>
    <t>49.1285 Ha</t>
  </si>
  <si>
    <t>Demande N° 11423</t>
  </si>
  <si>
    <t>Ilimano</t>
  </si>
  <si>
    <t>Demande N° 11424</t>
  </si>
  <si>
    <t>Saraya 1</t>
  </si>
  <si>
    <t>37.3141 Ha</t>
  </si>
  <si>
    <t>Demande N° 11425</t>
  </si>
  <si>
    <t>49.9995 Ha</t>
  </si>
  <si>
    <t>Demande N° 11426</t>
  </si>
  <si>
    <t>45.9316 Ha</t>
  </si>
  <si>
    <t>Demande N° 11427</t>
  </si>
  <si>
    <t>49.9754 Ha</t>
  </si>
  <si>
    <t>Demande N° 11428</t>
  </si>
  <si>
    <t>48.2310 Ha</t>
  </si>
  <si>
    <t>Demande N° 11429</t>
  </si>
  <si>
    <t>ICS, Darou Khoudoss</t>
  </si>
  <si>
    <t>ETIC SENEGAL SUARL (100%)</t>
  </si>
  <si>
    <t>Demande N° 11431</t>
  </si>
  <si>
    <t>GIE NOUNDAL DE BEROLA GADA MAYO (100%)</t>
  </si>
  <si>
    <t>49.8232 Ha</t>
  </si>
  <si>
    <t>Demande N° 11435</t>
  </si>
  <si>
    <t>KHAR YALLA</t>
  </si>
  <si>
    <t>Demande N° 11436</t>
  </si>
  <si>
    <t>darou kaba</t>
  </si>
  <si>
    <t>5.8024 Ha</t>
  </si>
  <si>
    <t>Demande N° 11438</t>
  </si>
  <si>
    <t>Demande N° 11439</t>
  </si>
  <si>
    <t>2.6180 Ha</t>
  </si>
  <si>
    <t>Demande N° 11441</t>
  </si>
  <si>
    <t>taiba ndiaye</t>
  </si>
  <si>
    <t>4.4251 Ha</t>
  </si>
  <si>
    <t>Demande N° 11443</t>
  </si>
  <si>
    <t>Ouest-Bofeto</t>
  </si>
  <si>
    <t>36.4759 Ha</t>
  </si>
  <si>
    <t>Demande N° 11444</t>
  </si>
  <si>
    <t>Demande N° 11450</t>
  </si>
  <si>
    <t>TOUBA GUEDE IMMOBILIER SARL (100%)</t>
  </si>
  <si>
    <t>30.6907 Ha</t>
  </si>
  <si>
    <t>Demande N° 11452</t>
  </si>
  <si>
    <t xml:space="preserve">Projet ONAS Tamba STBV 
</t>
  </si>
  <si>
    <t>0.7145 Ha</t>
  </si>
  <si>
    <t>Demande N° 11453</t>
  </si>
  <si>
    <t>Sud-Ouest Boféto</t>
  </si>
  <si>
    <t>49.6531 Ha</t>
  </si>
  <si>
    <t>Demande N° 11454</t>
  </si>
  <si>
    <t>Nord-Ouest Boféto</t>
  </si>
  <si>
    <t>49.8979 Ha</t>
  </si>
  <si>
    <t>Demande N° 11455</t>
  </si>
  <si>
    <t>Nord-Guémédji</t>
  </si>
  <si>
    <t>Demande N° 11457</t>
  </si>
  <si>
    <t>22.7593 Ha</t>
  </si>
  <si>
    <t>Demande N° 11458</t>
  </si>
  <si>
    <t>GEOSCIENCES AND PROCESS SERVICES</t>
  </si>
  <si>
    <t>19.9908 Ha</t>
  </si>
  <si>
    <t>Demande N° 11459</t>
  </si>
  <si>
    <t xml:space="preserve">Diarending </t>
  </si>
  <si>
    <t>20.0047 Ha</t>
  </si>
  <si>
    <t>Demande N° 11460</t>
  </si>
  <si>
    <t>Nabbadji Civol</t>
  </si>
  <si>
    <t>19.9809 Ha</t>
  </si>
  <si>
    <t>Demande N° 11461</t>
  </si>
  <si>
    <t>Mbellacadiao</t>
  </si>
  <si>
    <t>2.4538 Ha</t>
  </si>
  <si>
    <t>Demande N° 11463</t>
  </si>
  <si>
    <t xml:space="preserve">ICS, Darou Khoudoss </t>
  </si>
  <si>
    <t>Demande N° 11464</t>
  </si>
  <si>
    <t>170.0000 Ha</t>
  </si>
  <si>
    <t>Demande N° 11465</t>
  </si>
  <si>
    <t>NDIONE PROWALO (100%)</t>
  </si>
  <si>
    <t>10.9879 Ha</t>
  </si>
  <si>
    <t>Demande N° 11467</t>
  </si>
  <si>
    <t>BOKIDIAWE</t>
  </si>
  <si>
    <t>PACIFIQUE ATLANTIQUE MINE SARL (100%)</t>
  </si>
  <si>
    <t>407.6623 km²</t>
  </si>
  <si>
    <t>Demande N° 11470</t>
  </si>
  <si>
    <t>Thignor</t>
  </si>
  <si>
    <t>ENTREPRISE EBATI SENEGAL SARL (100%)</t>
  </si>
  <si>
    <t>2.2089 Ha</t>
  </si>
  <si>
    <t>Demande N° 11471</t>
  </si>
  <si>
    <t>1.3018 Ha</t>
  </si>
  <si>
    <t>Demande N° 11472</t>
  </si>
  <si>
    <t>17.6992 Ha</t>
  </si>
  <si>
    <t>Demande N° 11473</t>
  </si>
  <si>
    <t>TPGLOBAL SERVICE (100%)</t>
  </si>
  <si>
    <t>41.6809 Ha</t>
  </si>
  <si>
    <t>Demande N° 11475</t>
  </si>
  <si>
    <t>45.8742 Ha</t>
  </si>
  <si>
    <t>Demande N° 11476</t>
  </si>
  <si>
    <t>CIMENTS DU SAHEL (100%)</t>
  </si>
  <si>
    <t>6.0622 km²</t>
  </si>
  <si>
    <t>Demande N° 11477</t>
  </si>
  <si>
    <t>ndiaganiao</t>
  </si>
  <si>
    <t>51.0629 Ha</t>
  </si>
  <si>
    <t>Demande N° 11478</t>
  </si>
  <si>
    <t>Goudiry</t>
  </si>
  <si>
    <t>49.9776 Ha</t>
  </si>
  <si>
    <t>Demande N° 11479</t>
  </si>
  <si>
    <t>49.9849 Ha</t>
  </si>
  <si>
    <t>Demande N° 11480</t>
  </si>
  <si>
    <t>DEGOU</t>
  </si>
  <si>
    <t>16.3865 Ha</t>
  </si>
  <si>
    <t>Demande N° 11481</t>
  </si>
  <si>
    <t>Kirene</t>
  </si>
  <si>
    <t>101.0923 Ha</t>
  </si>
  <si>
    <t>Demande N° 11483</t>
  </si>
  <si>
    <t>Mairie de Ronkh</t>
  </si>
  <si>
    <t>Mairie de la commune de Ronkh-Saint louis (100%)</t>
  </si>
  <si>
    <t>30.0672 Ha</t>
  </si>
  <si>
    <t>Demande N° 11484</t>
  </si>
  <si>
    <t>SAMB HABIB (100%)</t>
  </si>
  <si>
    <t>37.1097 Ha</t>
  </si>
  <si>
    <t>Demande N° 11485</t>
  </si>
  <si>
    <t>43.4511 Ha</t>
  </si>
  <si>
    <t>Demande N° 11486</t>
  </si>
  <si>
    <t>ETS ABDOULAHAT MBAYE (100%)</t>
  </si>
  <si>
    <t>51.8442 Ha</t>
  </si>
  <si>
    <t>Demande N° 11488</t>
  </si>
  <si>
    <t>45.4589 Ha</t>
  </si>
  <si>
    <t>Demande N° 11489</t>
  </si>
  <si>
    <t>40.6408 Ha</t>
  </si>
  <si>
    <t>Demande N° 11491</t>
  </si>
  <si>
    <t>Demande N° 11492</t>
  </si>
  <si>
    <t>19.8679 Ha</t>
  </si>
  <si>
    <t>Demande N° 11493</t>
  </si>
  <si>
    <t xml:space="preserve">Gaé, </t>
  </si>
  <si>
    <t>Mairie de la commune de Gaé- Saint Louis (100%)</t>
  </si>
  <si>
    <t>10.5559 Ha</t>
  </si>
  <si>
    <t>Demande N° 11495</t>
  </si>
  <si>
    <t>Demande N° 11497</t>
  </si>
  <si>
    <t>SODA HOLDING COMPANY SUARL (100%)</t>
  </si>
  <si>
    <t>89.3562 km²</t>
  </si>
  <si>
    <t>Demande N° 11498</t>
  </si>
  <si>
    <t>Bloc 1 et 2</t>
  </si>
  <si>
    <t>49.2464 Ha</t>
  </si>
  <si>
    <t>Demande N° 11501</t>
  </si>
  <si>
    <t xml:space="preserve">Keur Samba Kane </t>
  </si>
  <si>
    <t>SOTRACOM SA (100%)</t>
  </si>
  <si>
    <t>0.1979 Ha</t>
  </si>
  <si>
    <t>Demande N° 11502</t>
  </si>
  <si>
    <t>Tenghory</t>
  </si>
  <si>
    <t>LA NOUVELLE  VISION DU BATIMENT - SUARL (100%)</t>
  </si>
  <si>
    <t>7.5552 Ha</t>
  </si>
  <si>
    <t>Demande N° 11504</t>
  </si>
  <si>
    <t>GEO PARTNER CONSULTING (100%)</t>
  </si>
  <si>
    <t>3.0067 Ha</t>
  </si>
  <si>
    <t>Demande N° 11506</t>
  </si>
  <si>
    <t>WASSADOU</t>
  </si>
  <si>
    <t>LES CIMENTS DU SAHEL SA (100%)</t>
  </si>
  <si>
    <t>49.9666 Ha</t>
  </si>
  <si>
    <t>Demande N° 11507</t>
  </si>
  <si>
    <t>GROUPE THOMAS SANKARA SUARL</t>
  </si>
  <si>
    <t>31.7280 Ha</t>
  </si>
  <si>
    <t>Demande N° 11510</t>
  </si>
  <si>
    <t>CAT EXPERT COMPANY (100%)</t>
  </si>
  <si>
    <t>2.2831 Ha</t>
  </si>
  <si>
    <t>Demande N° 11511</t>
  </si>
  <si>
    <t>Demande N° 11512</t>
  </si>
  <si>
    <t>Top concept et travaux (Top CT) SUARL</t>
  </si>
  <si>
    <t>2.7996 Ha</t>
  </si>
  <si>
    <t>Demande N° 11514</t>
  </si>
  <si>
    <t>ANDA</t>
  </si>
  <si>
    <t>ANDA TRANSIT SARL (100%)</t>
  </si>
  <si>
    <t>Demande N° 11515</t>
  </si>
  <si>
    <t>18.2780 km²</t>
  </si>
  <si>
    <t>Demande N° 11516</t>
  </si>
  <si>
    <t>LAMCO INDUSTRIE ET SERVICES  (100%)</t>
  </si>
  <si>
    <t>17.4400 Ha</t>
  </si>
  <si>
    <t>Demande N° 11517</t>
  </si>
  <si>
    <t>499.3750 Ha</t>
  </si>
  <si>
    <t>Demande N° 11518</t>
  </si>
  <si>
    <t>20.7677 Ha</t>
  </si>
  <si>
    <t>Demande N° 11519</t>
  </si>
  <si>
    <t>49.9939 Ha</t>
  </si>
  <si>
    <t>Demande N° 11520</t>
  </si>
  <si>
    <t>50.1919 Ha</t>
  </si>
  <si>
    <t>Demande N° 11521</t>
  </si>
  <si>
    <t>SOUMEX SARL (100%)</t>
  </si>
  <si>
    <t>20.3771 Ha</t>
  </si>
  <si>
    <t>Demande N° 11523</t>
  </si>
  <si>
    <t>49.5083 Ha</t>
  </si>
  <si>
    <t>Demande N° 11524</t>
  </si>
  <si>
    <t>49.6405 Ha</t>
  </si>
  <si>
    <t>Demande N° 11525</t>
  </si>
  <si>
    <t>SAMEU BAY DOUNDE (100%)</t>
  </si>
  <si>
    <t>30.4861 Ha</t>
  </si>
  <si>
    <t>Demande N° 11526</t>
  </si>
  <si>
    <t>4.2259 km²</t>
  </si>
  <si>
    <t>Demande N° 11527</t>
  </si>
  <si>
    <t>CONSTRUIRE SON PAYS (100%)</t>
  </si>
  <si>
    <t>Demande N° 11528</t>
  </si>
  <si>
    <t>19.7734 Ha</t>
  </si>
  <si>
    <t>Demande N° 11529</t>
  </si>
  <si>
    <t>140.9811 km²</t>
  </si>
  <si>
    <t>Demande N° 11530</t>
  </si>
  <si>
    <t>GIE COOPERATIVE DES JEUNES DE MALIKA (COJEMA) (100%)</t>
  </si>
  <si>
    <t>10.1915 Ha</t>
  </si>
  <si>
    <t>Demande N° 11534</t>
  </si>
  <si>
    <t>Keur Samba Kane</t>
  </si>
  <si>
    <t>Demande N° 11535</t>
  </si>
  <si>
    <t>Diass, toglou</t>
  </si>
  <si>
    <t>Metre carre Construction- SASU  (100%)</t>
  </si>
  <si>
    <t>4.6284 Ha</t>
  </si>
  <si>
    <t>Demande N° 11536</t>
  </si>
  <si>
    <t>Mbel Méo, Tattaguine</t>
  </si>
  <si>
    <t>GIE LIGGUEY BUNU BOKOU</t>
  </si>
  <si>
    <t>4.5841 Ha</t>
  </si>
  <si>
    <t>Demande N° 11537</t>
  </si>
  <si>
    <t>Koungeul</t>
  </si>
  <si>
    <t>28.6750 Ha</t>
  </si>
  <si>
    <t>Demande N° 11538</t>
  </si>
  <si>
    <t>BAYAH</t>
  </si>
  <si>
    <t>GASSAMA BA SECKOU (100%)</t>
  </si>
  <si>
    <t>3.0226 Ha</t>
  </si>
  <si>
    <t>Demande N° 11539</t>
  </si>
  <si>
    <t>Darou Salam Mboup Wakeur Serigne Mory SUARL</t>
  </si>
  <si>
    <t>Demande N° 11540</t>
  </si>
  <si>
    <t>tomboronkoto</t>
  </si>
  <si>
    <t>3.1867 Ha</t>
  </si>
  <si>
    <t>Demande N° 11541</t>
  </si>
  <si>
    <t>7.5719 Ha</t>
  </si>
  <si>
    <t>Demande N° 11542</t>
  </si>
  <si>
    <t>TERANGA COMPAGNIE PLUS SARL (100%)</t>
  </si>
  <si>
    <t>49.9061 Ha</t>
  </si>
  <si>
    <t>Demande N° 11543</t>
  </si>
  <si>
    <t>GIE FAGOU (100%)</t>
  </si>
  <si>
    <t>47.4656 Ha</t>
  </si>
  <si>
    <t>Demande N° 11544</t>
  </si>
  <si>
    <t>ETABLISSEMENT SEGA ET FRERES (100%)</t>
  </si>
  <si>
    <t>Demande N° 11545</t>
  </si>
  <si>
    <t>49.6490 Ha</t>
  </si>
  <si>
    <t>Demande N° 11547</t>
  </si>
  <si>
    <t xml:space="preserve">Sénégalaise des Mines et des Transports SEMITRAS SUARL </t>
  </si>
  <si>
    <t>Demande N° 11550</t>
  </si>
  <si>
    <t>49.8513 Ha</t>
  </si>
  <si>
    <t>Demande N° 11555</t>
  </si>
  <si>
    <t>GIE IBRAHIMA DIALLO (100%)</t>
  </si>
  <si>
    <t>21.6348 Ha</t>
  </si>
  <si>
    <t>Demande N° 11556</t>
  </si>
  <si>
    <t>Demande N° 11557</t>
  </si>
  <si>
    <t>0.4379 km²</t>
  </si>
  <si>
    <t>Demande N° 11558</t>
  </si>
  <si>
    <t>BASALT &amp; GRANULAT SENEGAL SUARL</t>
  </si>
  <si>
    <t>0.6586 km²</t>
  </si>
  <si>
    <t>Demande N° 11559</t>
  </si>
  <si>
    <t>GEOTEC SARL</t>
  </si>
  <si>
    <t>39.9992 Ha</t>
  </si>
  <si>
    <t>Demande N° 11560</t>
  </si>
  <si>
    <t>Demande N° 11561</t>
  </si>
  <si>
    <t>78.5408 Ha</t>
  </si>
  <si>
    <t>Demande N° 11564</t>
  </si>
  <si>
    <t>Demande N° 11565</t>
  </si>
  <si>
    <t>Demande N° 11566</t>
  </si>
  <si>
    <t>50.4120 Ha</t>
  </si>
  <si>
    <t>Demande N° 11567</t>
  </si>
  <si>
    <t>24.9571 Ha</t>
  </si>
  <si>
    <t>Demande N° 11568</t>
  </si>
  <si>
    <t xml:space="preserve">Cayar, Xaay WERU </t>
  </si>
  <si>
    <t xml:space="preserve">S&amp;S INDUSTRIAL CO. LTD - SAS </t>
  </si>
  <si>
    <t>20.0040 Ha</t>
  </si>
  <si>
    <t>Demande N° 11569</t>
  </si>
  <si>
    <t>Cayar, Xaay-Weru</t>
  </si>
  <si>
    <t>S&amp;S INDUSTRIAL CO. LTD - SAS</t>
  </si>
  <si>
    <t>3.0002 Ha</t>
  </si>
  <si>
    <t>Demande N° 11570</t>
  </si>
  <si>
    <t>6.1239 Ha</t>
  </si>
  <si>
    <t>Demande N° 11571</t>
  </si>
  <si>
    <t>GANDIOL</t>
  </si>
  <si>
    <t>SUNU RESSOURCES MINING - SAS (100%)</t>
  </si>
  <si>
    <t>101.0814 km²</t>
  </si>
  <si>
    <t>Demande N° 11572</t>
  </si>
  <si>
    <t>kanel</t>
  </si>
  <si>
    <t>EREM SARL (100%)</t>
  </si>
  <si>
    <t>13.2717 Ha</t>
  </si>
  <si>
    <t>Demande N° 11573</t>
  </si>
  <si>
    <t>ETS SANDE MBAYE ET FRERE (100%)</t>
  </si>
  <si>
    <t>29.8475 Ha</t>
  </si>
  <si>
    <t>Demande N° 11574</t>
  </si>
  <si>
    <t>thicky</t>
  </si>
  <si>
    <t>19.2154 Ha</t>
  </si>
  <si>
    <t>Demande N° 11575</t>
  </si>
  <si>
    <t>40.0228 Ha</t>
  </si>
  <si>
    <t>Demande N° 11576</t>
  </si>
  <si>
    <t>keur gallo kebe</t>
  </si>
  <si>
    <t>GIE REGROUPEMENT DES CHAUFFEURS BENNE DE TIVAOUANE (100%)</t>
  </si>
  <si>
    <t>19.6451 Ha</t>
  </si>
  <si>
    <t>Demande N° 11577</t>
  </si>
  <si>
    <t>FOULOUM</t>
  </si>
  <si>
    <t>GENERAL TRANSPORT &amp; SCE  (100%)</t>
  </si>
  <si>
    <t>26.3332 Ha</t>
  </si>
  <si>
    <t>Demande N° 11578</t>
  </si>
  <si>
    <t>keur mabaly</t>
  </si>
  <si>
    <t>ENTREPRISE WAKEUR BOROME GAWANE (100%)</t>
  </si>
  <si>
    <t>5.0606 Ha</t>
  </si>
  <si>
    <t>Demande N° 11580</t>
  </si>
  <si>
    <t>42.2841 Ha</t>
  </si>
  <si>
    <t>Demande N° 11581</t>
  </si>
  <si>
    <t>SIMPANPOU</t>
  </si>
  <si>
    <t>11.1229 Ha</t>
  </si>
  <si>
    <t>Demande N° 11582</t>
  </si>
  <si>
    <t>4.2276 km²</t>
  </si>
  <si>
    <t>Demande N° 11583</t>
  </si>
  <si>
    <t>MN MINING SASU EXPLOITATION MINIERE</t>
  </si>
  <si>
    <t>128.1008 Ha</t>
  </si>
  <si>
    <t>Demande N° 11584</t>
  </si>
  <si>
    <t>2.0840 km²</t>
  </si>
  <si>
    <t>Demande N° 11585</t>
  </si>
  <si>
    <t>13.2050 Ha</t>
  </si>
  <si>
    <t>Demande N° 11586</t>
  </si>
  <si>
    <t>Yène</t>
  </si>
  <si>
    <t>17.2062 Ha</t>
  </si>
  <si>
    <t>Demande N° 11587</t>
  </si>
  <si>
    <t>Ndiébène Gandiole</t>
  </si>
  <si>
    <t>LEYDI SERVICES - SARL (100%)</t>
  </si>
  <si>
    <t>1.0554 Ha</t>
  </si>
  <si>
    <t>Demande N° 11588</t>
  </si>
  <si>
    <t xml:space="preserve">Mbengue Alle </t>
  </si>
  <si>
    <t>1.6763 Ha</t>
  </si>
  <si>
    <t>Demande N° 11589</t>
  </si>
  <si>
    <t>6.1425 Ha</t>
  </si>
  <si>
    <t>Demande N° 11590</t>
  </si>
  <si>
    <t>kagnack</t>
  </si>
  <si>
    <t>SALOUM TRADING SERVICES SARL (100%)</t>
  </si>
  <si>
    <t>3.2905 Ha</t>
  </si>
  <si>
    <t>Demande N° 11593</t>
  </si>
  <si>
    <t>Demande N° 11594</t>
  </si>
  <si>
    <t>DIAKANCO MULTIMEDIA DESIGN (100%)</t>
  </si>
  <si>
    <t>1.0066 Ha</t>
  </si>
  <si>
    <t>Demande N° 11595</t>
  </si>
  <si>
    <t>47.9591 Ha</t>
  </si>
  <si>
    <t>Demande N° 11596</t>
  </si>
  <si>
    <t xml:space="preserve">Foret classée de Thiès </t>
  </si>
  <si>
    <t>OBH SASU</t>
  </si>
  <si>
    <t>50.0566 Ha</t>
  </si>
  <si>
    <t>Demande N° 11597</t>
  </si>
  <si>
    <t>SOCIETE DE DEVELOPPEMENT D'INVESTISSEMENT ET DE SERVICES (100%)</t>
  </si>
  <si>
    <t>1.2463 Ha</t>
  </si>
  <si>
    <t>Demande N° 11598</t>
  </si>
  <si>
    <t>Ngendouf, Bambilor</t>
  </si>
  <si>
    <t>2.3625 Ha</t>
  </si>
  <si>
    <t>Demande N° 11599</t>
  </si>
  <si>
    <t>20.2000 Ha</t>
  </si>
  <si>
    <t>Demande N° 11600</t>
  </si>
  <si>
    <t>1.0000 Ha</t>
  </si>
  <si>
    <t>Demande N° 11601</t>
  </si>
  <si>
    <t xml:space="preserve">Lam lam </t>
  </si>
  <si>
    <t>187.0000 Ha</t>
  </si>
  <si>
    <t>Demande N° 11602</t>
  </si>
  <si>
    <t>OBH SASU (100%)</t>
  </si>
  <si>
    <t>50.1120 Ha</t>
  </si>
  <si>
    <t>Demande N° 11604</t>
  </si>
  <si>
    <t>EMAN TRADING SASU</t>
  </si>
  <si>
    <t>0.5484 km²</t>
  </si>
  <si>
    <t>Demande N° 11605</t>
  </si>
  <si>
    <t>EMAN TRADING SASU (100%)</t>
  </si>
  <si>
    <t>46.4700 km²</t>
  </si>
  <si>
    <t>Demande N° 11606</t>
  </si>
  <si>
    <t>3.2491 Ha</t>
  </si>
  <si>
    <t>Demande N° 11607</t>
  </si>
  <si>
    <t>CIMENTS DE L'AFRIQUE SENEGAL SA (100%)</t>
  </si>
  <si>
    <t>98.8533 Ha</t>
  </si>
  <si>
    <t>Demande N° 11608</t>
  </si>
  <si>
    <t>SOCIETE CIVILE LANSAR (100%)</t>
  </si>
  <si>
    <t>6.5428 Ha</t>
  </si>
  <si>
    <t>Demande N° 11609</t>
  </si>
  <si>
    <t>MAILITHEN SUARL (100%)</t>
  </si>
  <si>
    <t>5.0314 km²</t>
  </si>
  <si>
    <t>Demande N° 11611</t>
  </si>
  <si>
    <t>GEOTEC SARL (100%)</t>
  </si>
  <si>
    <t>Demande N° 11612</t>
  </si>
  <si>
    <t>GIE NGOUDOUDJI (100%)</t>
  </si>
  <si>
    <t>9.4950 Ha</t>
  </si>
  <si>
    <t>Demande N° 11614</t>
  </si>
  <si>
    <t>Demande N° 11616</t>
  </si>
  <si>
    <t>MAKA BELEL</t>
  </si>
  <si>
    <t>9.6678 Ha</t>
  </si>
  <si>
    <t>Demande N° 11617</t>
  </si>
  <si>
    <t>3.8311 Ha</t>
  </si>
  <si>
    <t>Demande N° 11618</t>
  </si>
  <si>
    <t>Demande N° 11619</t>
  </si>
  <si>
    <t>7.5428 Ha</t>
  </si>
  <si>
    <t>Demande N° 11620</t>
  </si>
  <si>
    <t>5.5873 Ha</t>
  </si>
  <si>
    <t>Demande N° 11621</t>
  </si>
  <si>
    <t>4.8001 Ha</t>
  </si>
  <si>
    <t>Demande N° 11622</t>
  </si>
  <si>
    <t>Demande N° 11623</t>
  </si>
  <si>
    <t>GUEYE ASSANE (100%)</t>
  </si>
  <si>
    <t>2.3379 Ha</t>
  </si>
  <si>
    <t>Demande N° 11624</t>
  </si>
  <si>
    <t>42.7718 Ha</t>
  </si>
  <si>
    <t>Demande N° 11625</t>
  </si>
  <si>
    <t>NIANG KHALIFA (100%)</t>
  </si>
  <si>
    <t>1.5344 Ha</t>
  </si>
  <si>
    <t>Demande N° 11626</t>
  </si>
  <si>
    <t>30.4005 Ha</t>
  </si>
  <si>
    <t>Demande N° 11627</t>
  </si>
  <si>
    <t>42.7200 Ha</t>
  </si>
  <si>
    <t>Demande N° 11628</t>
  </si>
  <si>
    <t>50.3390 Ha</t>
  </si>
  <si>
    <t>Demande N° 11629</t>
  </si>
  <si>
    <t>49.2803 Ha</t>
  </si>
  <si>
    <t>Demande N° 11630</t>
  </si>
  <si>
    <t>19.9811 Ha</t>
  </si>
  <si>
    <t>Demande N° 11631</t>
  </si>
  <si>
    <t>DENIS BIRAME NDAO</t>
  </si>
  <si>
    <t>COOPERATIVE D'HABITAT ET DE CONSTRUCTION LA SAMARITAINE (100%)</t>
  </si>
  <si>
    <t>1.3379 Ha</t>
  </si>
  <si>
    <t>Demande N° 11633</t>
  </si>
  <si>
    <t>0.6821 km²</t>
  </si>
  <si>
    <t>Demande N° 11634</t>
  </si>
  <si>
    <t>0.9836 km²</t>
  </si>
  <si>
    <t>Demande N° 11635</t>
  </si>
  <si>
    <t>3.0245 Ha</t>
  </si>
  <si>
    <t>Demande N° 11637</t>
  </si>
  <si>
    <t>TENGHORY</t>
  </si>
  <si>
    <t>TRANSPORT NAR GAYE SUARL (100%)</t>
  </si>
  <si>
    <t>8.0015 Ha</t>
  </si>
  <si>
    <t>Demande N° 11638</t>
  </si>
  <si>
    <t>Noumoufokha</t>
  </si>
  <si>
    <t>469.7128 km²</t>
  </si>
  <si>
    <t>Demande N° 11639</t>
  </si>
  <si>
    <t>1.6376 Ha</t>
  </si>
  <si>
    <t>Demande N° 11640</t>
  </si>
  <si>
    <t>KEUR NDOYE</t>
  </si>
  <si>
    <t>1.8125 Ha</t>
  </si>
  <si>
    <t>Demande N° 11641</t>
  </si>
  <si>
    <t>49.7930 Ha</t>
  </si>
  <si>
    <t>Demande N° 11642</t>
  </si>
  <si>
    <t>TAIF</t>
  </si>
  <si>
    <t>3.2904 Ha</t>
  </si>
  <si>
    <t>Demande N° 11643</t>
  </si>
  <si>
    <t>NGATHIE NAOUDE</t>
  </si>
  <si>
    <t>16.1995 Ha</t>
  </si>
  <si>
    <t>Demande N° 11644</t>
  </si>
  <si>
    <t>Demande N° 11645</t>
  </si>
  <si>
    <t>WEKHE</t>
  </si>
  <si>
    <t>Demande N° 11646</t>
  </si>
  <si>
    <t>Ber Thialane</t>
  </si>
  <si>
    <t>3.4026 Ha</t>
  </si>
  <si>
    <t>Demande N° 11651</t>
  </si>
  <si>
    <t>1.2370 Ha</t>
  </si>
  <si>
    <t>Demande N° 11653</t>
  </si>
  <si>
    <t>DALABA</t>
  </si>
  <si>
    <t>5.0769 km²</t>
  </si>
  <si>
    <t>Demande N° 11654</t>
  </si>
  <si>
    <t>GOLDEN KADIOR SAS (100%)</t>
  </si>
  <si>
    <t>36.3769 km²</t>
  </si>
  <si>
    <t>Demande N° 11655</t>
  </si>
  <si>
    <t>MIPTEC SAS (100%)</t>
  </si>
  <si>
    <t>Demande N° 11656</t>
  </si>
  <si>
    <t xml:space="preserve">OUEST MADINA
</t>
  </si>
  <si>
    <t>SAHAD COMPAGNY SARL (100%)</t>
  </si>
  <si>
    <t>4.2594 km²</t>
  </si>
  <si>
    <t>Demande N° 11657</t>
  </si>
  <si>
    <t>CALCAIRE</t>
  </si>
  <si>
    <t>Demande N° 11660</t>
  </si>
  <si>
    <t>SAROUDIA</t>
  </si>
  <si>
    <t>110.2124 km²</t>
  </si>
  <si>
    <t>Demande N° 11662</t>
  </si>
  <si>
    <t>6.2913 km²</t>
  </si>
  <si>
    <t>Demande N° 11663</t>
  </si>
  <si>
    <t>Medina Foulbé</t>
  </si>
  <si>
    <t>Demande N° 11664</t>
  </si>
  <si>
    <t>Samekouta 1</t>
  </si>
  <si>
    <t>Demande N° 11665</t>
  </si>
  <si>
    <t>Demande N° 11666</t>
  </si>
  <si>
    <t>LES GRANDS TRAVAUX DE GOUNASS SARL</t>
  </si>
  <si>
    <t>47.3139 Ha</t>
  </si>
  <si>
    <t>Demande N° 11667</t>
  </si>
  <si>
    <t>SUD DIAKHABA</t>
  </si>
  <si>
    <t>HINDOR SUARL (100%)</t>
  </si>
  <si>
    <t>28.5435 km²</t>
  </si>
  <si>
    <t>Demande N° 11668</t>
  </si>
  <si>
    <t>GIE BOUSANKO GOLD</t>
  </si>
  <si>
    <t>49.0902 Ha</t>
  </si>
  <si>
    <t>Demande N° 11669</t>
  </si>
  <si>
    <t>GIE NIMZATH MULTISERVICES GOLD BUSINESS (100%)</t>
  </si>
  <si>
    <t>Demande N° 11670</t>
  </si>
  <si>
    <t>40.6900 Ha</t>
  </si>
  <si>
    <t>Demande N° 11671</t>
  </si>
  <si>
    <t>Djindjin bassari 2</t>
  </si>
  <si>
    <t>GOLD MINING PROCESS  SARL</t>
  </si>
  <si>
    <t>49.9680 Ha</t>
  </si>
  <si>
    <t>Demande N° 11672</t>
  </si>
  <si>
    <t>Diaguiri</t>
  </si>
  <si>
    <t>IMPROVE SENEGAL SAS</t>
  </si>
  <si>
    <t>48.9465 Ha</t>
  </si>
  <si>
    <t>Demande N° 11673</t>
  </si>
  <si>
    <t>52.7867 Ha</t>
  </si>
  <si>
    <t>Demande N° 11674</t>
  </si>
  <si>
    <t>47.2972 Ha</t>
  </si>
  <si>
    <t>Demande N° 11675</t>
  </si>
  <si>
    <t>HOLDING TOUBA KHELCOM</t>
  </si>
  <si>
    <t>30.3865 Ha</t>
  </si>
  <si>
    <t>Demande N° 11676</t>
  </si>
  <si>
    <t>41.4854 Ha</t>
  </si>
  <si>
    <t>Demande N° 11677</t>
  </si>
  <si>
    <t>41.2466 Ha</t>
  </si>
  <si>
    <t>Demande N° 11678</t>
  </si>
  <si>
    <t>Fadougou</t>
  </si>
  <si>
    <t>ANDA TRANSIT SARL</t>
  </si>
  <si>
    <t>Demande N° 11679</t>
  </si>
  <si>
    <t>HALWAAR MINES (100%)</t>
  </si>
  <si>
    <t>48.9072 Ha</t>
  </si>
  <si>
    <t>Demande N° 11680</t>
  </si>
  <si>
    <t xml:space="preserve">LAMCO INDUSTRIE ET SERVICES </t>
  </si>
  <si>
    <t>31.1201 Ha</t>
  </si>
  <si>
    <t>Demande N° 11681</t>
  </si>
  <si>
    <t>4.8577 Ha</t>
  </si>
  <si>
    <t>Demande N° 11682</t>
  </si>
  <si>
    <t>BAB ET FILS</t>
  </si>
  <si>
    <t>49.7737 Ha</t>
  </si>
  <si>
    <t>Demande N° 11683</t>
  </si>
  <si>
    <t>54.2705 Ha</t>
  </si>
  <si>
    <t>Demande N° 11684</t>
  </si>
  <si>
    <t>Demande N° 11685</t>
  </si>
  <si>
    <t>Demande N° 11686</t>
  </si>
  <si>
    <t>Demande N° 11687</t>
  </si>
  <si>
    <t>Demande N° 11688</t>
  </si>
  <si>
    <t>Demande N° 11689</t>
  </si>
  <si>
    <t>31.2361 Ha</t>
  </si>
  <si>
    <t>Demande N° 11690</t>
  </si>
  <si>
    <t>1.3082 Ha</t>
  </si>
  <si>
    <t>Demande N° 11691</t>
  </si>
  <si>
    <t>MATAM</t>
  </si>
  <si>
    <t>71.3686 Ha</t>
  </si>
  <si>
    <t>Demande N° 11692</t>
  </si>
  <si>
    <t>DENDEYE GOUY GUI</t>
  </si>
  <si>
    <t>5.1077 Ha</t>
  </si>
  <si>
    <t>Demande N° 11693</t>
  </si>
  <si>
    <t>2.0925 Ha</t>
  </si>
  <si>
    <t>Demande N° 11694</t>
  </si>
  <si>
    <t>Nber, Diender</t>
  </si>
  <si>
    <t>GASSAMA BA SECKOU</t>
  </si>
  <si>
    <t>2.6784 Ha</t>
  </si>
  <si>
    <t>Demande N° 11695</t>
  </si>
  <si>
    <t>0.7120 Ha</t>
  </si>
  <si>
    <t>Demande N° 11696</t>
  </si>
  <si>
    <t>NIANI TOUCOULEUR</t>
  </si>
  <si>
    <t>I-CONS (100%)</t>
  </si>
  <si>
    <t>3.3167 Ha</t>
  </si>
  <si>
    <t>Demande N° 11697</t>
  </si>
  <si>
    <t>FALL INVESTISSEMENT &amp; COMPAGNIE SUARL (100%)</t>
  </si>
  <si>
    <t>6.4328 Ha</t>
  </si>
  <si>
    <t>Demande N° 11698</t>
  </si>
  <si>
    <t>popenguine</t>
  </si>
  <si>
    <t>12.9888 Ha</t>
  </si>
  <si>
    <t>Demande N° 11699</t>
  </si>
  <si>
    <t>notto</t>
  </si>
  <si>
    <t>1.7985 Ha</t>
  </si>
  <si>
    <t>Demande N° 11700</t>
  </si>
  <si>
    <t>tassette</t>
  </si>
  <si>
    <t>0.9953 Ha</t>
  </si>
  <si>
    <t>Demande N° 11701</t>
  </si>
  <si>
    <t>Pambal, Tivaouane</t>
  </si>
  <si>
    <t>COMPAGNIE SAHELIENNE D'ENTREPRISE GRANULATS</t>
  </si>
  <si>
    <t>26.4990 Ha</t>
  </si>
  <si>
    <t>Demande N° 11702</t>
  </si>
  <si>
    <t>Kaniack, Bambilor</t>
  </si>
  <si>
    <t>DIALLO BOUBACAR</t>
  </si>
  <si>
    <t>2.4056 Ha</t>
  </si>
  <si>
    <t>Demande N° 11703</t>
  </si>
  <si>
    <t>27.1930 Ha</t>
  </si>
  <si>
    <t>Demande N° 11704</t>
  </si>
  <si>
    <t>Saraya, Kedoufou</t>
  </si>
  <si>
    <t>Société Sénégalaise de Prestations et des Mines</t>
  </si>
  <si>
    <t>12.4800 Ha</t>
  </si>
  <si>
    <t>Demande N° 11705</t>
  </si>
  <si>
    <t>Koungueul</t>
  </si>
  <si>
    <t>3.5069 Ha</t>
  </si>
  <si>
    <t>Demande N° 11706</t>
  </si>
  <si>
    <t xml:space="preserve">Metre carre Construction- SASU </t>
  </si>
  <si>
    <t>1.9022 Ha</t>
  </si>
  <si>
    <t>Demande N° 11707</t>
  </si>
  <si>
    <t>SOW GAYOU</t>
  </si>
  <si>
    <t>1.8001 Ha</t>
  </si>
  <si>
    <t>Demande N° 11708</t>
  </si>
  <si>
    <t>Koungheul</t>
  </si>
  <si>
    <t>1.6906 Ha</t>
  </si>
  <si>
    <t>Demande N° 11709</t>
  </si>
  <si>
    <t>Dendeye</t>
  </si>
  <si>
    <t>GUEYE MODOU (DAROU SALAM TRANSPORTEUR)</t>
  </si>
  <si>
    <t>8.0889 Ha</t>
  </si>
  <si>
    <t>Demande N° 11710</t>
  </si>
  <si>
    <t>20.5664 Ha</t>
  </si>
  <si>
    <t>Demande N° 11711</t>
  </si>
  <si>
    <t>TOBOMRONKOTO</t>
  </si>
  <si>
    <t>Demande N° 11712</t>
  </si>
  <si>
    <t xml:space="preserve">DIOP ABDOU AZIZ </t>
  </si>
  <si>
    <t>1.6400 Ha</t>
  </si>
  <si>
    <t>Demande N° 11713</t>
  </si>
  <si>
    <t>Khassaguiri</t>
  </si>
  <si>
    <t>GIE TIMINANDIYA</t>
  </si>
  <si>
    <t>50.1942 Ha</t>
  </si>
  <si>
    <t>Demande N° 11714</t>
  </si>
  <si>
    <t>Sémékouta</t>
  </si>
  <si>
    <t>COMPTOIR COMMERCIAL LA SOLUTION SUARL</t>
  </si>
  <si>
    <t>Demande N° 11715</t>
  </si>
  <si>
    <t>ENTREPRISE DE TRANSPORT ET DE COMMERCE</t>
  </si>
  <si>
    <t>2.0483 Ha</t>
  </si>
  <si>
    <t>Demande N° 11716</t>
  </si>
  <si>
    <t>Faranding 3</t>
  </si>
  <si>
    <t>50.0500 Ha</t>
  </si>
  <si>
    <t>Demande N° 11717</t>
  </si>
  <si>
    <t>Demande N° 11718</t>
  </si>
  <si>
    <t>GUEYE ET FRERES THIORO TRANSPORT-GF2T</t>
  </si>
  <si>
    <t>2.0702 Ha</t>
  </si>
  <si>
    <t>Demande N° 11719</t>
  </si>
  <si>
    <t>SARAYA MINES INTERNATIONAL  SARL</t>
  </si>
  <si>
    <t>19.4396 Ha</t>
  </si>
  <si>
    <t>Demande N° 11720</t>
  </si>
  <si>
    <t>SOCIETE DE  TRAVAUX ET DE COMMERCE -SA (100%)</t>
  </si>
  <si>
    <t>Demande N° 11721</t>
  </si>
  <si>
    <t>Tiankoumbassa-Sud</t>
  </si>
  <si>
    <t>MAILITHEN SARL (100%)</t>
  </si>
  <si>
    <t>Demande N° 11722</t>
  </si>
  <si>
    <t>Wassangaran</t>
  </si>
  <si>
    <t>ETABLISSEMENT ADAMA ET FRERES</t>
  </si>
  <si>
    <t>41.4979 Ha</t>
  </si>
  <si>
    <t>Demande N° 11723</t>
  </si>
  <si>
    <t>Lingokhoto</t>
  </si>
  <si>
    <t>ETABLISSEMENT ADAMA ET FRERES (100%)</t>
  </si>
  <si>
    <t>30.6997 Ha</t>
  </si>
  <si>
    <t>Demande N° 11724</t>
  </si>
  <si>
    <t>Tiankoumbassa-Nord</t>
  </si>
  <si>
    <t>MAILITHEN SARL</t>
  </si>
  <si>
    <t>Demande N° 11725</t>
  </si>
  <si>
    <t>26.4801 Ha</t>
  </si>
  <si>
    <t>Demande N° 11726</t>
  </si>
  <si>
    <t>33.9637 Ha</t>
  </si>
  <si>
    <t>Demande N° 11727</t>
  </si>
  <si>
    <t>1.7331 Ha</t>
  </si>
  <si>
    <t>Demande N° 11728</t>
  </si>
  <si>
    <t>11.4031 Ha</t>
  </si>
  <si>
    <t>Demande N° 11729</t>
  </si>
  <si>
    <t>NORD KOULOUNTOU</t>
  </si>
  <si>
    <t>BAOBAB GOLD SARL (100%)</t>
  </si>
  <si>
    <t>26.5461 km²</t>
  </si>
  <si>
    <t>Demande N° 11730</t>
  </si>
  <si>
    <t>44.6817 Ha</t>
  </si>
  <si>
    <t>Demande N° 11731</t>
  </si>
  <si>
    <t>40.6240 Ha</t>
  </si>
  <si>
    <t>Demande N° 11732</t>
  </si>
  <si>
    <t>48.8854 Ha</t>
  </si>
  <si>
    <t>Demande N° 11733</t>
  </si>
  <si>
    <t>42.2753 Ha</t>
  </si>
  <si>
    <t>Demande N° 11737</t>
  </si>
  <si>
    <t>test</t>
  </si>
  <si>
    <t>168,137.0762 Ha</t>
  </si>
  <si>
    <t>Demande N° 11740</t>
  </si>
  <si>
    <t>NORD KANOUMERING</t>
  </si>
  <si>
    <t>SEN JINHUI MINERAL (100%)</t>
  </si>
  <si>
    <t>47.3000 Ha</t>
  </si>
  <si>
    <t>Demande N° 11741</t>
  </si>
  <si>
    <t>Sud-Ouest Tiankoun Bassadie</t>
  </si>
  <si>
    <t>Demande N° 11746</t>
  </si>
  <si>
    <t>Marounding Nord</t>
  </si>
  <si>
    <t>GALAM SA (100%)</t>
  </si>
  <si>
    <t>Demande N° 11750</t>
  </si>
  <si>
    <t>2.9900 Ha</t>
  </si>
  <si>
    <t>Demande N° 11752</t>
  </si>
  <si>
    <t>HOLDING GUEYE SA (100%)</t>
  </si>
  <si>
    <t>34.9959 Ha</t>
  </si>
  <si>
    <t>Demande N° 11756</t>
  </si>
  <si>
    <t>4.4008 Ha</t>
  </si>
  <si>
    <t>Demande N° 11759</t>
  </si>
  <si>
    <t>15.0072 Ha</t>
  </si>
  <si>
    <t>Demande N° 11760</t>
  </si>
  <si>
    <t xml:space="preserve">Commune :Ribot Escale ,Médina Mouna Wara , EGL 15 (PK21+425 C/G) : 
Volume prévisionnel de matériaux à extraire : 3675,5 m3 </t>
  </si>
  <si>
    <t>5.3824 Ha</t>
  </si>
  <si>
    <t>Demande N° 11761</t>
  </si>
  <si>
    <t>6.0103 Ha</t>
  </si>
  <si>
    <t>Demande N° 11762</t>
  </si>
  <si>
    <t>Commune  : Saly Escale , EGL8 (PK26+200 Côté Gauche )</t>
  </si>
  <si>
    <t>8.1225 Ha</t>
  </si>
  <si>
    <t>Demande N° 11765</t>
  </si>
  <si>
    <t>MAIRIE DE LA COMMUNE DE KATHIOTTE  (100%)</t>
  </si>
  <si>
    <t>29.8003 Ha</t>
  </si>
  <si>
    <t>Demande N° 11766</t>
  </si>
  <si>
    <t>33.0000 Ha</t>
  </si>
  <si>
    <t>Demande N° 11767</t>
  </si>
  <si>
    <t>17.2822 Ha</t>
  </si>
  <si>
    <t>Demande N° 11768</t>
  </si>
  <si>
    <t>14.0625 Ha</t>
  </si>
  <si>
    <t>Demande N° 11769</t>
  </si>
  <si>
    <t>18.3260 Ha</t>
  </si>
  <si>
    <t>Demande N° 11770</t>
  </si>
  <si>
    <t>17.7144 Ha</t>
  </si>
  <si>
    <t>Demande N° 11771</t>
  </si>
  <si>
    <t>Commune  : Ribot Escale , ESR 1 (PK33+200 CG )</t>
  </si>
  <si>
    <t>3.5000 Ha</t>
  </si>
  <si>
    <t>Demande N° 11772</t>
  </si>
  <si>
    <t xml:space="preserve">Ribot Escale  Ribot Escale/Thiakhat , ESR 1 (PK31+400) </t>
  </si>
  <si>
    <t>Ag, Argile, argile industrielle, attapulgite, Au, Ba, basalte, Bauxite, calcaire, Col, Cr, Cu, diama</t>
  </si>
  <si>
    <t>9.9900 Ha</t>
  </si>
  <si>
    <t>Demande N° 11773</t>
  </si>
  <si>
    <t>SOCIETE ARHAS SARL (100%)</t>
  </si>
  <si>
    <t>49.1511 Ha</t>
  </si>
  <si>
    <t>Demande N° 11774</t>
  </si>
  <si>
    <t>36.7267 Ha</t>
  </si>
  <si>
    <t>Demande N° 11775</t>
  </si>
  <si>
    <t>50.1897 Ha</t>
  </si>
  <si>
    <t>Demande N° 11780</t>
  </si>
  <si>
    <t>0.3109 km²</t>
  </si>
  <si>
    <t>Demande N° 11783</t>
  </si>
  <si>
    <t>AD GOLD SAS (100%)</t>
  </si>
  <si>
    <t>49.7856 Ha</t>
  </si>
  <si>
    <t>Demande N° 11785</t>
  </si>
  <si>
    <t>48.4295 Ha</t>
  </si>
  <si>
    <t>Demande N° 11787</t>
  </si>
  <si>
    <t>2.4600 Ha</t>
  </si>
  <si>
    <t>Demande N° 11790</t>
  </si>
  <si>
    <t>UNION GOLD SENEGAL SARL (100%)</t>
  </si>
  <si>
    <t>48.9600 Ha</t>
  </si>
  <si>
    <t>Demande N° 11791</t>
  </si>
  <si>
    <t>DIOURA BA</t>
  </si>
  <si>
    <t>AMICALE DES ORPAILLEURS DE KEDOUGOU  SARL (100%)</t>
  </si>
  <si>
    <t>Demande N° 11797</t>
  </si>
  <si>
    <t>0.0470 km²</t>
  </si>
  <si>
    <t>Demande N° 11799</t>
  </si>
  <si>
    <t>1.1611 Ha</t>
  </si>
  <si>
    <t>Demande N° 11801</t>
  </si>
  <si>
    <t>1.5540 Ha</t>
  </si>
  <si>
    <t>Demande N° 11802</t>
  </si>
  <si>
    <t>DIOURA FOLO</t>
  </si>
  <si>
    <t>Demande N° 11803</t>
  </si>
  <si>
    <t>DIOURA NDING</t>
  </si>
  <si>
    <t>49.9992 Ha</t>
  </si>
  <si>
    <t>Demande N° 11804</t>
  </si>
  <si>
    <t>Popenguine-Ndayane</t>
  </si>
  <si>
    <t>23.3779 Ha</t>
  </si>
  <si>
    <t>Demande N° 11806</t>
  </si>
  <si>
    <t>3.0954 Ha</t>
  </si>
  <si>
    <t>Demande N° 11808</t>
  </si>
  <si>
    <t>SEN-HMC MINING SUARL</t>
  </si>
  <si>
    <t>2,368.6457 km²</t>
  </si>
  <si>
    <t>Demande N° 11811</t>
  </si>
  <si>
    <t>LES MINES DE LA LUMIERE (100%)</t>
  </si>
  <si>
    <t>Demande N° 11812</t>
  </si>
  <si>
    <t>SOCIETE ENTREPRISE HOUAR SA (100%)</t>
  </si>
  <si>
    <t>16.8493 Ha</t>
  </si>
  <si>
    <t>Demande N° 11813</t>
  </si>
  <si>
    <t>4.9073 Ha</t>
  </si>
  <si>
    <t>Demande N° 11814</t>
  </si>
  <si>
    <t>4.5592 Ha</t>
  </si>
  <si>
    <t>Demande N° 11821</t>
  </si>
  <si>
    <t xml:space="preserve">Diender </t>
  </si>
  <si>
    <t>11.2864 Ha</t>
  </si>
  <si>
    <t>Demande N° 11823</t>
  </si>
  <si>
    <t>Diembering</t>
  </si>
  <si>
    <t>0.4468 Ha</t>
  </si>
  <si>
    <t>Demande N° 11824</t>
  </si>
  <si>
    <t>Demande N° 11825</t>
  </si>
  <si>
    <t>Demande N° 11826</t>
  </si>
  <si>
    <t xml:space="preserve">TASSETTE </t>
  </si>
  <si>
    <t>5.8619 Ha</t>
  </si>
  <si>
    <t>Demande N° 11827</t>
  </si>
  <si>
    <t>Demande N° 11829</t>
  </si>
  <si>
    <t>Demande N° 11830</t>
  </si>
  <si>
    <t>Demande N° 11832</t>
  </si>
  <si>
    <t>49.0002 Ha</t>
  </si>
  <si>
    <t>Demande N° 11833</t>
  </si>
  <si>
    <t>49.1321 Ha</t>
  </si>
  <si>
    <t>Demande N° 11836</t>
  </si>
  <si>
    <t xml:space="preserve">Périmètre 4 </t>
  </si>
  <si>
    <t>44.6291 Ha</t>
  </si>
  <si>
    <t>Demande N° 11843</t>
  </si>
  <si>
    <t>COMMUNE DE NYASSIA (100%)</t>
  </si>
  <si>
    <t>5.0844 Ha</t>
  </si>
  <si>
    <t>Demande N° 11844</t>
  </si>
  <si>
    <t>4.3833 Ha</t>
  </si>
  <si>
    <t>Demande N° 11851</t>
  </si>
  <si>
    <t>Demande N° 11852</t>
  </si>
  <si>
    <t>Demande N° 11854</t>
  </si>
  <si>
    <t>8.8550 Ha</t>
  </si>
  <si>
    <t>Demande N° 11855</t>
  </si>
  <si>
    <t>4.8730 km²</t>
  </si>
  <si>
    <t>Demande N° 11859</t>
  </si>
  <si>
    <t>PK 10 + 200 PISTE DE YANG YANG -MEWEUL</t>
  </si>
  <si>
    <t>COMPAGNIE SAHELIENNE D'ENTREPRISES (100%)</t>
  </si>
  <si>
    <t>Demande N° 11862</t>
  </si>
  <si>
    <t>GOLDEN AFRIK SUARL (100%)</t>
  </si>
  <si>
    <t>Demande N° 11863</t>
  </si>
  <si>
    <t>PK 9 + 800 MBEULEUKHE AMALI</t>
  </si>
  <si>
    <t>Demande N° 11864</t>
  </si>
  <si>
    <t>PK5 + 800 PISTE MBEULEUKHE AMALI</t>
  </si>
  <si>
    <t>Demande N° 11867</t>
  </si>
  <si>
    <t>10.0349 Ha</t>
  </si>
  <si>
    <t>Demande N° 11868</t>
  </si>
  <si>
    <t>PK 10 +500 PISTE YANG YANG MEWEUL</t>
  </si>
  <si>
    <t>3.0001 Ha</t>
  </si>
  <si>
    <t>Demande N° 11869</t>
  </si>
  <si>
    <t>PK 2 + 800 PISTE KAMB MBOULA</t>
  </si>
  <si>
    <t>4.0001 Ha</t>
  </si>
  <si>
    <t>Demande N° 11870</t>
  </si>
  <si>
    <t>PK 3 + 100 PISTE MBEULEUKHE AMALI</t>
  </si>
  <si>
    <t>Demande N° 11871</t>
  </si>
  <si>
    <t>PK 10 +100 PISTE KAMB MBOULA</t>
  </si>
  <si>
    <t>Demande N° 11872</t>
  </si>
  <si>
    <t>SOM</t>
  </si>
  <si>
    <t>8.6983 Ha</t>
  </si>
  <si>
    <t>Demande N° 11873</t>
  </si>
  <si>
    <t>CARRIERE ROTO ERI</t>
  </si>
  <si>
    <t>9.1310 Ha</t>
  </si>
  <si>
    <t>Demande N° 11874</t>
  </si>
  <si>
    <t>PK 29 +450 PISTE DARAH MBEULEUKHE</t>
  </si>
  <si>
    <t>Demande N° 11875</t>
  </si>
  <si>
    <t>PK 2 +000 PISTE YANGYANG</t>
  </si>
  <si>
    <t>Demande N° 11876</t>
  </si>
  <si>
    <t>KALOSSI</t>
  </si>
  <si>
    <t>5.9947 Ha</t>
  </si>
  <si>
    <t>Demande N° 11877</t>
  </si>
  <si>
    <t>KOILY ALPHA</t>
  </si>
  <si>
    <t>6.8497 Ha</t>
  </si>
  <si>
    <t>Demande N° 11878</t>
  </si>
  <si>
    <t>PK6 + 600 PISTE YANG YANG</t>
  </si>
  <si>
    <t>Demande N° 11879</t>
  </si>
  <si>
    <t>8.7287 km²</t>
  </si>
  <si>
    <t>Demande N° 11881</t>
  </si>
  <si>
    <t>Demande N° 11882</t>
  </si>
  <si>
    <t>8.0888 Ha</t>
  </si>
  <si>
    <t>Demande N° 11883</t>
  </si>
  <si>
    <t>3.2050 Ha</t>
  </si>
  <si>
    <t>Demande N° 11886</t>
  </si>
  <si>
    <t>3.7996 Ha</t>
  </si>
  <si>
    <t>Demande N° 11888</t>
  </si>
  <si>
    <t>CADIOR BHK MINES SARL (100%)</t>
  </si>
  <si>
    <t>46.1556 Ha</t>
  </si>
  <si>
    <t>Demande N° 11889</t>
  </si>
  <si>
    <t>43.5330 Ha</t>
  </si>
  <si>
    <t>Demande N° 11890</t>
  </si>
  <si>
    <t>GIE DINNEH (100%)</t>
  </si>
  <si>
    <t>Demande N° 11891</t>
  </si>
  <si>
    <t>Samegéth_Diass</t>
  </si>
  <si>
    <t>5.0063 Ha</t>
  </si>
  <si>
    <t>Demande N° 11892</t>
  </si>
  <si>
    <t>MANSI EARTH MOVER SARL (100%)</t>
  </si>
  <si>
    <t>49.0815 Ha</t>
  </si>
  <si>
    <t>Demande N° 11893</t>
  </si>
  <si>
    <t>DIABA 2</t>
  </si>
  <si>
    <t>4.2575 Ha</t>
  </si>
  <si>
    <t>Demande N° 11894</t>
  </si>
  <si>
    <t>THIANGUEL EXTENSION</t>
  </si>
  <si>
    <t>9.1748 Ha</t>
  </si>
  <si>
    <t>Demande N° 11895</t>
  </si>
  <si>
    <t>QSNDE BALLA</t>
  </si>
  <si>
    <t>0.3240 Ha</t>
  </si>
  <si>
    <t>Demande N° 11896</t>
  </si>
  <si>
    <t>KATOTE</t>
  </si>
  <si>
    <t>COMPAGNIE SAHELIENNE D'ENTREPRISES</t>
  </si>
  <si>
    <t>1.6117 Ha</t>
  </si>
  <si>
    <t>Demande N° 11897</t>
  </si>
  <si>
    <t>13.8870 Ha</t>
  </si>
  <si>
    <t>Demande N° 11898</t>
  </si>
  <si>
    <t>DIABA1</t>
  </si>
  <si>
    <t>1.5138 Ha</t>
  </si>
  <si>
    <t>Demande N° 11899</t>
  </si>
  <si>
    <t>SARE LIOU</t>
  </si>
  <si>
    <t>6.5710 Ha</t>
  </si>
  <si>
    <t>Demande N° 11900</t>
  </si>
  <si>
    <t>AGNAM</t>
  </si>
  <si>
    <t>4.7065 Ha</t>
  </si>
  <si>
    <t>Demande N° 11901</t>
  </si>
  <si>
    <t>OREFONDE C2</t>
  </si>
  <si>
    <t>8.7662 Ha</t>
  </si>
  <si>
    <t>Demande N° 11902</t>
  </si>
  <si>
    <t>THIANGUEL</t>
  </si>
  <si>
    <t>17.2542 Ha</t>
  </si>
  <si>
    <t>Demande N° 11903</t>
  </si>
  <si>
    <t>THIANGUEL 3</t>
  </si>
  <si>
    <t>28.9198 Ha</t>
  </si>
  <si>
    <t>Demande N° 11904</t>
  </si>
  <si>
    <t>DOUMGUA OURO ALPHA</t>
  </si>
  <si>
    <t>11.2334 Ha</t>
  </si>
  <si>
    <t>Demande N° 11905</t>
  </si>
  <si>
    <t>DIABA 2/2</t>
  </si>
  <si>
    <t>8.8574 Ha</t>
  </si>
  <si>
    <t>Demande N° 11906</t>
  </si>
  <si>
    <t>SHIYUAN SURAL (100%)</t>
  </si>
  <si>
    <t>30.7902 Ha</t>
  </si>
  <si>
    <t>Demande N° 11907</t>
  </si>
  <si>
    <t>1.5101 Ha</t>
  </si>
  <si>
    <t>Demande N° 11908</t>
  </si>
  <si>
    <t>1.0127 Ha</t>
  </si>
  <si>
    <t>Demande N° 11910</t>
  </si>
  <si>
    <t>DIAMM AK AK NIARIGN SUARL (100%)</t>
  </si>
  <si>
    <t>6.4544 Ha</t>
  </si>
  <si>
    <t>Demande N° 11911</t>
  </si>
  <si>
    <t>2.5952 Ha</t>
  </si>
  <si>
    <t>Demande N° 11912</t>
  </si>
  <si>
    <t>3.4707 Ha</t>
  </si>
  <si>
    <t>Demande N° 11913</t>
  </si>
  <si>
    <t>GIE MBAYE TOUBAB (100%)</t>
  </si>
  <si>
    <t>Demande N° 11915</t>
  </si>
  <si>
    <t>THICKY_DIASS</t>
  </si>
  <si>
    <t>2.3982 Ha</t>
  </si>
  <si>
    <t>Demande N° 11916</t>
  </si>
  <si>
    <t>CHERIF LO_LAM LAM</t>
  </si>
  <si>
    <t>ENTRPRISE DE CONSTRUCTION GENERAL  WEST AFRICA (100%)</t>
  </si>
  <si>
    <t>1.6918 Ha</t>
  </si>
  <si>
    <t>Demande N° 11917</t>
  </si>
  <si>
    <t>8.5880 Ha</t>
  </si>
  <si>
    <t>Demande N° 11918</t>
  </si>
  <si>
    <t>27.1387 Ha</t>
  </si>
  <si>
    <t>Demande N° 11919</t>
  </si>
  <si>
    <t>2.0455 Ha</t>
  </si>
  <si>
    <t>Demande N° 11920</t>
  </si>
  <si>
    <t>FULCRUM GROUP SARL (100%)</t>
  </si>
  <si>
    <t>1.0267 Ha</t>
  </si>
  <si>
    <t>Demande N° 11921</t>
  </si>
  <si>
    <t>GIE SOXALLI KOM KOM (100%)</t>
  </si>
  <si>
    <t>5.7254 Ha</t>
  </si>
  <si>
    <t>Demande N° 11922</t>
  </si>
  <si>
    <t>2.3817 Ha</t>
  </si>
  <si>
    <t>Demande N° 11923</t>
  </si>
  <si>
    <t>AFRIKO ZONE SUARL (100%)</t>
  </si>
  <si>
    <t>1.8431 Ha</t>
  </si>
  <si>
    <t>Demande N° 11924</t>
  </si>
  <si>
    <t>GENERAL ENTREPRISE MULTISERVICES ABABACAR TOURE GROUP SUARL (100%)</t>
  </si>
  <si>
    <t>8.4211 Ha</t>
  </si>
  <si>
    <t>Demande N° 11925</t>
  </si>
  <si>
    <t>3.7696 Ha</t>
  </si>
  <si>
    <t>Demande N° 11926</t>
  </si>
  <si>
    <t>2.2261 Ha</t>
  </si>
  <si>
    <t>Demande N° 11927</t>
  </si>
  <si>
    <t>9.9500 Ha</t>
  </si>
  <si>
    <t>Demande N° 11928</t>
  </si>
  <si>
    <t>THICKY_DIASS1</t>
  </si>
  <si>
    <t>YA NGONE HOLDING (100%)</t>
  </si>
  <si>
    <t>1.6013 Ha</t>
  </si>
  <si>
    <t>Demande N° 11929</t>
  </si>
  <si>
    <t>SALIOU MINES INDUSTRIES ET TECHNIQUES  SUARL (100%)</t>
  </si>
  <si>
    <t>2.0370 Ha</t>
  </si>
  <si>
    <t>Demande N° 11931</t>
  </si>
  <si>
    <t>THICKY_DIASS2</t>
  </si>
  <si>
    <t>1.0036 Ha</t>
  </si>
  <si>
    <t>Demande N° 11935</t>
  </si>
  <si>
    <t>Demande N° 11936</t>
  </si>
  <si>
    <t>Demande N° 11937</t>
  </si>
  <si>
    <t>4.5000 Ha</t>
  </si>
  <si>
    <t>Demande N° 11938</t>
  </si>
  <si>
    <t>6.7450 Ha</t>
  </si>
  <si>
    <t>Demande N° 11939</t>
  </si>
  <si>
    <t>5.4346 Ha</t>
  </si>
  <si>
    <t>Demande N° 11940</t>
  </si>
  <si>
    <t>COMMUNE DE RIBOT ESCALE (100%)</t>
  </si>
  <si>
    <t>9.0162 Ha</t>
  </si>
  <si>
    <t>Demande N° 11941</t>
  </si>
  <si>
    <t>COMMUNE DE KAHI (100%)</t>
  </si>
  <si>
    <t>2.7051 Ha</t>
  </si>
  <si>
    <t>Demande N° 11942</t>
  </si>
  <si>
    <t>14.6903 Ha</t>
  </si>
  <si>
    <t>Demande N° 11943</t>
  </si>
  <si>
    <t>SOCIETE GENERALE KHADIM GAYE (100%)</t>
  </si>
  <si>
    <t>9.4919 Ha</t>
  </si>
  <si>
    <t>Demande N° 11945</t>
  </si>
  <si>
    <t>COMMUNE DE ADEANE (100%)</t>
  </si>
  <si>
    <t>17.0469 Ha</t>
  </si>
  <si>
    <t>Demande N° 11946</t>
  </si>
  <si>
    <t>6.3238 Ha</t>
  </si>
  <si>
    <t>Demande N° 11947</t>
  </si>
  <si>
    <t>3.5202 Ha</t>
  </si>
  <si>
    <t>Demande N° 11948</t>
  </si>
  <si>
    <t>Demande N° 11949</t>
  </si>
  <si>
    <t>1.9400 Ha</t>
  </si>
  <si>
    <t>Demande N° 11950</t>
  </si>
  <si>
    <t>SENE TURC MO SARL (100%)</t>
  </si>
  <si>
    <t>1.9904 Ha</t>
  </si>
  <si>
    <t>Demande N° 11951</t>
  </si>
  <si>
    <t>1.3074 Ha</t>
  </si>
  <si>
    <t>Demande N° 11952</t>
  </si>
  <si>
    <t xml:space="preserve">YAMINE SA </t>
  </si>
  <si>
    <t>146.7601 km²</t>
  </si>
  <si>
    <t>Demande N° 11953</t>
  </si>
  <si>
    <t>ETABLISSEMENT MAODO MINES SARL (100%)</t>
  </si>
  <si>
    <t>2.5010 Ha</t>
  </si>
  <si>
    <t>Demande N° 11954</t>
  </si>
  <si>
    <t>2.5009 Ha</t>
  </si>
  <si>
    <t>Demande N° 11955</t>
  </si>
  <si>
    <t>SAMASSA HORIZON HOLDING SUARL (100%)</t>
  </si>
  <si>
    <t>2.0145 Ha</t>
  </si>
  <si>
    <t>Demande N° 11956</t>
  </si>
  <si>
    <t>6.7860 Ha</t>
  </si>
  <si>
    <t>Demande N° 11958</t>
  </si>
  <si>
    <t>0.7523 km²</t>
  </si>
  <si>
    <t>Demande N° 11959</t>
  </si>
  <si>
    <t>TERANGA NATIONAL CIMENT SA (100%)</t>
  </si>
  <si>
    <t>12.3874 km²</t>
  </si>
  <si>
    <t>Demande N° 11960</t>
  </si>
  <si>
    <t>MAHWA TREADING SARL (100%)</t>
  </si>
  <si>
    <t>Demande N° 11961</t>
  </si>
  <si>
    <t>SOCIETE FARAFINA GOLD OPERATION  (100%)</t>
  </si>
  <si>
    <t>Demande N° 11962</t>
  </si>
  <si>
    <t>SEN GOLD INVEST SAS</t>
  </si>
  <si>
    <t>144.0100 km²</t>
  </si>
  <si>
    <t>Demande N° 11963</t>
  </si>
  <si>
    <t>Nord Badery</t>
  </si>
  <si>
    <t>49.5276 Ha</t>
  </si>
  <si>
    <t>Demande N° 11964</t>
  </si>
  <si>
    <t>JINHONG &amp;</t>
  </si>
  <si>
    <t>JINHONG SARL (100%)</t>
  </si>
  <si>
    <t>Demande N° 11965</t>
  </si>
  <si>
    <t>JINHONG 2</t>
  </si>
  <si>
    <t>Demande N° 11966</t>
  </si>
  <si>
    <t>JINHONG 3</t>
  </si>
  <si>
    <t>Demande N° 11967</t>
  </si>
  <si>
    <t>MAHWA 2</t>
  </si>
  <si>
    <t>49.5945 Ha</t>
  </si>
  <si>
    <t>Demande N° 11968</t>
  </si>
  <si>
    <t>NOUVELLE SOCIETE D'APPUI MINIER ET LOGISTIQUE (100%)</t>
  </si>
  <si>
    <t>49.1300 Ha</t>
  </si>
  <si>
    <t>Demande N° 11969</t>
  </si>
  <si>
    <t>ORPAILLEUSES DU SENEGAL ORIENTAL (100%)</t>
  </si>
  <si>
    <t>49.7558 Ha</t>
  </si>
  <si>
    <t>Demande N° 11970</t>
  </si>
  <si>
    <t>Dioura Nding</t>
  </si>
  <si>
    <t>Demande N° 11971</t>
  </si>
  <si>
    <t>Demande N° 11972</t>
  </si>
  <si>
    <t>Tambacounda 2</t>
  </si>
  <si>
    <t>49.8309 Ha</t>
  </si>
  <si>
    <t>Demande N° 11973</t>
  </si>
  <si>
    <t>KHARAKHENA COMPAGNIE SARL (100%)</t>
  </si>
  <si>
    <t>Demande N° 11974</t>
  </si>
  <si>
    <t>CISSOKHO ET FRERES KHOSSANTO SUARL (100%)</t>
  </si>
  <si>
    <t>49.9250 Ha</t>
  </si>
  <si>
    <t>Demande N° 11975</t>
  </si>
  <si>
    <t>49.1862 Ha</t>
  </si>
  <si>
    <t>Demande N° 11976</t>
  </si>
  <si>
    <t>3.9463 Ha</t>
  </si>
  <si>
    <t>Demande N° 11977</t>
  </si>
  <si>
    <t>6.8120 Ha</t>
  </si>
  <si>
    <t>Demande N° 11978</t>
  </si>
  <si>
    <t>GIE SOLUTION GROUPE 2 (100%)</t>
  </si>
  <si>
    <t>Demande N° 11979</t>
  </si>
  <si>
    <t>7.0008 Ha</t>
  </si>
  <si>
    <t>Demande N° 11980</t>
  </si>
  <si>
    <t>49.1191 Ha</t>
  </si>
  <si>
    <t>Demande N° 11981</t>
  </si>
  <si>
    <t>SINOHYDRO SENEGAL SARL (100%)</t>
  </si>
  <si>
    <t>6.9900 Ha</t>
  </si>
  <si>
    <t>Demande N° 11982</t>
  </si>
  <si>
    <t>17.5000 Ha</t>
  </si>
  <si>
    <t>Demande N° 11983</t>
  </si>
  <si>
    <t xml:space="preserve"> COMMUNE DE NIORO ALASSANE TALL (100%)</t>
  </si>
  <si>
    <t>0.6027 Ha</t>
  </si>
  <si>
    <t>Demande N° 11984</t>
  </si>
  <si>
    <t>3.3169 Ha</t>
  </si>
  <si>
    <t>Demande N° 11985</t>
  </si>
  <si>
    <t xml:space="preserve"> COMMUNE DE NIORO ALASSANE TALL</t>
  </si>
  <si>
    <t>1.0955 Ha</t>
  </si>
  <si>
    <t>Demande N° 11986</t>
  </si>
  <si>
    <t>COMMUNE DE DIOULACOLON (100%)</t>
  </si>
  <si>
    <t>1.1967 Ha</t>
  </si>
  <si>
    <t>Demande N° 11987</t>
  </si>
  <si>
    <t>1.1258 Ha</t>
  </si>
  <si>
    <t>Demande N° 11988</t>
  </si>
  <si>
    <t>48.6671 Ha</t>
  </si>
  <si>
    <t>Demande N° 11989</t>
  </si>
  <si>
    <t>DIATOCK</t>
  </si>
  <si>
    <t>KAMAC SARL (100%)</t>
  </si>
  <si>
    <t>1.5233 Ha</t>
  </si>
  <si>
    <t>Demande N° 11990</t>
  </si>
  <si>
    <t>ASAC HOLDING - SARL (100%)</t>
  </si>
  <si>
    <t>4.6870 Ha</t>
  </si>
  <si>
    <t>Demande N° 11991</t>
  </si>
  <si>
    <t>AFFINIAM</t>
  </si>
  <si>
    <t>2.6687 Ha</t>
  </si>
  <si>
    <t>Demande N° 11992</t>
  </si>
  <si>
    <t>Dinodiana</t>
  </si>
  <si>
    <t>49.5733 Ha</t>
  </si>
  <si>
    <t>Demande N° 11993</t>
  </si>
  <si>
    <t>BAGAYA</t>
  </si>
  <si>
    <t>Demande N° 11994</t>
  </si>
  <si>
    <t>46.3250 Ha</t>
  </si>
  <si>
    <t>Demande N° 11995</t>
  </si>
  <si>
    <t>TENKHOTO MINE ET TRAVAUX (100%)</t>
  </si>
  <si>
    <t>46.4288 Ha</t>
  </si>
  <si>
    <t>Demande N° 11996</t>
  </si>
  <si>
    <t>Mayina Mines</t>
  </si>
  <si>
    <t>K RESOURCES CORPORATION (100%)</t>
  </si>
  <si>
    <t>Demande N° 11997</t>
  </si>
  <si>
    <t>6.4000 Ha</t>
  </si>
  <si>
    <t>Demande N° 11998</t>
  </si>
  <si>
    <t>8.7269 Ha</t>
  </si>
  <si>
    <t>Demande N° 11999</t>
  </si>
  <si>
    <t>PK 11 + 360</t>
  </si>
  <si>
    <t>Demande N° 12000</t>
  </si>
  <si>
    <t>PK 17 +720</t>
  </si>
  <si>
    <t>4.9998 Ha</t>
  </si>
  <si>
    <t>Demande N° 12001</t>
  </si>
  <si>
    <t>PK 24+900</t>
  </si>
  <si>
    <t>1.9500 Ha</t>
  </si>
  <si>
    <t>Demande N° 12002</t>
  </si>
  <si>
    <t>KHARAKHENA COMPAGNIE  SARL (100%)</t>
  </si>
  <si>
    <t>Demande N° 12003</t>
  </si>
  <si>
    <t>SENEGAL MINING &amp; CIVIL INGENEERING SUARL (100%)</t>
  </si>
  <si>
    <t>50.9058 Ha</t>
  </si>
  <si>
    <t>Demande N° 12004</t>
  </si>
  <si>
    <t>50.2253 Ha</t>
  </si>
  <si>
    <t>Demande N° 12005</t>
  </si>
  <si>
    <t>6.7710 Ha</t>
  </si>
  <si>
    <t>Demande N° 12006</t>
  </si>
  <si>
    <t>2.7470 Ha</t>
  </si>
  <si>
    <t>Demande N° 12007</t>
  </si>
  <si>
    <t>1.5461 Ha</t>
  </si>
  <si>
    <t>Demande N° 12008</t>
  </si>
  <si>
    <t>8.3137 Ha</t>
  </si>
  <si>
    <t>Demande N° 12009</t>
  </si>
  <si>
    <t>4.3414 Ha</t>
  </si>
  <si>
    <t>Demande N° 12010</t>
  </si>
  <si>
    <t>49.3191 Ha</t>
  </si>
  <si>
    <t>Demande N° 12011</t>
  </si>
  <si>
    <t>49.1780 Ha</t>
  </si>
  <si>
    <t>Demande N° 12012</t>
  </si>
  <si>
    <t>3.2235 Ha</t>
  </si>
  <si>
    <t>Demande N° 12014</t>
  </si>
  <si>
    <t>CARRIERE 01</t>
  </si>
  <si>
    <t>BABACAR DIOP TRAVAUX PUBLICS ET TRANSPORTS (100%)</t>
  </si>
  <si>
    <t>7.5000 Ha</t>
  </si>
  <si>
    <t>Demande N° 12015</t>
  </si>
  <si>
    <t>CARRIERE 03</t>
  </si>
  <si>
    <t>Demande N° 12016</t>
  </si>
  <si>
    <t>CARRIERE 04</t>
  </si>
  <si>
    <t>BABACAR DIOP TRAVAUX PUBLICS ET TRANSPORTS</t>
  </si>
  <si>
    <t>Demande N° 12017</t>
  </si>
  <si>
    <t>CARRIERE 05</t>
  </si>
  <si>
    <t>Demande N° 12018</t>
  </si>
  <si>
    <t>CARRIERE 06</t>
  </si>
  <si>
    <t>Demande N° 12019</t>
  </si>
  <si>
    <t>CARRIERE 07</t>
  </si>
  <si>
    <t>Demande N° 12020</t>
  </si>
  <si>
    <t>CARRIERE 08</t>
  </si>
  <si>
    <t>Demande N° 12021</t>
  </si>
  <si>
    <t>CARRIERE 09</t>
  </si>
  <si>
    <t>Demande N° 12022</t>
  </si>
  <si>
    <t>CARRIERE 10</t>
  </si>
  <si>
    <t>Demande N° 12023</t>
  </si>
  <si>
    <t>CARRIERE 11</t>
  </si>
  <si>
    <t>Demande N° 12024</t>
  </si>
  <si>
    <t>CARRIERE 12</t>
  </si>
  <si>
    <t>Demande N° 12025</t>
  </si>
  <si>
    <t>CARRIERE 13</t>
  </si>
  <si>
    <t>Demande N° 12026</t>
  </si>
  <si>
    <t>49.2244 Ha</t>
  </si>
  <si>
    <t>Demande N° 12027</t>
  </si>
  <si>
    <t>PK 86</t>
  </si>
  <si>
    <t>8.0000 Ha</t>
  </si>
  <si>
    <t>Demande N° 12028</t>
  </si>
  <si>
    <t>PK 82</t>
  </si>
  <si>
    <t>Demande N° 12029</t>
  </si>
  <si>
    <t>PK 73</t>
  </si>
  <si>
    <t>6.8375 Ha</t>
  </si>
  <si>
    <t>Demande N° 12030</t>
  </si>
  <si>
    <t>PK98</t>
  </si>
  <si>
    <t>9.0900 Ha</t>
  </si>
  <si>
    <t>Demande N° 12031</t>
  </si>
  <si>
    <t>10.0035 Ha</t>
  </si>
  <si>
    <t>Demande N° 12033</t>
  </si>
  <si>
    <t>COMMUNE DE GNITH (100%)</t>
  </si>
  <si>
    <t>20.0439 Ha</t>
  </si>
  <si>
    <t>Demande N° 12034</t>
  </si>
  <si>
    <t>Sadiakhou</t>
  </si>
  <si>
    <t>SADIAKHOU BRAFE COUNDA (100%)</t>
  </si>
  <si>
    <t>Demande N° 12035</t>
  </si>
  <si>
    <t>5.0405 Ha</t>
  </si>
  <si>
    <t>Demande N° 12036</t>
  </si>
  <si>
    <t>COMMUNE DE SARE COLLY SALLE (100%)</t>
  </si>
  <si>
    <t>10.2108 Ha</t>
  </si>
  <si>
    <t>Demande N° 12037</t>
  </si>
  <si>
    <t xml:space="preserve">SAHEL SHIPPING SA </t>
  </si>
  <si>
    <t>595.7122 km²</t>
  </si>
  <si>
    <t>Demande N° 12038</t>
  </si>
  <si>
    <t>3.0434 Ha</t>
  </si>
  <si>
    <t>Demande N° 12039</t>
  </si>
  <si>
    <t>DENDEYE</t>
  </si>
  <si>
    <t>ENTREPRISE GENERALE DAROU SALAM</t>
  </si>
  <si>
    <t>8.7792 Ha</t>
  </si>
  <si>
    <t>Demande N° 12040</t>
  </si>
  <si>
    <t>THIENEBA</t>
  </si>
  <si>
    <t>0.8172 Ha</t>
  </si>
  <si>
    <t>Demande N° 12041</t>
  </si>
  <si>
    <t>9.9591 Ha</t>
  </si>
  <si>
    <t>Demande N° 12042</t>
  </si>
  <si>
    <t>2.6933 Ha</t>
  </si>
  <si>
    <t>Demande N° 12043</t>
  </si>
  <si>
    <t>7.8600 Ha</t>
  </si>
  <si>
    <t>Demande N° 12046</t>
  </si>
  <si>
    <t>21.3839 km²</t>
  </si>
  <si>
    <t>Demande N° 12047</t>
  </si>
  <si>
    <t>COUMBA RESSOURCES  SARL (100%)</t>
  </si>
  <si>
    <t>48.9039 Ha</t>
  </si>
  <si>
    <t>Demande N° 12048</t>
  </si>
  <si>
    <t>49.8157 Ha</t>
  </si>
  <si>
    <t>Demande N° 12049</t>
  </si>
  <si>
    <t>10.0007 Ha</t>
  </si>
  <si>
    <t>Demande N° 12050</t>
  </si>
  <si>
    <t>THIARE NDIALGUE</t>
  </si>
  <si>
    <t>5.4657 Ha</t>
  </si>
  <si>
    <t>Demande N° 12051</t>
  </si>
  <si>
    <t>BETA TRANS SUARL (100%)</t>
  </si>
  <si>
    <t>8.6034 Ha</t>
  </si>
  <si>
    <t>Demande N° 12052</t>
  </si>
  <si>
    <t>2.6921 Ha</t>
  </si>
  <si>
    <t>Demande N° 12053</t>
  </si>
  <si>
    <t>2.2199 Ha</t>
  </si>
  <si>
    <t>Demande N° 12054</t>
  </si>
  <si>
    <t>GIE TOUTES PRESTATION DE SERVICES FALL MBENGUE  (100%)</t>
  </si>
  <si>
    <t>0.5466 Ha</t>
  </si>
  <si>
    <t>Demande N° 12055</t>
  </si>
  <si>
    <t>GIE TIMINANDIYA (100%)</t>
  </si>
  <si>
    <t>48.4462 Ha</t>
  </si>
  <si>
    <t>Demande N° 12056</t>
  </si>
  <si>
    <t>49.8892 Ha</t>
  </si>
  <si>
    <t>Demande N° 12057</t>
  </si>
  <si>
    <t>GIE FOULADOU MINES ET BTP (100%)</t>
  </si>
  <si>
    <t>9.5001 Ha</t>
  </si>
  <si>
    <t>Demande N° 12058</t>
  </si>
  <si>
    <t>Demande N° 12059</t>
  </si>
  <si>
    <t>0.3712 Ha</t>
  </si>
  <si>
    <t>Demande N° 12060</t>
  </si>
  <si>
    <t>46.3414 Ha</t>
  </si>
  <si>
    <t>Demande N° 12061</t>
  </si>
  <si>
    <t>POTAL GOLD SARL (100%)</t>
  </si>
  <si>
    <t>49.9114 Ha</t>
  </si>
  <si>
    <t>Demande N° 12063</t>
  </si>
  <si>
    <t>LAMANA MINES  (100%)</t>
  </si>
  <si>
    <t>46.2346 Ha</t>
  </si>
  <si>
    <t>Demande N° 12064</t>
  </si>
  <si>
    <t>Demande N° 12065</t>
  </si>
  <si>
    <t>SOCIETE DE TRAVAUX ET DE COMMERCE SA (100%)</t>
  </si>
  <si>
    <t>Demande N° 12066</t>
  </si>
  <si>
    <t>COMMUNE DE OUNCK (100%)</t>
  </si>
  <si>
    <t>4.1121 Ha</t>
  </si>
  <si>
    <t>Demande N° 12067</t>
  </si>
  <si>
    <t>48.2977 Ha</t>
  </si>
  <si>
    <t>Demande N° 12068</t>
  </si>
  <si>
    <t>7.4346 Ha</t>
  </si>
  <si>
    <t>Demande N° 12069</t>
  </si>
  <si>
    <t>10.0001 Ha</t>
  </si>
  <si>
    <t>Demande N° 12070</t>
  </si>
  <si>
    <t>48.2696 Ha</t>
  </si>
  <si>
    <t>Demande N° 12072</t>
  </si>
  <si>
    <t>COMMUNE DE DIEMBERING (100%)</t>
  </si>
  <si>
    <t>0.5627 Ha</t>
  </si>
  <si>
    <t>Demande N° 12073</t>
  </si>
  <si>
    <t>COMMUNE DE KATABA 1 (100%)</t>
  </si>
  <si>
    <t>7.9360 Ha</t>
  </si>
  <si>
    <t>Demande N° 12074</t>
  </si>
  <si>
    <t>COMMUNE DE BOUTOUPA CAMARACOUNDA (100%)</t>
  </si>
  <si>
    <t>Demande N° 12075</t>
  </si>
  <si>
    <t>AMD CONSULTING  (100%)</t>
  </si>
  <si>
    <t>511.4876 km²</t>
  </si>
  <si>
    <t>Demande N° 12076</t>
  </si>
  <si>
    <t>512.4865 km²</t>
  </si>
  <si>
    <t>Demande N° 12077</t>
  </si>
  <si>
    <t>15.7315 Ha</t>
  </si>
  <si>
    <t>Demande N° 12079</t>
  </si>
  <si>
    <t>MADINA ACTION GLOBAL (100%)</t>
  </si>
  <si>
    <t>5.0334 Ha</t>
  </si>
  <si>
    <t>Demande N° 12080</t>
  </si>
  <si>
    <t>PK 00+325</t>
  </si>
  <si>
    <t>6.4272 Ha</t>
  </si>
  <si>
    <t>Demande N° 12081</t>
  </si>
  <si>
    <t>Sinthiou Maleme</t>
  </si>
  <si>
    <t>SOSETER HYDRO</t>
  </si>
  <si>
    <t>1.0366 Ha</t>
  </si>
  <si>
    <t>Demande N° 12082</t>
  </si>
  <si>
    <t>KOMPETOUM</t>
  </si>
  <si>
    <t>SOSETER HYDRO (100%)</t>
  </si>
  <si>
    <t>1.5276 Ha</t>
  </si>
  <si>
    <t>Demande N° 12083</t>
  </si>
  <si>
    <t>SINTHIOU MALEME</t>
  </si>
  <si>
    <t>2.1639 Ha</t>
  </si>
  <si>
    <t>Demande N° 12085</t>
  </si>
  <si>
    <t>9.9003 Ha</t>
  </si>
  <si>
    <t>Demande N° 12086</t>
  </si>
  <si>
    <t>KOUMPENTOUM</t>
  </si>
  <si>
    <t>9.9560 Ha</t>
  </si>
  <si>
    <t>Demande N° 12087</t>
  </si>
  <si>
    <t>BANDEGNE OULOF</t>
  </si>
  <si>
    <t>14.6475 Ha</t>
  </si>
  <si>
    <t>Demande N° 12088</t>
  </si>
  <si>
    <t>DIOKOUL DIAWRIGNE</t>
  </si>
  <si>
    <t>8.1150 Ha</t>
  </si>
  <si>
    <t>Demande N° 12089</t>
  </si>
  <si>
    <t>Carriere N°1 village de Tiamane-TATTAGUINE</t>
  </si>
  <si>
    <t>3.6028 Ha</t>
  </si>
  <si>
    <t>Demande N° 12090</t>
  </si>
  <si>
    <t>Carrière N°2 verger ADJA NIANG- TATTAGUINE</t>
  </si>
  <si>
    <t>2.4935 Ha</t>
  </si>
  <si>
    <t>Demande N° 12091</t>
  </si>
  <si>
    <t>carrière N°3 dans les villages Modane et
Konem- DIARRERE</t>
  </si>
  <si>
    <t>0.5607 Ha</t>
  </si>
  <si>
    <t>Demande N° 12092</t>
  </si>
  <si>
    <t>carrière N°3 dans les villages Modane et Konem - Diarrere</t>
  </si>
  <si>
    <t>1.5397 Ha</t>
  </si>
  <si>
    <t>Demande N° 12093</t>
  </si>
  <si>
    <t>carriere N°4 dans le village Mbane- Mbellacadio</t>
  </si>
  <si>
    <t>9.8698 Ha</t>
  </si>
  <si>
    <t>Demande N° 12094</t>
  </si>
  <si>
    <t>carrière N°5 dans les village Mbine Ndiouga- Mbellacadio</t>
  </si>
  <si>
    <t>8.2042 Ha</t>
  </si>
  <si>
    <t>Demande N° 12095</t>
  </si>
  <si>
    <t>carriere N°6 dans le village Poukham tok</t>
  </si>
  <si>
    <t>14.1078 Ha</t>
  </si>
  <si>
    <t>Demande N° 12097</t>
  </si>
  <si>
    <t>Diarrere</t>
  </si>
  <si>
    <t>1.6940 Ha</t>
  </si>
  <si>
    <t>Demande N° 12101</t>
  </si>
  <si>
    <t>2.7889 Ha</t>
  </si>
  <si>
    <t>Demande N° 12102</t>
  </si>
  <si>
    <t>Ngolfagnick</t>
  </si>
  <si>
    <t>COMPAGNIE PRESTIGE IMMOBILIERE - SARL (100%)</t>
  </si>
  <si>
    <t>7.6870 Ha</t>
  </si>
  <si>
    <t>Demande N° 12103</t>
  </si>
  <si>
    <t xml:space="preserve"> Couloir 1 : Dioubeba Daouda</t>
  </si>
  <si>
    <t>155.6938 Ha</t>
  </si>
  <si>
    <t>Demande N° 12104</t>
  </si>
  <si>
    <t>Industries Chimiques du Sénégal (ICS)</t>
  </si>
  <si>
    <t>HUA FENG TECHNOLOGY SENEGAL CO LTD-SUARL (100%)</t>
  </si>
  <si>
    <t>Demande N° 12105</t>
  </si>
  <si>
    <t>Demande N° 12106</t>
  </si>
  <si>
    <t>Couloir 3 : Samba Yayé</t>
  </si>
  <si>
    <t>Demande N° 12107</t>
  </si>
  <si>
    <t>4.0463 Ha</t>
  </si>
  <si>
    <t>Demande N° 12108</t>
  </si>
  <si>
    <t>Couloir 4 : Alinguel: 83ha</t>
  </si>
  <si>
    <t>82.6438 Ha</t>
  </si>
  <si>
    <t>Demande N° 12109</t>
  </si>
  <si>
    <t>Couloir 1 : Ngary:49ha</t>
  </si>
  <si>
    <t>48.7606 Ha</t>
  </si>
  <si>
    <t>Demande N° 12110</t>
  </si>
  <si>
    <t>Couloir 2 : Mamakhono: 96 ha</t>
  </si>
  <si>
    <t>96.5109 Ha</t>
  </si>
  <si>
    <t>Demande N° 12111</t>
  </si>
  <si>
    <t>ABABACAR DIOP TRANSPORT SARL (100%)</t>
  </si>
  <si>
    <t>1.3245 Ha</t>
  </si>
  <si>
    <t>Demande N° 12112</t>
  </si>
  <si>
    <t>PSS SERVICES</t>
  </si>
  <si>
    <t>Demande N° 12113</t>
  </si>
  <si>
    <t>Demande N° 12114</t>
  </si>
  <si>
    <t>2.2640 Ha</t>
  </si>
  <si>
    <t>Demande N° 12116</t>
  </si>
  <si>
    <t>TERANGA RESSOURCES SERVICES - SARL (100%)</t>
  </si>
  <si>
    <t>0.1268 Ha</t>
  </si>
  <si>
    <t>Demande N° 12117</t>
  </si>
  <si>
    <t>GIE TAIF DE ROSS BETHIO (100%)</t>
  </si>
  <si>
    <t>9.9609 Ha</t>
  </si>
  <si>
    <t>Demande N° 12118</t>
  </si>
  <si>
    <t>9.6315 Ha</t>
  </si>
  <si>
    <t>Demande N° 12119</t>
  </si>
  <si>
    <t>9.8997 Ha</t>
  </si>
  <si>
    <t>Demande N° 12120</t>
  </si>
  <si>
    <t>9.8800 Ha</t>
  </si>
  <si>
    <t>Demande N° 12121</t>
  </si>
  <si>
    <t>53.4475 km²</t>
  </si>
  <si>
    <t>Demande N° 12125</t>
  </si>
  <si>
    <t>Taïba Ndiaye</t>
  </si>
  <si>
    <t>TOUT POUR ENERGIE ET MINE  (100%)</t>
  </si>
  <si>
    <t>8.5796 Ha</t>
  </si>
  <si>
    <t>Demande N° 12131</t>
  </si>
  <si>
    <t>2.5992 Ha</t>
  </si>
  <si>
    <t>Demande N° 12132</t>
  </si>
  <si>
    <t>Magnankanty</t>
  </si>
  <si>
    <t>GIE MAGNANKANTY (100%)</t>
  </si>
  <si>
    <t>4.4663 Ha</t>
  </si>
  <si>
    <t>Demande N° 12134</t>
  </si>
  <si>
    <t>43.1309 km²</t>
  </si>
  <si>
    <t>Demande N° 12135</t>
  </si>
  <si>
    <t>KHELCOM MINING AGRICULTURE AND TRADING SUARL (100%)</t>
  </si>
  <si>
    <t>Demande N° 12136</t>
  </si>
  <si>
    <t>12.0335 Ha</t>
  </si>
  <si>
    <t>Demande N° 12137</t>
  </si>
  <si>
    <t>6.9752 Ha</t>
  </si>
  <si>
    <t>Demande N° 12138</t>
  </si>
  <si>
    <t>GIE MATA IBRAHIMA (100%)</t>
  </si>
  <si>
    <t>49.8492 Ha</t>
  </si>
  <si>
    <t>Demande N° 12139</t>
  </si>
  <si>
    <t>ETUDES DANS LE SECTEUR DES MINES ET FORAGES  (100%)</t>
  </si>
  <si>
    <t>9.0732 Ha</t>
  </si>
  <si>
    <t>Demande N° 12140</t>
  </si>
  <si>
    <t>COMMUNE DE NIORO ALASSANE TALL</t>
  </si>
  <si>
    <t>Commune de NDIOGNICK (100%)</t>
  </si>
  <si>
    <t>1.6999 Ha</t>
  </si>
  <si>
    <t>Demande N° 12141</t>
  </si>
  <si>
    <t>I M GOLD (100%)</t>
  </si>
  <si>
    <t>49.0261 Ha</t>
  </si>
  <si>
    <t>Demande N° 12142</t>
  </si>
  <si>
    <t>Commune de Thieneba  (100%)</t>
  </si>
  <si>
    <t>1.4396 Ha</t>
  </si>
  <si>
    <t>Demande N° 12143</t>
  </si>
  <si>
    <t xml:space="preserve">Commune de Ngoye </t>
  </si>
  <si>
    <t>Commune de Ngoye (100%)</t>
  </si>
  <si>
    <t>2.0051 Ha</t>
  </si>
  <si>
    <t>Demande N° 12144</t>
  </si>
  <si>
    <t>4.0755 Ha</t>
  </si>
  <si>
    <t>Demande N° 12148</t>
  </si>
  <si>
    <t>49.7265 Ha</t>
  </si>
  <si>
    <t>Demande N° 12149</t>
  </si>
  <si>
    <t>BPIT1</t>
  </si>
  <si>
    <t>2.2515 Ha</t>
  </si>
  <si>
    <t>Demande N° 12150</t>
  </si>
  <si>
    <t>BPIT3</t>
  </si>
  <si>
    <t>Demande N° 12151</t>
  </si>
  <si>
    <t>Demande N° 12152</t>
  </si>
  <si>
    <t>COMMUNE DE DABALY (100%)</t>
  </si>
  <si>
    <t>1.9998 Ha</t>
  </si>
  <si>
    <t>Demande N° 12153</t>
  </si>
  <si>
    <t xml:space="preserve">Commune de Gniby
</t>
  </si>
  <si>
    <t>Commune de Gniby (100%)</t>
  </si>
  <si>
    <t>0.8216 Ha</t>
  </si>
  <si>
    <t>Demande N° 12154</t>
  </si>
  <si>
    <t>3.1961 Ha</t>
  </si>
  <si>
    <t>Demande N° 12155</t>
  </si>
  <si>
    <t>3.4400 Ha</t>
  </si>
  <si>
    <t>Demande N° 12156</t>
  </si>
  <si>
    <t>WAKEUR SERIGNE SALIOU NDIAKHATE ET FRERES SUARL</t>
  </si>
  <si>
    <t>2.2220 Ha</t>
  </si>
  <si>
    <t>Demande N° 12157</t>
  </si>
  <si>
    <t xml:space="preserve">POPENGUINE </t>
  </si>
  <si>
    <t>3.9514 Ha</t>
  </si>
  <si>
    <t>Demande N° 12158</t>
  </si>
  <si>
    <t>ENTREPRISE DE CONSTRUCTION GENERAL WEST AFRICA -SARL (100%)</t>
  </si>
  <si>
    <t>4.5695 Ha</t>
  </si>
  <si>
    <t>Demande N° 12159</t>
  </si>
  <si>
    <t>Demande N° 12160</t>
  </si>
  <si>
    <t>SENEGALAISE DES TRAVAUX PUBLICS (100%)</t>
  </si>
  <si>
    <t>1.5247 Ha</t>
  </si>
  <si>
    <t>demane06022014</t>
  </si>
  <si>
    <t>SEMM SUARL (100%)</t>
  </si>
  <si>
    <t>0.4970 km²</t>
  </si>
  <si>
    <t>demen 25072014</t>
  </si>
  <si>
    <t>IBRAHIMA SARR PRODUCTION (100%)</t>
  </si>
  <si>
    <t>1,521.3051 Ha</t>
  </si>
  <si>
    <t>demmm</t>
  </si>
  <si>
    <t>16.8270 Ha</t>
  </si>
  <si>
    <t>DEPM13112014</t>
  </si>
  <si>
    <t>4.9720 km²</t>
  </si>
  <si>
    <t>DESM01062017</t>
  </si>
  <si>
    <t>MADY DANFAKHA</t>
  </si>
  <si>
    <t>DESM02062017</t>
  </si>
  <si>
    <t>DESM06022018</t>
  </si>
  <si>
    <t>50.4822 Ha</t>
  </si>
  <si>
    <t>DESM06092018</t>
  </si>
  <si>
    <t>39.9592 Ha</t>
  </si>
  <si>
    <t>DESM07052018</t>
  </si>
  <si>
    <t>495.6698 Ha</t>
  </si>
  <si>
    <t>DESM07052018-1</t>
  </si>
  <si>
    <t>32.0800 Ha</t>
  </si>
  <si>
    <t>DESM07062017</t>
  </si>
  <si>
    <t>BAMBADJI</t>
  </si>
  <si>
    <t>GIE FRERES UNIS</t>
  </si>
  <si>
    <t>DESM09052019</t>
  </si>
  <si>
    <t>SOUKOUTO2</t>
  </si>
  <si>
    <t>36.0916 Ha</t>
  </si>
  <si>
    <t>DESM09082018-1</t>
  </si>
  <si>
    <t>KOUSSOLO</t>
  </si>
  <si>
    <t>KIMI TRADING SARL (100%)</t>
  </si>
  <si>
    <t>DESM11052018</t>
  </si>
  <si>
    <t>OUBADJI</t>
  </si>
  <si>
    <t>DESM11102017</t>
  </si>
  <si>
    <t>DESM11122017</t>
  </si>
  <si>
    <t>DESM12052017</t>
  </si>
  <si>
    <t>GIE BENKHADI DE BOUNTOUNG</t>
  </si>
  <si>
    <t>DESM13022018</t>
  </si>
  <si>
    <t>Banta</t>
  </si>
  <si>
    <t>GIE KAMBEN (100%)</t>
  </si>
  <si>
    <t>19.2200 Ha</t>
  </si>
  <si>
    <t>DESM13072017</t>
  </si>
  <si>
    <t>POROKHANE</t>
  </si>
  <si>
    <t>DESM14072017</t>
  </si>
  <si>
    <t xml:space="preserve">INTERNATIONAL MINING AND GOLD COMPANY </t>
  </si>
  <si>
    <t>DESM15102018</t>
  </si>
  <si>
    <t>49.7420 Ha</t>
  </si>
  <si>
    <t>DESM16082018</t>
  </si>
  <si>
    <t>GIE DAMBECOULA (100%)</t>
  </si>
  <si>
    <t>46.1326 Ha</t>
  </si>
  <si>
    <t>DESM16082018-2</t>
  </si>
  <si>
    <t>DESM18042017</t>
  </si>
  <si>
    <t>Héramakhono</t>
  </si>
  <si>
    <t>HERA GOLD</t>
  </si>
  <si>
    <t>DESM18052018</t>
  </si>
  <si>
    <t>MADISEN GOLD SARL</t>
  </si>
  <si>
    <t>DESM18122018</t>
  </si>
  <si>
    <t>LINGUEKOTO</t>
  </si>
  <si>
    <t>DESM19072017</t>
  </si>
  <si>
    <t>NORD BANTAKO</t>
  </si>
  <si>
    <t>COLY MULTISERVICES</t>
  </si>
  <si>
    <t>DESM19072018</t>
  </si>
  <si>
    <t>50.7373 Ha</t>
  </si>
  <si>
    <t>DESM20022018</t>
  </si>
  <si>
    <t>Goundamekho</t>
  </si>
  <si>
    <t>49.8804 Ha</t>
  </si>
  <si>
    <t>DESM21012019</t>
  </si>
  <si>
    <t>KARA KARA</t>
  </si>
  <si>
    <t>AMTRAC Sarl (100%)</t>
  </si>
  <si>
    <t>DESM21022019</t>
  </si>
  <si>
    <t>HKB DEVELOPPEMENT (100%)</t>
  </si>
  <si>
    <t>48.5826 Ha</t>
  </si>
  <si>
    <t>DESM21072017</t>
  </si>
  <si>
    <t>AFRIGOLD  SARL</t>
  </si>
  <si>
    <t>DESM21072017-2</t>
  </si>
  <si>
    <t>NGARI OUEST</t>
  </si>
  <si>
    <t>DESM21072017-3</t>
  </si>
  <si>
    <t>GIE TESSITO</t>
  </si>
  <si>
    <t>50.1380 Ha</t>
  </si>
  <si>
    <t>DESM21072017-5</t>
  </si>
  <si>
    <t>KEDSEN LLC (ABDEL AZIZ NIANG) (100%)</t>
  </si>
  <si>
    <t>DESM21072017-6</t>
  </si>
  <si>
    <t>DESM25062019</t>
  </si>
  <si>
    <t>KENDA</t>
  </si>
  <si>
    <t>49.4753 Ha</t>
  </si>
  <si>
    <t>DESM25102018</t>
  </si>
  <si>
    <t>THIABEDJI</t>
  </si>
  <si>
    <t>8.8615 Ha</t>
  </si>
  <si>
    <t>DESM26022019</t>
  </si>
  <si>
    <t>49.2129 Ha</t>
  </si>
  <si>
    <t>DESM26072017</t>
  </si>
  <si>
    <t>SERIGNE MODOU NIANG (100%)</t>
  </si>
  <si>
    <t>DESM26092018</t>
  </si>
  <si>
    <t>Kouroudiakhoma</t>
  </si>
  <si>
    <t>DESM27112018</t>
  </si>
  <si>
    <t>DESM27112018-1</t>
  </si>
  <si>
    <t>Tambanoumouya</t>
  </si>
  <si>
    <t>148.7604 Ha</t>
  </si>
  <si>
    <t>DESM28062019</t>
  </si>
  <si>
    <t>SARR GLOBAL TRADING (100%)</t>
  </si>
  <si>
    <t>440.5162 Ha</t>
  </si>
  <si>
    <t>DESM28092018</t>
  </si>
  <si>
    <t>SENEGALAISE DE DEVELOPPEMENT F-SY  (100%)</t>
  </si>
  <si>
    <t>54.1489 Ha</t>
  </si>
  <si>
    <t>DESM28122017-1</t>
  </si>
  <si>
    <t>Dilaya 2</t>
  </si>
  <si>
    <t>DESM29052017</t>
  </si>
  <si>
    <t>NIOKOLO MINE</t>
  </si>
  <si>
    <t>DESM29052018</t>
  </si>
  <si>
    <t>SALOUM AVICOLE (100%)</t>
  </si>
  <si>
    <t>DESM29062017-1</t>
  </si>
  <si>
    <t>TAKOUN BASSIE</t>
  </si>
  <si>
    <t>VIGNESH PRISICA ENTREPRISES SARL</t>
  </si>
  <si>
    <t>DESM29062017-2</t>
  </si>
  <si>
    <t>FANGOLI SUD-OUEST</t>
  </si>
  <si>
    <t>GIE SABARI DE TENKOTO SOU</t>
  </si>
  <si>
    <t>DESM30112018</t>
  </si>
  <si>
    <t>DESM31052017</t>
  </si>
  <si>
    <t>DESM31052017-1</t>
  </si>
  <si>
    <t>GIE PERFORMANCES</t>
  </si>
  <si>
    <t>DESM31122018</t>
  </si>
  <si>
    <t>MEREKOURE</t>
  </si>
  <si>
    <t>HERA GOLD (100%)</t>
  </si>
  <si>
    <t>DOCPG15102014</t>
  </si>
  <si>
    <t>GENIE ET CARRIERE (100%)</t>
  </si>
  <si>
    <t>14.1013 Ha</t>
  </si>
  <si>
    <t>DOCPR15102014</t>
  </si>
  <si>
    <t>10.8576 Ha</t>
  </si>
  <si>
    <t>DOCPT15102014</t>
  </si>
  <si>
    <t>19.5793 Ha</t>
  </si>
  <si>
    <t>DOEC04092014</t>
  </si>
  <si>
    <t>MACKI TALL (100%)</t>
  </si>
  <si>
    <t>27.5646 Ha</t>
  </si>
  <si>
    <t>DOECP13102014</t>
  </si>
  <si>
    <t>54.8042 Ha</t>
  </si>
  <si>
    <t>DOECP18082014</t>
  </si>
  <si>
    <t>30.0178 Ha</t>
  </si>
  <si>
    <t>DP_290318</t>
  </si>
  <si>
    <t>SOCIETE ZZZZ</t>
  </si>
  <si>
    <t>333.0579 km²</t>
  </si>
  <si>
    <t>DP000</t>
  </si>
  <si>
    <t>ZONE RESERVEE</t>
  </si>
  <si>
    <t>25.1980 km²</t>
  </si>
  <si>
    <t>DPE01062017</t>
  </si>
  <si>
    <t>SENGOLD MINING N.L. (90%)</t>
  </si>
  <si>
    <t>169.3419 km²</t>
  </si>
  <si>
    <t>DPE08022016</t>
  </si>
  <si>
    <t>AFRIGEM SL (90%)</t>
  </si>
  <si>
    <t>119.8950 km²</t>
  </si>
  <si>
    <t>DPE15082013</t>
  </si>
  <si>
    <t>TERANGA GOLD (90%)</t>
  </si>
  <si>
    <t>53.1868 km²</t>
  </si>
  <si>
    <t>DPE19102017</t>
  </si>
  <si>
    <t>5.1593 km²</t>
  </si>
  <si>
    <t>DPE25052018</t>
  </si>
  <si>
    <t>EBONY AUSTRALIA TRADE &amp; SERVICES (EATS) (90%)</t>
  </si>
  <si>
    <t>45.8659 km²</t>
  </si>
  <si>
    <t>DPM16/05/2013</t>
  </si>
  <si>
    <t>NEMAOUL</t>
  </si>
  <si>
    <t>492.3463 Ha</t>
  </si>
  <si>
    <t>DPM09022018</t>
  </si>
  <si>
    <t>NIANI WIOULY</t>
  </si>
  <si>
    <t>205.0256 Ha</t>
  </si>
  <si>
    <t>DPM09062017-1</t>
  </si>
  <si>
    <t>SOCIETE QUMBA MORT ET COMPAGNIE SUARL</t>
  </si>
  <si>
    <t>3.7330 km²</t>
  </si>
  <si>
    <t>DPM11082015</t>
  </si>
  <si>
    <t>Toumboumba</t>
  </si>
  <si>
    <t>4.9052 km²</t>
  </si>
  <si>
    <t>DPM12052016</t>
  </si>
  <si>
    <t>4.9735 km²</t>
  </si>
  <si>
    <t>DPM16062016</t>
  </si>
  <si>
    <t>PRESTACOM SENEGAL SUARL (100%)</t>
  </si>
  <si>
    <t>DPM18072017</t>
  </si>
  <si>
    <t>DIONDA SARL</t>
  </si>
  <si>
    <t>168.2354 Ha</t>
  </si>
  <si>
    <t>DPM19072017</t>
  </si>
  <si>
    <t>DPM22032018</t>
  </si>
  <si>
    <t>499.7034 Ha</t>
  </si>
  <si>
    <t>DPM31072018</t>
  </si>
  <si>
    <t>MADISEN GOLD SARL (100%)</t>
  </si>
  <si>
    <t>4.8674 km²</t>
  </si>
  <si>
    <t>DPP09</t>
  </si>
  <si>
    <t>12.7993 km²</t>
  </si>
  <si>
    <t>DPR02/08/2013</t>
  </si>
  <si>
    <t>NEAMOUL</t>
  </si>
  <si>
    <t>218.7058 km²</t>
  </si>
  <si>
    <t>DPR10/12/2013</t>
  </si>
  <si>
    <t>EDS USA LLC (100%)</t>
  </si>
  <si>
    <t>23.5761 km²</t>
  </si>
  <si>
    <t>DPR12/05/2014</t>
  </si>
  <si>
    <t>39.3034 km²</t>
  </si>
  <si>
    <t>DPR 16/12/2013</t>
  </si>
  <si>
    <t>SAKHOFARA</t>
  </si>
  <si>
    <t>69.0931 km²</t>
  </si>
  <si>
    <t>DPR19/12/2012</t>
  </si>
  <si>
    <t>383.7765 km²</t>
  </si>
  <si>
    <t>DPR28/08/2013</t>
  </si>
  <si>
    <t>sagata</t>
  </si>
  <si>
    <t>1,282.0132 km²</t>
  </si>
  <si>
    <t>DPR30/01/2014</t>
  </si>
  <si>
    <t>Makana</t>
  </si>
  <si>
    <t>K &amp; K COMPANY  (100%)</t>
  </si>
  <si>
    <t>84.2683 km²</t>
  </si>
  <si>
    <t>DPR0203205</t>
  </si>
  <si>
    <t>Yélousoh</t>
  </si>
  <si>
    <t>349.4325 km²</t>
  </si>
  <si>
    <t>DPR01042019</t>
  </si>
  <si>
    <t>BAMBARAYA</t>
  </si>
  <si>
    <t>115.3966 km²</t>
  </si>
  <si>
    <t>DPR01102014</t>
  </si>
  <si>
    <t>13,460.4040 Ha</t>
  </si>
  <si>
    <t>DPR03012019</t>
  </si>
  <si>
    <t>NIOKOLO MINING SARL (100%)</t>
  </si>
  <si>
    <t>32.1031 km²</t>
  </si>
  <si>
    <t>DPR03032015</t>
  </si>
  <si>
    <t>GABOU</t>
  </si>
  <si>
    <t>495.3876 km²</t>
  </si>
  <si>
    <t>DPR03042018</t>
  </si>
  <si>
    <t>SNEPAC INTERNATIONAL SARL (100%)</t>
  </si>
  <si>
    <t>372.6025 km²</t>
  </si>
  <si>
    <t>DPR03042018-1</t>
  </si>
  <si>
    <t>FOULBE</t>
  </si>
  <si>
    <t>39.8979 km²</t>
  </si>
  <si>
    <t>DPR04082015</t>
  </si>
  <si>
    <t>SIAP (100%)</t>
  </si>
  <si>
    <t>DPR05022018</t>
  </si>
  <si>
    <t>AMMSA GROUP LIMITED (100%)</t>
  </si>
  <si>
    <t>DPR05102018</t>
  </si>
  <si>
    <t>BONDOU S.A.U (100%)</t>
  </si>
  <si>
    <t>44.0644 km²</t>
  </si>
  <si>
    <t>DPR06032015</t>
  </si>
  <si>
    <t>511.0516 km²</t>
  </si>
  <si>
    <t>DPR06042016</t>
  </si>
  <si>
    <t>SSL CAPITAL INVESTMENT (100%)</t>
  </si>
  <si>
    <t>7,742.3391 km²</t>
  </si>
  <si>
    <t>DPR06092016</t>
  </si>
  <si>
    <t>DPR07052019</t>
  </si>
  <si>
    <t>60.5123 km²</t>
  </si>
  <si>
    <t>DPR08042016</t>
  </si>
  <si>
    <t>191.9480 Ha</t>
  </si>
  <si>
    <t>DPR08052019</t>
  </si>
  <si>
    <t>CIMENTERIES MODERNES</t>
  </si>
  <si>
    <t>127.1958 Ha</t>
  </si>
  <si>
    <t>DPR10012019</t>
  </si>
  <si>
    <t>31.5680 km²</t>
  </si>
  <si>
    <t>DPR10012019-1</t>
  </si>
  <si>
    <t xml:space="preserve">KOLIA
</t>
  </si>
  <si>
    <t>55.9762 km²</t>
  </si>
  <si>
    <t>DPR10022020</t>
  </si>
  <si>
    <t>SENEGAL MINERAL RESOURCES SA</t>
  </si>
  <si>
    <t>40,475.0542 Ha</t>
  </si>
  <si>
    <t>DPR10092018</t>
  </si>
  <si>
    <t>BADIAMBAKO</t>
  </si>
  <si>
    <t>358.9332 km²</t>
  </si>
  <si>
    <t>DPR10102018</t>
  </si>
  <si>
    <t>408.6868 km²</t>
  </si>
  <si>
    <t>DPR11042019</t>
  </si>
  <si>
    <t>INTERNATIONAL MINING SERVICES SENEGAL (100%)</t>
  </si>
  <si>
    <t>28.1547 km²</t>
  </si>
  <si>
    <t>DPR12012015</t>
  </si>
  <si>
    <t>Yamoussa</t>
  </si>
  <si>
    <t>PP, TR</t>
  </si>
  <si>
    <t>2,345.8617 km²</t>
  </si>
  <si>
    <t>DPR12072013</t>
  </si>
  <si>
    <t>1,039.5266 km²</t>
  </si>
  <si>
    <t>DPR13032019</t>
  </si>
  <si>
    <t>DALEMA NORD</t>
  </si>
  <si>
    <t>59.8173 km²</t>
  </si>
  <si>
    <t>DPR13032019-1</t>
  </si>
  <si>
    <t>DALEMA SUD</t>
  </si>
  <si>
    <t>93.1529 km²</t>
  </si>
  <si>
    <t>DPR13062016</t>
  </si>
  <si>
    <t>LINGUERE</t>
  </si>
  <si>
    <t>5,753.1644 km²</t>
  </si>
  <si>
    <t>DPR13092018</t>
  </si>
  <si>
    <t>356.0200 km²</t>
  </si>
  <si>
    <t>DPR13122018</t>
  </si>
  <si>
    <t>OUEST KOLIA</t>
  </si>
  <si>
    <t>62.5989 km²</t>
  </si>
  <si>
    <t>DPR14032018</t>
  </si>
  <si>
    <t>SOCIETE DE NEGOCE D'INTERMEDIATION ET D'INVESTISSEMENT (SN2I) (100%)</t>
  </si>
  <si>
    <t>DPR15052017</t>
  </si>
  <si>
    <t>BISCUITERIE MODERNE DU SENEGAL</t>
  </si>
  <si>
    <t>DPR15052017-1</t>
  </si>
  <si>
    <t>PATASSI</t>
  </si>
  <si>
    <t>136.1100 km²</t>
  </si>
  <si>
    <t>DPR16062015</t>
  </si>
  <si>
    <t>Ba, substances connexes</t>
  </si>
  <si>
    <t>DPR16112015</t>
  </si>
  <si>
    <t>AGROMINES INTERNATIONAL SARL (AGMIN) (100%)</t>
  </si>
  <si>
    <t>DPR17022015</t>
  </si>
  <si>
    <t>36.8697 km²</t>
  </si>
  <si>
    <t>DPR17052017</t>
  </si>
  <si>
    <t>BISCUITERIE MODERNE DU SENEGAL (100%)</t>
  </si>
  <si>
    <t>DPR17052017-1</t>
  </si>
  <si>
    <t>DPR17112015</t>
  </si>
  <si>
    <t>624.4042 km²</t>
  </si>
  <si>
    <t>DPR18032019</t>
  </si>
  <si>
    <t>Malala</t>
  </si>
  <si>
    <t>DPR19072019</t>
  </si>
  <si>
    <t>DAORALA</t>
  </si>
  <si>
    <t>83.0518 km²</t>
  </si>
  <si>
    <t>DPR19092016</t>
  </si>
  <si>
    <t>KOULOUNTOU NORD</t>
  </si>
  <si>
    <t>19.6465 km²</t>
  </si>
  <si>
    <t>DPR20022018</t>
  </si>
  <si>
    <t>KACTUS GROUP (100%)</t>
  </si>
  <si>
    <t>DPR20072015</t>
  </si>
  <si>
    <t>CGCOC (100%)</t>
  </si>
  <si>
    <t>DPR20122013</t>
  </si>
  <si>
    <t>Moulouga</t>
  </si>
  <si>
    <t>DPR21072016</t>
  </si>
  <si>
    <t>FALCONWOOD CONSULTING (100%)</t>
  </si>
  <si>
    <t>1,989.1207 km²</t>
  </si>
  <si>
    <t>DPR22072016</t>
  </si>
  <si>
    <t>DPR22102018</t>
  </si>
  <si>
    <t>83.4261 km²</t>
  </si>
  <si>
    <t>DPR23122014</t>
  </si>
  <si>
    <t>OUROSSOGUI 2</t>
  </si>
  <si>
    <t>MRS MINING SENEGAL SARL</t>
  </si>
  <si>
    <t>356.4770 km²</t>
  </si>
  <si>
    <t>DPR24022015</t>
  </si>
  <si>
    <t>MEDINA DAKHAR</t>
  </si>
  <si>
    <t>WORLD EXPORT INVESTMENT (100%)</t>
  </si>
  <si>
    <t>4,713.2534 km²</t>
  </si>
  <si>
    <t>DPR24032020</t>
  </si>
  <si>
    <t>SHEKINA GROUPE (100%)</t>
  </si>
  <si>
    <t>DPR24072020</t>
  </si>
  <si>
    <t>Bounsankhoba</t>
  </si>
  <si>
    <t>DPR24122018</t>
  </si>
  <si>
    <t>NIERIKO</t>
  </si>
  <si>
    <t>109.3902 km²</t>
  </si>
  <si>
    <t>DPR25012021</t>
  </si>
  <si>
    <t>2,772.5045 km²</t>
  </si>
  <si>
    <t>DPR27022015</t>
  </si>
  <si>
    <t>DPR28062015</t>
  </si>
  <si>
    <t>FASS BOYE</t>
  </si>
  <si>
    <t>10.8818 km²</t>
  </si>
  <si>
    <t>DPR28122017</t>
  </si>
  <si>
    <t>IRONSIDE SENEGAL SARL (100%)</t>
  </si>
  <si>
    <t>555.0674 km²</t>
  </si>
  <si>
    <t>DPR29052015</t>
  </si>
  <si>
    <t>COKI 2</t>
  </si>
  <si>
    <t>GASTON-PRODUCTION (100%)</t>
  </si>
  <si>
    <t>2,174.9027 km²</t>
  </si>
  <si>
    <t>DPR29052018</t>
  </si>
  <si>
    <t>GAINDE GOLD SARL (100%)</t>
  </si>
  <si>
    <t>366.8475 km²</t>
  </si>
  <si>
    <t>DPR29122014K</t>
  </si>
  <si>
    <t>KELLE</t>
  </si>
  <si>
    <t>GROUPE MIMRAN</t>
  </si>
  <si>
    <t>589.5961 km²</t>
  </si>
  <si>
    <t>DPR30042015</t>
  </si>
  <si>
    <t>38.1578 Ha</t>
  </si>
  <si>
    <t>DPR30052017</t>
  </si>
  <si>
    <t>SUD NIAMAYA</t>
  </si>
  <si>
    <t>AFRIC MINING SARL</t>
  </si>
  <si>
    <t>24.7398 km²</t>
  </si>
  <si>
    <t>DPR30092019</t>
  </si>
  <si>
    <t>GROUPE AKMG AFRIQUE (100%)</t>
  </si>
  <si>
    <t>766.3010 Ha</t>
  </si>
  <si>
    <t>DPR31122018</t>
  </si>
  <si>
    <t>Sinkountou</t>
  </si>
  <si>
    <t>SOCIETE ZHENGWEI TECHNIQUE SENEGAL (WIETC) (100%)</t>
  </si>
  <si>
    <t>123.7317 km²</t>
  </si>
  <si>
    <t>DPRMRS22102019</t>
  </si>
  <si>
    <t>3,368.4623 km²</t>
  </si>
  <si>
    <t>DPRSOCAM29072020</t>
  </si>
  <si>
    <t>SOCIETE DE CARRIERES  &amp; MINES (100%)</t>
  </si>
  <si>
    <t>452.6398 km²</t>
  </si>
  <si>
    <t>DPRTSENG10112020</t>
  </si>
  <si>
    <t>12.2853 km²</t>
  </si>
  <si>
    <t xml:space="preserve"> Gold Family</t>
  </si>
  <si>
    <t>0.5037 km²</t>
  </si>
  <si>
    <t>GOSSAS1</t>
  </si>
  <si>
    <t>0.0116 km²</t>
  </si>
  <si>
    <t>L000157</t>
  </si>
  <si>
    <t>GIE TRANSPORT BATIMENT TERRASSEMENT (100%)</t>
  </si>
  <si>
    <t>0.0275 km²</t>
  </si>
  <si>
    <t>N°23/09/2011</t>
  </si>
  <si>
    <t>PRODMINE (100%)</t>
  </si>
  <si>
    <t>308.1485 km²</t>
  </si>
  <si>
    <t>OEC27082014</t>
  </si>
  <si>
    <t>IBRAHIMA TOURE (100%)</t>
  </si>
  <si>
    <t>6.2680 Ha</t>
  </si>
  <si>
    <t>PR02042014</t>
  </si>
  <si>
    <t xml:space="preserve"> Madina Foulbe </t>
  </si>
  <si>
    <t>101.1471 km²</t>
  </si>
  <si>
    <t>PR28012015</t>
  </si>
  <si>
    <t>VENDOME HOLDING SAU</t>
  </si>
  <si>
    <t>369.0969 km²</t>
  </si>
  <si>
    <t>PR28042015</t>
  </si>
  <si>
    <t>101.1470 km²</t>
  </si>
  <si>
    <t>RACT20072015</t>
  </si>
  <si>
    <t>MYA TRADING (100%)</t>
  </si>
  <si>
    <t>Rejet040313</t>
  </si>
  <si>
    <t>SOCIETE SENEGALAISE D'INTERMEDIATION (100%)</t>
  </si>
  <si>
    <t>45.2409 km²</t>
  </si>
  <si>
    <t>Rejet 240511</t>
  </si>
  <si>
    <t>39.7024 km²</t>
  </si>
  <si>
    <t>Rejet 10062011</t>
  </si>
  <si>
    <t>NAMILO</t>
  </si>
  <si>
    <t>519.6725 km²</t>
  </si>
  <si>
    <t>Rejet 10062011bis</t>
  </si>
  <si>
    <t>KAYAN</t>
  </si>
  <si>
    <t>412.9400 km²</t>
  </si>
  <si>
    <t>Rejet 016105012</t>
  </si>
  <si>
    <t>Rejet 18052011</t>
  </si>
  <si>
    <t>2,645.0407 km²</t>
  </si>
  <si>
    <t>rEJET 18122012</t>
  </si>
  <si>
    <t>8,974.9443 km²</t>
  </si>
  <si>
    <t>Rejet 021042011</t>
  </si>
  <si>
    <t>5,110.3003 km²</t>
  </si>
  <si>
    <t>Rejet 22062012</t>
  </si>
  <si>
    <t>SENEGALAISE DES MINES ET TRANSPORT (100%)</t>
  </si>
  <si>
    <t>1,440.6517 km²</t>
  </si>
  <si>
    <t>Rejet 23122010</t>
  </si>
  <si>
    <t>15,771.7584 km²</t>
  </si>
  <si>
    <t>rEJET 28022012</t>
  </si>
  <si>
    <t>57.8780 km²</t>
  </si>
  <si>
    <t>Rejet 28102010</t>
  </si>
  <si>
    <t>1.1492 km²</t>
  </si>
  <si>
    <t>Rejet 28102010bis</t>
  </si>
  <si>
    <t>4.3596 km²</t>
  </si>
  <si>
    <t>Rejetée 28062012</t>
  </si>
  <si>
    <t>Lam Lam NE</t>
  </si>
  <si>
    <t>6.5365 km²</t>
  </si>
  <si>
    <t>Rejetée 30122011</t>
  </si>
  <si>
    <t>Lam Lam Nord-Est</t>
  </si>
  <si>
    <t>22.1462 km²</t>
  </si>
  <si>
    <t>RRC/00001/2025</t>
  </si>
  <si>
    <t>Tim Wallis</t>
  </si>
  <si>
    <t>RR-S</t>
  </si>
  <si>
    <t>RRC/00002/2025</t>
  </si>
  <si>
    <t>Spatial Dimension Test Company; Tim Wallis</t>
  </si>
  <si>
    <t>supprimé de la base_DPherenamakono</t>
  </si>
  <si>
    <t>TERANGA GOLD (100%)</t>
  </si>
  <si>
    <t>181.9854 km²</t>
  </si>
  <si>
    <t>Test 04343</t>
  </si>
  <si>
    <t>Test License</t>
  </si>
  <si>
    <t>Ag</t>
  </si>
  <si>
    <t>0.1655 km²</t>
  </si>
  <si>
    <t>XXXX</t>
  </si>
  <si>
    <t>2.3774 Ha</t>
  </si>
  <si>
    <t>Sous-traitant</t>
  </si>
  <si>
    <t>Permis</t>
  </si>
  <si>
    <t>SOCIETE CENTRALE DES TRAVAUX</t>
  </si>
  <si>
    <t>SOCIETE DE TRAVAUX PUBLICS DE BATIMENTS ET DE TRANSPORTS NETTOIEMENT</t>
  </si>
  <si>
    <t>SALOUM TRAIDING SERVICES-SARL</t>
  </si>
  <si>
    <t>DIOP AMADOU MAME</t>
  </si>
  <si>
    <t>TETACAR</t>
  </si>
  <si>
    <t>SAGNA GOLD</t>
  </si>
  <si>
    <t>DARAY MAME LAMP CONSTRUCTION</t>
  </si>
  <si>
    <t>COMMUNE DE BABA GARAGE</t>
  </si>
  <si>
    <t>DIAMINE TP</t>
  </si>
  <si>
    <t>SEA WORLD COMPANY</t>
  </si>
  <si>
    <t>SENEGALAISE DES MATERIAUX MINERAUX ET METAUX</t>
  </si>
  <si>
    <t>SOCIETE DE BATIMENT MODERNES</t>
  </si>
  <si>
    <t>COMPAGNIE GENERALE D'EXPLOITATION DE CARRIERE</t>
  </si>
  <si>
    <t>TRANSPORTS AHMED DJOUMA GAZAL</t>
  </si>
  <si>
    <t>DIOMAYE GRANULATS/GROUPE HOLDING DIOMAYE</t>
  </si>
  <si>
    <t>LIBASSE NIANG</t>
  </si>
  <si>
    <t>CARRIERE ET SABLES</t>
  </si>
  <si>
    <t>AFRICAN PHOSPHATE COMPANY</t>
  </si>
  <si>
    <t>GAZAL CARRIERES</t>
  </si>
  <si>
    <t>LIBIDOR</t>
  </si>
  <si>
    <t>SEPHOS</t>
  </si>
  <si>
    <t>SECAMI</t>
  </si>
  <si>
    <t>MINING RESEARCH COMPANY S.L</t>
  </si>
  <si>
    <t>AFRIGEM SL</t>
  </si>
  <si>
    <t>AMAR CONSULTING</t>
  </si>
  <si>
    <t>AL AZHAR MINES ET CARRIERES</t>
  </si>
  <si>
    <t>XEWELL CIMENTERIES SA</t>
  </si>
  <si>
    <t>PLASMA</t>
  </si>
  <si>
    <t>AAURIC HOLDINGS PTE.LTD</t>
  </si>
  <si>
    <t>SOFAMAC</t>
  </si>
  <si>
    <t>GOLDEN AFRIK</t>
  </si>
  <si>
    <t>LOWRE INDUSTRIES</t>
  </si>
  <si>
    <t>WEST AFRICAN INVESTMENT HOLDING SA</t>
  </si>
  <si>
    <t>DG MINING</t>
  </si>
  <si>
    <t>SEN ITA GOLD</t>
  </si>
  <si>
    <t>SOCIETE MINIERE DJIBREIL DIAGNE MON PARENT</t>
  </si>
  <si>
    <t>SDK MINING SA</t>
  </si>
  <si>
    <t>NDEYE MATY TRADE</t>
  </si>
  <si>
    <t>AMAFRIQUE SENEGAL</t>
  </si>
  <si>
    <t>VAPROM AFRICA SA</t>
  </si>
  <si>
    <t>LIMETECH SA</t>
  </si>
  <si>
    <t>DELTA MINING</t>
  </si>
  <si>
    <t>DOUMA SEYE</t>
  </si>
  <si>
    <t>ISLE WORLDWIDE</t>
  </si>
  <si>
    <t>SWAMI MINES SAU</t>
  </si>
  <si>
    <t>SEMAC</t>
  </si>
  <si>
    <t>BAMBUK MINERALS</t>
  </si>
  <si>
    <t>FUTURIS IMMOBILIER</t>
  </si>
  <si>
    <t>MBF PROPERTIES SA</t>
  </si>
  <si>
    <t>MAISON INTERNATIONALE DU COMMERCE (MIC)</t>
  </si>
  <si>
    <t>MOUHAMED RASSOUL SECK SERVICES</t>
  </si>
  <si>
    <t>DIAMENTE TECHNOLOGIE</t>
  </si>
  <si>
    <t>ALBINA SENEGAL</t>
  </si>
  <si>
    <t>SOCIETE SENEGALAISE DES MINES ET CARRIERES</t>
  </si>
  <si>
    <t>LES CARRIERES DE DAROU</t>
  </si>
  <si>
    <t>MANSOUR YAYOU MANSOUR</t>
  </si>
  <si>
    <t>ENTREPRISE GENERALE D'ELECTRICITE</t>
  </si>
  <si>
    <t>NOUVELLES SOCIETE DES MINES ET DES TRAVAUX PUBLIQUES</t>
  </si>
  <si>
    <t>MOUVEMENT FEDERAL ANSAROUL AHMADIYA</t>
  </si>
  <si>
    <t>MBS BUSINESS SERVICES</t>
  </si>
  <si>
    <t>GRAVILLONS MMS ET SITOR SA</t>
  </si>
  <si>
    <t>PRESTIGES-EXPORT LLC</t>
  </si>
  <si>
    <t>AGEM</t>
  </si>
  <si>
    <t>TANOR SOLUTIONS INDUSTRIELLES</t>
  </si>
  <si>
    <t>ETABLISSEMENT WI MARS</t>
  </si>
  <si>
    <t>DIENG &amp; CO ENGINEERING SAS</t>
  </si>
  <si>
    <t>GOLD COAST</t>
  </si>
  <si>
    <t>TWYFORD CERAMICS LIMITED</t>
  </si>
  <si>
    <t>BABJUF MINES</t>
  </si>
  <si>
    <t>RAMATOO</t>
  </si>
  <si>
    <t>YAN WEST AFRICA INVESTMENT</t>
  </si>
  <si>
    <t>PROFILEX COMPANY</t>
  </si>
  <si>
    <t>KAYAR HMC MINING SA</t>
  </si>
  <si>
    <t>JIWANA RESOURCES PTY. LTD.</t>
  </si>
  <si>
    <t>SOMINES GRANULATS SA</t>
  </si>
  <si>
    <t>LES GRANDS TRAVAUX DU SAHEL</t>
  </si>
  <si>
    <t>AFRICAINE DE TRAVAUX D'INGENIERIE ET DE SERVICES</t>
  </si>
  <si>
    <t>COMPTOIR COMMERCIAL BAYE IBRA THIAW</t>
  </si>
  <si>
    <t>SADIO TRADING</t>
  </si>
  <si>
    <t>POINT OF VIEW</t>
  </si>
  <si>
    <t>ETABLISSEMENT OUSMANE SOW</t>
  </si>
  <si>
    <t>COMPTOIR AURIFERE DE L'AFRIQUE</t>
  </si>
  <si>
    <t>SALAM GOLD</t>
  </si>
  <si>
    <t>UNIVERSAL BUSINESS COMPANY</t>
  </si>
  <si>
    <t>SOCIETE D'EQUIPEMENT ET DE CONSTRUCTION</t>
  </si>
  <si>
    <t>DIENG FAMILY</t>
  </si>
  <si>
    <t>SIMEC ENTREPRISES</t>
  </si>
  <si>
    <t>VAN OORD DRAGAGES ET TRAVAUX MARITIMES SENEGAL</t>
  </si>
  <si>
    <t>SENEGAL MINING AND SERVICES CORPORATE</t>
  </si>
  <si>
    <t>SOCIETE NDIGUEULE FALL</t>
  </si>
  <si>
    <t>GAYE SERIGNE ASS FALLE</t>
  </si>
  <si>
    <t>ZEYNA TRANSPORTS-IMMO-CONSTRUCTIONS</t>
  </si>
  <si>
    <t>ETABLISSEMENT AMADOU DIALLO</t>
  </si>
  <si>
    <t>AIDARA GESTION IMMOBILIERE CONSTRUCTION-COMMERCE MULTISERVICES</t>
  </si>
  <si>
    <t>EIFFAGE</t>
  </si>
  <si>
    <t>NIANE SERIGNE MBACKE</t>
  </si>
  <si>
    <t>JEAN LEFEBVRE SENEGAL</t>
  </si>
  <si>
    <t>SOCIETE COMMERCIAL NDIABOUR NDIGAL SA</t>
  </si>
  <si>
    <t>HOLDING ATLANTIC MINING PETROLUM " MINE PETRO-SA"</t>
  </si>
  <si>
    <t>DAMASH MINERALS LTD</t>
  </si>
  <si>
    <t>COMMUNE DE NDANDE</t>
  </si>
  <si>
    <t>GECAMINES GRANULATS</t>
  </si>
  <si>
    <t>SOCIETE DIAMADA INTERNATIONAL</t>
  </si>
  <si>
    <t>SENEGALAISE DE COMMERCE ET DE SERVICES</t>
  </si>
  <si>
    <t>MARSAL TRANSPORT ET LOGISTIC</t>
  </si>
  <si>
    <t>INTERNATIONAL COMPANY OF TRADE AND SERVICES SA ; SOCIETE CAPITAL PLUS</t>
  </si>
  <si>
    <t>MAXAJARA INVEST</t>
  </si>
  <si>
    <t>INTERNATIONAL DAROU SALAM ENTREPRISE</t>
  </si>
  <si>
    <t>SOCIETE DE DEVELOPPEMENT ET DE CONSTRUCTION</t>
  </si>
  <si>
    <t>SOCIETE POUR LE DEVELOPPEMENT DE L'INDUSTRIE DU TOURISME ET DE L'HABITAT AU SENEGAL (SODEVIT)</t>
  </si>
  <si>
    <t>COMMUNE DE DIAMAL</t>
  </si>
  <si>
    <t>SOCIETE DE COMMERCE DE PRODUIT D'ACIER</t>
  </si>
  <si>
    <t>TOP DU MONDE</t>
  </si>
  <si>
    <t>MASSILATOURS</t>
  </si>
  <si>
    <t>MS MINES</t>
  </si>
  <si>
    <t>KHOUMA COMPAGNIE</t>
  </si>
  <si>
    <t>SOCIETE SENEGALAISE DE CHAUX</t>
  </si>
  <si>
    <t>TERANGAMINE</t>
  </si>
  <si>
    <t>MALICK MAGLOIRE LOGBO</t>
  </si>
  <si>
    <t>SOCIETE DE FORAGE ET DE TRAVAUX PUBLICS MINING</t>
  </si>
  <si>
    <t>SENECORPORATION</t>
  </si>
  <si>
    <t>SOCIETE IMMOBILIER 3KF</t>
  </si>
  <si>
    <t>SERVICE REGIONAL DE TAMBACOUNDA</t>
  </si>
  <si>
    <t>COMMUNE DE MABO</t>
  </si>
  <si>
    <t>SOCIETE SENEGALAISE DE CONSTRUCTION ET D 'AMENAGEMENT</t>
  </si>
  <si>
    <t>LOGICOM</t>
  </si>
  <si>
    <t>BANDESERVICES</t>
  </si>
  <si>
    <t>C&amp;A BUILDING</t>
  </si>
  <si>
    <t>SAMB CONSULTING</t>
  </si>
  <si>
    <t>SOFITA SERVICES &amp; LOGISTIQUE</t>
  </si>
  <si>
    <t>SOCIETE DE CONSTRUCTION ET DE PRESTATIONS DE SERVICES</t>
  </si>
  <si>
    <t>ABN HOLDING-SARL</t>
  </si>
  <si>
    <t>GROUPE MOZAIC</t>
  </si>
  <si>
    <t>MENDY DOUDOU</t>
  </si>
  <si>
    <t>HORIZON PLUS TECHNOLOGIE</t>
  </si>
  <si>
    <t>ETABLISSEMENT IDDIS INTERNATIONAL</t>
  </si>
  <si>
    <t>NDIAYE OUSMANE CARAHMA</t>
  </si>
  <si>
    <t>GENERAL TRAVAUX EQUIPEMENT</t>
  </si>
  <si>
    <t>GOLDIMA</t>
  </si>
  <si>
    <t>DIMAT BAT &amp; TP SAU</t>
  </si>
  <si>
    <t>CHESSER SAU</t>
  </si>
  <si>
    <t>NDIAYE PAPA OUSMANE</t>
  </si>
  <si>
    <t>CILAGE MINE</t>
  </si>
  <si>
    <t>MAIGA HOLDING</t>
  </si>
  <si>
    <t>GOLDSKY</t>
  </si>
  <si>
    <t>RASSOUL MINING OIL GAS &amp; ENERGY</t>
  </si>
  <si>
    <t>SOCIETE D'EXPLOITATION DE LOGISTIQUE ET DES TRAVAUX</t>
  </si>
  <si>
    <t>TABASS SOCIETE</t>
  </si>
  <si>
    <t>MINE PETRO SA</t>
  </si>
  <si>
    <t>ETAT DU SENEGAL</t>
  </si>
  <si>
    <t>S&amp;S INDUSTRIAL CO. LTD AND GUANXI HANRUI INVESTEMENT GROUP SENEGAL SA</t>
  </si>
  <si>
    <t>SENEGALAISE DE CARRIERES</t>
  </si>
  <si>
    <t>ETABLISSEMENT GENERAL DE COMMERCE IMPORT/EXPORT</t>
  </si>
  <si>
    <t>LES SERVITEURS</t>
  </si>
  <si>
    <t>ALWAR PRODUCTION GROUP</t>
  </si>
  <si>
    <t>KOUNDA GROUP SA</t>
  </si>
  <si>
    <t>SCI FABITAPH</t>
  </si>
  <si>
    <t>DIAGNE ASSANE</t>
  </si>
  <si>
    <t>HARANGA RESOURCES LIMETED</t>
  </si>
  <si>
    <t>SAFIA IMPORT EXPORT</t>
  </si>
  <si>
    <t>EL MODI SERVICES</t>
  </si>
  <si>
    <t>COMMUNE GUEDE VILLAGE</t>
  </si>
  <si>
    <t>BAMTAARE COMPANY</t>
  </si>
  <si>
    <t>SOCIETE IMMOBILIERE D'HABIT MODERNES</t>
  </si>
  <si>
    <t>BOUTA CONSULTING ET SERVICE (GAYE PAPA AL HOUSSEYNOU)</t>
  </si>
  <si>
    <t>ROMOU-SASU</t>
  </si>
  <si>
    <t>LES MINES DE DIAMA</t>
  </si>
  <si>
    <t>ENTREPRISE DE DISTRIBUTION</t>
  </si>
  <si>
    <t>COLAS AFRIQUE SUCCURSALE DU SENEGAL</t>
  </si>
  <si>
    <t>ECOTRA SA</t>
  </si>
  <si>
    <t>SCI NGARAFF</t>
  </si>
  <si>
    <t>GENERAL DE SERVICE DE NDINDY</t>
  </si>
  <si>
    <t>SOCIETE INTERNATIONALE DE BATIMENT ET DE COMMERCE ET DE TRAVAUX PUBLICS (SICOBAT TP)</t>
  </si>
  <si>
    <t>LANVIC CONSULTING</t>
  </si>
  <si>
    <t>CHEIKH TRANSPORT CARRIERE</t>
  </si>
  <si>
    <t>MAODO GLOBAL BUISINESS</t>
  </si>
  <si>
    <t>AL JABER BTP SAU</t>
  </si>
  <si>
    <t>SILO SENEGAL</t>
  </si>
  <si>
    <t>ICONS</t>
  </si>
  <si>
    <t>PARTNERS MINING DEVELOPMENT SERVICES SAS</t>
  </si>
  <si>
    <t>AMK RESSOURCES</t>
  </si>
  <si>
    <t>SDT NEW ENERGY TECHNOLOGY</t>
  </si>
  <si>
    <t>TSENG GOLD GROUP</t>
  </si>
  <si>
    <t>CONSTRUCTION COMMERCE BATIMENT TRAVAUX PUBLIC</t>
  </si>
  <si>
    <t>DIA AMINATA</t>
  </si>
  <si>
    <t>NODA SA</t>
  </si>
  <si>
    <t>BA MAMADOU</t>
  </si>
  <si>
    <t>ETABLISSEMENT BAYA</t>
  </si>
  <si>
    <t>HYDROMIN SENEGAL</t>
  </si>
  <si>
    <t>ENTREPRISE GENERALE DE TRAVAUX PUBLICS ET BATIMENTS</t>
  </si>
  <si>
    <t>BAKHOUM BUSINESS COMPAGNY</t>
  </si>
  <si>
    <t>SAOCASIK COMPANU SASU</t>
  </si>
  <si>
    <t>TANOR SA</t>
  </si>
  <si>
    <t>SCI LA PROMOBILERE</t>
  </si>
  <si>
    <t>SOM-SOLUTION MINING</t>
  </si>
  <si>
    <t>ENTREPRISE LINTHIO GLOBAL BUSINESS</t>
  </si>
  <si>
    <t>ENTREPRISE DE RECHERCHE ET D'EXPLOITATION MIIERE (EREM)</t>
  </si>
  <si>
    <t>LOGBO MALICK MAGLOIRE</t>
  </si>
  <si>
    <t>CONSTRUCTION GESTION INNOVATION IMMOBILIERE</t>
  </si>
  <si>
    <t>INTERNATIONAL CONSULTING GROUP</t>
  </si>
  <si>
    <t>SARR BOUNA</t>
  </si>
  <si>
    <t>MAIRIE DE KEUR BAKA</t>
  </si>
  <si>
    <t>GARAGE DU SINE NIANE ET FRERES</t>
  </si>
  <si>
    <t>AFRICA CAPITAL INVEST-SARL</t>
  </si>
  <si>
    <t>BAYE ISMAILA GUEYE PRESTATAIRE</t>
  </si>
  <si>
    <t>SOLUTION MODERNE</t>
  </si>
  <si>
    <t>THIAM YOUSSOU</t>
  </si>
  <si>
    <t>GENERALE ENTREPRISE DE REALISATION D'ETUDE ET DE SUPERVISION</t>
  </si>
  <si>
    <t>MAOR TECHNOLOGIES SA</t>
  </si>
  <si>
    <t>SOCIETE GADDE FROID PRESTATIONS ET SERVICES</t>
  </si>
  <si>
    <t>ICIBUSINESS</t>
  </si>
  <si>
    <t>SOCIETE SEN AFRICA SERVICES</t>
  </si>
  <si>
    <t>SCI ARAMIS IMMOBILIER</t>
  </si>
  <si>
    <t>MAIN</t>
  </si>
  <si>
    <t>SOCIETE EDTSG-SARL</t>
  </si>
  <si>
    <t>SENECARRIERE</t>
  </si>
  <si>
    <t>CARRIMINES GROUP</t>
  </si>
  <si>
    <t>COMMUNE DE ROSS-BETHIO</t>
  </si>
  <si>
    <t>ZEYNA TRANSPORTS IMMO CONSTRUCTIONS</t>
  </si>
  <si>
    <t>CODIMAT</t>
  </si>
  <si>
    <t>DELTA MARINE BUSINESS INDUSTRIEL DU SENEGAL</t>
  </si>
  <si>
    <t>SOCIETE D'EXPLOITATION MINIERE IMMOBILIERE ET COMMERCIALE</t>
  </si>
  <si>
    <t>THIAM CHEIKH AHMADOU BAMBA</t>
  </si>
  <si>
    <t>ASSANE MINING INVESTMENT GROUP</t>
  </si>
  <si>
    <t>BIJOUTERIE SERIGNE BABACAR SY</t>
  </si>
  <si>
    <t>SENEGALAISE D'ETUDE, DE REALISATION ET DE SERVICES SA</t>
  </si>
  <si>
    <t>GEOPARTNERS CONSULTING</t>
  </si>
  <si>
    <t>SOCIETE DE GESTION DES CARRIERES DU SENEGAL</t>
  </si>
  <si>
    <t>MBACKE MOHAMADOU MOURTADA</t>
  </si>
  <si>
    <t>NOGAYE BUSINESS CONSULTING COMPAGNY</t>
  </si>
  <si>
    <t>NGALOU EXPLOITATION ET SERVICES-SASU</t>
  </si>
  <si>
    <t>COULIBALY CREATIVES MINES</t>
  </si>
  <si>
    <t>LAMTORO NATURAL RERSOURCES</t>
  </si>
  <si>
    <t>ETABLISSEMENT HABIB SAMB</t>
  </si>
  <si>
    <t>SENGPS MINING</t>
  </si>
  <si>
    <t>S.S - D.D SA</t>
  </si>
  <si>
    <t>WAHABA BUILDING</t>
  </si>
  <si>
    <t>SCI HOLDING MBAR</t>
  </si>
  <si>
    <t>AFRIQUE MINES COMPANY PLUS</t>
  </si>
  <si>
    <t>DIARRA MAMADOU DIAKHATE</t>
  </si>
  <si>
    <t>CEDEAO</t>
  </si>
  <si>
    <t>GROUPE DE SOCIETES ULSAN</t>
  </si>
  <si>
    <t>NDOYE ABDOULAYE (EAND)</t>
  </si>
  <si>
    <t>KAPI GROUP</t>
  </si>
  <si>
    <t>AIR DYNAMICS SOLUTIONS SENEGAL</t>
  </si>
  <si>
    <t>ROYAL SENEGAL MINES ET EQUIPEMENTS</t>
  </si>
  <si>
    <t>GOLD MINING CORPORATION</t>
  </si>
  <si>
    <t>PFO AFRICA SENEGAL SA</t>
  </si>
  <si>
    <t>GALASS DISTRIBUTION INTERNATIONALE ET SERVICES</t>
  </si>
  <si>
    <t>COMMUNE DE NDIEBENE GANDIOL</t>
  </si>
  <si>
    <t>COMMUNE DE BOKHOL</t>
  </si>
  <si>
    <t>MAIRIE DE BOKHOL</t>
  </si>
  <si>
    <t>COMPAGNY SAKHO - C.S</t>
  </si>
  <si>
    <t>MAIRIE DE DYA</t>
  </si>
  <si>
    <t>COMMUNE DE KEUR MADIABEL</t>
  </si>
  <si>
    <t>DI CORP SAS</t>
  </si>
  <si>
    <t>KEDA CERAMICS COMPANY LIMITED</t>
  </si>
  <si>
    <t>DIA COMPANY NAFOORE-SARL</t>
  </si>
  <si>
    <t>SOCIETE DAROU SALAM TAWFEKH</t>
  </si>
  <si>
    <t>ETABLISSEMENT SERIGNE BABACAR</t>
  </si>
  <si>
    <t>AXIOME GROUP</t>
  </si>
  <si>
    <t>AFRICA GREEN MINING</t>
  </si>
  <si>
    <t>RAZEL SENEGAL</t>
  </si>
  <si>
    <t>FUERTESEN</t>
  </si>
  <si>
    <t>SOCIETE YPSOS EXPLORATION MANAGEMENT CONSTRUCTION</t>
  </si>
  <si>
    <t>EL HADJI SEYDOU NOUROU DIALLO</t>
  </si>
  <si>
    <t>HANSA GEOMIN CONSULT GMBH</t>
  </si>
  <si>
    <t>CHINA GEO ENGINEERING CORPORATION INTERNATIONAL SENEGAL SA</t>
  </si>
  <si>
    <t>CONDURIL ENGENHARIA SENEGAL</t>
  </si>
  <si>
    <t>SOCIETE AUXILIAIRE D'ENTREPRISE</t>
  </si>
  <si>
    <t>BATI SOLAR</t>
  </si>
  <si>
    <t>SOCIETE SENEGALAISE D'EXPLOITATION DES RESSOURCES NATURELLES</t>
  </si>
  <si>
    <t>PRYM'OR</t>
  </si>
  <si>
    <t>CSE/SOSETER</t>
  </si>
  <si>
    <t>YAMAR SEYE</t>
  </si>
  <si>
    <t>TABOU SERVICES</t>
  </si>
  <si>
    <t>GIACHINO MARIO SYLVAIN</t>
  </si>
  <si>
    <t>BUISINESS E IVESTOR GRUPO INVERSOR</t>
  </si>
  <si>
    <t>INSTITUT ISLAMIQUE DAARA DAROU SALAM GAYE</t>
  </si>
  <si>
    <t>ENTREPRISE-CONSTRUCTION-COMMERCE DE TRANSPORT ET DE TRANSFORMATION</t>
  </si>
  <si>
    <t>BURGER</t>
  </si>
  <si>
    <t>DIAW MATAR</t>
  </si>
  <si>
    <t>OUSMANE SERVICES GROUP</t>
  </si>
  <si>
    <t>MOUNA TRANSPORT</t>
  </si>
  <si>
    <t>UNIVERSAL TRADE</t>
  </si>
  <si>
    <t>DABAKH TRANSPORT</t>
  </si>
  <si>
    <t>BATIMENTS EBENISTERIE CONSTRUCTION METALLIQUE ET COMMERCE GENERAL</t>
  </si>
  <si>
    <t>SOCIETE AFRICAINE DE DEVELOPPEMENT ECONOMIQUE ET SOCIAL INTEGRE</t>
  </si>
  <si>
    <t>MAMADOU DIA</t>
  </si>
  <si>
    <t>ALY SALA KANE</t>
  </si>
  <si>
    <t>ADAD SAS</t>
  </si>
  <si>
    <t>LAM GOLD COMPANY</t>
  </si>
  <si>
    <t>SARL SENEGAL GOLD RECORD TRADING</t>
  </si>
  <si>
    <t>CHERIF AMADOU SENE</t>
  </si>
  <si>
    <t>BOUBACAR WANE</t>
  </si>
  <si>
    <t>MAMADOU LO</t>
  </si>
  <si>
    <t>HOLDING KEUR KHADIM</t>
  </si>
  <si>
    <t>SOCIETE GENERALE DES TRAVAUX PUBLICS</t>
  </si>
  <si>
    <t>PAN AFRICAN SENEGAL LIMITED</t>
  </si>
  <si>
    <t>PANAFRICAIN MINERALS RESSOURCES LTD; SAHEL INVESTMENT &amp; CONSULTING</t>
  </si>
  <si>
    <t>PALM RESOURCES</t>
  </si>
  <si>
    <t>PAPA ABDOULAYE BAKHOUM</t>
  </si>
  <si>
    <t>MOMATH CISSE</t>
  </si>
  <si>
    <t>ABDOULAYE FALL</t>
  </si>
  <si>
    <t>MOURTALA KA</t>
  </si>
  <si>
    <t>OROMIN EXPLORATION LTD</t>
  </si>
  <si>
    <t>LES SPECIALISTES DU BATIMENTS &amp; TP</t>
  </si>
  <si>
    <t>NABOU TRANSPORT</t>
  </si>
  <si>
    <t>K INTER</t>
  </si>
  <si>
    <t>ENTREPRISE DE MANUTENTION TRANSPORT ET DE CONCASSAGE</t>
  </si>
  <si>
    <t>GLOBAL ROUTE SERVICES</t>
  </si>
  <si>
    <t>SANDIARA PRESTIGE GROUP</t>
  </si>
  <si>
    <t>AGENCE IMMOBILIERE "LA BAIE"</t>
  </si>
  <si>
    <t>ENTREPRISE KEBEWHEWEL</t>
  </si>
  <si>
    <t>GLOBAL FALLENE HOLDING SERVICE</t>
  </si>
  <si>
    <t>MINERAL TRADE GROUP</t>
  </si>
  <si>
    <t>CORE MINERALS PTE.LTD</t>
  </si>
  <si>
    <t>MAKO EXPLORATION COMPANY SA</t>
  </si>
  <si>
    <t>KANSALA RESOURCES</t>
  </si>
  <si>
    <t>URAMIN EXPLORATION LIMITED</t>
  </si>
  <si>
    <t>SENGOLD MINING N.L.</t>
  </si>
  <si>
    <t>COMPAGNIE DES ARGILES DU SAHEL</t>
  </si>
  <si>
    <t>SOCIETE MINIERE INDUSTRIELLE ET COMMERCIALE</t>
  </si>
  <si>
    <t>MAURIGOLD LTD</t>
  </si>
  <si>
    <t>SO.CE.MI.CA</t>
  </si>
  <si>
    <t>SOCIETE DE LOGISTIQUE INTERNATIONALE DU SENEGAL ORIENTAL</t>
  </si>
  <si>
    <t>SOCIETE INTERNATIONALE DES BIENS ET SERVICES</t>
  </si>
  <si>
    <t>SOCIETE DE DEVELOPPEMENT ET D'APPLICATIONS TECHNIQUES</t>
  </si>
  <si>
    <t>EMIS</t>
  </si>
  <si>
    <t>SOCIETE KEBE DE CONCASSAGE ET DE TRAVAUX PUBLICS</t>
  </si>
  <si>
    <t>CCIA</t>
  </si>
  <si>
    <t>AXIOME DEVELOPPEMENT</t>
  </si>
  <si>
    <t>MATLOGEC</t>
  </si>
  <si>
    <t>LIBAH INVESTMENTS LIMITED (DPPM)</t>
  </si>
  <si>
    <t>AFRICAN MINERAL CORPORATION</t>
  </si>
  <si>
    <t>BARGNY CALCAIRE</t>
  </si>
  <si>
    <t>CERAM</t>
  </si>
  <si>
    <t>NDIOUK</t>
  </si>
  <si>
    <t>COMICA</t>
  </si>
  <si>
    <t>NGUER</t>
  </si>
  <si>
    <t>SOCIETE 2 MI</t>
  </si>
  <si>
    <t>SENEGALAISE DE MINES ET DE TRAVAUX PUBLICS</t>
  </si>
  <si>
    <t>CAYORIENNE DES TRANSPORTS, CARRIERES ET TRAVAUX PUBLICS</t>
  </si>
  <si>
    <t>AXMIN LIMITED</t>
  </si>
  <si>
    <t>SN MINERAL MINING</t>
  </si>
  <si>
    <t>MG TRADE FINANCES INTERNATIONAL</t>
  </si>
  <si>
    <t>SENOR GROUP</t>
  </si>
  <si>
    <t>CARRIERE - INDUSTRIE - MINES</t>
  </si>
  <si>
    <t>SOMICAS</t>
  </si>
  <si>
    <t>SENEGAL MINING CORPORATION SA</t>
  </si>
  <si>
    <t>SOCIETE SENEGALAISE DES TRANSPORTS, TRAVAUX HYDRAULIQUES, ROUTES ET ASSAISSEMENTS</t>
  </si>
  <si>
    <t>ENTREPRISE DES TRAVAUX PUBLICS ET D'ETUDES</t>
  </si>
  <si>
    <t>CAMISEN</t>
  </si>
  <si>
    <t>SY DJAMIL</t>
  </si>
  <si>
    <t>FIBRO MAC</t>
  </si>
  <si>
    <t>ROXWELL MINING LIMITED</t>
  </si>
  <si>
    <t>ORANTO PETROLEUM LIMITED</t>
  </si>
  <si>
    <t>KOCHMAN</t>
  </si>
  <si>
    <t>GOLDSTONE RESOURCES LTD</t>
  </si>
  <si>
    <t>COMPLEXE TOUBA KERE</t>
  </si>
  <si>
    <t>SOCIETE COMMERCIALE INDUSTRIELLE AGROPASTORALE ET TRANSPORT</t>
  </si>
  <si>
    <t>ALFA SENEGAL TRANSPORT</t>
  </si>
  <si>
    <t>BUSINESS DEVELOPPEMENT AGROALIMENTAIRE</t>
  </si>
  <si>
    <t>SOCIETE D'EXPLOITATION DES CARRIERES DU BAOL</t>
  </si>
  <si>
    <t>IBRAHIMA SAMB</t>
  </si>
  <si>
    <t>DESPLATS</t>
  </si>
  <si>
    <t>NAFPEC</t>
  </si>
  <si>
    <t>ASTRON LIMITED</t>
  </si>
  <si>
    <t>SENEGAL MINING RESOURCES</t>
  </si>
  <si>
    <t>GLOBAL TRANSPORT ET MINES</t>
  </si>
  <si>
    <t>ETUDE TOPOGRAPHIQUE ET MINIERE</t>
  </si>
  <si>
    <t>LAMINIA RESSOURCES</t>
  </si>
  <si>
    <t>CEPHOS INTERNATIONAL</t>
  </si>
  <si>
    <t>MAGO RESOURCES</t>
  </si>
  <si>
    <t>RIVERDALE RESOURCES LIMITED</t>
  </si>
  <si>
    <t>SOCIETE DES TRANSPORTS ET DES TRAVAUX PUBLICS</t>
  </si>
  <si>
    <t>NOUVELLE SOCIETE DE CONCASSAGE DE BASALTE DE LAMANE</t>
  </si>
  <si>
    <t>NABADJI MINERALS</t>
  </si>
  <si>
    <t>COGEC</t>
  </si>
  <si>
    <t>ENERGY AND MINING CORPORATION</t>
  </si>
  <si>
    <t>ERIN RESOURCES SENEGAL</t>
  </si>
  <si>
    <t>ETUDE ET REALISATION BATIMENET- ASSAINISSEMENT- TERRASSEMENT</t>
  </si>
  <si>
    <t>3S INTERNATIONAL</t>
  </si>
  <si>
    <t>SOCIETE DES DRAGAGES ET TRAVAUX PUBLICS</t>
  </si>
  <si>
    <t>MAILLAT</t>
  </si>
  <si>
    <t>GRETA RESOURCES SENEGAL</t>
  </si>
  <si>
    <t>IB DISTRIBUTION</t>
  </si>
  <si>
    <t>YPSOS EXPLOITATION MANAGEMENT CONSTRUCTION</t>
  </si>
  <si>
    <t>CK CARRIRES SA</t>
  </si>
  <si>
    <t>SENETRANS AFRICA BUSINESS (SETAB)</t>
  </si>
  <si>
    <t>SOZAMINES</t>
  </si>
  <si>
    <t>ALUMINIUM DU SENEGAL</t>
  </si>
  <si>
    <t>IRIS RESSOURCES</t>
  </si>
  <si>
    <t>PRODEMINE LTD</t>
  </si>
  <si>
    <t>SIPRES</t>
  </si>
  <si>
    <t>YORO NDIAYE</t>
  </si>
  <si>
    <t>RC CONSTRUCOES SENEGAL SAU</t>
  </si>
  <si>
    <t>MSF</t>
  </si>
  <si>
    <t>ALFOUSSEYNI BADIANE</t>
  </si>
  <si>
    <t>MYSAKA GROUP SAS</t>
  </si>
  <si>
    <t>XELCOM TRADING</t>
  </si>
  <si>
    <t>THOCOMAR</t>
  </si>
  <si>
    <t>GM GOLD GUEYE MAHAMADOU</t>
  </si>
  <si>
    <t>NATIONAL CONSTRUCTION</t>
  </si>
  <si>
    <t>NDIAGNA NIANG</t>
  </si>
  <si>
    <t>GROUPEMENT HOUAR-SINTRAM</t>
  </si>
  <si>
    <t>KEYSTONE</t>
  </si>
  <si>
    <t>SOCODIS-INTERNATIONAL</t>
  </si>
  <si>
    <t>AMADOU OURY DIALLO</t>
  </si>
  <si>
    <t>CHEICKNA KOUREKAMA</t>
  </si>
  <si>
    <t>HABIBOU GABRIEL DIOUF</t>
  </si>
  <si>
    <t>ABDOULAYE TOURE</t>
  </si>
  <si>
    <t>NIBODJI-TRADE-CENTER</t>
  </si>
  <si>
    <t>ETUDES ET EXPLOITATION INDUSTRIELLES ET COMMERCIALES DE L'OR EN AFRIQUE</t>
  </si>
  <si>
    <t>SOCIETE D'EXPLOITATION DES GISEMENTS DE MARBRES</t>
  </si>
  <si>
    <t>ECAR SA</t>
  </si>
  <si>
    <t>SENEGALAISE DES MATERIAUX DE CONSTRUCTION</t>
  </si>
  <si>
    <t>S&amp;S INDUSTRIAL COMPANY LIMITED</t>
  </si>
  <si>
    <t>FIDEO HOLDING SASU</t>
  </si>
  <si>
    <t>CHEIKH KANE TRANSPORTEUR SAU</t>
  </si>
  <si>
    <t>ZELTEX SENEGAL SA</t>
  </si>
  <si>
    <t>GENERAL TRANSPORT AND LOGISTICS SAS</t>
  </si>
  <si>
    <t>ETUDE CONSTRUCTION SERVICE-E.C.S. GENIE CIVIL</t>
  </si>
  <si>
    <t>PROMSPEC</t>
  </si>
  <si>
    <t>ORIENTAL GENIE CIVIL</t>
  </si>
  <si>
    <t>SOCIETE ATLANTIQUE HYDROCARBURE GROUPE</t>
  </si>
  <si>
    <t>LES CARRIERES DE DIACK</t>
  </si>
  <si>
    <t>AFRICAN INDUSTRIES GATEWAY</t>
  </si>
  <si>
    <t>SOCIETE SENEGALAISE DE CONSTRUCTION ET DE PROMOTION IMMOBILIERE</t>
  </si>
  <si>
    <t>SENEGAL MINERGY PORT</t>
  </si>
  <si>
    <t>SOCIETE SENEGALAISE DE TRANSPORT SUR CHANTIER</t>
  </si>
  <si>
    <t>MINERAL MINING ENERGY</t>
  </si>
  <si>
    <t>TEYLIOM LOGISTICS SENEGAL</t>
  </si>
  <si>
    <t>COMMUNAUTE LAYENNE</t>
  </si>
  <si>
    <t>ETABLISSEMENT TOUBA DAROU KHOUDOSS</t>
  </si>
  <si>
    <t>GENERALE D'ENTREPRISE</t>
  </si>
  <si>
    <t>HENAN CHINE SENAGAL SA</t>
  </si>
  <si>
    <t>LES MANGUIERS DE BAMBILOR</t>
  </si>
  <si>
    <t>DIALLO IBRAHIMA</t>
  </si>
  <si>
    <t>ENTREPRISE D'EXPLOITATION DES CARRIERES</t>
  </si>
  <si>
    <t>SUXALY SINE</t>
  </si>
  <si>
    <t>DIAMALAYE MINES</t>
  </si>
  <si>
    <t>COOPERATIVE D'HABITAT LA SAMARITAINE</t>
  </si>
  <si>
    <t>COMPAGNIE SENEGALO MAROCAINE D'INVESTISSEMENT</t>
  </si>
  <si>
    <t>SOCIETE IMMOBILIERE AFRICAINE</t>
  </si>
  <si>
    <t>MINEKIP FOURNITURES MINIERES</t>
  </si>
  <si>
    <t>GAM-SENE MGTL IMPORT ET EXPORT</t>
  </si>
  <si>
    <t>GUEYE SAMBA THIAM</t>
  </si>
  <si>
    <t>OMAR KANDJI</t>
  </si>
  <si>
    <t>KEUR KHADIM BTP ET SERVICES</t>
  </si>
  <si>
    <t>SOCIETE MINIERE DU DIOBASSE SA</t>
  </si>
  <si>
    <t>ASSOCIATION INTERNATIONALE SECOURS A L'ENFANCE ET LA FEMME RURALE</t>
  </si>
  <si>
    <t>AFRICA GLOBE</t>
  </si>
  <si>
    <t>ETABLISSEMENT OUMAR DIENG</t>
  </si>
  <si>
    <t>CIMAT</t>
  </si>
  <si>
    <t>SOCIETE AFRICAINE D'ACHAT DE RACHAT ET DE DISTRIBUTION</t>
  </si>
  <si>
    <t>ASSOCIATION ISLAMIQUE DE SECOURS A L'ENFANCE DESHERITEE</t>
  </si>
  <si>
    <t>ZAHRA</t>
  </si>
  <si>
    <t>KHADIM SECK</t>
  </si>
  <si>
    <t>RAMATOULAYE SALL</t>
  </si>
  <si>
    <t>ALYOU</t>
  </si>
  <si>
    <t>HES</t>
  </si>
  <si>
    <t>OXIM SERVICES</t>
  </si>
  <si>
    <t>FAR INDUSTRIES</t>
  </si>
  <si>
    <t>MAMADOU MANE</t>
  </si>
  <si>
    <t>COMPAGNIE SENEGALAISE DE TRAVAUX PUBLICS</t>
  </si>
  <si>
    <t>ORIGINES SA-2S</t>
  </si>
  <si>
    <t>SENEGALAISE DE VOIRIE DE TRAVAUX PUBLICS ET DE GENIE CIVIL</t>
  </si>
  <si>
    <t>COMPAGNIE SENEGALAISE DE PROMOTION IMMOBILIERE</t>
  </si>
  <si>
    <t>REFLEXE CONSTRUCTION</t>
  </si>
  <si>
    <t>COMMUNE DE JOAL FADIOUTH</t>
  </si>
  <si>
    <t>IBRAHIMA DIOP</t>
  </si>
  <si>
    <t>OUMAR DEME</t>
  </si>
  <si>
    <t>EL HADJI MOR NDIAYE</t>
  </si>
  <si>
    <t>KHELCOM'S LION</t>
  </si>
  <si>
    <t>SOMEF</t>
  </si>
  <si>
    <t>OUMY MBAYE</t>
  </si>
  <si>
    <t>MBAYE KANE</t>
  </si>
  <si>
    <t>GROUPEMENT DES ANCIENS MILITAIRES ET PARAMILITAIRES DE KEDOUGOU</t>
  </si>
  <si>
    <t>ETABLISSEMENT KHADIM SAMB</t>
  </si>
  <si>
    <t>ALIOU ABDOULAYE GASSAMA</t>
  </si>
  <si>
    <t>SR THIES/ETAT MINISTERE CHARGE DES MINES</t>
  </si>
  <si>
    <t>BUSINESS LINK GROUP</t>
  </si>
  <si>
    <t>GEOENERGY AFRICA</t>
  </si>
  <si>
    <t>GROUPE TRAVAUX BUSINESS BALANCE D'OR</t>
  </si>
  <si>
    <t>SENEMINE</t>
  </si>
  <si>
    <t>TOPA TOOL</t>
  </si>
  <si>
    <t>CHIALI SERVICES AFRIQUE DE L'OUEST</t>
  </si>
  <si>
    <t>SOCIETE D'INVESTISSEMENT INDUSTRIEL</t>
  </si>
  <si>
    <t>SORY TOURE</t>
  </si>
  <si>
    <t>ASSOCIATION NATIONALE DES MARCHANDS D'OR COLLECTEURS REVENDEURS (ANMO/CRV)</t>
  </si>
  <si>
    <t>AXIOM RESOURCES</t>
  </si>
  <si>
    <t>DAKAR POST HORIZON CORPORATION SAS</t>
  </si>
  <si>
    <t>EST CISSOKHO</t>
  </si>
  <si>
    <t>DEMSEN</t>
  </si>
  <si>
    <t>OUMAR SISSOKO</t>
  </si>
  <si>
    <t>GOUVERNANCE THIES</t>
  </si>
  <si>
    <t>SOCIETE DE GENIE CIVIL SA</t>
  </si>
  <si>
    <t>ETABLISSEMENT YACINE DIALLO</t>
  </si>
  <si>
    <t>RAWANE DIOP</t>
  </si>
  <si>
    <t>DEME SOLARIS INDUSTRIE</t>
  </si>
  <si>
    <t>SPINTECH</t>
  </si>
  <si>
    <t>MARCELUCE BULIN</t>
  </si>
  <si>
    <t>MAMADOU SYLLA</t>
  </si>
  <si>
    <t>ALY WANE</t>
  </si>
  <si>
    <t>MAMADOU DRAME</t>
  </si>
  <si>
    <t>GEOMIN</t>
  </si>
  <si>
    <t>SIDIYA DIABY</t>
  </si>
  <si>
    <t>LUCIANO BRASCA</t>
  </si>
  <si>
    <t>SIDIYA TOURE</t>
  </si>
  <si>
    <t>DIST LUB</t>
  </si>
  <si>
    <t>AEAN DEVELOPPEMENT</t>
  </si>
  <si>
    <t>GROUPEMENT KHALIL ET SERVICES</t>
  </si>
  <si>
    <t>ASCOM WEST AFRICA</t>
  </si>
  <si>
    <t>CARRIERE JONATHAN KHALIL</t>
  </si>
  <si>
    <t>C.S.C TRADING SASU</t>
  </si>
  <si>
    <t>SEN AFRICA SERVICES</t>
  </si>
  <si>
    <t>HBTP</t>
  </si>
  <si>
    <t>GROUPEMENT D'ACHAT PHENIX</t>
  </si>
  <si>
    <t>GROUPE TOP HORIZON</t>
  </si>
  <si>
    <t>CARMISEN</t>
  </si>
  <si>
    <t>ETABLISSEMENT TAMSIR MBOUP ET FRERES</t>
  </si>
  <si>
    <t>CARNEGIE/ASTRON</t>
  </si>
  <si>
    <t>SOCIETED'INVESTISSEMENT DE NEGOCE ET DE BAMIMENT</t>
  </si>
  <si>
    <t>MINEEX</t>
  </si>
  <si>
    <t>SHILOH MINERAL – PROSPECTION</t>
  </si>
  <si>
    <t>OULOUSE PROMO</t>
  </si>
  <si>
    <t>GROUPEMENT EGCA</t>
  </si>
  <si>
    <t>AGEM EXPLORATION SENEGAL</t>
  </si>
  <si>
    <t>DARA MEALS</t>
  </si>
  <si>
    <t>SERVICE INFORMATIQUES ET TELECOM-CONNECT</t>
  </si>
  <si>
    <t>VIA BAMABA</t>
  </si>
  <si>
    <t>SARSARA INDUSTRIES SA</t>
  </si>
  <si>
    <t>COMMUNE DE NDIEYENE SIRAKH</t>
  </si>
  <si>
    <t>KAYAR DAROU SALAM</t>
  </si>
  <si>
    <t>DJOR AFRICA</t>
  </si>
  <si>
    <t>LOUM MAMADOU</t>
  </si>
  <si>
    <t>GOLD FAMILY</t>
  </si>
  <si>
    <t>SOCIETE D'INTERVENTIONS FINANCIERES</t>
  </si>
  <si>
    <t>SO.FR.U</t>
  </si>
  <si>
    <t>SASE</t>
  </si>
  <si>
    <t>KA BUISINESS COMPANY</t>
  </si>
  <si>
    <t>COMMUNE DE POROKHANE</t>
  </si>
  <si>
    <t>DALEMA RESOURCES</t>
  </si>
  <si>
    <t>GEOTOP INGENIEURIE</t>
  </si>
  <si>
    <t>CISSE OUSMANE</t>
  </si>
  <si>
    <t>GLOBAL GEOSERVICES GROUP-SARL</t>
  </si>
  <si>
    <t>SCI SAFAR</t>
  </si>
  <si>
    <t>LASSANA CISSOKHO</t>
  </si>
  <si>
    <t>VALOMINING SASU</t>
  </si>
  <si>
    <t>SKDT NEW ENERGY TECHNOLOGY</t>
  </si>
  <si>
    <t>GUENE MINING</t>
  </si>
  <si>
    <t>MADISSIMO SA</t>
  </si>
  <si>
    <t>HAYRE MINING SAU</t>
  </si>
  <si>
    <t>ETABLISSEMENT BABACAR MBAYE DIOP -ETS B.M.D</t>
  </si>
  <si>
    <t>GEOCOM SONSULTING ET SERVICES</t>
  </si>
  <si>
    <t>SOCIETE CIVILE IMMOBILIERE FABITAPH</t>
  </si>
  <si>
    <t>GEOCOM CONSULTING &amp; SERVICES</t>
  </si>
  <si>
    <t>MDNC SA</t>
  </si>
  <si>
    <t>BELEL MINING</t>
  </si>
  <si>
    <t>PRESTRANS HOLDING-SARL</t>
  </si>
  <si>
    <t>WEST AFRICA MINES</t>
  </si>
  <si>
    <t>SENEMINING SA</t>
  </si>
  <si>
    <t>DIMEX</t>
  </si>
  <si>
    <t>GANGUE TOUS TRAVAUX</t>
  </si>
  <si>
    <t>NDIONE PROWALO</t>
  </si>
  <si>
    <t>TPGLOBAL SERVICE</t>
  </si>
  <si>
    <t>SAMB HABIB</t>
  </si>
  <si>
    <t>GEO PARTNER CONSULTING</t>
  </si>
  <si>
    <t>LES CIMENTS DU SAHEL SA</t>
  </si>
  <si>
    <t>CAT EXPERT COMPANY</t>
  </si>
  <si>
    <t>SAMEU BAY DOUNDE</t>
  </si>
  <si>
    <t>SUNU RESSOURCES MINING - SAS</t>
  </si>
  <si>
    <t>DIAKANCO MULTIMEDIA DESIGN</t>
  </si>
  <si>
    <t>SOCIETE DE DEVELOPPEMENT D'INVESTISSEMENT ET DE SERVICES</t>
  </si>
  <si>
    <t>SOCIETE CIVILE LANSAR</t>
  </si>
  <si>
    <t>GUEYE ASSANE</t>
  </si>
  <si>
    <t>NIANG KHALIFA</t>
  </si>
  <si>
    <t>COOPERATIVE D'HABITAT ET DE CONSTRUCTION LA SAMARITAINE</t>
  </si>
  <si>
    <t>GOLDEN KADIOR SAS</t>
  </si>
  <si>
    <t>MIPTEC SAS</t>
  </si>
  <si>
    <t>HALWAAR MINES</t>
  </si>
  <si>
    <t>I-CONS</t>
  </si>
  <si>
    <t>SEN JINHUI MINERAL</t>
  </si>
  <si>
    <t>GALAM SA</t>
  </si>
  <si>
    <t>HOLDING GUEYE SA</t>
  </si>
  <si>
    <t>LES MINES DE LA LUMIERE</t>
  </si>
  <si>
    <t>SOCIETE ENTREPRISE HOUAR SA</t>
  </si>
  <si>
    <t>COMMUNE DE NYASSIA</t>
  </si>
  <si>
    <t>SHIYUAN SURAL</t>
  </si>
  <si>
    <t>YA NGONE HOLDING</t>
  </si>
  <si>
    <t>COMMUNE DE RIBOT ESCALE</t>
  </si>
  <si>
    <t>COMMUNE DE KAHI</t>
  </si>
  <si>
    <t>SOCIETE GENERALE KHADIM GAYE</t>
  </si>
  <si>
    <t>COMMUNE DE ADEANE</t>
  </si>
  <si>
    <t>TERANGA NATIONAL CIMENT SA</t>
  </si>
  <si>
    <t>NOUVELLE SOCIETE D'APPUI MINIER ET LOGISTIQUE</t>
  </si>
  <si>
    <t>ORPAILLEUSES DU SENEGAL ORIENTAL</t>
  </si>
  <si>
    <t>COMMUNE DE DIOULACOLON</t>
  </si>
  <si>
    <t>TENKHOTO MINE ET TRAVAUX</t>
  </si>
  <si>
    <t>K RESOURCES CORPORATION</t>
  </si>
  <si>
    <t>COMMUNE DE GNITH</t>
  </si>
  <si>
    <t>SADIAKHOU BRAFE COUNDA</t>
  </si>
  <si>
    <t>COMMUNE DE SARE COLLY SALLE</t>
  </si>
  <si>
    <t>SOCIETE DE TRAVAUX ET DE COMMERCE SA</t>
  </si>
  <si>
    <t>COMMUNE DE OUNCK</t>
  </si>
  <si>
    <t>COMMUNE DE DIEMBERING</t>
  </si>
  <si>
    <t>COMMUNE DE KATABA 1</t>
  </si>
  <si>
    <t>COMMUNE DE BOUTOUPA CAMARACOUNDA</t>
  </si>
  <si>
    <t>MADINA ACTION GLOBAL</t>
  </si>
  <si>
    <t>COMMUNE DE DABALY</t>
  </si>
  <si>
    <t>ENTREPRISE DE CONSTRUCTION GENERAL WEST AFRICA -SARL</t>
  </si>
  <si>
    <t>SENEGALAISE DES TRAVAUX PUBLICS</t>
  </si>
  <si>
    <t>HKB DEVELOPPEMENT</t>
  </si>
  <si>
    <t>KEDSEN LLC (ABDEL AZIZ NIANG)</t>
  </si>
  <si>
    <t>SERIGNE MODOU NIANG</t>
  </si>
  <si>
    <t>SARR GLOBAL TRADING</t>
  </si>
  <si>
    <t>SALOUM AVICOLE</t>
  </si>
  <si>
    <t>GENIE ET CARRIERE</t>
  </si>
  <si>
    <t>MACKI TALL</t>
  </si>
  <si>
    <t>EDS USA LLC</t>
  </si>
  <si>
    <t>SIAP</t>
  </si>
  <si>
    <t>AMMSA GROUP LIMITED</t>
  </si>
  <si>
    <t>BONDOU S.A.U</t>
  </si>
  <si>
    <t>SSL CAPITAL INVESTMENT</t>
  </si>
  <si>
    <t>INTERNATIONAL MINING SERVICES SENEGAL</t>
  </si>
  <si>
    <t>KACTUS GROUP</t>
  </si>
  <si>
    <t>CGCOC</t>
  </si>
  <si>
    <t>FALCONWOOD CONSULTING</t>
  </si>
  <si>
    <t>WORLD EXPORT INVESTMENT</t>
  </si>
  <si>
    <t>SHEKINA GROUPE</t>
  </si>
  <si>
    <t>GASTON-PRODUCTION</t>
  </si>
  <si>
    <t>GROUPE AKMG AFRIQUE</t>
  </si>
  <si>
    <t>PRODMINE</t>
  </si>
  <si>
    <t>IBRAHIMA TOURE</t>
  </si>
  <si>
    <t>MYA TRADING</t>
  </si>
  <si>
    <t>SOCIETE SENEGALAISE D'INTERMEDIATION</t>
  </si>
  <si>
    <t>SENEGALAISE DES MINES ET TRANSPORT</t>
  </si>
  <si>
    <t>TERANGA GOLD</t>
  </si>
  <si>
    <t>IBA CISSÉ</t>
  </si>
  <si>
    <t>ADAMA DIAKHATE</t>
  </si>
  <si>
    <t>AMADOU KEBE</t>
  </si>
  <si>
    <t>PAPE SANGONÉ SALL</t>
  </si>
  <si>
    <t/>
  </si>
  <si>
    <t>VINCI GRANDS PROJETS/ANDRITZ-HYDRO</t>
  </si>
  <si>
    <t>MAIRE DE KEUR BABA</t>
  </si>
  <si>
    <t>MOUSSA FALL</t>
  </si>
  <si>
    <t>TIENDREBEOGO ALI</t>
  </si>
  <si>
    <t>MAIRIE DE LA COMMUNE DE BAGADADJI</t>
  </si>
  <si>
    <t>COMMUNE DE COUMBACARA</t>
  </si>
  <si>
    <t>COMMUNE DE KANDIA</t>
  </si>
  <si>
    <t>IBRAHIMA NIANG</t>
  </si>
  <si>
    <t>MACTAR NDIAYE</t>
  </si>
  <si>
    <t>NGAGNE THIAM</t>
  </si>
  <si>
    <t>PAPE ABDOULAYE BAKHOUME</t>
  </si>
  <si>
    <t>AMADOU NDIAYE</t>
  </si>
  <si>
    <t>BABACAR SOCE</t>
  </si>
  <si>
    <t>OUMAR DIOP</t>
  </si>
  <si>
    <t>NDOYE ABDOULAYE</t>
  </si>
  <si>
    <t>ABDOURAHMANE NDIAYE</t>
  </si>
  <si>
    <t>MBARGO DIA</t>
  </si>
  <si>
    <t>LABA BA</t>
  </si>
  <si>
    <t>SEYNABOU NDIAYE</t>
  </si>
  <si>
    <t>SELLE NDOYE</t>
  </si>
  <si>
    <t>SENTHRAS SURL</t>
  </si>
  <si>
    <t>CHEIKH TALL DIOUM</t>
  </si>
  <si>
    <t>ABIBOU FAYE</t>
  </si>
  <si>
    <t>ASSANE BEYE</t>
  </si>
  <si>
    <t>MATAR DIOP</t>
  </si>
  <si>
    <t>ALHASSANE DIENG</t>
  </si>
  <si>
    <t>EDK OIL</t>
  </si>
  <si>
    <t>CHEIKH KANE</t>
  </si>
  <si>
    <t>SCI AMWAST ALMADIES</t>
  </si>
  <si>
    <t>MOUHAMADOU MOUSTAPHA SY</t>
  </si>
  <si>
    <t>BADA NDIAYE</t>
  </si>
  <si>
    <t>AMATH DANSOKHO</t>
  </si>
  <si>
    <t>MAMADOU GADIO</t>
  </si>
  <si>
    <t>AMATH DIALLO</t>
  </si>
  <si>
    <t>EL HADJI BATHIE DIOP</t>
  </si>
  <si>
    <t>AVGOLD LTD</t>
  </si>
  <si>
    <t>MAMADOU GUÈYE</t>
  </si>
  <si>
    <t>EL HADJI CHEIKH THIAM</t>
  </si>
  <si>
    <t>DJIBRIL SECK</t>
  </si>
  <si>
    <t>MOUSSA DIA</t>
  </si>
  <si>
    <t>AMADOU SECK</t>
  </si>
  <si>
    <t>GALLO NGUER</t>
  </si>
  <si>
    <t>JEAN PIERRE CHAMI</t>
  </si>
  <si>
    <t>CHEIKH DIENG</t>
  </si>
  <si>
    <t>ABOU ADAMA DIALLO</t>
  </si>
  <si>
    <t>IBRAHIMA FOFANA</t>
  </si>
  <si>
    <t>SALIOU DIENG</t>
  </si>
  <si>
    <t>PAPE CHEIKH A. NDIAYE</t>
  </si>
  <si>
    <t>SAMBA NIANG</t>
  </si>
  <si>
    <t>ALPHA BOCAR KHOUMA</t>
  </si>
  <si>
    <t>CHEIKH DIOUF</t>
  </si>
  <si>
    <t>HONGTAO BI</t>
  </si>
  <si>
    <t>MOUSSA SISSOKO</t>
  </si>
  <si>
    <t>SERIGNE SIDY MBACKE</t>
  </si>
  <si>
    <t>TERANGA CONTRACTOR</t>
  </si>
  <si>
    <t>BINTA DIA</t>
  </si>
  <si>
    <t>ELIMANE DIOUF</t>
  </si>
  <si>
    <t>DJIBRIL DIA</t>
  </si>
  <si>
    <t>ABDOUL AZIZ DIOP</t>
  </si>
  <si>
    <t>MALICK NDIAYE</t>
  </si>
  <si>
    <t>SAMBA ANE</t>
  </si>
  <si>
    <t>ABDOUL BA</t>
  </si>
  <si>
    <t>MALICK ALIOUNE GUEYE</t>
  </si>
  <si>
    <t>PAUL R. M. JOANNON</t>
  </si>
  <si>
    <t>MOHAMED GAYE</t>
  </si>
  <si>
    <t>NDEYE NGONÉ DIOP</t>
  </si>
  <si>
    <t>ALMAMY DRAME</t>
  </si>
  <si>
    <t>ADAMA DIAKHATÉ NDIAYE</t>
  </si>
  <si>
    <t>OUMAR NGOM</t>
  </si>
  <si>
    <t>MOUHAMADOU MASSECK FALL</t>
  </si>
  <si>
    <t>MAMADOU DIOUF CISSE</t>
  </si>
  <si>
    <t>FALLOU THIAM</t>
  </si>
  <si>
    <t>CÉCILE AELÉONORE GBAGUIDI</t>
  </si>
  <si>
    <t>ANHUA XIANGLONG MINING CO., LTD</t>
  </si>
  <si>
    <t>MAMADOU KHALIFA AIDARA</t>
  </si>
  <si>
    <t>SALIF CISSOKHO</t>
  </si>
  <si>
    <t>ABDOU PILOR</t>
  </si>
  <si>
    <t>NAKA KONATE</t>
  </si>
  <si>
    <t>CHEIKH SIDY MOUHAMED DRAME</t>
  </si>
  <si>
    <t>DJIBY BA</t>
  </si>
  <si>
    <t>ALIOUNE NDIAYE</t>
  </si>
  <si>
    <t>BALLA SAMB</t>
  </si>
  <si>
    <t>ABDOUL AZIZ LY</t>
  </si>
  <si>
    <t>MAMADOU SALL</t>
  </si>
  <si>
    <t>KINGROCH MINING SAS</t>
  </si>
  <si>
    <t>YANDICONE FALL</t>
  </si>
  <si>
    <t>MAIRE DE LA COMMUNE DE TASSETTE, THIÈS</t>
  </si>
  <si>
    <t>MAIRIE DE LA COMMUNE DE RONKH-SAINT LOUIS</t>
  </si>
  <si>
    <t>MAIRIE DE LA COMMUNE DE GAÉ- SAINT LOUIS</t>
  </si>
  <si>
    <t>SOCIÉTÉ SÉNÉGALAISE DE PRESTATIONS ET DES MINES</t>
  </si>
  <si>
    <t>TEST</t>
  </si>
  <si>
    <t>COMMUNE DE NDIOGNICK</t>
  </si>
  <si>
    <t>COMMUNE DE NGOYE</t>
  </si>
  <si>
    <t>COMMUNE DE GNIBY</t>
  </si>
  <si>
    <t>TIM WALLIS</t>
  </si>
  <si>
    <t>SPATIAL DIMENSION TEST COMPANY; TIM WALLIS</t>
  </si>
  <si>
    <t>Entreprises</t>
  </si>
  <si>
    <t>MAKABINGUI GOLD OPERATIONS SA</t>
  </si>
  <si>
    <t>BOTO SA</t>
  </si>
  <si>
    <t>CONSORTIUM D'ENTREPRISES</t>
  </si>
  <si>
    <t>EBONY AUSTRALIA TRADE &amp; SERVICES</t>
  </si>
  <si>
    <t>ENTREPRISE GENERALE DE CONSTRUCTION ET D'AMENAGEMENT; GOLD MINE BUSINESS</t>
  </si>
  <si>
    <t>STRATEX-EMC SA</t>
  </si>
  <si>
    <t>INTERNATIONAL TRADING COMPANY</t>
  </si>
  <si>
    <t>SENECARMINES</t>
  </si>
  <si>
    <t>SENEGALEASE GREEN GOLD</t>
  </si>
  <si>
    <t>SOCIETE D'ETUDES ET DE REALISATION DES PHOSPHATES DE MATAM</t>
  </si>
  <si>
    <t>SOCIETE D'EXPLOITATION DES MINES ET CARRIERES</t>
  </si>
  <si>
    <t>SOCIETES DE FORAGES ET DES TRAVAUX PUBLICS</t>
  </si>
  <si>
    <t>SOCIETE ZHENGWEI TECHNIQUE SENEGAL</t>
  </si>
  <si>
    <t>SOCIETE SENEGALAISE D'EXPLOITATION DE CARRIERES</t>
  </si>
  <si>
    <t>SOCIETE INDUSTRIELLE ET COMMERCIALE DE L'AUTOMOBILE DU SENEGAL</t>
  </si>
  <si>
    <t>SOCIETE INDUSTRIELLE DE TRAITEMENT D'ORDURES MENAGERES</t>
  </si>
  <si>
    <t>SOCIETE DE NEGOCE D'INTERMEDIATION ET D'INVESTISSEMENT</t>
  </si>
  <si>
    <t>SOCIETE D'AMENAGEMENT DE BATIMENT ET D'ETUDES GENERALES</t>
  </si>
  <si>
    <t>SOCIETE CIVILE IMMOBILIERE</t>
  </si>
  <si>
    <t>RSP GROUP</t>
  </si>
  <si>
    <t>ETABLISSEMENT DABAKH TRANSPORT</t>
  </si>
  <si>
    <t>EXCEL GROUP COMPANY</t>
  </si>
  <si>
    <t>SAKHO MAME KHADY</t>
  </si>
  <si>
    <t>SOCIETE TIMITA TECHNO SERVICES</t>
  </si>
  <si>
    <t>TIANJI INVESTMENTS GROUP</t>
  </si>
  <si>
    <t>ABDOULAYE SECK</t>
  </si>
  <si>
    <t>ABSSATOU MBACKE DIOKHANE</t>
  </si>
  <si>
    <t>AFG RESSOURCES</t>
  </si>
  <si>
    <t>ALASSANE DIENG</t>
  </si>
  <si>
    <t>AMD CONSULTING</t>
  </si>
  <si>
    <t>AMOULYAKAAR NDOYE</t>
  </si>
  <si>
    <t>BETON DU SAHEL</t>
  </si>
  <si>
    <t>CASA BAMBA</t>
  </si>
  <si>
    <t>CHEIKH DIAO</t>
  </si>
  <si>
    <t>CHERIF GASSAMA</t>
  </si>
  <si>
    <t>CIMENTS DE L'AFRIQUE</t>
  </si>
  <si>
    <t>CK CARRIERE</t>
  </si>
  <si>
    <t>COLT MINE</t>
  </si>
  <si>
    <t>COMMUNE DE NGUIDILLE</t>
  </si>
  <si>
    <t>COMMUNE DE PIRE</t>
  </si>
  <si>
    <t>COMMUNE DE THIENEBA</t>
  </si>
  <si>
    <t>COMPAGNIE SENEGALAISE DES PHOSPHATES DE TAIBA</t>
  </si>
  <si>
    <t>COMPAGNIE DES SABLES DU SENEGAL</t>
  </si>
  <si>
    <t>COMPAGNIE SENEGALAISE DE TRANSPORT MINIER ET AGRICOLE SA</t>
  </si>
  <si>
    <t>DAOUDA FAYE</t>
  </si>
  <si>
    <t>DIA MANSOUR - DIA COMPANY</t>
  </si>
  <si>
    <t>DIAGNE AMADOU MACTAR</t>
  </si>
  <si>
    <t>DIOP ABDOU AZIZ</t>
  </si>
  <si>
    <t>DRAMEALS</t>
  </si>
  <si>
    <t>ECGEAE-SAU</t>
  </si>
  <si>
    <t>EL HADJI ABDOUL AZIZ LO</t>
  </si>
  <si>
    <t>EL HDJI ABDOUL AZIZ LO</t>
  </si>
  <si>
    <t>ENTREPRISE D’ETUDES DE REALISATION ET DE SUPERVISION</t>
  </si>
  <si>
    <t>ENTREPRISE DE TRAVAUX D'INDUSTRIE ET DE COMMERCE</t>
  </si>
  <si>
    <t>ENTREPRISE INTERNATIONALE DES BIENS ET SERVICES</t>
  </si>
  <si>
    <t>ENTRPRISE DE CONSTRUCTION GENERAL WEST AFRICA</t>
  </si>
  <si>
    <t>ETS- DIOME MALICK EXPLOITATION</t>
  </si>
  <si>
    <t>ETUDES DANS LE SECTEUR DES MINES ET FORAGES</t>
  </si>
  <si>
    <t>FUKUSHIMA MASATO</t>
  </si>
  <si>
    <t>GAYA GROUPE OIL</t>
  </si>
  <si>
    <t>GENERAL TRANSPORT &amp; SCE</t>
  </si>
  <si>
    <t>GENERALE DE REALISATION ET D'EQUIPEMENT</t>
  </si>
  <si>
    <t>GENERALE SERVICES</t>
  </si>
  <si>
    <t>JAAMOY</t>
  </si>
  <si>
    <t>18 SAFAR KANE ET FRERES</t>
  </si>
  <si>
    <t>ABDOULAYE DIOP DE THIOUBALOL</t>
  </si>
  <si>
    <t>AFRIQUE YIRINA</t>
  </si>
  <si>
    <t>AGIR POUR LE DEVELOPPEMENT LOCAL</t>
  </si>
  <si>
    <t>AGRI PLUS</t>
  </si>
  <si>
    <t>ALA MOUTA</t>
  </si>
  <si>
    <t>BALAL COMMUNE DE MADINA FOULBE</t>
  </si>
  <si>
    <t>BAMOU SERVICES</t>
  </si>
  <si>
    <t>BAMTAARE DE MADINA FOULBE</t>
  </si>
  <si>
    <t>BB GOLD &amp; FILS</t>
  </si>
  <si>
    <t>BELEDOUGOU MAMAKHONO</t>
  </si>
  <si>
    <t>BEN KABARA</t>
  </si>
  <si>
    <t>BENCOUTOU</t>
  </si>
  <si>
    <t>BENKANTO DJINDJI</t>
  </si>
  <si>
    <t>BENKHADI DE BOUNTOUNG</t>
  </si>
  <si>
    <t>BIJOUTERIE AIR FRANCE</t>
  </si>
  <si>
    <t>BINKADIYA</t>
  </si>
  <si>
    <t>BMC</t>
  </si>
  <si>
    <t>BOOK JOM ANDE LIGUEY MECKE</t>
  </si>
  <si>
    <t>BOSSOCOUNDA DE FARABA</t>
  </si>
  <si>
    <t>BOUSANKO GOLD</t>
  </si>
  <si>
    <t>CARECIM</t>
  </si>
  <si>
    <t>CARRACOL</t>
  </si>
  <si>
    <t>CAYOR SILEX CORPORATION CSC</t>
  </si>
  <si>
    <t>CHRYSOS</t>
  </si>
  <si>
    <t>COOPERATIVE DES JEUNES DE MALIKA</t>
  </si>
  <si>
    <t>COUMBOUTOUROU</t>
  </si>
  <si>
    <t>DAKAR EXPRESS</t>
  </si>
  <si>
    <t>DAMBECOULA</t>
  </si>
  <si>
    <t>DES FEMMES DE KEGNEBA</t>
  </si>
  <si>
    <t>DIABY ET FRERES</t>
  </si>
  <si>
    <t>DIAGNE ET FRERES DE SARAYA</t>
  </si>
  <si>
    <t>DIALLO TRANSPORT ET FILS</t>
  </si>
  <si>
    <t>DIAMAGUIGUI</t>
  </si>
  <si>
    <t>DIEUF DIEUL</t>
  </si>
  <si>
    <t>DINKHA BARA</t>
  </si>
  <si>
    <t>DINNEH</t>
  </si>
  <si>
    <t>DIONDA</t>
  </si>
  <si>
    <t>DJIGUIBADALA</t>
  </si>
  <si>
    <t>DJIGUISSEMBE</t>
  </si>
  <si>
    <t>E.B.T.S</t>
  </si>
  <si>
    <t>ESPERANCE21</t>
  </si>
  <si>
    <t>ESPOIR</t>
  </si>
  <si>
    <t>ETOILE DU SUD</t>
  </si>
  <si>
    <t>EXPRESS LOGISTICS PLUS</t>
  </si>
  <si>
    <t>FAGOU</t>
  </si>
  <si>
    <t>FALL ET FRERES DE KHOUMA</t>
  </si>
  <si>
    <t>FARLOU</t>
  </si>
  <si>
    <t>FEDDE MADINA KENIEBA DIOUBOYE TRONKA</t>
  </si>
  <si>
    <t>FOUKHABA</t>
  </si>
  <si>
    <t>FOULADOU MINES ET BTP</t>
  </si>
  <si>
    <t>FRERES UNIS</t>
  </si>
  <si>
    <t>GANDAL</t>
  </si>
  <si>
    <t>GARAGE SOUF</t>
  </si>
  <si>
    <t>GAS-GOLD</t>
  </si>
  <si>
    <t>GENERAL RESSOURCE</t>
  </si>
  <si>
    <t>GENERAL SERVICE</t>
  </si>
  <si>
    <t>GENERATION 2000 BM</t>
  </si>
  <si>
    <t>GEOCOM CONSULTING SERVICES</t>
  </si>
  <si>
    <t>GIMPEX</t>
  </si>
  <si>
    <t>GOLD PLACER</t>
  </si>
  <si>
    <t>GOLDIE</t>
  </si>
  <si>
    <t>GROUPE AIDE DEVELOPPEMENT</t>
  </si>
  <si>
    <t>GROUPEMENT AGRO PASTORALE</t>
  </si>
  <si>
    <t>IBRAHIMA DIALLO</t>
  </si>
  <si>
    <t>JAMA GUIGUI</t>
  </si>
  <si>
    <t>JOB</t>
  </si>
  <si>
    <t>JOKKER ENDANG WAKILARE</t>
  </si>
  <si>
    <t>KAMBA KAMBA</t>
  </si>
  <si>
    <t>KAMBEN</t>
  </si>
  <si>
    <t>KAMBIN BAADINNIA</t>
  </si>
  <si>
    <t>KAMBING</t>
  </si>
  <si>
    <t>KANBIN BAADIN NA</t>
  </si>
  <si>
    <t>KANKISSI SALAYAMA</t>
  </si>
  <si>
    <t>KARAMBA</t>
  </si>
  <si>
    <t>KEDOUGOU BISNESS</t>
  </si>
  <si>
    <t>KEDOUGOU DENTAL</t>
  </si>
  <si>
    <t>KEITA ET FRERES</t>
  </si>
  <si>
    <t>KEUR SERIGNE SALIOU MBACKE</t>
  </si>
  <si>
    <t>KHALIFA ABABACAR SY</t>
  </si>
  <si>
    <t>KHAMBEINTEINKOTO NDIN</t>
  </si>
  <si>
    <t>LANAYA TOMBOROMADJI</t>
  </si>
  <si>
    <t>LAWOL BAMTAARE</t>
  </si>
  <si>
    <t>LIGGUEY BUNU BOKOU</t>
  </si>
  <si>
    <t>MAGNANKANTY</t>
  </si>
  <si>
    <t>MANKO LIGUEY</t>
  </si>
  <si>
    <t>MARBRE BASALTE-GRANITE DU SENEGAL</t>
  </si>
  <si>
    <t>MATA IBRAHIMA</t>
  </si>
  <si>
    <t>MBAYE TOUBAB</t>
  </si>
  <si>
    <t>MBOLO</t>
  </si>
  <si>
    <t>MEDIA GOLD MINE</t>
  </si>
  <si>
    <t>NDIAYENE COU</t>
  </si>
  <si>
    <t>NGAAY DJITTE</t>
  </si>
  <si>
    <t>NGOUDOUDJI</t>
  </si>
  <si>
    <t>NGUAAYE DJITE</t>
  </si>
  <si>
    <t>NIMZATH MULTISERVICES GOLD BUSINESS</t>
  </si>
  <si>
    <t>NITODIYA PRODUCTION</t>
  </si>
  <si>
    <t>NOUNDAL DE BEROLA GADA MAYO</t>
  </si>
  <si>
    <t>ORPAILLEURS DE BANTAKO</t>
  </si>
  <si>
    <t>OWEN G</t>
  </si>
  <si>
    <t>PASTEEF BEER</t>
  </si>
  <si>
    <t>PERFORMANCES</t>
  </si>
  <si>
    <t>PROKHANE MAME DIARRA SERVICES</t>
  </si>
  <si>
    <t>RAMANDON</t>
  </si>
  <si>
    <t>REBISEN</t>
  </si>
  <si>
    <t>REGROUPEMENT DES CHAUFFEURS BENNE DE TIVAOUANE</t>
  </si>
  <si>
    <t>RELA</t>
  </si>
  <si>
    <t>RIZKHOUMA INDAA LAH</t>
  </si>
  <si>
    <t>SABARI DE TENKOTO SOU</t>
  </si>
  <si>
    <t>SAKEJI AFRIK</t>
  </si>
  <si>
    <t>SANOUBARA</t>
  </si>
  <si>
    <t>SANS SOUCIS</t>
  </si>
  <si>
    <t>SERVICE PLUS</t>
  </si>
  <si>
    <t>SIDIBE ET FRERES</t>
  </si>
  <si>
    <t>SINING KANG</t>
  </si>
  <si>
    <t>SOLIDARITE POUR LE DEVELOPPEMENT</t>
  </si>
  <si>
    <t>SOLUTION GROUPE 2</t>
  </si>
  <si>
    <t>SOXALLI KOM KOM</t>
  </si>
  <si>
    <t>TAIF DE ROSS BETHIO</t>
  </si>
  <si>
    <t>TALALATOU</t>
  </si>
  <si>
    <t>TEDOUGAL</t>
  </si>
  <si>
    <t>TERIYA</t>
  </si>
  <si>
    <t>TESSITO</t>
  </si>
  <si>
    <t>THIERNO ALASSANE DIA ALMOUDOU</t>
  </si>
  <si>
    <t>TIMINANDIYA</t>
  </si>
  <si>
    <t>TOMBOULMA</t>
  </si>
  <si>
    <t>TORODOGOLD SERVICES</t>
  </si>
  <si>
    <t>TOUBA DAROU KHOUDOSS</t>
  </si>
  <si>
    <t>TOUBA MBOUSSOBE</t>
  </si>
  <si>
    <t>TOUTES PRESTATION DE SERVICES FALL MBENGUE</t>
  </si>
  <si>
    <t>TRANSPORT BATIMENT TERRASSEMENT</t>
  </si>
  <si>
    <t>WAKEUR JARAAF</t>
  </si>
  <si>
    <t>WAKILO</t>
  </si>
  <si>
    <t>WALY GNIMA</t>
  </si>
  <si>
    <t>WILLAYA GOLD</t>
  </si>
  <si>
    <t>XEERWI</t>
  </si>
  <si>
    <t>XORONDOM</t>
  </si>
  <si>
    <t>YELLITAARE NDEMA NGAINNAKA</t>
  </si>
  <si>
    <t>GLOBAL EQUIPEMENT SERVICES ET TRAVAUX</t>
  </si>
  <si>
    <t>GOUVERNANCE KEDOUGOU</t>
  </si>
  <si>
    <t>GRANDE COTE OPERATIONS SA</t>
  </si>
  <si>
    <t>GREENFIELD ASSETS INVEST</t>
  </si>
  <si>
    <t>GUEYE NAFISSATOU GOLDIN</t>
  </si>
  <si>
    <t>HACHEM SAFIEDINE</t>
  </si>
  <si>
    <t>IGNACIO GARCIA MARTIN</t>
  </si>
  <si>
    <t>INTERNATIONAL COMPANY OF TRADE AND SERVICES SA</t>
  </si>
  <si>
    <t>INTERNATIONAL MINING AND GOLD COMPANY</t>
  </si>
  <si>
    <t>K &amp; K COMPANY</t>
  </si>
  <si>
    <t>KANE ASSAINISSEMENT DU SENEGAL</t>
  </si>
  <si>
    <t>LAMANA MINES</t>
  </si>
  <si>
    <t>LAMCO INDUSTRIE ET SERVICES</t>
  </si>
  <si>
    <t>LES PROFESSIONNELS DU BATIMENT ET SERVICES</t>
  </si>
  <si>
    <t>LOCAL BUSINESS SERVICES (NDONGO DJIBRIL)</t>
  </si>
  <si>
    <t>MAIRE DE LA COMMUNE DE MBADIANE</t>
  </si>
  <si>
    <t>MAIRIE DE LA COMMUNE DE KATHIOTTE</t>
  </si>
  <si>
    <t>MAIRIE DE LATMINGUE</t>
  </si>
  <si>
    <t>MBACKE SERIGNE CHEIKH IBRA</t>
  </si>
  <si>
    <t>MBAYE FAMILY BUSINESS GROUP</t>
  </si>
  <si>
    <t>MBAYE THIORO</t>
  </si>
  <si>
    <t>MBENGUE ALLE</t>
  </si>
  <si>
    <t>METRE CARRE CONSTRUCTION- SASU</t>
  </si>
  <si>
    <t>MOUHAMADOU LAMINE GASSAMA</t>
  </si>
  <si>
    <t>NDEYE MAGUETTE MAR</t>
  </si>
  <si>
    <t>NDIOGOU DIOUF</t>
  </si>
  <si>
    <t>OUSMANE DIA</t>
  </si>
  <si>
    <t>PAPA MAMADOU HAMADOU GUEYE FAYE</t>
  </si>
  <si>
    <t>PAPA MBAR MBAYE</t>
  </si>
  <si>
    <t>RASSOUL BUILDING</t>
  </si>
  <si>
    <t>RSW INC.</t>
  </si>
  <si>
    <t>SAHEL SHIPPING SA</t>
  </si>
  <si>
    <t>SCATY INDUSTRIES</t>
  </si>
  <si>
    <t>SENE OMAR /DAMOU NGAYE ARAFAT 3</t>
  </si>
  <si>
    <t>SENEGALAISE DE DEVELOPPEMENT F-SY</t>
  </si>
  <si>
    <t>SERSA INVESTMENTS SA</t>
  </si>
  <si>
    <t>SOCIETE DES MINES DE FER DE LA FALEME</t>
  </si>
  <si>
    <t>SOCIETE DE TRAVAUX ET DE COMMERCE -SA</t>
  </si>
  <si>
    <t>SOCIETE DE CARRIERES &amp; MINES</t>
  </si>
  <si>
    <t>SOCIETE DE COMMERCE DE FABRICATION DE MATERIAUX ET CONSTRUCTION-SA</t>
  </si>
  <si>
    <t>SOCIETE FARAFINA GOLD OPERATION</t>
  </si>
  <si>
    <t>SOCIETE IMMOBILIERE WAKEUR MAME CHEIKH IBRAHIMA FALL</t>
  </si>
  <si>
    <t>SOCIETE SAHELIENNE D'EQUIPEMENT ET DE TERASSEMENT</t>
  </si>
  <si>
    <t>SOCIETE SENEGALAISE DE CONCASSAGE</t>
  </si>
  <si>
    <t>SUNMO INTERNATIONAL INVESTMENT COMPAGNIE SN</t>
  </si>
  <si>
    <t>SYMPATIK SERVICE NEW BUSINESS TRADING</t>
  </si>
  <si>
    <t>TAMBA HEARD MINING GROUP</t>
  </si>
  <si>
    <t>TOP GOLD</t>
  </si>
  <si>
    <t>TRAVAUX HYDRAULIQUE DU SAHEL</t>
  </si>
  <si>
    <t>UNIVERSEL SERVICE RAPIDE</t>
  </si>
  <si>
    <t>GEOSERVICES ENGINEERING</t>
  </si>
  <si>
    <t>GENERAL D'INGENIERIE ET DE TECHNOLOGIE</t>
  </si>
  <si>
    <t>SINTRADIMMO</t>
  </si>
  <si>
    <t>AD GOLD</t>
  </si>
  <si>
    <t>MBOLO BAKH</t>
  </si>
  <si>
    <t>AFRICA-IMMO SERVICES</t>
  </si>
  <si>
    <t>AFRICAINE DE TRAVAUX PUBLICS</t>
  </si>
  <si>
    <t>AICHA</t>
  </si>
  <si>
    <t>ALMANI MBAYE KANE</t>
  </si>
  <si>
    <t>AMADOU BOUSSO</t>
  </si>
  <si>
    <t>ASS</t>
  </si>
  <si>
    <t>BATIMENTYS TRAVAUX ET ROUTES</t>
  </si>
  <si>
    <t>BATISSEUR DU SUD</t>
  </si>
  <si>
    <t>BELAA</t>
  </si>
  <si>
    <t>DAROU SALAM TAWFEKH</t>
  </si>
  <si>
    <t>DIAKHATE DAME</t>
  </si>
  <si>
    <t xml:space="preserve">DIENDER </t>
  </si>
  <si>
    <t>DJOLOF TRANSPORT</t>
  </si>
  <si>
    <t>FALILOU DIENG</t>
  </si>
  <si>
    <t>GANDIOL GROUPE</t>
  </si>
  <si>
    <t>MAMOUR NDIAYE</t>
  </si>
  <si>
    <t>MAPATHE NDIOUCK</t>
  </si>
  <si>
    <t>NDIAYE</t>
  </si>
  <si>
    <t>PALLENE SABLE DUNE</t>
  </si>
  <si>
    <t>PAPE DEMBA LO</t>
  </si>
  <si>
    <t>SAFA</t>
  </si>
  <si>
    <t>SAMBA KA</t>
  </si>
  <si>
    <t>SERIGNE CHEIKH AHMED TIDINE SY</t>
  </si>
  <si>
    <t>THIAM PAPA MOUHAMETH</t>
  </si>
  <si>
    <t>WAKEUR BOROM SAME</t>
  </si>
  <si>
    <t>WAKEUR BOROME GAWANE</t>
  </si>
  <si>
    <t>CARAHMA</t>
  </si>
  <si>
    <t>CAYOR SILEX CORPORATION</t>
  </si>
  <si>
    <t>SHENG HUA MINING CO,LTD</t>
  </si>
  <si>
    <t>BOU SERIGNE ABDOU KARIM MBACKÉ</t>
  </si>
  <si>
    <t>ABDOULAYE KEBE</t>
  </si>
  <si>
    <t xml:space="preserve">ABY TOURE </t>
  </si>
  <si>
    <t>ALBARKA</t>
  </si>
  <si>
    <t>ALPHA DIALLO</t>
  </si>
  <si>
    <t>DIOKINE CISSE CONSTRUCTION SENEGAL</t>
  </si>
  <si>
    <t>YA SALAM</t>
  </si>
  <si>
    <t>DANGOTE INDUSTRIES SENEGAL</t>
  </si>
  <si>
    <t>BELEDOUGOU</t>
  </si>
  <si>
    <t>BENNO LIGEY</t>
  </si>
  <si>
    <t xml:space="preserve">BEUGUE FALLOU SERVICES </t>
  </si>
  <si>
    <t>CONSTRUCTION METALLIQUE ET TECHNILOGIE</t>
  </si>
  <si>
    <t>FASSO BARA</t>
  </si>
  <si>
    <t>ISOTHERMI</t>
  </si>
  <si>
    <t>JUMEAUX ET FRERES</t>
  </si>
  <si>
    <t>LENDENG</t>
  </si>
  <si>
    <t>MAKOTEAM MULTISERVICES</t>
  </si>
  <si>
    <t>AFRICA GLOBAL GEOINGENIERIE</t>
  </si>
  <si>
    <t>AFRICA TRADE AND INVESTMENT CONSULTING</t>
  </si>
  <si>
    <t>AFRICA TRADING-EQUIPEMENT ET TRANSPORT</t>
  </si>
  <si>
    <t>AFRICA CONSULTING BUSINESS</t>
  </si>
  <si>
    <t>AFRICA VISION MINING</t>
  </si>
  <si>
    <t>BAOBAB GOLD</t>
  </si>
  <si>
    <t>COMPAGNIE SENEGALAISE DE TRANSPORT MINIER ET AGRICOLE</t>
  </si>
  <si>
    <t>COMPTOIR D'OR DE LA REGION</t>
  </si>
  <si>
    <t>PANAFRICAN MINERAL RESOURCES</t>
  </si>
  <si>
    <t>PETROLEUM SENEGAL INDUSTRIES</t>
  </si>
  <si>
    <t>RACKY PRESTATIONS TECHNIQUES</t>
  </si>
  <si>
    <t>SENEGALAISE DE DISTRIBUTION AGROALIMENTAIRE</t>
  </si>
  <si>
    <t>SOCIETE D'EXPLOITATION MINIERE DU SENEGAL</t>
  </si>
  <si>
    <t>SOCIETE GENERALE DE CARRIERES D'AGRICULTURE ET DES MINIES</t>
  </si>
  <si>
    <t>SOCIETE GENERALE DES MINES</t>
  </si>
  <si>
    <t>SOCIETE IMMOBILIERE DE CONSTRUCTION ET DE GERANCE</t>
  </si>
  <si>
    <t>SS</t>
  </si>
  <si>
    <t>YAMINE</t>
  </si>
  <si>
    <t>WONDER MINE &amp; TRADE</t>
  </si>
  <si>
    <t>ETIC SENEGAL</t>
  </si>
  <si>
    <t>ETOILE X 313</t>
  </si>
  <si>
    <t>EVERGREEN AGRO EXPORT</t>
  </si>
  <si>
    <t>FALL INVESTISSEMENT &amp; COMPAGNIE</t>
  </si>
  <si>
    <t>FATOU NDOUR IMMOBILIER</t>
  </si>
  <si>
    <t>FIRDAWSI GLOBAL BUSINESS</t>
  </si>
  <si>
    <t>GANDHI</t>
  </si>
  <si>
    <t>GASS IMMO</t>
  </si>
  <si>
    <t>GAYE THIOLOM GANDIOLE ENTREPRISES</t>
  </si>
  <si>
    <t>GAYESY</t>
  </si>
  <si>
    <t>AFRICA BUSINESS CENTER</t>
  </si>
  <si>
    <t>AFRICA SERVICES GROUP</t>
  </si>
  <si>
    <t>AFRIK'MINES</t>
  </si>
  <si>
    <t>AFRIKO ZONE</t>
  </si>
  <si>
    <t>AGROMINE</t>
  </si>
  <si>
    <t>ALAMA</t>
  </si>
  <si>
    <t>ALPHA BUSINESS AFRICA GROUP</t>
  </si>
  <si>
    <t>AMATH NDIAYE INTERNATIONALE PRESTIGE</t>
  </si>
  <si>
    <t>AMIN TRANS</t>
  </si>
  <si>
    <t>AVENIR BUSINESS SERVICES</t>
  </si>
  <si>
    <t>BASALT &amp; GRANULAT SENEGAL</t>
  </si>
  <si>
    <t>BETA TRANS</t>
  </si>
  <si>
    <t>BIRAICHA</t>
  </si>
  <si>
    <t>BLACK ROCK MINING</t>
  </si>
  <si>
    <t>BOLIMBA MULTI SERVICES</t>
  </si>
  <si>
    <t>BOUFAN</t>
  </si>
  <si>
    <t>CAYOR TECHNO PLUS</t>
  </si>
  <si>
    <t>CHINA HARBOUR ENGINEERING COMPANY SENEGAL</t>
  </si>
  <si>
    <t>CHROME</t>
  </si>
  <si>
    <t>CISSOKHO ET FRERES KHOSSANTO</t>
  </si>
  <si>
    <t>COMPAGNIE GENERALE DE CONSTRUCTION ET D'EXPLOITATION MINIERE -</t>
  </si>
  <si>
    <t>COMPAGNIE SENEGALAISE DE TRAVAUX ET DE NEGOCE</t>
  </si>
  <si>
    <t>COMPTOIR COMMERCIAL BALLA AICHA CCBA</t>
  </si>
  <si>
    <t>COMPTOIR COMMERCIAL CCBD</t>
  </si>
  <si>
    <t>COMPTOIR COMMERCIAL LA SOLUTION</t>
  </si>
  <si>
    <t>COMPTOIRE COMMERCIAL DAOUDA DIA</t>
  </si>
  <si>
    <t>CWE SENEGAL</t>
  </si>
  <si>
    <t>CARREFOUR IMMO SERVICES</t>
  </si>
  <si>
    <t>HUA FENG TECHNOLOGY SENEGAL CO LTD</t>
  </si>
  <si>
    <t>DAMOUNGHAYE</t>
  </si>
  <si>
    <t>DARAMEALS</t>
  </si>
  <si>
    <t>DAROU MINAM PRESTIGE</t>
  </si>
  <si>
    <t>DAROU SALAM MBOUP WAKEUR SERIGNE MORY</t>
  </si>
  <si>
    <t>DEEJA IMMO</t>
  </si>
  <si>
    <t>DELTA ENTREPRISE</t>
  </si>
  <si>
    <t>DIAMM AK AK NIARIGN</t>
  </si>
  <si>
    <t>DIAMON GOL PETROL SL</t>
  </si>
  <si>
    <t>DIASPORA TRADING SERVICES</t>
  </si>
  <si>
    <t>DIOR GOLD</t>
  </si>
  <si>
    <t>DIYAN EXPLOITATION MINIERE</t>
  </si>
  <si>
    <t>DOLY PRESTATION DE SERVICES EMERGENT</t>
  </si>
  <si>
    <t>DORADO</t>
  </si>
  <si>
    <t>EBD ENTREPRISES</t>
  </si>
  <si>
    <t>ELIKANE</t>
  </si>
  <si>
    <t>ENERGIE DISTRIBUTION SERVICES</t>
  </si>
  <si>
    <t>MAME NDIEGNE BTP</t>
  </si>
  <si>
    <t>ETERVI</t>
  </si>
  <si>
    <t>GENERAL ENTREPRISE MULTISERVICES ABABACAR TOURE GROUP</t>
  </si>
  <si>
    <t>GEOMINE CONSULT</t>
  </si>
  <si>
    <t>GIMAS</t>
  </si>
  <si>
    <t>GLADIAMA</t>
  </si>
  <si>
    <t>GROUPE THOMAS SANKARA</t>
  </si>
  <si>
    <t>HARMONY GROUP</t>
  </si>
  <si>
    <t>HM LOGISTIQUE</t>
  </si>
  <si>
    <t>HUANG LONG GOLD FIELD</t>
  </si>
  <si>
    <t>ICOPRES</t>
  </si>
  <si>
    <t>IMMOCARSEN</t>
  </si>
  <si>
    <t>IVOIRE INGENIERIE PLUS</t>
  </si>
  <si>
    <t>JUMELLES GOLD</t>
  </si>
  <si>
    <t>KAANGUI A-F</t>
  </si>
  <si>
    <t>KABIR 313</t>
  </si>
  <si>
    <t>KHELCOM MINING AGRICULTURE AND TRADING</t>
  </si>
  <si>
    <t>LA CLE</t>
  </si>
  <si>
    <t>LAM</t>
  </si>
  <si>
    <t>LUCKY OCEAN INTERNATIONAL TRADING</t>
  </si>
  <si>
    <t>LYONS FIELD</t>
  </si>
  <si>
    <t>MAGAL GUI CARREAUX</t>
  </si>
  <si>
    <t>MAILITHEN</t>
  </si>
  <si>
    <t>MAREEG</t>
  </si>
  <si>
    <t>MAX STEEL</t>
  </si>
  <si>
    <t>MAYA GOLD</t>
  </si>
  <si>
    <t>MELIFERA</t>
  </si>
  <si>
    <t>MN TRADING COMPANY</t>
  </si>
  <si>
    <t>NABY IMMO</t>
  </si>
  <si>
    <t>NDIOBO ADAMA</t>
  </si>
  <si>
    <t>ORIONGOLD</t>
  </si>
  <si>
    <t>PRESTACOM SENEGAL</t>
  </si>
  <si>
    <t>PROXI SOLUTION</t>
  </si>
  <si>
    <t>QINGNING</t>
  </si>
  <si>
    <t>ROCAMJO</t>
  </si>
  <si>
    <t>SAMASSA HORIZON HOLDING</t>
  </si>
  <si>
    <t>SEMM</t>
  </si>
  <si>
    <t>SENEGAL DIASS MINES</t>
  </si>
  <si>
    <t>SENEGAL MINING &amp; CIVIL INGENEERING</t>
  </si>
  <si>
    <t>SEN-HMC MINING</t>
  </si>
  <si>
    <t>SERIGNE MANSOURSY BOROME DARAJI</t>
  </si>
  <si>
    <t>SINO-AFRICAINE COMMUNICATION</t>
  </si>
  <si>
    <t>SINOIL</t>
  </si>
  <si>
    <t>SIRK INTERNATIONAL MINING</t>
  </si>
  <si>
    <t>SKY SENEGAL</t>
  </si>
  <si>
    <t>SOCIETE COMPAGNIE MOUHAMADOU BEN SALIM</t>
  </si>
  <si>
    <t>SOCIETE DE BATIMENT ET TRAVAUX PUBLICS</t>
  </si>
  <si>
    <t>SOCIETE DE SERVICES, BATIMENT ET COMMERCE INTERNATIONALE 2SBCI</t>
  </si>
  <si>
    <t>SOCIETE D'EXPLOITATION DE CARRIERES</t>
  </si>
  <si>
    <t>SOCIETE DIASS MINES</t>
  </si>
  <si>
    <t>SOCIETE INDUSTRIELLE ET MINIERE</t>
  </si>
  <si>
    <t>SOCIETE QUMBA MORT ET COMPAGNIE</t>
  </si>
  <si>
    <t>SOCIETE SENEGALAISE DE DEVELOPPEMENT ET DE PRODUCTION MINIERE ET SERVICE</t>
  </si>
  <si>
    <t>SOCIETE TOUBA NIBODJI</t>
  </si>
  <si>
    <t>SOCIETES QUMBA MOR ET COMPAGNIE; SOCIETE QUMBA MORT ET COMPAGNIE</t>
  </si>
  <si>
    <t>SODA HOLDING COMPANY</t>
  </si>
  <si>
    <t>SOREXMINE</t>
  </si>
  <si>
    <t>SP INTERNATIONAL</t>
  </si>
  <si>
    <t>STE APANGUENSSO</t>
  </si>
  <si>
    <t>SURVEY SERVICES</t>
  </si>
  <si>
    <t>TABA AGRICULTURE CONSULTING INFRASTRUCTURE AND MINING</t>
  </si>
  <si>
    <t>TAN</t>
  </si>
  <si>
    <t>TOP CONCEPT ET TRAVAUX</t>
  </si>
  <si>
    <t>TOUBA DIALIBATOU PRESTIGE</t>
  </si>
  <si>
    <t>TRANS FAVO</t>
  </si>
  <si>
    <t>TRANSPORT NAR GAYE</t>
  </si>
  <si>
    <t>WAKEUR SERIGNE SALIOU NDIAKHATE ET FRERES</t>
  </si>
  <si>
    <t>WARI VENTURES SENEGAL</t>
  </si>
  <si>
    <t>WEN GROUP</t>
  </si>
  <si>
    <t>BAMBOUK EXPLORATION</t>
  </si>
  <si>
    <t>EBD ENTREPRISE</t>
  </si>
  <si>
    <t>GAYI</t>
  </si>
  <si>
    <t>PS - SENECAT</t>
  </si>
  <si>
    <t>TOUS TRAVAUX SOUS MARINS</t>
  </si>
  <si>
    <t>ACCEO</t>
  </si>
  <si>
    <t>AFRICAN UNDERGROUND MINING SERVICES SENEGAL</t>
  </si>
  <si>
    <t>ARES ARCHITECTURE ET INGÉNIERIE DU BÂTIMENT</t>
  </si>
  <si>
    <t xml:space="preserve">BETON DU SÉNÉGAL </t>
  </si>
  <si>
    <t>COMPAGNIE SENEGALAISE DE TRAVAUX ET D'INTERVENTION</t>
  </si>
  <si>
    <t>CTD CONSTRUCTIONS ET DESIGN</t>
  </si>
  <si>
    <t>DELUXE ENGINEERING COMPANY GROUP</t>
  </si>
  <si>
    <t>DIGITAL AUTOMATION</t>
  </si>
  <si>
    <t>FN GROUP</t>
  </si>
  <si>
    <t>HALADJIAN SENEGAL</t>
  </si>
  <si>
    <t>JAN BTP</t>
  </si>
  <si>
    <t>KAMAF TRANSPORTS</t>
  </si>
  <si>
    <t>KAYNANN</t>
  </si>
  <si>
    <t xml:space="preserve">LE CARTEL DES LOCATIONS DE VEHICULE </t>
  </si>
  <si>
    <t>LOGISTIQUE SUR MESURE</t>
  </si>
  <si>
    <t>MATONDO</t>
  </si>
  <si>
    <t>MATSPACE TECHNOLOGY</t>
  </si>
  <si>
    <t>MENDEZ TUYAUTERIE ET FORAGES</t>
  </si>
  <si>
    <t>PANOM HOLDING</t>
  </si>
  <si>
    <t>POLYTECH ENTREPRISE</t>
  </si>
  <si>
    <t xml:space="preserve">RASSOUL GLOBAL SERVICES </t>
  </si>
  <si>
    <t>RASSOUL INDUSTRIE BTP</t>
  </si>
  <si>
    <t xml:space="preserve">SACOTEN-SN </t>
  </si>
  <si>
    <t>SANGALA</t>
  </si>
  <si>
    <t>SEN LEVAGE</t>
  </si>
  <si>
    <t>SOCIÉTÉ SÉNÉGALAISE DE PRODUITS INDUSTRIELS</t>
  </si>
  <si>
    <t>TOUBA TRAVAUX PUBLICS</t>
  </si>
  <si>
    <t>CENTRAL SPARE PARTS</t>
  </si>
  <si>
    <t>AVA UNIPERSONNELLE</t>
  </si>
  <si>
    <t>2M TRADING MULTISERVICES</t>
  </si>
  <si>
    <t>3T</t>
  </si>
  <si>
    <t>AB MINES</t>
  </si>
  <si>
    <t>ABABACAR DIOP TRANSPORTS</t>
  </si>
  <si>
    <t>ABC-GROUP</t>
  </si>
  <si>
    <t>ADICO</t>
  </si>
  <si>
    <t>AF GROUP</t>
  </si>
  <si>
    <t>AFRIC MINING</t>
  </si>
  <si>
    <t>AFRICA BUSINESS CONTRACTING</t>
  </si>
  <si>
    <t>AFRICA GOLD MINE AND REFINERY COMPANY</t>
  </si>
  <si>
    <t>AFRICA GOLD</t>
  </si>
  <si>
    <t>AFRICAN BUILDERS</t>
  </si>
  <si>
    <t>ALIM GOLD</t>
  </si>
  <si>
    <t>AMCI GOLD MINE</t>
  </si>
  <si>
    <t>AMTRAC</t>
  </si>
  <si>
    <t>ANCR SENEGAL</t>
  </si>
  <si>
    <t>ANDA TRANSIT</t>
  </si>
  <si>
    <t>APROMINE</t>
  </si>
  <si>
    <t>ASAC HOLDING -</t>
  </si>
  <si>
    <t>ASIAN GROUP</t>
  </si>
  <si>
    <t>ASN TRADING &amp; EQUIPEMENTS</t>
  </si>
  <si>
    <t>AVENIR MINERALS</t>
  </si>
  <si>
    <t>AZ SERVICES</t>
  </si>
  <si>
    <t>BAFOUNDOU RESOURCES</t>
  </si>
  <si>
    <t>BAMBA INVESTMENT</t>
  </si>
  <si>
    <t>BAOBAB CAPITAL LIMITED</t>
  </si>
  <si>
    <t>BAOBAB MINERALS</t>
  </si>
  <si>
    <t>BASMALA INTERNATIONAL</t>
  </si>
  <si>
    <t>BEE ENGINEERING</t>
  </si>
  <si>
    <t>BETA TRADE &amp; CONTRACTING</t>
  </si>
  <si>
    <t>BHAIRAVA AGRICOL</t>
  </si>
  <si>
    <t>BINIA RESOURCES</t>
  </si>
  <si>
    <t>BINOME</t>
  </si>
  <si>
    <t>BIRIMIAN RESSOURCES</t>
  </si>
  <si>
    <t>BOSFOR</t>
  </si>
  <si>
    <t>BSM LA BETONNIERE</t>
  </si>
  <si>
    <t>BSTRATEXO</t>
  </si>
  <si>
    <t>BUSINESS INTERNATIONAL COMPANY</t>
  </si>
  <si>
    <t>C.G.B.S SERVICES</t>
  </si>
  <si>
    <t>CAD LOGISTICS</t>
  </si>
  <si>
    <t>CADIOR BHK MINES</t>
  </si>
  <si>
    <t>CARRISEN</t>
  </si>
  <si>
    <t>CENTRALE DE MATERIEL ET MATERIAUX</t>
  </si>
  <si>
    <t>CERPIL</t>
  </si>
  <si>
    <t>CHALLENGERS ASSOCIATES</t>
  </si>
  <si>
    <t>CHL CONSTRUCTION SENEGAL</t>
  </si>
  <si>
    <t>CIMSEN</t>
  </si>
  <si>
    <t>COMINTEX</t>
  </si>
  <si>
    <t>COMPAGNIE DE RECHERCHE ET D'EXPLOITATION MINIERE</t>
  </si>
  <si>
    <t>COMPAGNIE DES TRAVAUX ET CONSTRUCTION</t>
  </si>
  <si>
    <t>COMPAGNIE PRESTIGE IMMOBILIERE -</t>
  </si>
  <si>
    <t>COMPTOIR COMMERCIAL DE SEOKHAYE (CCS)</t>
  </si>
  <si>
    <t>COMPTOIR IMMOBILIER ET SERVICE</t>
  </si>
  <si>
    <t>CONSORTIUM TENDER SA-TENDER AFRICA-PROSPECTIUNI SA</t>
  </si>
  <si>
    <t>CUBO 4</t>
  </si>
  <si>
    <t>DAROU SALAM</t>
  </si>
  <si>
    <t>DAROU SALAM TRANSPORTS</t>
  </si>
  <si>
    <t>DIAMONDIOP ENTREPRISES ET COMPAGNIES</t>
  </si>
  <si>
    <t>DIDI GROUPE</t>
  </si>
  <si>
    <t>DIENABA ET JEAN</t>
  </si>
  <si>
    <t>DIEUF DIEUL TAWFEKH IMMO</t>
  </si>
  <si>
    <t>DMAR GESTION AU</t>
  </si>
  <si>
    <t>DOMAINE ECOLOGIQUE</t>
  </si>
  <si>
    <t>EARTH 7 MINING</t>
  </si>
  <si>
    <t>EAUX SOUTERRAINES DU SENEGAL</t>
  </si>
  <si>
    <t>EEEMS</t>
  </si>
  <si>
    <t>ELENILTO SENEGAL</t>
  </si>
  <si>
    <t>EBATI SENEGAL</t>
  </si>
  <si>
    <t>NAFOR</t>
  </si>
  <si>
    <t>EREM</t>
  </si>
  <si>
    <t>ETABLISSEMENT MAODO MINES</t>
  </si>
  <si>
    <t>ETABLISSEMENT SAM</t>
  </si>
  <si>
    <t>ETERTINY RESSOURCES SERVICES</t>
  </si>
  <si>
    <t>EXPO DAKAR IMPORT EXPORT</t>
  </si>
  <si>
    <t>FAYMINING COPORATE</t>
  </si>
  <si>
    <t>FELOU TRADING IMPORT EXPORT</t>
  </si>
  <si>
    <t>FULCRUM GROUP</t>
  </si>
  <si>
    <t>FUTURMINE</t>
  </si>
  <si>
    <t>GAINDE GOLD</t>
  </si>
  <si>
    <t>GB MINERAL</t>
  </si>
  <si>
    <t>GENERAL MULTI SERVICES TRADING SENEGAL</t>
  </si>
  <si>
    <t>GENERAL SERVICES</t>
  </si>
  <si>
    <t>GENERALE SERVICE</t>
  </si>
  <si>
    <t>GENIT</t>
  </si>
  <si>
    <t>GEO EXPLOIT</t>
  </si>
  <si>
    <t>GEOMINING &amp; CONSULTING (GMC)</t>
  </si>
  <si>
    <t>GEOSERVICES ENGENEERING</t>
  </si>
  <si>
    <t>GETIA INTERNATIONAL</t>
  </si>
  <si>
    <t>GH MINING</t>
  </si>
  <si>
    <t>GLOBAL MINING COMPANY</t>
  </si>
  <si>
    <t>GOLD DRAGON RESSOURCES SENEGAL</t>
  </si>
  <si>
    <t>GOUYE MBINDE CONCASSAGE</t>
  </si>
  <si>
    <t>GROUPE D'ETUDE, DE REALISATION INDUSTRIELLES TECHNOLOGIQUES</t>
  </si>
  <si>
    <t>GROUPEMENT ALHAMAD</t>
  </si>
  <si>
    <t>GROUPOO</t>
  </si>
  <si>
    <t>G-SAND</t>
  </si>
  <si>
    <t>HAMD</t>
  </si>
  <si>
    <t>HGR SENEGAL</t>
  </si>
  <si>
    <t>HOLDING PRESTIGE GOLD</t>
  </si>
  <si>
    <t>IMMO TROPIC</t>
  </si>
  <si>
    <t>IMPERIAL COMMODITIES</t>
  </si>
  <si>
    <t>INCA</t>
  </si>
  <si>
    <t>INDOSEN</t>
  </si>
  <si>
    <t>INSTITUT GEOSCIENCES DE DAKAR</t>
  </si>
  <si>
    <t>INTER GLOBAL SERVICES</t>
  </si>
  <si>
    <t>INTERNATIONAL COMPANY OF TRADE AND SERVICES</t>
  </si>
  <si>
    <t>INTERNATIONAL COMPANY TRADE SERVICE</t>
  </si>
  <si>
    <t>INTERNATIONAL GOLD ALWAR</t>
  </si>
  <si>
    <t>INTERPORT BTP</t>
  </si>
  <si>
    <t>IRONSIDE SENEGAL</t>
  </si>
  <si>
    <t>ITACA</t>
  </si>
  <si>
    <t>ITAL-TECH</t>
  </si>
  <si>
    <t>JINHONG</t>
  </si>
  <si>
    <t>KALE NEW MINERALS LIMITED</t>
  </si>
  <si>
    <t>KAMAC</t>
  </si>
  <si>
    <t>KANEL RESOURCES</t>
  </si>
  <si>
    <t>K-COM</t>
  </si>
  <si>
    <t>KEDOUGOU BUSINESS &amp; MINING SERVICES</t>
  </si>
  <si>
    <t>KEUR BASSINE</t>
  </si>
  <si>
    <t>KEUR RASSOUL MINES</t>
  </si>
  <si>
    <t>KHANIANG LIMITED -</t>
  </si>
  <si>
    <t>KHANING LIMITED</t>
  </si>
  <si>
    <t>KHARAKHENA COMPAGNIE</t>
  </si>
  <si>
    <t>KIMI TRADING</t>
  </si>
  <si>
    <t>L&amp;P HOLDING</t>
  </si>
  <si>
    <t>LA GENERALE DES MINES ET TRAVAUX PUBLIQUES</t>
  </si>
  <si>
    <t>LA SOCIETE SENEGALAISE D'INDUSTRIE ET D'ENTREPRISES</t>
  </si>
  <si>
    <t>LD ECOMINING-</t>
  </si>
  <si>
    <t>LES CARRIERES CTG</t>
  </si>
  <si>
    <t>LES GRANDS TRAVAUX DE GOUNASS</t>
  </si>
  <si>
    <t>LES MAMELLES</t>
  </si>
  <si>
    <t>LES NOUVELLES CARRIERES DU SUD</t>
  </si>
  <si>
    <t>LEYDI MINING COMPANY</t>
  </si>
  <si>
    <t>LEYDI SERVICES -</t>
  </si>
  <si>
    <t>LIN SHI INTERNATIONAL INVESTMENT</t>
  </si>
  <si>
    <t>LION RISE CEMENT CO</t>
  </si>
  <si>
    <t>LITON GROUP LTD</t>
  </si>
  <si>
    <t>MA KE COMPANY</t>
  </si>
  <si>
    <t>MADISEN GOLD</t>
  </si>
  <si>
    <t>MAHWA TREADING</t>
  </si>
  <si>
    <t>MAKE COMPANY</t>
  </si>
  <si>
    <t>MANSI EARTH MOVER</t>
  </si>
  <si>
    <t>MARAX</t>
  </si>
  <si>
    <t>MBACKE ET FILS</t>
  </si>
  <si>
    <t>MBAPAMA B.T.P</t>
  </si>
  <si>
    <t>MBENGUE FAMILY BUSINESS</t>
  </si>
  <si>
    <t>MC TRANSPORT AND TRADING</t>
  </si>
  <si>
    <t>MEDY INDUSTRIE</t>
  </si>
  <si>
    <t>MEDY INDUSTRIES MODERNES</t>
  </si>
  <si>
    <t>MG TRADING</t>
  </si>
  <si>
    <t>MINES ET BATIMENTS GROUP MBG</t>
  </si>
  <si>
    <t>MIRZAN</t>
  </si>
  <si>
    <t>MODOU TOURE GENERAL BUSINESS (MTGB)</t>
  </si>
  <si>
    <t>MOGOMINING ET SERVICES</t>
  </si>
  <si>
    <t>MOM</t>
  </si>
  <si>
    <t>MRL INTERNATIONAL INDUSTRIES</t>
  </si>
  <si>
    <t>MRS MINING SENEGAL</t>
  </si>
  <si>
    <t>MSB BUSINESS</t>
  </si>
  <si>
    <t>MUSA MINING COMPANY</t>
  </si>
  <si>
    <t>NEGOCE FIABLE SENEGAL</t>
  </si>
  <si>
    <t>NEW ENERGY INVESTISMENT</t>
  </si>
  <si>
    <t>NEW SENEGAL INVESTMENT</t>
  </si>
  <si>
    <t>NGALAM MINING</t>
  </si>
  <si>
    <t>NIKANTE SN</t>
  </si>
  <si>
    <t>NIOKOLO MINING</t>
  </si>
  <si>
    <t>NOGA MINE</t>
  </si>
  <si>
    <t>NOUROUL AMINE</t>
  </si>
  <si>
    <t>ONDA MINE</t>
  </si>
  <si>
    <t>ORIENTAL TECHNOLOGIES</t>
  </si>
  <si>
    <t>ORING TECHNOLOGIES</t>
  </si>
  <si>
    <t>OROSEN</t>
  </si>
  <si>
    <t>PACIFIQUE ATLANTIQUE MINE</t>
  </si>
  <si>
    <t>PAN PROJET</t>
  </si>
  <si>
    <t>PHOSPHATES RESSOURCES</t>
  </si>
  <si>
    <t>PMPS MINING COMPANY</t>
  </si>
  <si>
    <t>POTAL GOLD</t>
  </si>
  <si>
    <t>PROMO MINES</t>
  </si>
  <si>
    <t>RUF UNIVERSEL SERVICES</t>
  </si>
  <si>
    <t>S DOM HOLDING GOLD</t>
  </si>
  <si>
    <t>SABOUGNOUMA</t>
  </si>
  <si>
    <t>SAHEL 2M CIE</t>
  </si>
  <si>
    <t>SAHEL MINERALS</t>
  </si>
  <si>
    <t>SAHEL MINES ET LOGISTICS</t>
  </si>
  <si>
    <t>SALAME ENTREPRISE</t>
  </si>
  <si>
    <t>SALLA NIANG</t>
  </si>
  <si>
    <t>SALOUM RESSOURCES</t>
  </si>
  <si>
    <t>SALOUM TRADING SERVICES</t>
  </si>
  <si>
    <t>SAMAIPO</t>
  </si>
  <si>
    <t>SEN CONSORTIUM D'ENTREPRISE</t>
  </si>
  <si>
    <t>SEN UK FARM</t>
  </si>
  <si>
    <t>SENE TURC MO</t>
  </si>
  <si>
    <t>SENEGAL CARRIERE IMMO</t>
  </si>
  <si>
    <t>SENEGALAISE DE NEGOCE ET DE PRESTATION DE SERVICES</t>
  </si>
  <si>
    <t>SENEGALAISE DES MINES &amp; CARRIERES</t>
  </si>
  <si>
    <t>SENEGINDIA</t>
  </si>
  <si>
    <t>SENEGOOD</t>
  </si>
  <si>
    <t>SENFOR</t>
  </si>
  <si>
    <t>SENIP SENEGAL GROUP</t>
  </si>
  <si>
    <t>SERIGNE SALIOU MBACKE</t>
  </si>
  <si>
    <t>SERVEY SERVICES</t>
  </si>
  <si>
    <t>SESAM GOLD</t>
  </si>
  <si>
    <t>SHIFENG MINING COMPANY</t>
  </si>
  <si>
    <t>SILIKA GRANULATS</t>
  </si>
  <si>
    <t>SINEB DAROU NAKHIME</t>
  </si>
  <si>
    <t>SINOHYDRO SENEGAL</t>
  </si>
  <si>
    <t>SIRAJ MINES ET INDUSTRIES</t>
  </si>
  <si>
    <t>SK MINING OPERATIONS</t>
  </si>
  <si>
    <t>SNEPAC INTERNATIONAL</t>
  </si>
  <si>
    <t>SOCAM</t>
  </si>
  <si>
    <t>SOCIETE "S3D"</t>
  </si>
  <si>
    <t>SOCIETE ABABACAR DIOP TRANSPORTS</t>
  </si>
  <si>
    <t>SOCIETE ALMUDO</t>
  </si>
  <si>
    <t>SOCIETE ARHAS</t>
  </si>
  <si>
    <t>SOCIETE BENKHADY BAMBARAYA</t>
  </si>
  <si>
    <t>SOCIETE CARRIERE MINES SENEGAL</t>
  </si>
  <si>
    <t>SOCIETE COMMERCIALE NDIAMBOUR NDIGUEUL</t>
  </si>
  <si>
    <t>SOCIETE DE GESTION DES MINES ET CARRIERES</t>
  </si>
  <si>
    <t>SOCIETE DE TRAVAUX GENERAL ET DE COMMERCE</t>
  </si>
  <si>
    <t>SOCIETE DES TERRES NEUVES</t>
  </si>
  <si>
    <t>SOCIETE GAILLAC-GUEYE</t>
  </si>
  <si>
    <t>SOCIÉTÉ GÉNÉRALE DES MINES -</t>
  </si>
  <si>
    <t>SOCIETE IMMOBILIERE DE DIASS</t>
  </si>
  <si>
    <t>SOCIETE OUEST AFICAINE DE CONCASSAGE (SOAC)</t>
  </si>
  <si>
    <t>SOCIETE BRIQUETERIE INDUSTRIELLE DU SENEGAL</t>
  </si>
  <si>
    <t>SOCIETE SENEGALAISE DE GRAVIERS</t>
  </si>
  <si>
    <t>SOCIETE SENEGALAISE DE SERVICES MINIERS DE GENIE CIVIL</t>
  </si>
  <si>
    <t>SOCIETE SENEGALAISE D'EXPLOITATION ET DE TRANSPORT DES PRODUITS MINIERS</t>
  </si>
  <si>
    <t>SOCIETE WAAGAAN BTP</t>
  </si>
  <si>
    <t>SOCIETES DE SERVICES BATIMENTS ET TRAVAUX PUBLICS</t>
  </si>
  <si>
    <t>SODIPROSEN</t>
  </si>
  <si>
    <t>SOFRU</t>
  </si>
  <si>
    <t>SOGEPROM</t>
  </si>
  <si>
    <t>SOLYA INVESTMENTS</t>
  </si>
  <si>
    <t>SONKO ET FILS</t>
  </si>
  <si>
    <t>SOUMEX</t>
  </si>
  <si>
    <t>SPGCC</t>
  </si>
  <si>
    <t>STAM BDA</t>
  </si>
  <si>
    <t>STARDUST GOLD COMPANY</t>
  </si>
  <si>
    <t>STE.AGRO-SENEGAL EXPORTS</t>
  </si>
  <si>
    <t>SYLLA PRESTATION SERVICES</t>
  </si>
  <si>
    <t>TAMBAKUMALA</t>
  </si>
  <si>
    <t>TAMIL MINES</t>
  </si>
  <si>
    <t>TAWFEKH MINING</t>
  </si>
  <si>
    <t>TAYSIR</t>
  </si>
  <si>
    <t>TAYSTONES</t>
  </si>
  <si>
    <t>TECHNODIS</t>
  </si>
  <si>
    <t>TERANGA COMPAGNIE PLUS</t>
  </si>
  <si>
    <t>TERANGA RESSOURCES SERVICES -</t>
  </si>
  <si>
    <t>THA MINES &amp; INDUSTRIES</t>
  </si>
  <si>
    <t>THERMO LOGIC AFRICA</t>
  </si>
  <si>
    <t>THIORE BUISINESS GROUP</t>
  </si>
  <si>
    <t>TOUBA AGROPOLE</t>
  </si>
  <si>
    <t>TOUBA BAMBILOR IMMOBILIER</t>
  </si>
  <si>
    <t>TOUBA GOLD</t>
  </si>
  <si>
    <t>TOUBA GUEDE IMMOBILIER</t>
  </si>
  <si>
    <t>TOUBA MATERIAUX</t>
  </si>
  <si>
    <t>TOUBA MINING CORPORATION</t>
  </si>
  <si>
    <t>TOUBA XIDMA INTERNATIONAL</t>
  </si>
  <si>
    <t>TOULAYE AFRIQUE</t>
  </si>
  <si>
    <t>TRANSAT</t>
  </si>
  <si>
    <t>TSG MINING COMPANY</t>
  </si>
  <si>
    <t>UNIVERSEL BUSINESS GROUP SENEGAL</t>
  </si>
  <si>
    <t>VIGNESH PRISICA ENTREPRISES</t>
  </si>
  <si>
    <t>WAKA INVESTMENT CORPORATE</t>
  </si>
  <si>
    <t>WAKEUR SERIGNE TOUBA MINES ET CONSTRUCTION</t>
  </si>
  <si>
    <t>WALO MINES EXTRACTION</t>
  </si>
  <si>
    <t>WEST AFRICA MINING</t>
  </si>
  <si>
    <t>WEST AFRICAN MINERALS INC</t>
  </si>
  <si>
    <t>WEST AFRICAN MINING CONSULTANT</t>
  </si>
  <si>
    <t>WESTIN SENEGAL</t>
  </si>
  <si>
    <t>YICHEN</t>
  </si>
  <si>
    <t>ZENITH CONSTRUCTION METALLIQUE</t>
  </si>
  <si>
    <t>ZEYKA</t>
  </si>
  <si>
    <t>GASH MINING SENEGAL</t>
  </si>
  <si>
    <t>GENERALE DE COMMERCE ET D'INDUSTRIE</t>
  </si>
  <si>
    <t>EMMALY</t>
  </si>
  <si>
    <t>EX. &amp; CO</t>
  </si>
  <si>
    <t>P.S.S SERVICES MINES ET CARRIERES</t>
  </si>
  <si>
    <t>SAMAGOLD</t>
  </si>
  <si>
    <t>SOGEMIC</t>
  </si>
  <si>
    <t>AFRICA CARGO CENTRAL</t>
  </si>
  <si>
    <t>AFRICA LUBES AND SERVICES</t>
  </si>
  <si>
    <t xml:space="preserve">AFTERPRO </t>
  </si>
  <si>
    <t>ALS SENEGAL</t>
  </si>
  <si>
    <t>AMBB TECHNOLOGIES</t>
  </si>
  <si>
    <t>B AND O TRADING</t>
  </si>
  <si>
    <t>B2EI</t>
  </si>
  <si>
    <t>BA CONSULTANCE</t>
  </si>
  <si>
    <t>BATINOV</t>
  </si>
  <si>
    <t>BLED</t>
  </si>
  <si>
    <t>BOC LOGISTIC</t>
  </si>
  <si>
    <t>CARRIERE360</t>
  </si>
  <si>
    <t xml:space="preserve">CHALLENGE 2000 </t>
  </si>
  <si>
    <t>CODIPRES</t>
  </si>
  <si>
    <t>CONNECTPLUS SENEGAL</t>
  </si>
  <si>
    <t>CORAXIS</t>
  </si>
  <si>
    <t>CORICA MINING SERVICES</t>
  </si>
  <si>
    <t>DERGANE</t>
  </si>
  <si>
    <t>DIDI'S GARDEN</t>
  </si>
  <si>
    <t>DIENE SERVICE CENTER</t>
  </si>
  <si>
    <t>EATS</t>
  </si>
  <si>
    <t>EAU CLAIRE SENEGAL</t>
  </si>
  <si>
    <t>EMOSFK</t>
  </si>
  <si>
    <t>ENIKON SENEGAL</t>
  </si>
  <si>
    <t>ETIM</t>
  </si>
  <si>
    <t>GREAT MINERALS RESOURCES -</t>
  </si>
  <si>
    <t>GROUPE N2M</t>
  </si>
  <si>
    <t>H.E.C.T</t>
  </si>
  <si>
    <t>HUGUES SOLUTION</t>
  </si>
  <si>
    <t>IMC</t>
  </si>
  <si>
    <t>INDUSTRY PARTNERS</t>
  </si>
  <si>
    <t xml:space="preserve">INSTRUMAINT </t>
  </si>
  <si>
    <t>INTERFACE CAPITAL</t>
  </si>
  <si>
    <t>ITTE CONSULTING</t>
  </si>
  <si>
    <t>JURIFISC &amp; SERVICES CONSULTING</t>
  </si>
  <si>
    <t>KACYBER TECHNOLOGIES</t>
  </si>
  <si>
    <t>LAIMRI</t>
  </si>
  <si>
    <t>LOMBOL SERVICES</t>
  </si>
  <si>
    <t>MINTECH</t>
  </si>
  <si>
    <t>NAY VISION</t>
  </si>
  <si>
    <t>ODIM</t>
  </si>
  <si>
    <t>OTTO BI</t>
  </si>
  <si>
    <t>POLYVALENCE BTP</t>
  </si>
  <si>
    <t>PROSEN</t>
  </si>
  <si>
    <t>SABODALA MINING SERVICE</t>
  </si>
  <si>
    <t>SAHE</t>
  </si>
  <si>
    <t>SAHEL SECURITY</t>
  </si>
  <si>
    <t>SATA</t>
  </si>
  <si>
    <t>SCIS</t>
  </si>
  <si>
    <t>SDMI</t>
  </si>
  <si>
    <t>SENBIO CHIMIE</t>
  </si>
  <si>
    <t>SENEGAL CATERING ET SERVICES</t>
  </si>
  <si>
    <t>SENPROC</t>
  </si>
  <si>
    <t>SET</t>
  </si>
  <si>
    <t>SIGNAL ROUTES</t>
  </si>
  <si>
    <t>SITMEL</t>
  </si>
  <si>
    <t>SOUTIEN INDUSTRIE</t>
  </si>
  <si>
    <t>STEP'IN</t>
  </si>
  <si>
    <t>STR</t>
  </si>
  <si>
    <t>TERANGA MINING SERVICES</t>
  </si>
  <si>
    <t>TRAORE ET COMPAGNIE</t>
  </si>
  <si>
    <t>TRI ENGINEERING</t>
  </si>
  <si>
    <t>GLOBAL GEOSERVICES GROUP</t>
  </si>
  <si>
    <t>SOCABEG</t>
  </si>
  <si>
    <t>GUEYE &amp; FRERES THIORO TRANSPORT</t>
  </si>
  <si>
    <t>GUEYE ET FRERES THIORO TRANSPORT</t>
  </si>
  <si>
    <t>SOCIETE MONTAGE MECANIQUE TUYAUTERIE SOUDURE</t>
  </si>
  <si>
    <t>WEST WIND</t>
  </si>
  <si>
    <t>AREZKI</t>
  </si>
  <si>
    <t>SWANI MINES</t>
  </si>
  <si>
    <t>AFRICAN INVESTMENT GROUP</t>
  </si>
  <si>
    <t>AD INVEST</t>
  </si>
  <si>
    <t>AFRICAN MINING AND INDUSTRY COMPANY LIMITED</t>
  </si>
  <si>
    <t>BARRICK GOLD SENEGAL</t>
  </si>
  <si>
    <t>BETAMINES</t>
  </si>
  <si>
    <t>CABIT ENTREPRISES</t>
  </si>
  <si>
    <t>CARRIERE ABDOU FATTAH</t>
  </si>
  <si>
    <t>CAYOR PHOSPHATE MINING</t>
  </si>
  <si>
    <t>CB SENEGAL</t>
  </si>
  <si>
    <t>CIMENTS DE L'AFRIQUE SENEGAL</t>
  </si>
  <si>
    <t>AGROMINES INTERNATIONAL</t>
  </si>
  <si>
    <t>GLOBAL MINING &amp; RESSOURCES</t>
  </si>
  <si>
    <t>AFRICA TRADING EQUIPEMENT CONSTRUCTION</t>
  </si>
  <si>
    <t>AFRIGOLD</t>
  </si>
  <si>
    <t>AMMSA GROUP AFRICA</t>
  </si>
  <si>
    <t>APSA MINES</t>
  </si>
  <si>
    <t>ASSANE DIOP CORPORATION</t>
  </si>
  <si>
    <t>COMPTOIR COMMERCIAL ABDOU DIENG</t>
  </si>
  <si>
    <t>COUMBA RESSOURCES</t>
  </si>
  <si>
    <t>EBONY NATURAL RESOURCES</t>
  </si>
  <si>
    <t>ENEVIS SENEGAL</t>
  </si>
  <si>
    <t>ENTREPRISE DE GENIE CIVIL CONCASSEUR BASALTE NDIAMBOUR</t>
  </si>
  <si>
    <t>ENTREPRISE GENERALE DE METALLURGIE BATIMENTS-BT-VIDANDEDE</t>
  </si>
  <si>
    <t>ENTREPRISE GENERALE D'EQUIPEMENT</t>
  </si>
  <si>
    <t>TOUBA DAROU SALAM TRANSPORT</t>
  </si>
  <si>
    <t>ETUDE COORDINATION TRAVAUX</t>
  </si>
  <si>
    <t>GENIUS MULTISERVICE</t>
  </si>
  <si>
    <t>GOLD MINING PROCESS</t>
  </si>
  <si>
    <t>HABITAT</t>
  </si>
  <si>
    <t>INTERMEDIATION COMMERCIALE ET PRESTATION SERVICE</t>
  </si>
  <si>
    <t>LA NOUVELLE VISION DU BATIMENT</t>
  </si>
  <si>
    <t>LAMAAN INDUSTRIES</t>
  </si>
  <si>
    <t>LOGISTIQUE, CARRIERES, MINES ET SERVICES (LOCMIS)</t>
  </si>
  <si>
    <t>MAMADOU SENE TRANSPORT ET COMMERCE (MSTC)-</t>
  </si>
  <si>
    <t>MAMADOU SENE TRANSPORT ET COMMERCE</t>
  </si>
  <si>
    <t>MATMINING</t>
  </si>
  <si>
    <t>MOULT INVEST</t>
  </si>
  <si>
    <t>NIAZA BTP</t>
  </si>
  <si>
    <t>POULOTECH</t>
  </si>
  <si>
    <t>ROCHES BETONS ET OUVRAGES DU SENEGAL</t>
  </si>
  <si>
    <t>SARAYA MINES INTERNATIONAL</t>
  </si>
  <si>
    <t>SÉNÉGALAISE DES MINES ET DES TRANSPORTS SEMITRAS</t>
  </si>
  <si>
    <t>SOUMBEDIOUNE EXPORT SOUMEX</t>
  </si>
  <si>
    <t>TOUBA CARRIERES</t>
  </si>
  <si>
    <t>TOUT POUR ENERGIE ET MINE</t>
  </si>
  <si>
    <t>MINES DE LUMIERE</t>
  </si>
  <si>
    <t>LITIERES DU SENEGAL</t>
  </si>
  <si>
    <t>H</t>
  </si>
  <si>
    <t>EAUX SOUTERRAINES DU SENEGAL EN ABRÉGÉ ESS</t>
  </si>
  <si>
    <t>DAROU SALAM TAWFEX</t>
  </si>
  <si>
    <t>DJOLOF TRANSPORT ET SERVICES</t>
  </si>
  <si>
    <t>LE GANDIOL GROUPE</t>
  </si>
  <si>
    <t>QUINCAILLERIE CISSE ET FRERES</t>
  </si>
  <si>
    <t>WAKEUR BOROM GAWANE</t>
  </si>
  <si>
    <t>TOTAL ENERGIES EP SENEGAL</t>
  </si>
  <si>
    <t>SOCIÉTÉ D'EXPLOITATION ET DE COMMERCIALISATION DES MATIERES EXTRACTIVES ET DU TRANSPORT</t>
  </si>
  <si>
    <t>SKDT</t>
  </si>
  <si>
    <t>MINES DU JEGUEUM</t>
  </si>
  <si>
    <t>ABDOU LAHAT MBAYE</t>
  </si>
  <si>
    <t>ABDOULAHAT MBAYE</t>
  </si>
  <si>
    <t>ADK</t>
  </si>
  <si>
    <t>FALL &amp; FRERES</t>
  </si>
  <si>
    <t>GASSAMA</t>
  </si>
  <si>
    <t>MODOU NIANG</t>
  </si>
  <si>
    <t>MOUBARAKA.SUARL</t>
  </si>
  <si>
    <t>PAPA SANGONE SALL</t>
  </si>
  <si>
    <t>POLYSERVICES</t>
  </si>
  <si>
    <t>SANDE MBAYE ET FRERE</t>
  </si>
  <si>
    <t>SEGOM</t>
  </si>
  <si>
    <t>SOW ET FRERES</t>
  </si>
  <si>
    <t>THIEUDEME SAR SERVICE</t>
  </si>
  <si>
    <t>MALEYE</t>
  </si>
  <si>
    <t>YOLLI SOPE NABY</t>
  </si>
  <si>
    <t>SOCIETE MINIERE DE LA VALLEE DU FLEUVE SENEGAL</t>
  </si>
  <si>
    <t>SOCIETE DE RECHERCHE ET DE DEVELOPPEMENT DES MINES</t>
  </si>
  <si>
    <t>MININVEST</t>
  </si>
  <si>
    <t>NEGOS FIABLE SENEGAL</t>
  </si>
  <si>
    <t>ENTREPRISE GÉNÉRALE DAROU SALAM</t>
  </si>
  <si>
    <t>SERIGNE MANSOUR SY BOROOM DARADJI</t>
  </si>
  <si>
    <t>SERIGNE BABACAR SY</t>
  </si>
  <si>
    <t>KA BUSINESS  COMPANY</t>
  </si>
  <si>
    <t>KAIXUN GOLD MINING CO.LTD</t>
  </si>
  <si>
    <t>IMPROVE SENEGAL</t>
  </si>
  <si>
    <t>INTERNATIONAL DRILLING COMPANY SENEGAL</t>
  </si>
  <si>
    <t>Colonne2</t>
  </si>
  <si>
    <t>Colonne3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</si>
</sst>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7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5F9E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0" fontId="5" fillId="0" borderId="0"/>
    <xf numFmtId="0" fontId="3" fillId="0" borderId="0" applyBorder="0"/>
  </cellStyleXfs>
  <cellXfs count="6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3" borderId="0" xfId="4" applyFont="1" applyFill="1"/>
    <xf numFmtId="0" fontId="6" fillId="3" borderId="2" xfId="4" applyFont="1" applyFill="1" applyBorder="1"/>
    <xf numFmtId="14" fontId="6" fillId="3" borderId="2" xfId="4" applyNumberFormat="1" applyFont="1" applyFill="1" applyBorder="1"/>
    <xf numFmtId="0" fontId="5" fillId="0" borderId="0" xfId="4"/>
    <xf numFmtId="0" fontId="5" fillId="4" borderId="3" xfId="4" applyFill="1" applyBorder="1"/>
    <xf numFmtId="0" fontId="5" fillId="4" borderId="4" xfId="4" applyFill="1" applyBorder="1"/>
    <xf numFmtId="14" fontId="5" fillId="5" borderId="5" xfId="4" applyNumberFormat="1" applyFill="1" applyBorder="1"/>
    <xf numFmtId="21" fontId="5" fillId="5" borderId="2" xfId="4" applyNumberFormat="1" applyFill="1" applyBorder="1"/>
    <xf numFmtId="0" fontId="5" fillId="5" borderId="6" xfId="4" applyFill="1" applyBorder="1"/>
    <xf numFmtId="0" fontId="5" fillId="5" borderId="5" xfId="4" applyFill="1" applyBorder="1"/>
    <xf numFmtId="21" fontId="5" fillId="5" borderId="5" xfId="4" applyNumberFormat="1" applyFill="1" applyBorder="1"/>
    <xf numFmtId="0" fontId="5" fillId="4" borderId="6" xfId="4" applyFill="1" applyBorder="1"/>
    <xf numFmtId="0" fontId="5" fillId="4" borderId="5" xfId="4" applyFill="1" applyBorder="1"/>
    <xf numFmtId="0" fontId="5" fillId="0" borderId="0" xfId="4" applyAlignment="1">
      <alignment horizontal="left"/>
    </xf>
    <xf numFmtId="0" fontId="5" fillId="0" borderId="0" xfId="4" applyAlignment="1">
      <alignment horizontal="left" indent="1"/>
    </xf>
    <xf numFmtId="14" fontId="5" fillId="0" borderId="0" xfId="4" applyNumberFormat="1"/>
    <xf numFmtId="0" fontId="2" fillId="2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3" borderId="0" xfId="4" applyNumberFormat="1" applyFont="1" applyFill="1" applyBorder="1" applyAlignment="1"/>
    <xf numFmtId="0" fontId="6" fillId="3" borderId="2" xfId="4" applyNumberFormat="1" applyFont="1" applyFill="1" applyBorder="1" applyAlignment="1"/>
    <xf numFmtId="14" fontId="6" fillId="3" borderId="2" xfId="4" applyNumberFormat="1" applyFont="1" applyFill="1" applyBorder="1" applyAlignment="1"/>
    <xf numFmtId="0" fontId="5" fillId="5" borderId="3" xfId="4" applyNumberFormat="1" applyFont="1" applyFill="1" applyBorder="1" applyAlignment="1"/>
    <xf numFmtId="0" fontId="5" fillId="5" borderId="4" xfId="4" applyNumberFormat="1" applyFont="1" applyFill="1" applyBorder="1" applyAlignment="1"/>
    <xf numFmtId="14" fontId="5" fillId="5" borderId="5" xfId="4" applyNumberFormat="1" applyFont="1" applyFill="1" applyBorder="1" applyAlignment="1"/>
    <xf numFmtId="21" fontId="5" fillId="5" borderId="4" xfId="4" applyNumberFormat="1" applyFont="1" applyFill="1" applyBorder="1" applyAlignment="1"/>
    <xf numFmtId="0" fontId="5" fillId="4" borderId="6" xfId="4" applyNumberFormat="1" applyFont="1" applyFill="1" applyBorder="1" applyAlignment="1"/>
    <xf numFmtId="0" fontId="5" fillId="4" borderId="5" xfId="4" applyNumberFormat="1" applyFont="1" applyFill="1" applyBorder="1" applyAlignment="1"/>
    <xf numFmtId="21" fontId="5" fillId="5" borderId="5" xfId="4" applyNumberFormat="1" applyFont="1" applyFill="1" applyBorder="1" applyAlignment="1"/>
    <xf numFmtId="0" fontId="5" fillId="5" borderId="6" xfId="4" applyNumberFormat="1" applyFont="1" applyFill="1" applyBorder="1" applyAlignment="1"/>
    <xf numFmtId="0" fontId="5" fillId="5" borderId="5" xfId="4" applyNumberFormat="1" applyFont="1" applyFill="1" applyBorder="1" applyAlignment="1"/>
    <xf numFmtId="0" fontId="7" fillId="6" borderId="0" xfId="5" applyFont="1" applyFill="1"/>
    <xf numFmtId="0" fontId="3" fillId="0" borderId="0" xfId="5"/>
    <xf numFmtId="14" fontId="3" fillId="0" borderId="0" xfId="5" applyNumberFormat="1"/>
    <xf numFmtId="0" fontId="3" fillId="0" borderId="0" xfId="5" applyAlignment="1">
      <alignment wrapText="1"/>
    </xf>
    <xf numFmtId="22" fontId="3" fillId="0" borderId="0" xfId="5" applyNumberFormat="1"/>
    <xf numFmtId="0" fontId="0" fillId="7" borderId="8" xfId="0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9" xfId="0" applyFill="1" applyBorder="1"/>
    <xf numFmtId="0" fontId="0" fillId="7" borderId="0" xfId="0" applyFill="1"/>
    <xf numFmtId="0" fontId="0" fillId="0" borderId="0" xfId="0" applyBorder="1"/>
    <xf numFmtId="0" fontId="0" fillId="0" borderId="8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9" xfId="0" applyFill="1" applyBorder="1"/>
    <xf numFmtId="0" fontId="0" fillId="0" borderId="0" xfId="0" applyFill="1"/>
    <xf numFmtId="0" fontId="8" fillId="0" borderId="0" xfId="0" applyFont="1"/>
  </cellXfs>
  <cellStyles count="6">
    <cellStyle name="Milliers 2" xfId="3" xr:uid="{169A9359-13D4-4E0C-8D35-873EF4375B89}"/>
    <cellStyle name="Normal" xfId="0" builtinId="0"/>
    <cellStyle name="Normal 2" xfId="1" xr:uid="{93350D9A-0933-4A2E-BCD2-86356AE1333A}"/>
    <cellStyle name="Normal 3" xfId="4" xr:uid="{2A1E7A92-1554-4E0D-82DC-7656805A0519}"/>
    <cellStyle name="Normal 4" xfId="5" xr:uid="{128FDCF5-C6D1-4362-80AD-CCF63FFD5DB0}"/>
    <cellStyle name="Normal 5" xfId="2" xr:uid="{4E863773-446C-4168-871B-F182688A4835}"/>
  </cellStyles>
  <dxfs count="55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rgb="FF9C0006"/>
      </font>
      <fill>
        <patternFill>
          <bgColor rgb="FFFFC7CE"/>
        </patternFill>
      </fill>
    </dxf>
    <dxf>
      <font>
        <color theme="5"/>
      </font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05F9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6" formatCode="hh:mm:ss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[RBE-2021-A-2025.xlsx]SOUS-TRAITANT!Tableau croisé dynamique8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13870217564283"/>
          <c:y val="6.2726628916709978E-2"/>
          <c:w val="0.77685593455047408"/>
          <c:h val="0.834989073180813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'SOUS-TRAITANT'!$L$13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'SOUS-TRAITANT'!$K$14:$K$17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'SOUS-TRAITANT'!$L$14:$L$17</c:f>
              <c:numCache>
                <c:formatCode>General</c:formatCode>
                <c:ptCount val="3"/>
                <c:pt idx="0">
                  <c:v>15</c:v>
                </c:pt>
                <c:pt idx="1">
                  <c:v>48</c:v>
                </c:pt>
                <c:pt idx="2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8-4F90-B538-784DD94EA9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6802543"/>
        <c:axId val="256807823"/>
      </c:barChart>
      <c:catAx>
        <c:axId val="2568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6807823"/>
        <c:crosses val="autoZero"/>
        <c:auto val="1"/>
        <c:lblAlgn val="ctr"/>
        <c:lblOffset val="100"/>
        <c:noMultiLvlLbl val="0"/>
      </c:catAx>
      <c:valAx>
        <c:axId val="25680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680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[RBE-2021-A-2025.xlsx]SOUS-TRAITANT!Tableau croisé dynamique2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921853716035566"/>
          <c:y val="9.7321618410199956E-2"/>
          <c:w val="0.45038450880060132"/>
          <c:h val="0.80535676317960014"/>
        </c:manualLayout>
      </c:layout>
      <c:pieChart>
        <c:varyColors val="1"/>
        <c:ser>
          <c:idx val="0"/>
          <c:order val="0"/>
          <c:tx>
            <c:strRef>
              <c:f>'SOUS-TRAITANT'!$O$15</c:f>
              <c:strCache>
                <c:ptCount val="1"/>
                <c:pt idx="0">
                  <c:v>Total</c:v>
                </c:pt>
              </c:strCache>
            </c:strRef>
          </c:tx>
          <c:explosion val="2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C5-47E1-8217-73C0F27271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C5-47E1-8217-73C0F27271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C5-47E1-8217-73C0F27271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C5-47E1-8217-73C0F27271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C5-47E1-8217-73C0F27271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C5-47E1-8217-73C0F27271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AC5-47E1-8217-73C0F27271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'SOUS-TRAITANT'!$N$16:$N$23</c:f>
              <c:strCache>
                <c:ptCount val="7"/>
                <c:pt idx="0">
                  <c:v>Entreprises avec permis de recherche</c:v>
                </c:pt>
                <c:pt idx="1">
                  <c:v>Fournisseurs et Prestataires de droit sénégalais</c:v>
                </c:pt>
                <c:pt idx="2">
                  <c:v>Fournisseurs et Prestataires étrangers</c:v>
                </c:pt>
                <c:pt idx="3">
                  <c:v>Fournisseurs et Prestataires locaux</c:v>
                </c:pt>
                <c:pt idx="4">
                  <c:v>Fournisseurs et prestataires locaux (GPF ou GIE)</c:v>
                </c:pt>
                <c:pt idx="5">
                  <c:v>Sociétés minières ou Cimenteries</c:v>
                </c:pt>
                <c:pt idx="6">
                  <c:v>Sous-traitants</c:v>
                </c:pt>
              </c:strCache>
            </c:strRef>
          </c:cat>
          <c:val>
            <c:numRef>
              <c:f>'SOUS-TRAITANT'!$O$16:$O$23</c:f>
              <c:numCache>
                <c:formatCode>General</c:formatCode>
                <c:ptCount val="7"/>
                <c:pt idx="0">
                  <c:v>4</c:v>
                </c:pt>
                <c:pt idx="1">
                  <c:v>40</c:v>
                </c:pt>
                <c:pt idx="2">
                  <c:v>30</c:v>
                </c:pt>
                <c:pt idx="3">
                  <c:v>369</c:v>
                </c:pt>
                <c:pt idx="4">
                  <c:v>17</c:v>
                </c:pt>
                <c:pt idx="5">
                  <c:v>10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C5-47E1-8217-73C0F27271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[RBE-2021-A-2025.xlsx]SOUS-TRAITANT!Tableau croisé dynamique3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8344706911636035E-2"/>
          <c:y val="8.3333333333333329E-2"/>
          <c:w val="0.53888888888888886"/>
          <c:h val="0.89814814814814814"/>
        </c:manualLayout>
      </c:layout>
      <c:doughnutChart>
        <c:varyColors val="1"/>
        <c:ser>
          <c:idx val="0"/>
          <c:order val="0"/>
          <c:tx>
            <c:strRef>
              <c:f>'SOUS-TRAITANT'!$O$31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29-4037-B805-940BA863DD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29-4037-B805-940BA863DD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29-4037-B805-940BA863DD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29-4037-B805-940BA863DD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29-4037-B805-940BA863DD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29-4037-B805-940BA863DD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529-4037-B805-940BA863DD2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529-4037-B805-940BA863DD2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529-4037-B805-940BA863DD2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529-4037-B805-940BA863DD2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529-4037-B805-940BA863DD2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529-4037-B805-940BA863DD2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529-4037-B805-940BA863DD2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529-4037-B805-940BA863DD2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529-4037-B805-940BA863DD28}"/>
              </c:ext>
            </c:extLst>
          </c:dPt>
          <c:cat>
            <c:strRef>
              <c:f>'SOUS-TRAITANT'!$N$32:$N$47</c:f>
              <c:strCache>
                <c:ptCount val="15"/>
                <c:pt idx="0">
                  <c:v>Afrique du Sud</c:v>
                </c:pt>
                <c:pt idx="1">
                  <c:v>Australie</c:v>
                </c:pt>
                <c:pt idx="2">
                  <c:v>Belgique</c:v>
                </c:pt>
                <c:pt idx="3">
                  <c:v>Burkina Faso</c:v>
                </c:pt>
                <c:pt idx="4">
                  <c:v>Canada</c:v>
                </c:pt>
                <c:pt idx="5">
                  <c:v>Espagne</c:v>
                </c:pt>
                <c:pt idx="6">
                  <c:v>France</c:v>
                </c:pt>
                <c:pt idx="7">
                  <c:v>Ile Maurice</c:v>
                </c:pt>
                <c:pt idx="8">
                  <c:v>Îles Mariannes du Nord</c:v>
                </c:pt>
                <c:pt idx="9">
                  <c:v>Inde</c:v>
                </c:pt>
                <c:pt idx="10">
                  <c:v>Pays-Bas</c:v>
                </c:pt>
                <c:pt idx="11">
                  <c:v>Portugal</c:v>
                </c:pt>
                <c:pt idx="12">
                  <c:v>Royaume-Uni</c:v>
                </c:pt>
                <c:pt idx="13">
                  <c:v>Sénégal</c:v>
                </c:pt>
                <c:pt idx="14">
                  <c:v>Tunisie</c:v>
                </c:pt>
              </c:strCache>
            </c:strRef>
          </c:cat>
          <c:val>
            <c:numRef>
              <c:f>'SOUS-TRAITANT'!$O$32:$O$47</c:f>
              <c:numCache>
                <c:formatCode>General</c:formatCode>
                <c:ptCount val="15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9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454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529-4037-B805-940BA863D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[RBE-2021-A-2025.xlsx]SOUS-TRAITANT!Tableau croisé dynamique11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'SOUS-TRAITANT'!$M$60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'SOUS-TRAITANT'!$L$61:$L$90</c:f>
              <c:multiLvlStrCache>
                <c:ptCount val="26"/>
                <c:lvl>
                  <c:pt idx="0">
                    <c:v>mars</c:v>
                  </c:pt>
                  <c:pt idx="1">
                    <c:v>avr</c:v>
                  </c:pt>
                  <c:pt idx="2">
                    <c:v>mai</c:v>
                  </c:pt>
                  <c:pt idx="3">
                    <c:v>juil</c:v>
                  </c:pt>
                  <c:pt idx="4">
                    <c:v>sept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déc</c:v>
                  </c:pt>
                  <c:pt idx="8">
                    <c:v>févr</c:v>
                  </c:pt>
                  <c:pt idx="9">
                    <c:v>mars</c:v>
                  </c:pt>
                  <c:pt idx="10">
                    <c:v>avr</c:v>
                  </c:pt>
                  <c:pt idx="11">
                    <c:v>mai</c:v>
                  </c:pt>
                  <c:pt idx="12">
                    <c:v>juin</c:v>
                  </c:pt>
                  <c:pt idx="13">
                    <c:v>juil</c:v>
                  </c:pt>
                  <c:pt idx="14">
                    <c:v>août</c:v>
                  </c:pt>
                  <c:pt idx="15">
                    <c:v>sept</c:v>
                  </c:pt>
                  <c:pt idx="16">
                    <c:v>oct</c:v>
                  </c:pt>
                  <c:pt idx="17">
                    <c:v>nov</c:v>
                  </c:pt>
                  <c:pt idx="18">
                    <c:v>déc</c:v>
                  </c:pt>
                  <c:pt idx="19">
                    <c:v>janv</c:v>
                  </c:pt>
                  <c:pt idx="20">
                    <c:v>févr</c:v>
                  </c:pt>
                  <c:pt idx="21">
                    <c:v>mars</c:v>
                  </c:pt>
                  <c:pt idx="22">
                    <c:v>avr</c:v>
                  </c:pt>
                  <c:pt idx="23">
                    <c:v>mai</c:v>
                  </c:pt>
                  <c:pt idx="24">
                    <c:v>juin</c:v>
                  </c:pt>
                  <c:pt idx="25">
                    <c:v>juil</c:v>
                  </c:pt>
                </c:lvl>
                <c:lvl>
                  <c:pt idx="0">
                    <c:v>2024</c:v>
                  </c:pt>
                  <c:pt idx="8">
                    <c:v>2025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'SOUS-TRAITANT'!$M$61:$M$90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6</c:v>
                </c:pt>
                <c:pt idx="14">
                  <c:v>1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15</c:v>
                </c:pt>
                <c:pt idx="19">
                  <c:v>81</c:v>
                </c:pt>
                <c:pt idx="20">
                  <c:v>71</c:v>
                </c:pt>
                <c:pt idx="21">
                  <c:v>64</c:v>
                </c:pt>
                <c:pt idx="22">
                  <c:v>52</c:v>
                </c:pt>
                <c:pt idx="23">
                  <c:v>64</c:v>
                </c:pt>
                <c:pt idx="24">
                  <c:v>60</c:v>
                </c:pt>
                <c:pt idx="2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6-475E-94F5-CBEFFF658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836719"/>
        <c:axId val="990839119"/>
      </c:barChart>
      <c:catAx>
        <c:axId val="99083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839119"/>
        <c:crosses val="autoZero"/>
        <c:auto val="1"/>
        <c:lblAlgn val="ctr"/>
        <c:lblOffset val="100"/>
        <c:noMultiLvlLbl val="0"/>
      </c:catAx>
      <c:valAx>
        <c:axId val="99083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83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1769023</xdr:colOff>
      <xdr:row>54</xdr:row>
      <xdr:rowOff>166934</xdr:rowOff>
    </xdr:from>
    <xdr:to>
      <xdr:col>16</xdr:col>
      <xdr:colOff>470576</xdr:colOff>
      <xdr:row>68</xdr:row>
      <xdr:rowOff>111316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0190ED3-802B-41B7-A22A-2B9DF4ED0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496303</xdr:colOff>
      <xdr:row>23</xdr:row>
      <xdr:rowOff>16711</xdr:rowOff>
    </xdr:from>
    <xdr:to>
      <xdr:col>25</xdr:col>
      <xdr:colOff>651710</xdr:colOff>
      <xdr:row>43</xdr:row>
      <xdr:rowOff>18047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8F64EC3-94D2-4957-9D8B-F9F33E488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86895</xdr:colOff>
      <xdr:row>45</xdr:row>
      <xdr:rowOff>65504</xdr:rowOff>
    </xdr:from>
    <xdr:to>
      <xdr:col>25</xdr:col>
      <xdr:colOff>651712</xdr:colOff>
      <xdr:row>67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331CA36-66C2-4E49-B794-029C22B21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695445</xdr:colOff>
      <xdr:row>70</xdr:row>
      <xdr:rowOff>187104</xdr:rowOff>
    </xdr:from>
    <xdr:to>
      <xdr:col>21</xdr:col>
      <xdr:colOff>252238</xdr:colOff>
      <xdr:row>84</xdr:row>
      <xdr:rowOff>128865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881D98B-623D-4A4B-B1DE-EAB2E7418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21-07-2026-souscriptions-repor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21-07-2026-souscriptions-repor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227.604889814815" createdVersion="8" refreshedVersion="8" minRefreshableVersion="3" recordCount="485" xr:uid="{61692F26-9B0E-4ADF-8802-D6B3A63B7824}">
  <cacheSource type="worksheet">
    <worksheetSource name="Tableau1" r:id="rId2"/>
  </cacheSource>
  <cacheFields count="11">
    <cacheField name="Entreprise" numFmtId="0">
      <sharedItems count="483">
        <s v="MINING SUPPLY SOLUTIONS (M2S)"/>
        <s v="CHALLENGE 2000 SARL "/>
        <s v="ETIM SARL"/>
        <s v="CIE MULTI SERVICES "/>
        <s v="ALS SENEGAL SARL"/>
        <s v="MEGA"/>
        <s v="SENEGAL SUPPLY BASE"/>
        <s v="EMOSFK SARL"/>
        <s v="BETON DU SÉNÉGAL SUARL "/>
        <s v="SENEGAL REMOTE SERVICES"/>
        <s v="SIGA CORPORATE"/>
        <s v="DIASS INDUSTRIES SAS"/>
        <s v="PYXIS TRADING"/>
        <s v="CONFOSEN"/>
        <s v="MCI SENEGAL SAS"/>
        <s v="SERIGNE MBOUP DISTRIBUTION &amp;SERVICES"/>
        <s v="DMD GROUPE"/>
        <s v="B.D.T.P"/>
        <s v="AFTERPRO SARL "/>
        <s v="SUNTECH ENGI AUTOMATION PRIVATE LIMITED"/>
        <s v="ACCEO SUARL"/>
        <s v="RGA"/>
        <s v="SAGA AFRICA HOLDINGS LIMITED SA"/>
        <s v="MBOUP GROUP/4MG"/>
        <s v="SEN-SUD ENERGY CONSULTING"/>
        <s v="SOCIETE MONTAGE MECANIQUE TUYAUTERIE SOUDURE -SARL"/>
        <s v="NIOKOLO EXPRESS "/>
        <s v="LEYE GLOGAL SERVICE CORPORATION"/>
        <s v="AFRIMEX SERVICES"/>
        <s v="SETHAS"/>
        <s v="INDUSTRY PARTNERS SARL"/>
        <s v="ADS ASSUR SAU"/>
        <s v="SAADIYA TRANSPORT ET LOGISTIQUE"/>
        <s v="ECTM"/>
        <s v="CSE GRANULATS"/>
        <s v="KIZ CONSULTING"/>
        <s v="SANGALA SUARL"/>
        <s v="PANAFRICAINE D'ENTREPRISE"/>
        <s v="TUNISAVIA"/>
        <s v="B2EI SARL"/>
        <s v="RIGA HELIX SEN JV S.A.S"/>
        <s v="AEGIS LOGISTICS"/>
        <s v="SOCIÉTÉ AUXILIAIRE DE TRAVAIL TEMPORAIRE "/>
        <s v="PROTECHNIQUE"/>
        <s v="SAB BUSINESS CONSULTING AFRICA"/>
        <s v="DRILLNESS"/>
        <s v="EAT MULTISERVICES"/>
        <s v="AESSEAL HOLDINGS"/>
        <s v="DAKAR HORIZON TRAVEL"/>
        <s v="AN-NADIAH POWER SOLUTIONS"/>
        <s v="VULCAN INDUSTRIAL ENGG CO PVT LTD"/>
        <s v="TECHNICAL PROCUREMENT SERVICEES"/>
        <s v="GIE BELEDOUGOU"/>
        <s v="PROCESS MASTER SENEGAL"/>
        <s v="WUXI ENBANGE MACHINERY CO.,LTD"/>
        <s v="SDMI SARL"/>
        <s v="SN SOFTWARE"/>
        <s v="UBBI GROUP"/>
        <s v="LOCASEN"/>
        <s v="SECURIMEX"/>
        <s v="PERFORMANCE SERVICES"/>
        <s v="SUPERIOR STEEL OVERSEAS"/>
        <s v="BLED SARL"/>
        <s v="TYSTA NETWORKS"/>
        <s v="LA BANQUE OUTARDE"/>
        <s v="CMG"/>
        <s v="SABODALA MINING SERVICE SARL"/>
        <s v="GECTIS"/>
        <s v="VISION INTERNATIONALE DES PRODUITS"/>
        <s v="HUGUES SOLUTION SARL"/>
        <s v="AGTS"/>
        <s v="SOCIETE INTERNATIONALE FACILITY ENERGY SENEGAL"/>
        <s v="MEGA TECHNOLOGIE"/>
        <s v="SOUM GLOBAL SERVICES"/>
        <s v="TERANGA MINING SERVICES SARL"/>
        <s v="SOCIÉTÉ SÉNÉGALAISE DE PRODUITS INDUSTRIELS SUARL (SSPI SUARL)"/>
        <s v="CORRPRO COMPANIES EUROPE LIMTED"/>
        <s v="EATS SARL"/>
        <s v="LES CABLERIES DU SENEGAL "/>
        <s v="ESENTRAVAUX ET SERVICES "/>
        <s v="PEL AUTOMATION"/>
        <s v="SYCAD"/>
        <s v="PRO-MECH"/>
        <s v="SENEGALAISE DES TRAVAUX SPECIAUX"/>
        <s v="DMC SENEGAL"/>
        <s v="SYNERGIE PLUS"/>
        <s v="SOS PETROLES SA"/>
        <s v="LYCOPODIUM MINERALS CANADA LTD"/>
        <s v="LES SPÉCIALISTES DE L'ENERGIE"/>
        <s v="WEST AFRICA TIRE SERVICES (WATS SAS)"/>
        <s v="SYS KABS AMAZONE"/>
        <s v="CLAIR ATTITUDE"/>
        <s v="PUMP AND ABRASION TECHNOLOGIES "/>
        <s v="2PI"/>
        <s v="LE CARTEL DES LOCATIONS DE VEHICULE SUARL "/>
        <s v="CARMEUSE SENEGAL"/>
        <s v="GASETECH-AFRICA"/>
        <s v="DIGITAL AUTOMATION SUARL"/>
        <s v="MBORO TRAVAUX INDUSTRIELS"/>
        <s v="CABINET SAND CONSULTING"/>
        <s v="IMC SARL"/>
        <s v="SENDIA"/>
        <s v="AM LUXURY TOURS"/>
        <s v="CAMMACH SN"/>
        <s v="EMT AFRIQUE"/>
        <s v="POLYVALENCE BTP SARL"/>
        <s v="BATIFORT"/>
        <s v="ORSEN"/>
        <s v="ENTREPRISE ABY TOURE "/>
        <s v="TERANGA ENERGIES CONSULT"/>
        <s v="BOYA SA"/>
        <s v="SIBM"/>
        <s v="ISA TECHNOLOGIES"/>
        <s v="DRILLEEX SA"/>
        <s v="TSG SENEGAL"/>
        <s v="LES NIAYES SARRAUT"/>
        <s v="RIDWAN GROUP "/>
        <s v="3R SENEGAL "/>
        <s v="2MG SOLUTIONS"/>
        <s v="SERVICE GÉOLOGIQUE NATIONAL DU SÉNÉGAL (SGNS)"/>
        <s v="LABORATOIRE TFG "/>
        <s v="LOMBEL RESSOURCES SAS"/>
        <s v="VALTEO"/>
        <s v="SATA SARL"/>
        <s v="HATCH ASSOCIATES LIMITED"/>
        <s v="HATCH AFRICA (PTY) LTD"/>
        <s v="SIDEM SA"/>
        <s v="MEDICAL RH"/>
        <s v="GROUPE YAKHINE"/>
        <s v="SARAYA CONSTRUCTIONS ET SERVICES "/>
        <s v="SKAKO VIBRATION"/>
        <s v="RAINBO SUPPLIES &amp; SERVICES LTD"/>
        <s v="WAFGATE SAS"/>
        <s v="TEMICO SN"/>
        <s v="ZUTARI (PTY) LTD"/>
        <s v="SSCM"/>
        <s v="DGMS"/>
        <s v="MINE PETRO"/>
        <s v="AZURTECH SENEGAL"/>
        <s v="CSP"/>
        <s v="MDDEV EMERGE "/>
        <s v="AGMS"/>
        <s v="T3 PROJECTS SENEGAL SASU"/>
        <s v="HYDRASS CONSULTING"/>
        <s v="GEKKO SYSTEMS"/>
        <s v="SEA ENGINEERING"/>
        <s v="ZENITH"/>
        <s v="MATSPACE TECHNOLOGY SUARL"/>
        <s v="TFE SÉNÉGAL"/>
        <s v="MDESS"/>
        <s v="CORAXIS SARL"/>
        <s v="CONNECTPLUS SENEGAL SARL"/>
        <s v="POLYTECH ENTREPRISE SUARL"/>
        <s v="ARES ARCHITECTURE ET INGÉNIERIE DU BÂTIMENT SUARL"/>
        <s v="ABDOU SECURITE"/>
        <s v="KEUR MAME DABA AWA DIOP(MDAD)"/>
        <s v="KIMS"/>
        <s v="RASSOUL GLOBAL SERVICES SUARL "/>
        <s v="CARRIERE360 SARL"/>
        <s v="KALOM CONSTRUCTION ETUDE ET SUIVI"/>
        <s v="SUSTAIN AFRICA"/>
        <s v="C2K STAFFING S.A.R.L"/>
        <s v="COMPTOIR COMMERCIAL KEUR SERIGNE SALIOU"/>
        <s v="THIAM TOLERIE ET PEINTURE"/>
        <s v="NAS"/>
        <s v="INSTRUMAINT SARL "/>
        <s v="AFRICA ENGINEERING &amp; LOGISTICS SOLUTIONS"/>
        <s v="GREAT MINERALS RESOURCES - SARL"/>
        <s v="ASSOCIATION TECHNIQUE ENERGIE ET ENVIRONNEMENT DU SÉNÉGAL A.T.E.E.S"/>
        <s v="SEEE ENERGIES"/>
        <s v="NOVAGO SENEGAL "/>
        <s v="GIE BEUGUE FALLOU SERVICES "/>
        <s v="AMA GROUP SERVICES (AGS)"/>
        <s v="EGB R-BADARACCHI"/>
        <s v="TECHNIQUES INDUSTRIES"/>
        <s v="PSYCHOLOGIES ET CONSEILS "/>
        <s v="PST ENERGY"/>
        <s v="SARAYA ALPHAYA QUINCAILLERIE GÉNÉRALE ASSALAM(SAQGA)"/>
        <s v="DALAFORCE"/>
        <s v="ENTREPRISE ABDOULAYE KEBE (EAK)"/>
        <s v="SENSOG"/>
        <s v="SENENGINEERING INTERNATIONAL SA "/>
        <s v="WAKANO GROUP"/>
        <s v="TELETRACK SOLUTIONS"/>
        <s v="KAWSARA TECHNOLOGIE "/>
        <s v="KACYBER TECHNOLOGIES SARL"/>
        <s v="KULAX"/>
        <s v="EQUIPEX"/>
        <s v="HYBATP CO "/>
        <s v="INTERFACE CAPITAL SARL"/>
        <s v="MBORO DIAMOU"/>
        <s v="LAWRIE SYSTEMS AND SOLUTIONS MAURITIUS"/>
        <s v="NEXUS TP"/>
        <s v="ENERGECO-AFRIQUE"/>
        <s v="PETROLUBE EQUIPMENTS PARTS TRADING AND SERVICES"/>
        <s v="FN GROUP SUARL"/>
        <s v="ISTAMCO SA"/>
        <s v="OSMOSE GEOTEX"/>
        <s v="UNIVERSAL PRESTATION SERVICE "/>
        <s v="ENTREPRISE ALPHA DIALLO"/>
        <s v="SOUTIEN INDUSTRIE SARL"/>
        <s v="PROSEN SARL"/>
        <s v="KHADIM SOUDURE MONTAGE INDUSTRIELLE"/>
        <s v="DAKAR INTÉRIM SÉCURITÉ S.A."/>
        <s v="AFRIQUE DES MERVEILLES "/>
        <s v="MSC ETUDES"/>
        <s v="CODIPRES SARL"/>
        <s v="CARREFOUR"/>
        <s v="ALLIANCE AUTO GROUP (AAG)"/>
        <s v="HALADJIAN SENEGAL SUARL"/>
        <s v="MENDEZ TUYAUTERIE ET FORAGES SUARL"/>
        <s v="SWAMI MINES SA"/>
        <s v="DISTRIBUTION TECH PRO"/>
        <s v="SOCABEG MINING SA"/>
        <s v="BABAT"/>
        <s v="OPUS BUYER"/>
        <s v="DANFAKHA ET FRERE"/>
        <s v="SAREDICA"/>
        <s v="OTTO BI SARL"/>
        <s v="DR  SETT SAS"/>
        <s v="AC GROUP"/>
        <s v="TECHSPARES SENEGAL SAS"/>
        <s v="AFRICA CARGO CENTRAL - ACC SARL"/>
        <s v="CORICA MINING SERVICES SARL"/>
        <s v="GLOBAL PHYSIO"/>
        <s v="ABITA SENEGAL "/>
        <s v="SENDRILL ROCK TOOLS"/>
        <s v="GIE FASSO BARA"/>
        <s v="CENTRE D'AFFAIRES MEDICALES AFRIQUE / CAMA"/>
        <s v="CACTUS MINING SUPPLY SENEGAL "/>
        <s v="SERVICE DE FROID INDUSTRIEL ET COMMERCIAL "/>
        <s v="EC2MI"/>
        <s v="SERVICES PRO"/>
        <s v="RTDK"/>
        <s v="OTEW OFFICE TECHNOLOGY WORLD"/>
        <s v="HYDRO INDUSTRIES INTERNATIONAL ( H2I)"/>
        <s v="GEO PARTNERS CONSULTING "/>
        <s v="E.R.T.E.X"/>
        <s v="ODIM SARL"/>
        <s v="GROUPE CF-ID HR PARTNER"/>
        <s v="EFOR"/>
        <s v="ENEC"/>
        <s v="BAYE CONNECT"/>
        <s v="ENTREPRISE GENERALE DE MECANIQUE CHAUDRONNERIE ET DE SABLAGE"/>
        <s v="ME ELECMETAL SOUTH AFRICA (PTY) LTD"/>
        <s v="IBA TECHNOLOGIE"/>
        <s v="EAU CLAIRE SENEGAL SARL"/>
        <s v="EIFFAGE SENEGAL SAS"/>
        <s v="STEL/BTP"/>
        <s v="LOMBOL SERVICES SARL"/>
        <s v="ECKO"/>
        <s v="BATINOV SARL"/>
        <s v="EMPOWERSEN"/>
        <s v="DIGITAL ELECTRONIC"/>
        <s v="SEN LEVAGE SUARL"/>
        <s v="BAMBUK MINERALS SÉNÉGAL"/>
        <s v="SAHE SARL"/>
        <s v="RENTALL"/>
        <s v="ERGONE SERVICES "/>
        <s v="BOURGI TRANSPORT LOGISTIQUE"/>
        <s v="SAER EMPLOI MINES SENEGAL"/>
        <s v="FORACO SENEGAL"/>
        <s v="ERATHOT"/>
        <s v="SOUMARE TRANSPORT IMMOBILIER "/>
        <s v="GIE LENDENG"/>
        <s v="BCM GROUP SENEGAL"/>
        <s v="KAMAF TRANSPORTS SUARL"/>
        <s v="GIE CONSTRUCTION METALLIQUE ET TECHNILOGIE"/>
        <s v="EQUILOG SN"/>
        <s v="SITMEL SARL"/>
        <s v="L3S"/>
        <s v="FRANCE AGRO INDUSTRIES"/>
        <s v="RIO CONSTRUCTION"/>
        <s v="BIRIMA GOLD RESOURCES"/>
        <s v="CBI"/>
        <s v="LES CIMENTS DE L'AFRIQUE S.A"/>
        <s v="MINTECH SARL"/>
        <s v="GLOBAL ENERGY SERVICES"/>
        <s v="GARAGE  SALIKHOU"/>
        <s v="MANUTENTION SERVICES SÉNÉGAL"/>
        <s v="BA CONSULTANCE SARL"/>
        <s v="TDK WAKEUR SERIGNE SALIOU"/>
        <s v="GEDIMEX SA"/>
        <s v="DIDI'S GARDEN SARL"/>
        <s v="BEABA"/>
        <s v="MINING LOGISTICS &amp; SUPPLIES"/>
        <s v="T3 PROJECTS PTY LTD"/>
        <s v="SYNERGIE ENVIRONNEMENT"/>
        <s v="DIMEXCO SENEGAL "/>
        <s v="MSN TRAV EQUIP PRESTA"/>
        <s v="SAHEL SECURITY SARL"/>
        <s v="WESTERN ALLIANCE SN"/>
        <s v="SENTEK"/>
        <s v="AUTOMECA SENEGAL"/>
        <s v="DIEYLANI AER SASU"/>
        <s v="GIE BENNO LIGEY"/>
        <s v="SACOTEN-SN SUARL "/>
        <s v="TALIXMAN "/>
        <s v="RIT ( RUFISQUE TECHNOLOGIE INDUSTRIES)"/>
        <s v="CPEXELITGROUP"/>
        <s v="SONATEL"/>
        <s v="H.E.C.T SARL"/>
        <s v="SAHEL GAZ"/>
        <s v="AXINEO CONSTRUCTION "/>
        <s v="CSE IMMOBILIER"/>
        <s v="SAMORI PROTECTION PRIVEE"/>
        <s v="SCIS SARL"/>
        <s v="ETS MALEYE SARL"/>
        <s v="CASSIS EQUIPEMENTS"/>
        <s v="GLOBAL AFRICINVEST"/>
        <s v="HIGH TECHNOLOGY AFRICA"/>
        <s v="DMH GEO SENEGAL"/>
        <s v="SEMBOUYA AGRO BUSINESS(SAB)"/>
        <s v="MARINE PROCUREMENT SERVICES "/>
        <s v="SAMA HOTELS"/>
        <s v="ENTREPRISE ALBARKA"/>
        <s v="BIA DAKAR"/>
        <s v="MAKABINGUI GOLD COPORATION"/>
        <s v="CCBM INDUSTRIES AUTOMOBILES"/>
        <s v="STEP'IN SARL"/>
        <s v="BILAL OIL"/>
        <s v="SENEGAL CATERING ET SERVICES SARL"/>
        <s v="ETS YOLLI SOPE NABY"/>
        <s v="SE2I SAS"/>
        <s v="ENIKON SENEGAL SARL"/>
        <s v="GALAXIE SERVICES ENGINEERING "/>
        <s v="GROUPE BACA"/>
        <s v="MERCURE TRADING SERVICES"/>
        <s v="TOPWELDING STRUCTURES"/>
        <s v="TOUBA INTERNATIONAL DEALINGS"/>
        <s v="OXY SEN"/>
        <s v="SEN MAP DRONE"/>
        <s v="DPM CONSULTING"/>
        <s v="CODEX SA"/>
        <s v="WISE"/>
        <s v="JURIFISC &amp; SERVICES CONSULTING SARL"/>
        <s v="TOP STRUCTURES"/>
        <s v="AFRICA POWER SERVICES"/>
        <s v="KAYNANN SUARL"/>
        <s v="AM-CO CONSULTING &amp; SERVICES"/>
        <s v="FAYMA-ALPAM"/>
        <s v="GIE MAKOTEAM MULTISERVICES"/>
        <s v="YAM INDUSTRIE"/>
        <s v="TECHNICAL CONSTRUCTION "/>
        <s v="DERGANE SARL"/>
        <s v="AURELIEN SERTELET"/>
        <s v="AMBB TECHNOLOGIES SARL"/>
        <s v="RACONNEX"/>
        <s v="SEEE SENEGAL SA"/>
        <s v="DELUXE ENGINEERING COMPANY GROUP SUARL"/>
        <s v="SABODALA BTP SERVICES SBTPS "/>
        <s v="CTD CONSTRUCTIONS ET DESIGN SUARL"/>
        <s v="SET SARL"/>
        <s v="INTERNATIONAL OCCUPATIONAL SAFETY &amp; HEALTH OFFICE"/>
        <s v="EMF CONSULTING"/>
        <s v="SAADIX GROUPE"/>
        <s v="TRAORE ET COMPAGNIE SARL"/>
        <s v="ITTE CONSULTING SARL"/>
        <s v="GEOLOGICAL &amp; MINING EQUIPEMENTS"/>
        <s v="COMPAGNIE SENEGALAISE DE TRAVAUX ET D'INTERVENTION SUARL"/>
        <s v="E.C.T.I"/>
        <s v="URGENCES ET SOLUTIONS MEDICALES "/>
        <s v="SPIE GLOBAL SERVICES ENERGY SENEGAL"/>
        <s v="VENISE DISTRIBUTION SENEGAL"/>
        <s v="VINCI ENERGIES SENEGAL"/>
        <s v="ENTREPRISE GÉNÉRALE DE TRAVAUX"/>
        <s v="SEN RELAIS "/>
        <s v="SANET SERVICES"/>
        <s v="BERNABE SENEGAL"/>
        <s v="AEROMINETECH"/>
        <s v="SAREQ GROUP"/>
        <s v="ENTREPRISE  BOU SERIGNE ABDOU KARIM MBACKÉ"/>
        <s v="JAGUARS SECURITE SERVICES"/>
        <s v="IVOS SENEGAL"/>
        <s v="LOGISTIQUE SUR MESURE SUARL"/>
        <s v="BAOLA ENERGY GROUP"/>
        <s v="OXYNIUM"/>
        <s v="GLOBALFOOD SUPPLY"/>
        <s v="TERANGA OIL &amp; GAS SERVICES"/>
        <s v="NAY VISION SARL"/>
        <s v="SOGUI DEVELOPPEMENT EXPRESS"/>
        <s v="KHAFANDAM"/>
        <s v="PETROSEN TRADING ET SERVICES"/>
        <s v="JAN BTP SUARL"/>
        <s v="CODAC SA"/>
        <s v="RASSOUL INDUSTRIE BTP SUARL"/>
        <s v="ENTREPRISE YA SALAM"/>
        <s v="SAHARA TRADINGS"/>
        <s v="INTEGRAL FINANCE CONSULTING"/>
        <s v="SMEDIA"/>
        <s v="MKA EXCELLENCE"/>
        <s v="STR SARL"/>
        <s v="BAOBAB MINING AND CHEMICALS COORPORATION"/>
        <s v="GROUPE TOP INTER"/>
        <s v="COMPAGNIE AL AMINE MAINTENANCE ET SERVICES "/>
        <s v="REG-PRO ENERGY"/>
        <s v="GROUPE N2M SARL"/>
        <s v="AFRICAINE DE COMMERCE ET D'OUVARAGE"/>
        <s v="ESETRAP "/>
        <s v="SENPROC SARL"/>
        <s v="B AND O TRADING SARL"/>
        <s v="EPC MINEEX SA"/>
        <s v="L'AFRICAINE DE LOGISTIQUE ET DES TRAVAUX"/>
        <s v="DCI"/>
        <s v="LAIMRI SARL (LABORATOIRE INTERNATIONAL D"/>
        <s v="NEUROTECH"/>
        <s v="DABAKH PRODUCTION SERVICE"/>
        <s v="AFRICA POWER SERVICES SENEGAL"/>
        <s v="MALAIKA DEVELOPMENT CAPITAL"/>
        <s v="EGAS FAKHA"/>
        <s v="DIENE SERVICE CENTER SARL"/>
        <s v="TRI ENGINEERING SARL"/>
        <s v="SOMEM SÉNÉGAL"/>
        <s v="PITEXTILE CORPORATION"/>
        <s v="CISSOKHO SN COMMERCE INTERNATIONAL ET PRESTATION SERVICES PLUS"/>
        <s v="ECM PENE ET FILS "/>
        <s v="VM STEEL "/>
        <s v="HELIX SEN"/>
        <s v="INGENIERIE ET TECHNOLOGIE"/>
        <s v="AND"/>
        <s v="SYSROAD"/>
        <s v="DA ROSA SERVICES"/>
        <s v="ONG EAU VIE ENVIRONNEMENT - EVE"/>
        <s v="LEZZETTLI"/>
        <s v="TERANGA GLOBAL SYSTÈME"/>
        <s v="AFRIC ISOLE"/>
        <s v="GENTTRA"/>
        <s v="M2 CONSTRUCTION"/>
        <s v="SOCOTRA /MS"/>
        <s v="SOCOCIM INDUSTRIES"/>
        <s v="GIE JUMEAUX ET FRERES"/>
        <s v="MEDITECHS (MÉDICAL TECHNOLOGIES SERVICES)"/>
        <s v="GALAXY INDUSTRIES CORPORATION"/>
        <s v="SAHEL MINING SERVICES"/>
        <s v="ELMASA SENEGAL, S.A."/>
        <s v="SET CONS (EX ETAB)"/>
        <s v="AMARIS EQUIPMENT SERVICES"/>
        <s v="SIGNAL ROUTES SARL"/>
        <s v="MATONDO SUARL"/>
        <s v="PANOM HOLDING SUARL"/>
        <s v="SODIMEL INTERNATIONALE SA"/>
        <s v="AXIUM PROPERTIES"/>
        <s v="INFINITY OVERSEAS "/>
        <s v="UNIVERSAL TECH SUPPLY "/>
        <s v="ENERGENSE"/>
        <s v="COMPAGNIE DES PÉTROLES DU SUD"/>
        <s v="EDEN INGÉNIEURS CONSEILS"/>
        <s v="BMA ENGINEERING&amp; SERVICES "/>
        <s v="GS AFRIQUE"/>
        <s v="SERIGNE GUEYE ET FILS"/>
        <s v="PETOWAL MINING COMPAGNY"/>
        <s v="ENTREPRISE DIOKINE CISSE CONSTRUCTION SENEGAL"/>
        <s v="SENBIO CHIMIE SARL"/>
        <s v="GÉNIE CIVIL MILLÉNIUM PRESTATION (GCMP) "/>
        <s v="SNIJDER MINING CONTRACTING "/>
        <s v="AFRICAN UNDERGROUND MINING SERVICES SENEGAL SUARL"/>
        <s v="FBR TRANSPORT"/>
        <s v="ERIUM SENEGAL"/>
        <s v="DANGOTE CEMENT SENEGAL"/>
        <s v="MHK LOGISTIQUE"/>
        <s v="INFOGEO SENEGAL"/>
        <s v="AFRICA LUBES AND SERVICES SARL"/>
        <s v="TOUBA TRAVAUX PUBLICS SUARL"/>
        <s v="PROPLUS "/>
        <s v="SAS AEC ENERGY SERVICES "/>
        <s v="KEKENDO AFRICA ENGINEERING "/>
        <s v="SOCIETE MINIERE AFRICAINE"/>
        <s v="MAXAM SENEGAL"/>
        <s v="TOTALENERGIES MARKETING SÉNÉGAL"/>
        <s v="GROUPE YOLLI SOP NABI"/>
        <s v="GIE ISOTHERMI"/>
        <s v="GROUPE GTX"/>
        <s v="DOUAISIS PREMIUM"/>
        <s v="FUELEX SA"/>
        <s v="3MD ENERGY"/>
        <s v="MECSEN GROUP"/>
        <s v="BOC LOGISTIC SARL"/>
        <s v="AZ SERVICES SARL"/>
        <s v="ACADÉMIE COUPE ET COUTURE THIES"/>
        <s v="KOCC BARMA FALL"/>
        <s v="GEOAXIS MINING SOLUTIONS"/>
        <s v="LAPP PORTUGAL"/>
        <s v="OTIS GROUP SENEGAL"/>
      </sharedItems>
    </cacheField>
    <cacheField name="Statut" numFmtId="0">
      <sharedItems/>
    </cacheField>
    <cacheField name="Date d'inscription" numFmtId="14">
      <sharedItems containsSemiMixedTypes="0" containsNonDate="0" containsDate="1" containsString="0" minDate="2024-03-23T00:00:00" maxDate="2026-07-22T00:00:00" count="217">
        <d v="2026-04-01T00:00:00"/>
        <d v="2026-05-01T00:00:00"/>
        <d v="2026-06-01T00:00:00"/>
        <d v="2026-07-01T00:00:00"/>
        <d v="2026-01-02T00:00:00"/>
        <d v="2026-02-02T00:00:00"/>
        <d v="2026-03-02T00:00:00"/>
        <d v="2026-05-02T00:00:00"/>
        <d v="2026-06-02T00:00:00"/>
        <d v="2026-07-02T00:00:00"/>
        <d v="2025-09-02T00:00:00"/>
        <d v="2026-01-03T00:00:00"/>
        <d v="2026-02-03T00:00:00"/>
        <d v="2026-03-03T00:00:00"/>
        <d v="2026-04-03T00:00:00"/>
        <d v="2026-05-03T00:00:00"/>
        <d v="2025-06-03T00:00:00"/>
        <d v="2026-06-03T00:00:00"/>
        <d v="2025-07-03T00:00:00"/>
        <d v="2026-07-03T00:00:00"/>
        <d v="2025-10-03T00:00:00"/>
        <d v="2025-12-03T00:00:00"/>
        <d v="2026-02-04T00:00:00"/>
        <d v="2026-03-04T00:00:00"/>
        <d v="2026-04-04T00:00:00"/>
        <d v="2026-05-04T00:00:00"/>
        <d v="2026-06-04T00:00:00"/>
        <d v="2026-01-05T00:00:00"/>
        <d v="2026-02-05T00:00:00"/>
        <d v="2026-03-05T00:00:00"/>
        <d v="2026-05-05T00:00:00"/>
        <d v="2026-06-05T00:00:00"/>
        <d v="2025-12-05T00:00:00"/>
        <d v="2026-01-06T00:00:00"/>
        <d v="2026-02-06T00:00:00"/>
        <d v="2026-05-06T00:00:00"/>
        <d v="2026-06-06T00:00:00"/>
        <d v="2026-07-06T00:00:00"/>
        <d v="2026-01-07T00:00:00"/>
        <d v="2026-02-07T00:00:00"/>
        <d v="2026-03-07T00:00:00"/>
        <d v="2026-04-07T00:00:00"/>
        <d v="2024-05-07T00:00:00"/>
        <d v="2026-05-07T00:00:00"/>
        <d v="2026-07-07T00:00:00"/>
        <d v="2026-01-08T00:00:00"/>
        <d v="2026-02-08T00:00:00"/>
        <d v="2026-03-08T00:00:00"/>
        <d v="2026-04-08T00:00:00"/>
        <d v="2026-05-08T00:00:00"/>
        <d v="2026-06-08T00:00:00"/>
        <d v="2024-07-08T00:00:00"/>
        <d v="2026-07-08T00:00:00"/>
        <d v="2024-11-08T00:00:00"/>
        <d v="2025-11-08T00:00:00"/>
        <d v="2025-12-08T00:00:00"/>
        <d v="2026-01-09T00:00:00"/>
        <d v="2026-02-09T00:00:00"/>
        <d v="2026-03-09T00:00:00"/>
        <d v="2026-04-09T00:00:00"/>
        <d v="2026-06-09T00:00:00"/>
        <d v="2025-07-09T00:00:00"/>
        <d v="2026-07-09T00:00:00"/>
        <d v="2024-09-09T00:00:00"/>
        <d v="2025-09-09T00:00:00"/>
        <d v="2025-10-09T00:00:00"/>
        <d v="2025-12-09T00:00:00"/>
        <d v="2026-02-10T00:00:00"/>
        <d v="2026-04-10T00:00:00"/>
        <d v="2026-05-10T00:00:00"/>
        <d v="2026-06-10T00:00:00"/>
        <d v="2026-07-10T00:00:00"/>
        <d v="2026-03-11T00:00:00"/>
        <d v="2024-05-11T00:00:00"/>
        <d v="2026-05-11T00:00:00"/>
        <d v="2025-06-11T00:00:00"/>
        <d v="2026-06-11T00:00:00"/>
        <d v="2025-07-11T00:00:00"/>
        <d v="2026-01-12T00:00:00"/>
        <d v="2026-02-12T00:00:00"/>
        <d v="2026-03-12T00:00:00"/>
        <d v="2026-04-12T00:00:00"/>
        <d v="2026-05-12T00:00:00"/>
        <d v="2026-06-12T00:00:00"/>
        <d v="2025-09-12T00:00:00"/>
        <d v="2025-12-12T00:00:00"/>
        <d v="2026-01-13T00:00:00"/>
        <d v="2026-02-13T00:00:00"/>
        <d v="2026-03-13T00:00:00"/>
        <d v="2026-04-13T00:00:00"/>
        <d v="2026-05-13T00:00:00"/>
        <d v="2025-06-13T00:00:00"/>
        <d v="2026-06-13T00:00:00"/>
        <d v="2026-07-13T00:00:00"/>
        <d v="2025-10-13T00:00:00"/>
        <d v="2026-01-14T00:00:00"/>
        <d v="2026-02-14T00:00:00"/>
        <d v="2025-03-14T00:00:00"/>
        <d v="2026-03-14T00:00:00"/>
        <d v="2026-04-14T00:00:00"/>
        <d v="2025-07-14T00:00:00"/>
        <d v="2026-07-14T00:00:00"/>
        <d v="2024-10-14T00:00:00"/>
        <d v="2025-12-14T00:00:00"/>
        <d v="2026-01-15T00:00:00"/>
        <d v="2026-04-15T00:00:00"/>
        <d v="2026-05-15T00:00:00"/>
        <d v="2026-06-15T00:00:00"/>
        <d v="2026-07-15T00:00:00"/>
        <d v="2025-10-15T00:00:00"/>
        <d v="2025-11-15T00:00:00"/>
        <d v="2026-01-16T00:00:00"/>
        <d v="2026-02-16T00:00:00"/>
        <d v="2026-03-16T00:00:00"/>
        <d v="2026-04-16T00:00:00"/>
        <d v="2026-06-16T00:00:00"/>
        <d v="2025-07-16T00:00:00"/>
        <d v="2026-07-16T00:00:00"/>
        <d v="2025-12-16T00:00:00"/>
        <d v="2026-02-17T00:00:00"/>
        <d v="2026-03-17T00:00:00"/>
        <d v="2026-04-17T00:00:00"/>
        <d v="2026-06-17T00:00:00"/>
        <d v="2026-07-17T00:00:00"/>
        <d v="2026-02-18T00:00:00"/>
        <d v="2026-03-18T00:00:00"/>
        <d v="2026-05-18T00:00:00"/>
        <d v="2026-06-18T00:00:00"/>
        <d v="2025-07-18T00:00:00"/>
        <d v="2025-12-18T00:00:00"/>
        <d v="2026-01-19T00:00:00"/>
        <d v="2026-02-19T00:00:00"/>
        <d v="2026-03-19T00:00:00"/>
        <d v="2026-04-19T00:00:00"/>
        <d v="2025-05-19T00:00:00"/>
        <d v="2026-05-19T00:00:00"/>
        <d v="2026-06-19T00:00:00"/>
        <d v="2026-07-19T00:00:00"/>
        <d v="2025-08-19T00:00:00"/>
        <d v="2025-09-19T00:00:00"/>
        <d v="2024-11-19T00:00:00"/>
        <d v="2025-12-19T00:00:00"/>
        <d v="2026-01-20T00:00:00"/>
        <d v="2026-02-20T00:00:00"/>
        <d v="2026-03-20T00:00:00"/>
        <d v="2026-04-20T00:00:00"/>
        <d v="2026-05-20T00:00:00"/>
        <d v="2026-06-20T00:00:00"/>
        <d v="2026-07-20T00:00:00"/>
        <d v="2024-12-20T00:00:00"/>
        <d v="2026-01-21T00:00:00"/>
        <d v="2026-02-21T00:00:00"/>
        <d v="2026-04-21T00:00:00"/>
        <d v="2024-05-21T00:00:00"/>
        <d v="2026-05-21T00:00:00"/>
        <d v="2026-07-21T00:00:00"/>
        <d v="2025-11-21T00:00:00"/>
        <d v="2026-01-22T00:00:00"/>
        <d v="2024-04-22T00:00:00"/>
        <d v="2026-04-22T00:00:00"/>
        <d v="2026-05-22T00:00:00"/>
        <d v="2026-06-22T00:00:00"/>
        <d v="2025-12-22T00:00:00"/>
        <d v="2026-01-23T00:00:00"/>
        <d v="2026-02-23T00:00:00"/>
        <d v="2024-03-23T00:00:00"/>
        <d v="2026-03-23T00:00:00"/>
        <d v="2026-04-23T00:00:00"/>
        <d v="2025-05-23T00:00:00"/>
        <d v="2026-05-23T00:00:00"/>
        <d v="2026-06-23T00:00:00"/>
        <d v="2025-09-23T00:00:00"/>
        <d v="2026-01-24T00:00:00"/>
        <d v="2026-02-24T00:00:00"/>
        <d v="2025-03-24T00:00:00"/>
        <d v="2026-03-24T00:00:00"/>
        <d v="2026-04-24T00:00:00"/>
        <d v="2026-05-24T00:00:00"/>
        <d v="2026-06-24T00:00:00"/>
        <d v="2026-01-25T00:00:00"/>
        <d v="2026-02-25T00:00:00"/>
        <d v="2026-03-25T00:00:00"/>
        <d v="2026-04-25T00:00:00"/>
        <d v="2026-06-25T00:00:00"/>
        <d v="2024-07-25T00:00:00"/>
        <d v="2025-12-25T00:00:00"/>
        <d v="2026-01-26T00:00:00"/>
        <d v="2025-02-26T00:00:00"/>
        <d v="2026-02-26T00:00:00"/>
        <d v="2026-03-26T00:00:00"/>
        <d v="2026-04-26T00:00:00"/>
        <d v="2026-05-26T00:00:00"/>
        <d v="2026-06-26T00:00:00"/>
        <d v="2024-11-26T00:00:00"/>
        <d v="2025-11-26T00:00:00"/>
        <d v="2026-01-27T00:00:00"/>
        <d v="2026-02-27T00:00:00"/>
        <d v="2026-03-27T00:00:00"/>
        <d v="2026-04-27T00:00:00"/>
        <d v="2026-05-27T00:00:00"/>
        <d v="2025-11-27T00:00:00"/>
        <d v="2026-01-28T00:00:00"/>
        <d v="2026-02-28T00:00:00"/>
        <d v="2026-03-28T00:00:00"/>
        <d v="2025-04-28T00:00:00"/>
        <d v="2026-04-28T00:00:00"/>
        <d v="2025-10-28T00:00:00"/>
        <d v="2026-01-29T00:00:00"/>
        <d v="2026-04-29T00:00:00"/>
        <d v="2026-06-29T00:00:00"/>
        <d v="2025-12-29T00:00:00"/>
        <d v="2026-01-30T00:00:00"/>
        <d v="2026-03-30T00:00:00"/>
        <d v="2026-04-30T00:00:00"/>
        <d v="2026-05-30T00:00:00"/>
        <d v="2026-06-30T00:00:00"/>
        <d v="2026-03-31T00:00:00"/>
      </sharedItems>
      <fieldGroup par="10"/>
    </cacheField>
    <cacheField name="heure" numFmtId="21">
      <sharedItems containsSemiMixedTypes="0" containsNonDate="0" containsDate="1" containsString="0" minDate="1899-12-30T00:12:49" maxDate="1899-12-30T23:57:45"/>
    </cacheField>
    <cacheField name="Point focal" numFmtId="0">
      <sharedItems/>
    </cacheField>
    <cacheField name="Email" numFmtId="0">
      <sharedItems/>
    </cacheField>
    <cacheField name="Profile" numFmtId="0">
      <sharedItems/>
    </cacheField>
    <cacheField name="Pays" numFmtId="0">
      <sharedItems/>
    </cacheField>
    <cacheField name="Mois (Date d'inscription)" numFmtId="0" databaseField="0">
      <fieldGroup base="2">
        <rangePr groupBy="months" startDate="2024-03-23T00:00:00" endDate="2026-07-22T00:00:00"/>
        <groupItems count="14">
          <s v="&lt;23/03/202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2/07/2026"/>
        </groupItems>
      </fieldGroup>
    </cacheField>
    <cacheField name="Trimestres (Date d'inscription)" numFmtId="0" databaseField="0">
      <fieldGroup base="2">
        <rangePr groupBy="quarters" startDate="2024-03-23T00:00:00" endDate="2026-07-22T00:00:00"/>
        <groupItems count="6">
          <s v="&lt;23/03/2024"/>
          <s v="Trimestre1"/>
          <s v="Trimestre2"/>
          <s v="Trimestre3"/>
          <s v="Trimestre4"/>
          <s v="&gt;22/07/2026"/>
        </groupItems>
      </fieldGroup>
    </cacheField>
    <cacheField name="Années (Date d'inscription)" numFmtId="0" databaseField="0">
      <fieldGroup base="2">
        <rangePr groupBy="years" startDate="2024-03-23T00:00:00" endDate="2026-07-22T00:00:00"/>
        <groupItems count="5">
          <s v="&lt;23/03/2024"/>
          <s v="2024"/>
          <s v="2025"/>
          <s v="2026"/>
          <s v="&gt;22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227.583178587964" createdVersion="8" refreshedVersion="8" minRefreshableVersion="3" recordCount="485" xr:uid="{57329D23-37D2-4112-A6BB-87C26A73CE9A}">
  <cacheSource type="worksheet">
    <worksheetSource ref="A1:H486" sheet="Inscriptions" r:id="rId2"/>
  </cacheSource>
  <cacheFields count="7">
    <cacheField name="Entreprise" numFmtId="0">
      <sharedItems/>
    </cacheField>
    <cacheField name="Statut" numFmtId="0">
      <sharedItems/>
    </cacheField>
    <cacheField name="Date d'inscription" numFmtId="14">
      <sharedItems containsNonDate="0" count="485">
        <s v="21/07/2026 00:53:05"/>
        <s v="12/05/2026 13:05:23"/>
        <s v="20/07/2026 09:21:45"/>
        <s v="20/07/2026 11:52:04"/>
        <s v="19/07/2026 16:42:25"/>
        <s v="14/07/2026 14:44:01"/>
        <s v="20/07/2026 02:48:52"/>
        <s v="17/07/2026 20:36:16"/>
        <s v="09/07/2025 09:19:32"/>
        <s v="16/07/2026 16:25:54"/>
        <s v="17/07/2026 13:21:11"/>
        <s v="16/07/2026 12:36:21"/>
        <s v="16/07/2026 10:06:47"/>
        <s v="15/07/2026 17:43:40"/>
        <s v="15/07/2026 13:11:33"/>
        <s v="15/07/2026 12:38:01"/>
        <s v="13/07/2026 14:37:34"/>
        <s v="12/05/2026 15:08:09"/>
        <s v="13/07/2026 12:40:30"/>
        <s v="26/06/2026 18:34:37"/>
        <s v="29/04/2026 13:35:37"/>
        <s v="06/07/2026 12:50:34"/>
        <s v="29/06/2026 18:52:04"/>
        <s v="01/07/2026 08:51:57"/>
        <s v="24/06/2026 09:39:07"/>
        <s v="13/07/2026 00:52:21"/>
        <s v="09/07/2026 14:23:01"/>
        <s v="14/03/2025 11:55:20"/>
        <s v="10/07/2026 11:01:27"/>
        <s v="20/03/2026 15:26:49"/>
        <s v="19/12/2025 19:16:27"/>
        <s v="08/07/2026 12:11:13"/>
        <s v="08/07/2026 10:38:26"/>
        <s v="08/07/2026 15:03:33"/>
        <s v="22/06/2026 13:29:51"/>
        <s v="25/06/2026 11:53:08"/>
        <s v="07/07/2026 11:39:02"/>
        <s v="07/07/2026 11:13:55"/>
        <s v="15/06/2026 18:54:19"/>
        <s v="03/07/2026 10:15:52"/>
        <s v="03/07/2026 12:26:39"/>
        <s v="29/06/2026 18:15:21"/>
        <s v="12/06/2026 16:16:09"/>
        <s v="02/07/2026 18:36:17"/>
        <s v="10/06/2026 15:15:25"/>
        <s v="02/07/2026 01:06:02"/>
        <s v="30/04/2026 12:13:46"/>
        <s v="30/06/2026 10:13:22"/>
        <s v="18/06/2026 13:40:22"/>
        <s v="23/06/2026 10:16:41"/>
        <s v="05/12/2025 16:11:33"/>
        <s v="29/06/2026 09:51:00"/>
        <s v="25/06/2026 13:59:26"/>
        <s v="03/07/2025 17:54:47"/>
        <s v="20/06/2026 16:13:23"/>
        <s v="11/05/2026 15:01:57"/>
        <s v="12/06/2026 08:15:59"/>
        <s v="24/06/2026 10:29:29"/>
        <s v="22/06/2026 14:42:20"/>
        <s v="24/06/2026 16:01:49"/>
        <s v="06/06/2026 09:44:00"/>
        <s v="25/06/2026 10:06:03"/>
        <s v="25/06/2026 13:09:59"/>
        <s v="25/06/2026 12:24:00"/>
        <s v="24/06/2026 11:12:10"/>
        <s v="11/06/2025 15:49:31"/>
        <s v="20/06/2026 15:58:05"/>
        <s v="18/07/2025 22:59:47"/>
        <s v="09/06/2026 11:22:20"/>
        <s v="09/06/2026 11:21:01"/>
        <s v="01/06/2026 14:31:00"/>
        <s v="16/06/2026 11:06:45"/>
        <s v="17/06/2026 12:06:56"/>
        <s v="19/06/2026 09:12:16"/>
        <s v="16/06/2026 14:47:42"/>
        <s v="18/06/2026 10:53:14"/>
        <s v="17/06/2026 17:36:10"/>
        <s v="17/06/2026 13:36:24"/>
        <s v="16/06/2026 14:00:03"/>
        <s v="09/06/2026 10:14:49"/>
        <s v="15/05/2026 12:11:37"/>
        <s v="01/06/2026 13:50:49"/>
        <s v="11/06/2026 18:00:01"/>
        <s v="13/06/2026 16:32:44"/>
        <s v="16/06/2026 08:03:11"/>
        <s v="15/06/2026 10:12:38"/>
        <s v="04/06/2026 14:14:15"/>
        <s v="19/05/2026 13:10:57"/>
        <s v="27/11/2025 20:19:58"/>
        <s v="10/06/2026 15:34:48"/>
        <s v="26/05/2026 10:21:08"/>
        <s v="01/06/2026 13:47:20"/>
        <s v="08/06/2026 15:07:31"/>
        <s v="08/06/2026 08:16:04"/>
        <s v="02/06/2026 22:18:05"/>
        <s v="20/05/2026 10:54:27"/>
        <s v="05/06/2026 21:52:30"/>
        <s v="05/06/2026 15:18:36"/>
        <s v="05/06/2026 10:19:15"/>
        <s v="21/05/2026 12:43:25"/>
        <s v="19/05/2026 14:35:06"/>
        <s v="28/10/2025 10:46:17"/>
        <s v="01/06/2026 10:11:10"/>
        <s v="30/05/2026 10:41:37"/>
        <s v="01/06/2026 13:12:19"/>
        <s v="15/05/2026 17:26:50"/>
        <s v="09/02/2026 12:43:15"/>
        <s v="22/05/2026 10:56:37"/>
        <s v="03/06/2026 14:33:54"/>
        <s v="23/04/2026 12:53:18"/>
        <s v="02/06/2026 13:55:52"/>
        <s v="02/06/2026 10:46:36"/>
        <s v="02/06/2026 09:57:57"/>
        <s v="21/05/2026 22:36:59"/>
        <s v="01/06/2026 15:51:04"/>
        <s v="22/05/2026 13:13:23"/>
        <s v="20/05/2026 13:24:11"/>
        <s v="27/05/2026 12:10:01"/>
        <s v="01/06/2026 10:59:22"/>
        <s v="01/06/2026 09:57:15"/>
        <s v="06/05/2026 18:45:42"/>
        <s v="21/05/2026 10:46:29"/>
        <s v="13/05/2026 14:42:05"/>
        <s v="21/05/2026 14:00:09"/>
        <s v="27/05/2026 08:48:40"/>
        <s v="26/05/2026 16:15:41"/>
        <s v="24/05/2026 16:59:23"/>
        <s v="23/05/2026 17:41:03"/>
        <s v="20/05/2026 10:37:52"/>
        <s v="19/05/2026 11:25:25"/>
        <s v="21/05/2026 10:26:49"/>
        <s v="20/05/2026 12:51:10"/>
        <s v="30/04/2026 15:54:17"/>
        <s v="15/05/2026 20:05:57"/>
        <s v="20/05/2026 10:39:18"/>
        <s v="05/05/2026 16:16:48"/>
        <s v="11/05/2026 16:34:45"/>
        <s v="13/05/2026 16:46:33"/>
        <s v="17/04/2026 08:44:16"/>
        <s v="06/02/2026 15:04:10"/>
        <s v="26/03/2026 10:04:49"/>
        <s v="20/05/2026 08:31:32"/>
        <s v="19/05/2026 10:23:17"/>
        <s v="19/05/2026 15:20:15"/>
        <s v="18/05/2026 19:26:41"/>
        <s v="18/05/2026 15:29:03"/>
        <s v="18/05/2026 11:15:24"/>
        <s v="22/04/2026 00:19:17"/>
        <s v="04/05/2026 20:36:06"/>
        <s v="10/05/2026 22:41:04"/>
        <s v="13/05/2026 13:37:52"/>
        <s v="05/05/2026 09:47:34"/>
        <s v="01/05/2026 12:49:17"/>
        <s v="28/04/2026 15:07:33"/>
        <s v="26/02/2026 14:59:49"/>
        <s v="09/10/2025 23:28:49"/>
        <s v="12/05/2026 10:07:05"/>
        <s v="06/05/2026 12:06:09"/>
        <s v="10/05/2026 20:19:35"/>
        <s v="21/04/2026 13:10:36"/>
        <s v="26/03/2026 10:15:32"/>
        <s v="12/05/2026 11:23:59"/>
        <s v="28/04/2026 07:04:27"/>
        <s v="05/05/2026 19:03:15"/>
        <s v="06/05/2026 11:40:13"/>
        <s v="08/05/2026 10:31:14"/>
        <s v="11/05/2026 08:33:35"/>
        <s v="19/08/2025 14:54:35"/>
        <s v="11/05/2026 22:13:22"/>
        <s v="11/05/2026 21:52:53"/>
        <s v="11/05/2026 10:48:07"/>
        <s v="08/05/2026 16:50:00"/>
        <s v="27/02/2026 23:57:45"/>
        <s v="05/03/2026 11:24:40"/>
        <s v="08/05/2026 11:36:29"/>
        <s v="04/05/2026 07:24:16"/>
        <s v="16/04/2026 13:33:40"/>
        <s v="07/05/2024 20:39:47"/>
        <s v="07/05/2026 18:19:46"/>
        <s v="07/05/2026 17:52:08"/>
        <s v="23/09/2025 22:12:17"/>
        <s v="05/05/2026 11:12:14"/>
        <s v="03/05/2026 15:38:26"/>
        <s v="02/05/2026 10:35:42"/>
        <s v="01/05/2026 23:41:07"/>
        <s v="30/04/2026 18:43:05"/>
        <s v="30/04/2026 11:28:36"/>
        <s v="29/04/2026 16:36:30"/>
        <s v="07/04/2026 11:36:10"/>
        <s v="23/04/2026 13:01:08"/>
        <s v="29/04/2026 13:37:18"/>
        <s v="28/04/2026 17:20:55"/>
        <s v="28/04/2026 15:48:40"/>
        <s v="27/04/2026 07:57:26"/>
        <s v="27/04/2026 16:23:37"/>
        <s v="12/04/2026 19:07:38"/>
        <s v="16/03/2026 12:15:10"/>
        <s v="24/04/2026 12:56:51"/>
        <s v="21/11/2025 12:43:07"/>
        <s v="28/04/2026 10:54:26"/>
        <s v="30/03/2026 16:12:42"/>
        <s v="15/04/2026 08:47:14"/>
        <s v="26/04/2026 13:26:13"/>
        <s v="25/04/2026 21:07:32"/>
        <s v="24/04/2026 16:35:28"/>
        <s v="24/04/2026 11:59:13"/>
        <s v="16/02/2026 14:24:32"/>
        <s v="20/04/2026 15:39:47"/>
        <s v="10/04/2026 17:45:05"/>
        <s v="13/06/2025 10:22:01"/>
        <s v="24/03/2026 11:22:37"/>
        <s v="22/04/2026 00:28:25"/>
        <s v="13/04/2026 10:15:38"/>
        <s v="07/04/2026 16:53:55"/>
        <s v="14/04/2026 10:34:24"/>
        <s v="20/04/2026 07:31:38"/>
        <s v="19/04/2026 19:10:59"/>
        <s v="11/07/2025 10:26:58"/>
        <s v="16/04/2026 17:03:24"/>
        <s v="16/04/2026 16:33:44"/>
        <s v="20/12/2024 10:12:27"/>
        <s v="12/09/2025 10:22:56"/>
        <s v="15/04/2026 10:31:21"/>
        <s v="14/03/2026 10:37:21"/>
        <s v="14/04/2026 14:44:08"/>
        <s v="23/03/2026 15:59:48"/>
        <s v="08/04/2026 11:17:11"/>
        <s v="13/04/2026 10:32:17"/>
        <s v="20/03/2026 23:55:04"/>
        <s v="09/04/2026 13:29:41"/>
        <s v="19/03/2026 08:52:02"/>
        <s v="10/04/2026 04:01:12"/>
        <s v="09/04/2026 13:26:02"/>
        <s v="01/04/2026 15:26:06"/>
        <s v="07/04/2026 10:53:29"/>
        <s v="07/04/2026 12:26:35"/>
        <s v="09/09/2024 17:33:49"/>
        <s v="31/03/2026 13:23:34"/>
        <s v="04/04/2026 08:45:21"/>
        <s v="03/04/2026 11:02:32"/>
        <s v="11/03/2026 13:25:57"/>
        <s v="30/03/2026 09:14:50"/>
        <s v="24/03/2025 11:53:53"/>
        <s v="25/03/2026 11:32:26"/>
        <s v="13/01/2026 22:51:29"/>
        <s v="16/03/2026 15:50:38"/>
        <s v="31/03/2026 12:24:37"/>
        <s v="01/04/2026 10:38:19"/>
        <s v="26/03/2026 13:19:13"/>
        <s v="16/03/2026 16:19:18"/>
        <s v="30/03/2026 13:00:28"/>
        <s v="25/07/2024 13:22:49"/>
        <s v="27/03/2026 11:35:13"/>
        <s v="16/07/2025 15:14:59"/>
        <s v="27/03/2026 11:53:08"/>
        <s v="23/03/2026 21:26:21"/>
        <s v="09/01/2026 09:43:40"/>
        <s v="18/02/2026 15:56:16"/>
        <s v="24/03/2026 16:17:09"/>
        <s v="25/03/2026 13:15:29"/>
        <s v="28/03/2026 21:34:04"/>
        <s v="27/03/2026 12:58:04"/>
        <s v="27/03/2026 11:42:26"/>
        <s v="27/03/2026 10:31:17"/>
        <s v="27/03/2026 09:17:08"/>
        <s v="25/03/2026 17:03:14"/>
        <s v="03/03/2026 12:17:28"/>
        <s v="26/02/2026 10:39:04"/>
        <s v="03/03/2026 16:35:47"/>
        <s v="07/05/2024 16:36:19"/>
        <s v="12/03/2026 13:30:16"/>
        <s v="19/03/2026 20:59:52"/>
        <s v="12/02/2026 12:13:07"/>
        <s v="19/03/2026 11:51:55"/>
        <s v="09/09/2025 15:56:11"/>
        <s v="18/03/2026 13:29:06"/>
        <s v="17/03/2026 10:13:48"/>
        <s v="18/03/2026 11:17:20"/>
        <s v="16/03/2026 17:14:39"/>
        <s v="16/03/2026 11:54:44"/>
        <s v="22/01/2026 11:23:08"/>
        <s v="13/02/2026 12:53:38"/>
        <s v="13/03/2026 10:54:17"/>
        <s v="05/03/2026 15:48:15"/>
        <s v="23/05/2025 16:06:20"/>
        <s v="16/02/2026 13:12:01"/>
        <s v="03/03/2026 09:10:38"/>
        <s v="12/03/2026 15:49:23"/>
        <s v="26/02/2026 06:48:41"/>
        <s v="03/03/2026 16:24:13"/>
        <s v="02/03/2026 08:50:50"/>
        <s v="09/03/2026 08:34:31"/>
        <s v="12/03/2026 11:01:19"/>
        <s v="26/02/2026 12:27:50"/>
        <s v="11/03/2026 18:07:09"/>
        <s v="13/03/2026 11:46:46"/>
        <s v="03/03/2026 16:00:38"/>
        <s v="12/03/2026 08:25:05"/>
        <s v="24/02/2026 13:42:06"/>
        <s v="12/03/2026 11:01:23"/>
        <s v="07/03/2026 14:02:16"/>
        <s v="11/03/2026 09:24:02"/>
        <s v="03/10/2025 10:37:22"/>
        <s v="05/03/2026 14:28:12"/>
        <s v="09/03/2026 13:44:38"/>
        <s v="09/03/2026 12:46:38"/>
        <s v="25/02/2026 13:15:56"/>
        <s v="24/02/2026 10:55:43"/>
        <s v="04/03/2026 19:44:33"/>
        <s v="16/02/2026 16:11:00"/>
        <s v="08/03/2026 21:18:04"/>
        <s v="08/07/2024 13:57:23"/>
        <s v="02/03/2026 09:56:05"/>
        <s v="20/02/2026 12:28:55"/>
        <s v="03/03/2026 10:38:54"/>
        <s v="04/03/2026 09:58:55"/>
        <s v="27/02/2026 15:23:31"/>
        <s v="15/11/2025 19:22:43"/>
        <s v="19/02/2026 10:06:31"/>
        <s v="02/03/2026 14:41:26"/>
        <s v="28/02/2026 20:46:55"/>
        <s v="25/02/2026 12:19:16"/>
        <s v="25/02/2026 13:33:20"/>
        <s v="26/02/2026 08:22:02"/>
        <s v="28/04/2025 17:04:11"/>
        <s v="23/02/2026 12:58:11"/>
        <s v="19/02/2026 17:13:13"/>
        <s v="23/02/2026 09:23:29"/>
        <s v="25/02/2026 14:13:52"/>
        <s v="25/02/2026 08:34:28"/>
        <s v="24/02/2026 10:30:39"/>
        <s v="18/02/2026 09:59:17"/>
        <s v="25/02/2026 12:32:40"/>
        <s v="05/01/2026 05:22:14"/>
        <s v="18/02/2026 17:03:26"/>
        <s v="23/02/2026 17:55:38"/>
        <s v="10/02/2026 09:25:08"/>
        <s v="24/01/2026 16:58:03"/>
        <s v="17/02/2026 08:34:31"/>
        <s v="12/02/2026 16:30:10"/>
        <s v="23/02/2026 17:51:39"/>
        <s v="23/02/2026 11:28:41"/>
        <s v="22/04/2024 18:39:17"/>
        <s v="19/02/2026 10:27:03"/>
        <s v="12/02/2026 09:23:08"/>
        <s v="27/01/2026 10:55:03"/>
        <s v="20/01/2026 16:51:37"/>
        <s v="16/02/2026 01:12:59"/>
        <s v="13/02/2026 13:50:23"/>
        <s v="20/02/2026 21:32:36"/>
        <s v="21/02/2026 15:02:44"/>
        <s v="19/02/2026 14:03:25"/>
        <s v="17/02/2026 16:38:01"/>
        <s v="21/01/2026 11:10:33"/>
        <s v="17/02/2026 15:56:11"/>
        <s v="10/02/2026 12:00:10"/>
        <s v="13/02/2026 11:52:15"/>
        <s v="16/02/2026 09:37:53"/>
        <s v="06/02/2026 15:45:24"/>
        <s v="25/07/2024 15:16:26"/>
        <s v="14/02/2026 20:12:40"/>
        <s v="12/02/2026 11:08:31"/>
        <s v="09/02/2026 10:32:38"/>
        <s v="26/02/2025 19:28:17"/>
        <s v="06/02/2026 08:43:49"/>
        <s v="09/02/2026 13:41:35"/>
        <s v="09/02/2026 12:29:48"/>
        <s v="06/02/2026 17:36:08"/>
        <s v="22/12/2025 16:39:54"/>
        <s v="28/01/2026 12:21:05"/>
        <s v="03/02/2026 13:35:09"/>
        <s v="26/02/2025 07:55:11"/>
        <s v="05/02/2026 08:57:16"/>
        <s v="22/01/2026 11:39:10"/>
        <s v="30/01/2026 12:10:46"/>
        <s v="04/02/2026 16:51:51"/>
        <s v="08/02/2026 14:39:17"/>
        <s v="27/01/2026 17:06:22"/>
        <s v="08/12/2025 08:48:17"/>
        <s v="07/02/2026 09:17:02"/>
        <s v="15/01/2026 16:20:50"/>
        <s v="03/12/2025 10:03:04"/>
        <s v="06/02/2026 17:57:08"/>
        <s v="27/01/2026 15:48:09"/>
        <s v="16/01/2026 19:37:27"/>
        <s v="14/07/2025 13:10:45"/>
        <s v="05/02/2026 15:35:57"/>
        <s v="05/02/2026 13:33:11"/>
        <s v="04/02/2026 14:58:51"/>
        <s v="29/01/2026 07:49:52"/>
        <s v="28/01/2026 20:25:13"/>
        <s v="04/02/2026 11:46:22"/>
        <s v="04/02/2026 06:16:35"/>
        <s v="02/02/2026 09:59:42"/>
        <s v="08/12/2025 14:27:59"/>
        <s v="26/01/2026 10:57:46"/>
        <s v="14/01/2026 13:22:44"/>
        <s v="25/01/2026 19:09:09"/>
        <s v="22/01/2026 14:13:03"/>
        <s v="02/02/2026 23:06:34"/>
        <s v="28/01/2026 12:44:38"/>
        <s v="28/01/2026 09:48:27"/>
        <s v="28/01/2026 15:46:47"/>
        <s v="28/01/2026 15:55:06"/>
        <s v="03/01/2026 12:02:04"/>
        <s v="29/01/2026 15:30:32"/>
        <s v="29/01/2026 11:51:41"/>
        <s v="29/01/2026 17:02:42"/>
        <s v="21/01/2026 17:48:21"/>
        <s v="06/01/2026 11:20:56"/>
        <s v="25/01/2026 16:24:48"/>
        <s v="28/01/2026 14:47:23"/>
        <s v="22/01/2026 15:12:28"/>
        <s v="27/01/2026 11:41:46"/>
        <s v="26/11/2025 21:47:41"/>
        <s v="27/01/2026 16:37:47"/>
        <s v="28/01/2026 10:32:54"/>
        <s v="07/01/2026 18:04:44"/>
        <s v="12/01/2026 13:08:18"/>
        <s v="25/01/2026 18:07:20"/>
        <s v="24/01/2026 15:43:52"/>
        <s v="23/01/2026 13:34:27"/>
        <s v="21/01/2026 23:05:38"/>
        <s v="20/01/2026 17:46:32"/>
        <s v="20/01/2026 17:33:36"/>
        <s v="26/01/2026 10:16:53"/>
        <s v="15/10/2025 18:10:42"/>
        <s v="20/01/2026 13:18:03"/>
        <s v="16/01/2026 14:01:41"/>
        <s v="21/01/2026 11:52:36"/>
        <s v="14/01/2026 07:48:18"/>
        <s v="08/11/2025 00:12:49"/>
        <s v="19/09/2025 16:13:15"/>
        <s v="19/01/2026 12:50:37"/>
        <s v="16/01/2026 13:54:44"/>
        <s v="16/01/2026 18:09:48"/>
        <s v="12/01/2026 11:17:50"/>
        <s v="12/12/2025 15:31:49"/>
        <s v="20/01/2026 10:29:03"/>
        <s v="12/01/2026 15:38:05"/>
        <s v="22/01/2026 15:16:33"/>
        <s v="22/01/2026 16:19:41"/>
        <s v="22/01/2026 13:03:36"/>
        <s v="03/06/2025 10:27:15"/>
        <s v="02/09/2025 16:47:15"/>
        <s v="08/01/2026 10:16:13"/>
        <s v="13/01/2026 12:38:57"/>
        <s v="16/01/2026 17:05:07"/>
        <s v="07/01/2026 17:35:07"/>
        <s v="23/03/2024 15:19:14"/>
        <s v="13/01/2026 11:35:06"/>
        <s v="12/01/2026 17:03:19"/>
        <s v="19/05/2025 13:22:57"/>
        <s v="14/01/2026 09:18:17"/>
        <s v="13/01/2026 16:39:15"/>
        <s v="09/01/2026 13:30:17"/>
        <s v="13/01/2026 18:32:37"/>
        <s v="13/01/2026 15:38:13"/>
        <s v="05/01/2026 15:28:38"/>
        <s v="08/01/2026 11:54:43"/>
        <s v="05/01/2026 10:13:48"/>
        <s v="06/01/2026 10:46:45"/>
        <s v="06/01/2026 16:41:48"/>
        <s v="07/01/2026 14:47:40"/>
        <s v="29/12/2025 10:33:49"/>
        <s v="09/12/2025 00:49:33"/>
        <s v="05/01/2026 12:42:54"/>
        <s v="09/12/2025 14:24:19"/>
        <s v="07/01/2026 12:01:00"/>
        <s v="02/01/2026 16:15:18"/>
        <s v="05/01/2026 09:52:15"/>
        <s v="05/01/2026 04:51:22"/>
        <s v="25/12/2025 15:28:35"/>
        <s v="12/09/2025 13:20:58"/>
        <s v="16/12/2025 13:51:03"/>
        <s v="19/11/2024 16:47:46"/>
        <s v="21/05/2024 13:12:54"/>
        <s v="12/12/2025 23:49:39"/>
        <s v="13/10/2025 09:46:33"/>
        <s v="26/11/2024 18:55:15"/>
        <s v="14/10/2024 21:05:11"/>
        <s v="08/11/2024 13:21:45"/>
        <s v="11/05/2024 18:34:34"/>
        <s v="18/12/2025 11:52:17"/>
        <s v="14/12/2025 23:54:40"/>
      </sharedItems>
    </cacheField>
    <cacheField name="Point focal" numFmtId="0">
      <sharedItems/>
    </cacheField>
    <cacheField name="Email" numFmtId="0">
      <sharedItems/>
    </cacheField>
    <cacheField name="Profile" numFmtId="0">
      <sharedItems count="7">
        <s v="Fournisseurs et Prestataires de droit sénégalais"/>
        <s v="Fournisseurs et Prestataires locaux"/>
        <s v="Sous-traitants"/>
        <s v="Fournisseurs et Prestataires étrangers"/>
        <s v="Entreprises avec permis de recherche"/>
        <s v="Fournisseurs et prestataires locaux (GPF ou GIE)"/>
        <s v="Sociétés minières ou Cimenteries"/>
      </sharedItems>
    </cacheField>
    <cacheField name="Pays" numFmtId="0">
      <sharedItems count="15">
        <s v="Sénégal"/>
        <s v="Afrique du Sud"/>
        <s v="France"/>
        <s v="Royaume-Uni"/>
        <s v="Tunisie"/>
        <s v="Belgique"/>
        <s v="Pays-Bas"/>
        <s v="Inde"/>
        <s v="Australie"/>
        <s v="Portugal"/>
        <s v="Burkina Faso"/>
        <s v="Îles Mariannes du Nord"/>
        <s v="Espagne"/>
        <s v="Canada"/>
        <s v="Ile Maurice"/>
      </sharedItems>
    </cacheField>
  </cacheFields>
  <extLst>
    <ext xmlns:x14="http://schemas.microsoft.com/office/spreadsheetml/2009/9/main" uri="{725AE2AE-9491-48be-B2B4-4EB974FC3084}">
      <x14:pivotCacheDefinition pivotCacheId="152962903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229.886525925926" createdVersion="8" refreshedVersion="8" minRefreshableVersion="3" recordCount="485" xr:uid="{074AEFA9-D22E-45EE-AA56-4374AA7D9257}">
  <cacheSource type="worksheet">
    <worksheetSource name="Tableau1"/>
  </cacheSource>
  <cacheFields count="8">
    <cacheField name="Entreprise" numFmtId="0">
      <sharedItems count="483">
        <s v="MINING SUPPLY SOLUTIONS (M2S)"/>
        <s v="CHALLENGE 2000 SARL "/>
        <s v="ETIM SARL"/>
        <s v="CIE MULTI SERVICES "/>
        <s v="ALS SENEGAL SARL"/>
        <s v="MEGA"/>
        <s v="SENEGAL SUPPLY BASE"/>
        <s v="EMOSFK SARL"/>
        <s v="BETON DU SÉNÉGAL SUARL "/>
        <s v="SENEGAL REMOTE SERVICES"/>
        <s v="SIGA CORPORATE"/>
        <s v="DIASS INDUSTRIES SAS"/>
        <s v="PYXIS TRADING"/>
        <s v="CONFOSEN"/>
        <s v="MCI SENEGAL SAS"/>
        <s v="SERIGNE MBOUP DISTRIBUTION &amp;SERVICES"/>
        <s v="DMD GROUPE"/>
        <s v="B.D.T.P"/>
        <s v="AFTERPRO SARL "/>
        <s v="SUNTECH ENGI AUTOMATION PRIVATE LIMITED"/>
        <s v="ACCEO SUARL"/>
        <s v="RGA"/>
        <s v="SAGA AFRICA HOLDINGS LIMITED SA"/>
        <s v="MBOUP GROUP/4MG"/>
        <s v="SEN-SUD ENERGY CONSULTING"/>
        <s v="SOCIETE MONTAGE MECANIQUE TUYAUTERIE SOUDURE -SARL"/>
        <s v="NIOKOLO EXPRESS "/>
        <s v="LEYE GLOGAL SERVICE CORPORATION"/>
        <s v="AFRIMEX SERVICES"/>
        <s v="SETHAS"/>
        <s v="INDUSTRY PARTNERS SARL"/>
        <s v="ADS ASSUR SAU"/>
        <s v="SAADIYA TRANSPORT ET LOGISTIQUE"/>
        <s v="ECTM"/>
        <s v="CSE GRANULATS"/>
        <s v="KIZ CONSULTING"/>
        <s v="SANGALA SUARL"/>
        <s v="PANAFRICAINE D'ENTREPRISE"/>
        <s v="TUNISAVIA"/>
        <s v="B2EI SARL"/>
        <s v="RIGA HELIX SEN JV S.A.S"/>
        <s v="AEGIS LOGISTICS"/>
        <s v="SOCIÉTÉ AUXILIAIRE DE TRAVAIL TEMPORAIRE "/>
        <s v="PROTECHNIQUE"/>
        <s v="SAB BUSINESS CONSULTING AFRICA"/>
        <s v="DRILLNESS"/>
        <s v="EAT MULTISERVICES"/>
        <s v="AESSEAL HOLDINGS"/>
        <s v="DAKAR HORIZON TRAVEL"/>
        <s v="AN-NADIAH POWER SOLUTIONS"/>
        <s v="VULCAN INDUSTRIAL ENGG CO PVT LTD"/>
        <s v="TECHNICAL PROCUREMENT SERVICEES"/>
        <s v="GIE BELEDOUGOU"/>
        <s v="PROCESS MASTER SENEGAL"/>
        <s v="WUXI ENBANGE MACHINERY CO.,LTD"/>
        <s v="SDMI SARL"/>
        <s v="SN SOFTWARE"/>
        <s v="UBBI GROUP"/>
        <s v="LOCASEN"/>
        <s v="SECURIMEX"/>
        <s v="PERFORMANCE SERVICES"/>
        <s v="SUPERIOR STEEL OVERSEAS"/>
        <s v="BLED SARL"/>
        <s v="TYSTA NETWORKS"/>
        <s v="LA BANQUE OUTARDE"/>
        <s v="CMG"/>
        <s v="SABODALA MINING SERVICE SARL"/>
        <s v="GECTIS"/>
        <s v="VISION INTERNATIONALE DES PRODUITS"/>
        <s v="HUGUES SOLUTION SARL"/>
        <s v="AGTS"/>
        <s v="SOCIETE INTERNATIONALE FACILITY ENERGY SENEGAL"/>
        <s v="MEGA TECHNOLOGIE"/>
        <s v="SOUM GLOBAL SERVICES"/>
        <s v="TERANGA MINING SERVICES SARL"/>
        <s v="SOCIÉTÉ SÉNÉGALAISE DE PRODUITS INDUSTRIELS SUARL (SSPI SUARL)"/>
        <s v="CORRPRO COMPANIES EUROPE LIMTED"/>
        <s v="EATS SARL"/>
        <s v="LES CABLERIES DU SENEGAL "/>
        <s v="ESENTRAVAUX ET SERVICES "/>
        <s v="PEL AUTOMATION"/>
        <s v="SYCAD"/>
        <s v="PRO-MECH"/>
        <s v="SENEGALAISE DES TRAVAUX SPECIAUX"/>
        <s v="DMC SENEGAL"/>
        <s v="SYNERGIE PLUS"/>
        <s v="SOS PETROLES SA"/>
        <s v="LYCOPODIUM MINERALS CANADA LTD"/>
        <s v="LES SPÉCIALISTES DE L'ENERGIE"/>
        <s v="WEST AFRICA TIRE SERVICES (WATS SAS)"/>
        <s v="SYS KABS AMAZONE"/>
        <s v="CLAIR ATTITUDE"/>
        <s v="PUMP AND ABRASION TECHNOLOGIES "/>
        <s v="2PI"/>
        <s v="LE CARTEL DES LOCATIONS DE VEHICULE SUARL "/>
        <s v="CARMEUSE SENEGAL"/>
        <s v="GASETECH-AFRICA"/>
        <s v="DIGITAL AUTOMATION SUARL"/>
        <s v="MBORO TRAVAUX INDUSTRIELS"/>
        <s v="CABINET SAND CONSULTING"/>
        <s v="IMC SARL"/>
        <s v="SENDIA"/>
        <s v="AM LUXURY TOURS"/>
        <s v="CAMMACH SN"/>
        <s v="EMT AFRIQUE"/>
        <s v="POLYVALENCE BTP SARL"/>
        <s v="BATIFORT"/>
        <s v="ORSEN"/>
        <s v="ENTREPRISE ABY TOURE "/>
        <s v="TERANGA ENERGIES CONSULT"/>
        <s v="BOYA SA"/>
        <s v="SIBM"/>
        <s v="ISA TECHNOLOGIES"/>
        <s v="DRILLEEX SA"/>
        <s v="TSG SENEGAL"/>
        <s v="LES NIAYES SARRAUT"/>
        <s v="RIDWAN GROUP "/>
        <s v="3R SENEGAL "/>
        <s v="2MG SOLUTIONS"/>
        <s v="SERVICE GÉOLOGIQUE NATIONAL DU SÉNÉGAL (SGNS)"/>
        <s v="LABORATOIRE TFG "/>
        <s v="LOMBEL RESSOURCES SAS"/>
        <s v="VALTEO"/>
        <s v="SATA SARL"/>
        <s v="HATCH ASSOCIATES LIMITED"/>
        <s v="HATCH AFRICA (PTY) LTD"/>
        <s v="SIDEM SA"/>
        <s v="MEDICAL RH"/>
        <s v="GROUPE YAKHINE"/>
        <s v="SARAYA CONSTRUCTIONS ET SERVICES "/>
        <s v="SKAKO VIBRATION"/>
        <s v="RAINBO SUPPLIES &amp; SERVICES LTD"/>
        <s v="WAFGATE SAS"/>
        <s v="TEMICO SN"/>
        <s v="ZUTARI (PTY) LTD"/>
        <s v="SSCM"/>
        <s v="DGMS"/>
        <s v="MINE PETRO"/>
        <s v="AZURTECH SENEGAL"/>
        <s v="CSP"/>
        <s v="MDDEV EMERGE "/>
        <s v="AGMS"/>
        <s v="T3 PROJECTS SENEGAL SASU"/>
        <s v="HYDRASS CONSULTING"/>
        <s v="GEKKO SYSTEMS"/>
        <s v="SEA ENGINEERING"/>
        <s v="ZENITH"/>
        <s v="MATSPACE TECHNOLOGY SUARL"/>
        <s v="TFE SÉNÉGAL"/>
        <s v="MDESS"/>
        <s v="CORAXIS SARL"/>
        <s v="CONNECTPLUS SENEGAL SARL"/>
        <s v="POLYTECH ENTREPRISE SUARL"/>
        <s v="ARES ARCHITECTURE ET INGÉNIERIE DU BÂTIMENT SUARL"/>
        <s v="ABDOU SECURITE"/>
        <s v="KEUR MAME DABA AWA DIOP(MDAD)"/>
        <s v="KIMS"/>
        <s v="RASSOUL GLOBAL SERVICES SUARL "/>
        <s v="CARRIERE360 SARL"/>
        <s v="KALOM CONSTRUCTION ETUDE ET SUIVI"/>
        <s v="SUSTAIN AFRICA"/>
        <s v="C2K STAFFING S.A.R.L"/>
        <s v="COMPTOIR COMMERCIAL KEUR SERIGNE SALIOU"/>
        <s v="THIAM TOLERIE ET PEINTURE"/>
        <s v="NAS"/>
        <s v="INSTRUMAINT SARL "/>
        <s v="AFRICA ENGINEERING &amp; LOGISTICS SOLUTIONS"/>
        <s v="GREAT MINERALS RESOURCES - SARL"/>
        <s v="ASSOCIATION TECHNIQUE ENERGIE ET ENVIRONNEMENT DU SÉNÉGAL A.T.E.E.S"/>
        <s v="SEEE ENERGIES"/>
        <s v="NOVAGO SENEGAL "/>
        <s v="GIE BEUGUE FALLOU SERVICES "/>
        <s v="AMA GROUP SERVICES (AGS)"/>
        <s v="EGB R-BADARACCHI"/>
        <s v="TECHNIQUES INDUSTRIES"/>
        <s v="PSYCHOLOGIES ET CONSEILS "/>
        <s v="PST ENERGY"/>
        <s v="SARAYA ALPHAYA QUINCAILLERIE GÉNÉRALE ASSALAM(SAQGA)"/>
        <s v="DALAFORCE"/>
        <s v="ENTREPRISE ABDOULAYE KEBE (EAK)"/>
        <s v="SENSOG"/>
        <s v="SENENGINEERING INTERNATIONAL SA "/>
        <s v="WAKANO GROUP"/>
        <s v="TELETRACK SOLUTIONS"/>
        <s v="KAWSARA TECHNOLOGIE "/>
        <s v="KACYBER TECHNOLOGIES SARL"/>
        <s v="KULAX"/>
        <s v="EQUIPEX"/>
        <s v="HYBATP CO "/>
        <s v="INTERFACE CAPITAL SARL"/>
        <s v="MBORO DIAMOU"/>
        <s v="LAWRIE SYSTEMS AND SOLUTIONS MAURITIUS"/>
        <s v="NEXUS TP"/>
        <s v="ENERGECO-AFRIQUE"/>
        <s v="PETROLUBE EQUIPMENTS PARTS TRADING AND SERVICES"/>
        <s v="FN GROUP SUARL"/>
        <s v="ISTAMCO SA"/>
        <s v="OSMOSE GEOTEX"/>
        <s v="UNIVERSAL PRESTATION SERVICE "/>
        <s v="ENTREPRISE ALPHA DIALLO"/>
        <s v="SOUTIEN INDUSTRIE SARL"/>
        <s v="PROSEN SARL"/>
        <s v="KHADIM SOUDURE MONTAGE INDUSTRIELLE"/>
        <s v="DAKAR INTÉRIM SÉCURITÉ S.A."/>
        <s v="AFRIQUE DES MERVEILLES "/>
        <s v="MSC ETUDES"/>
        <s v="CODIPRES SARL"/>
        <s v="CARREFOUR"/>
        <s v="ALLIANCE AUTO GROUP (AAG)"/>
        <s v="HALADJIAN SENEGAL SUARL"/>
        <s v="MENDEZ TUYAUTERIE ET FORAGES SUARL"/>
        <s v="SWAMI MINES SA"/>
        <s v="DISTRIBUTION TECH PRO"/>
        <s v="SOCABEG MINING SA"/>
        <s v="BABAT"/>
        <s v="OPUS BUYER"/>
        <s v="DANFAKHA ET FRERE"/>
        <s v="SAREDICA"/>
        <s v="OTTO BI SARL"/>
        <s v="DR  SETT SAS"/>
        <s v="AC GROUP"/>
        <s v="TECHSPARES SENEGAL SAS"/>
        <s v="AFRICA CARGO CENTRAL - ACC SARL"/>
        <s v="CORICA MINING SERVICES SARL"/>
        <s v="GLOBAL PHYSIO"/>
        <s v="ABITA SENEGAL "/>
        <s v="SENDRILL ROCK TOOLS"/>
        <s v="GIE FASSO BARA"/>
        <s v="CENTRE D'AFFAIRES MEDICALES AFRIQUE / CAMA"/>
        <s v="CACTUS MINING SUPPLY SENEGAL "/>
        <s v="SERVICE DE FROID INDUSTRIEL ET COMMERCIAL "/>
        <s v="EC2MI"/>
        <s v="SERVICES PRO"/>
        <s v="RTDK"/>
        <s v="OTEW OFFICE TECHNOLOGY WORLD"/>
        <s v="HYDRO INDUSTRIES INTERNATIONAL ( H2I)"/>
        <s v="GEO PARTNERS CONSULTING "/>
        <s v="E.R.T.E.X"/>
        <s v="ODIM SARL"/>
        <s v="GROUPE CF-ID HR PARTNER"/>
        <s v="EFOR"/>
        <s v="ENEC"/>
        <s v="BAYE CONNECT"/>
        <s v="ENTREPRISE GENERALE DE MECANIQUE CHAUDRONNERIE ET DE SABLAGE"/>
        <s v="ME ELECMETAL SOUTH AFRICA (PTY) LTD"/>
        <s v="IBA TECHNOLOGIE"/>
        <s v="EAU CLAIRE SENEGAL SARL"/>
        <s v="EIFFAGE SENEGAL SAS"/>
        <s v="STEL/BTP"/>
        <s v="LOMBOL SERVICES SARL"/>
        <s v="ECKO"/>
        <s v="BATINOV SARL"/>
        <s v="EMPOWERSEN"/>
        <s v="DIGITAL ELECTRONIC"/>
        <s v="SEN LEVAGE SUARL"/>
        <s v="BAMBUK MINERALS SÉNÉGAL"/>
        <s v="SAHE SARL"/>
        <s v="RENTALL"/>
        <s v="ERGONE SERVICES "/>
        <s v="BOURGI TRANSPORT LOGISTIQUE"/>
        <s v="SAER EMPLOI MINES SENEGAL"/>
        <s v="FORACO SENEGAL"/>
        <s v="ERATHOT"/>
        <s v="SOUMARE TRANSPORT IMMOBILIER "/>
        <s v="GIE LENDENG"/>
        <s v="BCM GROUP SENEGAL"/>
        <s v="KAMAF TRANSPORTS SUARL"/>
        <s v="GIE CONSTRUCTION METALLIQUE ET TECHNILOGIE"/>
        <s v="EQUILOG SN"/>
        <s v="SITMEL SARL"/>
        <s v="L3S"/>
        <s v="FRANCE AGRO INDUSTRIES"/>
        <s v="RIO CONSTRUCTION"/>
        <s v="BIRIMA GOLD RESOURCES"/>
        <s v="CBI"/>
        <s v="LES CIMENTS DE L'AFRIQUE S.A"/>
        <s v="MINTECH SARL"/>
        <s v="GLOBAL ENERGY SERVICES"/>
        <s v="GARAGE  SALIKHOU"/>
        <s v="MANUTENTION SERVICES SÉNÉGAL"/>
        <s v="BA CONSULTANCE SARL"/>
        <s v="TDK WAKEUR SERIGNE SALIOU"/>
        <s v="GEDIMEX SA"/>
        <s v="DIDI'S GARDEN SARL"/>
        <s v="BEABA"/>
        <s v="MINING LOGISTICS &amp; SUPPLIES"/>
        <s v="T3 PROJECTS PTY LTD"/>
        <s v="SYNERGIE ENVIRONNEMENT"/>
        <s v="DIMEXCO SENEGAL "/>
        <s v="MSN TRAV EQUIP PRESTA"/>
        <s v="SAHEL SECURITY SARL"/>
        <s v="WESTERN ALLIANCE SN"/>
        <s v="SENTEK"/>
        <s v="AUTOMECA SENEGAL"/>
        <s v="DIEYLANI AER SASU"/>
        <s v="GIE BENNO LIGEY"/>
        <s v="SACOTEN-SN SUARL "/>
        <s v="TALIXMAN "/>
        <s v="RIT ( RUFISQUE TECHNOLOGIE INDUSTRIES)"/>
        <s v="CPEXELITGROUP"/>
        <s v="SONATEL"/>
        <s v="H.E.C.T SARL"/>
        <s v="SAHEL GAZ"/>
        <s v="AXINEO CONSTRUCTION "/>
        <s v="CSE IMMOBILIER"/>
        <s v="SAMORI PROTECTION PRIVEE"/>
        <s v="SCIS SARL"/>
        <s v="ETS MALEYE SARL"/>
        <s v="CASSIS EQUIPEMENTS"/>
        <s v="GLOBAL AFRICINVEST"/>
        <s v="HIGH TECHNOLOGY AFRICA"/>
        <s v="DMH GEO SENEGAL"/>
        <s v="SEMBOUYA AGRO BUSINESS(SAB)"/>
        <s v="MARINE PROCUREMENT SERVICES "/>
        <s v="SAMA HOTELS"/>
        <s v="ENTREPRISE ALBARKA"/>
        <s v="BIA DAKAR"/>
        <s v="MAKABINGUI GOLD COPORATION"/>
        <s v="CCBM INDUSTRIES AUTOMOBILES"/>
        <s v="STEP'IN SARL"/>
        <s v="BILAL OIL"/>
        <s v="SENEGAL CATERING ET SERVICES SARL"/>
        <s v="ETS YOLLI SOPE NABY"/>
        <s v="SE2I SAS"/>
        <s v="ENIKON SENEGAL SARL"/>
        <s v="GALAXIE SERVICES ENGINEERING "/>
        <s v="GROUPE BACA"/>
        <s v="MERCURE TRADING SERVICES"/>
        <s v="TOPWELDING STRUCTURES"/>
        <s v="TOUBA INTERNATIONAL DEALINGS"/>
        <s v="OXY SEN"/>
        <s v="SEN MAP DRONE"/>
        <s v="DPM CONSULTING"/>
        <s v="CODEX SA"/>
        <s v="WISE"/>
        <s v="JURIFISC &amp; SERVICES CONSULTING SARL"/>
        <s v="TOP STRUCTURES"/>
        <s v="AFRICA POWER SERVICES"/>
        <s v="KAYNANN SUARL"/>
        <s v="AM-CO CONSULTING &amp; SERVICES"/>
        <s v="FAYMA-ALPAM"/>
        <s v="GIE MAKOTEAM MULTISERVICES"/>
        <s v="YAM INDUSTRIE"/>
        <s v="TECHNICAL CONSTRUCTION "/>
        <s v="DERGANE SARL"/>
        <s v="AURELIEN SERTELET"/>
        <s v="AMBB TECHNOLOGIES SARL"/>
        <s v="RACONNEX"/>
        <s v="SEEE SENEGAL SA"/>
        <s v="DELUXE ENGINEERING COMPANY GROUP SUARL"/>
        <s v="SABODALA BTP SERVICES SBTPS "/>
        <s v="CTD CONSTRUCTIONS ET DESIGN SUARL"/>
        <s v="SET SARL"/>
        <s v="INTERNATIONAL OCCUPATIONAL SAFETY &amp; HEALTH OFFICE"/>
        <s v="EMF CONSULTING"/>
        <s v="SAADIX GROUPE"/>
        <s v="TRAORE ET COMPAGNIE SARL"/>
        <s v="ITTE CONSULTING SARL"/>
        <s v="GEOLOGICAL &amp; MINING EQUIPEMENTS"/>
        <s v="COMPAGNIE SENEGALAISE DE TRAVAUX ET D'INTERVENTION SUARL"/>
        <s v="E.C.T.I"/>
        <s v="URGENCES ET SOLUTIONS MEDICALES "/>
        <s v="SPIE GLOBAL SERVICES ENERGY SENEGAL"/>
        <s v="VENISE DISTRIBUTION SENEGAL"/>
        <s v="VINCI ENERGIES SENEGAL"/>
        <s v="ENTREPRISE GÉNÉRALE DE TRAVAUX"/>
        <s v="SEN RELAIS "/>
        <s v="SANET SERVICES"/>
        <s v="BERNABE SENEGAL"/>
        <s v="AEROMINETECH"/>
        <s v="SAREQ GROUP"/>
        <s v="ENTREPRISE  BOU SERIGNE ABDOU KARIM MBACKÉ"/>
        <s v="JAGUARS SECURITE SERVICES"/>
        <s v="IVOS SENEGAL"/>
        <s v="LOGISTIQUE SUR MESURE SUARL"/>
        <s v="BAOLA ENERGY GROUP"/>
        <s v="OXYNIUM"/>
        <s v="GLOBALFOOD SUPPLY"/>
        <s v="TERANGA OIL &amp; GAS SERVICES"/>
        <s v="NAY VISION SARL"/>
        <s v="SOGUI DEVELOPPEMENT EXPRESS"/>
        <s v="KHAFANDAM"/>
        <s v="PETROSEN TRADING ET SERVICES"/>
        <s v="JAN BTP SUARL"/>
        <s v="CODAC SA"/>
        <s v="RASSOUL INDUSTRIE BTP SUARL"/>
        <s v="ENTREPRISE YA SALAM"/>
        <s v="SAHARA TRADINGS"/>
        <s v="INTEGRAL FINANCE CONSULTING"/>
        <s v="SMEDIA"/>
        <s v="MKA EXCELLENCE"/>
        <s v="STR SARL"/>
        <s v="BAOBAB MINING AND CHEMICALS COORPORATION"/>
        <s v="GROUPE TOP INTER"/>
        <s v="COMPAGNIE AL AMINE MAINTENANCE ET SERVICES "/>
        <s v="REG-PRO ENERGY"/>
        <s v="GROUPE N2M SARL"/>
        <s v="AFRICAINE DE COMMERCE ET D'OUVARAGE"/>
        <s v="ESETRAP "/>
        <s v="SENPROC SARL"/>
        <s v="B AND O TRADING SARL"/>
        <s v="EPC MINEEX SA"/>
        <s v="L'AFRICAINE DE LOGISTIQUE ET DES TRAVAUX"/>
        <s v="DCI"/>
        <s v="LAIMRI SARL (LABORATOIRE INTERNATIONAL D"/>
        <s v="NEUROTECH"/>
        <s v="DABAKH PRODUCTION SERVICE"/>
        <s v="AFRICA POWER SERVICES SENEGAL"/>
        <s v="MALAIKA DEVELOPMENT CAPITAL"/>
        <s v="EGAS FAKHA"/>
        <s v="DIENE SERVICE CENTER SARL"/>
        <s v="TRI ENGINEERING SARL"/>
        <s v="SOMEM SÉNÉGAL"/>
        <s v="PITEXTILE CORPORATION"/>
        <s v="CISSOKHO SN COMMERCE INTERNATIONAL ET PRESTATION SERVICES PLUS"/>
        <s v="ECM PENE ET FILS "/>
        <s v="VM STEEL "/>
        <s v="HELIX SEN"/>
        <s v="INGENIERIE ET TECHNOLOGIE"/>
        <s v="AND"/>
        <s v="SYSROAD"/>
        <s v="DA ROSA SERVICES"/>
        <s v="ONG EAU VIE ENVIRONNEMENT - EVE"/>
        <s v="LEZZETTLI"/>
        <s v="TERANGA GLOBAL SYSTÈME"/>
        <s v="AFRIC ISOLE"/>
        <s v="GENTTRA"/>
        <s v="M2 CONSTRUCTION"/>
        <s v="SOCOTRA /MS"/>
        <s v="SOCOCIM INDUSTRIES"/>
        <s v="GIE JUMEAUX ET FRERES"/>
        <s v="MEDITECHS (MÉDICAL TECHNOLOGIES SERVICES)"/>
        <s v="GALAXY INDUSTRIES CORPORATION"/>
        <s v="SAHEL MINING SERVICES"/>
        <s v="ELMASA SENEGAL, S.A."/>
        <s v="SET CONS (EX ETAB)"/>
        <s v="AMARIS EQUIPMENT SERVICES"/>
        <s v="SIGNAL ROUTES SARL"/>
        <s v="MATONDO SUARL"/>
        <s v="PANOM HOLDING SUARL"/>
        <s v="SODIMEL INTERNATIONALE SA"/>
        <s v="AXIUM PROPERTIES"/>
        <s v="INFINITY OVERSEAS "/>
        <s v="UNIVERSAL TECH SUPPLY "/>
        <s v="ENERGENSE"/>
        <s v="COMPAGNIE DES PÉTROLES DU SUD"/>
        <s v="EDEN INGÉNIEURS CONSEILS"/>
        <s v="BMA ENGINEERING&amp; SERVICES "/>
        <s v="GS AFRIQUE"/>
        <s v="SERIGNE GUEYE ET FILS"/>
        <s v="PETOWAL MINING COMPAGNY"/>
        <s v="ENTREPRISE DIOKINE CISSE CONSTRUCTION SENEGAL"/>
        <s v="SENBIO CHIMIE SARL"/>
        <s v="GÉNIE CIVIL MILLÉNIUM PRESTATION (GCMP) "/>
        <s v="SNIJDER MINING CONTRACTING "/>
        <s v="AFRICAN UNDERGROUND MINING SERVICES SENEGAL SUARL"/>
        <s v="FBR TRANSPORT"/>
        <s v="ERIUM SENEGAL"/>
        <s v="DANGOTE CEMENT SENEGAL"/>
        <s v="MHK LOGISTIQUE"/>
        <s v="INFOGEO SENEGAL"/>
        <s v="AFRICA LUBES AND SERVICES SARL"/>
        <s v="TOUBA TRAVAUX PUBLICS SUARL"/>
        <s v="PROPLUS "/>
        <s v="SAS AEC ENERGY SERVICES "/>
        <s v="KEKENDO AFRICA ENGINEERING "/>
        <s v="SOCIETE MINIERE AFRICAINE"/>
        <s v="MAXAM SENEGAL"/>
        <s v="TOTALENERGIES MARKETING SÉNÉGAL"/>
        <s v="GROUPE YOLLI SOP NABI"/>
        <s v="GIE ISOTHERMI"/>
        <s v="GROUPE GTX"/>
        <s v="DOUAISIS PREMIUM"/>
        <s v="FUELEX SA"/>
        <s v="3MD ENERGY"/>
        <s v="MECSEN GROUP"/>
        <s v="BOC LOGISTIC SARL"/>
        <s v="AZ SERVICES SARL"/>
        <s v="ACADÉMIE COUPE ET COUTURE THIES"/>
        <s v="KOCC BARMA FALL"/>
        <s v="GEOAXIS MINING SOLUTIONS"/>
        <s v="LAPP PORTUGAL"/>
        <s v="OTIS GROUP SENEGAL"/>
      </sharedItems>
    </cacheField>
    <cacheField name="Statut" numFmtId="0">
      <sharedItems/>
    </cacheField>
    <cacheField name="Date d'inscription" numFmtId="14">
      <sharedItems containsSemiMixedTypes="0" containsNonDate="0" containsDate="1" containsString="0" minDate="2024-03-23T00:00:00" maxDate="2026-07-22T00:00:00"/>
    </cacheField>
    <cacheField name="heure" numFmtId="21">
      <sharedItems containsSemiMixedTypes="0" containsNonDate="0" containsDate="1" containsString="0" minDate="1899-12-30T00:12:49" maxDate="1899-12-30T23:57:45"/>
    </cacheField>
    <cacheField name="Point focal" numFmtId="0">
      <sharedItems/>
    </cacheField>
    <cacheField name="Email" numFmtId="0">
      <sharedItems/>
    </cacheField>
    <cacheField name="Profile" numFmtId="0">
      <sharedItems/>
    </cacheField>
    <cacheField name="Pay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x v="0"/>
    <s v="Validé"/>
    <x v="0"/>
    <d v="1899-12-30T15:26:06"/>
    <s v="Magatte Fall"/>
    <s v="mfall@miningsupplysolutions.com"/>
    <s v="Fournisseurs et Prestataires locaux"/>
    <s v="Sénégal"/>
  </r>
  <r>
    <x v="1"/>
    <s v="Validé"/>
    <x v="0"/>
    <d v="1899-12-30T10:38:19"/>
    <s v="Mouhamadou Lamine DIAGNE"/>
    <s v="lamine.diagne@challenge2000.sn"/>
    <s v="Sous-traitants"/>
    <s v="Sénégal"/>
  </r>
  <r>
    <x v="2"/>
    <s v="Validé"/>
    <x v="1"/>
    <d v="1899-12-30T12:49:17"/>
    <s v="MAMADOU SENE"/>
    <s v="etimsarlsenegal@gmail.com"/>
    <s v="Fournisseurs et Prestataires locaux"/>
    <s v="Sénégal"/>
  </r>
  <r>
    <x v="3"/>
    <s v="Validé"/>
    <x v="1"/>
    <d v="1899-12-30T23:41:07"/>
    <s v="Aliou Diop"/>
    <s v="adiopgms@gmail.com"/>
    <s v="Fournisseurs et prestataires locaux (GPF ou GIE)"/>
    <s v="Sénégal"/>
  </r>
  <r>
    <x v="4"/>
    <s v="Validé"/>
    <x v="2"/>
    <d v="1899-12-30T14:31:00"/>
    <s v="Ousmane Coulibaly"/>
    <s v="ousmane.coulibaly@alsglobal.com"/>
    <s v="Fournisseurs et Prestataires de droit sénégalais"/>
    <s v="Sénégal"/>
  </r>
  <r>
    <x v="5"/>
    <s v="Validé"/>
    <x v="2"/>
    <d v="1899-12-30T13:50:49"/>
    <s v="Ndeye Aminata Sow"/>
    <s v="aminata.sow@mega-sn.com"/>
    <s v="Fournisseurs et Prestataires locaux"/>
    <s v="Sénégal"/>
  </r>
  <r>
    <x v="6"/>
    <s v="Validé"/>
    <x v="2"/>
    <d v="1899-12-30T13:47:20"/>
    <s v="Daouda DIOUME"/>
    <s v="d.dioume@senegalsupplybase.com"/>
    <s v="Fournisseurs et Prestataires locaux"/>
    <s v="Sénégal"/>
  </r>
  <r>
    <x v="7"/>
    <s v="Validé"/>
    <x v="2"/>
    <d v="1899-12-30T10:11:10"/>
    <s v="Seydou SALL"/>
    <s v="seydou1212@gmail.com"/>
    <s v="Fournisseurs et Prestataires locaux"/>
    <s v="Sénégal"/>
  </r>
  <r>
    <x v="8"/>
    <s v="Validé"/>
    <x v="2"/>
    <d v="1899-12-30T13:12:19"/>
    <s v="Mame Less Sene"/>
    <s v="betondusenegal@gmail.com"/>
    <s v="Fournisseurs et Prestataires locaux"/>
    <s v="Sénégal"/>
  </r>
  <r>
    <x v="9"/>
    <s v="Validé"/>
    <x v="2"/>
    <d v="1899-12-30T15:51:04"/>
    <s v="MANSOUR NIANG"/>
    <s v="mansourniang@pargest.sn"/>
    <s v="Fournisseurs et Prestataires locaux"/>
    <s v="Sénégal"/>
  </r>
  <r>
    <x v="10"/>
    <s v="Validé"/>
    <x v="2"/>
    <d v="1899-12-30T10:59:22"/>
    <s v="Wilfried Mitokpe"/>
    <s v="wilfrid.mitokpe@sigacorporate.sn"/>
    <s v="Fournisseurs et Prestataires locaux"/>
    <s v="Sénégal"/>
  </r>
  <r>
    <x v="11"/>
    <s v="Validé"/>
    <x v="2"/>
    <d v="1899-12-30T09:57:15"/>
    <s v="ABDOU KANE"/>
    <s v="administration@diass-industries.com"/>
    <s v="Fournisseurs et Prestataires locaux"/>
    <s v="Sénégal"/>
  </r>
  <r>
    <x v="12"/>
    <s v="Validé"/>
    <x v="3"/>
    <d v="1899-12-30T08:51:57"/>
    <s v="Abdramane BOLY"/>
    <s v="ab.boly@pyxissupport.com"/>
    <s v="Fournisseurs et Prestataires locaux"/>
    <s v="Sénégal"/>
  </r>
  <r>
    <x v="13"/>
    <s v="Validé"/>
    <x v="4"/>
    <d v="1899-12-30T16:15:18"/>
    <s v="Marie Pierre DIAGNE"/>
    <s v="mariepierre.diagne@confosen.com"/>
    <s v="Fournisseurs et Prestataires locaux"/>
    <s v="Sénégal"/>
  </r>
  <r>
    <x v="14"/>
    <s v="Validé"/>
    <x v="5"/>
    <d v="1899-12-30T09:59:42"/>
    <s v="Gaelle NDIAYE"/>
    <s v="gaelle.ndiaye@mci-int.com"/>
    <s v="Sous-traitants"/>
    <s v="Sénégal"/>
  </r>
  <r>
    <x v="15"/>
    <s v="Validé"/>
    <x v="5"/>
    <d v="1899-12-30T23:06:34"/>
    <s v="Serigne mouhamadou Mboup"/>
    <s v="smmboup@gmail.com"/>
    <s v="Fournisseurs et Prestataires locaux"/>
    <s v="Sénégal"/>
  </r>
  <r>
    <x v="16"/>
    <s v="Validé"/>
    <x v="6"/>
    <d v="1899-12-30T08:50:50"/>
    <s v="Coumba  Ndiaye "/>
    <s v="dmdgroupe11@gmail.com"/>
    <s v="Fournisseurs et Prestataires locaux"/>
    <s v="Sénégal"/>
  </r>
  <r>
    <x v="17"/>
    <s v="Validé"/>
    <x v="6"/>
    <d v="1899-12-30T09:56:05"/>
    <s v="MBAYE NDOYE"/>
    <s v="mndoye@bdtp-sn.com"/>
    <s v="Fournisseurs et Prestataires locaux"/>
    <s v="Sénégal"/>
  </r>
  <r>
    <x v="18"/>
    <s v="Validé"/>
    <x v="6"/>
    <d v="1899-12-30T14:41:26"/>
    <s v="Ousmane  Diop"/>
    <s v="ousmane@minebar-sn.com"/>
    <s v="Fournisseurs et Prestataires locaux"/>
    <s v="Sénégal"/>
  </r>
  <r>
    <x v="19"/>
    <s v="Validé"/>
    <x v="7"/>
    <d v="1899-12-30T10:35:42"/>
    <s v="DEVENDRA GUPTA"/>
    <s v="suncomputech866@gmail.com"/>
    <s v="Fournisseurs et Prestataires étrangers"/>
    <s v="Inde"/>
  </r>
  <r>
    <x v="20"/>
    <s v="Validé"/>
    <x v="8"/>
    <d v="1899-12-30T22:18:05"/>
    <s v="Alboury Ndao"/>
    <s v="alboury.ndao@acces-haut.com"/>
    <s v="Fournisseurs et Prestataires locaux"/>
    <s v="Sénégal"/>
  </r>
  <r>
    <x v="21"/>
    <s v="Validé"/>
    <x v="8"/>
    <d v="1899-12-30T13:55:52"/>
    <s v="Olivia Guilpain"/>
    <s v="olivia.guilpain@ramaguilpain.com"/>
    <s v="Fournisseurs et Prestataires locaux"/>
    <s v="Sénégal"/>
  </r>
  <r>
    <x v="22"/>
    <s v="Validé"/>
    <x v="8"/>
    <d v="1899-12-30T10:46:36"/>
    <s v="Daour Samb"/>
    <s v="daour.samb@yasbusiness.sn"/>
    <s v="Fournisseurs et Prestataires de droit sénégalais"/>
    <s v="Sénégal"/>
  </r>
  <r>
    <x v="23"/>
    <s v="Validé"/>
    <x v="8"/>
    <d v="1899-12-30T09:57:57"/>
    <s v="CHEIKH MBOUP"/>
    <s v="4mgroup2016@gmail.com"/>
    <s v="Fournisseurs et Prestataires locaux"/>
    <s v="Sénégal"/>
  </r>
  <r>
    <x v="24"/>
    <s v="Validé"/>
    <x v="9"/>
    <d v="1899-12-30T18:36:17"/>
    <s v="Salouma  SAMOURA"/>
    <s v="monekhata@hotmail.fr"/>
    <s v="Fournisseurs et Prestataires locaux"/>
    <s v="Sénégal"/>
  </r>
  <r>
    <x v="25"/>
    <s v="Validé"/>
    <x v="9"/>
    <d v="1899-12-30T01:06:02"/>
    <s v="Nogaye Diop"/>
    <s v="nogaye.diop@2mts-sn.com"/>
    <s v="Fournisseurs et Prestataires locaux"/>
    <s v="Sénégal"/>
  </r>
  <r>
    <x v="26"/>
    <s v="Validé"/>
    <x v="10"/>
    <d v="1899-12-30T16:47:15"/>
    <s v="Mahtar Diouf"/>
    <s v="mahtar.diouf@niokoloexpress.com"/>
    <s v="Fournisseurs et prestataires locaux (GPF ou GIE)"/>
    <s v="Sénégal"/>
  </r>
  <r>
    <x v="27"/>
    <s v="Validé"/>
    <x v="11"/>
    <d v="1899-12-30T12:02:04"/>
    <s v="Fallou Leye"/>
    <s v="fallouleye@lgsc.sn"/>
    <s v="Fournisseurs et Prestataires locaux"/>
    <s v="Sénégal"/>
  </r>
  <r>
    <x v="28"/>
    <s v="Validé"/>
    <x v="12"/>
    <d v="1899-12-30T13:35:09"/>
    <s v="Babacar BA"/>
    <s v="contact@afrimexservices.com"/>
    <s v="Fournisseurs et Prestataires locaux"/>
    <s v="Sénégal"/>
  </r>
  <r>
    <x v="29"/>
    <s v="Validé"/>
    <x v="13"/>
    <d v="1899-12-30T12:17:28"/>
    <s v="Aly DIALLO"/>
    <s v="d.alybocoum@gmail.com"/>
    <s v="Fournisseurs et Prestataires locaux"/>
    <s v="Sénégal"/>
  </r>
  <r>
    <x v="30"/>
    <s v="Validé"/>
    <x v="13"/>
    <d v="1899-12-30T16:35:47"/>
    <s v="MOUSSA FAYE"/>
    <s v="ip-contact@industrypartner.sn"/>
    <s v="Fournisseurs et Prestataires locaux"/>
    <s v="Sénégal"/>
  </r>
  <r>
    <x v="31"/>
    <s v="Validé"/>
    <x v="13"/>
    <d v="1899-12-30T09:10:38"/>
    <s v="ADS ASSUR SAU"/>
    <s v="zone8c@gmail.com"/>
    <s v="Fournisseurs et Prestataires locaux"/>
    <s v="Sénégal"/>
  </r>
  <r>
    <x v="32"/>
    <s v="Validé"/>
    <x v="0"/>
    <d v="1899-12-30T10:38:19"/>
    <s v="MAME MASSIRY NDIAYE"/>
    <s v="oscarius87@gmail.com"/>
    <s v="Fournisseurs et Prestataires locaux"/>
    <s v="Sénégal"/>
  </r>
  <r>
    <x v="33"/>
    <s v="Validé"/>
    <x v="13"/>
    <d v="1899-12-30T16:00:38"/>
    <s v="Abdou Wade"/>
    <s v="wade51446@gmail.com"/>
    <s v="Fournisseurs et Prestataires locaux"/>
    <s v="Sénégal"/>
  </r>
  <r>
    <x v="34"/>
    <s v="Validé"/>
    <x v="13"/>
    <d v="1899-12-30T10:38:54"/>
    <s v="NDEYE KHOUDIA FALL"/>
    <s v="nkfall@csegranulats.sn"/>
    <s v="Sociétés minières ou Cimenteries"/>
    <s v="Sénégal"/>
  </r>
  <r>
    <x v="35"/>
    <s v="Validé"/>
    <x v="14"/>
    <d v="1899-12-30T11:02:32"/>
    <s v="Zanape Kone"/>
    <s v="zanape@kizconsulting.com"/>
    <s v="Fournisseurs et Prestataires de droit sénégalais"/>
    <s v="Sénégal"/>
  </r>
  <r>
    <x v="36"/>
    <s v="Validé"/>
    <x v="15"/>
    <d v="1899-12-30T15:38:26"/>
    <s v="Kansala  Camara "/>
    <s v="ckansala44@yahoo.com"/>
    <s v="Fournisseurs et Prestataires locaux"/>
    <s v="Sénégal"/>
  </r>
  <r>
    <x v="37"/>
    <s v="Validé"/>
    <x v="16"/>
    <d v="1899-12-30T10:27:15"/>
    <s v="Mawdo Malick GUEYE"/>
    <s v="panafrics@gmail.com"/>
    <s v="Fournisseurs et Prestataires locaux"/>
    <s v="Sénégal"/>
  </r>
  <r>
    <x v="38"/>
    <s v="Validé"/>
    <x v="17"/>
    <d v="1899-12-30T14:33:54"/>
    <s v="Rawaa Ben Said"/>
    <s v="commercial@tunisavia.com.tn"/>
    <s v="Fournisseurs et Prestataires étrangers"/>
    <s v="Tunisie"/>
  </r>
  <r>
    <x v="39"/>
    <s v="Validé"/>
    <x v="18"/>
    <d v="1899-12-30T17:54:47"/>
    <s v="Thiane DIOP"/>
    <s v="thiane.diop@b2ei-sarl.com"/>
    <s v="Fournisseurs et Prestataires locaux"/>
    <s v="Sénégal"/>
  </r>
  <r>
    <x v="40"/>
    <s v="Validé"/>
    <x v="19"/>
    <d v="1899-12-30T10:15:52"/>
    <s v="Mariétou SANE"/>
    <s v="marietou.sane@helixsen.com"/>
    <s v="Fournisseurs et Prestataires locaux"/>
    <s v="Sénégal"/>
  </r>
  <r>
    <x v="41"/>
    <s v="Validé"/>
    <x v="19"/>
    <d v="1899-12-30T12:26:39"/>
    <s v="Oumar Seye"/>
    <s v="oumar.seye@viderienterprise.com"/>
    <s v="Sous-traitants"/>
    <s v="Sénégal"/>
  </r>
  <r>
    <x v="42"/>
    <s v="Validé"/>
    <x v="20"/>
    <d v="1899-12-30T10:37:22"/>
    <s v="Fatou  Diop"/>
    <s v="fatoudiopsatt@gmail.com"/>
    <s v="Fournisseurs et Prestataires locaux"/>
    <s v="Sénégal"/>
  </r>
  <r>
    <x v="43"/>
    <s v="Validé"/>
    <x v="21"/>
    <d v="1899-12-30T10:03:04"/>
    <s v="DIOUF MALICK"/>
    <s v="entreprisepro.techniques@gmail.com"/>
    <s v="Fournisseurs et Prestataires locaux"/>
    <s v="Sénégal"/>
  </r>
  <r>
    <x v="44"/>
    <s v="Validé"/>
    <x v="22"/>
    <d v="1899-12-30T16:51:51"/>
    <s v="mle DIOP"/>
    <s v="diopa@sabbusinessconsulting.com"/>
    <s v="Fournisseurs et Prestataires locaux"/>
    <s v="Sénégal"/>
  </r>
  <r>
    <x v="45"/>
    <s v="Validé"/>
    <x v="22"/>
    <d v="1899-12-30T14:58:51"/>
    <s v="ibrahima sylla"/>
    <s v="drillnessenegal@gmail.com"/>
    <s v="Fournisseurs et Prestataires locaux"/>
    <s v="Sénégal"/>
  </r>
  <r>
    <x v="46"/>
    <s v="Validé"/>
    <x v="22"/>
    <d v="1899-12-30T11:46:22"/>
    <s v="ELHADJI AMADOU THIAM"/>
    <s v="eatmultiservices@gmail.com"/>
    <s v="Fournisseurs et Prestataires locaux"/>
    <s v="Sénégal"/>
  </r>
  <r>
    <x v="47"/>
    <s v="Validé"/>
    <x v="22"/>
    <d v="1899-12-30T06:16:35"/>
    <s v="Dain Hurter"/>
    <s v="dain.hurter@gmail.com"/>
    <s v="Fournisseurs et Prestataires étrangers"/>
    <s v="Afrique du Sud"/>
  </r>
  <r>
    <x v="48"/>
    <s v="Validé"/>
    <x v="23"/>
    <d v="1899-12-30T19:44:33"/>
    <s v="MAISSANE  THIAW"/>
    <s v="marketing@dakarhorizontravel.com"/>
    <s v="Fournisseurs et Prestataires locaux"/>
    <s v="Sénégal"/>
  </r>
  <r>
    <x v="49"/>
    <s v="Validé"/>
    <x v="23"/>
    <d v="1899-12-30T09:58:55"/>
    <s v="CHEIKH DJIGO"/>
    <s v="contact@an-nadiah.com"/>
    <s v="Fournisseurs et Prestataires locaux"/>
    <s v="Sénégal"/>
  </r>
  <r>
    <x v="50"/>
    <s v="Validé"/>
    <x v="24"/>
    <d v="1899-12-30T08:45:21"/>
    <s v="Dharmesh Dalwadi"/>
    <s v="dharmesh@viecl.com"/>
    <s v="Fournisseurs et Prestataires étrangers"/>
    <s v="Inde"/>
  </r>
  <r>
    <x v="51"/>
    <s v="Validé"/>
    <x v="25"/>
    <d v="1899-12-30T20:36:06"/>
    <s v="Coumba Khoule"/>
    <s v="coumba@tps-senegal.com"/>
    <s v="Fournisseurs et Prestataires locaux"/>
    <s v="Sénégal"/>
  </r>
  <r>
    <x v="52"/>
    <s v="Validé"/>
    <x v="25"/>
    <d v="1899-12-30T07:24:16"/>
    <s v="Néné CISSOKHO"/>
    <s v="cissokhonene95@gmail.com"/>
    <s v="Fournisseurs et prestataires locaux (GPF ou GIE)"/>
    <s v="Sénégal"/>
  </r>
  <r>
    <x v="53"/>
    <s v="Validé"/>
    <x v="26"/>
    <d v="1899-12-30T14:14:15"/>
    <s v="ABDOU BA"/>
    <s v="abdou.ba@process-master.com"/>
    <s v="Fournisseurs et Prestataires locaux"/>
    <s v="Sénégal"/>
  </r>
  <r>
    <x v="54"/>
    <s v="Validé"/>
    <x v="27"/>
    <d v="1899-12-30T05:22:14"/>
    <s v="Cai Ada"/>
    <s v="enbange-chua@hotmail.com"/>
    <s v="Fournisseurs et Prestataires étrangers"/>
    <s v="Sénégal"/>
  </r>
  <r>
    <x v="55"/>
    <s v="Validé"/>
    <x v="27"/>
    <d v="1899-12-30T15:28:38"/>
    <s v="ousseynou GUEYE"/>
    <s v="ousseynou.gueye@sdmi.sn"/>
    <s v="Fournisseurs et Prestataires locaux"/>
    <s v="Sénégal"/>
  </r>
  <r>
    <x v="56"/>
    <s v="Validé"/>
    <x v="27"/>
    <d v="1899-12-30T10:13:48"/>
    <s v="El Hadji Magueye Fall "/>
    <s v="elhadji.fall@snsoftware.com"/>
    <s v="Fournisseurs et Prestataires locaux"/>
    <s v="Sénégal"/>
  </r>
  <r>
    <x v="57"/>
    <s v="Validé"/>
    <x v="27"/>
    <d v="1899-12-30T12:42:54"/>
    <s v="khadidiatou toure fall"/>
    <s v="ubbicompu1@outlook.com"/>
    <s v="Fournisseurs et Prestataires locaux"/>
    <s v="Sénégal"/>
  </r>
  <r>
    <x v="58"/>
    <s v="Validé"/>
    <x v="27"/>
    <d v="1899-12-30T09:52:15"/>
    <s v="BABACAR KEBE"/>
    <s v="locasen@groupelocasen.com"/>
    <s v="Fournisseurs et Prestataires locaux"/>
    <s v="Sénégal"/>
  </r>
  <r>
    <x v="54"/>
    <s v="Validé"/>
    <x v="27"/>
    <d v="1899-12-30T04:51:22"/>
    <s v="Apple Zhang"/>
    <s v="rn_zhangpingping@163.com"/>
    <s v="Fournisseurs et Prestataires étrangers"/>
    <s v="Sénégal"/>
  </r>
  <r>
    <x v="59"/>
    <s v="Validé"/>
    <x v="28"/>
    <d v="1899-12-30T08:57:16"/>
    <s v="Securimex SAS"/>
    <s v="contact@securimex.sn"/>
    <s v="Fournisseurs et Prestataires locaux"/>
    <s v="Sénégal"/>
  </r>
  <r>
    <x v="60"/>
    <s v="Validé"/>
    <x v="28"/>
    <d v="1899-12-30T15:35:57"/>
    <s v="ALIOU SECK"/>
    <s v="contact@performanceservices.sn"/>
    <s v="Fournisseurs et Prestataires locaux"/>
    <s v="Sénégal"/>
  </r>
  <r>
    <x v="61"/>
    <s v="Validé"/>
    <x v="28"/>
    <d v="1899-12-30T13:33:11"/>
    <s v="Ashok Mehta"/>
    <s v="amehta@superiorsteel.in"/>
    <s v="Fournisseurs et Prestataires étrangers"/>
    <s v="Inde"/>
  </r>
  <r>
    <x v="62"/>
    <s v="Validé"/>
    <x v="29"/>
    <d v="1899-12-30T11:24:40"/>
    <s v="Baye mor Gueye"/>
    <s v="bmgamgueye@gmail.com"/>
    <s v="Fournisseurs et Prestataires locaux"/>
    <s v="Sénégal"/>
  </r>
  <r>
    <x v="63"/>
    <s v="Validé"/>
    <x v="29"/>
    <d v="1899-12-30T15:48:15"/>
    <s v="DIALLO Michel "/>
    <s v="contact@tysta-networks.com"/>
    <s v="Fournisseurs et Prestataires locaux"/>
    <s v="Sénégal"/>
  </r>
  <r>
    <x v="64"/>
    <s v="Validé"/>
    <x v="29"/>
    <d v="1899-12-30T14:28:12"/>
    <s v="MOUHAMADOU MOUSTAPHA FALL"/>
    <s v="moustapha.fall@labanqueoutarde.sn"/>
    <s v="Fournisseurs et Prestataires locaux"/>
    <s v="Sénégal"/>
  </r>
  <r>
    <x v="65"/>
    <s v="Validé"/>
    <x v="30"/>
    <d v="1899-12-30T16:16:48"/>
    <s v="Matar LÔ"/>
    <s v="cmgmboro@gmail.com"/>
    <s v="Fournisseurs et Prestataires locaux"/>
    <s v="Sénégal"/>
  </r>
  <r>
    <x v="66"/>
    <s v="Validé"/>
    <x v="30"/>
    <d v="1899-12-30T09:47:34"/>
    <s v="MADY SOUMARE"/>
    <s v="sabodalaminingservicesarl@gmail.com"/>
    <s v="Fournisseurs et Prestataires locaux"/>
    <s v="Sénégal"/>
  </r>
  <r>
    <x v="67"/>
    <s v="Validé"/>
    <x v="30"/>
    <d v="1899-12-30T19:03:15"/>
    <s v="Cheikh  Fall"/>
    <s v="gectis@yahoo.fr"/>
    <s v="Fournisseurs et Prestataires locaux"/>
    <s v="Sénégal"/>
  </r>
  <r>
    <x v="68"/>
    <s v="Validé"/>
    <x v="30"/>
    <d v="1899-12-30T11:12:14"/>
    <s v="SOUKAYE MAR"/>
    <s v="documentvip2019@gmail.com"/>
    <s v="Fournisseurs et Prestataires locaux"/>
    <s v="Sénégal"/>
  </r>
  <r>
    <x v="69"/>
    <s v="Validé"/>
    <x v="31"/>
    <d v="1899-12-30T21:52:30"/>
    <s v="Salimata Diouf"/>
    <s v="s.ngari.sa@gmail.com"/>
    <s v="Fournisseurs et Prestataires locaux"/>
    <s v="Sénégal"/>
  </r>
  <r>
    <x v="70"/>
    <s v="Validé"/>
    <x v="31"/>
    <d v="1899-12-30T15:18:36"/>
    <s v="Abdou Xaadir GAYE"/>
    <s v="abdouxaadir.gaye@agtsgroupe.com"/>
    <s v="Fournisseurs et Prestataires locaux"/>
    <s v="Sénégal"/>
  </r>
  <r>
    <x v="71"/>
    <s v="Validé"/>
    <x v="31"/>
    <d v="1899-12-30T10:19:15"/>
    <s v="Abdourahmane BARRY"/>
    <s v="contacts@sifens.com"/>
    <s v="Fournisseurs et Prestataires locaux"/>
    <s v="Sénégal"/>
  </r>
  <r>
    <x v="72"/>
    <s v="Validé"/>
    <x v="32"/>
    <d v="1899-12-30T16:11:33"/>
    <s v="EL HADJI MOCTAR DIOP"/>
    <s v="abamar999@gmail.com"/>
    <s v="Fournisseurs et Prestataires locaux"/>
    <s v="Sénégal"/>
  </r>
  <r>
    <x v="73"/>
    <s v="Validé"/>
    <x v="33"/>
    <d v="1899-12-30T11:20:56"/>
    <s v="keita bintou"/>
    <s v="globalservices.suarl2025@gmail.com"/>
    <s v="Fournisseurs et Prestataires locaux"/>
    <s v="Sénégal"/>
  </r>
  <r>
    <x v="74"/>
    <s v="Validé"/>
    <x v="33"/>
    <d v="1899-12-30T10:46:45"/>
    <s v="JEREMIE JABER"/>
    <s v="jeremie.jaber@gmail.com"/>
    <s v="Fournisseurs et Prestataires locaux"/>
    <s v="Sénégal"/>
  </r>
  <r>
    <x v="75"/>
    <s v="Validé"/>
    <x v="33"/>
    <d v="1899-12-30T16:41:48"/>
    <s v="LOUIS STEPHANE JOSEPH PAYSANT"/>
    <s v="dg@sspi.sn"/>
    <s v="Fournisseurs et Prestataires de droit sénégalais"/>
    <s v="Sénégal"/>
  </r>
  <r>
    <x v="76"/>
    <s v="Validé"/>
    <x v="34"/>
    <d v="1899-12-30T15:04:10"/>
    <s v="James Neilson"/>
    <s v="ccel@corrproeurope.com"/>
    <s v="Fournisseurs et Prestataires étrangers"/>
    <s v="Royaume-Uni"/>
  </r>
  <r>
    <x v="77"/>
    <s v="Validé"/>
    <x v="34"/>
    <d v="1899-12-30T15:45:24"/>
    <s v="PAPE  NIAKH"/>
    <s v="pape.niakh@eats-sarl.sn"/>
    <s v="Fournisseurs et Prestataires locaux"/>
    <s v="Sénégal"/>
  </r>
  <r>
    <x v="78"/>
    <s v="Validé"/>
    <x v="34"/>
    <d v="1899-12-30T08:43:49"/>
    <s v="Habib  SARR"/>
    <s v="hsarr@lcs.sn"/>
    <s v="Fournisseurs et Prestataires locaux"/>
    <s v="Sénégal"/>
  </r>
  <r>
    <x v="79"/>
    <s v="Validé"/>
    <x v="34"/>
    <d v="1899-12-30T17:36:08"/>
    <s v="SENE Daouda"/>
    <s v="esents23@gmail.com"/>
    <s v="Fournisseurs et Prestataires locaux"/>
    <s v="Sénégal"/>
  </r>
  <r>
    <x v="80"/>
    <s v="Validé"/>
    <x v="34"/>
    <d v="1899-12-30T17:57:08"/>
    <s v="Moustapha Diouf"/>
    <s v="mtdiouf@hotmail.com"/>
    <s v="Fournisseurs et Prestataires locaux"/>
    <s v="Sénégal"/>
  </r>
  <r>
    <x v="81"/>
    <s v="Validé"/>
    <x v="35"/>
    <d v="1899-12-30T18:45:42"/>
    <s v="Mouhamed Lo"/>
    <s v="lomouhamed@gmail.com"/>
    <s v="Fournisseurs et Prestataires locaux"/>
    <s v="Sénégal"/>
  </r>
  <r>
    <x v="82"/>
    <s v="Validé"/>
    <x v="35"/>
    <d v="1899-12-30T12:06:09"/>
    <s v="SAMBE Abdoulaye"/>
    <s v="abdoulaye.s@pro-mech616.com"/>
    <s v="Fournisseurs et Prestataires locaux"/>
    <s v="Sénégal"/>
  </r>
  <r>
    <x v="83"/>
    <s v="Validé"/>
    <x v="35"/>
    <d v="1899-12-30T11:40:13"/>
    <s v="NESTOR DIATTA"/>
    <s v="contact@sentras-sn.com"/>
    <s v="Fournisseurs et Prestataires locaux"/>
    <s v="Sénégal"/>
  </r>
  <r>
    <x v="84"/>
    <s v="Validé"/>
    <x v="36"/>
    <d v="1899-12-30T09:44:00"/>
    <s v="Aymann CHOUCAIR"/>
    <s v="aymann.choucair@dmcsen.com"/>
    <s v="Fournisseurs et Prestataires locaux"/>
    <s v="Sénégal"/>
  </r>
  <r>
    <x v="85"/>
    <s v="Validé"/>
    <x v="37"/>
    <d v="1899-12-30T12:50:34"/>
    <s v="Souleymane Daouda Ndiaye"/>
    <s v="synergie.plus18@gmail.com"/>
    <s v="Fournisseurs et Prestataires locaux"/>
    <s v="Sénégal"/>
  </r>
  <r>
    <x v="86"/>
    <s v="Validé"/>
    <x v="38"/>
    <d v="1899-12-30T18:04:44"/>
    <s v="ismaila kamara"/>
    <s v="ismaila.kamara@staroilgroup.com"/>
    <s v="Fournisseurs et Prestataires de droit sénégalais"/>
    <s v="Sénégal"/>
  </r>
  <r>
    <x v="87"/>
    <s v="Validé"/>
    <x v="38"/>
    <d v="1899-12-30T17:35:07"/>
    <s v="Mushtaq Khuram"/>
    <s v="khuram.mushtaq@lycopodium.com"/>
    <s v="Sous-traitants"/>
    <s v="Canada"/>
  </r>
  <r>
    <x v="88"/>
    <s v="Validé"/>
    <x v="38"/>
    <d v="1899-12-30T14:47:40"/>
    <s v="Bineta FALL"/>
    <s v="bineta.fall@vinci-construction.com"/>
    <s v="Sous-traitants"/>
    <s v="Sénégal"/>
  </r>
  <r>
    <x v="89"/>
    <s v="Validé"/>
    <x v="38"/>
    <d v="1899-12-30T12:01:00"/>
    <s v="Gupta Ankur"/>
    <s v="ankur.g@watsltd.com"/>
    <s v="Fournisseurs et Prestataires locaux"/>
    <s v="Sénégal"/>
  </r>
  <r>
    <x v="90"/>
    <s v="Validé"/>
    <x v="39"/>
    <d v="1899-12-30T09:17:02"/>
    <s v="Papa Mamadou  GUISSE"/>
    <s v="guissepm@gmail.com"/>
    <s v="Fournisseurs et Prestataires locaux"/>
    <s v="Sénégal"/>
  </r>
  <r>
    <x v="91"/>
    <s v="Validé"/>
    <x v="40"/>
    <d v="1899-12-30T14:02:16"/>
    <s v="BILLO Wane"/>
    <s v="clairattitudesn@gmail.com"/>
    <s v="Fournisseurs et Prestataires locaux"/>
    <s v="Sénégal"/>
  </r>
  <r>
    <x v="92"/>
    <s v="Validé"/>
    <x v="41"/>
    <d v="1899-12-30T11:36:10"/>
    <s v="Franco Swanepoel"/>
    <s v="francos@pumpab.co.za"/>
    <s v="Fournisseurs et Prestataires étrangers"/>
    <s v="Afrique du Sud"/>
  </r>
  <r>
    <x v="93"/>
    <s v="Validé"/>
    <x v="41"/>
    <d v="1899-12-30T16:53:55"/>
    <s v="AIDA DIOP"/>
    <s v="diopaida1987@gmail.com"/>
    <s v="Fournisseurs et Prestataires locaux"/>
    <s v="Sénégal"/>
  </r>
  <r>
    <x v="94"/>
    <s v="Validé"/>
    <x v="41"/>
    <d v="1899-12-30T10:53:29"/>
    <s v="Sarr Talla"/>
    <s v="cartel2022@yahoo.com"/>
    <s v="Fournisseurs et Prestataires locaux"/>
    <s v="Sénégal"/>
  </r>
  <r>
    <x v="95"/>
    <s v="Validé"/>
    <x v="41"/>
    <d v="1899-12-30T12:26:35"/>
    <s v="Mame Marieme TINE"/>
    <s v="marieme.tine@carmeusesenegal.com"/>
    <s v="Fournisseurs et Prestataires de droit sénégalais"/>
    <s v="Sénégal"/>
  </r>
  <r>
    <x v="96"/>
    <s v="Validé"/>
    <x v="42"/>
    <d v="1899-12-30T20:39:47"/>
    <s v="Moctar dit Ndiaga Ndiaye"/>
    <s v="n.ndiaye@gasetech-africa.com"/>
    <s v="Fournisseurs et Prestataires locaux"/>
    <s v="Sénégal"/>
  </r>
  <r>
    <x v="97"/>
    <s v="Validé"/>
    <x v="42"/>
    <d v="1899-12-30T16:36:19"/>
    <s v="El Hadji Talla FAYE"/>
    <s v="talla.faye@digital-automation.sn"/>
    <s v="Fournisseurs et Prestataires locaux"/>
    <s v="Sénégal"/>
  </r>
  <r>
    <x v="98"/>
    <s v="Validé"/>
    <x v="43"/>
    <d v="1899-12-30T18:19:46"/>
    <s v="Samour  Ndiaye "/>
    <s v="mborotravauxindustriels@gmail.com"/>
    <s v="Fournisseurs et Prestataires locaux"/>
    <s v="Sénégal"/>
  </r>
  <r>
    <x v="99"/>
    <s v="Validé"/>
    <x v="43"/>
    <d v="1899-12-30T17:52:08"/>
    <s v="Sara TINE"/>
    <s v="sandconsulting20@gmail.com"/>
    <s v="Fournisseurs et Prestataires locaux"/>
    <s v="Sénégal"/>
  </r>
  <r>
    <x v="100"/>
    <s v="Validé"/>
    <x v="44"/>
    <d v="1899-12-30T11:39:02"/>
    <s v="KEWE ALY BA"/>
    <s v="kewe.ba@umo-interim.com"/>
    <s v="Fournisseurs et Prestataires locaux"/>
    <s v="Sénégal"/>
  </r>
  <r>
    <x v="101"/>
    <s v="Validé"/>
    <x v="44"/>
    <d v="1899-12-30T11:13:55"/>
    <s v="Yolande Aida SENGHOR"/>
    <s v="contact@sendiasn.com"/>
    <s v="Fournisseurs et Prestataires locaux"/>
    <s v="Sénégal"/>
  </r>
  <r>
    <x v="102"/>
    <s v="Validé"/>
    <x v="45"/>
    <d v="1899-12-30T10:16:13"/>
    <s v="Abdoulaye Diouf"/>
    <s v="procurement@amluxurytours.com"/>
    <s v="Fournisseurs et Prestataires locaux"/>
    <s v="Sénégal"/>
  </r>
  <r>
    <x v="103"/>
    <s v="Validé"/>
    <x v="45"/>
    <d v="1899-12-30T11:54:43"/>
    <s v="GUEYE Diadji "/>
    <s v="dg@cammach.com"/>
    <s v="Fournisseurs et Prestataires locaux"/>
    <s v="Sénégal"/>
  </r>
  <r>
    <x v="104"/>
    <s v="Validé"/>
    <x v="46"/>
    <d v="1899-12-30T14:39:17"/>
    <s v="Papa Mamadou Lo"/>
    <s v="mamadou.lo@emtafrique.com"/>
    <s v="Fournisseurs et Prestataires locaux"/>
    <s v="Sénégal"/>
  </r>
  <r>
    <x v="105"/>
    <s v="Validé"/>
    <x v="47"/>
    <d v="1899-12-30T21:18:04"/>
    <s v="Amadou SANE"/>
    <s v="polyvalencebtp@gmail.com"/>
    <s v="Fournisseurs et Prestataires locaux"/>
    <s v="Sénégal"/>
  </r>
  <r>
    <x v="106"/>
    <s v="Validé"/>
    <x v="48"/>
    <d v="1899-12-30T11:17:11"/>
    <s v="Emmanuel agbegnigan  FANGNON "/>
    <s v="faemma2000@yahoo.fr"/>
    <s v="Fournisseurs et Prestataires locaux"/>
    <s v="Sénégal"/>
  </r>
  <r>
    <x v="107"/>
    <s v="Validé"/>
    <x v="49"/>
    <d v="1899-12-30T10:31:14"/>
    <s v="Mathieu Castelain"/>
    <s v="mathieu.castelain@friedlander-international.com"/>
    <s v="Fournisseurs et Prestataires de droit sénégalais"/>
    <s v="Sénégal"/>
  </r>
  <r>
    <x v="108"/>
    <s v="Validé"/>
    <x v="49"/>
    <d v="1899-12-30T16:50:00"/>
    <s v="Aby Gabriel  Toure"/>
    <s v="abytoure084@gmail.com"/>
    <s v="Fournisseurs et Prestataires locaux"/>
    <s v="Sénégal"/>
  </r>
  <r>
    <x v="109"/>
    <s v="Validé"/>
    <x v="49"/>
    <d v="1899-12-30T11:36:29"/>
    <s v="Ndéné SARR"/>
    <s v="ndene.sarr@teranga-energies.com"/>
    <s v="Fournisseurs et Prestataires locaux"/>
    <s v="Sénégal"/>
  </r>
  <r>
    <x v="110"/>
    <s v="Validé"/>
    <x v="50"/>
    <d v="1899-12-30T15:07:31"/>
    <s v="Rama SOW"/>
    <s v="cnscl@boya.sn"/>
    <s v="Entreprises avec permis de recherche"/>
    <s v="Sénégal"/>
  </r>
  <r>
    <x v="111"/>
    <s v="Validé"/>
    <x v="50"/>
    <d v="1899-12-30T08:16:04"/>
    <s v="Fatou Faye NIANG"/>
    <s v="f.niang@sibmsn.com"/>
    <s v="Fournisseurs et Prestataires de droit sénégalais"/>
    <s v="Sénégal"/>
  </r>
  <r>
    <x v="112"/>
    <s v="Validé"/>
    <x v="51"/>
    <d v="1899-12-30T13:57:23"/>
    <s v="Ababacar Mbaye Diédhiou"/>
    <s v="ababacarmbayediedhiou@gmail.com"/>
    <s v="Fournisseurs et prestataires locaux (GPF ou GIE)"/>
    <s v="Sénégal"/>
  </r>
  <r>
    <x v="113"/>
    <s v="Validé"/>
    <x v="52"/>
    <d v="1899-12-30T12:11:13"/>
    <s v="Rokhaya Sall"/>
    <s v="contact@drilleex.sn"/>
    <s v="Fournisseurs et Prestataires locaux"/>
    <s v="Sénégal"/>
  </r>
  <r>
    <x v="114"/>
    <s v="Validé"/>
    <x v="52"/>
    <d v="1899-12-30T10:38:26"/>
    <s v="Thierry paluch"/>
    <s v="thierry.paluch@tsg-solutions.com"/>
    <s v="Fournisseurs et Prestataires de droit sénégalais"/>
    <s v="Sénégal"/>
  </r>
  <r>
    <x v="115"/>
    <s v="Validé"/>
    <x v="52"/>
    <d v="1899-12-30T15:03:33"/>
    <s v="GALLO SARR"/>
    <s v="gallosarr@niayessarraut.com"/>
    <s v="Fournisseurs et Prestataires locaux"/>
    <s v="Sénégal"/>
  </r>
  <r>
    <x v="116"/>
    <s v="Validé"/>
    <x v="53"/>
    <d v="1899-12-30T13:21:45"/>
    <s v="Mouhamed  DIAGNE "/>
    <s v="mouhamed.diagne@ridwangroup.com"/>
    <s v="Fournisseurs et Prestataires locaux"/>
    <s v="Sénégal"/>
  </r>
  <r>
    <x v="117"/>
    <s v="Validé"/>
    <x v="54"/>
    <d v="1899-12-30T00:12:49"/>
    <s v="Hamidou TRAORE"/>
    <s v="traorehamidou@gmail.com"/>
    <s v="Fournisseurs et Prestataires locaux"/>
    <s v="Sénégal"/>
  </r>
  <r>
    <x v="118"/>
    <s v="Validé"/>
    <x v="55"/>
    <d v="1899-12-30T08:48:17"/>
    <s v="Gary  Dharmarathna"/>
    <s v="gary.dharma@2mg.net.au"/>
    <s v="Fournisseurs et Prestataires étrangers"/>
    <s v="Australie"/>
  </r>
  <r>
    <x v="119"/>
    <s v="Validé"/>
    <x v="55"/>
    <d v="1899-12-30T14:27:59"/>
    <s v="Alla DIAW"/>
    <s v="alla.diaw@sgns.gouv.sn"/>
    <s v="Fournisseurs et Prestataires locaux"/>
    <s v="Sénégal"/>
  </r>
  <r>
    <x v="120"/>
    <s v="Validé"/>
    <x v="56"/>
    <d v="1899-12-30T09:43:40"/>
    <s v="Sophiatou FALL"/>
    <s v="sophiatou.fall@laboratoiretfg.com"/>
    <s v="Fournisseurs et Prestataires locaux"/>
    <s v="Sénégal"/>
  </r>
  <r>
    <x v="121"/>
    <s v="Validé"/>
    <x v="56"/>
    <d v="1899-12-30T13:30:17"/>
    <s v="Boubane Ibrahima "/>
    <s v="lombelresources@gmail.com"/>
    <s v="Fournisseurs et Prestataires locaux"/>
    <s v="Sénégal"/>
  </r>
  <r>
    <x v="122"/>
    <s v="Validé"/>
    <x v="57"/>
    <d v="1899-12-30T12:43:15"/>
    <s v="Komi Landry AMENTI"/>
    <s v="contact@valteo-ingenierie.com"/>
    <s v="Fournisseurs et Prestataires locaux"/>
    <s v="Sénégal"/>
  </r>
  <r>
    <x v="123"/>
    <s v="Validé"/>
    <x v="57"/>
    <d v="1899-12-30T10:32:38"/>
    <s v="Ousmane Fall"/>
    <s v="oufall@sata.sn"/>
    <s v="Fournisseurs et Prestataires locaux"/>
    <s v="Sénégal"/>
  </r>
  <r>
    <x v="124"/>
    <s v="Validé"/>
    <x v="57"/>
    <d v="1899-12-30T13:41:35"/>
    <s v="Mulalo Silidi"/>
    <s v="mulalo.silidi@hatch.com"/>
    <s v="Fournisseurs et Prestataires étrangers"/>
    <s v="Îles Mariannes du Nord"/>
  </r>
  <r>
    <x v="125"/>
    <s v="Validé"/>
    <x v="57"/>
    <d v="1899-12-30T12:29:48"/>
    <s v="Deshigan Padayachee"/>
    <s v="deshigan.padayachee@hatch.com"/>
    <s v="Fournisseurs et Prestataires étrangers"/>
    <s v="Afrique du Sud"/>
  </r>
  <r>
    <x v="126"/>
    <s v="Validé"/>
    <x v="58"/>
    <d v="1899-12-30T08:34:31"/>
    <s v="Wael ATTIEH"/>
    <s v="sirmel@sirmel.sn"/>
    <s v="Fournisseurs et Prestataires locaux"/>
    <s v="Sénégal"/>
  </r>
  <r>
    <x v="127"/>
    <s v="Validé"/>
    <x v="58"/>
    <d v="1899-12-30T13:44:38"/>
    <s v="Murnel DZON"/>
    <s v="m.dzon.jojo@beta.one"/>
    <s v="Fournisseurs et Prestataires de droit sénégalais"/>
    <s v="Sénégal"/>
  </r>
  <r>
    <x v="128"/>
    <s v="Validé"/>
    <x v="58"/>
    <d v="1899-12-30T12:46:38"/>
    <s v="Ahmadou bamba Diop"/>
    <s v="commercial.gy@gmail.com"/>
    <s v="Fournisseurs et Prestataires locaux"/>
    <s v="Sénégal"/>
  </r>
  <r>
    <x v="129"/>
    <s v="Validé"/>
    <x v="59"/>
    <d v="1899-12-30T13:29:41"/>
    <s v="Mamadou Ouleye  Diallo "/>
    <s v="dmamadououle@yahoo.fr"/>
    <s v="Fournisseurs et Prestataires locaux"/>
    <s v="Sénégal"/>
  </r>
  <r>
    <x v="130"/>
    <s v="Validé"/>
    <x v="59"/>
    <d v="1899-12-30T13:26:02"/>
    <s v="Déborah MATTER"/>
    <s v="skakovibration.fr@skako.com"/>
    <s v="Fournisseurs et Prestataires étrangers"/>
    <s v="France"/>
  </r>
  <r>
    <x v="131"/>
    <s v="Validé"/>
    <x v="60"/>
    <d v="1899-12-30T11:22:20"/>
    <s v="Mark Sealey"/>
    <s v="sales@rainbosupplies.com"/>
    <s v="Fournisseurs et Prestataires étrangers"/>
    <s v="Royaume-Uni"/>
  </r>
  <r>
    <x v="132"/>
    <s v="Validé"/>
    <x v="60"/>
    <d v="1899-12-30T11:21:01"/>
    <s v="Aissatou Ndong"/>
    <s v="andong@wafgatesn.com"/>
    <s v="Fournisseurs et Prestataires locaux"/>
    <s v="Sénégal"/>
  </r>
  <r>
    <x v="133"/>
    <s v="Validé"/>
    <x v="60"/>
    <d v="1899-12-30T10:14:49"/>
    <s v="Patrick TIOMELA"/>
    <s v="contact@temico.sn"/>
    <s v="Fournisseurs et Prestataires locaux"/>
    <s v="Sénégal"/>
  </r>
  <r>
    <x v="134"/>
    <s v="Validé"/>
    <x v="61"/>
    <d v="1899-12-30T09:19:32"/>
    <s v="Venter Landi"/>
    <s v="tenders@zutari.com"/>
    <s v="Fournisseurs et Prestataires étrangers"/>
    <s v="Afrique du Sud"/>
  </r>
  <r>
    <x v="135"/>
    <s v="Validé"/>
    <x v="62"/>
    <d v="1899-12-30T14:23:01"/>
    <s v="Vincent Korri SARR"/>
    <s v="facturation@sscm.sn"/>
    <s v="Fournisseurs et Prestataires locaux"/>
    <s v="Sénégal"/>
  </r>
  <r>
    <x v="136"/>
    <s v="Validé"/>
    <x v="63"/>
    <d v="1899-12-30T17:33:49"/>
    <s v="Doune MBENGUE"/>
    <s v="dgmsparts@gmail.com"/>
    <s v="Fournisseurs et Prestataires locaux"/>
    <s v="Sénégal"/>
  </r>
  <r>
    <x v="137"/>
    <s v="Validé"/>
    <x v="64"/>
    <d v="1899-12-30T15:56:11"/>
    <s v="Seydina Ababacar Ndiaye"/>
    <s v="seydina.ee@gmail.com"/>
    <s v="Entreprises avec permis de recherche"/>
    <s v="Sénégal"/>
  </r>
  <r>
    <x v="138"/>
    <s v="Validé"/>
    <x v="65"/>
    <d v="1899-12-30T23:28:49"/>
    <s v="MOUHAMADOU BECAYE BARRY"/>
    <s v="barrybecaye@gmail.com"/>
    <s v="Fournisseurs et Prestataires locaux"/>
    <s v="Sénégal"/>
  </r>
  <r>
    <x v="139"/>
    <s v="Validé"/>
    <x v="66"/>
    <d v="1899-12-30T00:49:33"/>
    <s v="Abdourahim Athie"/>
    <s v="abdourahimathie@gmail.com"/>
    <s v="Fournisseurs et Prestataires locaux"/>
    <s v="Sénégal"/>
  </r>
  <r>
    <x v="140"/>
    <s v="Validé"/>
    <x v="66"/>
    <d v="1899-12-30T14:24:19"/>
    <s v="MADY CISSOKHO"/>
    <s v="mady.cissokho1005@gmail.com"/>
    <s v="Fournisseurs et prestataires locaux (GPF ou GIE)"/>
    <s v="Sénégal"/>
  </r>
  <r>
    <x v="141"/>
    <s v="Validé"/>
    <x v="67"/>
    <d v="1899-12-30T09:25:08"/>
    <s v="Abdourahmane Diallo LO"/>
    <s v="alokarim@gmail.com"/>
    <s v="Fournisseurs et Prestataires locaux"/>
    <s v="Sénégal"/>
  </r>
  <r>
    <x v="142"/>
    <s v="Validé"/>
    <x v="67"/>
    <d v="1899-12-30T12:00:10"/>
    <s v="RACHI DOUM"/>
    <s v="doumssheed@gmail.com"/>
    <s v="Fournisseurs et Prestataires de droit sénégalais"/>
    <s v="Sénégal"/>
  </r>
  <r>
    <x v="143"/>
    <s v="Validé"/>
    <x v="68"/>
    <d v="1899-12-30T17:45:05"/>
    <s v="MOUSSA DIOP"/>
    <s v="hydrassconsulting@gmail.com"/>
    <s v="Fournisseurs et Prestataires locaux"/>
    <s v="Sénégal"/>
  </r>
  <r>
    <x v="144"/>
    <s v="Validé"/>
    <x v="68"/>
    <d v="1899-12-30T04:01:12"/>
    <s v="Bell Tim"/>
    <s v="gekkos@gekkos.com"/>
    <s v="Fournisseurs et Prestataires étrangers"/>
    <s v="Australie"/>
  </r>
  <r>
    <x v="145"/>
    <s v="Validé"/>
    <x v="69"/>
    <d v="1899-12-30T22:41:04"/>
    <s v="Mamadou DIOP"/>
    <s v="mamadou.diop@seaengineering-ltd.com"/>
    <s v="Fournisseurs et Prestataires locaux"/>
    <s v="Sénégal"/>
  </r>
  <r>
    <x v="146"/>
    <s v="Validé"/>
    <x v="69"/>
    <d v="1899-12-30T20:19:35"/>
    <s v="Khadim Dia"/>
    <s v="nbamba620@gmail.com"/>
    <s v="Fournisseurs et Prestataires locaux"/>
    <s v="Sénégal"/>
  </r>
  <r>
    <x v="147"/>
    <s v="Validé"/>
    <x v="70"/>
    <d v="1899-12-30T15:15:25"/>
    <s v="papa boure DIOUF"/>
    <s v="papabourediouf74@gmail.com"/>
    <s v="Fournisseurs et Prestataires locaux"/>
    <s v="Sénégal"/>
  </r>
  <r>
    <x v="148"/>
    <s v="Validé"/>
    <x v="70"/>
    <d v="1899-12-30T15:34:48"/>
    <s v="Louis SANTI"/>
    <s v="louis.santi@grouptfe.com"/>
    <s v="Fournisseurs et Prestataires de droit sénégalais"/>
    <s v="Sénégal"/>
  </r>
  <r>
    <x v="149"/>
    <s v="Validé"/>
    <x v="71"/>
    <d v="1899-12-30T11:01:27"/>
    <s v="Samba Gueye"/>
    <s v="mdess_sarl@yahoo.com"/>
    <s v="Fournisseurs et Prestataires de droit sénégalais"/>
    <s v="Sénégal"/>
  </r>
  <r>
    <x v="150"/>
    <s v="Validé"/>
    <x v="72"/>
    <d v="1899-12-30T13:25:57"/>
    <s v="Ramatoulaye DIEDHIOU"/>
    <s v="bijoudiedhiou@gmail.com"/>
    <s v="Fournisseurs et Prestataires locaux"/>
    <s v="Sénégal"/>
  </r>
  <r>
    <x v="151"/>
    <s v="Validé"/>
    <x v="72"/>
    <d v="1899-12-30T18:07:09"/>
    <s v="ASTHOU MBAYE"/>
    <s v="astthi2002@gmail.com"/>
    <s v="Fournisseurs et Prestataires locaux"/>
    <s v="Sénégal"/>
  </r>
  <r>
    <x v="152"/>
    <s v="Validé"/>
    <x v="72"/>
    <d v="1899-12-30T09:24:02"/>
    <s v="MOR NDOYE"/>
    <s v="polytech@polytechentreprise.sn"/>
    <s v="Fournisseurs et Prestataires locaux"/>
    <s v="Sénégal"/>
  </r>
  <r>
    <x v="153"/>
    <s v="Validé"/>
    <x v="73"/>
    <d v="1899-12-30T18:34:34"/>
    <s v="KAMA DANFAKHA"/>
    <s v="ares_architecture@yahoo.fr"/>
    <s v="Fournisseurs et Prestataires locaux"/>
    <s v="Sénégal"/>
  </r>
  <r>
    <x v="154"/>
    <s v="Validé"/>
    <x v="74"/>
    <d v="1899-12-30T15:01:57"/>
    <s v="Abdramane  ndiaye"/>
    <s v="abdramanendiaye26@gmail.com"/>
    <s v="Fournisseurs et Prestataires locaux"/>
    <s v="Sénégal"/>
  </r>
  <r>
    <x v="155"/>
    <s v="Validé"/>
    <x v="74"/>
    <d v="1899-12-30T16:34:45"/>
    <s v="Beye Abdou"/>
    <s v="mdaddiogo@gmail.com"/>
    <s v="Fournisseurs et Prestataires locaux"/>
    <s v="Sénégal"/>
  </r>
  <r>
    <x v="156"/>
    <s v="Validé"/>
    <x v="74"/>
    <d v="1899-12-30T08:33:35"/>
    <s v="Mohamed Habib  Cissokho"/>
    <s v="industrialminingservices.kims@gmail.com"/>
    <s v="Fournisseurs et Prestataires locaux"/>
    <s v="Sénégal"/>
  </r>
  <r>
    <x v="157"/>
    <s v="Validé"/>
    <x v="74"/>
    <d v="1899-12-30T22:13:22"/>
    <s v="PAPE THIERNO TOP"/>
    <s v="contact@rassoulglobalservices.sn"/>
    <s v="Fournisseurs et Prestataires locaux"/>
    <s v="Sénégal"/>
  </r>
  <r>
    <x v="158"/>
    <s v="Validé"/>
    <x v="74"/>
    <d v="1899-12-30T21:52:53"/>
    <s v="Abdoul Aziz Ciss"/>
    <s v="aciss@carriere360.com"/>
    <s v="Fournisseurs et Prestataires locaux"/>
    <s v="Sénégal"/>
  </r>
  <r>
    <x v="159"/>
    <s v="Validé"/>
    <x v="74"/>
    <d v="1899-12-30T10:48:07"/>
    <s v="YOUSSOUPHA NDIAYE"/>
    <s v="kalomconstruction@gmail.com"/>
    <s v="Fournisseurs et Prestataires locaux"/>
    <s v="Sénégal"/>
  </r>
  <r>
    <x v="160"/>
    <s v="Validé"/>
    <x v="75"/>
    <d v="1899-12-30T15:49:31"/>
    <s v="SALLA NDIAYE"/>
    <s v="salla.ndiaye@sustainafrica.net"/>
    <s v="Fournisseurs et Prestataires locaux"/>
    <s v="Sénégal"/>
  </r>
  <r>
    <x v="161"/>
    <s v="Validé"/>
    <x v="76"/>
    <d v="1899-12-30T18:00:01"/>
    <s v="MAMADOU DOUDOU NDIAYE "/>
    <s v="mamadou.ndiaye@c2kstaffing.com"/>
    <s v="Fournisseurs et Prestataires locaux"/>
    <s v="Sénégal"/>
  </r>
  <r>
    <x v="162"/>
    <s v="Validé"/>
    <x v="77"/>
    <d v="1899-12-30T10:26:58"/>
    <s v="CHEIKH GUEYE"/>
    <s v="cckss.senegal@gmail.com"/>
    <s v="Fournisseurs et Prestataires locaux"/>
    <s v="Sénégal"/>
  </r>
  <r>
    <x v="163"/>
    <s v="Validé"/>
    <x v="78"/>
    <d v="1899-12-30T13:08:18"/>
    <s v="BOUYA  THIAM"/>
    <s v="bouyathiam97@gmail.com"/>
    <s v="Fournisseurs et Prestataires locaux"/>
    <s v="Sénégal"/>
  </r>
  <r>
    <x v="164"/>
    <s v="Validé"/>
    <x v="78"/>
    <d v="1899-12-30T11:17:50"/>
    <s v="Mady Dangnokho"/>
    <s v="dangnokhomady816@gmail.com"/>
    <s v="Fournisseurs et prestataires locaux (GPF ou GIE)"/>
    <s v="Sénégal"/>
  </r>
  <r>
    <x v="165"/>
    <s v="Validé"/>
    <x v="78"/>
    <d v="1899-12-30T15:38:05"/>
    <s v="BAYE SECK"/>
    <s v="baseck@instrumaint.org"/>
    <s v="Fournisseurs et Prestataires locaux"/>
    <s v="Sénégal"/>
  </r>
  <r>
    <x v="166"/>
    <s v="Validé"/>
    <x v="78"/>
    <d v="1899-12-30T17:03:19"/>
    <s v="Mamadou SENE"/>
    <s v="mamadou.sene@africaels.com"/>
    <s v="Fournisseurs et Prestataires locaux"/>
    <s v="Sénégal"/>
  </r>
  <r>
    <x v="167"/>
    <s v="Validé"/>
    <x v="79"/>
    <d v="1899-12-30T12:13:07"/>
    <s v="Cheikh Babou"/>
    <s v="cheikh.babou@greatmineralsresources.com"/>
    <s v="Fournisseurs et Prestataires locaux"/>
    <s v="Sénégal"/>
  </r>
  <r>
    <x v="168"/>
    <s v="Validé"/>
    <x v="79"/>
    <d v="1899-12-30T16:30:10"/>
    <s v="Youssouph DIEDHIOU"/>
    <s v="youtend1212@gmail.com"/>
    <s v="Fournisseurs et Prestataires locaux"/>
    <s v="Sénégal"/>
  </r>
  <r>
    <x v="169"/>
    <s v="Validé"/>
    <x v="79"/>
    <d v="1899-12-30T09:23:08"/>
    <s v="KHADY DIOP"/>
    <s v="khady.diop@seee-energies.com"/>
    <s v="Fournisseurs et Prestataires locaux"/>
    <s v="Sénégal"/>
  </r>
  <r>
    <x v="170"/>
    <s v="Validé"/>
    <x v="79"/>
    <d v="1899-12-30T11:08:31"/>
    <s v="Mohamed LY"/>
    <s v="mohamed.ly@novago.africa"/>
    <s v="Fournisseurs et Prestataires de droit sénégalais"/>
    <s v="Sénégal"/>
  </r>
  <r>
    <x v="171"/>
    <s v="Validé"/>
    <x v="80"/>
    <d v="1899-12-30T13:30:16"/>
    <s v="Fatou Touré"/>
    <s v="giebeuguefallouservices@gmail.com"/>
    <s v="Fournisseurs et prestataires locaux (GPF ou GIE)"/>
    <s v="Sénégal"/>
  </r>
  <r>
    <x v="172"/>
    <s v="Validé"/>
    <x v="80"/>
    <d v="1899-12-30T15:49:23"/>
    <s v="Eustache Nestor Badji"/>
    <s v="nestor.badji@ags-sn.com"/>
    <s v="Fournisseurs et Prestataires locaux"/>
    <s v="Sénégal"/>
  </r>
  <r>
    <x v="173"/>
    <s v="Validé"/>
    <x v="80"/>
    <d v="1899-12-30T11:01:19"/>
    <s v="Georges DIOUF"/>
    <s v="contact@badaracchi.com"/>
    <s v="Fournisseurs et Prestataires de droit sénégalais"/>
    <s v="Sénégal"/>
  </r>
  <r>
    <x v="174"/>
    <s v="Validé"/>
    <x v="80"/>
    <d v="1899-12-30T08:25:05"/>
    <s v="MAMADOU MASSECK THIAM"/>
    <s v="masseck.thiam@tind.sn"/>
    <s v="Fournisseurs et Prestataires locaux"/>
    <s v="Sénégal"/>
  </r>
  <r>
    <x v="175"/>
    <s v="Validé"/>
    <x v="80"/>
    <d v="1899-12-30T11:01:23"/>
    <s v="Thomas  Tine "/>
    <s v="thomastine@psychologiesetconseils.com"/>
    <s v="Fournisseurs et Prestataires locaux"/>
    <s v="Sénégal"/>
  </r>
  <r>
    <x v="176"/>
    <s v="Validé"/>
    <x v="81"/>
    <d v="1899-12-30T19:07:38"/>
    <s v="Hady SOW"/>
    <s v="direction@pstenergy.com"/>
    <s v="Fournisseurs et Prestataires locaux"/>
    <s v="Sénégal"/>
  </r>
  <r>
    <x v="177"/>
    <s v="Validé"/>
    <x v="82"/>
    <d v="1899-12-30T13:05:23"/>
    <s v="Mamadou Alpha `Diallo"/>
    <s v="phadioo87@gmail.com"/>
    <s v="Fournisseurs et Prestataires locaux"/>
    <s v="Sénégal"/>
  </r>
  <r>
    <x v="178"/>
    <s v="Validé"/>
    <x v="82"/>
    <d v="1899-12-30T15:08:09"/>
    <s v="Fatou kine Dia"/>
    <s v="dala.force12@gmail.com"/>
    <s v="Fournisseurs et Prestataires locaux"/>
    <s v="Sénégal"/>
  </r>
  <r>
    <x v="179"/>
    <s v="Validé"/>
    <x v="82"/>
    <d v="1899-12-30T10:07:05"/>
    <s v="Babacar  Mbodj"/>
    <s v="sakhocheikhou97@gmail.com"/>
    <s v="Fournisseurs et Prestataires locaux"/>
    <s v="Sénégal"/>
  </r>
  <r>
    <x v="180"/>
    <s v="Validé"/>
    <x v="82"/>
    <d v="1899-12-30T11:23:59"/>
    <s v="Fabrice DESGARDIN"/>
    <s v="fdesgardin@soudotec.net"/>
    <s v="Fournisseurs et Prestataires locaux"/>
    <s v="Sénégal"/>
  </r>
  <r>
    <x v="181"/>
    <s v="Validé"/>
    <x v="83"/>
    <d v="1899-12-30T16:16:09"/>
    <s v="SENE Dr. Moustapha "/>
    <s v="m-sene@sen-engineering.com"/>
    <s v="Fournisseurs et Prestataires locaux"/>
    <s v="Sénégal"/>
  </r>
  <r>
    <x v="182"/>
    <s v="Validé"/>
    <x v="83"/>
    <d v="1899-12-30T08:15:59"/>
    <s v="Fily Mady SOUMARE"/>
    <s v="lyfidyma@gmail.com"/>
    <s v="Fournisseurs et Prestataires locaux"/>
    <s v="Sénégal"/>
  </r>
  <r>
    <x v="183"/>
    <s v="Validé"/>
    <x v="84"/>
    <d v="1899-12-30T10:22:56"/>
    <s v="Bakary Sall"/>
    <s v="bakarysall@teletracksolutions.com"/>
    <s v="Fournisseurs et Prestataires locaux"/>
    <s v="Sénégal"/>
  </r>
  <r>
    <x v="184"/>
    <s v="Validé"/>
    <x v="84"/>
    <d v="1899-12-30T13:20:58"/>
    <s v="Ibrahima  Sow"/>
    <s v="kawsaratechnologie@gmail.com"/>
    <s v="Fournisseurs et Prestataires locaux"/>
    <s v="Sénégal"/>
  </r>
  <r>
    <x v="185"/>
    <s v="Validé"/>
    <x v="85"/>
    <d v="1899-12-30T15:31:49"/>
    <s v="MBENGUE Amsatou"/>
    <s v="amsa@kacyber.com"/>
    <s v="Fournisseurs et Prestataires locaux"/>
    <s v="Sénégal"/>
  </r>
  <r>
    <x v="186"/>
    <s v="Validé"/>
    <x v="85"/>
    <d v="1899-12-30T23:49:39"/>
    <s v="Pape Ibrahima  SAMBE"/>
    <s v="kulaxcontact@gmail.com"/>
    <s v="Fournisseurs et Prestataires locaux"/>
    <s v="Sénégal"/>
  </r>
  <r>
    <x v="187"/>
    <s v="Validé"/>
    <x v="86"/>
    <d v="1899-12-30T22:51:29"/>
    <s v="Sadou Diallo"/>
    <s v="diallo.lamine@equipex.sn"/>
    <s v="Fournisseurs et Prestataires locaux"/>
    <s v="Sénégal"/>
  </r>
  <r>
    <x v="188"/>
    <s v="Validé"/>
    <x v="86"/>
    <d v="1899-12-30T12:38:57"/>
    <s v="Mohamed SIDIBE"/>
    <s v="mohamedsid88@hotmail.fr"/>
    <s v="Fournisseurs et Prestataires locaux"/>
    <s v="Sénégal"/>
  </r>
  <r>
    <x v="189"/>
    <s v="Validé"/>
    <x v="86"/>
    <d v="1899-12-30T11:35:06"/>
    <s v="Moussa TRAORE"/>
    <s v="moussa.traore@bem.sn"/>
    <s v="Fournisseurs et Prestataires locaux"/>
    <s v="Sénégal"/>
  </r>
  <r>
    <x v="190"/>
    <s v="Validé"/>
    <x v="86"/>
    <d v="1899-12-30T16:39:15"/>
    <s v="Gora Gueye"/>
    <s v="mborodiamou@gmail.com"/>
    <s v="Fournisseurs et Prestataires locaux"/>
    <s v="Sénégal"/>
  </r>
  <r>
    <x v="191"/>
    <s v="Validé"/>
    <x v="86"/>
    <d v="1899-12-30T18:32:37"/>
    <s v="Richard Lawrie"/>
    <s v="mauritius@lawriesas.com"/>
    <s v="Fournisseurs et Prestataires étrangers"/>
    <s v="Ile Maurice"/>
  </r>
  <r>
    <x v="192"/>
    <s v="Validé"/>
    <x v="86"/>
    <d v="1899-12-30T15:38:13"/>
    <s v="didier ROUSSELLE"/>
    <s v="drousselle@nexus-groupe.com"/>
    <s v="Fournisseurs et Prestataires étrangers"/>
    <s v="France"/>
  </r>
  <r>
    <x v="193"/>
    <s v="Validé"/>
    <x v="87"/>
    <d v="1899-12-30T12:53:38"/>
    <s v="NIANG Libasse "/>
    <s v="energeco@orange.sn"/>
    <s v="Fournisseurs et Prestataires locaux"/>
    <s v="Sénégal"/>
  </r>
  <r>
    <x v="194"/>
    <s v="Validé"/>
    <x v="87"/>
    <d v="1899-12-30T13:50:23"/>
    <s v="Oumar DIENG"/>
    <s v="oumar@petrolubepts.com"/>
    <s v="Fournisseurs et Prestataires locaux"/>
    <s v="Sénégal"/>
  </r>
  <r>
    <x v="195"/>
    <s v="Validé"/>
    <x v="87"/>
    <d v="1899-12-30T11:52:15"/>
    <s v="FALLIL NIANG"/>
    <s v="f.niang@fngroup.sn"/>
    <s v="Fournisseurs et Prestataires locaux"/>
    <s v="Sénégal"/>
  </r>
  <r>
    <x v="196"/>
    <s v="Validé"/>
    <x v="88"/>
    <d v="1899-12-30T10:54:17"/>
    <s v="Ahmadou Diop"/>
    <s v="forwarding@istamco.com"/>
    <s v="Fournisseurs et Prestataires locaux"/>
    <s v="Sénégal"/>
  </r>
  <r>
    <x v="197"/>
    <s v="Validé"/>
    <x v="88"/>
    <d v="1899-12-30T11:46:46"/>
    <s v="Eliasse GANSORE "/>
    <s v="osmosegeotexsarl@gmail.com"/>
    <s v="Fournisseurs et Prestataires étrangers"/>
    <s v="Burkina Faso"/>
  </r>
  <r>
    <x v="198"/>
    <s v="Validé"/>
    <x v="89"/>
    <d v="1899-12-30T10:15:38"/>
    <s v="Makhtar Ndoumbe  Mbaye "/>
    <s v="universalprestaservices@gmail.com"/>
    <s v="Fournisseurs et Prestataires locaux"/>
    <s v="Sénégal"/>
  </r>
  <r>
    <x v="199"/>
    <s v="Validé"/>
    <x v="89"/>
    <d v="1899-12-30T10:32:17"/>
    <s v="Alpha DIALLO"/>
    <s v="dalpha5200@gmail.com"/>
    <s v="Fournisseurs et Prestataires locaux"/>
    <s v="Sénégal"/>
  </r>
  <r>
    <x v="200"/>
    <s v="Validé"/>
    <x v="90"/>
    <d v="1899-12-30T14:42:05"/>
    <s v="Ahmadou Khadim  Khoule"/>
    <s v="sisarl@orange.sn"/>
    <s v="Fournisseurs et Prestataires locaux"/>
    <s v="Sénégal"/>
  </r>
  <r>
    <x v="201"/>
    <s v="Validé"/>
    <x v="90"/>
    <d v="1899-12-30T16:46:33"/>
    <s v="cheikh sadibou ndiaye"/>
    <s v="cheikh.ndiaye@prosen.sn"/>
    <s v="Fournisseurs et Prestataires locaux"/>
    <s v="Sénégal"/>
  </r>
  <r>
    <x v="202"/>
    <s v="Validé"/>
    <x v="90"/>
    <d v="1899-12-30T13:37:52"/>
    <s v="Khadim FALL"/>
    <s v="ksmikhadim@gmail.com"/>
    <s v="Fournisseurs et Prestataires locaux"/>
    <s v="Sénégal"/>
  </r>
  <r>
    <x v="203"/>
    <s v="Validé"/>
    <x v="91"/>
    <d v="1899-12-30T10:22:01"/>
    <s v="Erick DERAMBURE"/>
    <s v="de.erick99@gmail.com"/>
    <s v="Fournisseurs et Prestataires de droit sénégalais"/>
    <s v="Sénégal"/>
  </r>
  <r>
    <x v="204"/>
    <s v="Validé"/>
    <x v="92"/>
    <d v="1899-12-30T16:32:44"/>
    <s v="Doro  NIANG "/>
    <s v="montsnimbasenegal@gmail.com"/>
    <s v="Fournisseurs et Prestataires locaux"/>
    <s v="Sénégal"/>
  </r>
  <r>
    <x v="205"/>
    <s v="Validé"/>
    <x v="93"/>
    <d v="1899-12-30T14:37:34"/>
    <s v="DAME KANE"/>
    <s v="kanedame2277@gmail.com"/>
    <s v="Fournisseurs et Prestataires locaux"/>
    <s v="Sénégal"/>
  </r>
  <r>
    <x v="206"/>
    <s v="Validé"/>
    <x v="93"/>
    <d v="1899-12-30T12:40:30"/>
    <s v="PAPA YORO DIALLO"/>
    <s v="codipres@yahoo.fr"/>
    <s v="Fournisseurs et Prestataires locaux"/>
    <s v="Sénégal"/>
  </r>
  <r>
    <x v="207"/>
    <s v="Validé"/>
    <x v="93"/>
    <d v="1899-12-30T00:52:21"/>
    <s v="Chérif DIOP"/>
    <s v="carrefourcd@gmail.com"/>
    <s v="Fournisseurs et Prestataires locaux"/>
    <s v="Sénégal"/>
  </r>
  <r>
    <x v="208"/>
    <s v="Validé"/>
    <x v="94"/>
    <d v="1899-12-30T09:46:33"/>
    <s v="Ousmane BA"/>
    <s v="ousmane.ba@aag.sn"/>
    <s v="Fournisseurs et Prestataires locaux"/>
    <s v="Sénégal"/>
  </r>
  <r>
    <x v="209"/>
    <s v="Validé"/>
    <x v="95"/>
    <d v="1899-12-30T13:22:44"/>
    <s v="Thierry Favre"/>
    <s v="jsuaud@haladjian.com"/>
    <s v="Fournisseurs et Prestataires de droit sénégalais"/>
    <s v="Sénégal"/>
  </r>
  <r>
    <x v="210"/>
    <s v="Validé"/>
    <x v="95"/>
    <d v="1899-12-30T07:48:18"/>
    <s v="LAURA MENDEZ"/>
    <s v="tuyauterie.et.foragesmendez@gmail.com"/>
    <s v="Fournisseurs et Prestataires de droit sénégalais"/>
    <s v="Sénégal"/>
  </r>
  <r>
    <x v="211"/>
    <s v="Validé"/>
    <x v="95"/>
    <d v="1899-12-30T09:18:17"/>
    <s v="DJIBRIL BOYE"/>
    <s v="djibril.boye@senegindia.com"/>
    <s v="Sociétés minières ou Cimenteries"/>
    <s v="Sénégal"/>
  </r>
  <r>
    <x v="212"/>
    <s v="Validé"/>
    <x v="96"/>
    <d v="1899-12-30T20:12:40"/>
    <s v="Oumar  Ba "/>
    <s v="distributiontechpro4@gmail.com"/>
    <s v="Fournisseurs et Prestataires locaux"/>
    <s v="Sénégal"/>
  </r>
  <r>
    <x v="213"/>
    <s v="Validé"/>
    <x v="97"/>
    <d v="1899-12-30T11:55:20"/>
    <s v="ROKHAYA DIOP"/>
    <s v="rdiop@socabeg.sn"/>
    <s v="Entreprises avec permis de recherche"/>
    <s v="Sénégal"/>
  </r>
  <r>
    <x v="214"/>
    <s v="Validé"/>
    <x v="98"/>
    <d v="1899-12-30T10:37:21"/>
    <s v="SAMBA NDIAYE"/>
    <s v="beyty11@gmail.com"/>
    <s v="Fournisseurs et Prestataires locaux"/>
    <s v="Sénégal"/>
  </r>
  <r>
    <x v="215"/>
    <s v="Validé"/>
    <x v="99"/>
    <d v="1899-12-30T10:34:24"/>
    <s v="Penda Gaye"/>
    <s v="penda.gaye@opusbuyer.com"/>
    <s v="Fournisseurs et Prestataires locaux"/>
    <s v="Sénégal"/>
  </r>
  <r>
    <x v="216"/>
    <s v="Validé"/>
    <x v="99"/>
    <d v="1899-12-30T14:44:08"/>
    <s v="Mady DANFAKHA"/>
    <s v="danfakhakabamady@gmail.com"/>
    <s v="Fournisseurs et Prestataires locaux"/>
    <s v="Sénégal"/>
  </r>
  <r>
    <x v="217"/>
    <s v="Validé"/>
    <x v="100"/>
    <d v="1899-12-30T13:10:45"/>
    <s v="BRA MBAYE"/>
    <s v="saredica@saredica.com"/>
    <s v="Fournisseurs et Prestataires locaux"/>
    <s v="Sénégal"/>
  </r>
  <r>
    <x v="218"/>
    <s v="Validé"/>
    <x v="101"/>
    <d v="1899-12-30T14:44:01"/>
    <s v="Djeri Celin NGABERE"/>
    <s v="gerant@otto-bi.com"/>
    <s v="Fournisseurs et Prestataires locaux"/>
    <s v="Sénégal"/>
  </r>
  <r>
    <x v="219"/>
    <s v="Validé"/>
    <x v="102"/>
    <d v="1899-12-30T21:05:11"/>
    <s v="Ille Nelson SIBI"/>
    <s v="ille.sibi@docteursett.com"/>
    <s v="Fournisseurs et Prestataires locaux"/>
    <s v="Sénégal"/>
  </r>
  <r>
    <x v="220"/>
    <s v="Validé"/>
    <x v="103"/>
    <d v="1899-12-30T23:54:40"/>
    <s v="Samba Ndiobène KA"/>
    <s v="pdg_acg@acgroup.sn"/>
    <s v="Fournisseurs et Prestataires locaux"/>
    <s v="Sénégal"/>
  </r>
  <r>
    <x v="221"/>
    <s v="Validé"/>
    <x v="104"/>
    <d v="1899-12-30T16:20:50"/>
    <s v="Malick SARR"/>
    <s v="malick.sarr@techspares.fr"/>
    <s v="Fournisseurs et Prestataires locaux"/>
    <s v="Sénégal"/>
  </r>
  <r>
    <x v="222"/>
    <s v="Validé"/>
    <x v="105"/>
    <d v="1899-12-30T08:47:14"/>
    <s v="LOGISTICS ACC"/>
    <s v="p.niang@acc-logistics.net"/>
    <s v="Fournisseurs et Prestataires locaux"/>
    <s v="Sénégal"/>
  </r>
  <r>
    <x v="223"/>
    <s v="Validé"/>
    <x v="105"/>
    <d v="1899-12-30T10:31:21"/>
    <s v="Abdoulaye DIALLO"/>
    <s v="abdoulaye.diallo@corica.com"/>
    <s v="Sous-traitants"/>
    <s v="Sénégal"/>
  </r>
  <r>
    <x v="224"/>
    <s v="Validé"/>
    <x v="106"/>
    <d v="1899-12-30T12:11:37"/>
    <s v="Omar Diouf"/>
    <s v="globalphysio221@gmail.com"/>
    <s v="Fournisseurs et Prestataires locaux"/>
    <s v="Sénégal"/>
  </r>
  <r>
    <x v="225"/>
    <s v="Validé"/>
    <x v="106"/>
    <d v="1899-12-30T17:26:50"/>
    <s v="Bara Nguirane"/>
    <s v="nguirane@gmail.com"/>
    <s v="Fournisseurs et Prestataires locaux"/>
    <s v="Sénégal"/>
  </r>
  <r>
    <x v="226"/>
    <s v="Validé"/>
    <x v="106"/>
    <d v="1899-12-30T20:05:57"/>
    <s v="Sadek Tarraf"/>
    <s v="info@sendrillrocktools.com"/>
    <s v="Fournisseurs et Prestataires locaux"/>
    <s v="Sénégal"/>
  </r>
  <r>
    <x v="227"/>
    <s v="Validé"/>
    <x v="107"/>
    <d v="1899-12-30T18:54:19"/>
    <s v="Abdou mamadou diarra ndiaye"/>
    <s v="sokoyoabdou@gmail.com"/>
    <s v="Fournisseurs et prestataires locaux (GPF ou GIE)"/>
    <s v="Sénégal"/>
  </r>
  <r>
    <x v="228"/>
    <s v="Validé"/>
    <x v="107"/>
    <d v="1899-12-30T10:12:38"/>
    <s v="Mamadou Fadel  Mbaye "/>
    <s v="camamatmed@gmail.com"/>
    <s v="Fournisseurs et Prestataires locaux"/>
    <s v="Sénégal"/>
  </r>
  <r>
    <x v="229"/>
    <s v="Validé"/>
    <x v="108"/>
    <d v="1899-12-30T17:43:40"/>
    <s v="Abdoulaye Déguessi MAKANGUILE"/>
    <s v="amakanguile@cactusmining.com"/>
    <s v="Fournisseurs et Prestataires locaux"/>
    <s v="Sénégal"/>
  </r>
  <r>
    <x v="230"/>
    <s v="Validé"/>
    <x v="108"/>
    <d v="1899-12-30T13:11:33"/>
    <s v="Jonas Kangny"/>
    <s v="jonaskangny@gmail.com"/>
    <s v="Fournisseurs et Prestataires locaux"/>
    <s v="Sénégal"/>
  </r>
  <r>
    <x v="231"/>
    <s v="Validé"/>
    <x v="108"/>
    <d v="1899-12-30T12:38:01"/>
    <s v="Paul Marie Jacques Daniel NGOM"/>
    <s v="paulngom48@gmail.com"/>
    <s v="Fournisseurs et Prestataires locaux"/>
    <s v="Sénégal"/>
  </r>
  <r>
    <x v="232"/>
    <s v="Validé"/>
    <x v="109"/>
    <d v="1899-12-30T18:10:42"/>
    <s v="papa Laye Sene"/>
    <s v="abdoulayeseresene@gmail.com"/>
    <s v="Fournisseurs et Prestataires locaux"/>
    <s v="Sénégal"/>
  </r>
  <r>
    <x v="233"/>
    <s v="Validé"/>
    <x v="110"/>
    <d v="1899-12-30T19:22:43"/>
    <s v="Sambe Mbaye"/>
    <s v="rtdkstructure@gmail.com"/>
    <s v="Fournisseurs et Prestataires locaux"/>
    <s v="Sénégal"/>
  </r>
  <r>
    <x v="234"/>
    <s v="Validé"/>
    <x v="111"/>
    <d v="1899-12-30T19:37:27"/>
    <s v="AISSATOU DIOP"/>
    <s v="otew@otew.sn"/>
    <s v="Fournisseurs et Prestataires locaux"/>
    <s v="Sénégal"/>
  </r>
  <r>
    <x v="235"/>
    <s v="Validé"/>
    <x v="111"/>
    <d v="1899-12-30T14:01:41"/>
    <s v="SOCE FAYE"/>
    <s v="soce@hydro-industrie.com"/>
    <s v="Fournisseurs et Prestataires locaux"/>
    <s v="France"/>
  </r>
  <r>
    <x v="236"/>
    <s v="Validé"/>
    <x v="111"/>
    <d v="1899-12-30T13:54:44"/>
    <s v="Mame Bousso  Fall"/>
    <s v="falldiara@hotmail.com"/>
    <s v="Fournisseurs et Prestataires locaux"/>
    <s v="Sénégal"/>
  </r>
  <r>
    <x v="237"/>
    <s v="Validé"/>
    <x v="111"/>
    <d v="1899-12-30T18:09:48"/>
    <s v="Diop Abdoulaye"/>
    <s v="abdou.diop@ertex.sn"/>
    <s v="Fournisseurs et Prestataires locaux"/>
    <s v="Sénégal"/>
  </r>
  <r>
    <x v="238"/>
    <s v="Validé"/>
    <x v="111"/>
    <d v="1899-12-30T17:05:07"/>
    <s v="Abdoulaye Ba"/>
    <s v="odim.senegal@gmail.com"/>
    <s v="Fournisseurs et Prestataires locaux"/>
    <s v="Sénégal"/>
  </r>
  <r>
    <x v="239"/>
    <s v="Validé"/>
    <x v="112"/>
    <d v="1899-12-30T14:24:32"/>
    <s v="Patrick MAILLET"/>
    <s v="patrick.maillet@groupe-cfid.com"/>
    <s v="Fournisseurs et Prestataires locaux"/>
    <s v="Sénégal"/>
  </r>
  <r>
    <x v="240"/>
    <s v="Validé"/>
    <x v="112"/>
    <d v="1899-12-30T13:12:01"/>
    <s v="MAIMOUNA GUEYE MBAYE"/>
    <s v="efor.commercial@efor.sn"/>
    <s v="Fournisseurs et Prestataires locaux"/>
    <s v="Sénégal"/>
  </r>
  <r>
    <x v="241"/>
    <s v="Validé"/>
    <x v="112"/>
    <d v="1899-12-30T16:11:00"/>
    <s v="Papa Madiop NDIAYE"/>
    <s v="enec.entreprise@gmail.com"/>
    <s v="Fournisseurs et Prestataires locaux"/>
    <s v="Sénégal"/>
  </r>
  <r>
    <x v="242"/>
    <s v="Validé"/>
    <x v="112"/>
    <d v="1899-12-30T01:12:59"/>
    <s v="Amadou SOW"/>
    <s v="amadou@bayeconnect.com"/>
    <s v="Fournisseurs et Prestataires locaux"/>
    <s v="Sénégal"/>
  </r>
  <r>
    <x v="243"/>
    <s v="Validé"/>
    <x v="112"/>
    <d v="1899-12-30T09:37:53"/>
    <s v="DIENG IBRA"/>
    <s v="dibra3317@gmail.com"/>
    <s v="Fournisseurs et Prestataires locaux"/>
    <s v="Sénégal"/>
  </r>
  <r>
    <x v="244"/>
    <s v="Validé"/>
    <x v="113"/>
    <d v="1899-12-30T12:15:10"/>
    <s v="ELEMETAL ME"/>
    <s v="debtors@primaindustrial.co"/>
    <s v="Fournisseurs et Prestataires étrangers"/>
    <s v="Afrique du Sud"/>
  </r>
  <r>
    <x v="245"/>
    <s v="Validé"/>
    <x v="113"/>
    <d v="1899-12-30T15:50:38"/>
    <s v="Ibrahima BA"/>
    <s v="ibatechnologie@gmail.com"/>
    <s v="Fournisseurs et Prestataires locaux"/>
    <s v="Sénégal"/>
  </r>
  <r>
    <x v="246"/>
    <s v="Validé"/>
    <x v="113"/>
    <d v="1899-12-30T16:19:18"/>
    <s v="Ousmane Diallo"/>
    <s v="eauclairesenegal@gmail.com"/>
    <s v="Fournisseurs et Prestataires locaux"/>
    <s v="Sénégal"/>
  </r>
  <r>
    <x v="247"/>
    <s v="Validé"/>
    <x v="113"/>
    <d v="1899-12-30T17:14:39"/>
    <s v="Dame Ndiaye SENE"/>
    <s v="dame.sene@eiffage.com"/>
    <s v="Sous-traitants"/>
    <s v="Sénégal"/>
  </r>
  <r>
    <x v="248"/>
    <s v="Validé"/>
    <x v="113"/>
    <d v="1899-12-30T11:54:44"/>
    <s v="Laity DIOUF"/>
    <s v="sdf.laity@gmail.com"/>
    <s v="Fournisseurs et Prestataires locaux"/>
    <s v="Sénégal"/>
  </r>
  <r>
    <x v="249"/>
    <s v="Validé"/>
    <x v="114"/>
    <d v="1899-12-30T13:33:40"/>
    <s v="Danfakha Tamba "/>
    <s v="tdanfakha09@gmail.com"/>
    <s v="Fournisseurs et Prestataires locaux"/>
    <s v="Sénégal"/>
  </r>
  <r>
    <x v="250"/>
    <s v="Validé"/>
    <x v="114"/>
    <d v="1899-12-30T17:03:24"/>
    <s v="Laissa Diallo Ndiaye"/>
    <s v="ecko@ecko.sn"/>
    <s v="Fournisseurs et Prestataires locaux"/>
    <s v="Sénégal"/>
  </r>
  <r>
    <x v="251"/>
    <s v="Validé"/>
    <x v="114"/>
    <d v="1899-12-30T16:33:44"/>
    <s v="ABDOU KANE"/>
    <s v="administration@batinov.sn"/>
    <s v="Fournisseurs et Prestataires locaux"/>
    <s v="Sénégal"/>
  </r>
  <r>
    <x v="252"/>
    <s v="Validé"/>
    <x v="115"/>
    <d v="1899-12-30T11:06:45"/>
    <s v="Oumar Toguyeni"/>
    <s v="otoguyeni@outlook.com"/>
    <s v="Fournisseurs et Prestataires locaux"/>
    <s v="Sénégal"/>
  </r>
  <r>
    <x v="253"/>
    <s v="Validé"/>
    <x v="115"/>
    <d v="1899-12-30T14:47:42"/>
    <s v="Pierre DIONE"/>
    <s v="pierre.dione@digitalelectronicsn.com"/>
    <s v="Fournisseurs et Prestataires locaux"/>
    <s v="Sénégal"/>
  </r>
  <r>
    <x v="254"/>
    <s v="Validé"/>
    <x v="115"/>
    <d v="1899-12-30T14:00:03"/>
    <s v="Mamadou DIA"/>
    <s v="senlevage@gmail.com"/>
    <s v="Fournisseurs et Prestataires locaux"/>
    <s v="Sénégal"/>
  </r>
  <r>
    <x v="255"/>
    <s v="Validé"/>
    <x v="115"/>
    <d v="1899-12-30T08:03:11"/>
    <s v="Hamidou Oumar SOW"/>
    <s v="hamidou.sow@petowal.com"/>
    <s v="Entreprises avec permis de recherche"/>
    <s v="Sénégal"/>
  </r>
  <r>
    <x v="256"/>
    <s v="Validé"/>
    <x v="116"/>
    <d v="1899-12-30T15:14:59"/>
    <s v="Amadou  DIALLO"/>
    <s v="amadou.diallo@sahe.sn"/>
    <s v="Fournisseurs et Prestataires locaux"/>
    <s v="Sénégal"/>
  </r>
  <r>
    <x v="257"/>
    <s v="Validé"/>
    <x v="117"/>
    <d v="1899-12-30T16:25:54"/>
    <s v="Diop Mamadou"/>
    <s v="servicecommercial@rentall-sn.com"/>
    <s v="Fournisseurs et Prestataires locaux"/>
    <s v="Sénégal"/>
  </r>
  <r>
    <x v="258"/>
    <s v="Validé"/>
    <x v="117"/>
    <d v="1899-12-30T12:36:21"/>
    <s v="Massamba Diouf"/>
    <s v="massdioufpro@gmail.com"/>
    <s v="Fournisseurs et Prestataires locaux"/>
    <s v="Sénégal"/>
  </r>
  <r>
    <x v="259"/>
    <s v="Validé"/>
    <x v="117"/>
    <d v="1899-12-30T10:06:47"/>
    <s v="Issa Bourgi"/>
    <s v="bourgiissa@gmail.com"/>
    <s v="Fournisseurs et Prestataires locaux"/>
    <s v="Sénégal"/>
  </r>
  <r>
    <x v="260"/>
    <s v="Validé"/>
    <x v="118"/>
    <d v="1899-12-30T13:51:03"/>
    <s v="Khary baba  FALL"/>
    <s v="kharyb.fall@saer-emploi.com"/>
    <s v="Fournisseurs et Prestataires de droit sénégalais"/>
    <s v="Sénégal"/>
  </r>
  <r>
    <x v="261"/>
    <s v="Validé"/>
    <x v="119"/>
    <d v="1899-12-30T08:34:31"/>
    <s v="ARNAUD PEY"/>
    <s v="pey@foraco.com"/>
    <s v="Fournisseurs et Prestataires de droit sénégalais"/>
    <s v="Sénégal"/>
  </r>
  <r>
    <x v="262"/>
    <s v="Validé"/>
    <x v="119"/>
    <d v="1899-12-30T16:38:01"/>
    <s v="Youssouf ADAMOU HAROUNA"/>
    <s v="y.harouna@erathot.com"/>
    <s v="Fournisseurs et Prestataires de droit sénégalais"/>
    <s v="Sénégal"/>
  </r>
  <r>
    <x v="263"/>
    <s v="Validé"/>
    <x v="119"/>
    <d v="1899-12-30T15:56:11"/>
    <s v="Mady Soumare "/>
    <s v="soumaretransportimmobilier@gmail.com"/>
    <s v="Fournisseurs et prestataires locaux (GPF ou GIE)"/>
    <s v="Sénégal"/>
  </r>
  <r>
    <x v="264"/>
    <s v="Validé"/>
    <x v="120"/>
    <d v="1899-12-30T10:13:48"/>
    <s v="Cheikh Abdoul Khadre Diakhaté"/>
    <s v="khadre67@yahoo.fr"/>
    <s v="Fournisseurs et prestataires locaux (GPF ou GIE)"/>
    <s v="Sénégal"/>
  </r>
  <r>
    <x v="265"/>
    <s v="Validé"/>
    <x v="121"/>
    <d v="1899-12-30T08:44:16"/>
    <s v="Laurent Gaba"/>
    <s v="gabalaurent@gmail.com"/>
    <s v="Sous-traitants"/>
    <s v="Sénégal"/>
  </r>
  <r>
    <x v="266"/>
    <s v="Validé"/>
    <x v="122"/>
    <d v="1899-12-30T12:06:56"/>
    <s v="Karim  Fall"/>
    <s v="kamaftransports@gmail.com"/>
    <s v="Fournisseurs et Prestataires locaux"/>
    <s v="Sénégal"/>
  </r>
  <r>
    <x v="267"/>
    <s v="Validé"/>
    <x v="122"/>
    <d v="1899-12-30T17:36:10"/>
    <s v="PAPE ABLAYE ALWANE  KHOUSSA "/>
    <s v="giecomet@gmail.com"/>
    <s v="Fournisseurs et prestataires locaux (GPF ou GIE)"/>
    <s v="Sénégal"/>
  </r>
  <r>
    <x v="268"/>
    <s v="Validé"/>
    <x v="122"/>
    <d v="1899-12-30T13:36:24"/>
    <s v="Victor Louis DIOP DIOP"/>
    <s v="victor.diop@equilogsn.com"/>
    <s v="Fournisseurs et Prestataires locaux"/>
    <s v="Sénégal"/>
  </r>
  <r>
    <x v="269"/>
    <s v="Validé"/>
    <x v="123"/>
    <d v="1899-12-30T20:36:16"/>
    <s v="Saliou Wade"/>
    <s v="infos@sitmel.com"/>
    <s v="Fournisseurs et Prestataires locaux"/>
    <s v="Sénégal"/>
  </r>
  <r>
    <x v="270"/>
    <s v="Validé"/>
    <x v="123"/>
    <d v="1899-12-30T13:21:11"/>
    <s v="Abdoulaye Thiam"/>
    <s v="thiamabdoulaye1000@gmail.com"/>
    <s v="Fournisseurs et Prestataires locaux"/>
    <s v="Sénégal"/>
  </r>
  <r>
    <x v="271"/>
    <s v="Validé"/>
    <x v="124"/>
    <d v="1899-12-30T15:56:16"/>
    <s v="MATTHIEU BISCAINO"/>
    <s v="mb@fai.fr"/>
    <s v="Fournisseurs et Prestataires étrangers"/>
    <s v="France"/>
  </r>
  <r>
    <x v="272"/>
    <s v="Validé"/>
    <x v="124"/>
    <d v="1899-12-30T09:59:17"/>
    <s v="WANE Momar GAYE"/>
    <s v="rioconstruction2025@gmail.com"/>
    <s v="Fournisseurs et Prestataires locaux"/>
    <s v="Sénégal"/>
  </r>
  <r>
    <x v="273"/>
    <s v="Validé"/>
    <x v="124"/>
    <d v="1899-12-30T17:03:26"/>
    <s v="Serigne Dieng"/>
    <s v="cordiordieng@hotmail.com"/>
    <s v="Fournisseurs et Prestataires locaux"/>
    <s v="Sénégal"/>
  </r>
  <r>
    <x v="274"/>
    <s v="Validé"/>
    <x v="125"/>
    <d v="1899-12-30T13:29:06"/>
    <s v="sada dia"/>
    <s v="sada.dia@cbi.sn"/>
    <s v="Fournisseurs et Prestataires de droit sénégalais"/>
    <s v="Sénégal"/>
  </r>
  <r>
    <x v="275"/>
    <s v="Validé"/>
    <x v="125"/>
    <d v="1899-12-30T11:17:20"/>
    <s v="Ndeye Ndoumbe COULIBALY"/>
    <s v="ndndoumb@gmail.com"/>
    <s v="Sociétés minières ou Cimenteries"/>
    <s v="Sénégal"/>
  </r>
  <r>
    <x v="276"/>
    <s v="Validé"/>
    <x v="126"/>
    <d v="1899-12-30T19:26:41"/>
    <s v="Khady GUEYE"/>
    <s v="khady.gueye@mining-technologie.com"/>
    <s v="Fournisseurs et Prestataires locaux"/>
    <s v="Sénégal"/>
  </r>
  <r>
    <x v="277"/>
    <s v="Validé"/>
    <x v="126"/>
    <d v="1899-12-30T15:29:03"/>
    <s v="Tony CISSE"/>
    <s v="info@ges-company.com"/>
    <s v="Fournisseurs et Prestataires locaux"/>
    <s v="Sénégal"/>
  </r>
  <r>
    <x v="278"/>
    <s v="Validé"/>
    <x v="126"/>
    <d v="1899-12-30T11:15:24"/>
    <s v="Salikhou  SAMBE"/>
    <s v="zal66@yahoo.fr"/>
    <s v="Fournisseurs et Prestataires locaux"/>
    <s v="Sénégal"/>
  </r>
  <r>
    <x v="279"/>
    <s v="Validé"/>
    <x v="127"/>
    <d v="1899-12-30T13:40:22"/>
    <s v="alex beda"/>
    <s v="juridique@manutentionservices.com"/>
    <s v="Fournisseurs et Prestataires de droit sénégalais"/>
    <s v="Sénégal"/>
  </r>
  <r>
    <x v="280"/>
    <s v="Validé"/>
    <x v="127"/>
    <d v="1899-12-30T10:53:14"/>
    <s v="Papa Gora BA"/>
    <s v="papa-gora.ba@baconsultance.com"/>
    <s v="Fournisseurs et Prestataires locaux"/>
    <s v="Sénégal"/>
  </r>
  <r>
    <x v="281"/>
    <s v="Validé"/>
    <x v="128"/>
    <d v="1899-12-30T22:59:47"/>
    <s v="BASSIROU DIOP"/>
    <s v="toubadaroukhoudosswst@gmail.com"/>
    <s v="Fournisseurs et Prestataires locaux"/>
    <s v="Sénégal"/>
  </r>
  <r>
    <x v="282"/>
    <s v="Validé"/>
    <x v="129"/>
    <d v="1899-12-30T11:52:17"/>
    <s v="MAMADOU NDAO"/>
    <s v="gedimex@orange.sn"/>
    <s v="Fournisseurs et Prestataires locaux"/>
    <s v="Sénégal"/>
  </r>
  <r>
    <x v="283"/>
    <s v="Validé"/>
    <x v="130"/>
    <d v="1899-12-30T12:50:37"/>
    <s v="NDÈYE KHADY SY"/>
    <s v="didi.mb74@gmail.com"/>
    <s v="Fournisseurs et Prestataires locaux"/>
    <s v="Sénégal"/>
  </r>
  <r>
    <x v="284"/>
    <s v="Validé"/>
    <x v="131"/>
    <d v="1899-12-30T10:06:31"/>
    <s v="Bineta SENE"/>
    <s v="info@beablondin-agency.com"/>
    <s v="Fournisseurs et Prestataires locaux"/>
    <s v="Sénégal"/>
  </r>
  <r>
    <x v="285"/>
    <s v="Validé"/>
    <x v="131"/>
    <d v="1899-12-30T17:13:13"/>
    <s v="MARIEME AMITH FALL"/>
    <s v="amith.fall@milos-group.com"/>
    <s v="Fournisseurs et Prestataires locaux"/>
    <s v="Sénégal"/>
  </r>
  <r>
    <x v="286"/>
    <s v="Validé"/>
    <x v="131"/>
    <d v="1899-12-30T10:27:03"/>
    <s v="RACHID DOUMBOUYA"/>
    <s v="abdou.rasheed@yahoo.com"/>
    <s v="Fournisseurs et Prestataires étrangers"/>
    <s v="Afrique du Sud"/>
  </r>
  <r>
    <x v="287"/>
    <s v="Validé"/>
    <x v="131"/>
    <d v="1899-12-30T14:03:25"/>
    <s v="Amath Dior Mbaye"/>
    <s v="amathdiormbaye@gmail.com"/>
    <s v="Fournisseurs et Prestataires locaux"/>
    <s v="Sénégal"/>
  </r>
  <r>
    <x v="288"/>
    <s v="Validé"/>
    <x v="132"/>
    <d v="1899-12-30T08:52:02"/>
    <s v="Guillaume t'Serstevens"/>
    <s v="gmc@dimexco.be"/>
    <s v="Fournisseurs et Prestataires de droit sénégalais"/>
    <s v="Sénégal"/>
  </r>
  <r>
    <x v="289"/>
    <s v="Validé"/>
    <x v="132"/>
    <d v="1899-12-30T20:59:52"/>
    <s v="Moussa Sall NDIAYE"/>
    <s v="msntravequipresta@gmail.com"/>
    <s v="Fournisseurs et Prestataires locaux"/>
    <s v="Sénégal"/>
  </r>
  <r>
    <x v="290"/>
    <s v="Validé"/>
    <x v="132"/>
    <d v="1899-12-30T11:51:55"/>
    <s v="Assane FAYE"/>
    <s v="sahel@sahelsecurity.com"/>
    <s v="Fournisseurs et Prestataires locaux"/>
    <s v="Sénégal"/>
  </r>
  <r>
    <x v="291"/>
    <s v="Validé"/>
    <x v="133"/>
    <d v="1899-12-30T19:10:59"/>
    <s v="Soudatou Sow"/>
    <s v="soudatou@gmail.com"/>
    <s v="Fournisseurs et Prestataires de droit sénégalais"/>
    <s v="Sénégal"/>
  </r>
  <r>
    <x v="292"/>
    <s v="Validé"/>
    <x v="134"/>
    <d v="1899-12-30T13:22:57"/>
    <s v="MOHAMADOU MBAYE"/>
    <s v="mlmbaye@sentekservices.com"/>
    <s v="Fournisseurs et Prestataires locaux"/>
    <s v="Sénégal"/>
  </r>
  <r>
    <x v="293"/>
    <s v="Validé"/>
    <x v="135"/>
    <d v="1899-12-30T13:10:57"/>
    <s v="MOHAMED JARKAS"/>
    <s v="direction@automeca.sn"/>
    <s v="Fournisseurs et Prestataires locaux"/>
    <s v="Sénégal"/>
  </r>
  <r>
    <x v="294"/>
    <s v="Validé"/>
    <x v="135"/>
    <d v="1899-12-30T14:35:06"/>
    <s v="Abdou Khadre DIOP"/>
    <s v="abdou.diop@dieylani.com"/>
    <s v="Fournisseurs et Prestataires locaux"/>
    <s v="Sénégal"/>
  </r>
  <r>
    <x v="295"/>
    <s v="Validé"/>
    <x v="135"/>
    <d v="1899-12-30T11:25:25"/>
    <s v="Mbacke Seck"/>
    <s v="seckmbacke507@gmail.com"/>
    <s v="Fournisseurs et prestataires locaux (GPF ou GIE)"/>
    <s v="Sénégal"/>
  </r>
  <r>
    <x v="296"/>
    <s v="Validé"/>
    <x v="135"/>
    <d v="1899-12-30T10:23:17"/>
    <s v="Amadou Wilfried Hashime SANON"/>
    <s v="swilfried@sacoten.com"/>
    <s v="Fournisseurs et Prestataires de droit sénégalais"/>
    <s v="Sénégal"/>
  </r>
  <r>
    <x v="297"/>
    <s v="Validé"/>
    <x v="135"/>
    <d v="1899-12-30T15:20:15"/>
    <s v="Assane Sy"/>
    <s v="assane.sy@talixmangroup.com"/>
    <s v="Fournisseurs et Prestataires locaux"/>
    <s v="Sénégal"/>
  </r>
  <r>
    <x v="298"/>
    <s v="Validé"/>
    <x v="136"/>
    <d v="1899-12-30T09:12:16"/>
    <s v="ELHADJI MAYORO SAWARE"/>
    <s v="elhadjimayorosaware@gmail.com"/>
    <s v="Fournisseurs et Prestataires locaux"/>
    <s v="Sénégal"/>
  </r>
  <r>
    <x v="299"/>
    <s v="Validé"/>
    <x v="137"/>
    <d v="1899-12-30T16:42:25"/>
    <s v="Cpex ElitGroup"/>
    <s v="ndeye.dieumbe@cpex-mining.com"/>
    <s v="Fournisseurs et Prestataires locaux"/>
    <s v="Sénégal"/>
  </r>
  <r>
    <x v="300"/>
    <s v="Validé"/>
    <x v="138"/>
    <d v="1899-12-30T14:54:35"/>
    <s v="Aminata KOUNTA"/>
    <s v="aminata.kounta@orange-sonatel.com"/>
    <s v="Fournisseurs et Prestataires de droit sénégalais"/>
    <s v="Sénégal"/>
  </r>
  <r>
    <x v="301"/>
    <s v="Validé"/>
    <x v="139"/>
    <d v="1899-12-30T16:13:15"/>
    <s v="Alioune Sene"/>
    <s v="contact@heavycranetrucks.com"/>
    <s v="Fournisseurs et Prestataires locaux"/>
    <s v="Sénégal"/>
  </r>
  <r>
    <x v="302"/>
    <s v="Validé"/>
    <x v="140"/>
    <d v="1899-12-30T16:47:46"/>
    <s v="AHMADOU BAMBA SENE"/>
    <s v="diarra.bs.diop@sahelgaz.com"/>
    <s v="Fournisseurs et Prestataires locaux"/>
    <s v="Sénégal"/>
  </r>
  <r>
    <x v="303"/>
    <s v="Validé"/>
    <x v="141"/>
    <d v="1899-12-30T19:16:27"/>
    <s v="Elhadji yelly  MARIKO"/>
    <s v="axineo.construction@gmail.com"/>
    <s v="Fournisseurs et Prestataires locaux"/>
    <s v="Sénégal"/>
  </r>
  <r>
    <x v="304"/>
    <s v="Validé"/>
    <x v="142"/>
    <d v="1899-12-30T16:51:37"/>
    <s v="Mamadou GAYE"/>
    <s v="mgaye@groupecse.com"/>
    <s v="Fournisseurs et Prestataires de droit sénégalais"/>
    <s v="Sénégal"/>
  </r>
  <r>
    <x v="305"/>
    <s v="Validé"/>
    <x v="142"/>
    <d v="1899-12-30T17:46:32"/>
    <s v="Jean-Baptitste Ciss"/>
    <s v="samoriprotectionprivee@gmail.com"/>
    <s v="Fournisseurs et Prestataires locaux"/>
    <s v="Sénégal"/>
  </r>
  <r>
    <x v="306"/>
    <s v="Validé"/>
    <x v="142"/>
    <d v="1899-12-30T17:33:36"/>
    <s v="Abdoulaye DIOP"/>
    <s v="abdoulaye.diop@scis-sn.com"/>
    <s v="Fournisseurs et Prestataires locaux"/>
    <s v="Sénégal"/>
  </r>
  <r>
    <x v="307"/>
    <s v="Validé"/>
    <x v="142"/>
    <d v="1899-12-30T13:18:03"/>
    <s v="NDEYE FAMA DIONGUE"/>
    <s v="ets_maleye@yahoo.fr"/>
    <s v="Fournisseurs et Prestataires locaux"/>
    <s v="Sénégal"/>
  </r>
  <r>
    <x v="308"/>
    <s v="Validé"/>
    <x v="142"/>
    <d v="1899-12-30T10:29:03"/>
    <s v="Gabriella Rafidy"/>
    <s v="joumana.yahya@cassisequipements.com"/>
    <s v="Fournisseurs et Prestataires locaux"/>
    <s v="Sénégal"/>
  </r>
  <r>
    <x v="309"/>
    <s v="Validé"/>
    <x v="143"/>
    <d v="1899-12-30T12:28:55"/>
    <s v="LAMINE DIEDHIOU"/>
    <s v="lamine.globalai@gmail.com"/>
    <s v="Sous-traitants"/>
    <s v="Sénégal"/>
  </r>
  <r>
    <x v="310"/>
    <s v="Validé"/>
    <x v="143"/>
    <d v="1899-12-30T21:32:36"/>
    <s v="Saer DIOP"/>
    <s v="saerdiop75@gmail.com"/>
    <s v="Fournisseurs et Prestataires locaux"/>
    <s v="Sénégal"/>
  </r>
  <r>
    <x v="311"/>
    <s v="Validé"/>
    <x v="144"/>
    <d v="1899-12-30T15:26:49"/>
    <s v="Papa Sana Camara"/>
    <s v="papasanacamara@gmail.com"/>
    <s v="Fournisseurs et Prestataires de droit sénégalais"/>
    <s v="Sénégal"/>
  </r>
  <r>
    <x v="312"/>
    <s v="Validé"/>
    <x v="144"/>
    <d v="1899-12-30T23:55:04"/>
    <s v="Bangaly Danfakha"/>
    <s v="bangalydanfakha2015@gmail.com"/>
    <s v="Fournisseurs et prestataires locaux (GPF ou GIE)"/>
    <s v="Sénégal"/>
  </r>
  <r>
    <x v="313"/>
    <s v="Validé"/>
    <x v="145"/>
    <d v="1899-12-30T15:39:47"/>
    <s v="Hane Maki"/>
    <s v="maki@mpssn.com"/>
    <s v="Fournisseurs et Prestataires locaux"/>
    <s v="Sénégal"/>
  </r>
  <r>
    <x v="314"/>
    <s v="Validé"/>
    <x v="145"/>
    <d v="1899-12-30T07:31:38"/>
    <s v="Awa BADIANE"/>
    <s v="abadiane@samahotels.com"/>
    <s v="Fournisseurs et Prestataires locaux"/>
    <s v="Sénégal"/>
  </r>
  <r>
    <x v="315"/>
    <s v="Validé"/>
    <x v="146"/>
    <d v="1899-12-30T10:54:27"/>
    <s v="AWA SEYE"/>
    <s v="seyeawa662@gmail.com"/>
    <s v="Fournisseurs et Prestataires locaux"/>
    <s v="Sénégal"/>
  </r>
  <r>
    <x v="316"/>
    <s v="Validé"/>
    <x v="146"/>
    <d v="1899-12-30T13:24:11"/>
    <s v="GOMIS ISABELLE"/>
    <s v="biadakar.cl@biagroup.com"/>
    <s v="Fournisseurs et Prestataires de droit sénégalais"/>
    <s v="Sénégal"/>
  </r>
  <r>
    <x v="317"/>
    <s v="Validé"/>
    <x v="146"/>
    <d v="1899-12-30T10:37:52"/>
    <s v="Papa Ndongo SOW"/>
    <s v="papans@mgosn.com"/>
    <s v="Sociétés minières ou Cimenteries"/>
    <s v="Sénégal"/>
  </r>
  <r>
    <x v="318"/>
    <s v="Validé"/>
    <x v="146"/>
    <d v="1899-12-30T12:51:10"/>
    <s v="Ditoma ALETA"/>
    <s v="ditoma.aleta@ccbm.sn"/>
    <s v="Fournisseurs et Prestataires locaux"/>
    <s v="Sénégal"/>
  </r>
  <r>
    <x v="319"/>
    <s v="Validé"/>
    <x v="146"/>
    <d v="1899-12-30T10:39:18"/>
    <s v="Abdourahmane Tall"/>
    <s v="abdourahmane.tall@stepin-africa.com"/>
    <s v="Fournisseurs et Prestataires de droit sénégalais"/>
    <s v="Sénégal"/>
  </r>
  <r>
    <x v="320"/>
    <s v="Validé"/>
    <x v="146"/>
    <d v="1899-12-30T08:31:32"/>
    <s v="ADAMA GUEYE"/>
    <s v="bilaloil@bilaloil.com"/>
    <s v="Fournisseurs et Prestataires locaux"/>
    <s v="Sénégal"/>
  </r>
  <r>
    <x v="321"/>
    <s v="Validé"/>
    <x v="147"/>
    <d v="1899-12-30T16:13:23"/>
    <s v="SEYDOU SALL"/>
    <s v="scs84kedougou@gmail.com"/>
    <s v="Fournisseurs et Prestataires locaux"/>
    <s v="Sénégal"/>
  </r>
  <r>
    <x v="322"/>
    <s v="Validé"/>
    <x v="147"/>
    <d v="1899-12-30T15:58:05"/>
    <s v="SOULEYMANE KANE"/>
    <s v="epicerie1001merveilles@gmail.com"/>
    <s v="Fournisseurs et Prestataires locaux"/>
    <s v="Sénégal"/>
  </r>
  <r>
    <x v="323"/>
    <s v="Validé"/>
    <x v="148"/>
    <d v="1899-12-30T09:21:45"/>
    <s v="Mamadou Djiby SALL"/>
    <s v="djiby.sall@se2i.com"/>
    <s v="Fournisseurs et Prestataires locaux"/>
    <s v="Sénégal"/>
  </r>
  <r>
    <x v="324"/>
    <s v="Validé"/>
    <x v="148"/>
    <d v="1899-12-30T11:52:04"/>
    <s v="PASCAL DIATTA"/>
    <s v="pascalambou@gmail.com"/>
    <s v="Sous-traitants"/>
    <s v="Sénégal"/>
  </r>
  <r>
    <x v="325"/>
    <s v="Validé"/>
    <x v="148"/>
    <d v="1899-12-30T02:48:52"/>
    <s v="Papa El Hadji Malick  NDIAYE "/>
    <s v="papamalickndiaye033@gmail.com"/>
    <s v="Fournisseurs et Prestataires locaux"/>
    <s v="Sénégal"/>
  </r>
  <r>
    <x v="326"/>
    <s v="Validé"/>
    <x v="149"/>
    <d v="1899-12-30T10:12:27"/>
    <s v="Bacary DIATTA"/>
    <s v="groupebacagb@gmail.com"/>
    <s v="Fournisseurs et Prestataires locaux"/>
    <s v="Sénégal"/>
  </r>
  <r>
    <x v="327"/>
    <s v="Validé"/>
    <x v="150"/>
    <d v="1899-12-30T11:10:33"/>
    <s v="Mélanie Akono"/>
    <s v="m.akono@mercure-cab.com"/>
    <s v="Fournisseurs et Prestataires locaux"/>
    <s v="Sénégal"/>
  </r>
  <r>
    <x v="328"/>
    <s v="Validé"/>
    <x v="150"/>
    <d v="1899-12-30T17:48:21"/>
    <s v="SEKHOU TRAORE"/>
    <s v="info@topweldingstructures.com"/>
    <s v="Fournisseurs et Prestataires locaux"/>
    <s v="Sénégal"/>
  </r>
  <r>
    <x v="329"/>
    <s v="Validé"/>
    <x v="150"/>
    <d v="1899-12-30T23:05:38"/>
    <s v="bachir mbacke"/>
    <s v="toubaidsarl@gmail.com"/>
    <s v="Fournisseurs et Prestataires locaux"/>
    <s v="Sénégal"/>
  </r>
  <r>
    <x v="330"/>
    <s v="Validé"/>
    <x v="150"/>
    <d v="1899-12-30T11:52:36"/>
    <s v="ZAIAT Saleh"/>
    <s v="oxysen@oxysen.sn"/>
    <s v="Fournisseurs et Prestataires locaux"/>
    <s v="Sénégal"/>
  </r>
  <r>
    <x v="331"/>
    <s v="Validé"/>
    <x v="151"/>
    <d v="1899-12-30T15:02:44"/>
    <s v="Papa Demba DIEYE"/>
    <s v="dembadieye18@gmail.com"/>
    <s v="Fournisseurs et Prestataires locaux"/>
    <s v="Sénégal"/>
  </r>
  <r>
    <x v="332"/>
    <s v="Validé"/>
    <x v="152"/>
    <d v="1899-12-30T13:10:36"/>
    <s v="Ndeye Thioumboulaye NDIAYE"/>
    <s v="al.ba@dpm-sn.com"/>
    <s v="Fournisseurs et Prestataires locaux"/>
    <s v="Sénégal"/>
  </r>
  <r>
    <x v="333"/>
    <s v="Validé"/>
    <x v="153"/>
    <d v="1899-12-30T13:12:54"/>
    <s v="Fatou Kine SARR"/>
    <s v="fatou.sarr@codexepc.net"/>
    <s v="Fournisseurs et Prestataires locaux"/>
    <s v="Sénégal"/>
  </r>
  <r>
    <x v="334"/>
    <s v="Validé"/>
    <x v="154"/>
    <d v="1899-12-30T12:43:25"/>
    <s v="Didi Diouf"/>
    <s v="didi.diouf@wise-group.tech"/>
    <s v="Fournisseurs et Prestataires locaux"/>
    <s v="Sénégal"/>
  </r>
  <r>
    <x v="335"/>
    <s v="Validé"/>
    <x v="154"/>
    <d v="1899-12-30T22:36:59"/>
    <s v="Demba Sény Diallo"/>
    <s v="diallodembaseny@gmail.com"/>
    <s v="Fournisseurs et Prestataires locaux"/>
    <s v="Sénégal"/>
  </r>
  <r>
    <x v="201"/>
    <s v="Validé"/>
    <x v="154"/>
    <d v="1899-12-30T10:46:29"/>
    <s v="Cheikh Sadibou Ndiaye"/>
    <s v="contact@prosen.sn"/>
    <s v="Fournisseurs et Prestataires locaux"/>
    <s v="Sénégal"/>
  </r>
  <r>
    <x v="336"/>
    <s v="Validé"/>
    <x v="154"/>
    <d v="1899-12-30T14:00:09"/>
    <s v="Birame  TOP"/>
    <s v="info@topstructures.de"/>
    <s v="Fournisseurs et Prestataires locaux"/>
    <s v="Sénégal"/>
  </r>
  <r>
    <x v="337"/>
    <s v="Validé"/>
    <x v="154"/>
    <d v="1899-12-30T10:26:49"/>
    <s v="Anne laure Bertinotti"/>
    <s v="legal@africapowerservices.com"/>
    <s v="Fournisseurs et Prestataires étrangers"/>
    <s v="France"/>
  </r>
  <r>
    <x v="338"/>
    <s v="Validé"/>
    <x v="155"/>
    <d v="1899-12-30T00:53:05"/>
    <s v="Axel Hermann Foutou MBOKO"/>
    <s v="amboko@kaynann.com"/>
    <s v="Fournisseurs et Prestataires de droit sénégalais"/>
    <s v="Sénégal"/>
  </r>
  <r>
    <x v="339"/>
    <s v="Validé"/>
    <x v="156"/>
    <d v="1899-12-30T12:43:07"/>
    <s v="AMINATA BA"/>
    <s v="aminata.ba@amcoconsultingservices.com"/>
    <s v="Fournisseurs et Prestataires locaux"/>
    <s v="Sénégal"/>
  </r>
  <r>
    <x v="340"/>
    <s v="Validé"/>
    <x v="157"/>
    <d v="1899-12-30T11:23:08"/>
    <s v="FATOU BINETOU  DIOP"/>
    <s v="alpam@faymaalpam.com"/>
    <s v="Fournisseurs et Prestataires locaux"/>
    <s v="Sénégal"/>
  </r>
  <r>
    <x v="341"/>
    <s v="Validé"/>
    <x v="157"/>
    <d v="1899-12-30T11:39:10"/>
    <s v="SEYDOU DIALLO"/>
    <s v="makoteamm@gmail.com"/>
    <s v="Fournisseurs et prestataires locaux (GPF ou GIE)"/>
    <s v="Sénégal"/>
  </r>
  <r>
    <x v="342"/>
    <s v="Validé"/>
    <x v="157"/>
    <d v="1899-12-30T14:13:03"/>
    <s v="DIOUF ABDOU"/>
    <s v="yamabdou67@gmail.com"/>
    <s v="Fournisseurs et Prestataires locaux"/>
    <s v="Sénégal"/>
  </r>
  <r>
    <x v="343"/>
    <s v="Validé"/>
    <x v="157"/>
    <d v="1899-12-30T15:12:28"/>
    <s v="El hadji omar  Ndiaye "/>
    <s v="lieutenanomar@gmail.com"/>
    <s v="Fournisseurs et Prestataires locaux"/>
    <s v="Sénégal"/>
  </r>
  <r>
    <x v="344"/>
    <s v="Validé"/>
    <x v="157"/>
    <d v="1899-12-30T15:16:33"/>
    <s v="Modou Diome FAYE"/>
    <s v="mdfaye@dergane.com"/>
    <s v="Fournisseurs et Prestataires locaux"/>
    <s v="Sénégal"/>
  </r>
  <r>
    <x v="345"/>
    <s v="Validé"/>
    <x v="157"/>
    <d v="1899-12-30T16:19:41"/>
    <s v="AURELIEN SERTELET SESTI"/>
    <s v="sesti@sesti.fr"/>
    <s v="Fournisseurs et Prestataires étrangers"/>
    <s v="France"/>
  </r>
  <r>
    <x v="346"/>
    <s v="Validé"/>
    <x v="157"/>
    <d v="1899-12-30T13:03:36"/>
    <s v="Babacar Ba"/>
    <s v="babacar.ba@ambbtechnologies.com"/>
    <s v="Fournisseurs et Prestataires locaux"/>
    <s v="Sénégal"/>
  </r>
  <r>
    <x v="347"/>
    <s v="Validé"/>
    <x v="158"/>
    <d v="1899-12-30T18:39:17"/>
    <s v="elhadji malick gueye"/>
    <s v="raconnexmultiservices@gmail.com"/>
    <s v="Fournisseurs et Prestataires locaux"/>
    <s v="Sénégal"/>
  </r>
  <r>
    <x v="348"/>
    <s v="Validé"/>
    <x v="159"/>
    <d v="1899-12-30T00:19:17"/>
    <s v="Pap Ismaél NDAO"/>
    <s v="seee.senegal@gmail.com"/>
    <s v="Fournisseurs et Prestataires locaux"/>
    <s v="Sénégal"/>
  </r>
  <r>
    <x v="349"/>
    <s v="Validé"/>
    <x v="159"/>
    <d v="1899-12-30T00:28:25"/>
    <s v="Abdou NDIAYE"/>
    <s v="abdou@deluxegroupe.com"/>
    <s v="Fournisseurs et Prestataires locaux"/>
    <s v="Sénégal"/>
  </r>
  <r>
    <x v="350"/>
    <s v="Validé"/>
    <x v="160"/>
    <d v="1899-12-30T10:56:37"/>
    <s v="Mamadou Coulibaly "/>
    <s v="sabodolabtpservicessbtps@gmail.com"/>
    <s v="Fournisseurs et Prestataires locaux"/>
    <s v="Sénégal"/>
  </r>
  <r>
    <x v="351"/>
    <s v="Validé"/>
    <x v="160"/>
    <d v="1899-12-30T13:13:23"/>
    <s v="Cheikh DIA"/>
    <s v="constructionsetdesign@outlook.com"/>
    <s v="Fournisseurs et Prestataires locaux"/>
    <s v="Sénégal"/>
  </r>
  <r>
    <x v="352"/>
    <s v="Validé"/>
    <x v="161"/>
    <d v="1899-12-30T13:29:51"/>
    <s v="Awa NDOYE"/>
    <s v="awa.ndoye@setinterim.com"/>
    <s v="Fournisseurs et Prestataires locaux"/>
    <s v="Sénégal"/>
  </r>
  <r>
    <x v="353"/>
    <s v="Validé"/>
    <x v="161"/>
    <d v="1899-12-30T14:42:20"/>
    <s v="OUMOU KALSOUM SECK"/>
    <s v="oumou.kalsoum@iosho.sn"/>
    <s v="Fournisseurs et Prestataires locaux"/>
    <s v="Sénégal"/>
  </r>
  <r>
    <x v="354"/>
    <s v="Validé"/>
    <x v="162"/>
    <d v="1899-12-30T16:39:54"/>
    <s v="MAMADOU LOUM"/>
    <s v="emf-groupe@emf-groupe.com"/>
    <s v="Fournisseurs et Prestataires locaux"/>
    <s v="Sénégal"/>
  </r>
  <r>
    <x v="355"/>
    <s v="Validé"/>
    <x v="163"/>
    <d v="1899-12-30T13:34:27"/>
    <s v="Cheikh ahmadou bamba Diaw"/>
    <s v="cheikhbamba87@gmail.com"/>
    <s v="Fournisseurs et Prestataires locaux"/>
    <s v="Sénégal"/>
  </r>
  <r>
    <x v="356"/>
    <s v="Validé"/>
    <x v="164"/>
    <d v="1899-12-30T12:58:11"/>
    <s v="TRAORE Baba"/>
    <s v="tratraco20@gmail.com"/>
    <s v="Fournisseurs et Prestataires locaux"/>
    <s v="Sénégal"/>
  </r>
  <r>
    <x v="357"/>
    <s v="Validé"/>
    <x v="164"/>
    <d v="1899-12-30T09:23:29"/>
    <s v="Thiané DIOP"/>
    <s v="thiane.diop@itteconsulting.com"/>
    <s v="Fournisseurs et Prestataires locaux"/>
    <s v="Sénégal"/>
  </r>
  <r>
    <x v="358"/>
    <s v="Validé"/>
    <x v="164"/>
    <d v="1899-12-30T17:55:38"/>
    <s v="AMADOU DIOULDE  BARRY"/>
    <s v="amadoudiouldebarry47@yahoo.fr"/>
    <s v="Fournisseurs et Prestataires locaux"/>
    <s v="Sénégal"/>
  </r>
  <r>
    <x v="359"/>
    <s v="Validé"/>
    <x v="164"/>
    <d v="1899-12-30T17:51:39"/>
    <s v="SAMBA ABDOULAYE SARR"/>
    <s v="abdoulayesarr64@gmail.com"/>
    <s v="Fournisseurs et Prestataires locaux"/>
    <s v="Sénégal"/>
  </r>
  <r>
    <x v="360"/>
    <s v="Validé"/>
    <x v="164"/>
    <d v="1899-12-30T11:28:41"/>
    <s v="Moussa  Sambou "/>
    <s v="m.sambou.ecti@gmail.com"/>
    <s v="Fournisseurs et Prestataires locaux"/>
    <s v="Sénégal"/>
  </r>
  <r>
    <x v="361"/>
    <s v="Validé"/>
    <x v="165"/>
    <d v="1899-12-30T15:19:14"/>
    <s v="ELHADJI MALICK NIANG "/>
    <s v="niang.malick@urgsolutionsmed.sn"/>
    <s v="Fournisseurs et Prestataires locaux"/>
    <s v="Sénégal"/>
  </r>
  <r>
    <x v="362"/>
    <s v="Validé"/>
    <x v="166"/>
    <d v="1899-12-30T15:59:48"/>
    <s v="Mark  Notoma"/>
    <s v="mark.notoma@spie.com"/>
    <s v="Fournisseurs et Prestataires de droit sénégalais"/>
    <s v="Sénégal"/>
  </r>
  <r>
    <x v="363"/>
    <s v="Validé"/>
    <x v="166"/>
    <d v="1899-12-30T21:26:21"/>
    <s v="Rama SOW"/>
    <s v="sowrahma2@gmail.com"/>
    <s v="Fournisseurs et Prestataires locaux"/>
    <s v="Sénégal"/>
  </r>
  <r>
    <x v="364"/>
    <s v="Validé"/>
    <x v="167"/>
    <d v="1899-12-30T12:53:18"/>
    <s v="VINCI Energies Sénégal"/>
    <s v="contact.ves@vinci-energies.com"/>
    <s v="Fournisseurs et Prestataires de droit sénégalais"/>
    <s v="Sénégal"/>
  </r>
  <r>
    <x v="365"/>
    <s v="Validé"/>
    <x v="167"/>
    <d v="1899-12-30T13:01:08"/>
    <s v="Papa Demba  Thiam"/>
    <s v="dfthiam@gmail.com"/>
    <s v="Fournisseurs et Prestataires locaux"/>
    <s v="Sénégal"/>
  </r>
  <r>
    <x v="366"/>
    <s v="Validé"/>
    <x v="168"/>
    <d v="1899-12-30T16:06:20"/>
    <s v="FALL  MASSAMBA "/>
    <s v="senrelais@gmail.com"/>
    <s v="Fournisseurs et Prestataires locaux"/>
    <s v="Sénégal"/>
  </r>
  <r>
    <x v="367"/>
    <s v="Validé"/>
    <x v="169"/>
    <d v="1899-12-30T17:41:03"/>
    <s v="Sagna Seynabou "/>
    <s v="seynabousagna1997@gmail.com"/>
    <s v="Fournisseurs et Prestataires locaux"/>
    <s v="Sénégal"/>
  </r>
  <r>
    <x v="368"/>
    <s v="Validé"/>
    <x v="170"/>
    <d v="1899-12-30T10:16:41"/>
    <s v="MOUHAMADOU MOUSTAPHA THIAM"/>
    <s v="moustapha.thiam@bernabeafrique.com"/>
    <s v="Fournisseurs et Prestataires locaux"/>
    <s v="Sénégal"/>
  </r>
  <r>
    <x v="369"/>
    <s v="Validé"/>
    <x v="171"/>
    <d v="1899-12-30T22:12:17"/>
    <s v="Daouda Ibrahima BA"/>
    <s v="aerominetech@gmail.com"/>
    <s v="Fournisseurs et Prestataires locaux"/>
    <s v="Sénégal"/>
  </r>
  <r>
    <x v="370"/>
    <s v="Validé"/>
    <x v="172"/>
    <d v="1899-12-30T16:58:03"/>
    <s v="AMINATA NDIAYE"/>
    <s v="a.ndiaye@sareqgroup.com"/>
    <s v="Fournisseurs et Prestataires locaux"/>
    <s v="Sénégal"/>
  </r>
  <r>
    <x v="371"/>
    <s v="Validé"/>
    <x v="172"/>
    <d v="1899-12-30T15:43:52"/>
    <s v="Mbery Ndoye"/>
    <s v="ndoyemberi@gmail.com"/>
    <s v="Fournisseurs et Prestataires locaux"/>
    <s v="Sénégal"/>
  </r>
  <r>
    <x v="372"/>
    <s v="Validé"/>
    <x v="173"/>
    <d v="1899-12-30T13:42:06"/>
    <s v="Amadou KANE"/>
    <s v="contact@jaguarssecurite.com"/>
    <s v="Fournisseurs et Prestataires locaux"/>
    <s v="Sénégal"/>
  </r>
  <r>
    <x v="373"/>
    <s v="Validé"/>
    <x v="173"/>
    <d v="1899-12-30T10:55:43"/>
    <s v="Fatou SECK"/>
    <s v="fatou.seck@ivos-ci.com"/>
    <s v="Fournisseurs et Prestataires locaux"/>
    <s v="Sénégal"/>
  </r>
  <r>
    <x v="374"/>
    <s v="Validé"/>
    <x v="173"/>
    <d v="1899-12-30T10:30:39"/>
    <s v="Aminata Gadiaga"/>
    <s v="logistiquesmesure@gmail.com"/>
    <s v="Fournisseurs et Prestataires locaux"/>
    <s v="Sénégal"/>
  </r>
  <r>
    <x v="375"/>
    <s v="Validé"/>
    <x v="174"/>
    <d v="1899-12-30T11:53:53"/>
    <s v="Lina Manuelle MILENDJI NYARE"/>
    <s v="lina.nyare@baolaenergy.com"/>
    <s v="Fournisseurs et Prestataires locaux"/>
    <s v="Sénégal"/>
  </r>
  <r>
    <x v="376"/>
    <s v="Validé"/>
    <x v="175"/>
    <d v="1899-12-30T11:22:37"/>
    <s v="Nene Foula Diallo"/>
    <s v="foula.diallo@oxynium-o2.com"/>
    <s v="Fournisseurs et Prestataires locaux"/>
    <s v="Sénégal"/>
  </r>
  <r>
    <x v="377"/>
    <s v="Validé"/>
    <x v="175"/>
    <d v="1899-12-30T16:17:09"/>
    <s v="Habibou Gabriel d.habibou@global-foodsupply.com"/>
    <s v="d.habibou@global-foodsupply.com"/>
    <s v="Fournisseurs et Prestataires locaux"/>
    <s v="Sénégal"/>
  </r>
  <r>
    <x v="378"/>
    <s v="Validé"/>
    <x v="176"/>
    <d v="1899-12-30T12:56:51"/>
    <s v="Otoikhine Ehis"/>
    <s v="ehis@terangaogcorp.com"/>
    <s v="Fournisseurs et Prestataires locaux"/>
    <s v="Sénégal"/>
  </r>
  <r>
    <x v="379"/>
    <s v="Validé"/>
    <x v="176"/>
    <d v="1899-12-30T16:35:28"/>
    <s v="Maxime DIATTA"/>
    <s v="elephantgmd@yahoo.fr"/>
    <s v="Fournisseurs et Prestataires locaux"/>
    <s v="Sénégal"/>
  </r>
  <r>
    <x v="380"/>
    <s v="Validé"/>
    <x v="176"/>
    <d v="1899-12-30T11:59:13"/>
    <s v="Mamadou ngawa Dembele"/>
    <s v="dembeleham@gmail.com"/>
    <s v="Fournisseurs et Prestataires locaux"/>
    <s v="Sénégal"/>
  </r>
  <r>
    <x v="381"/>
    <s v="Validé"/>
    <x v="177"/>
    <d v="1899-12-30T16:59:23"/>
    <s v="Lamine Ndour"/>
    <s v="xafandamsn@gmail.com"/>
    <s v="Fournisseurs et Prestataires locaux"/>
    <s v="Sénégal"/>
  </r>
  <r>
    <x v="382"/>
    <s v="Validé"/>
    <x v="178"/>
    <d v="1899-12-30T09:39:07"/>
    <s v="Petrosen Trading et Services Petrosen Trading et Services"/>
    <s v="aliou.diouf@petrosents.com"/>
    <s v="Fournisseurs et Prestataires locaux"/>
    <s v="Sénégal"/>
  </r>
  <r>
    <x v="383"/>
    <s v="Validé"/>
    <x v="178"/>
    <d v="1899-12-30T10:29:29"/>
    <s v="Mouhamadou Oury  Diallo"/>
    <s v="janbtpsuarl@outlook.com"/>
    <s v="Fournisseurs et Prestataires locaux"/>
    <s v="Sénégal"/>
  </r>
  <r>
    <x v="384"/>
    <s v="Validé"/>
    <x v="178"/>
    <d v="1899-12-30T16:01:49"/>
    <s v="PAUL SARR"/>
    <s v="codacsa@orange.sn"/>
    <s v="Fournisseurs et Prestataires locaux"/>
    <s v="Sénégal"/>
  </r>
  <r>
    <x v="385"/>
    <s v="Validé"/>
    <x v="178"/>
    <d v="1899-12-30T11:12:10"/>
    <s v="Alassane DIALLO"/>
    <s v="rassoulindustriebtp@gmail.com"/>
    <s v="Fournisseurs et Prestataires locaux"/>
    <s v="Sénégal"/>
  </r>
  <r>
    <x v="386"/>
    <s v="Validé"/>
    <x v="179"/>
    <d v="1899-12-30T19:09:09"/>
    <s v="Mahtar Diouf"/>
    <s v="entrepriseyasalam.diouf@gmail.com"/>
    <s v="Fournisseurs et Prestataires locaux"/>
    <s v="Sénégal"/>
  </r>
  <r>
    <x v="387"/>
    <s v="Validé"/>
    <x v="179"/>
    <d v="1899-12-30T16:24:48"/>
    <s v="Abdoulaye BATHILY"/>
    <s v="a.bathily@saharatradings.com"/>
    <s v="Fournisseurs et Prestataires locaux"/>
    <s v="Sénégal"/>
  </r>
  <r>
    <x v="388"/>
    <s v="Validé"/>
    <x v="179"/>
    <d v="1899-12-30T18:07:20"/>
    <s v="Malick LO"/>
    <s v="mlo@ifinanceconsulting.com"/>
    <s v="Fournisseurs et Prestataires locaux"/>
    <s v="Sénégal"/>
  </r>
  <r>
    <x v="389"/>
    <s v="Validé"/>
    <x v="180"/>
    <d v="1899-12-30T13:15:56"/>
    <s v="Sala NDIAYE"/>
    <s v="geniepreira@gmail.com"/>
    <s v="Fournisseurs et Prestataires locaux"/>
    <s v="Sénégal"/>
  </r>
  <r>
    <x v="390"/>
    <s v="Validé"/>
    <x v="180"/>
    <d v="1899-12-30T12:19:16"/>
    <s v="MAME MOR GUEYE"/>
    <s v="info@mkaexcellence.com"/>
    <s v="Fournisseurs et Prestataires locaux"/>
    <s v="Sénégal"/>
  </r>
  <r>
    <x v="391"/>
    <s v="Validé"/>
    <x v="180"/>
    <d v="1899-12-30T13:33:20"/>
    <s v="Moussa Gueye"/>
    <s v="contactstr2019@gmail.com"/>
    <s v="Fournisseurs et Prestataires locaux"/>
    <s v="Sénégal"/>
  </r>
  <r>
    <x v="392"/>
    <s v="Validé"/>
    <x v="180"/>
    <d v="1899-12-30T14:13:52"/>
    <s v="Ndeye Léna SARR"/>
    <s v="lsarr@baobabphosphate.com"/>
    <s v="Sociétés minières ou Cimenteries"/>
    <s v="Sénégal"/>
  </r>
  <r>
    <x v="393"/>
    <s v="Validé"/>
    <x v="180"/>
    <d v="1899-12-30T08:34:28"/>
    <s v="Oumar DIOP"/>
    <s v="oumardiop@groupe-topinter.com"/>
    <s v="Fournisseurs et Prestataires locaux"/>
    <s v="Sénégal"/>
  </r>
  <r>
    <x v="394"/>
    <s v="Validé"/>
    <x v="180"/>
    <d v="1899-12-30T12:32:40"/>
    <s v="Abdou Aziz DIOP"/>
    <s v="camsalaminesarl@gmail.com"/>
    <s v="Fournisseurs et Prestataires locaux"/>
    <s v="Sénégal"/>
  </r>
  <r>
    <x v="395"/>
    <s v="Validé"/>
    <x v="181"/>
    <d v="1899-12-30T11:32:26"/>
    <s v="NDEYE FATOU NDOUR"/>
    <s v="ndeyefatou.ndour@regpro-energy.com"/>
    <s v="Fournisseurs et Prestataires locaux"/>
    <s v="Sénégal"/>
  </r>
  <r>
    <x v="396"/>
    <s v="Validé"/>
    <x v="181"/>
    <d v="1899-12-30T13:15:29"/>
    <s v="ALIOUNE DIALLO"/>
    <s v="contact@securite-n2m.com"/>
    <s v="Fournisseurs et Prestataires locaux"/>
    <s v="Sénégal"/>
  </r>
  <r>
    <x v="397"/>
    <s v="Validé"/>
    <x v="181"/>
    <d v="1899-12-30T17:03:14"/>
    <s v="ABLAYE DIOP"/>
    <s v="africaineco2007@gmail.com"/>
    <s v="Fournisseurs et Prestataires locaux"/>
    <s v="Sénégal"/>
  </r>
  <r>
    <x v="398"/>
    <s v="Validé"/>
    <x v="182"/>
    <d v="1899-12-30T21:07:32"/>
    <s v="Guèye  Insa"/>
    <s v="insagueye30@gmail.com"/>
    <s v="Fournisseurs et Prestataires locaux"/>
    <s v="Sénégal"/>
  </r>
  <r>
    <x v="399"/>
    <s v="Validé"/>
    <x v="183"/>
    <d v="1899-12-30T11:53:08"/>
    <s v="Matar LO"/>
    <s v="senproc@senproc.sn"/>
    <s v="Fournisseurs et Prestataires locaux"/>
    <s v="Sénégal"/>
  </r>
  <r>
    <x v="400"/>
    <s v="Validé"/>
    <x v="183"/>
    <d v="1899-12-30T13:59:26"/>
    <s v="babacar diouf"/>
    <s v="babacardioufbando@gmail.com"/>
    <s v="Fournisseurs et Prestataires locaux"/>
    <s v="Sénégal"/>
  </r>
  <r>
    <x v="401"/>
    <s v="Validé"/>
    <x v="183"/>
    <d v="1899-12-30T10:06:03"/>
    <s v="Innocencia Marie MBAYE "/>
    <s v="innocencia.mbaye@epc-mineex.sn"/>
    <s v="Sous-traitants"/>
    <s v="Sénégal"/>
  </r>
  <r>
    <x v="402"/>
    <s v="Validé"/>
    <x v="183"/>
    <d v="1899-12-30T13:09:59"/>
    <s v="Cheikh Modou Bamba SENE"/>
    <s v="cheikhbamba@alt-afrique.com"/>
    <s v="Fournisseurs et Prestataires locaux"/>
    <s v="Sénégal"/>
  </r>
  <r>
    <x v="403"/>
    <s v="Validé"/>
    <x v="183"/>
    <d v="1899-12-30T12:24:00"/>
    <s v="Djamal BENDOUMA"/>
    <s v="djamalsene@yahoo.fr"/>
    <s v="Fournisseurs et Prestataires locaux"/>
    <s v="Sénégal"/>
  </r>
  <r>
    <x v="404"/>
    <s v="Validé"/>
    <x v="184"/>
    <d v="1899-12-30T13:22:49"/>
    <s v="Papa Ngoumba SENE"/>
    <s v="dg@laboratoiredemetrologie.com"/>
    <s v="Fournisseurs et Prestataires locaux"/>
    <s v="Sénégal"/>
  </r>
  <r>
    <x v="405"/>
    <s v="Validé"/>
    <x v="184"/>
    <d v="1899-12-30T15:16:26"/>
    <s v="Safietou Birahim NDIAYE"/>
    <s v="safietou.ndiaye@groupeneurotech.com"/>
    <s v="Fournisseurs et Prestataires locaux"/>
    <s v="Sénégal"/>
  </r>
  <r>
    <x v="406"/>
    <s v="Validé"/>
    <x v="185"/>
    <d v="1899-12-30T15:28:35"/>
    <s v="Birane Dieng"/>
    <s v="eljidieng@gmail.com"/>
    <s v="Fournisseurs et Prestataires locaux"/>
    <s v="Sénégal"/>
  </r>
  <r>
    <x v="407"/>
    <s v="Validé"/>
    <x v="186"/>
    <d v="1899-12-30T10:57:46"/>
    <s v="anne laure bertinotti"/>
    <s v="juridique@delmasip.com"/>
    <s v="Sous-traitants"/>
    <s v="Sénégal"/>
  </r>
  <r>
    <x v="408"/>
    <s v="Validé"/>
    <x v="186"/>
    <d v="1899-12-30T10:16:53"/>
    <s v="El Hadji Malick Dieye"/>
    <s v="md@malaika-development.com"/>
    <s v="Fournisseurs et Prestataires locaux"/>
    <s v="Sénégal"/>
  </r>
  <r>
    <x v="409"/>
    <s v="Validé"/>
    <x v="187"/>
    <d v="1899-12-30T19:28:17"/>
    <s v="Cheikh Mbacke FALL"/>
    <s v="papaharas@gmail.com"/>
    <s v="Fournisseurs et Prestataires locaux"/>
    <s v="Sénégal"/>
  </r>
  <r>
    <x v="410"/>
    <s v="Validé"/>
    <x v="187"/>
    <d v="1899-12-30T07:55:11"/>
    <s v="Seydina Ousmane DIENE"/>
    <s v="diene@dienesc.com"/>
    <s v="Fournisseurs et Prestataires locaux"/>
    <s v="Sénégal"/>
  </r>
  <r>
    <x v="411"/>
    <s v="Validé"/>
    <x v="188"/>
    <d v="1899-12-30T14:59:49"/>
    <s v="THOMAS MANOJ "/>
    <s v="manoj.thomas@triengineering.co"/>
    <s v="Fournisseurs et Prestataires locaux"/>
    <s v="Sénégal"/>
  </r>
  <r>
    <x v="412"/>
    <s v="Validé"/>
    <x v="188"/>
    <d v="1899-12-30T10:39:04"/>
    <s v="Eric Gilles  SAGNA"/>
    <s v="esagna@somemsn.com"/>
    <s v="Fournisseurs et Prestataires locaux"/>
    <s v="Sénégal"/>
  </r>
  <r>
    <x v="413"/>
    <s v="Validé"/>
    <x v="188"/>
    <d v="1899-12-30T06:48:41"/>
    <s v="FATOU NDIAYE"/>
    <s v="pitextile.louga@gmail.com"/>
    <s v="Fournisseurs et Prestataires locaux"/>
    <s v="Sénégal"/>
  </r>
  <r>
    <x v="414"/>
    <s v="Validé"/>
    <x v="188"/>
    <d v="1899-12-30T12:27:50"/>
    <s v="Diandian Cissokho "/>
    <s v="diandiancissokho08@gmail.com"/>
    <s v="Fournisseurs et Prestataires locaux"/>
    <s v="Sénégal"/>
  </r>
  <r>
    <x v="415"/>
    <s v="Validé"/>
    <x v="188"/>
    <d v="1899-12-30T08:22:02"/>
    <s v="Mor Pene"/>
    <s v="ecmpene@gmail.com"/>
    <s v="Fournisseurs et Prestataires locaux"/>
    <s v="Sénégal"/>
  </r>
  <r>
    <x v="416"/>
    <s v="Validé"/>
    <x v="189"/>
    <d v="1899-12-30T10:04:49"/>
    <s v="Pascal Vandevelde"/>
    <s v="p.vandevelde@vmsteel.com"/>
    <s v="Fournisseurs et Prestataires étrangers"/>
    <s v="Belgique"/>
  </r>
  <r>
    <x v="417"/>
    <s v="Validé"/>
    <x v="189"/>
    <d v="1899-12-30T10:15:32"/>
    <s v="Youssou Jules DIOP"/>
    <s v="jules.diop@helixsen.com"/>
    <s v="Fournisseurs et Prestataires locaux"/>
    <s v="Sénégal"/>
  </r>
  <r>
    <x v="418"/>
    <s v="Validé"/>
    <x v="189"/>
    <d v="1899-12-30T13:19:13"/>
    <s v="Mor Wade"/>
    <s v="mor.wade@ingetechnologie.com"/>
    <s v="Fournisseurs et Prestataires locaux"/>
    <s v="Sénégal"/>
  </r>
  <r>
    <x v="419"/>
    <s v="Validé"/>
    <x v="190"/>
    <d v="1899-12-30T13:26:13"/>
    <s v="Sengane  DIAGNE "/>
    <s v="amdy6968@gmail.com"/>
    <s v="Fournisseurs et Prestataires locaux"/>
    <s v="Sénégal"/>
  </r>
  <r>
    <x v="420"/>
    <s v="Validé"/>
    <x v="191"/>
    <d v="1899-12-30T10:21:08"/>
    <s v="Oumar SECK"/>
    <s v="info@sysroad.com"/>
    <s v="Fournisseurs et Prestataires locaux"/>
    <s v="Sénégal"/>
  </r>
  <r>
    <x v="421"/>
    <s v="Validé"/>
    <x v="191"/>
    <d v="1899-12-30T16:15:41"/>
    <s v="VICTOR PIERRE DA-ROSA"/>
    <s v="victorpierredarosa@gmail.com"/>
    <s v="Fournisseurs et prestataires locaux (GPF ou GIE)"/>
    <s v="Sénégal"/>
  </r>
  <r>
    <x v="422"/>
    <s v="Validé"/>
    <x v="192"/>
    <d v="1899-12-30T18:34:37"/>
    <s v="Aly DIOUF"/>
    <s v="alydiouf@eve-sn.org"/>
    <s v="Fournisseurs et Prestataires locaux"/>
    <s v="Sénégal"/>
  </r>
  <r>
    <x v="423"/>
    <s v="Validé"/>
    <x v="193"/>
    <d v="1899-12-30T18:55:15"/>
    <s v="Bineta  DIAGNE"/>
    <s v="lezzetli@lezzetli.sn"/>
    <s v="Fournisseurs et Prestataires locaux"/>
    <s v="Sénégal"/>
  </r>
  <r>
    <x v="424"/>
    <s v="Validé"/>
    <x v="194"/>
    <d v="1899-12-30T21:47:41"/>
    <s v="mamadou cisse"/>
    <s v="contact@tgs.sn"/>
    <s v="Fournisseurs et Prestataires locaux"/>
    <s v="Sénégal"/>
  </r>
  <r>
    <x v="425"/>
    <s v="Validé"/>
    <x v="195"/>
    <d v="1899-12-30T10:55:03"/>
    <s v="Aminata SAGNA"/>
    <s v="aminata.sagna@afric-isole.com"/>
    <s v="Fournisseurs et Prestataires locaux"/>
    <s v="Sénégal"/>
  </r>
  <r>
    <x v="426"/>
    <s v="Validé"/>
    <x v="195"/>
    <d v="1899-12-30T17:06:22"/>
    <s v="CHEIKH FALL"/>
    <s v="genttra@gmail.com"/>
    <s v="Fournisseurs et Prestataires locaux"/>
    <s v="Sénégal"/>
  </r>
  <r>
    <x v="427"/>
    <s v="Validé"/>
    <x v="195"/>
    <d v="1899-12-30T15:48:09"/>
    <s v="Mamadou Thiam"/>
    <s v="mamadou.thiam@m2c.sn"/>
    <s v="Fournisseurs et Prestataires locaux"/>
    <s v="Sénégal"/>
  </r>
  <r>
    <x v="428"/>
    <s v="Validé"/>
    <x v="195"/>
    <d v="1899-12-30T11:41:46"/>
    <s v="Elhadji ndongo  Lecor "/>
    <s v="socotra1.ms@gmail.com"/>
    <s v="Fournisseurs et Prestataires locaux"/>
    <s v="Sénégal"/>
  </r>
  <r>
    <x v="429"/>
    <s v="Validé"/>
    <x v="195"/>
    <d v="1899-12-30T16:37:47"/>
    <s v="Abdoulaye DIENG"/>
    <s v="snshared.contenulocal@sococim.sn"/>
    <s v="Sociétés minières ou Cimenteries"/>
    <s v="Espagne"/>
  </r>
  <r>
    <x v="430"/>
    <s v="Validé"/>
    <x v="196"/>
    <d v="1899-12-30T23:57:45"/>
    <s v="SENY DANFAKHA"/>
    <s v="danfakhaseny880@gmail.com"/>
    <s v="Fournisseurs et prestataires locaux (GPF ou GIE)"/>
    <s v="Sénégal"/>
  </r>
  <r>
    <x v="431"/>
    <s v="Validé"/>
    <x v="196"/>
    <d v="1899-12-30T15:23:31"/>
    <s v="ANDRE NDIAYE"/>
    <s v="meditechsgroup2007@gmail.com"/>
    <s v="Fournisseurs et Prestataires locaux"/>
    <s v="Sénégal"/>
  </r>
  <r>
    <x v="432"/>
    <s v="Validé"/>
    <x v="197"/>
    <d v="1899-12-30T11:35:13"/>
    <s v="Marie Helene DOCANTO"/>
    <s v="mh@galaxyindustriescorp.com"/>
    <s v="Fournisseurs et Prestataires locaux"/>
    <s v="Sénégal"/>
  </r>
  <r>
    <x v="433"/>
    <s v="Validé"/>
    <x v="197"/>
    <d v="1899-12-30T11:53:08"/>
    <s v="AISSATOU DRAME"/>
    <s v="sahelmining2014@gmail.com"/>
    <s v="Fournisseurs et Prestataires locaux"/>
    <s v="Sénégal"/>
  </r>
  <r>
    <x v="434"/>
    <s v="Validé"/>
    <x v="197"/>
    <d v="1899-12-30T12:58:04"/>
    <s v="CESAR GONZALEZ"/>
    <s v="cgojeda@elmasa.org"/>
    <s v="Fournisseurs et Prestataires de droit sénégalais"/>
    <s v="Sénégal"/>
  </r>
  <r>
    <x v="435"/>
    <s v="Validé"/>
    <x v="197"/>
    <d v="1899-12-30T11:42:26"/>
    <s v="Mawdo DIOUF"/>
    <s v="dioufetab@hotmail.com"/>
    <s v="Fournisseurs et Prestataires locaux"/>
    <s v="Sénégal"/>
  </r>
  <r>
    <x v="436"/>
    <s v="Validé"/>
    <x v="197"/>
    <d v="1899-12-30T10:31:17"/>
    <s v="SAIDI SAIDI"/>
    <s v="asaidi@amaris-equipment.com"/>
    <s v="Fournisseurs et Prestataires étrangers"/>
    <s v="France"/>
  </r>
  <r>
    <x v="437"/>
    <s v="Validé"/>
    <x v="197"/>
    <d v="1899-12-30T09:17:08"/>
    <s v="ABDOU SALAM HANN"/>
    <s v="signal_routes@orange.sn"/>
    <s v="Fournisseurs et Prestataires de droit sénégalais"/>
    <s v="Sénégal"/>
  </r>
  <r>
    <x v="438"/>
    <s v="Validé"/>
    <x v="198"/>
    <d v="1899-12-30T07:57:26"/>
    <s v="Helene SARR"/>
    <s v="adv@matondo.sn"/>
    <s v="Fournisseurs et Prestataires locaux"/>
    <s v="Sénégal"/>
  </r>
  <r>
    <x v="439"/>
    <s v="Validé"/>
    <x v="198"/>
    <d v="1899-12-30T16:23:37"/>
    <s v="IDRISSA DIALLO"/>
    <s v="elhadjidaouda94@gmail.com"/>
    <s v="Fournisseurs et Prestataires locaux"/>
    <s v="Sénégal"/>
  </r>
  <r>
    <x v="440"/>
    <s v="Validé"/>
    <x v="199"/>
    <d v="1899-12-30T12:10:01"/>
    <s v="Cheikhou DIALLO"/>
    <s v="cdiallo@sodimelsa.sn"/>
    <s v="Fournisseurs et Prestataires locaux"/>
    <s v="Sénégal"/>
  </r>
  <r>
    <x v="441"/>
    <s v="Validé"/>
    <x v="199"/>
    <d v="1899-12-30T08:48:40"/>
    <s v="Civol Kane "/>
    <s v="civolkane@gmail.com"/>
    <s v="Fournisseurs et Prestataires locaux"/>
    <s v="Sénégal"/>
  </r>
  <r>
    <x v="442"/>
    <s v="Validé"/>
    <x v="200"/>
    <d v="1899-12-30T20:19:58"/>
    <s v="Arame der Khoule"/>
    <s v="arame@infinity-overseas.com"/>
    <s v="Fournisseurs et Prestataires de droit sénégalais"/>
    <s v="Sénégal"/>
  </r>
  <r>
    <x v="443"/>
    <s v="Validé"/>
    <x v="201"/>
    <d v="1899-12-30T12:21:05"/>
    <s v="UNIVERSAL TECH  SUPPLY"/>
    <s v="info@uts-tech.net"/>
    <s v="Fournisseurs et Prestataires locaux"/>
    <s v="Sénégal"/>
  </r>
  <r>
    <x v="444"/>
    <s v="Validé"/>
    <x v="201"/>
    <d v="1899-12-30T20:25:13"/>
    <s v="Samba Fall"/>
    <s v="samba.fall@energense.net"/>
    <s v="Fournisseurs et Prestataires locaux"/>
    <s v="Sénégal"/>
  </r>
  <r>
    <x v="445"/>
    <s v="Validé"/>
    <x v="201"/>
    <d v="1899-12-30T12:44:38"/>
    <s v="Samba Cor Bathily"/>
    <s v="sbathily@magikoil.com"/>
    <s v="Fournisseurs et Prestataires locaux"/>
    <s v="Sénégal"/>
  </r>
  <r>
    <x v="446"/>
    <s v="Validé"/>
    <x v="201"/>
    <d v="1899-12-30T09:48:27"/>
    <s v="Mouhamadou Lamine DIA"/>
    <s v="eden@eden-ic.com"/>
    <s v="Fournisseurs et Prestataires locaux"/>
    <s v="Sénégal"/>
  </r>
  <r>
    <x v="447"/>
    <s v="Validé"/>
    <x v="201"/>
    <d v="1899-12-30T15:46:47"/>
    <s v="BIRAME TOP"/>
    <s v="info@bma.sn"/>
    <s v="Fournisseurs et Prestataires locaux"/>
    <s v="Sénégal"/>
  </r>
  <r>
    <x v="448"/>
    <s v="Validé"/>
    <x v="201"/>
    <d v="1899-12-30T15:55:06"/>
    <s v="Ndane DIOUF"/>
    <s v="ndanegeometre90@gmail.com"/>
    <s v="Fournisseurs et Prestataires locaux"/>
    <s v="Sénégal"/>
  </r>
  <r>
    <x v="449"/>
    <s v="Validé"/>
    <x v="201"/>
    <d v="1899-12-30T14:47:23"/>
    <s v="Modou Gueye"/>
    <s v="modou@sgf.sn"/>
    <s v="Fournisseurs et Prestataires locaux"/>
    <s v="Sénégal"/>
  </r>
  <r>
    <x v="450"/>
    <s v="Validé"/>
    <x v="201"/>
    <d v="1899-12-30T10:32:54"/>
    <s v="CHEIKH AHMET TIDIANE CISSE"/>
    <s v="tidiane.cisse@petowal.com"/>
    <s v="Sociétés minières ou Cimenteries"/>
    <s v="Sénégal"/>
  </r>
  <r>
    <x v="451"/>
    <s v="Validé"/>
    <x v="202"/>
    <d v="1899-12-30T20:46:55"/>
    <s v="CISSE ABLAYE"/>
    <s v="diokinecisse.construction@gmail.com"/>
    <s v="Fournisseurs et Prestataires locaux"/>
    <s v="Sénégal"/>
  </r>
  <r>
    <x v="452"/>
    <s v="Validé"/>
    <x v="203"/>
    <d v="1899-12-30T21:34:04"/>
    <s v="Ndioro NDIAYE"/>
    <s v="ndioro.ndiaye@senbiochimie.com"/>
    <s v="Fournisseurs et Prestataires locaux"/>
    <s v="Sénégal"/>
  </r>
  <r>
    <x v="453"/>
    <s v="Validé"/>
    <x v="204"/>
    <d v="1899-12-30T17:04:11"/>
    <s v="Aliou Sene"/>
    <s v="gcmpaliou@gmail.com"/>
    <s v="Fournisseurs et Prestataires locaux"/>
    <s v="Sénégal"/>
  </r>
  <r>
    <x v="454"/>
    <s v="Validé"/>
    <x v="205"/>
    <d v="1899-12-30T15:07:33"/>
    <s v="Roel te Braake"/>
    <s v="r.tebraake@snijder.nl"/>
    <s v="Fournisseurs et Prestataires étrangers"/>
    <s v="Pays-Bas"/>
  </r>
  <r>
    <x v="455"/>
    <s v="Validé"/>
    <x v="205"/>
    <d v="1899-12-30T07:04:27"/>
    <s v="Mark McLaskey"/>
    <s v="mark.mclaskey@amsgh.com"/>
    <s v="Sous-traitants"/>
    <s v="Sénégal"/>
  </r>
  <r>
    <x v="456"/>
    <s v="Validé"/>
    <x v="205"/>
    <d v="1899-12-30T17:20:55"/>
    <s v="Illo Ndoye"/>
    <s v="illo.ndoye@fbr-transports.com"/>
    <s v="Fournisseurs et Prestataires locaux"/>
    <s v="Sénégal"/>
  </r>
  <r>
    <x v="457"/>
    <s v="Validé"/>
    <x v="205"/>
    <d v="1899-12-30T15:48:40"/>
    <s v="KHOUDIEDJI  SOUMARE"/>
    <s v="khoudiedji.soumare@erium.com"/>
    <s v="Fournisseurs et Prestataires de droit sénégalais"/>
    <s v="Sénégal"/>
  </r>
  <r>
    <x v="458"/>
    <s v="Validé"/>
    <x v="205"/>
    <d v="1899-12-30T10:54:26"/>
    <s v="Birame  FALL"/>
    <s v="birame.fall@dangote.com"/>
    <s v="Sociétés minières ou Cimenteries"/>
    <s v="Sénégal"/>
  </r>
  <r>
    <x v="459"/>
    <s v="Validé"/>
    <x v="206"/>
    <d v="1899-12-30T10:46:17"/>
    <s v="Mamadou Malal  Kane"/>
    <s v="logistiquemhk@gmail.com"/>
    <s v="Fournisseurs et Prestataires locaux"/>
    <s v="Sénégal"/>
  </r>
  <r>
    <x v="460"/>
    <s v="Validé"/>
    <x v="207"/>
    <d v="1899-12-30T07:49:52"/>
    <s v="Abdoulaye Badara FAYE"/>
    <s v="bfaye@infogeo-senegal.com"/>
    <s v="Fournisseurs et Prestataires locaux"/>
    <s v="Sénégal"/>
  </r>
  <r>
    <x v="461"/>
    <s v="Validé"/>
    <x v="207"/>
    <d v="1899-12-30T15:30:32"/>
    <s v="Mathieu Youga Thiaw"/>
    <s v="mathieu.thiaw@africalubeservices.com"/>
    <s v="Fournisseurs et Prestataires locaux"/>
    <s v="Sénégal"/>
  </r>
  <r>
    <x v="462"/>
    <s v="Validé"/>
    <x v="207"/>
    <d v="1899-12-30T11:51:41"/>
    <s v="Amadou Khaïta Diagne"/>
    <s v="amadou@toubatravauxpublics.com"/>
    <s v="Fournisseurs et Prestataires locaux"/>
    <s v="Sénégal"/>
  </r>
  <r>
    <x v="463"/>
    <s v="Validé"/>
    <x v="207"/>
    <d v="1899-12-30T17:02:42"/>
    <s v="Khalifa Abdoul Aziz  NIANG"/>
    <s v="proplus.senegal@gmail.com"/>
    <s v="Fournisseurs et Prestataires locaux"/>
    <s v="Sénégal"/>
  </r>
  <r>
    <x v="464"/>
    <s v="Validé"/>
    <x v="208"/>
    <d v="1899-12-30T13:35:37"/>
    <s v="Kevin Aveline"/>
    <s v="kevin.aveline@aec-energyservices.com"/>
    <s v="Fournisseurs et Prestataires étrangers"/>
    <s v="France"/>
  </r>
  <r>
    <x v="465"/>
    <s v="Validé"/>
    <x v="208"/>
    <d v="1899-12-30T16:36:30"/>
    <s v="Mamadou Lamine KAGNY"/>
    <s v="kagny.lamine@kekendoafricapoly.com"/>
    <s v="Sous-traitants"/>
    <s v="Sénégal"/>
  </r>
  <r>
    <x v="466"/>
    <s v="Validé"/>
    <x v="208"/>
    <d v="1899-12-30T13:37:18"/>
    <s v="Moussa Diene"/>
    <s v="mdiene@gmail.com"/>
    <s v="Sociétés minières ou Cimenteries"/>
    <s v="Sénégal"/>
  </r>
  <r>
    <x v="467"/>
    <s v="Validé"/>
    <x v="209"/>
    <d v="1899-12-30T18:52:04"/>
    <s v="Bertrand Kafando"/>
    <s v="bkafando@maxamcorp.com"/>
    <s v="Fournisseurs et Prestataires de droit sénégalais"/>
    <s v="Sénégal"/>
  </r>
  <r>
    <x v="468"/>
    <s v="Validé"/>
    <x v="209"/>
    <d v="1899-12-30T18:15:21"/>
    <s v="DIE SENE"/>
    <s v="die-sene.paye@totalenergies.com"/>
    <s v="Fournisseurs et Prestataires de droit sénégalais"/>
    <s v="Sénégal"/>
  </r>
  <r>
    <x v="469"/>
    <s v="Validé"/>
    <x v="209"/>
    <d v="1899-12-30T09:51:00"/>
    <s v="SOULEYMANE KANE"/>
    <s v="etsyollisopnabi@gmail.com"/>
    <s v="Fournisseurs et Prestataires locaux"/>
    <s v="Sénégal"/>
  </r>
  <r>
    <x v="470"/>
    <s v="Validé"/>
    <x v="210"/>
    <d v="1899-12-30T10:33:49"/>
    <s v="PAUL DIOP"/>
    <s v="gieisothermi2@gmail.com"/>
    <s v="Fournisseurs et prestataires locaux (GPF ou GIE)"/>
    <s v="Sénégal"/>
  </r>
  <r>
    <x v="471"/>
    <s v="Validé"/>
    <x v="211"/>
    <d v="1899-12-30T12:10:46"/>
    <s v="Alassane   DIAGNE "/>
    <s v="alassane.diagne@groupegtx.com"/>
    <s v="Fournisseurs et Prestataires locaux"/>
    <s v="Sénégal"/>
  </r>
  <r>
    <x v="472"/>
    <s v="Validé"/>
    <x v="212"/>
    <d v="1899-12-30T16:12:42"/>
    <s v="Laurent PHILIPPON"/>
    <s v="l.philippon@douaisis.com"/>
    <s v="Fournisseurs et Prestataires étrangers"/>
    <s v="France"/>
  </r>
  <r>
    <x v="473"/>
    <s v="Validé"/>
    <x v="212"/>
    <d v="1899-12-30T09:14:50"/>
    <s v="Hyacinthe SAMBOU"/>
    <s v="hyacinthe.sambou@fuelex.sn"/>
    <s v="Fournisseurs et Prestataires locaux"/>
    <s v="Sénégal"/>
  </r>
  <r>
    <x v="474"/>
    <s v="Validé"/>
    <x v="212"/>
    <d v="1899-12-30T13:00:28"/>
    <s v="Carole Maria MBENGUE"/>
    <s v="carolemaria.mbengue@3mdenergy.com"/>
    <s v="Fournisseurs et Prestataires locaux"/>
    <s v="Sénégal"/>
  </r>
  <r>
    <x v="475"/>
    <s v="Validé"/>
    <x v="213"/>
    <d v="1899-12-30T12:13:46"/>
    <s v="Mohamed El Habib Sow"/>
    <s v="habib.sow@outlook.com"/>
    <s v="Fournisseurs et Prestataires locaux"/>
    <s v="Sénégal"/>
  </r>
  <r>
    <x v="476"/>
    <s v="Validé"/>
    <x v="213"/>
    <d v="1899-12-30T15:54:17"/>
    <s v="FABIENNE DIOUF"/>
    <s v="boclogisticssarl@outlook.com"/>
    <s v="Fournisseurs et Prestataires locaux"/>
    <s v="Sénégal"/>
  </r>
  <r>
    <x v="477"/>
    <s v="Validé"/>
    <x v="213"/>
    <d v="1899-12-30T18:43:05"/>
    <s v="Bassim Hachem"/>
    <s v="azservicessarl@gmail.com"/>
    <s v="Sociétés minières ou Cimenteries"/>
    <s v="Sénégal"/>
  </r>
  <r>
    <x v="478"/>
    <s v="Validé"/>
    <x v="213"/>
    <d v="1899-12-30T11:28:36"/>
    <s v="babacar gueye"/>
    <s v="acctthies@gmail.com"/>
    <s v="Fournisseurs et Prestataires locaux"/>
    <s v="Sénégal"/>
  </r>
  <r>
    <x v="479"/>
    <s v="Validé"/>
    <x v="214"/>
    <d v="1899-12-30T10:41:37"/>
    <s v="Barma fall Kocc"/>
    <s v="koccbarmafalldiogo@gmail.com"/>
    <s v="Fournisseurs et Prestataires locaux"/>
    <s v="Sénégal"/>
  </r>
  <r>
    <x v="480"/>
    <s v="Validé"/>
    <x v="215"/>
    <d v="1899-12-30T10:13:22"/>
    <s v="ROBERT PONZIO"/>
    <s v="b.diallo@geoaxisminingsolutions.com"/>
    <s v="Sous-traitants"/>
    <s v="Sénégal"/>
  </r>
  <r>
    <x v="481"/>
    <s v="Validé"/>
    <x v="216"/>
    <d v="1899-12-30T13:23:34"/>
    <s v="Miguel Epifânio"/>
    <s v="miguel.epifanio@lapp.com"/>
    <s v="Fournisseurs et Prestataires étrangers"/>
    <s v="Portugal"/>
  </r>
  <r>
    <x v="482"/>
    <s v="Validé"/>
    <x v="216"/>
    <d v="1899-12-30T12:24:37"/>
    <s v="ASSANE DIENG"/>
    <s v="otisgroupsen@gmail.com"/>
    <s v="Fournisseurs et Prestataires locaux"/>
    <s v="Sénég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s v="KAYNANN SUARL"/>
    <s v="Validé"/>
    <x v="0"/>
    <s v="Axel Hermann Foutou MBOKO"/>
    <s v="amboko@kaynann.com"/>
    <x v="0"/>
    <x v="0"/>
  </r>
  <r>
    <s v="SARAYA ALPHAYA QUINCAILLERIE GÉNÉRALE ASSALAM(SAQGA)"/>
    <s v="Validé"/>
    <x v="1"/>
    <s v="Mamadou Alpha `Diallo"/>
    <s v="phadioo87@gmail.com"/>
    <x v="1"/>
    <x v="0"/>
  </r>
  <r>
    <s v="SE2I SAS"/>
    <s v="Validé"/>
    <x v="2"/>
    <s v="Mamadou Djiby SALL"/>
    <s v="djiby.sall@se2i.com"/>
    <x v="1"/>
    <x v="0"/>
  </r>
  <r>
    <s v="ENIKON SENEGAL SARL"/>
    <s v="Validé"/>
    <x v="3"/>
    <s v="PASCAL DIATTA"/>
    <s v="pascalambou@gmail.com"/>
    <x v="2"/>
    <x v="0"/>
  </r>
  <r>
    <s v="CPEXELITGROUP"/>
    <s v="Validé"/>
    <x v="4"/>
    <s v="Cpex ElitGroup"/>
    <s v="ndeye.dieumbe@cpex-mining.com"/>
    <x v="1"/>
    <x v="0"/>
  </r>
  <r>
    <s v="OTTO BI SARL"/>
    <s v="Validé"/>
    <x v="5"/>
    <s v="Djeri Celin NGABERE"/>
    <s v="gerant@otto-bi.com"/>
    <x v="1"/>
    <x v="0"/>
  </r>
  <r>
    <s v="GALAXIE SERVICES ENGINEERING "/>
    <s v="Validé"/>
    <x v="6"/>
    <s v="Papa El Hadji Malick  NDIAYE "/>
    <s v="papamalickndiaye033@gmail.com"/>
    <x v="1"/>
    <x v="0"/>
  </r>
  <r>
    <s v="SITMEL SARL"/>
    <s v="Validé"/>
    <x v="7"/>
    <s v="Saliou Wade"/>
    <s v="infos@sitmel.com"/>
    <x v="1"/>
    <x v="0"/>
  </r>
  <r>
    <s v="ZUTARI (PTY) LTD"/>
    <s v="Validé"/>
    <x v="8"/>
    <s v="Venter Landi"/>
    <s v="tenders@zutari.com"/>
    <x v="3"/>
    <x v="1"/>
  </r>
  <r>
    <s v="RENTALL"/>
    <s v="Validé"/>
    <x v="9"/>
    <s v="Diop Mamadou"/>
    <s v="servicecommercial@rentall-sn.com"/>
    <x v="1"/>
    <x v="0"/>
  </r>
  <r>
    <s v="L3S"/>
    <s v="Validé"/>
    <x v="10"/>
    <s v="Abdoulaye Thiam"/>
    <s v="thiamabdoulaye1000@gmail.com"/>
    <x v="1"/>
    <x v="0"/>
  </r>
  <r>
    <s v="ERGONE SERVICES "/>
    <s v="Validé"/>
    <x v="11"/>
    <s v="Massamba Diouf"/>
    <s v="massdioufpro@gmail.com"/>
    <x v="1"/>
    <x v="0"/>
  </r>
  <r>
    <s v="BOURGI TRANSPORT LOGISTIQUE"/>
    <s v="Validé"/>
    <x v="12"/>
    <s v="Issa Bourgi"/>
    <s v="bourgiissa@gmail.com"/>
    <x v="1"/>
    <x v="0"/>
  </r>
  <r>
    <s v="CACTUS MINING SUPPLY SENEGAL "/>
    <s v="Validé"/>
    <x v="13"/>
    <s v="Abdoulaye Déguessi MAKANGUILE"/>
    <s v="amakanguile@cactusmining.com"/>
    <x v="1"/>
    <x v="0"/>
  </r>
  <r>
    <s v="SERVICE DE FROID INDUSTRIEL ET COMMERCIAL "/>
    <s v="Validé"/>
    <x v="14"/>
    <s v="Jonas Kangny"/>
    <s v="jonaskangny@gmail.com"/>
    <x v="1"/>
    <x v="0"/>
  </r>
  <r>
    <s v="EC2MI"/>
    <s v="Validé"/>
    <x v="15"/>
    <s v="Paul Marie Jacques Daniel NGOM"/>
    <s v="paulngom48@gmail.com"/>
    <x v="1"/>
    <x v="0"/>
  </r>
  <r>
    <s v="MSC ETUDES"/>
    <s v="Validé"/>
    <x v="16"/>
    <s v="DAME KANE"/>
    <s v="kanedame2277@gmail.com"/>
    <x v="1"/>
    <x v="0"/>
  </r>
  <r>
    <s v="DALAFORCE"/>
    <s v="Validé"/>
    <x v="17"/>
    <s v="Fatou kine Dia"/>
    <s v="dala.force12@gmail.com"/>
    <x v="1"/>
    <x v="0"/>
  </r>
  <r>
    <s v="CODIPRES SARL"/>
    <s v="Validé"/>
    <x v="18"/>
    <s v="PAPA YORO DIALLO"/>
    <s v="codipres@yahoo.fr"/>
    <x v="1"/>
    <x v="0"/>
  </r>
  <r>
    <s v="ONG EAU VIE ENVIRONNEMENT - EVE"/>
    <s v="Validé"/>
    <x v="19"/>
    <s v="Aly DIOUF"/>
    <s v="alydiouf@eve-sn.org"/>
    <x v="1"/>
    <x v="0"/>
  </r>
  <r>
    <s v="SAS AEC ENERGY SERVICES "/>
    <s v="Validé"/>
    <x v="20"/>
    <s v="Kevin Aveline"/>
    <s v="kevin.aveline@aec-energyservices.com"/>
    <x v="3"/>
    <x v="2"/>
  </r>
  <r>
    <s v="SYNERGIE PLUS"/>
    <s v="Validé"/>
    <x v="21"/>
    <s v="Souleymane Daouda Ndiaye"/>
    <s v="synergie.plus18@gmail.com"/>
    <x v="1"/>
    <x v="0"/>
  </r>
  <r>
    <s v="MAXAM SENEGAL"/>
    <s v="Validé"/>
    <x v="22"/>
    <s v="Bertrand Kafando"/>
    <s v="bkafando@maxamcorp.com"/>
    <x v="0"/>
    <x v="0"/>
  </r>
  <r>
    <s v="PYXIS TRADING"/>
    <s v="Validé"/>
    <x v="23"/>
    <s v="Abdramane BOLY"/>
    <s v="ab.boly@pyxissupport.com"/>
    <x v="1"/>
    <x v="0"/>
  </r>
  <r>
    <s v="PETROSEN TRADING ET SERVICES"/>
    <s v="Validé"/>
    <x v="24"/>
    <s v="Petrosen Trading et Services Petrosen Trading et Services"/>
    <s v="aliou.diouf@petrosents.com"/>
    <x v="1"/>
    <x v="0"/>
  </r>
  <r>
    <s v="CARREFOUR"/>
    <s v="Validé"/>
    <x v="25"/>
    <s v="Chérif DIOP"/>
    <s v="carrefourcd@gmail.com"/>
    <x v="1"/>
    <x v="0"/>
  </r>
  <r>
    <s v="SSCM"/>
    <s v="Validé"/>
    <x v="26"/>
    <s v="Vincent Korri SARR"/>
    <s v="facturation@sscm.sn"/>
    <x v="1"/>
    <x v="0"/>
  </r>
  <r>
    <s v="SOCABEG MINING SA"/>
    <s v="Validé"/>
    <x v="27"/>
    <s v="ROKHAYA DIOP"/>
    <s v="rdiop@socabeg.sn"/>
    <x v="4"/>
    <x v="0"/>
  </r>
  <r>
    <s v="MDESS"/>
    <s v="Validé"/>
    <x v="28"/>
    <s v="Samba Gueye"/>
    <s v="mdess_sarl@yahoo.com"/>
    <x v="0"/>
    <x v="0"/>
  </r>
  <r>
    <s v="DMH GEO SENEGAL"/>
    <s v="Validé"/>
    <x v="29"/>
    <s v="Papa Sana Camara"/>
    <s v="papasanacamara@gmail.com"/>
    <x v="0"/>
    <x v="0"/>
  </r>
  <r>
    <s v="AXINEO CONSTRUCTION "/>
    <s v="Validé"/>
    <x v="30"/>
    <s v="Elhadji yelly  MARIKO"/>
    <s v="axineo.construction@gmail.com"/>
    <x v="1"/>
    <x v="0"/>
  </r>
  <r>
    <s v="DRILLEEX SA"/>
    <s v="Validé"/>
    <x v="31"/>
    <s v="Rokhaya Sall"/>
    <s v="contact@drilleex.sn"/>
    <x v="1"/>
    <x v="0"/>
  </r>
  <r>
    <s v="TSG SENEGAL"/>
    <s v="Validé"/>
    <x v="32"/>
    <s v="Thierry paluch"/>
    <s v="thierry.paluch@tsg-solutions.com"/>
    <x v="0"/>
    <x v="0"/>
  </r>
  <r>
    <s v="LES NIAYES SARRAUT"/>
    <s v="Validé"/>
    <x v="33"/>
    <s v="GALLO SARR"/>
    <s v="gallosarr@niayessarraut.com"/>
    <x v="1"/>
    <x v="0"/>
  </r>
  <r>
    <s v="SET SARL"/>
    <s v="Validé"/>
    <x v="34"/>
    <s v="Awa NDOYE"/>
    <s v="awa.ndoye@setinterim.com"/>
    <x v="1"/>
    <x v="0"/>
  </r>
  <r>
    <s v="SENPROC SARL"/>
    <s v="Validé"/>
    <x v="35"/>
    <s v="Matar LO"/>
    <s v="senproc@senproc.sn"/>
    <x v="1"/>
    <x v="0"/>
  </r>
  <r>
    <s v="IMC SARL"/>
    <s v="Validé"/>
    <x v="36"/>
    <s v="KEWE ALY BA"/>
    <s v="kewe.ba@umo-interim.com"/>
    <x v="1"/>
    <x v="0"/>
  </r>
  <r>
    <s v="SENDIA"/>
    <s v="Validé"/>
    <x v="37"/>
    <s v="Yolande Aida SENGHOR"/>
    <s v="contact@sendiasn.com"/>
    <x v="1"/>
    <x v="0"/>
  </r>
  <r>
    <s v="GIE FASSO BARA"/>
    <s v="Validé"/>
    <x v="38"/>
    <s v="Abdou mamadou diarra ndiaye"/>
    <s v="sokoyoabdou@gmail.com"/>
    <x v="5"/>
    <x v="0"/>
  </r>
  <r>
    <s v="RIGA HELIX SEN JV S.A.S"/>
    <s v="Validé"/>
    <x v="39"/>
    <s v="Mariétou SANE"/>
    <s v="marietou.sane@helixsen.com"/>
    <x v="1"/>
    <x v="0"/>
  </r>
  <r>
    <s v="AEGIS LOGISTICS"/>
    <s v="Validé"/>
    <x v="40"/>
    <s v="Oumar Seye"/>
    <s v="oumar.seye@viderienterprise.com"/>
    <x v="2"/>
    <x v="0"/>
  </r>
  <r>
    <s v="TOTALENERGIES MARKETING SÉNÉGAL"/>
    <s v="Validé"/>
    <x v="41"/>
    <s v="DIE SENE"/>
    <s v="die-sene.paye@totalenergies.com"/>
    <x v="0"/>
    <x v="0"/>
  </r>
  <r>
    <s v="SENENGINEERING INTERNATIONAL SA "/>
    <s v="Validé"/>
    <x v="42"/>
    <s v="SENE Dr. Moustapha "/>
    <s v="m-sene@sen-engineering.com"/>
    <x v="1"/>
    <x v="0"/>
  </r>
  <r>
    <s v="SEN-SUD ENERGY CONSULTING"/>
    <s v="Validé"/>
    <x v="43"/>
    <s v="Salouma  SAMOURA"/>
    <s v="monekhata@hotmail.fr"/>
    <x v="1"/>
    <x v="0"/>
  </r>
  <r>
    <s v="MATSPACE TECHNOLOGY SUARL"/>
    <s v="Validé"/>
    <x v="44"/>
    <s v="papa boure DIOUF"/>
    <s v="papabourediouf74@gmail.com"/>
    <x v="1"/>
    <x v="0"/>
  </r>
  <r>
    <s v="SOCIETE MONTAGE MECANIQUE TUYAUTERIE SOUDURE -SARL"/>
    <s v="Validé"/>
    <x v="45"/>
    <s v="Nogaye Diop"/>
    <s v="nogaye.diop@2mts-sn.com"/>
    <x v="1"/>
    <x v="0"/>
  </r>
  <r>
    <s v="MECSEN GROUP"/>
    <s v="Validé"/>
    <x v="46"/>
    <s v="Mohamed El Habib Sow"/>
    <s v="habib.sow@outlook.com"/>
    <x v="1"/>
    <x v="0"/>
  </r>
  <r>
    <s v="GEOAXIS MINING SOLUTIONS"/>
    <s v="Validé"/>
    <x v="47"/>
    <s v="ROBERT PONZIO"/>
    <s v="b.diallo@geoaxisminingsolutions.com"/>
    <x v="2"/>
    <x v="0"/>
  </r>
  <r>
    <s v="MANUTENTION SERVICES SÉNÉGAL"/>
    <s v="Validé"/>
    <x v="48"/>
    <s v="alex beda"/>
    <s v="juridique@manutentionservices.com"/>
    <x v="0"/>
    <x v="0"/>
  </r>
  <r>
    <s v="BERNABE SENEGAL"/>
    <s v="Validé"/>
    <x v="49"/>
    <s v="MOUHAMADOU MOUSTAPHA THIAM"/>
    <s v="moustapha.thiam@bernabeafrique.com"/>
    <x v="1"/>
    <x v="0"/>
  </r>
  <r>
    <s v="MEGA TECHNOLOGIE"/>
    <s v="Validé"/>
    <x v="50"/>
    <s v="EL HADJI MOCTAR DIOP"/>
    <s v="abamar999@gmail.com"/>
    <x v="1"/>
    <x v="0"/>
  </r>
  <r>
    <s v="GROUPE YOLLI SOP NABI"/>
    <s v="Validé"/>
    <x v="51"/>
    <s v="SOULEYMANE KANE"/>
    <s v="etsyollisopnabi@gmail.com"/>
    <x v="1"/>
    <x v="0"/>
  </r>
  <r>
    <s v="B AND O TRADING SARL"/>
    <s v="Validé"/>
    <x v="52"/>
    <s v="babacar diouf"/>
    <s v="babacardioufbando@gmail.com"/>
    <x v="1"/>
    <x v="0"/>
  </r>
  <r>
    <s v="B2EI SARL"/>
    <s v="Validé"/>
    <x v="53"/>
    <s v="Thiane DIOP"/>
    <s v="thiane.diop@b2ei-sarl.com"/>
    <x v="1"/>
    <x v="0"/>
  </r>
  <r>
    <s v="SENEGAL CATERING ET SERVICES SARL"/>
    <s v="Validé"/>
    <x v="54"/>
    <s v="SEYDOU SALL"/>
    <s v="scs84kedougou@gmail.com"/>
    <x v="1"/>
    <x v="0"/>
  </r>
  <r>
    <s v="ABDOU SECURITE"/>
    <s v="Validé"/>
    <x v="55"/>
    <s v="Abdramane  ndiaye"/>
    <s v="abdramanendiaye26@gmail.com"/>
    <x v="1"/>
    <x v="0"/>
  </r>
  <r>
    <s v="WAKANO GROUP"/>
    <s v="Validé"/>
    <x v="56"/>
    <s v="Fily Mady SOUMARE"/>
    <s v="lyfidyma@gmail.com"/>
    <x v="1"/>
    <x v="0"/>
  </r>
  <r>
    <s v="JAN BTP SUARL"/>
    <s v="Validé"/>
    <x v="57"/>
    <s v="Mouhamadou Oury  Diallo"/>
    <s v="janbtpsuarl@outlook.com"/>
    <x v="1"/>
    <x v="0"/>
  </r>
  <r>
    <s v="INTERNATIONAL OCCUPATIONAL SAFETY &amp; HEALTH OFFICE"/>
    <s v="Validé"/>
    <x v="58"/>
    <s v="OUMOU KALSOUM SECK"/>
    <s v="oumou.kalsoum@iosho.sn"/>
    <x v="1"/>
    <x v="0"/>
  </r>
  <r>
    <s v="CODAC SA"/>
    <s v="Validé"/>
    <x v="59"/>
    <s v="PAUL SARR"/>
    <s v="codacsa@orange.sn"/>
    <x v="1"/>
    <x v="0"/>
  </r>
  <r>
    <s v="DMC SENEGAL"/>
    <s v="Validé"/>
    <x v="60"/>
    <s v="Aymann CHOUCAIR"/>
    <s v="aymann.choucair@dmcsen.com"/>
    <x v="1"/>
    <x v="0"/>
  </r>
  <r>
    <s v="EPC MINEEX SA"/>
    <s v="Validé"/>
    <x v="61"/>
    <s v="Innocencia Marie MBAYE "/>
    <s v="innocencia.mbaye@epc-mineex.sn"/>
    <x v="2"/>
    <x v="0"/>
  </r>
  <r>
    <s v="L'AFRICAINE DE LOGISTIQUE ET DES TRAVAUX"/>
    <s v="Validé"/>
    <x v="62"/>
    <s v="Cheikh Modou Bamba SENE"/>
    <s v="cheikhbamba@alt-afrique.com"/>
    <x v="1"/>
    <x v="0"/>
  </r>
  <r>
    <s v="DCI"/>
    <s v="Validé"/>
    <x v="63"/>
    <s v="Djamal BENDOUMA"/>
    <s v="djamalsene@yahoo.fr"/>
    <x v="1"/>
    <x v="0"/>
  </r>
  <r>
    <s v="RASSOUL INDUSTRIE BTP SUARL"/>
    <s v="Validé"/>
    <x v="64"/>
    <s v="Alassane DIALLO"/>
    <s v="rassoulindustriebtp@gmail.com"/>
    <x v="1"/>
    <x v="0"/>
  </r>
  <r>
    <s v="SUSTAIN AFRICA"/>
    <s v="Validé"/>
    <x v="65"/>
    <s v="SALLA NDIAYE"/>
    <s v="salla.ndiaye@sustainafrica.net"/>
    <x v="1"/>
    <x v="0"/>
  </r>
  <r>
    <s v="ETS YOLLI SOPE NABY"/>
    <s v="Validé"/>
    <x v="66"/>
    <s v="SOULEYMANE KANE"/>
    <s v="epicerie1001merveilles@gmail.com"/>
    <x v="1"/>
    <x v="0"/>
  </r>
  <r>
    <s v="TDK WAKEUR SERIGNE SALIOU"/>
    <s v="Validé"/>
    <x v="67"/>
    <s v="BASSIROU DIOP"/>
    <s v="toubadaroukhoudosswst@gmail.com"/>
    <x v="1"/>
    <x v="0"/>
  </r>
  <r>
    <s v="RAINBO SUPPLIES &amp; SERVICES LTD"/>
    <s v="Validé"/>
    <x v="68"/>
    <s v="Mark Sealey"/>
    <s v="sales@rainbosupplies.com"/>
    <x v="3"/>
    <x v="3"/>
  </r>
  <r>
    <s v="WAFGATE SAS"/>
    <s v="Validé"/>
    <x v="69"/>
    <s v="Aissatou Ndong"/>
    <s v="andong@wafgatesn.com"/>
    <x v="1"/>
    <x v="0"/>
  </r>
  <r>
    <s v="ALS SENEGAL SARL"/>
    <s v="Validé"/>
    <x v="70"/>
    <s v="Ousmane Coulibaly"/>
    <s v="ousmane.coulibaly@alsglobal.com"/>
    <x v="0"/>
    <x v="0"/>
  </r>
  <r>
    <s v="EMPOWERSEN"/>
    <s v="Validé"/>
    <x v="71"/>
    <s v="Oumar Toguyeni"/>
    <s v="otoguyeni@outlook.com"/>
    <x v="1"/>
    <x v="0"/>
  </r>
  <r>
    <s v="KAMAF TRANSPORTS SUARL"/>
    <s v="Validé"/>
    <x v="72"/>
    <s v="Karim  Fall"/>
    <s v="kamaftransports@gmail.com"/>
    <x v="1"/>
    <x v="0"/>
  </r>
  <r>
    <s v="RIT ( RUFISQUE TECHNOLOGIE INDUSTRIES)"/>
    <s v="Validé"/>
    <x v="73"/>
    <s v="ELHADJI MAYORO SAWARE"/>
    <s v="elhadjimayorosaware@gmail.com"/>
    <x v="1"/>
    <x v="0"/>
  </r>
  <r>
    <s v="DIGITAL ELECTRONIC"/>
    <s v="Validé"/>
    <x v="74"/>
    <s v="Pierre DIONE"/>
    <s v="pierre.dione@digitalelectronicsn.com"/>
    <x v="1"/>
    <x v="0"/>
  </r>
  <r>
    <s v="BA CONSULTANCE SARL"/>
    <s v="Validé"/>
    <x v="75"/>
    <s v="Papa Gora BA"/>
    <s v="papa-gora.ba@baconsultance.com"/>
    <x v="1"/>
    <x v="0"/>
  </r>
  <r>
    <s v="GIE CONSTRUCTION METALLIQUE ET TECHNILOGIE"/>
    <s v="Validé"/>
    <x v="76"/>
    <s v="PAPE ABLAYE ALWANE  KHOUSSA "/>
    <s v="giecomet@gmail.com"/>
    <x v="5"/>
    <x v="0"/>
  </r>
  <r>
    <s v="EQUILOG SN"/>
    <s v="Validé"/>
    <x v="77"/>
    <s v="Victor Louis DIOP DIOP"/>
    <s v="victor.diop@equilogsn.com"/>
    <x v="1"/>
    <x v="0"/>
  </r>
  <r>
    <s v="SEN LEVAGE SUARL"/>
    <s v="Validé"/>
    <x v="78"/>
    <s v="Mamadou DIA"/>
    <s v="senlevage@gmail.com"/>
    <x v="1"/>
    <x v="0"/>
  </r>
  <r>
    <s v="TEMICO SN"/>
    <s v="Validé"/>
    <x v="79"/>
    <s v="Patrick TIOMELA"/>
    <s v="contact@temico.sn"/>
    <x v="1"/>
    <x v="0"/>
  </r>
  <r>
    <s v="GLOBAL PHYSIO"/>
    <s v="Validé"/>
    <x v="80"/>
    <s v="Omar Diouf"/>
    <s v="globalphysio221@gmail.com"/>
    <x v="1"/>
    <x v="0"/>
  </r>
  <r>
    <s v="MEGA"/>
    <s v="Validé"/>
    <x v="81"/>
    <s v="Ndeye Aminata Sow"/>
    <s v="aminata.sow@mega-sn.com"/>
    <x v="1"/>
    <x v="0"/>
  </r>
  <r>
    <s v="C2K STAFFING S.A.R.L"/>
    <s v="Validé"/>
    <x v="82"/>
    <s v="MAMADOU DOUDOU NDIAYE "/>
    <s v="mamadou.ndiaye@c2kstaffing.com"/>
    <x v="1"/>
    <x v="0"/>
  </r>
  <r>
    <s v="AFRIQUE DES MERVEILLES "/>
    <s v="Validé"/>
    <x v="83"/>
    <s v="Doro  NIANG "/>
    <s v="montsnimbasenegal@gmail.com"/>
    <x v="1"/>
    <x v="0"/>
  </r>
  <r>
    <s v="BAMBUK MINERALS SÉNÉGAL"/>
    <s v="Validé"/>
    <x v="84"/>
    <s v="Hamidou Oumar SOW"/>
    <s v="hamidou.sow@petowal.com"/>
    <x v="4"/>
    <x v="0"/>
  </r>
  <r>
    <s v="CENTRE D'AFFAIRES MEDICALES AFRIQUE / CAMA"/>
    <s v="Validé"/>
    <x v="85"/>
    <s v="Mamadou Fadel  Mbaye "/>
    <s v="camamatmed@gmail.com"/>
    <x v="1"/>
    <x v="0"/>
  </r>
  <r>
    <s v="PROCESS MASTER SENEGAL"/>
    <s v="Validé"/>
    <x v="86"/>
    <s v="ABDOU BA"/>
    <s v="abdou.ba@process-master.com"/>
    <x v="1"/>
    <x v="0"/>
  </r>
  <r>
    <s v="AUTOMECA SENEGAL"/>
    <s v="Validé"/>
    <x v="87"/>
    <s v="MOHAMED JARKAS"/>
    <s v="direction@automeca.sn"/>
    <x v="1"/>
    <x v="0"/>
  </r>
  <r>
    <s v="INFINITY OVERSEAS "/>
    <s v="Validé"/>
    <x v="88"/>
    <s v="Arame der Khoule"/>
    <s v="arame@infinity-overseas.com"/>
    <x v="0"/>
    <x v="0"/>
  </r>
  <r>
    <s v="TFE SÉNÉGAL"/>
    <s v="Validé"/>
    <x v="89"/>
    <s v="Louis SANTI"/>
    <s v="louis.santi@grouptfe.com"/>
    <x v="0"/>
    <x v="0"/>
  </r>
  <r>
    <s v="SYSROAD"/>
    <s v="Validé"/>
    <x v="90"/>
    <s v="Oumar SECK"/>
    <s v="info@sysroad.com"/>
    <x v="1"/>
    <x v="0"/>
  </r>
  <r>
    <s v="SENEGAL SUPPLY BASE"/>
    <s v="Validé"/>
    <x v="91"/>
    <s v="Daouda DIOUME"/>
    <s v="d.dioume@senegalsupplybase.com"/>
    <x v="1"/>
    <x v="0"/>
  </r>
  <r>
    <s v="BOYA SA"/>
    <s v="Validé"/>
    <x v="92"/>
    <s v="Rama SOW"/>
    <s v="cnscl@boya.sn"/>
    <x v="4"/>
    <x v="0"/>
  </r>
  <r>
    <s v="SIBM"/>
    <s v="Validé"/>
    <x v="93"/>
    <s v="Fatou Faye NIANG"/>
    <s v="f.niang@sibmsn.com"/>
    <x v="0"/>
    <x v="0"/>
  </r>
  <r>
    <s v="ACCEO SUARL"/>
    <s v="Validé"/>
    <x v="94"/>
    <s v="Alboury Ndao"/>
    <s v="alboury.ndao@acces-haut.com"/>
    <x v="1"/>
    <x v="0"/>
  </r>
  <r>
    <s v="ENTREPRISE ALBARKA"/>
    <s v="Validé"/>
    <x v="95"/>
    <s v="AWA SEYE"/>
    <s v="seyeawa662@gmail.com"/>
    <x v="1"/>
    <x v="0"/>
  </r>
  <r>
    <s v="HUGUES SOLUTION SARL"/>
    <s v="Validé"/>
    <x v="96"/>
    <s v="Salimata Diouf"/>
    <s v="s.ngari.sa@gmail.com"/>
    <x v="1"/>
    <x v="0"/>
  </r>
  <r>
    <s v="AGTS"/>
    <s v="Validé"/>
    <x v="97"/>
    <s v="Abdou Xaadir GAYE"/>
    <s v="abdouxaadir.gaye@agtsgroupe.com"/>
    <x v="1"/>
    <x v="0"/>
  </r>
  <r>
    <s v="SOCIETE INTERNATIONALE FACILITY ENERGY SENEGAL"/>
    <s v="Validé"/>
    <x v="98"/>
    <s v="Abdourahmane BARRY"/>
    <s v="contacts@sifens.com"/>
    <x v="1"/>
    <x v="0"/>
  </r>
  <r>
    <s v="WISE"/>
    <s v="Validé"/>
    <x v="99"/>
    <s v="Didi Diouf"/>
    <s v="didi.diouf@wise-group.tech"/>
    <x v="1"/>
    <x v="0"/>
  </r>
  <r>
    <s v="DIEYLANI AER SASU"/>
    <s v="Validé"/>
    <x v="100"/>
    <s v="Abdou Khadre DIOP"/>
    <s v="abdou.diop@dieylani.com"/>
    <x v="1"/>
    <x v="0"/>
  </r>
  <r>
    <s v="MHK LOGISTIQUE"/>
    <s v="Validé"/>
    <x v="101"/>
    <s v="Mamadou Malal  Kane"/>
    <s v="logistiquemhk@gmail.com"/>
    <x v="1"/>
    <x v="0"/>
  </r>
  <r>
    <s v="EMOSFK SARL"/>
    <s v="Validé"/>
    <x v="102"/>
    <s v="Seydou SALL"/>
    <s v="seydou1212@gmail.com"/>
    <x v="1"/>
    <x v="0"/>
  </r>
  <r>
    <s v="KOCC BARMA FALL"/>
    <s v="Validé"/>
    <x v="103"/>
    <s v="Barma fall Kocc"/>
    <s v="koccbarmafalldiogo@gmail.com"/>
    <x v="1"/>
    <x v="0"/>
  </r>
  <r>
    <s v="BETON DU SÉNÉGAL SUARL "/>
    <s v="Validé"/>
    <x v="104"/>
    <s v="Mame Less Sene"/>
    <s v="betondusenegal@gmail.com"/>
    <x v="1"/>
    <x v="0"/>
  </r>
  <r>
    <s v="ABITA SENEGAL "/>
    <s v="Validé"/>
    <x v="105"/>
    <s v="Bara Nguirane"/>
    <s v="nguirane@gmail.com"/>
    <x v="1"/>
    <x v="0"/>
  </r>
  <r>
    <s v="VALTEO"/>
    <s v="Validé"/>
    <x v="106"/>
    <s v="Komi Landry AMENTI"/>
    <s v="contact@valteo-ingenierie.com"/>
    <x v="1"/>
    <x v="0"/>
  </r>
  <r>
    <s v="SABODALA BTP SERVICES SBTPS "/>
    <s v="Validé"/>
    <x v="107"/>
    <s v="Mamadou Coulibaly "/>
    <s v="sabodolabtpservicessbtps@gmail.com"/>
    <x v="1"/>
    <x v="0"/>
  </r>
  <r>
    <s v="TUNISAVIA"/>
    <s v="Validé"/>
    <x v="108"/>
    <s v="Rawaa Ben Said"/>
    <s v="commercial@tunisavia.com.tn"/>
    <x v="3"/>
    <x v="4"/>
  </r>
  <r>
    <s v="VINCI ENERGIES SENEGAL"/>
    <s v="Validé"/>
    <x v="109"/>
    <s v="VINCI Energies Sénégal"/>
    <s v="contact.ves@vinci-energies.com"/>
    <x v="0"/>
    <x v="0"/>
  </r>
  <r>
    <s v="RGA"/>
    <s v="Validé"/>
    <x v="110"/>
    <s v="Olivia Guilpain"/>
    <s v="olivia.guilpain@ramaguilpain.com"/>
    <x v="1"/>
    <x v="0"/>
  </r>
  <r>
    <s v="SAGA AFRICA HOLDINGS LIMITED SA"/>
    <s v="Validé"/>
    <x v="111"/>
    <s v="Daour Samb"/>
    <s v="daour.samb@yasbusiness.sn"/>
    <x v="0"/>
    <x v="0"/>
  </r>
  <r>
    <s v="MBOUP GROUP/4MG"/>
    <s v="Validé"/>
    <x v="112"/>
    <s v="CHEIKH MBOUP"/>
    <s v="4mgroup2016@gmail.com"/>
    <x v="1"/>
    <x v="0"/>
  </r>
  <r>
    <s v="JURIFISC &amp; SERVICES CONSULTING SARL"/>
    <s v="Validé"/>
    <x v="113"/>
    <s v="Demba Sény Diallo"/>
    <s v="diallodembaseny@gmail.com"/>
    <x v="1"/>
    <x v="0"/>
  </r>
  <r>
    <s v="SENEGAL REMOTE SERVICES"/>
    <s v="Validé"/>
    <x v="114"/>
    <s v="MANSOUR NIANG"/>
    <s v="mansourniang@pargest.sn"/>
    <x v="1"/>
    <x v="0"/>
  </r>
  <r>
    <s v="CTD CONSTRUCTIONS ET DESIGN SUARL"/>
    <s v="Validé"/>
    <x v="115"/>
    <s v="Cheikh DIA"/>
    <s v="constructionsetdesign@outlook.com"/>
    <x v="1"/>
    <x v="0"/>
  </r>
  <r>
    <s v="BIA DAKAR"/>
    <s v="Validé"/>
    <x v="116"/>
    <s v="GOMIS ISABELLE"/>
    <s v="biadakar.cl@biagroup.com"/>
    <x v="0"/>
    <x v="0"/>
  </r>
  <r>
    <s v="SODIMEL INTERNATIONALE SA"/>
    <s v="Validé"/>
    <x v="117"/>
    <s v="Cheikhou DIALLO"/>
    <s v="cdiallo@sodimelsa.sn"/>
    <x v="1"/>
    <x v="0"/>
  </r>
  <r>
    <s v="SIGA CORPORATE"/>
    <s v="Validé"/>
    <x v="118"/>
    <s v="Wilfried Mitokpe"/>
    <s v="wilfrid.mitokpe@sigacorporate.sn"/>
    <x v="1"/>
    <x v="0"/>
  </r>
  <r>
    <s v="DIASS INDUSTRIES SAS"/>
    <s v="Validé"/>
    <x v="119"/>
    <s v="ABDOU KANE"/>
    <s v="administration@diass-industries.com"/>
    <x v="1"/>
    <x v="0"/>
  </r>
  <r>
    <s v="SYCAD"/>
    <s v="Validé"/>
    <x v="120"/>
    <s v="Mouhamed Lo"/>
    <s v="lomouhamed@gmail.com"/>
    <x v="1"/>
    <x v="0"/>
  </r>
  <r>
    <s v="PROSEN SARL"/>
    <s v="Validé"/>
    <x v="121"/>
    <s v="Cheikh Sadibou Ndiaye"/>
    <s v="contact@prosen.sn"/>
    <x v="1"/>
    <x v="0"/>
  </r>
  <r>
    <s v="SOUTIEN INDUSTRIE SARL"/>
    <s v="Validé"/>
    <x v="122"/>
    <s v="Ahmadou Khadim  Khoule"/>
    <s v="sisarl@orange.sn"/>
    <x v="1"/>
    <x v="0"/>
  </r>
  <r>
    <s v="TOP STRUCTURES"/>
    <s v="Validé"/>
    <x v="123"/>
    <s v="Birame  TOP"/>
    <s v="info@topstructures.de"/>
    <x v="1"/>
    <x v="0"/>
  </r>
  <r>
    <s v="AXIUM PROPERTIES"/>
    <s v="Validé"/>
    <x v="124"/>
    <s v="Civol Kane "/>
    <s v="civolkane@gmail.com"/>
    <x v="1"/>
    <x v="0"/>
  </r>
  <r>
    <s v="DA ROSA SERVICES"/>
    <s v="Validé"/>
    <x v="125"/>
    <s v="VICTOR PIERRE DA-ROSA"/>
    <s v="victorpierredarosa@gmail.com"/>
    <x v="5"/>
    <x v="0"/>
  </r>
  <r>
    <s v="KHAFANDAM"/>
    <s v="Validé"/>
    <x v="126"/>
    <s v="Lamine Ndour"/>
    <s v="xafandamsn@gmail.com"/>
    <x v="1"/>
    <x v="0"/>
  </r>
  <r>
    <s v="SANET SERVICES"/>
    <s v="Validé"/>
    <x v="127"/>
    <s v="Sagna Seynabou "/>
    <s v="seynabousagna1997@gmail.com"/>
    <x v="1"/>
    <x v="0"/>
  </r>
  <r>
    <s v="MAKABINGUI GOLD COPORATION"/>
    <s v="Validé"/>
    <x v="128"/>
    <s v="Papa Ndongo SOW"/>
    <s v="papans@mgosn.com"/>
    <x v="6"/>
    <x v="0"/>
  </r>
  <r>
    <s v="GIE BENNO LIGEY"/>
    <s v="Validé"/>
    <x v="129"/>
    <s v="Mbacke Seck"/>
    <s v="seckmbacke507@gmail.com"/>
    <x v="5"/>
    <x v="0"/>
  </r>
  <r>
    <s v="AFRICA POWER SERVICES"/>
    <s v="Validé"/>
    <x v="130"/>
    <s v="Anne laure Bertinotti"/>
    <s v="legal@africapowerservices.com"/>
    <x v="3"/>
    <x v="2"/>
  </r>
  <r>
    <s v="CCBM INDUSTRIES AUTOMOBILES"/>
    <s v="Validé"/>
    <x v="131"/>
    <s v="Ditoma ALETA"/>
    <s v="ditoma.aleta@ccbm.sn"/>
    <x v="1"/>
    <x v="0"/>
  </r>
  <r>
    <s v="BOC LOGISTIC SARL"/>
    <s v="Validé"/>
    <x v="132"/>
    <s v="FABIENNE DIOUF"/>
    <s v="boclogisticssarl@outlook.com"/>
    <x v="1"/>
    <x v="0"/>
  </r>
  <r>
    <s v="SENDRILL ROCK TOOLS"/>
    <s v="Validé"/>
    <x v="133"/>
    <s v="Sadek Tarraf"/>
    <s v="info@sendrillrocktools.com"/>
    <x v="1"/>
    <x v="0"/>
  </r>
  <r>
    <s v="STEP'IN SARL"/>
    <s v="Validé"/>
    <x v="134"/>
    <s v="Abdourahmane Tall"/>
    <s v="abdourahmane.tall@stepin-africa.com"/>
    <x v="0"/>
    <x v="0"/>
  </r>
  <r>
    <s v="CMG"/>
    <s v="Validé"/>
    <x v="135"/>
    <s v="Matar LÔ"/>
    <s v="cmgmboro@gmail.com"/>
    <x v="1"/>
    <x v="0"/>
  </r>
  <r>
    <s v="KEUR MAME DABA AWA DIOP(MDAD)"/>
    <s v="Validé"/>
    <x v="136"/>
    <s v="Beye Abdou"/>
    <s v="mdaddiogo@gmail.com"/>
    <x v="1"/>
    <x v="0"/>
  </r>
  <r>
    <s v="PROSEN SARL"/>
    <s v="Validé"/>
    <x v="137"/>
    <s v="cheikh sadibou ndiaye"/>
    <s v="cheikh.ndiaye@prosen.sn"/>
    <x v="1"/>
    <x v="0"/>
  </r>
  <r>
    <s v="BCM GROUP SENEGAL"/>
    <s v="Validé"/>
    <x v="138"/>
    <s v="Laurent Gaba"/>
    <s v="gabalaurent@gmail.com"/>
    <x v="2"/>
    <x v="0"/>
  </r>
  <r>
    <s v="CORRPRO COMPANIES EUROPE LIMTED"/>
    <s v="Validé"/>
    <x v="139"/>
    <s v="James Neilson"/>
    <s v="ccel@corrproeurope.com"/>
    <x v="3"/>
    <x v="3"/>
  </r>
  <r>
    <s v="VM STEEL "/>
    <s v="Validé"/>
    <x v="140"/>
    <s v="Pascal Vandevelde"/>
    <s v="p.vandevelde@vmsteel.com"/>
    <x v="3"/>
    <x v="5"/>
  </r>
  <r>
    <s v="BILAL OIL"/>
    <s v="Validé"/>
    <x v="141"/>
    <s v="ADAMA GUEYE"/>
    <s v="bilaloil@bilaloil.com"/>
    <x v="1"/>
    <x v="0"/>
  </r>
  <r>
    <s v="SACOTEN-SN SUARL "/>
    <s v="Validé"/>
    <x v="142"/>
    <s v="Amadou Wilfried Hashime SANON"/>
    <s v="swilfried@sacoten.com"/>
    <x v="0"/>
    <x v="0"/>
  </r>
  <r>
    <s v="TALIXMAN "/>
    <s v="Validé"/>
    <x v="143"/>
    <s v="Assane Sy"/>
    <s v="assane.sy@talixmangroup.com"/>
    <x v="1"/>
    <x v="0"/>
  </r>
  <r>
    <s v="MINTECH SARL"/>
    <s v="Validé"/>
    <x v="144"/>
    <s v="Khady GUEYE"/>
    <s v="khady.gueye@mining-technologie.com"/>
    <x v="1"/>
    <x v="0"/>
  </r>
  <r>
    <s v="GLOBAL ENERGY SERVICES"/>
    <s v="Validé"/>
    <x v="145"/>
    <s v="Tony CISSE"/>
    <s v="info@ges-company.com"/>
    <x v="1"/>
    <x v="0"/>
  </r>
  <r>
    <s v="GARAGE  SALIKHOU"/>
    <s v="Validé"/>
    <x v="146"/>
    <s v="Salikhou  SAMBE"/>
    <s v="zal66@yahoo.fr"/>
    <x v="1"/>
    <x v="0"/>
  </r>
  <r>
    <s v="SEEE SENEGAL SA"/>
    <s v="Validé"/>
    <x v="147"/>
    <s v="Pap Ismaél NDAO"/>
    <s v="seee.senegal@gmail.com"/>
    <x v="1"/>
    <x v="0"/>
  </r>
  <r>
    <s v="TECHNICAL PROCUREMENT SERVICEES"/>
    <s v="Validé"/>
    <x v="148"/>
    <s v="Coumba Khoule"/>
    <s v="coumba@tps-senegal.com"/>
    <x v="1"/>
    <x v="0"/>
  </r>
  <r>
    <s v="SEA ENGINEERING"/>
    <s v="Validé"/>
    <x v="149"/>
    <s v="Mamadou DIOP"/>
    <s v="mamadou.diop@seaengineering-ltd.com"/>
    <x v="1"/>
    <x v="0"/>
  </r>
  <r>
    <s v="KHADIM SOUDURE MONTAGE INDUSTRIELLE"/>
    <s v="Validé"/>
    <x v="150"/>
    <s v="Khadim FALL"/>
    <s v="ksmikhadim@gmail.com"/>
    <x v="1"/>
    <x v="0"/>
  </r>
  <r>
    <s v="SABODALA MINING SERVICE SARL"/>
    <s v="Validé"/>
    <x v="151"/>
    <s v="MADY SOUMARE"/>
    <s v="sabodalaminingservicesarl@gmail.com"/>
    <x v="1"/>
    <x v="0"/>
  </r>
  <r>
    <s v="ETIM SARL"/>
    <s v="Validé"/>
    <x v="152"/>
    <s v="MAMADOU SENE"/>
    <s v="etimsarlsenegal@gmail.com"/>
    <x v="1"/>
    <x v="0"/>
  </r>
  <r>
    <s v="SNIJDER MINING CONTRACTING "/>
    <s v="Validé"/>
    <x v="153"/>
    <s v="Roel te Braake"/>
    <s v="r.tebraake@snijder.nl"/>
    <x v="3"/>
    <x v="6"/>
  </r>
  <r>
    <s v="TRI ENGINEERING SARL"/>
    <s v="Validé"/>
    <x v="154"/>
    <s v="THOMAS MANOJ "/>
    <s v="manoj.thomas@triengineering.co"/>
    <x v="1"/>
    <x v="0"/>
  </r>
  <r>
    <s v="AZURTECH SENEGAL"/>
    <s v="Validé"/>
    <x v="155"/>
    <s v="MOUHAMADOU BECAYE BARRY"/>
    <s v="barrybecaye@gmail.com"/>
    <x v="1"/>
    <x v="0"/>
  </r>
  <r>
    <s v="ENTREPRISE ABDOULAYE KEBE (EAK)"/>
    <s v="Validé"/>
    <x v="156"/>
    <s v="Babacar  Mbodj"/>
    <s v="sakhocheikhou97@gmail.com"/>
    <x v="1"/>
    <x v="0"/>
  </r>
  <r>
    <s v="PRO-MECH"/>
    <s v="Validé"/>
    <x v="157"/>
    <s v="SAMBE Abdoulaye"/>
    <s v="abdoulaye.s@pro-mech616.com"/>
    <x v="1"/>
    <x v="0"/>
  </r>
  <r>
    <s v="ZENITH"/>
    <s v="Validé"/>
    <x v="158"/>
    <s v="Khadim Dia"/>
    <s v="nbamba620@gmail.com"/>
    <x v="1"/>
    <x v="0"/>
  </r>
  <r>
    <s v="DPM CONSULTING"/>
    <s v="Validé"/>
    <x v="159"/>
    <s v="Ndeye Thioumboulaye NDIAYE"/>
    <s v="al.ba@dpm-sn.com"/>
    <x v="1"/>
    <x v="0"/>
  </r>
  <r>
    <s v="HELIX SEN"/>
    <s v="Validé"/>
    <x v="160"/>
    <s v="Youssou Jules DIOP"/>
    <s v="jules.diop@helixsen.com"/>
    <x v="1"/>
    <x v="0"/>
  </r>
  <r>
    <s v="SENSOG"/>
    <s v="Validé"/>
    <x v="161"/>
    <s v="Fabrice DESGARDIN"/>
    <s v="fdesgardin@soudotec.net"/>
    <x v="1"/>
    <x v="0"/>
  </r>
  <r>
    <s v="AFRICAN UNDERGROUND MINING SERVICES SENEGAL SUARL"/>
    <s v="Validé"/>
    <x v="162"/>
    <s v="Mark McLaskey"/>
    <s v="mark.mclaskey@amsgh.com"/>
    <x v="2"/>
    <x v="0"/>
  </r>
  <r>
    <s v="GECTIS"/>
    <s v="Validé"/>
    <x v="163"/>
    <s v="Cheikh  Fall"/>
    <s v="gectis@yahoo.fr"/>
    <x v="1"/>
    <x v="0"/>
  </r>
  <r>
    <s v="SENEGALAISE DES TRAVAUX SPECIAUX"/>
    <s v="Validé"/>
    <x v="164"/>
    <s v="NESTOR DIATTA"/>
    <s v="contact@sentras-sn.com"/>
    <x v="1"/>
    <x v="0"/>
  </r>
  <r>
    <s v="ORSEN"/>
    <s v="Validé"/>
    <x v="165"/>
    <s v="Mathieu Castelain"/>
    <s v="mathieu.castelain@friedlander-international.com"/>
    <x v="0"/>
    <x v="0"/>
  </r>
  <r>
    <s v="KIMS"/>
    <s v="Validé"/>
    <x v="166"/>
    <s v="Mohamed Habib  Cissokho"/>
    <s v="industrialminingservices.kims@gmail.com"/>
    <x v="1"/>
    <x v="0"/>
  </r>
  <r>
    <s v="SONATEL"/>
    <s v="Validé"/>
    <x v="167"/>
    <s v="Aminata KOUNTA"/>
    <s v="aminata.kounta@orange-sonatel.com"/>
    <x v="0"/>
    <x v="0"/>
  </r>
  <r>
    <s v="RASSOUL GLOBAL SERVICES SUARL "/>
    <s v="Validé"/>
    <x v="168"/>
    <s v="PAPE THIERNO TOP"/>
    <s v="contact@rassoulglobalservices.sn"/>
    <x v="1"/>
    <x v="0"/>
  </r>
  <r>
    <s v="CARRIERE360 SARL"/>
    <s v="Validé"/>
    <x v="169"/>
    <s v="Abdoul Aziz Ciss"/>
    <s v="aciss@carriere360.com"/>
    <x v="1"/>
    <x v="0"/>
  </r>
  <r>
    <s v="KALOM CONSTRUCTION ETUDE ET SUIVI"/>
    <s v="Validé"/>
    <x v="170"/>
    <s v="YOUSSOUPHA NDIAYE"/>
    <s v="kalomconstruction@gmail.com"/>
    <x v="1"/>
    <x v="0"/>
  </r>
  <r>
    <s v="ENTREPRISE ABY TOURE "/>
    <s v="Validé"/>
    <x v="171"/>
    <s v="Aby Gabriel  Toure"/>
    <s v="abytoure084@gmail.com"/>
    <x v="1"/>
    <x v="0"/>
  </r>
  <r>
    <s v="GIE JUMEAUX ET FRERES"/>
    <s v="Validé"/>
    <x v="172"/>
    <s v="SENY DANFAKHA"/>
    <s v="danfakhaseny880@gmail.com"/>
    <x v="5"/>
    <x v="0"/>
  </r>
  <r>
    <s v="BLED SARL"/>
    <s v="Validé"/>
    <x v="173"/>
    <s v="Baye mor Gueye"/>
    <s v="bmgamgueye@gmail.com"/>
    <x v="1"/>
    <x v="0"/>
  </r>
  <r>
    <s v="TERANGA ENERGIES CONSULT"/>
    <s v="Validé"/>
    <x v="174"/>
    <s v="Ndéné SARR"/>
    <s v="ndene.sarr@teranga-energies.com"/>
    <x v="1"/>
    <x v="0"/>
  </r>
  <r>
    <s v="GIE BELEDOUGOU"/>
    <s v="Validé"/>
    <x v="175"/>
    <s v="Néné CISSOKHO"/>
    <s v="cissokhonene95@gmail.com"/>
    <x v="5"/>
    <x v="0"/>
  </r>
  <r>
    <s v="LOMBOL SERVICES SARL"/>
    <s v="Validé"/>
    <x v="176"/>
    <s v="Danfakha Tamba "/>
    <s v="tdanfakha09@gmail.com"/>
    <x v="1"/>
    <x v="0"/>
  </r>
  <r>
    <s v="GASETECH-AFRICA"/>
    <s v="Validé"/>
    <x v="177"/>
    <s v="Moctar dit Ndiaga Ndiaye"/>
    <s v="n.ndiaye@gasetech-africa.com"/>
    <x v="1"/>
    <x v="0"/>
  </r>
  <r>
    <s v="MBORO TRAVAUX INDUSTRIELS"/>
    <s v="Validé"/>
    <x v="178"/>
    <s v="Samour  Ndiaye "/>
    <s v="mborotravauxindustriels@gmail.com"/>
    <x v="1"/>
    <x v="0"/>
  </r>
  <r>
    <s v="CABINET SAND CONSULTING"/>
    <s v="Validé"/>
    <x v="179"/>
    <s v="Sara TINE"/>
    <s v="sandconsulting20@gmail.com"/>
    <x v="1"/>
    <x v="0"/>
  </r>
  <r>
    <s v="AEROMINETECH"/>
    <s v="Validé"/>
    <x v="180"/>
    <s v="Daouda Ibrahima BA"/>
    <s v="aerominetech@gmail.com"/>
    <x v="1"/>
    <x v="0"/>
  </r>
  <r>
    <s v="VISION INTERNATIONALE DES PRODUITS"/>
    <s v="Validé"/>
    <x v="181"/>
    <s v="SOUKAYE MAR"/>
    <s v="documentvip2019@gmail.com"/>
    <x v="1"/>
    <x v="0"/>
  </r>
  <r>
    <s v="SANGALA SUARL"/>
    <s v="Validé"/>
    <x v="182"/>
    <s v="Kansala  Camara "/>
    <s v="ckansala44@yahoo.com"/>
    <x v="1"/>
    <x v="0"/>
  </r>
  <r>
    <s v="SUNTECH ENGI AUTOMATION PRIVATE LIMITED"/>
    <s v="Validé"/>
    <x v="183"/>
    <s v="DEVENDRA GUPTA"/>
    <s v="suncomputech866@gmail.com"/>
    <x v="3"/>
    <x v="7"/>
  </r>
  <r>
    <s v="CIE MULTI SERVICES "/>
    <s v="Validé"/>
    <x v="184"/>
    <s v="Aliou Diop"/>
    <s v="adiopgms@gmail.com"/>
    <x v="5"/>
    <x v="0"/>
  </r>
  <r>
    <s v="AZ SERVICES SARL"/>
    <s v="Validé"/>
    <x v="185"/>
    <s v="Bassim Hachem"/>
    <s v="azservicessarl@gmail.com"/>
    <x v="6"/>
    <x v="0"/>
  </r>
  <r>
    <s v="ACADÉMIE COUPE ET COUTURE THIES"/>
    <s v="Validé"/>
    <x v="186"/>
    <s v="babacar gueye"/>
    <s v="acctthies@gmail.com"/>
    <x v="1"/>
    <x v="0"/>
  </r>
  <r>
    <s v="KEKENDO AFRICA ENGINEERING "/>
    <s v="Validé"/>
    <x v="187"/>
    <s v="Mamadou Lamine KAGNY"/>
    <s v="kagny.lamine@kekendoafricapoly.com"/>
    <x v="2"/>
    <x v="0"/>
  </r>
  <r>
    <s v="PUMP AND ABRASION TECHNOLOGIES "/>
    <s v="Validé"/>
    <x v="188"/>
    <s v="Franco Swanepoel"/>
    <s v="francos@pumpab.co.za"/>
    <x v="3"/>
    <x v="1"/>
  </r>
  <r>
    <s v="ENTREPRISE GÉNÉRALE DE TRAVAUX"/>
    <s v="Validé"/>
    <x v="189"/>
    <s v="Papa Demba  Thiam"/>
    <s v="dfthiam@gmail.com"/>
    <x v="1"/>
    <x v="0"/>
  </r>
  <r>
    <s v="SOCIETE MINIERE AFRICAINE"/>
    <s v="Validé"/>
    <x v="190"/>
    <s v="Moussa Diene"/>
    <s v="mdiene@gmail.com"/>
    <x v="6"/>
    <x v="0"/>
  </r>
  <r>
    <s v="FBR TRANSPORT"/>
    <s v="Validé"/>
    <x v="191"/>
    <s v="Illo Ndoye"/>
    <s v="illo.ndoye@fbr-transports.com"/>
    <x v="1"/>
    <x v="0"/>
  </r>
  <r>
    <s v="ERIUM SENEGAL"/>
    <s v="Validé"/>
    <x v="192"/>
    <s v="KHOUDIEDJI  SOUMARE"/>
    <s v="khoudiedji.soumare@erium.com"/>
    <x v="0"/>
    <x v="0"/>
  </r>
  <r>
    <s v="MATONDO SUARL"/>
    <s v="Validé"/>
    <x v="193"/>
    <s v="Helene SARR"/>
    <s v="adv@matondo.sn"/>
    <x v="1"/>
    <x v="0"/>
  </r>
  <r>
    <s v="PANOM HOLDING SUARL"/>
    <s v="Validé"/>
    <x v="194"/>
    <s v="IDRISSA DIALLO"/>
    <s v="elhadjidaouda94@gmail.com"/>
    <x v="1"/>
    <x v="0"/>
  </r>
  <r>
    <s v="PST ENERGY"/>
    <s v="Validé"/>
    <x v="195"/>
    <s v="Hady SOW"/>
    <s v="direction@pstenergy.com"/>
    <x v="1"/>
    <x v="0"/>
  </r>
  <r>
    <s v="ME ELECMETAL SOUTH AFRICA (PTY) LTD"/>
    <s v="Validé"/>
    <x v="196"/>
    <s v="ELEMETAL ME"/>
    <s v="debtors@primaindustrial.co"/>
    <x v="3"/>
    <x v="1"/>
  </r>
  <r>
    <s v="TERANGA OIL &amp; GAS SERVICES"/>
    <s v="Validé"/>
    <x v="197"/>
    <s v="Otoikhine Ehis"/>
    <s v="ehis@terangaogcorp.com"/>
    <x v="1"/>
    <x v="0"/>
  </r>
  <r>
    <s v="AM-CO CONSULTING &amp; SERVICES"/>
    <s v="Validé"/>
    <x v="198"/>
    <s v="AMINATA BA"/>
    <s v="aminata.ba@amcoconsultingservices.com"/>
    <x v="1"/>
    <x v="0"/>
  </r>
  <r>
    <s v="DANGOTE CEMENT SENEGAL"/>
    <s v="Validé"/>
    <x v="199"/>
    <s v="Birame  FALL"/>
    <s v="birame.fall@dangote.com"/>
    <x v="6"/>
    <x v="0"/>
  </r>
  <r>
    <s v="DOUAISIS PREMIUM"/>
    <s v="Validé"/>
    <x v="200"/>
    <s v="Laurent PHILIPPON"/>
    <s v="l.philippon@douaisis.com"/>
    <x v="3"/>
    <x v="2"/>
  </r>
  <r>
    <s v="AFRICA CARGO CENTRAL - ACC SARL"/>
    <s v="Validé"/>
    <x v="201"/>
    <s v="LOGISTICS ACC"/>
    <s v="p.niang@acc-logistics.net"/>
    <x v="1"/>
    <x v="0"/>
  </r>
  <r>
    <s v="AND"/>
    <s v="Validé"/>
    <x v="202"/>
    <s v="Sengane  DIAGNE "/>
    <s v="amdy6968@gmail.com"/>
    <x v="1"/>
    <x v="0"/>
  </r>
  <r>
    <s v="ESETRAP "/>
    <s v="Validé"/>
    <x v="203"/>
    <s v="Guèye  Insa"/>
    <s v="insagueye30@gmail.com"/>
    <x v="1"/>
    <x v="0"/>
  </r>
  <r>
    <s v="NAY VISION SARL"/>
    <s v="Validé"/>
    <x v="204"/>
    <s v="Maxime DIATTA"/>
    <s v="elephantgmd@yahoo.fr"/>
    <x v="1"/>
    <x v="0"/>
  </r>
  <r>
    <s v="SOGUI DEVELOPPEMENT EXPRESS"/>
    <s v="Validé"/>
    <x v="205"/>
    <s v="Mamadou ngawa Dembele"/>
    <s v="dembeleham@gmail.com"/>
    <x v="1"/>
    <x v="0"/>
  </r>
  <r>
    <s v="GROUPE CF-ID HR PARTNER"/>
    <s v="Validé"/>
    <x v="206"/>
    <s v="Patrick MAILLET"/>
    <s v="patrick.maillet@groupe-cfid.com"/>
    <x v="1"/>
    <x v="0"/>
  </r>
  <r>
    <s v="MARINE PROCUREMENT SERVICES "/>
    <s v="Validé"/>
    <x v="207"/>
    <s v="Hane Maki"/>
    <s v="maki@mpssn.com"/>
    <x v="1"/>
    <x v="0"/>
  </r>
  <r>
    <s v="HYDRASS CONSULTING"/>
    <s v="Validé"/>
    <x v="208"/>
    <s v="MOUSSA DIOP"/>
    <s v="hydrassconsulting@gmail.com"/>
    <x v="1"/>
    <x v="0"/>
  </r>
  <r>
    <s v="DAKAR INTÉRIM SÉCURITÉ S.A."/>
    <s v="Validé"/>
    <x v="209"/>
    <s v="Erick DERAMBURE"/>
    <s v="de.erick99@gmail.com"/>
    <x v="0"/>
    <x v="0"/>
  </r>
  <r>
    <s v="OXYNIUM"/>
    <s v="Validé"/>
    <x v="210"/>
    <s v="Nene Foula Diallo"/>
    <s v="foula.diallo@oxynium-o2.com"/>
    <x v="1"/>
    <x v="0"/>
  </r>
  <r>
    <s v="DELUXE ENGINEERING COMPANY GROUP SUARL"/>
    <s v="Validé"/>
    <x v="211"/>
    <s v="Abdou NDIAYE"/>
    <s v="abdou@deluxegroupe.com"/>
    <x v="1"/>
    <x v="0"/>
  </r>
  <r>
    <s v="UNIVERSAL PRESTATION SERVICE "/>
    <s v="Validé"/>
    <x v="212"/>
    <s v="Makhtar Ndoumbe  Mbaye "/>
    <s v="universalprestaservices@gmail.com"/>
    <x v="1"/>
    <x v="0"/>
  </r>
  <r>
    <s v="2PI"/>
    <s v="Validé"/>
    <x v="213"/>
    <s v="AIDA DIOP"/>
    <s v="diopaida1987@gmail.com"/>
    <x v="1"/>
    <x v="0"/>
  </r>
  <r>
    <s v="OPUS BUYER"/>
    <s v="Validé"/>
    <x v="214"/>
    <s v="Penda Gaye"/>
    <s v="penda.gaye@opusbuyer.com"/>
    <x v="1"/>
    <x v="0"/>
  </r>
  <r>
    <s v="SAMA HOTELS"/>
    <s v="Validé"/>
    <x v="215"/>
    <s v="Awa BADIANE"/>
    <s v="abadiane@samahotels.com"/>
    <x v="1"/>
    <x v="0"/>
  </r>
  <r>
    <s v="WESTERN ALLIANCE SN"/>
    <s v="Validé"/>
    <x v="216"/>
    <s v="Soudatou Sow"/>
    <s v="soudatou@gmail.com"/>
    <x v="0"/>
    <x v="0"/>
  </r>
  <r>
    <s v="COMPTOIR COMMERCIAL KEUR SERIGNE SALIOU"/>
    <s v="Validé"/>
    <x v="217"/>
    <s v="CHEIKH GUEYE"/>
    <s v="cckss.senegal@gmail.com"/>
    <x v="1"/>
    <x v="0"/>
  </r>
  <r>
    <s v="ECKO"/>
    <s v="Validé"/>
    <x v="218"/>
    <s v="Laissa Diallo Ndiaye"/>
    <s v="ecko@ecko.sn"/>
    <x v="1"/>
    <x v="0"/>
  </r>
  <r>
    <s v="BATINOV SARL"/>
    <s v="Validé"/>
    <x v="219"/>
    <s v="ABDOU KANE"/>
    <s v="administration@batinov.sn"/>
    <x v="1"/>
    <x v="0"/>
  </r>
  <r>
    <s v="GROUPE BACA"/>
    <s v="Validé"/>
    <x v="220"/>
    <s v="Bacary DIATTA"/>
    <s v="groupebacagb@gmail.com"/>
    <x v="1"/>
    <x v="0"/>
  </r>
  <r>
    <s v="TELETRACK SOLUTIONS"/>
    <s v="Validé"/>
    <x v="221"/>
    <s v="Bakary Sall"/>
    <s v="bakarysall@teletracksolutions.com"/>
    <x v="1"/>
    <x v="0"/>
  </r>
  <r>
    <s v="CORICA MINING SERVICES SARL"/>
    <s v="Validé"/>
    <x v="222"/>
    <s v="Abdoulaye DIALLO"/>
    <s v="abdoulaye.diallo@corica.com"/>
    <x v="2"/>
    <x v="0"/>
  </r>
  <r>
    <s v="BABAT"/>
    <s v="Validé"/>
    <x v="223"/>
    <s v="SAMBA NDIAYE"/>
    <s v="beyty11@gmail.com"/>
    <x v="1"/>
    <x v="0"/>
  </r>
  <r>
    <s v="DANFAKHA ET FRERE"/>
    <s v="Validé"/>
    <x v="224"/>
    <s v="Mady DANFAKHA"/>
    <s v="danfakhakabamady@gmail.com"/>
    <x v="1"/>
    <x v="0"/>
  </r>
  <r>
    <s v="SPIE GLOBAL SERVICES ENERGY SENEGAL"/>
    <s v="Validé"/>
    <x v="225"/>
    <s v="Mark  Notoma"/>
    <s v="mark.notoma@spie.com"/>
    <x v="0"/>
    <x v="0"/>
  </r>
  <r>
    <s v="BATIFORT"/>
    <s v="Validé"/>
    <x v="226"/>
    <s v="Emmanuel agbegnigan  FANGNON "/>
    <s v="faemma2000@yahoo.fr"/>
    <x v="1"/>
    <x v="0"/>
  </r>
  <r>
    <s v="ENTREPRISE ALPHA DIALLO"/>
    <s v="Validé"/>
    <x v="227"/>
    <s v="Alpha DIALLO"/>
    <s v="dalpha5200@gmail.com"/>
    <x v="1"/>
    <x v="0"/>
  </r>
  <r>
    <s v="SEMBOUYA AGRO BUSINESS(SAB)"/>
    <s v="Validé"/>
    <x v="228"/>
    <s v="Bangaly Danfakha"/>
    <s v="bangalydanfakha2015@gmail.com"/>
    <x v="5"/>
    <x v="0"/>
  </r>
  <r>
    <s v="SARAYA CONSTRUCTIONS ET SERVICES "/>
    <s v="Validé"/>
    <x v="229"/>
    <s v="Mamadou Ouleye  Diallo "/>
    <s v="dmamadououle@yahoo.fr"/>
    <x v="1"/>
    <x v="0"/>
  </r>
  <r>
    <s v="DIMEXCO SENEGAL "/>
    <s v="Validé"/>
    <x v="230"/>
    <s v="Guillaume t'Serstevens"/>
    <s v="gmc@dimexco.be"/>
    <x v="0"/>
    <x v="0"/>
  </r>
  <r>
    <s v="GEKKO SYSTEMS"/>
    <s v="Validé"/>
    <x v="231"/>
    <s v="Bell Tim"/>
    <s v="gekkos@gekkos.com"/>
    <x v="3"/>
    <x v="8"/>
  </r>
  <r>
    <s v="SKAKO VIBRATION"/>
    <s v="Validé"/>
    <x v="232"/>
    <s v="Déborah MATTER"/>
    <s v="skakovibration.fr@skako.com"/>
    <x v="3"/>
    <x v="2"/>
  </r>
  <r>
    <s v="MINING SUPPLY SOLUTIONS (M2S)"/>
    <s v="Validé"/>
    <x v="233"/>
    <s v="Magatte Fall"/>
    <s v="mfall@miningsupplysolutions.com"/>
    <x v="1"/>
    <x v="0"/>
  </r>
  <r>
    <s v="LE CARTEL DES LOCATIONS DE VEHICULE SUARL "/>
    <s v="Validé"/>
    <x v="234"/>
    <s v="Sarr Talla"/>
    <s v="cartel2022@yahoo.com"/>
    <x v="1"/>
    <x v="0"/>
  </r>
  <r>
    <s v="CARMEUSE SENEGAL"/>
    <s v="Validé"/>
    <x v="235"/>
    <s v="Mame Marieme TINE"/>
    <s v="marieme.tine@carmeusesenegal.com"/>
    <x v="0"/>
    <x v="0"/>
  </r>
  <r>
    <s v="DGMS"/>
    <s v="Validé"/>
    <x v="236"/>
    <s v="Doune MBENGUE"/>
    <s v="dgmsparts@gmail.com"/>
    <x v="1"/>
    <x v="0"/>
  </r>
  <r>
    <s v="LAPP PORTUGAL"/>
    <s v="Validé"/>
    <x v="237"/>
    <s v="Miguel Epifânio"/>
    <s v="miguel.epifanio@lapp.com"/>
    <x v="3"/>
    <x v="9"/>
  </r>
  <r>
    <s v="VULCAN INDUSTRIAL ENGG CO PVT LTD"/>
    <s v="Validé"/>
    <x v="238"/>
    <s v="Dharmesh Dalwadi"/>
    <s v="dharmesh@viecl.com"/>
    <x v="3"/>
    <x v="7"/>
  </r>
  <r>
    <s v="KIZ CONSULTING"/>
    <s v="Validé"/>
    <x v="239"/>
    <s v="Zanape Kone"/>
    <s v="zanape@kizconsulting.com"/>
    <x v="0"/>
    <x v="0"/>
  </r>
  <r>
    <s v="CORAXIS SARL"/>
    <s v="Validé"/>
    <x v="240"/>
    <s v="Ramatoulaye DIEDHIOU"/>
    <s v="bijoudiedhiou@gmail.com"/>
    <x v="1"/>
    <x v="0"/>
  </r>
  <r>
    <s v="FUELEX SA"/>
    <s v="Validé"/>
    <x v="241"/>
    <s v="Hyacinthe SAMBOU"/>
    <s v="hyacinthe.sambou@fuelex.sn"/>
    <x v="1"/>
    <x v="0"/>
  </r>
  <r>
    <s v="BAOLA ENERGY GROUP"/>
    <s v="Validé"/>
    <x v="242"/>
    <s v="Lina Manuelle MILENDJI NYARE"/>
    <s v="lina.nyare@baolaenergy.com"/>
    <x v="1"/>
    <x v="0"/>
  </r>
  <r>
    <s v="REG-PRO ENERGY"/>
    <s v="Validé"/>
    <x v="243"/>
    <s v="NDEYE FATOU NDOUR"/>
    <s v="ndeyefatou.ndour@regpro-energy.com"/>
    <x v="1"/>
    <x v="0"/>
  </r>
  <r>
    <s v="EQUIPEX"/>
    <s v="Validé"/>
    <x v="244"/>
    <s v="Sadou Diallo"/>
    <s v="diallo.lamine@equipex.sn"/>
    <x v="1"/>
    <x v="0"/>
  </r>
  <r>
    <s v="IBA TECHNOLOGIE"/>
    <s v="Validé"/>
    <x v="245"/>
    <s v="Ibrahima BA"/>
    <s v="ibatechnologie@gmail.com"/>
    <x v="1"/>
    <x v="0"/>
  </r>
  <r>
    <s v="OTIS GROUP SENEGAL"/>
    <s v="Validé"/>
    <x v="246"/>
    <s v="ASSANE DIENG"/>
    <s v="otisgroupsen@gmail.com"/>
    <x v="1"/>
    <x v="0"/>
  </r>
  <r>
    <s v="CHALLENGE 2000 SARL "/>
    <s v="Validé"/>
    <x v="247"/>
    <s v="Mouhamadou Lamine DIAGNE"/>
    <s v="lamine.diagne@challenge2000.sn"/>
    <x v="2"/>
    <x v="0"/>
  </r>
  <r>
    <s v="INGENIERIE ET TECHNOLOGIE"/>
    <s v="Validé"/>
    <x v="248"/>
    <s v="Mor Wade"/>
    <s v="mor.wade@ingetechnologie.com"/>
    <x v="1"/>
    <x v="0"/>
  </r>
  <r>
    <s v="EAU CLAIRE SENEGAL SARL"/>
    <s v="Validé"/>
    <x v="249"/>
    <s v="Ousmane Diallo"/>
    <s v="eauclairesenegal@gmail.com"/>
    <x v="1"/>
    <x v="0"/>
  </r>
  <r>
    <s v="3MD ENERGY"/>
    <s v="Validé"/>
    <x v="250"/>
    <s v="Carole Maria MBENGUE"/>
    <s v="carolemaria.mbengue@3mdenergy.com"/>
    <x v="1"/>
    <x v="0"/>
  </r>
  <r>
    <s v="LAIMRI SARL (LABORATOIRE INTERNATIONAL D"/>
    <s v="Validé"/>
    <x v="251"/>
    <s v="Papa Ngoumba SENE"/>
    <s v="dg@laboratoiredemetrologie.com"/>
    <x v="1"/>
    <x v="0"/>
  </r>
  <r>
    <s v="GALAXY INDUSTRIES CORPORATION"/>
    <s v="Validé"/>
    <x v="252"/>
    <s v="Marie Helene DOCANTO"/>
    <s v="mh@galaxyindustriescorp.com"/>
    <x v="1"/>
    <x v="0"/>
  </r>
  <r>
    <s v="SAHE SARL"/>
    <s v="Validé"/>
    <x v="253"/>
    <s v="Amadou  DIALLO"/>
    <s v="amadou.diallo@sahe.sn"/>
    <x v="1"/>
    <x v="0"/>
  </r>
  <r>
    <s v="SAHEL MINING SERVICES"/>
    <s v="Validé"/>
    <x v="254"/>
    <s v="AISSATOU DRAME"/>
    <s v="sahelmining2014@gmail.com"/>
    <x v="1"/>
    <x v="0"/>
  </r>
  <r>
    <s v="VENISE DISTRIBUTION SENEGAL"/>
    <s v="Validé"/>
    <x v="255"/>
    <s v="Rama SOW"/>
    <s v="sowrahma2@gmail.com"/>
    <x v="1"/>
    <x v="0"/>
  </r>
  <r>
    <s v="LABORATOIRE TFG "/>
    <s v="Validé"/>
    <x v="256"/>
    <s v="Sophiatou FALL"/>
    <s v="sophiatou.fall@laboratoiretfg.com"/>
    <x v="1"/>
    <x v="0"/>
  </r>
  <r>
    <s v="FRANCE AGRO INDUSTRIES"/>
    <s v="Validé"/>
    <x v="257"/>
    <s v="MATTHIEU BISCAINO"/>
    <s v="mb@fai.fr"/>
    <x v="3"/>
    <x v="2"/>
  </r>
  <r>
    <s v="GLOBALFOOD SUPPLY"/>
    <s v="Validé"/>
    <x v="258"/>
    <s v="Habibou Gabriel d.habibou@global-foodsupply.com"/>
    <s v="d.habibou@global-foodsupply.com"/>
    <x v="1"/>
    <x v="0"/>
  </r>
  <r>
    <s v="GROUPE N2M SARL"/>
    <s v="Validé"/>
    <x v="259"/>
    <s v="ALIOUNE DIALLO"/>
    <s v="contact@securite-n2m.com"/>
    <x v="1"/>
    <x v="0"/>
  </r>
  <r>
    <s v="SENBIO CHIMIE SARL"/>
    <s v="Validé"/>
    <x v="260"/>
    <s v="Ndioro NDIAYE"/>
    <s v="ndioro.ndiaye@senbiochimie.com"/>
    <x v="1"/>
    <x v="0"/>
  </r>
  <r>
    <s v="ELMASA SENEGAL, S.A."/>
    <s v="Validé"/>
    <x v="261"/>
    <s v="CESAR GONZALEZ"/>
    <s v="cgojeda@elmasa.org"/>
    <x v="0"/>
    <x v="0"/>
  </r>
  <r>
    <s v="SET CONS (EX ETAB)"/>
    <s v="Validé"/>
    <x v="262"/>
    <s v="Mawdo DIOUF"/>
    <s v="dioufetab@hotmail.com"/>
    <x v="1"/>
    <x v="0"/>
  </r>
  <r>
    <s v="AMARIS EQUIPMENT SERVICES"/>
    <s v="Validé"/>
    <x v="263"/>
    <s v="SAIDI SAIDI"/>
    <s v="asaidi@amaris-equipment.com"/>
    <x v="3"/>
    <x v="2"/>
  </r>
  <r>
    <s v="SIGNAL ROUTES SARL"/>
    <s v="Validé"/>
    <x v="264"/>
    <s v="ABDOU SALAM HANN"/>
    <s v="signal_routes@orange.sn"/>
    <x v="0"/>
    <x v="0"/>
  </r>
  <r>
    <s v="AFRICAINE DE COMMERCE ET D'OUVARAGE"/>
    <s v="Validé"/>
    <x v="265"/>
    <s v="ABLAYE DIOP"/>
    <s v="africaineco2007@gmail.com"/>
    <x v="1"/>
    <x v="0"/>
  </r>
  <r>
    <s v="SETHAS"/>
    <s v="Validé"/>
    <x v="266"/>
    <s v="Aly DIALLO"/>
    <s v="d.alybocoum@gmail.com"/>
    <x v="1"/>
    <x v="0"/>
  </r>
  <r>
    <s v="SOMEM SÉNÉGAL"/>
    <s v="Validé"/>
    <x v="267"/>
    <s v="Eric Gilles  SAGNA"/>
    <s v="esagna@somemsn.com"/>
    <x v="1"/>
    <x v="0"/>
  </r>
  <r>
    <s v="INDUSTRY PARTNERS SARL"/>
    <s v="Validé"/>
    <x v="268"/>
    <s v="MOUSSA FAYE"/>
    <s v="ip-contact@industrypartner.sn"/>
    <x v="1"/>
    <x v="0"/>
  </r>
  <r>
    <s v="DIGITAL AUTOMATION SUARL"/>
    <s v="Validé"/>
    <x v="269"/>
    <s v="El Hadji Talla FAYE"/>
    <s v="talla.faye@digital-automation.sn"/>
    <x v="1"/>
    <x v="0"/>
  </r>
  <r>
    <s v="GIE BEUGUE FALLOU SERVICES "/>
    <s v="Validé"/>
    <x v="270"/>
    <s v="Fatou Touré"/>
    <s v="giebeuguefallouservices@gmail.com"/>
    <x v="5"/>
    <x v="0"/>
  </r>
  <r>
    <s v="MSN TRAV EQUIP PRESTA"/>
    <s v="Validé"/>
    <x v="271"/>
    <s v="Moussa Sall NDIAYE"/>
    <s v="msntravequipresta@gmail.com"/>
    <x v="1"/>
    <x v="0"/>
  </r>
  <r>
    <s v="GREAT MINERALS RESOURCES - SARL"/>
    <s v="Validé"/>
    <x v="272"/>
    <s v="Cheikh Babou"/>
    <s v="cheikh.babou@greatmineralsresources.com"/>
    <x v="1"/>
    <x v="0"/>
  </r>
  <r>
    <s v="SAHEL SECURITY SARL"/>
    <s v="Validé"/>
    <x v="273"/>
    <s v="Assane FAYE"/>
    <s v="sahel@sahelsecurity.com"/>
    <x v="1"/>
    <x v="0"/>
  </r>
  <r>
    <s v="MINE PETRO"/>
    <s v="Validé"/>
    <x v="274"/>
    <s v="Seydina Ababacar Ndiaye"/>
    <s v="seydina.ee@gmail.com"/>
    <x v="4"/>
    <x v="0"/>
  </r>
  <r>
    <s v="CBI"/>
    <s v="Validé"/>
    <x v="275"/>
    <s v="sada dia"/>
    <s v="sada.dia@cbi.sn"/>
    <x v="0"/>
    <x v="0"/>
  </r>
  <r>
    <s v="GIE LENDENG"/>
    <s v="Validé"/>
    <x v="276"/>
    <s v="Cheikh Abdoul Khadre Diakhaté"/>
    <s v="khadre67@yahoo.fr"/>
    <x v="5"/>
    <x v="0"/>
  </r>
  <r>
    <s v="LES CIMENTS DE L'AFRIQUE S.A"/>
    <s v="Validé"/>
    <x v="277"/>
    <s v="Ndeye Ndoumbe COULIBALY"/>
    <s v="ndndoumb@gmail.com"/>
    <x v="6"/>
    <x v="0"/>
  </r>
  <r>
    <s v="EIFFAGE SENEGAL SAS"/>
    <s v="Validé"/>
    <x v="278"/>
    <s v="Dame Ndiaye SENE"/>
    <s v="dame.sene@eiffage.com"/>
    <x v="2"/>
    <x v="0"/>
  </r>
  <r>
    <s v="STEL/BTP"/>
    <s v="Validé"/>
    <x v="279"/>
    <s v="Laity DIOUF"/>
    <s v="sdf.laity@gmail.com"/>
    <x v="1"/>
    <x v="0"/>
  </r>
  <r>
    <s v="FAYMA-ALPAM"/>
    <s v="Validé"/>
    <x v="280"/>
    <s v="FATOU BINETOU  DIOP"/>
    <s v="alpam@faymaalpam.com"/>
    <x v="1"/>
    <x v="0"/>
  </r>
  <r>
    <s v="ENERGECO-AFRIQUE"/>
    <s v="Validé"/>
    <x v="281"/>
    <s v="NIANG Libasse "/>
    <s v="energeco@orange.sn"/>
    <x v="1"/>
    <x v="0"/>
  </r>
  <r>
    <s v="ISTAMCO SA"/>
    <s v="Validé"/>
    <x v="282"/>
    <s v="Ahmadou Diop"/>
    <s v="forwarding@istamco.com"/>
    <x v="1"/>
    <x v="0"/>
  </r>
  <r>
    <s v="TYSTA NETWORKS"/>
    <s v="Validé"/>
    <x v="283"/>
    <s v="DIALLO Michel "/>
    <s v="contact@tysta-networks.com"/>
    <x v="1"/>
    <x v="0"/>
  </r>
  <r>
    <s v="SEN RELAIS "/>
    <s v="Validé"/>
    <x v="284"/>
    <s v="FALL  MASSAMBA "/>
    <s v="senrelais@gmail.com"/>
    <x v="1"/>
    <x v="0"/>
  </r>
  <r>
    <s v="EFOR"/>
    <s v="Validé"/>
    <x v="285"/>
    <s v="MAIMOUNA GUEYE MBAYE"/>
    <s v="efor.commercial@efor.sn"/>
    <x v="1"/>
    <x v="0"/>
  </r>
  <r>
    <s v="ADS ASSUR SAU"/>
    <s v="Validé"/>
    <x v="286"/>
    <s v="ADS ASSUR SAU"/>
    <s v="zone8c@gmail.com"/>
    <x v="1"/>
    <x v="0"/>
  </r>
  <r>
    <s v="AMA GROUP SERVICES (AGS)"/>
    <s v="Validé"/>
    <x v="287"/>
    <s v="Eustache Nestor Badji"/>
    <s v="nestor.badji@ags-sn.com"/>
    <x v="1"/>
    <x v="0"/>
  </r>
  <r>
    <s v="PITEXTILE CORPORATION"/>
    <s v="Validé"/>
    <x v="288"/>
    <s v="FATOU NDIAYE"/>
    <s v="pitextile.louga@gmail.com"/>
    <x v="1"/>
    <x v="0"/>
  </r>
  <r>
    <s v="SAADIYA TRANSPORT ET LOGISTIQUE"/>
    <s v="Validé"/>
    <x v="289"/>
    <s v="MAME MASSIRY NDIAYE"/>
    <s v="oscarius87@gmail.com"/>
    <x v="1"/>
    <x v="0"/>
  </r>
  <r>
    <s v="DMD GROUPE"/>
    <s v="Validé"/>
    <x v="290"/>
    <s v="Coumba  Ndiaye "/>
    <s v="dmdgroupe11@gmail.com"/>
    <x v="1"/>
    <x v="0"/>
  </r>
  <r>
    <s v="SIDEM SA"/>
    <s v="Validé"/>
    <x v="291"/>
    <s v="Wael ATTIEH"/>
    <s v="sirmel@sirmel.sn"/>
    <x v="1"/>
    <x v="0"/>
  </r>
  <r>
    <s v="EGB R-BADARACCHI"/>
    <s v="Validé"/>
    <x v="292"/>
    <s v="Georges DIOUF"/>
    <s v="contact@badaracchi.com"/>
    <x v="0"/>
    <x v="0"/>
  </r>
  <r>
    <s v="CISSOKHO SN COMMERCE INTERNATIONAL ET PRESTATION SERVICES PLUS"/>
    <s v="Validé"/>
    <x v="293"/>
    <s v="Diandian Cissokho "/>
    <s v="diandiancissokho08@gmail.com"/>
    <x v="1"/>
    <x v="0"/>
  </r>
  <r>
    <s v="CONNECTPLUS SENEGAL SARL"/>
    <s v="Validé"/>
    <x v="294"/>
    <s v="ASTHOU MBAYE"/>
    <s v="astthi2002@gmail.com"/>
    <x v="1"/>
    <x v="0"/>
  </r>
  <r>
    <s v="OSMOSE GEOTEX"/>
    <s v="Validé"/>
    <x v="295"/>
    <s v="Eliasse GANSORE "/>
    <s v="osmosegeotexsarl@gmail.com"/>
    <x v="3"/>
    <x v="10"/>
  </r>
  <r>
    <s v="ECTM"/>
    <s v="Validé"/>
    <x v="296"/>
    <s v="Abdou Wade"/>
    <s v="wade51446@gmail.com"/>
    <x v="1"/>
    <x v="0"/>
  </r>
  <r>
    <s v="TECHNIQUES INDUSTRIES"/>
    <s v="Validé"/>
    <x v="297"/>
    <s v="MAMADOU MASSECK THIAM"/>
    <s v="masseck.thiam@tind.sn"/>
    <x v="1"/>
    <x v="0"/>
  </r>
  <r>
    <s v="JAGUARS SECURITE SERVICES"/>
    <s v="Validé"/>
    <x v="298"/>
    <s v="Amadou KANE"/>
    <s v="contact@jaguarssecurite.com"/>
    <x v="1"/>
    <x v="0"/>
  </r>
  <r>
    <s v="PSYCHOLOGIES ET CONSEILS "/>
    <s v="Validé"/>
    <x v="299"/>
    <s v="Thomas  Tine "/>
    <s v="thomastine@psychologiesetconseils.com"/>
    <x v="1"/>
    <x v="0"/>
  </r>
  <r>
    <s v="CLAIR ATTITUDE"/>
    <s v="Validé"/>
    <x v="300"/>
    <s v="BILLO Wane"/>
    <s v="clairattitudesn@gmail.com"/>
    <x v="1"/>
    <x v="0"/>
  </r>
  <r>
    <s v="POLYTECH ENTREPRISE SUARL"/>
    <s v="Validé"/>
    <x v="301"/>
    <s v="MOR NDOYE"/>
    <s v="polytech@polytechentreprise.sn"/>
    <x v="1"/>
    <x v="0"/>
  </r>
  <r>
    <s v="SOCIÉTÉ AUXILIAIRE DE TRAVAIL TEMPORAIRE "/>
    <s v="Validé"/>
    <x v="302"/>
    <s v="Fatou  Diop"/>
    <s v="fatoudiopsatt@gmail.com"/>
    <x v="1"/>
    <x v="0"/>
  </r>
  <r>
    <s v="LA BANQUE OUTARDE"/>
    <s v="Validé"/>
    <x v="303"/>
    <s v="MOUHAMADOU MOUSTAPHA FALL"/>
    <s v="moustapha.fall@labanqueoutarde.sn"/>
    <x v="1"/>
    <x v="0"/>
  </r>
  <r>
    <s v="MEDICAL RH"/>
    <s v="Validé"/>
    <x v="304"/>
    <s v="Murnel DZON"/>
    <s v="m.dzon.jojo@beta.one"/>
    <x v="0"/>
    <x v="0"/>
  </r>
  <r>
    <s v="GROUPE YAKHINE"/>
    <s v="Validé"/>
    <x v="305"/>
    <s v="Ahmadou bamba Diop"/>
    <s v="commercial.gy@gmail.com"/>
    <x v="1"/>
    <x v="0"/>
  </r>
  <r>
    <s v="SMEDIA"/>
    <s v="Validé"/>
    <x v="306"/>
    <s v="Sala NDIAYE"/>
    <s v="geniepreira@gmail.com"/>
    <x v="1"/>
    <x v="0"/>
  </r>
  <r>
    <s v="IVOS SENEGAL"/>
    <s v="Validé"/>
    <x v="307"/>
    <s v="Fatou SECK"/>
    <s v="fatou.seck@ivos-ci.com"/>
    <x v="1"/>
    <x v="0"/>
  </r>
  <r>
    <s v="DAKAR HORIZON TRAVEL"/>
    <s v="Validé"/>
    <x v="308"/>
    <s v="MAISSANE  THIAW"/>
    <s v="marketing@dakarhorizontravel.com"/>
    <x v="1"/>
    <x v="0"/>
  </r>
  <r>
    <s v="ENEC"/>
    <s v="Validé"/>
    <x v="309"/>
    <s v="Papa Madiop NDIAYE"/>
    <s v="enec.entreprise@gmail.com"/>
    <x v="1"/>
    <x v="0"/>
  </r>
  <r>
    <s v="POLYVALENCE BTP SARL"/>
    <s v="Validé"/>
    <x v="310"/>
    <s v="Amadou SANE"/>
    <s v="polyvalencebtp@gmail.com"/>
    <x v="1"/>
    <x v="0"/>
  </r>
  <r>
    <s v="ISA TECHNOLOGIES"/>
    <s v="Validé"/>
    <x v="311"/>
    <s v="Ababacar Mbaye Diédhiou"/>
    <s v="ababacarmbayediedhiou@gmail.com"/>
    <x v="5"/>
    <x v="0"/>
  </r>
  <r>
    <s v="B.D.T.P"/>
    <s v="Validé"/>
    <x v="312"/>
    <s v="MBAYE NDOYE"/>
    <s v="mndoye@bdtp-sn.com"/>
    <x v="1"/>
    <x v="0"/>
  </r>
  <r>
    <s v="GLOBAL AFRICINVEST"/>
    <s v="Validé"/>
    <x v="313"/>
    <s v="LAMINE DIEDHIOU"/>
    <s v="lamine.globalai@gmail.com"/>
    <x v="2"/>
    <x v="0"/>
  </r>
  <r>
    <s v="CSE GRANULATS"/>
    <s v="Validé"/>
    <x v="314"/>
    <s v="NDEYE KHOUDIA FALL"/>
    <s v="nkfall@csegranulats.sn"/>
    <x v="6"/>
    <x v="0"/>
  </r>
  <r>
    <s v="AN-NADIAH POWER SOLUTIONS"/>
    <s v="Validé"/>
    <x v="315"/>
    <s v="CHEIKH DJIGO"/>
    <s v="contact@an-nadiah.com"/>
    <x v="1"/>
    <x v="0"/>
  </r>
  <r>
    <s v="MEDITECHS (MÉDICAL TECHNOLOGIES SERVICES)"/>
    <s v="Validé"/>
    <x v="316"/>
    <s v="ANDRE NDIAYE"/>
    <s v="meditechsgroup2007@gmail.com"/>
    <x v="1"/>
    <x v="0"/>
  </r>
  <r>
    <s v="RTDK"/>
    <s v="Validé"/>
    <x v="317"/>
    <s v="Sambe Mbaye"/>
    <s v="rtdkstructure@gmail.com"/>
    <x v="1"/>
    <x v="0"/>
  </r>
  <r>
    <s v="BEABA"/>
    <s v="Validé"/>
    <x v="318"/>
    <s v="Bineta SENE"/>
    <s v="info@beablondin-agency.com"/>
    <x v="1"/>
    <x v="0"/>
  </r>
  <r>
    <s v="AFTERPRO SARL "/>
    <s v="Validé"/>
    <x v="319"/>
    <s v="Ousmane  Diop"/>
    <s v="ousmane@minebar-sn.com"/>
    <x v="1"/>
    <x v="0"/>
  </r>
  <r>
    <s v="ENTREPRISE DIOKINE CISSE CONSTRUCTION SENEGAL"/>
    <s v="Validé"/>
    <x v="320"/>
    <s v="CISSE ABLAYE"/>
    <s v="diokinecisse.construction@gmail.com"/>
    <x v="1"/>
    <x v="0"/>
  </r>
  <r>
    <s v="MKA EXCELLENCE"/>
    <s v="Validé"/>
    <x v="321"/>
    <s v="MAME MOR GUEYE"/>
    <s v="info@mkaexcellence.com"/>
    <x v="1"/>
    <x v="0"/>
  </r>
  <r>
    <s v="STR SARL"/>
    <s v="Validé"/>
    <x v="322"/>
    <s v="Moussa Gueye"/>
    <s v="contactstr2019@gmail.com"/>
    <x v="1"/>
    <x v="0"/>
  </r>
  <r>
    <s v="ECM PENE ET FILS "/>
    <s v="Validé"/>
    <x v="323"/>
    <s v="Mor Pene"/>
    <s v="ecmpene@gmail.com"/>
    <x v="1"/>
    <x v="0"/>
  </r>
  <r>
    <s v="GÉNIE CIVIL MILLÉNIUM PRESTATION (GCMP) "/>
    <s v="Validé"/>
    <x v="324"/>
    <s v="Aliou Sene"/>
    <s v="gcmpaliou@gmail.com"/>
    <x v="1"/>
    <x v="0"/>
  </r>
  <r>
    <s v="TRAORE ET COMPAGNIE SARL"/>
    <s v="Validé"/>
    <x v="325"/>
    <s v="TRAORE Baba"/>
    <s v="tratraco20@gmail.com"/>
    <x v="1"/>
    <x v="0"/>
  </r>
  <r>
    <s v="MINING LOGISTICS &amp; SUPPLIES"/>
    <s v="Validé"/>
    <x v="326"/>
    <s v="MARIEME AMITH FALL"/>
    <s v="amith.fall@milos-group.com"/>
    <x v="1"/>
    <x v="0"/>
  </r>
  <r>
    <s v="ITTE CONSULTING SARL"/>
    <s v="Validé"/>
    <x v="327"/>
    <s v="Thiané DIOP"/>
    <s v="thiane.diop@itteconsulting.com"/>
    <x v="1"/>
    <x v="0"/>
  </r>
  <r>
    <s v="BAOBAB MINING AND CHEMICALS COORPORATION"/>
    <s v="Validé"/>
    <x v="328"/>
    <s v="Ndeye Léna SARR"/>
    <s v="lsarr@baobabphosphate.com"/>
    <x v="6"/>
    <x v="0"/>
  </r>
  <r>
    <s v="GROUPE TOP INTER"/>
    <s v="Validé"/>
    <x v="329"/>
    <s v="Oumar DIOP"/>
    <s v="oumardiop@groupe-topinter.com"/>
    <x v="1"/>
    <x v="0"/>
  </r>
  <r>
    <s v="LOGISTIQUE SUR MESURE SUARL"/>
    <s v="Validé"/>
    <x v="330"/>
    <s v="Aminata Gadiaga"/>
    <s v="logistiquesmesure@gmail.com"/>
    <x v="1"/>
    <x v="0"/>
  </r>
  <r>
    <s v="RIO CONSTRUCTION"/>
    <s v="Validé"/>
    <x v="331"/>
    <s v="WANE Momar GAYE"/>
    <s v="rioconstruction2025@gmail.com"/>
    <x v="1"/>
    <x v="0"/>
  </r>
  <r>
    <s v="COMPAGNIE AL AMINE MAINTENANCE ET SERVICES "/>
    <s v="Validé"/>
    <x v="332"/>
    <s v="Abdou Aziz DIOP"/>
    <s v="camsalaminesarl@gmail.com"/>
    <x v="1"/>
    <x v="0"/>
  </r>
  <r>
    <s v="WUXI ENBANGE MACHINERY CO.,LTD"/>
    <s v="Validé"/>
    <x v="333"/>
    <s v="Cai Ada"/>
    <s v="enbange-chua@hotmail.com"/>
    <x v="3"/>
    <x v="0"/>
  </r>
  <r>
    <s v="BIRIMA GOLD RESOURCES"/>
    <s v="Validé"/>
    <x v="334"/>
    <s v="Serigne Dieng"/>
    <s v="cordiordieng@hotmail.com"/>
    <x v="1"/>
    <x v="0"/>
  </r>
  <r>
    <s v="GEOLOGICAL &amp; MINING EQUIPEMENTS"/>
    <s v="Validé"/>
    <x v="335"/>
    <s v="AMADOU DIOULDE  BARRY"/>
    <s v="amadoudiouldebarry47@yahoo.fr"/>
    <x v="1"/>
    <x v="0"/>
  </r>
  <r>
    <s v="AGMS"/>
    <s v="Validé"/>
    <x v="336"/>
    <s v="Abdourahmane Diallo LO"/>
    <s v="alokarim@gmail.com"/>
    <x v="1"/>
    <x v="0"/>
  </r>
  <r>
    <s v="SAREQ GROUP"/>
    <s v="Validé"/>
    <x v="337"/>
    <s v="AMINATA NDIAYE"/>
    <s v="a.ndiaye@sareqgroup.com"/>
    <x v="1"/>
    <x v="0"/>
  </r>
  <r>
    <s v="FORACO SENEGAL"/>
    <s v="Validé"/>
    <x v="338"/>
    <s v="ARNAUD PEY"/>
    <s v="pey@foraco.com"/>
    <x v="0"/>
    <x v="0"/>
  </r>
  <r>
    <s v="ASSOCIATION TECHNIQUE ENERGIE ET ENVIRONNEMENT DU SÉNÉGAL A.T.E.E.S"/>
    <s v="Validé"/>
    <x v="339"/>
    <s v="Youssouph DIEDHIOU"/>
    <s v="youtend1212@gmail.com"/>
    <x v="1"/>
    <x v="0"/>
  </r>
  <r>
    <s v="COMPAGNIE SENEGALAISE DE TRAVAUX ET D'INTERVENTION SUARL"/>
    <s v="Validé"/>
    <x v="340"/>
    <s v="SAMBA ABDOULAYE SARR"/>
    <s v="abdoulayesarr64@gmail.com"/>
    <x v="1"/>
    <x v="0"/>
  </r>
  <r>
    <s v="E.C.T.I"/>
    <s v="Validé"/>
    <x v="341"/>
    <s v="Moussa  Sambou "/>
    <s v="m.sambou.ecti@gmail.com"/>
    <x v="1"/>
    <x v="0"/>
  </r>
  <r>
    <s v="RACONNEX"/>
    <s v="Validé"/>
    <x v="342"/>
    <s v="elhadji malick gueye"/>
    <s v="raconnexmultiservices@gmail.com"/>
    <x v="1"/>
    <x v="0"/>
  </r>
  <r>
    <s v="T3 PROJECTS PTY LTD"/>
    <s v="Validé"/>
    <x v="343"/>
    <s v="RACHID DOUMBOUYA"/>
    <s v="abdou.rasheed@yahoo.com"/>
    <x v="3"/>
    <x v="1"/>
  </r>
  <r>
    <s v="SEEE ENERGIES"/>
    <s v="Validé"/>
    <x v="344"/>
    <s v="KHADY DIOP"/>
    <s v="khady.diop@seee-energies.com"/>
    <x v="1"/>
    <x v="0"/>
  </r>
  <r>
    <s v="AFRIC ISOLE"/>
    <s v="Validé"/>
    <x v="345"/>
    <s v="Aminata SAGNA"/>
    <s v="aminata.sagna@afric-isole.com"/>
    <x v="1"/>
    <x v="0"/>
  </r>
  <r>
    <s v="CSE IMMOBILIER"/>
    <s v="Validé"/>
    <x v="346"/>
    <s v="Mamadou GAYE"/>
    <s v="mgaye@groupecse.com"/>
    <x v="0"/>
    <x v="0"/>
  </r>
  <r>
    <s v="BAYE CONNECT"/>
    <s v="Validé"/>
    <x v="347"/>
    <s v="Amadou SOW"/>
    <s v="amadou@bayeconnect.com"/>
    <x v="1"/>
    <x v="0"/>
  </r>
  <r>
    <s v="PETROLUBE EQUIPMENTS PARTS TRADING AND SERVICES"/>
    <s v="Validé"/>
    <x v="348"/>
    <s v="Oumar DIENG"/>
    <s v="oumar@petrolubepts.com"/>
    <x v="1"/>
    <x v="0"/>
  </r>
  <r>
    <s v="HIGH TECHNOLOGY AFRICA"/>
    <s v="Validé"/>
    <x v="349"/>
    <s v="Saer DIOP"/>
    <s v="saerdiop75@gmail.com"/>
    <x v="1"/>
    <x v="0"/>
  </r>
  <r>
    <s v="SEN MAP DRONE"/>
    <s v="Validé"/>
    <x v="350"/>
    <s v="Papa Demba DIEYE"/>
    <s v="dembadieye18@gmail.com"/>
    <x v="1"/>
    <x v="0"/>
  </r>
  <r>
    <s v="SYNERGIE ENVIRONNEMENT"/>
    <s v="Validé"/>
    <x v="351"/>
    <s v="Amath Dior Mbaye"/>
    <s v="amathdiormbaye@gmail.com"/>
    <x v="1"/>
    <x v="0"/>
  </r>
  <r>
    <s v="ERATHOT"/>
    <s v="Validé"/>
    <x v="352"/>
    <s v="Youssouf ADAMOU HAROUNA"/>
    <s v="y.harouna@erathot.com"/>
    <x v="0"/>
    <x v="0"/>
  </r>
  <r>
    <s v="MERCURE TRADING SERVICES"/>
    <s v="Validé"/>
    <x v="353"/>
    <s v="Mélanie Akono"/>
    <s v="m.akono@mercure-cab.com"/>
    <x v="1"/>
    <x v="0"/>
  </r>
  <r>
    <s v="SOUMARE TRANSPORT IMMOBILIER "/>
    <s v="Validé"/>
    <x v="354"/>
    <s v="Mady Soumare "/>
    <s v="soumaretransportimmobilier@gmail.com"/>
    <x v="5"/>
    <x v="0"/>
  </r>
  <r>
    <s v="T3 PROJECTS SENEGAL SASU"/>
    <s v="Validé"/>
    <x v="355"/>
    <s v="RACHI DOUM"/>
    <s v="doumssheed@gmail.com"/>
    <x v="0"/>
    <x v="0"/>
  </r>
  <r>
    <s v="FN GROUP SUARL"/>
    <s v="Validé"/>
    <x v="356"/>
    <s v="FALLIL NIANG"/>
    <s v="f.niang@fngroup.sn"/>
    <x v="1"/>
    <x v="0"/>
  </r>
  <r>
    <s v="ENTREPRISE GENERALE DE MECANIQUE CHAUDRONNERIE ET DE SABLAGE"/>
    <s v="Validé"/>
    <x v="357"/>
    <s v="DIENG IBRA"/>
    <s v="dibra3317@gmail.com"/>
    <x v="1"/>
    <x v="0"/>
  </r>
  <r>
    <s v="EATS SARL"/>
    <s v="Validé"/>
    <x v="358"/>
    <s v="PAPE  NIAKH"/>
    <s v="pape.niakh@eats-sarl.sn"/>
    <x v="1"/>
    <x v="0"/>
  </r>
  <r>
    <s v="NEUROTECH"/>
    <s v="Validé"/>
    <x v="359"/>
    <s v="Safietou Birahim NDIAYE"/>
    <s v="safietou.ndiaye@groupeneurotech.com"/>
    <x v="1"/>
    <x v="0"/>
  </r>
  <r>
    <s v="DISTRIBUTION TECH PRO"/>
    <s v="Validé"/>
    <x v="360"/>
    <s v="Oumar  Ba "/>
    <s v="distributiontechpro4@gmail.com"/>
    <x v="1"/>
    <x v="0"/>
  </r>
  <r>
    <s v="NOVAGO SENEGAL "/>
    <s v="Validé"/>
    <x v="361"/>
    <s v="Mohamed LY"/>
    <s v="mohamed.ly@novago.africa"/>
    <x v="0"/>
    <x v="0"/>
  </r>
  <r>
    <s v="SATA SARL"/>
    <s v="Validé"/>
    <x v="362"/>
    <s v="Ousmane Fall"/>
    <s v="oufall@sata.sn"/>
    <x v="1"/>
    <x v="0"/>
  </r>
  <r>
    <s v="EGAS FAKHA"/>
    <s v="Validé"/>
    <x v="363"/>
    <s v="Cheikh Mbacke FALL"/>
    <s v="papaharas@gmail.com"/>
    <x v="1"/>
    <x v="0"/>
  </r>
  <r>
    <s v="LES CABLERIES DU SENEGAL "/>
    <s v="Validé"/>
    <x v="364"/>
    <s v="Habib  SARR"/>
    <s v="hsarr@lcs.sn"/>
    <x v="1"/>
    <x v="0"/>
  </r>
  <r>
    <s v="HATCH ASSOCIATES LIMITED"/>
    <s v="Validé"/>
    <x v="365"/>
    <s v="Mulalo Silidi"/>
    <s v="mulalo.silidi@hatch.com"/>
    <x v="3"/>
    <x v="11"/>
  </r>
  <r>
    <s v="HATCH AFRICA (PTY) LTD"/>
    <s v="Validé"/>
    <x v="366"/>
    <s v="Deshigan Padayachee"/>
    <s v="deshigan.padayachee@hatch.com"/>
    <x v="3"/>
    <x v="1"/>
  </r>
  <r>
    <s v="ESENTRAVAUX ET SERVICES "/>
    <s v="Validé"/>
    <x v="367"/>
    <s v="SENE Daouda"/>
    <s v="esents23@gmail.com"/>
    <x v="1"/>
    <x v="0"/>
  </r>
  <r>
    <s v="EMF CONSULTING"/>
    <s v="Validé"/>
    <x v="368"/>
    <s v="MAMADOU LOUM"/>
    <s v="emf-groupe@emf-groupe.com"/>
    <x v="1"/>
    <x v="0"/>
  </r>
  <r>
    <s v="UNIVERSAL TECH SUPPLY "/>
    <s v="Validé"/>
    <x v="369"/>
    <s v="UNIVERSAL TECH  SUPPLY"/>
    <s v="info@uts-tech.net"/>
    <x v="1"/>
    <x v="0"/>
  </r>
  <r>
    <s v="AFRIMEX SERVICES"/>
    <s v="Validé"/>
    <x v="370"/>
    <s v="Babacar BA"/>
    <s v="contact@afrimexservices.com"/>
    <x v="1"/>
    <x v="0"/>
  </r>
  <r>
    <s v="DIENE SERVICE CENTER SARL"/>
    <s v="Validé"/>
    <x v="371"/>
    <s v="Seydina Ousmane DIENE"/>
    <s v="diene@dienesc.com"/>
    <x v="1"/>
    <x v="0"/>
  </r>
  <r>
    <s v="SECURIMEX"/>
    <s v="Validé"/>
    <x v="372"/>
    <s v="Securimex SAS"/>
    <s v="contact@securimex.sn"/>
    <x v="1"/>
    <x v="0"/>
  </r>
  <r>
    <s v="GIE MAKOTEAM MULTISERVICES"/>
    <s v="Validé"/>
    <x v="373"/>
    <s v="SEYDOU DIALLO"/>
    <s v="makoteamm@gmail.com"/>
    <x v="5"/>
    <x v="0"/>
  </r>
  <r>
    <s v="GROUPE GTX"/>
    <s v="Validé"/>
    <x v="374"/>
    <s v="Alassane   DIAGNE "/>
    <s v="alassane.diagne@groupegtx.com"/>
    <x v="1"/>
    <x v="0"/>
  </r>
  <r>
    <s v="SAB BUSINESS CONSULTING AFRICA"/>
    <s v="Validé"/>
    <x v="375"/>
    <s v="mle DIOP"/>
    <s v="diopa@sabbusinessconsulting.com"/>
    <x v="1"/>
    <x v="0"/>
  </r>
  <r>
    <s v="EMT AFRIQUE"/>
    <s v="Validé"/>
    <x v="376"/>
    <s v="Papa Mamadou Lo"/>
    <s v="mamadou.lo@emtafrique.com"/>
    <x v="1"/>
    <x v="0"/>
  </r>
  <r>
    <s v="GENTTRA"/>
    <s v="Validé"/>
    <x v="377"/>
    <s v="CHEIKH FALL"/>
    <s v="genttra@gmail.com"/>
    <x v="1"/>
    <x v="0"/>
  </r>
  <r>
    <s v="2MG SOLUTIONS"/>
    <s v="Validé"/>
    <x v="378"/>
    <s v="Gary  Dharmarathna"/>
    <s v="gary.dharma@2mg.net.au"/>
    <x v="3"/>
    <x v="8"/>
  </r>
  <r>
    <s v="SYS KABS AMAZONE"/>
    <s v="Validé"/>
    <x v="379"/>
    <s v="Papa Mamadou  GUISSE"/>
    <s v="guissepm@gmail.com"/>
    <x v="1"/>
    <x v="0"/>
  </r>
  <r>
    <s v="TECHSPARES SENEGAL SAS"/>
    <s v="Validé"/>
    <x v="380"/>
    <s v="Malick SARR"/>
    <s v="malick.sarr@techspares.fr"/>
    <x v="1"/>
    <x v="0"/>
  </r>
  <r>
    <s v="PROTECHNIQUE"/>
    <s v="Validé"/>
    <x v="381"/>
    <s v="DIOUF MALICK"/>
    <s v="entreprisepro.techniques@gmail.com"/>
    <x v="1"/>
    <x v="0"/>
  </r>
  <r>
    <s v="PEL AUTOMATION"/>
    <s v="Validé"/>
    <x v="382"/>
    <s v="Moustapha Diouf"/>
    <s v="mtdiouf@hotmail.com"/>
    <x v="1"/>
    <x v="0"/>
  </r>
  <r>
    <s v="M2 CONSTRUCTION"/>
    <s v="Validé"/>
    <x v="383"/>
    <s v="Mamadou Thiam"/>
    <s v="mamadou.thiam@m2c.sn"/>
    <x v="1"/>
    <x v="0"/>
  </r>
  <r>
    <s v="OTEW OFFICE TECHNOLOGY WORLD"/>
    <s v="Validé"/>
    <x v="384"/>
    <s v="AISSATOU DIOP"/>
    <s v="otew@otew.sn"/>
    <x v="1"/>
    <x v="0"/>
  </r>
  <r>
    <s v="SAREDICA"/>
    <s v="Validé"/>
    <x v="385"/>
    <s v="BRA MBAYE"/>
    <s v="saredica@saredica.com"/>
    <x v="1"/>
    <x v="0"/>
  </r>
  <r>
    <s v="PERFORMANCE SERVICES"/>
    <s v="Validé"/>
    <x v="386"/>
    <s v="ALIOU SECK"/>
    <s v="contact@performanceservices.sn"/>
    <x v="1"/>
    <x v="0"/>
  </r>
  <r>
    <s v="SUPERIOR STEEL OVERSEAS"/>
    <s v="Validé"/>
    <x v="387"/>
    <s v="Ashok Mehta"/>
    <s v="amehta@superiorsteel.in"/>
    <x v="3"/>
    <x v="7"/>
  </r>
  <r>
    <s v="DRILLNESS"/>
    <s v="Validé"/>
    <x v="388"/>
    <s v="ibrahima sylla"/>
    <s v="drillnessenegal@gmail.com"/>
    <x v="1"/>
    <x v="0"/>
  </r>
  <r>
    <s v="INFOGEO SENEGAL"/>
    <s v="Validé"/>
    <x v="389"/>
    <s v="Abdoulaye Badara FAYE"/>
    <s v="bfaye@infogeo-senegal.com"/>
    <x v="1"/>
    <x v="0"/>
  </r>
  <r>
    <s v="ENERGENSE"/>
    <s v="Validé"/>
    <x v="390"/>
    <s v="Samba Fall"/>
    <s v="samba.fall@energense.net"/>
    <x v="1"/>
    <x v="0"/>
  </r>
  <r>
    <s v="EAT MULTISERVICES"/>
    <s v="Validé"/>
    <x v="391"/>
    <s v="ELHADJI AMADOU THIAM"/>
    <s v="eatmultiservices@gmail.com"/>
    <x v="1"/>
    <x v="0"/>
  </r>
  <r>
    <s v="AESSEAL HOLDINGS"/>
    <s v="Validé"/>
    <x v="392"/>
    <s v="Dain Hurter"/>
    <s v="dain.hurter@gmail.com"/>
    <x v="3"/>
    <x v="1"/>
  </r>
  <r>
    <s v="MCI SENEGAL SAS"/>
    <s v="Validé"/>
    <x v="393"/>
    <s v="Gaelle NDIAYE"/>
    <s v="gaelle.ndiaye@mci-int.com"/>
    <x v="2"/>
    <x v="0"/>
  </r>
  <r>
    <s v="SERVICE GÉOLOGIQUE NATIONAL DU SÉNÉGAL (SGNS)"/>
    <s v="Validé"/>
    <x v="394"/>
    <s v="Alla DIAW"/>
    <s v="alla.diaw@sgns.gouv.sn"/>
    <x v="1"/>
    <x v="0"/>
  </r>
  <r>
    <s v="AFRICA POWER SERVICES SENEGAL"/>
    <s v="Validé"/>
    <x v="395"/>
    <s v="anne laure bertinotti"/>
    <s v="juridique@delmasip.com"/>
    <x v="2"/>
    <x v="0"/>
  </r>
  <r>
    <s v="HALADJIAN SENEGAL SUARL"/>
    <s v="Validé"/>
    <x v="396"/>
    <s v="Thierry Favre"/>
    <s v="jsuaud@haladjian.com"/>
    <x v="0"/>
    <x v="0"/>
  </r>
  <r>
    <s v="ENTREPRISE YA SALAM"/>
    <s v="Validé"/>
    <x v="397"/>
    <s v="Mahtar Diouf"/>
    <s v="entrepriseyasalam.diouf@gmail.com"/>
    <x v="1"/>
    <x v="0"/>
  </r>
  <r>
    <s v="YAM INDUSTRIE"/>
    <s v="Validé"/>
    <x v="398"/>
    <s v="DIOUF ABDOU"/>
    <s v="yamabdou67@gmail.com"/>
    <x v="1"/>
    <x v="0"/>
  </r>
  <r>
    <s v="SERIGNE MBOUP DISTRIBUTION &amp;SERVICES"/>
    <s v="Validé"/>
    <x v="399"/>
    <s v="Serigne mouhamadou Mboup"/>
    <s v="smmboup@gmail.com"/>
    <x v="1"/>
    <x v="0"/>
  </r>
  <r>
    <s v="COMPAGNIE DES PÉTROLES DU SUD"/>
    <s v="Validé"/>
    <x v="400"/>
    <s v="Samba Cor Bathily"/>
    <s v="sbathily@magikoil.com"/>
    <x v="1"/>
    <x v="0"/>
  </r>
  <r>
    <s v="EDEN INGÉNIEURS CONSEILS"/>
    <s v="Validé"/>
    <x v="401"/>
    <s v="Mouhamadou Lamine DIA"/>
    <s v="eden@eden-ic.com"/>
    <x v="1"/>
    <x v="0"/>
  </r>
  <r>
    <s v="BMA ENGINEERING&amp; SERVICES "/>
    <s v="Validé"/>
    <x v="402"/>
    <s v="BIRAME TOP"/>
    <s v="info@bma.sn"/>
    <x v="1"/>
    <x v="0"/>
  </r>
  <r>
    <s v="GS AFRIQUE"/>
    <s v="Validé"/>
    <x v="403"/>
    <s v="Ndane DIOUF"/>
    <s v="ndanegeometre90@gmail.com"/>
    <x v="1"/>
    <x v="0"/>
  </r>
  <r>
    <s v="LEYE GLOGAL SERVICE CORPORATION"/>
    <s v="Validé"/>
    <x v="404"/>
    <s v="Fallou Leye"/>
    <s v="fallouleye@lgsc.sn"/>
    <x v="1"/>
    <x v="0"/>
  </r>
  <r>
    <s v="AFRICA LUBES AND SERVICES SARL"/>
    <s v="Validé"/>
    <x v="405"/>
    <s v="Mathieu Youga Thiaw"/>
    <s v="mathieu.thiaw@africalubeservices.com"/>
    <x v="1"/>
    <x v="0"/>
  </r>
  <r>
    <s v="TOUBA TRAVAUX PUBLICS SUARL"/>
    <s v="Validé"/>
    <x v="406"/>
    <s v="Amadou Khaïta Diagne"/>
    <s v="amadou@toubatravauxpublics.com"/>
    <x v="1"/>
    <x v="0"/>
  </r>
  <r>
    <s v="PROPLUS "/>
    <s v="Validé"/>
    <x v="407"/>
    <s v="Khalifa Abdoul Aziz  NIANG"/>
    <s v="proplus.senegal@gmail.com"/>
    <x v="1"/>
    <x v="0"/>
  </r>
  <r>
    <s v="TOPWELDING STRUCTURES"/>
    <s v="Validé"/>
    <x v="408"/>
    <s v="SEKHOU TRAORE"/>
    <s v="info@topweldingstructures.com"/>
    <x v="1"/>
    <x v="0"/>
  </r>
  <r>
    <s v="SOUM GLOBAL SERVICES"/>
    <s v="Validé"/>
    <x v="409"/>
    <s v="keita bintou"/>
    <s v="globalservices.suarl2025@gmail.com"/>
    <x v="1"/>
    <x v="0"/>
  </r>
  <r>
    <s v="SAHARA TRADINGS"/>
    <s v="Validé"/>
    <x v="410"/>
    <s v="Abdoulaye BATHILY"/>
    <s v="a.bathily@saharatradings.com"/>
    <x v="1"/>
    <x v="0"/>
  </r>
  <r>
    <s v="SERIGNE GUEYE ET FILS"/>
    <s v="Validé"/>
    <x v="411"/>
    <s v="Modou Gueye"/>
    <s v="modou@sgf.sn"/>
    <x v="1"/>
    <x v="0"/>
  </r>
  <r>
    <s v="TECHNICAL CONSTRUCTION "/>
    <s v="Validé"/>
    <x v="412"/>
    <s v="El hadji omar  Ndiaye "/>
    <s v="lieutenanomar@gmail.com"/>
    <x v="1"/>
    <x v="0"/>
  </r>
  <r>
    <s v="SOCOTRA /MS"/>
    <s v="Validé"/>
    <x v="413"/>
    <s v="Elhadji ndongo  Lecor "/>
    <s v="socotra1.ms@gmail.com"/>
    <x v="1"/>
    <x v="0"/>
  </r>
  <r>
    <s v="TERANGA GLOBAL SYSTÈME"/>
    <s v="Validé"/>
    <x v="414"/>
    <s v="mamadou cisse"/>
    <s v="contact@tgs.sn"/>
    <x v="1"/>
    <x v="0"/>
  </r>
  <r>
    <s v="SOCOCIM INDUSTRIES"/>
    <s v="Validé"/>
    <x v="415"/>
    <s v="Abdoulaye DIENG"/>
    <s v="snshared.contenulocal@sococim.sn"/>
    <x v="6"/>
    <x v="12"/>
  </r>
  <r>
    <s v="PETOWAL MINING COMPAGNY"/>
    <s v="Validé"/>
    <x v="416"/>
    <s v="CHEIKH AHMET TIDIANE CISSE"/>
    <s v="tidiane.cisse@petowal.com"/>
    <x v="6"/>
    <x v="0"/>
  </r>
  <r>
    <s v="SOS PETROLES SA"/>
    <s v="Validé"/>
    <x v="417"/>
    <s v="ismaila kamara"/>
    <s v="ismaila.kamara@staroilgroup.com"/>
    <x v="0"/>
    <x v="0"/>
  </r>
  <r>
    <s v="THIAM TOLERIE ET PEINTURE"/>
    <s v="Validé"/>
    <x v="418"/>
    <s v="BOUYA  THIAM"/>
    <s v="bouyathiam97@gmail.com"/>
    <x v="1"/>
    <x v="0"/>
  </r>
  <r>
    <s v="INTEGRAL FINANCE CONSULTING"/>
    <s v="Validé"/>
    <x v="419"/>
    <s v="Malick LO"/>
    <s v="mlo@ifinanceconsulting.com"/>
    <x v="1"/>
    <x v="0"/>
  </r>
  <r>
    <s v="ENTREPRISE  BOU SERIGNE ABDOU KARIM MBACKÉ"/>
    <s v="Validé"/>
    <x v="420"/>
    <s v="Mbery Ndoye"/>
    <s v="ndoyemberi@gmail.com"/>
    <x v="1"/>
    <x v="0"/>
  </r>
  <r>
    <s v="SAADIX GROUPE"/>
    <s v="Validé"/>
    <x v="421"/>
    <s v="Cheikh ahmadou bamba Diaw"/>
    <s v="cheikhbamba87@gmail.com"/>
    <x v="1"/>
    <x v="0"/>
  </r>
  <r>
    <s v="TOUBA INTERNATIONAL DEALINGS"/>
    <s v="Validé"/>
    <x v="422"/>
    <s v="bachir mbacke"/>
    <s v="toubaidsarl@gmail.com"/>
    <x v="1"/>
    <x v="0"/>
  </r>
  <r>
    <s v="SAMORI PROTECTION PRIVEE"/>
    <s v="Validé"/>
    <x v="423"/>
    <s v="Jean-Baptitste Ciss"/>
    <s v="samoriprotectionprivee@gmail.com"/>
    <x v="1"/>
    <x v="0"/>
  </r>
  <r>
    <s v="SCIS SARL"/>
    <s v="Validé"/>
    <x v="424"/>
    <s v="Abdoulaye DIOP"/>
    <s v="abdoulaye.diop@scis-sn.com"/>
    <x v="1"/>
    <x v="0"/>
  </r>
  <r>
    <s v="MALAIKA DEVELOPMENT CAPITAL"/>
    <s v="Validé"/>
    <x v="425"/>
    <s v="El Hadji Malick Dieye"/>
    <s v="md@malaika-development.com"/>
    <x v="1"/>
    <x v="0"/>
  </r>
  <r>
    <s v="SERVICES PRO"/>
    <s v="Validé"/>
    <x v="426"/>
    <s v="papa Laye Sene"/>
    <s v="abdoulayeseresene@gmail.com"/>
    <x v="1"/>
    <x v="0"/>
  </r>
  <r>
    <s v="ETS MALEYE SARL"/>
    <s v="Validé"/>
    <x v="427"/>
    <s v="NDEYE FAMA DIONGUE"/>
    <s v="ets_maleye@yahoo.fr"/>
    <x v="1"/>
    <x v="0"/>
  </r>
  <r>
    <s v="HYDRO INDUSTRIES INTERNATIONAL ( H2I)"/>
    <s v="Validé"/>
    <x v="428"/>
    <s v="SOCE FAYE"/>
    <s v="soce@hydro-industrie.com"/>
    <x v="1"/>
    <x v="2"/>
  </r>
  <r>
    <s v="OXY SEN"/>
    <s v="Validé"/>
    <x v="429"/>
    <s v="ZAIAT Saleh"/>
    <s v="oxysen@oxysen.sn"/>
    <x v="1"/>
    <x v="0"/>
  </r>
  <r>
    <s v="MENDEZ TUYAUTERIE ET FORAGES SUARL"/>
    <s v="Validé"/>
    <x v="430"/>
    <s v="LAURA MENDEZ"/>
    <s v="tuyauterie.et.foragesmendez@gmail.com"/>
    <x v="0"/>
    <x v="0"/>
  </r>
  <r>
    <s v="3R SENEGAL "/>
    <s v="Validé"/>
    <x v="431"/>
    <s v="Hamidou TRAORE"/>
    <s v="traorehamidou@gmail.com"/>
    <x v="1"/>
    <x v="0"/>
  </r>
  <r>
    <s v="H.E.C.T SARL"/>
    <s v="Validé"/>
    <x v="432"/>
    <s v="Alioune Sene"/>
    <s v="contact@heavycranetrucks.com"/>
    <x v="1"/>
    <x v="0"/>
  </r>
  <r>
    <s v="DIDI'S GARDEN SARL"/>
    <s v="Validé"/>
    <x v="433"/>
    <s v="NDÈYE KHADY SY"/>
    <s v="didi.mb74@gmail.com"/>
    <x v="1"/>
    <x v="0"/>
  </r>
  <r>
    <s v="GEO PARTNERS CONSULTING "/>
    <s v="Validé"/>
    <x v="434"/>
    <s v="Mame Bousso  Fall"/>
    <s v="falldiara@hotmail.com"/>
    <x v="1"/>
    <x v="0"/>
  </r>
  <r>
    <s v="E.R.T.E.X"/>
    <s v="Validé"/>
    <x v="435"/>
    <s v="Diop Abdoulaye"/>
    <s v="abdou.diop@ertex.sn"/>
    <x v="1"/>
    <x v="0"/>
  </r>
  <r>
    <s v="NAS"/>
    <s v="Validé"/>
    <x v="436"/>
    <s v="Mady Dangnokho"/>
    <s v="dangnokhomady816@gmail.com"/>
    <x v="5"/>
    <x v="0"/>
  </r>
  <r>
    <s v="KACYBER TECHNOLOGIES SARL"/>
    <s v="Validé"/>
    <x v="437"/>
    <s v="MBENGUE Amsatou"/>
    <s v="amsa@kacyber.com"/>
    <x v="1"/>
    <x v="0"/>
  </r>
  <r>
    <s v="CASSIS EQUIPEMENTS"/>
    <s v="Validé"/>
    <x v="438"/>
    <s v="Gabriella Rafidy"/>
    <s v="joumana.yahya@cassisequipements.com"/>
    <x v="1"/>
    <x v="0"/>
  </r>
  <r>
    <s v="INSTRUMAINT SARL "/>
    <s v="Validé"/>
    <x v="439"/>
    <s v="BAYE SECK"/>
    <s v="baseck@instrumaint.org"/>
    <x v="1"/>
    <x v="0"/>
  </r>
  <r>
    <s v="DERGANE SARL"/>
    <s v="Validé"/>
    <x v="440"/>
    <s v="Modou Diome FAYE"/>
    <s v="mdfaye@dergane.com"/>
    <x v="1"/>
    <x v="0"/>
  </r>
  <r>
    <s v="AURELIEN SERTELET"/>
    <s v="Validé"/>
    <x v="441"/>
    <s v="AURELIEN SERTELET SESTI"/>
    <s v="sesti@sesti.fr"/>
    <x v="3"/>
    <x v="2"/>
  </r>
  <r>
    <s v="AMBB TECHNOLOGIES SARL"/>
    <s v="Validé"/>
    <x v="442"/>
    <s v="Babacar Ba"/>
    <s v="babacar.ba@ambbtechnologies.com"/>
    <x v="1"/>
    <x v="0"/>
  </r>
  <r>
    <s v="PANAFRICAINE D'ENTREPRISE"/>
    <s v="Validé"/>
    <x v="443"/>
    <s v="Mawdo Malick GUEYE"/>
    <s v="panafrics@gmail.com"/>
    <x v="1"/>
    <x v="0"/>
  </r>
  <r>
    <s v="NIOKOLO EXPRESS "/>
    <s v="Validé"/>
    <x v="444"/>
    <s v="Mahtar Diouf"/>
    <s v="mahtar.diouf@niokoloexpress.com"/>
    <x v="5"/>
    <x v="0"/>
  </r>
  <r>
    <s v="AM LUXURY TOURS"/>
    <s v="Validé"/>
    <x v="445"/>
    <s v="Abdoulaye Diouf"/>
    <s v="procurement@amluxurytours.com"/>
    <x v="1"/>
    <x v="0"/>
  </r>
  <r>
    <s v="HYBATP CO "/>
    <s v="Validé"/>
    <x v="446"/>
    <s v="Mohamed SIDIBE"/>
    <s v="mohamedsid88@hotmail.fr"/>
    <x v="1"/>
    <x v="0"/>
  </r>
  <r>
    <s v="ODIM SARL"/>
    <s v="Validé"/>
    <x v="447"/>
    <s v="Abdoulaye Ba"/>
    <s v="odim.senegal@gmail.com"/>
    <x v="1"/>
    <x v="0"/>
  </r>
  <r>
    <s v="LYCOPODIUM MINERALS CANADA LTD"/>
    <s v="Validé"/>
    <x v="448"/>
    <s v="Mushtaq Khuram"/>
    <s v="khuram.mushtaq@lycopodium.com"/>
    <x v="2"/>
    <x v="13"/>
  </r>
  <r>
    <s v="URGENCES ET SOLUTIONS MEDICALES "/>
    <s v="Validé"/>
    <x v="449"/>
    <s v="ELHADJI MALICK NIANG "/>
    <s v="niang.malick@urgsolutionsmed.sn"/>
    <x v="1"/>
    <x v="0"/>
  </r>
  <r>
    <s v="INTERFACE CAPITAL SARL"/>
    <s v="Validé"/>
    <x v="450"/>
    <s v="Moussa TRAORE"/>
    <s v="moussa.traore@bem.sn"/>
    <x v="1"/>
    <x v="0"/>
  </r>
  <r>
    <s v="AFRICA ENGINEERING &amp; LOGISTICS SOLUTIONS"/>
    <s v="Validé"/>
    <x v="451"/>
    <s v="Mamadou SENE"/>
    <s v="mamadou.sene@africaels.com"/>
    <x v="1"/>
    <x v="0"/>
  </r>
  <r>
    <s v="SENTEK"/>
    <s v="Validé"/>
    <x v="452"/>
    <s v="MOHAMADOU MBAYE"/>
    <s v="mlmbaye@sentekservices.com"/>
    <x v="1"/>
    <x v="0"/>
  </r>
  <r>
    <s v="SWAMI MINES SA"/>
    <s v="Validé"/>
    <x v="453"/>
    <s v="DJIBRIL BOYE"/>
    <s v="djibril.boye@senegindia.com"/>
    <x v="6"/>
    <x v="0"/>
  </r>
  <r>
    <s v="MBORO DIAMOU"/>
    <s v="Validé"/>
    <x v="454"/>
    <s v="Gora Gueye"/>
    <s v="mborodiamou@gmail.com"/>
    <x v="1"/>
    <x v="0"/>
  </r>
  <r>
    <s v="LOMBEL RESSOURCES SAS"/>
    <s v="Validé"/>
    <x v="455"/>
    <s v="Boubane Ibrahima "/>
    <s v="lombelresources@gmail.com"/>
    <x v="1"/>
    <x v="0"/>
  </r>
  <r>
    <s v="LAWRIE SYSTEMS AND SOLUTIONS MAURITIUS"/>
    <s v="Validé"/>
    <x v="456"/>
    <s v="Richard Lawrie"/>
    <s v="mauritius@lawriesas.com"/>
    <x v="3"/>
    <x v="14"/>
  </r>
  <r>
    <s v="NEXUS TP"/>
    <s v="Validé"/>
    <x v="457"/>
    <s v="didier ROUSSELLE"/>
    <s v="drousselle@nexus-groupe.com"/>
    <x v="3"/>
    <x v="2"/>
  </r>
  <r>
    <s v="SDMI SARL"/>
    <s v="Validé"/>
    <x v="458"/>
    <s v="ousseynou GUEYE"/>
    <s v="ousseynou.gueye@sdmi.sn"/>
    <x v="1"/>
    <x v="0"/>
  </r>
  <r>
    <s v="CAMMACH SN"/>
    <s v="Validé"/>
    <x v="459"/>
    <s v="GUEYE Diadji "/>
    <s v="dg@cammach.com"/>
    <x v="1"/>
    <x v="0"/>
  </r>
  <r>
    <s v="SN SOFTWARE"/>
    <s v="Validé"/>
    <x v="460"/>
    <s v="El Hadji Magueye Fall "/>
    <s v="elhadji.fall@snsoftware.com"/>
    <x v="1"/>
    <x v="0"/>
  </r>
  <r>
    <s v="TERANGA MINING SERVICES SARL"/>
    <s v="Validé"/>
    <x v="461"/>
    <s v="JEREMIE JABER"/>
    <s v="jeremie.jaber@gmail.com"/>
    <x v="1"/>
    <x v="0"/>
  </r>
  <r>
    <s v="SOCIÉTÉ SÉNÉGALAISE DE PRODUITS INDUSTRIELS SUARL (SSPI SUARL)"/>
    <s v="Validé"/>
    <x v="462"/>
    <s v="LOUIS STEPHANE JOSEPH PAYSANT"/>
    <s v="dg@sspi.sn"/>
    <x v="0"/>
    <x v="0"/>
  </r>
  <r>
    <s v="LES SPÉCIALISTES DE L'ENERGIE"/>
    <s v="Validé"/>
    <x v="463"/>
    <s v="Bineta FALL"/>
    <s v="bineta.fall@vinci-construction.com"/>
    <x v="2"/>
    <x v="0"/>
  </r>
  <r>
    <s v="GIE ISOTHERMI"/>
    <s v="Validé"/>
    <x v="464"/>
    <s v="PAUL DIOP"/>
    <s v="gieisothermi2@gmail.com"/>
    <x v="5"/>
    <x v="0"/>
  </r>
  <r>
    <s v="CSP"/>
    <s v="Validé"/>
    <x v="465"/>
    <s v="Abdourahim Athie"/>
    <s v="abdourahimathie@gmail.com"/>
    <x v="1"/>
    <x v="0"/>
  </r>
  <r>
    <s v="UBBI GROUP"/>
    <s v="Validé"/>
    <x v="466"/>
    <s v="khadidiatou toure fall"/>
    <s v="ubbicompu1@outlook.com"/>
    <x v="1"/>
    <x v="0"/>
  </r>
  <r>
    <s v="MDDEV EMERGE "/>
    <s v="Validé"/>
    <x v="467"/>
    <s v="MADY CISSOKHO"/>
    <s v="mady.cissokho1005@gmail.com"/>
    <x v="5"/>
    <x v="0"/>
  </r>
  <r>
    <s v="WEST AFRICA TIRE SERVICES (WATS SAS)"/>
    <s v="Validé"/>
    <x v="468"/>
    <s v="Gupta Ankur"/>
    <s v="ankur.g@watsltd.com"/>
    <x v="1"/>
    <x v="0"/>
  </r>
  <r>
    <s v="CONFOSEN"/>
    <s v="Validé"/>
    <x v="469"/>
    <s v="Marie Pierre DIAGNE"/>
    <s v="mariepierre.diagne@confosen.com"/>
    <x v="1"/>
    <x v="0"/>
  </r>
  <r>
    <s v="LOCASEN"/>
    <s v="Validé"/>
    <x v="470"/>
    <s v="BABACAR KEBE"/>
    <s v="locasen@groupelocasen.com"/>
    <x v="1"/>
    <x v="0"/>
  </r>
  <r>
    <s v="WUXI ENBANGE MACHINERY CO.,LTD"/>
    <s v="Validé"/>
    <x v="471"/>
    <s v="Apple Zhang"/>
    <s v="rn_zhangpingping@163.com"/>
    <x v="3"/>
    <x v="0"/>
  </r>
  <r>
    <s v="DABAKH PRODUCTION SERVICE"/>
    <s v="Validé"/>
    <x v="472"/>
    <s v="Birane Dieng"/>
    <s v="eljidieng@gmail.com"/>
    <x v="1"/>
    <x v="0"/>
  </r>
  <r>
    <s v="KAWSARA TECHNOLOGIE "/>
    <s v="Validé"/>
    <x v="473"/>
    <s v="Ibrahima  Sow"/>
    <s v="kawsaratechnologie@gmail.com"/>
    <x v="1"/>
    <x v="0"/>
  </r>
  <r>
    <s v="SAER EMPLOI MINES SENEGAL"/>
    <s v="Validé"/>
    <x v="474"/>
    <s v="Khary baba  FALL"/>
    <s v="kharyb.fall@saer-emploi.com"/>
    <x v="0"/>
    <x v="0"/>
  </r>
  <r>
    <s v="SAHEL GAZ"/>
    <s v="Validé"/>
    <x v="475"/>
    <s v="AHMADOU BAMBA SENE"/>
    <s v="diarra.bs.diop@sahelgaz.com"/>
    <x v="1"/>
    <x v="0"/>
  </r>
  <r>
    <s v="CODEX SA"/>
    <s v="Validé"/>
    <x v="476"/>
    <s v="Fatou Kine SARR"/>
    <s v="fatou.sarr@codexepc.net"/>
    <x v="1"/>
    <x v="0"/>
  </r>
  <r>
    <s v="KULAX"/>
    <s v="Validé"/>
    <x v="477"/>
    <s v="Pape Ibrahima  SAMBE"/>
    <s v="kulaxcontact@gmail.com"/>
    <x v="1"/>
    <x v="0"/>
  </r>
  <r>
    <s v="ALLIANCE AUTO GROUP (AAG)"/>
    <s v="Validé"/>
    <x v="478"/>
    <s v="Ousmane BA"/>
    <s v="ousmane.ba@aag.sn"/>
    <x v="1"/>
    <x v="0"/>
  </r>
  <r>
    <s v="LEZZETTLI"/>
    <s v="Validé"/>
    <x v="479"/>
    <s v="Bineta  DIAGNE"/>
    <s v="lezzetli@lezzetli.sn"/>
    <x v="1"/>
    <x v="0"/>
  </r>
  <r>
    <s v="DR  SETT SAS"/>
    <s v="Validé"/>
    <x v="480"/>
    <s v="Ille Nelson SIBI"/>
    <s v="ille.sibi@docteursett.com"/>
    <x v="1"/>
    <x v="0"/>
  </r>
  <r>
    <s v="RIDWAN GROUP "/>
    <s v="Validé"/>
    <x v="481"/>
    <s v="Mouhamed  DIAGNE "/>
    <s v="mouhamed.diagne@ridwangroup.com"/>
    <x v="1"/>
    <x v="0"/>
  </r>
  <r>
    <s v="ARES ARCHITECTURE ET INGÉNIERIE DU BÂTIMENT SUARL"/>
    <s v="Validé"/>
    <x v="482"/>
    <s v="KAMA DANFAKHA"/>
    <s v="ares_architecture@yahoo.fr"/>
    <x v="1"/>
    <x v="0"/>
  </r>
  <r>
    <s v="GEDIMEX SA"/>
    <s v="Validé"/>
    <x v="483"/>
    <s v="MAMADOU NDAO"/>
    <s v="gedimex@orange.sn"/>
    <x v="1"/>
    <x v="0"/>
  </r>
  <r>
    <s v="AC GROUP"/>
    <s v="Validé"/>
    <x v="484"/>
    <s v="Samba Ndiobène KA"/>
    <s v="pdg_acg@acgroup.sn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x v="0"/>
    <s v="Validé"/>
    <d v="2026-04-01T00:00:00"/>
    <d v="1899-12-30T15:26:06"/>
    <s v="Magatte Fall"/>
    <s v="mfall@miningsupplysolutions.com"/>
    <s v="Fournisseurs et Prestataires locaux"/>
    <s v="Sénégal"/>
  </r>
  <r>
    <x v="1"/>
    <s v="Validé"/>
    <d v="2026-04-01T00:00:00"/>
    <d v="1899-12-30T10:38:19"/>
    <s v="Mouhamadou Lamine DIAGNE"/>
    <s v="lamine.diagne@challenge2000.sn"/>
    <s v="Sous-traitants"/>
    <s v="Sénégal"/>
  </r>
  <r>
    <x v="2"/>
    <s v="Validé"/>
    <d v="2026-05-01T00:00:00"/>
    <d v="1899-12-30T12:49:17"/>
    <s v="MAMADOU SENE"/>
    <s v="etimsarlsenegal@gmail.com"/>
    <s v="Fournisseurs et Prestataires locaux"/>
    <s v="Sénégal"/>
  </r>
  <r>
    <x v="3"/>
    <s v="Validé"/>
    <d v="2026-05-01T00:00:00"/>
    <d v="1899-12-30T23:41:07"/>
    <s v="Aliou Diop"/>
    <s v="adiopgms@gmail.com"/>
    <s v="Fournisseurs et prestataires locaux (GPF ou GIE)"/>
    <s v="Sénégal"/>
  </r>
  <r>
    <x v="4"/>
    <s v="Validé"/>
    <d v="2026-06-01T00:00:00"/>
    <d v="1899-12-30T14:31:00"/>
    <s v="Ousmane Coulibaly"/>
    <s v="ousmane.coulibaly@alsglobal.com"/>
    <s v="Fournisseurs et Prestataires de droit sénégalais"/>
    <s v="Sénégal"/>
  </r>
  <r>
    <x v="5"/>
    <s v="Validé"/>
    <d v="2026-06-01T00:00:00"/>
    <d v="1899-12-30T13:50:49"/>
    <s v="Ndeye Aminata Sow"/>
    <s v="aminata.sow@mega-sn.com"/>
    <s v="Fournisseurs et Prestataires locaux"/>
    <s v="Sénégal"/>
  </r>
  <r>
    <x v="6"/>
    <s v="Validé"/>
    <d v="2026-06-01T00:00:00"/>
    <d v="1899-12-30T13:47:20"/>
    <s v="Daouda DIOUME"/>
    <s v="d.dioume@senegalsupplybase.com"/>
    <s v="Fournisseurs et Prestataires locaux"/>
    <s v="Sénégal"/>
  </r>
  <r>
    <x v="7"/>
    <s v="Validé"/>
    <d v="2026-06-01T00:00:00"/>
    <d v="1899-12-30T10:11:10"/>
    <s v="Seydou SALL"/>
    <s v="seydou1212@gmail.com"/>
    <s v="Fournisseurs et Prestataires locaux"/>
    <s v="Sénégal"/>
  </r>
  <r>
    <x v="8"/>
    <s v="Validé"/>
    <d v="2026-06-01T00:00:00"/>
    <d v="1899-12-30T13:12:19"/>
    <s v="Mame Less Sene"/>
    <s v="betondusenegal@gmail.com"/>
    <s v="Fournisseurs et Prestataires locaux"/>
    <s v="Sénégal"/>
  </r>
  <r>
    <x v="9"/>
    <s v="Validé"/>
    <d v="2026-06-01T00:00:00"/>
    <d v="1899-12-30T15:51:04"/>
    <s v="MANSOUR NIANG"/>
    <s v="mansourniang@pargest.sn"/>
    <s v="Fournisseurs et Prestataires locaux"/>
    <s v="Sénégal"/>
  </r>
  <r>
    <x v="10"/>
    <s v="Validé"/>
    <d v="2026-06-01T00:00:00"/>
    <d v="1899-12-30T10:59:22"/>
    <s v="Wilfried Mitokpe"/>
    <s v="wilfrid.mitokpe@sigacorporate.sn"/>
    <s v="Fournisseurs et Prestataires locaux"/>
    <s v="Sénégal"/>
  </r>
  <r>
    <x v="11"/>
    <s v="Validé"/>
    <d v="2026-06-01T00:00:00"/>
    <d v="1899-12-30T09:57:15"/>
    <s v="ABDOU KANE"/>
    <s v="administration@diass-industries.com"/>
    <s v="Fournisseurs et Prestataires locaux"/>
    <s v="Sénégal"/>
  </r>
  <r>
    <x v="12"/>
    <s v="Validé"/>
    <d v="2026-07-01T00:00:00"/>
    <d v="1899-12-30T08:51:57"/>
    <s v="Abdramane BOLY"/>
    <s v="ab.boly@pyxissupport.com"/>
    <s v="Fournisseurs et Prestataires locaux"/>
    <s v="Sénégal"/>
  </r>
  <r>
    <x v="13"/>
    <s v="Validé"/>
    <d v="2026-01-02T00:00:00"/>
    <d v="1899-12-30T16:15:18"/>
    <s v="Marie Pierre DIAGNE"/>
    <s v="mariepierre.diagne@confosen.com"/>
    <s v="Fournisseurs et Prestataires locaux"/>
    <s v="Sénégal"/>
  </r>
  <r>
    <x v="14"/>
    <s v="Validé"/>
    <d v="2026-02-02T00:00:00"/>
    <d v="1899-12-30T09:59:42"/>
    <s v="Gaelle NDIAYE"/>
    <s v="gaelle.ndiaye@mci-int.com"/>
    <s v="Sous-traitants"/>
    <s v="Sénégal"/>
  </r>
  <r>
    <x v="15"/>
    <s v="Validé"/>
    <d v="2026-02-02T00:00:00"/>
    <d v="1899-12-30T23:06:34"/>
    <s v="Serigne mouhamadou Mboup"/>
    <s v="smmboup@gmail.com"/>
    <s v="Fournisseurs et Prestataires locaux"/>
    <s v="Sénégal"/>
  </r>
  <r>
    <x v="16"/>
    <s v="Validé"/>
    <d v="2026-03-02T00:00:00"/>
    <d v="1899-12-30T08:50:50"/>
    <s v="Coumba  Ndiaye "/>
    <s v="dmdgroupe11@gmail.com"/>
    <s v="Fournisseurs et Prestataires locaux"/>
    <s v="Sénégal"/>
  </r>
  <r>
    <x v="17"/>
    <s v="Validé"/>
    <d v="2026-03-02T00:00:00"/>
    <d v="1899-12-30T09:56:05"/>
    <s v="MBAYE NDOYE"/>
    <s v="mndoye@bdtp-sn.com"/>
    <s v="Fournisseurs et Prestataires locaux"/>
    <s v="Sénégal"/>
  </r>
  <r>
    <x v="18"/>
    <s v="Validé"/>
    <d v="2026-03-02T00:00:00"/>
    <d v="1899-12-30T14:41:26"/>
    <s v="Ousmane  Diop"/>
    <s v="ousmane@minebar-sn.com"/>
    <s v="Fournisseurs et Prestataires locaux"/>
    <s v="Sénégal"/>
  </r>
  <r>
    <x v="19"/>
    <s v="Validé"/>
    <d v="2026-05-02T00:00:00"/>
    <d v="1899-12-30T10:35:42"/>
    <s v="DEVENDRA GUPTA"/>
    <s v="suncomputech866@gmail.com"/>
    <s v="Fournisseurs et Prestataires étrangers"/>
    <s v="Inde"/>
  </r>
  <r>
    <x v="20"/>
    <s v="Validé"/>
    <d v="2026-06-02T00:00:00"/>
    <d v="1899-12-30T22:18:05"/>
    <s v="Alboury Ndao"/>
    <s v="alboury.ndao@acces-haut.com"/>
    <s v="Fournisseurs et Prestataires locaux"/>
    <s v="Sénégal"/>
  </r>
  <r>
    <x v="21"/>
    <s v="Validé"/>
    <d v="2026-06-02T00:00:00"/>
    <d v="1899-12-30T13:55:52"/>
    <s v="Olivia Guilpain"/>
    <s v="olivia.guilpain@ramaguilpain.com"/>
    <s v="Fournisseurs et Prestataires locaux"/>
    <s v="Sénégal"/>
  </r>
  <r>
    <x v="22"/>
    <s v="Validé"/>
    <d v="2026-06-02T00:00:00"/>
    <d v="1899-12-30T10:46:36"/>
    <s v="Daour Samb"/>
    <s v="daour.samb@yasbusiness.sn"/>
    <s v="Fournisseurs et Prestataires de droit sénégalais"/>
    <s v="Sénégal"/>
  </r>
  <r>
    <x v="23"/>
    <s v="Validé"/>
    <d v="2026-06-02T00:00:00"/>
    <d v="1899-12-30T09:57:57"/>
    <s v="CHEIKH MBOUP"/>
    <s v="4mgroup2016@gmail.com"/>
    <s v="Fournisseurs et Prestataires locaux"/>
    <s v="Sénégal"/>
  </r>
  <r>
    <x v="24"/>
    <s v="Validé"/>
    <d v="2026-07-02T00:00:00"/>
    <d v="1899-12-30T18:36:17"/>
    <s v="Salouma  SAMOURA"/>
    <s v="monekhata@hotmail.fr"/>
    <s v="Fournisseurs et Prestataires locaux"/>
    <s v="Sénégal"/>
  </r>
  <r>
    <x v="25"/>
    <s v="Validé"/>
    <d v="2026-07-02T00:00:00"/>
    <d v="1899-12-30T01:06:02"/>
    <s v="Nogaye Diop"/>
    <s v="nogaye.diop@2mts-sn.com"/>
    <s v="Fournisseurs et Prestataires locaux"/>
    <s v="Sénégal"/>
  </r>
  <r>
    <x v="26"/>
    <s v="Validé"/>
    <d v="2025-09-02T00:00:00"/>
    <d v="1899-12-30T16:47:15"/>
    <s v="Mahtar Diouf"/>
    <s v="mahtar.diouf@niokoloexpress.com"/>
    <s v="Fournisseurs et prestataires locaux (GPF ou GIE)"/>
    <s v="Sénégal"/>
  </r>
  <r>
    <x v="27"/>
    <s v="Validé"/>
    <d v="2026-01-03T00:00:00"/>
    <d v="1899-12-30T12:02:04"/>
    <s v="Fallou Leye"/>
    <s v="fallouleye@lgsc.sn"/>
    <s v="Fournisseurs et Prestataires locaux"/>
    <s v="Sénégal"/>
  </r>
  <r>
    <x v="28"/>
    <s v="Validé"/>
    <d v="2026-02-03T00:00:00"/>
    <d v="1899-12-30T13:35:09"/>
    <s v="Babacar BA"/>
    <s v="contact@afrimexservices.com"/>
    <s v="Fournisseurs et Prestataires locaux"/>
    <s v="Sénégal"/>
  </r>
  <r>
    <x v="29"/>
    <s v="Validé"/>
    <d v="2026-03-03T00:00:00"/>
    <d v="1899-12-30T12:17:28"/>
    <s v="Aly DIALLO"/>
    <s v="d.alybocoum@gmail.com"/>
    <s v="Fournisseurs et Prestataires locaux"/>
    <s v="Sénégal"/>
  </r>
  <r>
    <x v="30"/>
    <s v="Validé"/>
    <d v="2026-03-03T00:00:00"/>
    <d v="1899-12-30T16:35:47"/>
    <s v="MOUSSA FAYE"/>
    <s v="ip-contact@industrypartner.sn"/>
    <s v="Fournisseurs et Prestataires locaux"/>
    <s v="Sénégal"/>
  </r>
  <r>
    <x v="31"/>
    <s v="Validé"/>
    <d v="2026-03-03T00:00:00"/>
    <d v="1899-12-30T09:10:38"/>
    <s v="ADS ASSUR SAU"/>
    <s v="zone8c@gmail.com"/>
    <s v="Fournisseurs et Prestataires locaux"/>
    <s v="Sénégal"/>
  </r>
  <r>
    <x v="32"/>
    <s v="Validé"/>
    <d v="2026-04-01T00:00:00"/>
    <d v="1899-12-30T10:38:19"/>
    <s v="MAME MASSIRY NDIAYE"/>
    <s v="oscarius87@gmail.com"/>
    <s v="Fournisseurs et Prestataires locaux"/>
    <s v="Sénégal"/>
  </r>
  <r>
    <x v="33"/>
    <s v="Validé"/>
    <d v="2026-03-03T00:00:00"/>
    <d v="1899-12-30T16:00:38"/>
    <s v="Abdou Wade"/>
    <s v="wade51446@gmail.com"/>
    <s v="Fournisseurs et Prestataires locaux"/>
    <s v="Sénégal"/>
  </r>
  <r>
    <x v="34"/>
    <s v="Validé"/>
    <d v="2026-03-03T00:00:00"/>
    <d v="1899-12-30T10:38:54"/>
    <s v="NDEYE KHOUDIA FALL"/>
    <s v="nkfall@csegranulats.sn"/>
    <s v="Sociétés minières ou Cimenteries"/>
    <s v="Sénégal"/>
  </r>
  <r>
    <x v="35"/>
    <s v="Validé"/>
    <d v="2026-04-03T00:00:00"/>
    <d v="1899-12-30T11:02:32"/>
    <s v="Zanape Kone"/>
    <s v="zanape@kizconsulting.com"/>
    <s v="Fournisseurs et Prestataires de droit sénégalais"/>
    <s v="Sénégal"/>
  </r>
  <r>
    <x v="36"/>
    <s v="Validé"/>
    <d v="2026-05-03T00:00:00"/>
    <d v="1899-12-30T15:38:26"/>
    <s v="Kansala  Camara "/>
    <s v="ckansala44@yahoo.com"/>
    <s v="Fournisseurs et Prestataires locaux"/>
    <s v="Sénégal"/>
  </r>
  <r>
    <x v="37"/>
    <s v="Validé"/>
    <d v="2025-06-03T00:00:00"/>
    <d v="1899-12-30T10:27:15"/>
    <s v="Mawdo Malick GUEYE"/>
    <s v="panafrics@gmail.com"/>
    <s v="Fournisseurs et Prestataires locaux"/>
    <s v="Sénégal"/>
  </r>
  <r>
    <x v="38"/>
    <s v="Validé"/>
    <d v="2026-06-03T00:00:00"/>
    <d v="1899-12-30T14:33:54"/>
    <s v="Rawaa Ben Said"/>
    <s v="commercial@tunisavia.com.tn"/>
    <s v="Fournisseurs et Prestataires étrangers"/>
    <s v="Tunisie"/>
  </r>
  <r>
    <x v="39"/>
    <s v="Validé"/>
    <d v="2025-07-03T00:00:00"/>
    <d v="1899-12-30T17:54:47"/>
    <s v="Thiane DIOP"/>
    <s v="thiane.diop@b2ei-sarl.com"/>
    <s v="Fournisseurs et Prestataires locaux"/>
    <s v="Sénégal"/>
  </r>
  <r>
    <x v="40"/>
    <s v="Validé"/>
    <d v="2026-07-03T00:00:00"/>
    <d v="1899-12-30T10:15:52"/>
    <s v="Mariétou SANE"/>
    <s v="marietou.sane@helixsen.com"/>
    <s v="Fournisseurs et Prestataires locaux"/>
    <s v="Sénégal"/>
  </r>
  <r>
    <x v="41"/>
    <s v="Validé"/>
    <d v="2026-07-03T00:00:00"/>
    <d v="1899-12-30T12:26:39"/>
    <s v="Oumar Seye"/>
    <s v="oumar.seye@viderienterprise.com"/>
    <s v="Sous-traitants"/>
    <s v="Sénégal"/>
  </r>
  <r>
    <x v="42"/>
    <s v="Validé"/>
    <d v="2025-10-03T00:00:00"/>
    <d v="1899-12-30T10:37:22"/>
    <s v="Fatou  Diop"/>
    <s v="fatoudiopsatt@gmail.com"/>
    <s v="Fournisseurs et Prestataires locaux"/>
    <s v="Sénégal"/>
  </r>
  <r>
    <x v="43"/>
    <s v="Validé"/>
    <d v="2025-12-03T00:00:00"/>
    <d v="1899-12-30T10:03:04"/>
    <s v="DIOUF MALICK"/>
    <s v="entreprisepro.techniques@gmail.com"/>
    <s v="Fournisseurs et Prestataires locaux"/>
    <s v="Sénégal"/>
  </r>
  <r>
    <x v="44"/>
    <s v="Validé"/>
    <d v="2026-02-04T00:00:00"/>
    <d v="1899-12-30T16:51:51"/>
    <s v="mle DIOP"/>
    <s v="diopa@sabbusinessconsulting.com"/>
    <s v="Fournisseurs et Prestataires locaux"/>
    <s v="Sénégal"/>
  </r>
  <r>
    <x v="45"/>
    <s v="Validé"/>
    <d v="2026-02-04T00:00:00"/>
    <d v="1899-12-30T14:58:51"/>
    <s v="ibrahima sylla"/>
    <s v="drillnessenegal@gmail.com"/>
    <s v="Fournisseurs et Prestataires locaux"/>
    <s v="Sénégal"/>
  </r>
  <r>
    <x v="46"/>
    <s v="Validé"/>
    <d v="2026-02-04T00:00:00"/>
    <d v="1899-12-30T11:46:22"/>
    <s v="ELHADJI AMADOU THIAM"/>
    <s v="eatmultiservices@gmail.com"/>
    <s v="Fournisseurs et Prestataires locaux"/>
    <s v="Sénégal"/>
  </r>
  <r>
    <x v="47"/>
    <s v="Validé"/>
    <d v="2026-02-04T00:00:00"/>
    <d v="1899-12-30T06:16:35"/>
    <s v="Dain Hurter"/>
    <s v="dain.hurter@gmail.com"/>
    <s v="Fournisseurs et Prestataires étrangers"/>
    <s v="Afrique du Sud"/>
  </r>
  <r>
    <x v="48"/>
    <s v="Validé"/>
    <d v="2026-03-04T00:00:00"/>
    <d v="1899-12-30T19:44:33"/>
    <s v="MAISSANE  THIAW"/>
    <s v="marketing@dakarhorizontravel.com"/>
    <s v="Fournisseurs et Prestataires locaux"/>
    <s v="Sénégal"/>
  </r>
  <r>
    <x v="49"/>
    <s v="Validé"/>
    <d v="2026-03-04T00:00:00"/>
    <d v="1899-12-30T09:58:55"/>
    <s v="CHEIKH DJIGO"/>
    <s v="contact@an-nadiah.com"/>
    <s v="Fournisseurs et Prestataires locaux"/>
    <s v="Sénégal"/>
  </r>
  <r>
    <x v="50"/>
    <s v="Validé"/>
    <d v="2026-04-04T00:00:00"/>
    <d v="1899-12-30T08:45:21"/>
    <s v="Dharmesh Dalwadi"/>
    <s v="dharmesh@viecl.com"/>
    <s v="Fournisseurs et Prestataires étrangers"/>
    <s v="Inde"/>
  </r>
  <r>
    <x v="51"/>
    <s v="Validé"/>
    <d v="2026-05-04T00:00:00"/>
    <d v="1899-12-30T20:36:06"/>
    <s v="Coumba Khoule"/>
    <s v="coumba@tps-senegal.com"/>
    <s v="Fournisseurs et Prestataires locaux"/>
    <s v="Sénégal"/>
  </r>
  <r>
    <x v="52"/>
    <s v="Validé"/>
    <d v="2026-05-04T00:00:00"/>
    <d v="1899-12-30T07:24:16"/>
    <s v="Néné CISSOKHO"/>
    <s v="cissokhonene95@gmail.com"/>
    <s v="Fournisseurs et prestataires locaux (GPF ou GIE)"/>
    <s v="Sénégal"/>
  </r>
  <r>
    <x v="53"/>
    <s v="Validé"/>
    <d v="2026-06-04T00:00:00"/>
    <d v="1899-12-30T14:14:15"/>
    <s v="ABDOU BA"/>
    <s v="abdou.ba@process-master.com"/>
    <s v="Fournisseurs et Prestataires locaux"/>
    <s v="Sénégal"/>
  </r>
  <r>
    <x v="54"/>
    <s v="Validé"/>
    <d v="2026-01-05T00:00:00"/>
    <d v="1899-12-30T05:22:14"/>
    <s v="Cai Ada"/>
    <s v="enbange-chua@hotmail.com"/>
    <s v="Fournisseurs et Prestataires étrangers"/>
    <s v="Sénégal"/>
  </r>
  <r>
    <x v="55"/>
    <s v="Validé"/>
    <d v="2026-01-05T00:00:00"/>
    <d v="1899-12-30T15:28:38"/>
    <s v="ousseynou GUEYE"/>
    <s v="ousseynou.gueye@sdmi.sn"/>
    <s v="Fournisseurs et Prestataires locaux"/>
    <s v="Sénégal"/>
  </r>
  <r>
    <x v="56"/>
    <s v="Validé"/>
    <d v="2026-01-05T00:00:00"/>
    <d v="1899-12-30T10:13:48"/>
    <s v="El Hadji Magueye Fall "/>
    <s v="elhadji.fall@snsoftware.com"/>
    <s v="Fournisseurs et Prestataires locaux"/>
    <s v="Sénégal"/>
  </r>
  <r>
    <x v="57"/>
    <s v="Validé"/>
    <d v="2026-01-05T00:00:00"/>
    <d v="1899-12-30T12:42:54"/>
    <s v="khadidiatou toure fall"/>
    <s v="ubbicompu1@outlook.com"/>
    <s v="Fournisseurs et Prestataires locaux"/>
    <s v="Sénégal"/>
  </r>
  <r>
    <x v="58"/>
    <s v="Validé"/>
    <d v="2026-01-05T00:00:00"/>
    <d v="1899-12-30T09:52:15"/>
    <s v="BABACAR KEBE"/>
    <s v="locasen@groupelocasen.com"/>
    <s v="Fournisseurs et Prestataires locaux"/>
    <s v="Sénégal"/>
  </r>
  <r>
    <x v="54"/>
    <s v="Validé"/>
    <d v="2026-01-05T00:00:00"/>
    <d v="1899-12-30T04:51:22"/>
    <s v="Apple Zhang"/>
    <s v="rn_zhangpingping@163.com"/>
    <s v="Fournisseurs et Prestataires étrangers"/>
    <s v="Sénégal"/>
  </r>
  <r>
    <x v="59"/>
    <s v="Validé"/>
    <d v="2026-02-05T00:00:00"/>
    <d v="1899-12-30T08:57:16"/>
    <s v="Securimex SAS"/>
    <s v="contact@securimex.sn"/>
    <s v="Fournisseurs et Prestataires locaux"/>
    <s v="Sénégal"/>
  </r>
  <r>
    <x v="60"/>
    <s v="Validé"/>
    <d v="2026-02-05T00:00:00"/>
    <d v="1899-12-30T15:35:57"/>
    <s v="ALIOU SECK"/>
    <s v="contact@performanceservices.sn"/>
    <s v="Fournisseurs et Prestataires locaux"/>
    <s v="Sénégal"/>
  </r>
  <r>
    <x v="61"/>
    <s v="Validé"/>
    <d v="2026-02-05T00:00:00"/>
    <d v="1899-12-30T13:33:11"/>
    <s v="Ashok Mehta"/>
    <s v="amehta@superiorsteel.in"/>
    <s v="Fournisseurs et Prestataires étrangers"/>
    <s v="Inde"/>
  </r>
  <r>
    <x v="62"/>
    <s v="Validé"/>
    <d v="2026-03-05T00:00:00"/>
    <d v="1899-12-30T11:24:40"/>
    <s v="Baye mor Gueye"/>
    <s v="bmgamgueye@gmail.com"/>
    <s v="Fournisseurs et Prestataires locaux"/>
    <s v="Sénégal"/>
  </r>
  <r>
    <x v="63"/>
    <s v="Validé"/>
    <d v="2026-03-05T00:00:00"/>
    <d v="1899-12-30T15:48:15"/>
    <s v="DIALLO Michel "/>
    <s v="contact@tysta-networks.com"/>
    <s v="Fournisseurs et Prestataires locaux"/>
    <s v="Sénégal"/>
  </r>
  <r>
    <x v="64"/>
    <s v="Validé"/>
    <d v="2026-03-05T00:00:00"/>
    <d v="1899-12-30T14:28:12"/>
    <s v="MOUHAMADOU MOUSTAPHA FALL"/>
    <s v="moustapha.fall@labanqueoutarde.sn"/>
    <s v="Fournisseurs et Prestataires locaux"/>
    <s v="Sénégal"/>
  </r>
  <r>
    <x v="65"/>
    <s v="Validé"/>
    <d v="2026-05-05T00:00:00"/>
    <d v="1899-12-30T16:16:48"/>
    <s v="Matar LÔ"/>
    <s v="cmgmboro@gmail.com"/>
    <s v="Fournisseurs et Prestataires locaux"/>
    <s v="Sénégal"/>
  </r>
  <r>
    <x v="66"/>
    <s v="Validé"/>
    <d v="2026-05-05T00:00:00"/>
    <d v="1899-12-30T09:47:34"/>
    <s v="MADY SOUMARE"/>
    <s v="sabodalaminingservicesarl@gmail.com"/>
    <s v="Fournisseurs et Prestataires locaux"/>
    <s v="Sénégal"/>
  </r>
  <r>
    <x v="67"/>
    <s v="Validé"/>
    <d v="2026-05-05T00:00:00"/>
    <d v="1899-12-30T19:03:15"/>
    <s v="Cheikh  Fall"/>
    <s v="gectis@yahoo.fr"/>
    <s v="Fournisseurs et Prestataires locaux"/>
    <s v="Sénégal"/>
  </r>
  <r>
    <x v="68"/>
    <s v="Validé"/>
    <d v="2026-05-05T00:00:00"/>
    <d v="1899-12-30T11:12:14"/>
    <s v="SOUKAYE MAR"/>
    <s v="documentvip2019@gmail.com"/>
    <s v="Fournisseurs et Prestataires locaux"/>
    <s v="Sénégal"/>
  </r>
  <r>
    <x v="69"/>
    <s v="Validé"/>
    <d v="2026-06-05T00:00:00"/>
    <d v="1899-12-30T21:52:30"/>
    <s v="Salimata Diouf"/>
    <s v="s.ngari.sa@gmail.com"/>
    <s v="Fournisseurs et Prestataires locaux"/>
    <s v="Sénégal"/>
  </r>
  <r>
    <x v="70"/>
    <s v="Validé"/>
    <d v="2026-06-05T00:00:00"/>
    <d v="1899-12-30T15:18:36"/>
    <s v="Abdou Xaadir GAYE"/>
    <s v="abdouxaadir.gaye@agtsgroupe.com"/>
    <s v="Fournisseurs et Prestataires locaux"/>
    <s v="Sénégal"/>
  </r>
  <r>
    <x v="71"/>
    <s v="Validé"/>
    <d v="2026-06-05T00:00:00"/>
    <d v="1899-12-30T10:19:15"/>
    <s v="Abdourahmane BARRY"/>
    <s v="contacts@sifens.com"/>
    <s v="Fournisseurs et Prestataires locaux"/>
    <s v="Sénégal"/>
  </r>
  <r>
    <x v="72"/>
    <s v="Validé"/>
    <d v="2025-12-05T00:00:00"/>
    <d v="1899-12-30T16:11:33"/>
    <s v="EL HADJI MOCTAR DIOP"/>
    <s v="abamar999@gmail.com"/>
    <s v="Fournisseurs et Prestataires locaux"/>
    <s v="Sénégal"/>
  </r>
  <r>
    <x v="73"/>
    <s v="Validé"/>
    <d v="2026-01-06T00:00:00"/>
    <d v="1899-12-30T11:20:56"/>
    <s v="keita bintou"/>
    <s v="globalservices.suarl2025@gmail.com"/>
    <s v="Fournisseurs et Prestataires locaux"/>
    <s v="Sénégal"/>
  </r>
  <r>
    <x v="74"/>
    <s v="Validé"/>
    <d v="2026-01-06T00:00:00"/>
    <d v="1899-12-30T10:46:45"/>
    <s v="JEREMIE JABER"/>
    <s v="jeremie.jaber@gmail.com"/>
    <s v="Fournisseurs et Prestataires locaux"/>
    <s v="Sénégal"/>
  </r>
  <r>
    <x v="75"/>
    <s v="Validé"/>
    <d v="2026-01-06T00:00:00"/>
    <d v="1899-12-30T16:41:48"/>
    <s v="LOUIS STEPHANE JOSEPH PAYSANT"/>
    <s v="dg@sspi.sn"/>
    <s v="Fournisseurs et Prestataires de droit sénégalais"/>
    <s v="Sénégal"/>
  </r>
  <r>
    <x v="76"/>
    <s v="Validé"/>
    <d v="2026-02-06T00:00:00"/>
    <d v="1899-12-30T15:04:10"/>
    <s v="James Neilson"/>
    <s v="ccel@corrproeurope.com"/>
    <s v="Fournisseurs et Prestataires étrangers"/>
    <s v="Royaume-Uni"/>
  </r>
  <r>
    <x v="77"/>
    <s v="Validé"/>
    <d v="2026-02-06T00:00:00"/>
    <d v="1899-12-30T15:45:24"/>
    <s v="PAPE  NIAKH"/>
    <s v="pape.niakh@eats-sarl.sn"/>
    <s v="Fournisseurs et Prestataires locaux"/>
    <s v="Sénégal"/>
  </r>
  <r>
    <x v="78"/>
    <s v="Validé"/>
    <d v="2026-02-06T00:00:00"/>
    <d v="1899-12-30T08:43:49"/>
    <s v="Habib  SARR"/>
    <s v="hsarr@lcs.sn"/>
    <s v="Fournisseurs et Prestataires locaux"/>
    <s v="Sénégal"/>
  </r>
  <r>
    <x v="79"/>
    <s v="Validé"/>
    <d v="2026-02-06T00:00:00"/>
    <d v="1899-12-30T17:36:08"/>
    <s v="SENE Daouda"/>
    <s v="esents23@gmail.com"/>
    <s v="Fournisseurs et Prestataires locaux"/>
    <s v="Sénégal"/>
  </r>
  <r>
    <x v="80"/>
    <s v="Validé"/>
    <d v="2026-02-06T00:00:00"/>
    <d v="1899-12-30T17:57:08"/>
    <s v="Moustapha Diouf"/>
    <s v="mtdiouf@hotmail.com"/>
    <s v="Fournisseurs et Prestataires locaux"/>
    <s v="Sénégal"/>
  </r>
  <r>
    <x v="81"/>
    <s v="Validé"/>
    <d v="2026-05-06T00:00:00"/>
    <d v="1899-12-30T18:45:42"/>
    <s v="Mouhamed Lo"/>
    <s v="lomouhamed@gmail.com"/>
    <s v="Fournisseurs et Prestataires locaux"/>
    <s v="Sénégal"/>
  </r>
  <r>
    <x v="82"/>
    <s v="Validé"/>
    <d v="2026-05-06T00:00:00"/>
    <d v="1899-12-30T12:06:09"/>
    <s v="SAMBE Abdoulaye"/>
    <s v="abdoulaye.s@pro-mech616.com"/>
    <s v="Fournisseurs et Prestataires locaux"/>
    <s v="Sénégal"/>
  </r>
  <r>
    <x v="83"/>
    <s v="Validé"/>
    <d v="2026-05-06T00:00:00"/>
    <d v="1899-12-30T11:40:13"/>
    <s v="NESTOR DIATTA"/>
    <s v="contact@sentras-sn.com"/>
    <s v="Fournisseurs et Prestataires locaux"/>
    <s v="Sénégal"/>
  </r>
  <r>
    <x v="84"/>
    <s v="Validé"/>
    <d v="2026-06-06T00:00:00"/>
    <d v="1899-12-30T09:44:00"/>
    <s v="Aymann CHOUCAIR"/>
    <s v="aymann.choucair@dmcsen.com"/>
    <s v="Fournisseurs et Prestataires locaux"/>
    <s v="Sénégal"/>
  </r>
  <r>
    <x v="85"/>
    <s v="Validé"/>
    <d v="2026-07-06T00:00:00"/>
    <d v="1899-12-30T12:50:34"/>
    <s v="Souleymane Daouda Ndiaye"/>
    <s v="synergie.plus18@gmail.com"/>
    <s v="Fournisseurs et Prestataires locaux"/>
    <s v="Sénégal"/>
  </r>
  <r>
    <x v="86"/>
    <s v="Validé"/>
    <d v="2026-01-07T00:00:00"/>
    <d v="1899-12-30T18:04:44"/>
    <s v="ismaila kamara"/>
    <s v="ismaila.kamara@staroilgroup.com"/>
    <s v="Fournisseurs et Prestataires de droit sénégalais"/>
    <s v="Sénégal"/>
  </r>
  <r>
    <x v="87"/>
    <s v="Validé"/>
    <d v="2026-01-07T00:00:00"/>
    <d v="1899-12-30T17:35:07"/>
    <s v="Mushtaq Khuram"/>
    <s v="khuram.mushtaq@lycopodium.com"/>
    <s v="Sous-traitants"/>
    <s v="Canada"/>
  </r>
  <r>
    <x v="88"/>
    <s v="Validé"/>
    <d v="2026-01-07T00:00:00"/>
    <d v="1899-12-30T14:47:40"/>
    <s v="Bineta FALL"/>
    <s v="bineta.fall@vinci-construction.com"/>
    <s v="Sous-traitants"/>
    <s v="Sénégal"/>
  </r>
  <r>
    <x v="89"/>
    <s v="Validé"/>
    <d v="2026-01-07T00:00:00"/>
    <d v="1899-12-30T12:01:00"/>
    <s v="Gupta Ankur"/>
    <s v="ankur.g@watsltd.com"/>
    <s v="Fournisseurs et Prestataires locaux"/>
    <s v="Sénégal"/>
  </r>
  <r>
    <x v="90"/>
    <s v="Validé"/>
    <d v="2026-02-07T00:00:00"/>
    <d v="1899-12-30T09:17:02"/>
    <s v="Papa Mamadou  GUISSE"/>
    <s v="guissepm@gmail.com"/>
    <s v="Fournisseurs et Prestataires locaux"/>
    <s v="Sénégal"/>
  </r>
  <r>
    <x v="91"/>
    <s v="Validé"/>
    <d v="2026-03-07T00:00:00"/>
    <d v="1899-12-30T14:02:16"/>
    <s v="BILLO Wane"/>
    <s v="clairattitudesn@gmail.com"/>
    <s v="Fournisseurs et Prestataires locaux"/>
    <s v="Sénégal"/>
  </r>
  <r>
    <x v="92"/>
    <s v="Validé"/>
    <d v="2026-04-07T00:00:00"/>
    <d v="1899-12-30T11:36:10"/>
    <s v="Franco Swanepoel"/>
    <s v="francos@pumpab.co.za"/>
    <s v="Fournisseurs et Prestataires étrangers"/>
    <s v="Afrique du Sud"/>
  </r>
  <r>
    <x v="93"/>
    <s v="Validé"/>
    <d v="2026-04-07T00:00:00"/>
    <d v="1899-12-30T16:53:55"/>
    <s v="AIDA DIOP"/>
    <s v="diopaida1987@gmail.com"/>
    <s v="Fournisseurs et Prestataires locaux"/>
    <s v="Sénégal"/>
  </r>
  <r>
    <x v="94"/>
    <s v="Validé"/>
    <d v="2026-04-07T00:00:00"/>
    <d v="1899-12-30T10:53:29"/>
    <s v="Sarr Talla"/>
    <s v="cartel2022@yahoo.com"/>
    <s v="Fournisseurs et Prestataires locaux"/>
    <s v="Sénégal"/>
  </r>
  <r>
    <x v="95"/>
    <s v="Validé"/>
    <d v="2026-04-07T00:00:00"/>
    <d v="1899-12-30T12:26:35"/>
    <s v="Mame Marieme TINE"/>
    <s v="marieme.tine@carmeusesenegal.com"/>
    <s v="Fournisseurs et Prestataires de droit sénégalais"/>
    <s v="Sénégal"/>
  </r>
  <r>
    <x v="96"/>
    <s v="Validé"/>
    <d v="2024-05-07T00:00:00"/>
    <d v="1899-12-30T20:39:47"/>
    <s v="Moctar dit Ndiaga Ndiaye"/>
    <s v="n.ndiaye@gasetech-africa.com"/>
    <s v="Fournisseurs et Prestataires locaux"/>
    <s v="Sénégal"/>
  </r>
  <r>
    <x v="97"/>
    <s v="Validé"/>
    <d v="2024-05-07T00:00:00"/>
    <d v="1899-12-30T16:36:19"/>
    <s v="El Hadji Talla FAYE"/>
    <s v="talla.faye@digital-automation.sn"/>
    <s v="Fournisseurs et Prestataires locaux"/>
    <s v="Sénégal"/>
  </r>
  <r>
    <x v="98"/>
    <s v="Validé"/>
    <d v="2026-05-07T00:00:00"/>
    <d v="1899-12-30T18:19:46"/>
    <s v="Samour  Ndiaye "/>
    <s v="mborotravauxindustriels@gmail.com"/>
    <s v="Fournisseurs et Prestataires locaux"/>
    <s v="Sénégal"/>
  </r>
  <r>
    <x v="99"/>
    <s v="Validé"/>
    <d v="2026-05-07T00:00:00"/>
    <d v="1899-12-30T17:52:08"/>
    <s v="Sara TINE"/>
    <s v="sandconsulting20@gmail.com"/>
    <s v="Fournisseurs et Prestataires locaux"/>
    <s v="Sénégal"/>
  </r>
  <r>
    <x v="100"/>
    <s v="Validé"/>
    <d v="2026-07-07T00:00:00"/>
    <d v="1899-12-30T11:39:02"/>
    <s v="KEWE ALY BA"/>
    <s v="kewe.ba@umo-interim.com"/>
    <s v="Fournisseurs et Prestataires locaux"/>
    <s v="Sénégal"/>
  </r>
  <r>
    <x v="101"/>
    <s v="Validé"/>
    <d v="2026-07-07T00:00:00"/>
    <d v="1899-12-30T11:13:55"/>
    <s v="Yolande Aida SENGHOR"/>
    <s v="contact@sendiasn.com"/>
    <s v="Fournisseurs et Prestataires locaux"/>
    <s v="Sénégal"/>
  </r>
  <r>
    <x v="102"/>
    <s v="Validé"/>
    <d v="2026-01-08T00:00:00"/>
    <d v="1899-12-30T10:16:13"/>
    <s v="Abdoulaye Diouf"/>
    <s v="procurement@amluxurytours.com"/>
    <s v="Fournisseurs et Prestataires locaux"/>
    <s v="Sénégal"/>
  </r>
  <r>
    <x v="103"/>
    <s v="Validé"/>
    <d v="2026-01-08T00:00:00"/>
    <d v="1899-12-30T11:54:43"/>
    <s v="GUEYE Diadji "/>
    <s v="dg@cammach.com"/>
    <s v="Fournisseurs et Prestataires locaux"/>
    <s v="Sénégal"/>
  </r>
  <r>
    <x v="104"/>
    <s v="Validé"/>
    <d v="2026-02-08T00:00:00"/>
    <d v="1899-12-30T14:39:17"/>
    <s v="Papa Mamadou Lo"/>
    <s v="mamadou.lo@emtafrique.com"/>
    <s v="Fournisseurs et Prestataires locaux"/>
    <s v="Sénégal"/>
  </r>
  <r>
    <x v="105"/>
    <s v="Validé"/>
    <d v="2026-03-08T00:00:00"/>
    <d v="1899-12-30T21:18:04"/>
    <s v="Amadou SANE"/>
    <s v="polyvalencebtp@gmail.com"/>
    <s v="Fournisseurs et Prestataires locaux"/>
    <s v="Sénégal"/>
  </r>
  <r>
    <x v="106"/>
    <s v="Validé"/>
    <d v="2026-04-08T00:00:00"/>
    <d v="1899-12-30T11:17:11"/>
    <s v="Emmanuel agbegnigan  FANGNON "/>
    <s v="faemma2000@yahoo.fr"/>
    <s v="Fournisseurs et Prestataires locaux"/>
    <s v="Sénégal"/>
  </r>
  <r>
    <x v="107"/>
    <s v="Validé"/>
    <d v="2026-05-08T00:00:00"/>
    <d v="1899-12-30T10:31:14"/>
    <s v="Mathieu Castelain"/>
    <s v="mathieu.castelain@friedlander-international.com"/>
    <s v="Fournisseurs et Prestataires de droit sénégalais"/>
    <s v="Sénégal"/>
  </r>
  <r>
    <x v="108"/>
    <s v="Validé"/>
    <d v="2026-05-08T00:00:00"/>
    <d v="1899-12-30T16:50:00"/>
    <s v="Aby Gabriel  Toure"/>
    <s v="abytoure084@gmail.com"/>
    <s v="Fournisseurs et Prestataires locaux"/>
    <s v="Sénégal"/>
  </r>
  <r>
    <x v="109"/>
    <s v="Validé"/>
    <d v="2026-05-08T00:00:00"/>
    <d v="1899-12-30T11:36:29"/>
    <s v="Ndéné SARR"/>
    <s v="ndene.sarr@teranga-energies.com"/>
    <s v="Fournisseurs et Prestataires locaux"/>
    <s v="Sénégal"/>
  </r>
  <r>
    <x v="110"/>
    <s v="Validé"/>
    <d v="2026-06-08T00:00:00"/>
    <d v="1899-12-30T15:07:31"/>
    <s v="Rama SOW"/>
    <s v="cnscl@boya.sn"/>
    <s v="Entreprises avec permis de recherche"/>
    <s v="Sénégal"/>
  </r>
  <r>
    <x v="111"/>
    <s v="Validé"/>
    <d v="2026-06-08T00:00:00"/>
    <d v="1899-12-30T08:16:04"/>
    <s v="Fatou Faye NIANG"/>
    <s v="f.niang@sibmsn.com"/>
    <s v="Fournisseurs et Prestataires de droit sénégalais"/>
    <s v="Sénégal"/>
  </r>
  <r>
    <x v="112"/>
    <s v="Validé"/>
    <d v="2024-07-08T00:00:00"/>
    <d v="1899-12-30T13:57:23"/>
    <s v="Ababacar Mbaye Diédhiou"/>
    <s v="ababacarmbayediedhiou@gmail.com"/>
    <s v="Fournisseurs et prestataires locaux (GPF ou GIE)"/>
    <s v="Sénégal"/>
  </r>
  <r>
    <x v="113"/>
    <s v="Validé"/>
    <d v="2026-07-08T00:00:00"/>
    <d v="1899-12-30T12:11:13"/>
    <s v="Rokhaya Sall"/>
    <s v="contact@drilleex.sn"/>
    <s v="Fournisseurs et Prestataires locaux"/>
    <s v="Sénégal"/>
  </r>
  <r>
    <x v="114"/>
    <s v="Validé"/>
    <d v="2026-07-08T00:00:00"/>
    <d v="1899-12-30T10:38:26"/>
    <s v="Thierry paluch"/>
    <s v="thierry.paluch@tsg-solutions.com"/>
    <s v="Fournisseurs et Prestataires de droit sénégalais"/>
    <s v="Sénégal"/>
  </r>
  <r>
    <x v="115"/>
    <s v="Validé"/>
    <d v="2026-07-08T00:00:00"/>
    <d v="1899-12-30T15:03:33"/>
    <s v="GALLO SARR"/>
    <s v="gallosarr@niayessarraut.com"/>
    <s v="Fournisseurs et Prestataires locaux"/>
    <s v="Sénégal"/>
  </r>
  <r>
    <x v="116"/>
    <s v="Validé"/>
    <d v="2024-11-08T00:00:00"/>
    <d v="1899-12-30T13:21:45"/>
    <s v="Mouhamed  DIAGNE "/>
    <s v="mouhamed.diagne@ridwangroup.com"/>
    <s v="Fournisseurs et Prestataires locaux"/>
    <s v="Sénégal"/>
  </r>
  <r>
    <x v="117"/>
    <s v="Validé"/>
    <d v="2025-11-08T00:00:00"/>
    <d v="1899-12-30T00:12:49"/>
    <s v="Hamidou TRAORE"/>
    <s v="traorehamidou@gmail.com"/>
    <s v="Fournisseurs et Prestataires locaux"/>
    <s v="Sénégal"/>
  </r>
  <r>
    <x v="118"/>
    <s v="Validé"/>
    <d v="2025-12-08T00:00:00"/>
    <d v="1899-12-30T08:48:17"/>
    <s v="Gary  Dharmarathna"/>
    <s v="gary.dharma@2mg.net.au"/>
    <s v="Fournisseurs et Prestataires étrangers"/>
    <s v="Australie"/>
  </r>
  <r>
    <x v="119"/>
    <s v="Validé"/>
    <d v="2025-12-08T00:00:00"/>
    <d v="1899-12-30T14:27:59"/>
    <s v="Alla DIAW"/>
    <s v="alla.diaw@sgns.gouv.sn"/>
    <s v="Fournisseurs et Prestataires locaux"/>
    <s v="Sénégal"/>
  </r>
  <r>
    <x v="120"/>
    <s v="Validé"/>
    <d v="2026-01-09T00:00:00"/>
    <d v="1899-12-30T09:43:40"/>
    <s v="Sophiatou FALL"/>
    <s v="sophiatou.fall@laboratoiretfg.com"/>
    <s v="Fournisseurs et Prestataires locaux"/>
    <s v="Sénégal"/>
  </r>
  <r>
    <x v="121"/>
    <s v="Validé"/>
    <d v="2026-01-09T00:00:00"/>
    <d v="1899-12-30T13:30:17"/>
    <s v="Boubane Ibrahima "/>
    <s v="lombelresources@gmail.com"/>
    <s v="Fournisseurs et Prestataires locaux"/>
    <s v="Sénégal"/>
  </r>
  <r>
    <x v="122"/>
    <s v="Validé"/>
    <d v="2026-02-09T00:00:00"/>
    <d v="1899-12-30T12:43:15"/>
    <s v="Komi Landry AMENTI"/>
    <s v="contact@valteo-ingenierie.com"/>
    <s v="Fournisseurs et Prestataires locaux"/>
    <s v="Sénégal"/>
  </r>
  <r>
    <x v="123"/>
    <s v="Validé"/>
    <d v="2026-02-09T00:00:00"/>
    <d v="1899-12-30T10:32:38"/>
    <s v="Ousmane Fall"/>
    <s v="oufall@sata.sn"/>
    <s v="Fournisseurs et Prestataires locaux"/>
    <s v="Sénégal"/>
  </r>
  <r>
    <x v="124"/>
    <s v="Validé"/>
    <d v="2026-02-09T00:00:00"/>
    <d v="1899-12-30T13:41:35"/>
    <s v="Mulalo Silidi"/>
    <s v="mulalo.silidi@hatch.com"/>
    <s v="Fournisseurs et Prestataires étrangers"/>
    <s v="Îles Mariannes du Nord"/>
  </r>
  <r>
    <x v="125"/>
    <s v="Validé"/>
    <d v="2026-02-09T00:00:00"/>
    <d v="1899-12-30T12:29:48"/>
    <s v="Deshigan Padayachee"/>
    <s v="deshigan.padayachee@hatch.com"/>
    <s v="Fournisseurs et Prestataires étrangers"/>
    <s v="Afrique du Sud"/>
  </r>
  <r>
    <x v="126"/>
    <s v="Validé"/>
    <d v="2026-03-09T00:00:00"/>
    <d v="1899-12-30T08:34:31"/>
    <s v="Wael ATTIEH"/>
    <s v="sirmel@sirmel.sn"/>
    <s v="Fournisseurs et Prestataires locaux"/>
    <s v="Sénégal"/>
  </r>
  <r>
    <x v="127"/>
    <s v="Validé"/>
    <d v="2026-03-09T00:00:00"/>
    <d v="1899-12-30T13:44:38"/>
    <s v="Murnel DZON"/>
    <s v="m.dzon.jojo@beta.one"/>
    <s v="Fournisseurs et Prestataires de droit sénégalais"/>
    <s v="Sénégal"/>
  </r>
  <r>
    <x v="128"/>
    <s v="Validé"/>
    <d v="2026-03-09T00:00:00"/>
    <d v="1899-12-30T12:46:38"/>
    <s v="Ahmadou bamba Diop"/>
    <s v="commercial.gy@gmail.com"/>
    <s v="Fournisseurs et Prestataires locaux"/>
    <s v="Sénégal"/>
  </r>
  <r>
    <x v="129"/>
    <s v="Validé"/>
    <d v="2026-04-09T00:00:00"/>
    <d v="1899-12-30T13:29:41"/>
    <s v="Mamadou Ouleye  Diallo "/>
    <s v="dmamadououle@yahoo.fr"/>
    <s v="Fournisseurs et Prestataires locaux"/>
    <s v="Sénégal"/>
  </r>
  <r>
    <x v="130"/>
    <s v="Validé"/>
    <d v="2026-04-09T00:00:00"/>
    <d v="1899-12-30T13:26:02"/>
    <s v="Déborah MATTER"/>
    <s v="skakovibration.fr@skako.com"/>
    <s v="Fournisseurs et Prestataires étrangers"/>
    <s v="France"/>
  </r>
  <r>
    <x v="131"/>
    <s v="Validé"/>
    <d v="2026-06-09T00:00:00"/>
    <d v="1899-12-30T11:22:20"/>
    <s v="Mark Sealey"/>
    <s v="sales@rainbosupplies.com"/>
    <s v="Fournisseurs et Prestataires étrangers"/>
    <s v="Royaume-Uni"/>
  </r>
  <r>
    <x v="132"/>
    <s v="Validé"/>
    <d v="2026-06-09T00:00:00"/>
    <d v="1899-12-30T11:21:01"/>
    <s v="Aissatou Ndong"/>
    <s v="andong@wafgatesn.com"/>
    <s v="Fournisseurs et Prestataires locaux"/>
    <s v="Sénégal"/>
  </r>
  <r>
    <x v="133"/>
    <s v="Validé"/>
    <d v="2026-06-09T00:00:00"/>
    <d v="1899-12-30T10:14:49"/>
    <s v="Patrick TIOMELA"/>
    <s v="contact@temico.sn"/>
    <s v="Fournisseurs et Prestataires locaux"/>
    <s v="Sénégal"/>
  </r>
  <r>
    <x v="134"/>
    <s v="Validé"/>
    <d v="2025-07-09T00:00:00"/>
    <d v="1899-12-30T09:19:32"/>
    <s v="Venter Landi"/>
    <s v="tenders@zutari.com"/>
    <s v="Fournisseurs et Prestataires étrangers"/>
    <s v="Afrique du Sud"/>
  </r>
  <r>
    <x v="135"/>
    <s v="Validé"/>
    <d v="2026-07-09T00:00:00"/>
    <d v="1899-12-30T14:23:01"/>
    <s v="Vincent Korri SARR"/>
    <s v="facturation@sscm.sn"/>
    <s v="Fournisseurs et Prestataires locaux"/>
    <s v="Sénégal"/>
  </r>
  <r>
    <x v="136"/>
    <s v="Validé"/>
    <d v="2024-09-09T00:00:00"/>
    <d v="1899-12-30T17:33:49"/>
    <s v="Doune MBENGUE"/>
    <s v="dgmsparts@gmail.com"/>
    <s v="Fournisseurs et Prestataires locaux"/>
    <s v="Sénégal"/>
  </r>
  <r>
    <x v="137"/>
    <s v="Validé"/>
    <d v="2025-09-09T00:00:00"/>
    <d v="1899-12-30T15:56:11"/>
    <s v="Seydina Ababacar Ndiaye"/>
    <s v="seydina.ee@gmail.com"/>
    <s v="Entreprises avec permis de recherche"/>
    <s v="Sénégal"/>
  </r>
  <r>
    <x v="138"/>
    <s v="Validé"/>
    <d v="2025-10-09T00:00:00"/>
    <d v="1899-12-30T23:28:49"/>
    <s v="MOUHAMADOU BECAYE BARRY"/>
    <s v="barrybecaye@gmail.com"/>
    <s v="Fournisseurs et Prestataires locaux"/>
    <s v="Sénégal"/>
  </r>
  <r>
    <x v="139"/>
    <s v="Validé"/>
    <d v="2025-12-09T00:00:00"/>
    <d v="1899-12-30T00:49:33"/>
    <s v="Abdourahim Athie"/>
    <s v="abdourahimathie@gmail.com"/>
    <s v="Fournisseurs et Prestataires locaux"/>
    <s v="Sénégal"/>
  </r>
  <r>
    <x v="140"/>
    <s v="Validé"/>
    <d v="2025-12-09T00:00:00"/>
    <d v="1899-12-30T14:24:19"/>
    <s v="MADY CISSOKHO"/>
    <s v="mady.cissokho1005@gmail.com"/>
    <s v="Fournisseurs et prestataires locaux (GPF ou GIE)"/>
    <s v="Sénégal"/>
  </r>
  <r>
    <x v="141"/>
    <s v="Validé"/>
    <d v="2026-02-10T00:00:00"/>
    <d v="1899-12-30T09:25:08"/>
    <s v="Abdourahmane Diallo LO"/>
    <s v="alokarim@gmail.com"/>
    <s v="Fournisseurs et Prestataires locaux"/>
    <s v="Sénégal"/>
  </r>
  <r>
    <x v="142"/>
    <s v="Validé"/>
    <d v="2026-02-10T00:00:00"/>
    <d v="1899-12-30T12:00:10"/>
    <s v="RACHI DOUM"/>
    <s v="doumssheed@gmail.com"/>
    <s v="Fournisseurs et Prestataires de droit sénégalais"/>
    <s v="Sénégal"/>
  </r>
  <r>
    <x v="143"/>
    <s v="Validé"/>
    <d v="2026-04-10T00:00:00"/>
    <d v="1899-12-30T17:45:05"/>
    <s v="MOUSSA DIOP"/>
    <s v="hydrassconsulting@gmail.com"/>
    <s v="Fournisseurs et Prestataires locaux"/>
    <s v="Sénégal"/>
  </r>
  <r>
    <x v="144"/>
    <s v="Validé"/>
    <d v="2026-04-10T00:00:00"/>
    <d v="1899-12-30T04:01:12"/>
    <s v="Bell Tim"/>
    <s v="gekkos@gekkos.com"/>
    <s v="Fournisseurs et Prestataires étrangers"/>
    <s v="Australie"/>
  </r>
  <r>
    <x v="145"/>
    <s v="Validé"/>
    <d v="2026-05-10T00:00:00"/>
    <d v="1899-12-30T22:41:04"/>
    <s v="Mamadou DIOP"/>
    <s v="mamadou.diop@seaengineering-ltd.com"/>
    <s v="Fournisseurs et Prestataires locaux"/>
    <s v="Sénégal"/>
  </r>
  <r>
    <x v="146"/>
    <s v="Validé"/>
    <d v="2026-05-10T00:00:00"/>
    <d v="1899-12-30T20:19:35"/>
    <s v="Khadim Dia"/>
    <s v="nbamba620@gmail.com"/>
    <s v="Fournisseurs et Prestataires locaux"/>
    <s v="Sénégal"/>
  </r>
  <r>
    <x v="147"/>
    <s v="Validé"/>
    <d v="2026-06-10T00:00:00"/>
    <d v="1899-12-30T15:15:25"/>
    <s v="papa boure DIOUF"/>
    <s v="papabourediouf74@gmail.com"/>
    <s v="Fournisseurs et Prestataires locaux"/>
    <s v="Sénégal"/>
  </r>
  <r>
    <x v="148"/>
    <s v="Validé"/>
    <d v="2026-06-10T00:00:00"/>
    <d v="1899-12-30T15:34:48"/>
    <s v="Louis SANTI"/>
    <s v="louis.santi@grouptfe.com"/>
    <s v="Fournisseurs et Prestataires de droit sénégalais"/>
    <s v="Sénégal"/>
  </r>
  <r>
    <x v="149"/>
    <s v="Validé"/>
    <d v="2026-07-10T00:00:00"/>
    <d v="1899-12-30T11:01:27"/>
    <s v="Samba Gueye"/>
    <s v="mdess_sarl@yahoo.com"/>
    <s v="Fournisseurs et Prestataires de droit sénégalais"/>
    <s v="Sénégal"/>
  </r>
  <r>
    <x v="150"/>
    <s v="Validé"/>
    <d v="2026-03-11T00:00:00"/>
    <d v="1899-12-30T13:25:57"/>
    <s v="Ramatoulaye DIEDHIOU"/>
    <s v="bijoudiedhiou@gmail.com"/>
    <s v="Fournisseurs et Prestataires locaux"/>
    <s v="Sénégal"/>
  </r>
  <r>
    <x v="151"/>
    <s v="Validé"/>
    <d v="2026-03-11T00:00:00"/>
    <d v="1899-12-30T18:07:09"/>
    <s v="ASTHOU MBAYE"/>
    <s v="astthi2002@gmail.com"/>
    <s v="Fournisseurs et Prestataires locaux"/>
    <s v="Sénégal"/>
  </r>
  <r>
    <x v="152"/>
    <s v="Validé"/>
    <d v="2026-03-11T00:00:00"/>
    <d v="1899-12-30T09:24:02"/>
    <s v="MOR NDOYE"/>
    <s v="polytech@polytechentreprise.sn"/>
    <s v="Fournisseurs et Prestataires locaux"/>
    <s v="Sénégal"/>
  </r>
  <r>
    <x v="153"/>
    <s v="Validé"/>
    <d v="2024-05-11T00:00:00"/>
    <d v="1899-12-30T18:34:34"/>
    <s v="KAMA DANFAKHA"/>
    <s v="ares_architecture@yahoo.fr"/>
    <s v="Fournisseurs et Prestataires locaux"/>
    <s v="Sénégal"/>
  </r>
  <r>
    <x v="154"/>
    <s v="Validé"/>
    <d v="2026-05-11T00:00:00"/>
    <d v="1899-12-30T15:01:57"/>
    <s v="Abdramane  ndiaye"/>
    <s v="abdramanendiaye26@gmail.com"/>
    <s v="Fournisseurs et Prestataires locaux"/>
    <s v="Sénégal"/>
  </r>
  <r>
    <x v="155"/>
    <s v="Validé"/>
    <d v="2026-05-11T00:00:00"/>
    <d v="1899-12-30T16:34:45"/>
    <s v="Beye Abdou"/>
    <s v="mdaddiogo@gmail.com"/>
    <s v="Fournisseurs et Prestataires locaux"/>
    <s v="Sénégal"/>
  </r>
  <r>
    <x v="156"/>
    <s v="Validé"/>
    <d v="2026-05-11T00:00:00"/>
    <d v="1899-12-30T08:33:35"/>
    <s v="Mohamed Habib  Cissokho"/>
    <s v="industrialminingservices.kims@gmail.com"/>
    <s v="Fournisseurs et Prestataires locaux"/>
    <s v="Sénégal"/>
  </r>
  <r>
    <x v="157"/>
    <s v="Validé"/>
    <d v="2026-05-11T00:00:00"/>
    <d v="1899-12-30T22:13:22"/>
    <s v="PAPE THIERNO TOP"/>
    <s v="contact@rassoulglobalservices.sn"/>
    <s v="Fournisseurs et Prestataires locaux"/>
    <s v="Sénégal"/>
  </r>
  <r>
    <x v="158"/>
    <s v="Validé"/>
    <d v="2026-05-11T00:00:00"/>
    <d v="1899-12-30T21:52:53"/>
    <s v="Abdoul Aziz Ciss"/>
    <s v="aciss@carriere360.com"/>
    <s v="Fournisseurs et Prestataires locaux"/>
    <s v="Sénégal"/>
  </r>
  <r>
    <x v="159"/>
    <s v="Validé"/>
    <d v="2026-05-11T00:00:00"/>
    <d v="1899-12-30T10:48:07"/>
    <s v="YOUSSOUPHA NDIAYE"/>
    <s v="kalomconstruction@gmail.com"/>
    <s v="Fournisseurs et Prestataires locaux"/>
    <s v="Sénégal"/>
  </r>
  <r>
    <x v="160"/>
    <s v="Validé"/>
    <d v="2025-06-11T00:00:00"/>
    <d v="1899-12-30T15:49:31"/>
    <s v="SALLA NDIAYE"/>
    <s v="salla.ndiaye@sustainafrica.net"/>
    <s v="Fournisseurs et Prestataires locaux"/>
    <s v="Sénégal"/>
  </r>
  <r>
    <x v="161"/>
    <s v="Validé"/>
    <d v="2026-06-11T00:00:00"/>
    <d v="1899-12-30T18:00:01"/>
    <s v="MAMADOU DOUDOU NDIAYE "/>
    <s v="mamadou.ndiaye@c2kstaffing.com"/>
    <s v="Fournisseurs et Prestataires locaux"/>
    <s v="Sénégal"/>
  </r>
  <r>
    <x v="162"/>
    <s v="Validé"/>
    <d v="2025-07-11T00:00:00"/>
    <d v="1899-12-30T10:26:58"/>
    <s v="CHEIKH GUEYE"/>
    <s v="cckss.senegal@gmail.com"/>
    <s v="Fournisseurs et Prestataires locaux"/>
    <s v="Sénégal"/>
  </r>
  <r>
    <x v="163"/>
    <s v="Validé"/>
    <d v="2026-01-12T00:00:00"/>
    <d v="1899-12-30T13:08:18"/>
    <s v="BOUYA  THIAM"/>
    <s v="bouyathiam97@gmail.com"/>
    <s v="Fournisseurs et Prestataires locaux"/>
    <s v="Sénégal"/>
  </r>
  <r>
    <x v="164"/>
    <s v="Validé"/>
    <d v="2026-01-12T00:00:00"/>
    <d v="1899-12-30T11:17:50"/>
    <s v="Mady Dangnokho"/>
    <s v="dangnokhomady816@gmail.com"/>
    <s v="Fournisseurs et prestataires locaux (GPF ou GIE)"/>
    <s v="Sénégal"/>
  </r>
  <r>
    <x v="165"/>
    <s v="Validé"/>
    <d v="2026-01-12T00:00:00"/>
    <d v="1899-12-30T15:38:05"/>
    <s v="BAYE SECK"/>
    <s v="baseck@instrumaint.org"/>
    <s v="Fournisseurs et Prestataires locaux"/>
    <s v="Sénégal"/>
  </r>
  <r>
    <x v="166"/>
    <s v="Validé"/>
    <d v="2026-01-12T00:00:00"/>
    <d v="1899-12-30T17:03:19"/>
    <s v="Mamadou SENE"/>
    <s v="mamadou.sene@africaels.com"/>
    <s v="Fournisseurs et Prestataires locaux"/>
    <s v="Sénégal"/>
  </r>
  <r>
    <x v="167"/>
    <s v="Validé"/>
    <d v="2026-02-12T00:00:00"/>
    <d v="1899-12-30T12:13:07"/>
    <s v="Cheikh Babou"/>
    <s v="cheikh.babou@greatmineralsresources.com"/>
    <s v="Fournisseurs et Prestataires locaux"/>
    <s v="Sénégal"/>
  </r>
  <r>
    <x v="168"/>
    <s v="Validé"/>
    <d v="2026-02-12T00:00:00"/>
    <d v="1899-12-30T16:30:10"/>
    <s v="Youssouph DIEDHIOU"/>
    <s v="youtend1212@gmail.com"/>
    <s v="Fournisseurs et Prestataires locaux"/>
    <s v="Sénégal"/>
  </r>
  <r>
    <x v="169"/>
    <s v="Validé"/>
    <d v="2026-02-12T00:00:00"/>
    <d v="1899-12-30T09:23:08"/>
    <s v="KHADY DIOP"/>
    <s v="khady.diop@seee-energies.com"/>
    <s v="Fournisseurs et Prestataires locaux"/>
    <s v="Sénégal"/>
  </r>
  <r>
    <x v="170"/>
    <s v="Validé"/>
    <d v="2026-02-12T00:00:00"/>
    <d v="1899-12-30T11:08:31"/>
    <s v="Mohamed LY"/>
    <s v="mohamed.ly@novago.africa"/>
    <s v="Fournisseurs et Prestataires de droit sénégalais"/>
    <s v="Sénégal"/>
  </r>
  <r>
    <x v="171"/>
    <s v="Validé"/>
    <d v="2026-03-12T00:00:00"/>
    <d v="1899-12-30T13:30:16"/>
    <s v="Fatou Touré"/>
    <s v="giebeuguefallouservices@gmail.com"/>
    <s v="Fournisseurs et prestataires locaux (GPF ou GIE)"/>
    <s v="Sénégal"/>
  </r>
  <r>
    <x v="172"/>
    <s v="Validé"/>
    <d v="2026-03-12T00:00:00"/>
    <d v="1899-12-30T15:49:23"/>
    <s v="Eustache Nestor Badji"/>
    <s v="nestor.badji@ags-sn.com"/>
    <s v="Fournisseurs et Prestataires locaux"/>
    <s v="Sénégal"/>
  </r>
  <r>
    <x v="173"/>
    <s v="Validé"/>
    <d v="2026-03-12T00:00:00"/>
    <d v="1899-12-30T11:01:19"/>
    <s v="Georges DIOUF"/>
    <s v="contact@badaracchi.com"/>
    <s v="Fournisseurs et Prestataires de droit sénégalais"/>
    <s v="Sénégal"/>
  </r>
  <r>
    <x v="174"/>
    <s v="Validé"/>
    <d v="2026-03-12T00:00:00"/>
    <d v="1899-12-30T08:25:05"/>
    <s v="MAMADOU MASSECK THIAM"/>
    <s v="masseck.thiam@tind.sn"/>
    <s v="Fournisseurs et Prestataires locaux"/>
    <s v="Sénégal"/>
  </r>
  <r>
    <x v="175"/>
    <s v="Validé"/>
    <d v="2026-03-12T00:00:00"/>
    <d v="1899-12-30T11:01:23"/>
    <s v="Thomas  Tine "/>
    <s v="thomastine@psychologiesetconseils.com"/>
    <s v="Fournisseurs et Prestataires locaux"/>
    <s v="Sénégal"/>
  </r>
  <r>
    <x v="176"/>
    <s v="Validé"/>
    <d v="2026-04-12T00:00:00"/>
    <d v="1899-12-30T19:07:38"/>
    <s v="Hady SOW"/>
    <s v="direction@pstenergy.com"/>
    <s v="Fournisseurs et Prestataires locaux"/>
    <s v="Sénégal"/>
  </r>
  <r>
    <x v="177"/>
    <s v="Validé"/>
    <d v="2026-05-12T00:00:00"/>
    <d v="1899-12-30T13:05:23"/>
    <s v="Mamadou Alpha `Diallo"/>
    <s v="phadioo87@gmail.com"/>
    <s v="Fournisseurs et Prestataires locaux"/>
    <s v="Sénégal"/>
  </r>
  <r>
    <x v="178"/>
    <s v="Validé"/>
    <d v="2026-05-12T00:00:00"/>
    <d v="1899-12-30T15:08:09"/>
    <s v="Fatou kine Dia"/>
    <s v="dala.force12@gmail.com"/>
    <s v="Fournisseurs et Prestataires locaux"/>
    <s v="Sénégal"/>
  </r>
  <r>
    <x v="179"/>
    <s v="Validé"/>
    <d v="2026-05-12T00:00:00"/>
    <d v="1899-12-30T10:07:05"/>
    <s v="Babacar  Mbodj"/>
    <s v="sakhocheikhou97@gmail.com"/>
    <s v="Fournisseurs et Prestataires locaux"/>
    <s v="Sénégal"/>
  </r>
  <r>
    <x v="180"/>
    <s v="Validé"/>
    <d v="2026-05-12T00:00:00"/>
    <d v="1899-12-30T11:23:59"/>
    <s v="Fabrice DESGARDIN"/>
    <s v="fdesgardin@soudotec.net"/>
    <s v="Fournisseurs et Prestataires locaux"/>
    <s v="Sénégal"/>
  </r>
  <r>
    <x v="181"/>
    <s v="Validé"/>
    <d v="2026-06-12T00:00:00"/>
    <d v="1899-12-30T16:16:09"/>
    <s v="SENE Dr. Moustapha "/>
    <s v="m-sene@sen-engineering.com"/>
    <s v="Fournisseurs et Prestataires locaux"/>
    <s v="Sénégal"/>
  </r>
  <r>
    <x v="182"/>
    <s v="Validé"/>
    <d v="2026-06-12T00:00:00"/>
    <d v="1899-12-30T08:15:59"/>
    <s v="Fily Mady SOUMARE"/>
    <s v="lyfidyma@gmail.com"/>
    <s v="Fournisseurs et Prestataires locaux"/>
    <s v="Sénégal"/>
  </r>
  <r>
    <x v="183"/>
    <s v="Validé"/>
    <d v="2025-09-12T00:00:00"/>
    <d v="1899-12-30T10:22:56"/>
    <s v="Bakary Sall"/>
    <s v="bakarysall@teletracksolutions.com"/>
    <s v="Fournisseurs et Prestataires locaux"/>
    <s v="Sénégal"/>
  </r>
  <r>
    <x v="184"/>
    <s v="Validé"/>
    <d v="2025-09-12T00:00:00"/>
    <d v="1899-12-30T13:20:58"/>
    <s v="Ibrahima  Sow"/>
    <s v="kawsaratechnologie@gmail.com"/>
    <s v="Fournisseurs et Prestataires locaux"/>
    <s v="Sénégal"/>
  </r>
  <r>
    <x v="185"/>
    <s v="Validé"/>
    <d v="2025-12-12T00:00:00"/>
    <d v="1899-12-30T15:31:49"/>
    <s v="MBENGUE Amsatou"/>
    <s v="amsa@kacyber.com"/>
    <s v="Fournisseurs et Prestataires locaux"/>
    <s v="Sénégal"/>
  </r>
  <r>
    <x v="186"/>
    <s v="Validé"/>
    <d v="2025-12-12T00:00:00"/>
    <d v="1899-12-30T23:49:39"/>
    <s v="Pape Ibrahima  SAMBE"/>
    <s v="kulaxcontact@gmail.com"/>
    <s v="Fournisseurs et Prestataires locaux"/>
    <s v="Sénégal"/>
  </r>
  <r>
    <x v="187"/>
    <s v="Validé"/>
    <d v="2026-01-13T00:00:00"/>
    <d v="1899-12-30T22:51:29"/>
    <s v="Sadou Diallo"/>
    <s v="diallo.lamine@equipex.sn"/>
    <s v="Fournisseurs et Prestataires locaux"/>
    <s v="Sénégal"/>
  </r>
  <r>
    <x v="188"/>
    <s v="Validé"/>
    <d v="2026-01-13T00:00:00"/>
    <d v="1899-12-30T12:38:57"/>
    <s v="Mohamed SIDIBE"/>
    <s v="mohamedsid88@hotmail.fr"/>
    <s v="Fournisseurs et Prestataires locaux"/>
    <s v="Sénégal"/>
  </r>
  <r>
    <x v="189"/>
    <s v="Validé"/>
    <d v="2026-01-13T00:00:00"/>
    <d v="1899-12-30T11:35:06"/>
    <s v="Moussa TRAORE"/>
    <s v="moussa.traore@bem.sn"/>
    <s v="Fournisseurs et Prestataires locaux"/>
    <s v="Sénégal"/>
  </r>
  <r>
    <x v="190"/>
    <s v="Validé"/>
    <d v="2026-01-13T00:00:00"/>
    <d v="1899-12-30T16:39:15"/>
    <s v="Gora Gueye"/>
    <s v="mborodiamou@gmail.com"/>
    <s v="Fournisseurs et Prestataires locaux"/>
    <s v="Sénégal"/>
  </r>
  <r>
    <x v="191"/>
    <s v="Validé"/>
    <d v="2026-01-13T00:00:00"/>
    <d v="1899-12-30T18:32:37"/>
    <s v="Richard Lawrie"/>
    <s v="mauritius@lawriesas.com"/>
    <s v="Fournisseurs et Prestataires étrangers"/>
    <s v="Ile Maurice"/>
  </r>
  <r>
    <x v="192"/>
    <s v="Validé"/>
    <d v="2026-01-13T00:00:00"/>
    <d v="1899-12-30T15:38:13"/>
    <s v="didier ROUSSELLE"/>
    <s v="drousselle@nexus-groupe.com"/>
    <s v="Fournisseurs et Prestataires étrangers"/>
    <s v="France"/>
  </r>
  <r>
    <x v="193"/>
    <s v="Validé"/>
    <d v="2026-02-13T00:00:00"/>
    <d v="1899-12-30T12:53:38"/>
    <s v="NIANG Libasse "/>
    <s v="energeco@orange.sn"/>
    <s v="Fournisseurs et Prestataires locaux"/>
    <s v="Sénégal"/>
  </r>
  <r>
    <x v="194"/>
    <s v="Validé"/>
    <d v="2026-02-13T00:00:00"/>
    <d v="1899-12-30T13:50:23"/>
    <s v="Oumar DIENG"/>
    <s v="oumar@petrolubepts.com"/>
    <s v="Fournisseurs et Prestataires locaux"/>
    <s v="Sénégal"/>
  </r>
  <r>
    <x v="195"/>
    <s v="Validé"/>
    <d v="2026-02-13T00:00:00"/>
    <d v="1899-12-30T11:52:15"/>
    <s v="FALLIL NIANG"/>
    <s v="f.niang@fngroup.sn"/>
    <s v="Fournisseurs et Prestataires locaux"/>
    <s v="Sénégal"/>
  </r>
  <r>
    <x v="196"/>
    <s v="Validé"/>
    <d v="2026-03-13T00:00:00"/>
    <d v="1899-12-30T10:54:17"/>
    <s v="Ahmadou Diop"/>
    <s v="forwarding@istamco.com"/>
    <s v="Fournisseurs et Prestataires locaux"/>
    <s v="Sénégal"/>
  </r>
  <r>
    <x v="197"/>
    <s v="Validé"/>
    <d v="2026-03-13T00:00:00"/>
    <d v="1899-12-30T11:46:46"/>
    <s v="Eliasse GANSORE "/>
    <s v="osmosegeotexsarl@gmail.com"/>
    <s v="Fournisseurs et Prestataires étrangers"/>
    <s v="Burkina Faso"/>
  </r>
  <r>
    <x v="198"/>
    <s v="Validé"/>
    <d v="2026-04-13T00:00:00"/>
    <d v="1899-12-30T10:15:38"/>
    <s v="Makhtar Ndoumbe  Mbaye "/>
    <s v="universalprestaservices@gmail.com"/>
    <s v="Fournisseurs et Prestataires locaux"/>
    <s v="Sénégal"/>
  </r>
  <r>
    <x v="199"/>
    <s v="Validé"/>
    <d v="2026-04-13T00:00:00"/>
    <d v="1899-12-30T10:32:17"/>
    <s v="Alpha DIALLO"/>
    <s v="dalpha5200@gmail.com"/>
    <s v="Fournisseurs et Prestataires locaux"/>
    <s v="Sénégal"/>
  </r>
  <r>
    <x v="200"/>
    <s v="Validé"/>
    <d v="2026-05-13T00:00:00"/>
    <d v="1899-12-30T14:42:05"/>
    <s v="Ahmadou Khadim  Khoule"/>
    <s v="sisarl@orange.sn"/>
    <s v="Fournisseurs et Prestataires locaux"/>
    <s v="Sénégal"/>
  </r>
  <r>
    <x v="201"/>
    <s v="Validé"/>
    <d v="2026-05-13T00:00:00"/>
    <d v="1899-12-30T16:46:33"/>
    <s v="cheikh sadibou ndiaye"/>
    <s v="cheikh.ndiaye@prosen.sn"/>
    <s v="Fournisseurs et Prestataires locaux"/>
    <s v="Sénégal"/>
  </r>
  <r>
    <x v="202"/>
    <s v="Validé"/>
    <d v="2026-05-13T00:00:00"/>
    <d v="1899-12-30T13:37:52"/>
    <s v="Khadim FALL"/>
    <s v="ksmikhadim@gmail.com"/>
    <s v="Fournisseurs et Prestataires locaux"/>
    <s v="Sénégal"/>
  </r>
  <r>
    <x v="203"/>
    <s v="Validé"/>
    <d v="2025-06-13T00:00:00"/>
    <d v="1899-12-30T10:22:01"/>
    <s v="Erick DERAMBURE"/>
    <s v="de.erick99@gmail.com"/>
    <s v="Fournisseurs et Prestataires de droit sénégalais"/>
    <s v="Sénégal"/>
  </r>
  <r>
    <x v="204"/>
    <s v="Validé"/>
    <d v="2026-06-13T00:00:00"/>
    <d v="1899-12-30T16:32:44"/>
    <s v="Doro  NIANG "/>
    <s v="montsnimbasenegal@gmail.com"/>
    <s v="Fournisseurs et Prestataires locaux"/>
    <s v="Sénégal"/>
  </r>
  <r>
    <x v="205"/>
    <s v="Validé"/>
    <d v="2026-07-13T00:00:00"/>
    <d v="1899-12-30T14:37:34"/>
    <s v="DAME KANE"/>
    <s v="kanedame2277@gmail.com"/>
    <s v="Fournisseurs et Prestataires locaux"/>
    <s v="Sénégal"/>
  </r>
  <r>
    <x v="206"/>
    <s v="Validé"/>
    <d v="2026-07-13T00:00:00"/>
    <d v="1899-12-30T12:40:30"/>
    <s v="PAPA YORO DIALLO"/>
    <s v="codipres@yahoo.fr"/>
    <s v="Fournisseurs et Prestataires locaux"/>
    <s v="Sénégal"/>
  </r>
  <r>
    <x v="207"/>
    <s v="Validé"/>
    <d v="2026-07-13T00:00:00"/>
    <d v="1899-12-30T00:52:21"/>
    <s v="Chérif DIOP"/>
    <s v="carrefourcd@gmail.com"/>
    <s v="Fournisseurs et Prestataires locaux"/>
    <s v="Sénégal"/>
  </r>
  <r>
    <x v="208"/>
    <s v="Validé"/>
    <d v="2025-10-13T00:00:00"/>
    <d v="1899-12-30T09:46:33"/>
    <s v="Ousmane BA"/>
    <s v="ousmane.ba@aag.sn"/>
    <s v="Fournisseurs et Prestataires locaux"/>
    <s v="Sénégal"/>
  </r>
  <r>
    <x v="209"/>
    <s v="Validé"/>
    <d v="2026-01-14T00:00:00"/>
    <d v="1899-12-30T13:22:44"/>
    <s v="Thierry Favre"/>
    <s v="jsuaud@haladjian.com"/>
    <s v="Fournisseurs et Prestataires de droit sénégalais"/>
    <s v="Sénégal"/>
  </r>
  <r>
    <x v="210"/>
    <s v="Validé"/>
    <d v="2026-01-14T00:00:00"/>
    <d v="1899-12-30T07:48:18"/>
    <s v="LAURA MENDEZ"/>
    <s v="tuyauterie.et.foragesmendez@gmail.com"/>
    <s v="Fournisseurs et Prestataires de droit sénégalais"/>
    <s v="Sénégal"/>
  </r>
  <r>
    <x v="211"/>
    <s v="Validé"/>
    <d v="2026-01-14T00:00:00"/>
    <d v="1899-12-30T09:18:17"/>
    <s v="DJIBRIL BOYE"/>
    <s v="djibril.boye@senegindia.com"/>
    <s v="Sociétés minières ou Cimenteries"/>
    <s v="Sénégal"/>
  </r>
  <r>
    <x v="212"/>
    <s v="Validé"/>
    <d v="2026-02-14T00:00:00"/>
    <d v="1899-12-30T20:12:40"/>
    <s v="Oumar  Ba "/>
    <s v="distributiontechpro4@gmail.com"/>
    <s v="Fournisseurs et Prestataires locaux"/>
    <s v="Sénégal"/>
  </r>
  <r>
    <x v="213"/>
    <s v="Validé"/>
    <d v="2025-03-14T00:00:00"/>
    <d v="1899-12-30T11:55:20"/>
    <s v="ROKHAYA DIOP"/>
    <s v="rdiop@socabeg.sn"/>
    <s v="Entreprises avec permis de recherche"/>
    <s v="Sénégal"/>
  </r>
  <r>
    <x v="214"/>
    <s v="Validé"/>
    <d v="2026-03-14T00:00:00"/>
    <d v="1899-12-30T10:37:21"/>
    <s v="SAMBA NDIAYE"/>
    <s v="beyty11@gmail.com"/>
    <s v="Fournisseurs et Prestataires locaux"/>
    <s v="Sénégal"/>
  </r>
  <r>
    <x v="215"/>
    <s v="Validé"/>
    <d v="2026-04-14T00:00:00"/>
    <d v="1899-12-30T10:34:24"/>
    <s v="Penda Gaye"/>
    <s v="penda.gaye@opusbuyer.com"/>
    <s v="Fournisseurs et Prestataires locaux"/>
    <s v="Sénégal"/>
  </r>
  <r>
    <x v="216"/>
    <s v="Validé"/>
    <d v="2026-04-14T00:00:00"/>
    <d v="1899-12-30T14:44:08"/>
    <s v="Mady DANFAKHA"/>
    <s v="danfakhakabamady@gmail.com"/>
    <s v="Fournisseurs et Prestataires locaux"/>
    <s v="Sénégal"/>
  </r>
  <r>
    <x v="217"/>
    <s v="Validé"/>
    <d v="2025-07-14T00:00:00"/>
    <d v="1899-12-30T13:10:45"/>
    <s v="BRA MBAYE"/>
    <s v="saredica@saredica.com"/>
    <s v="Fournisseurs et Prestataires locaux"/>
    <s v="Sénégal"/>
  </r>
  <r>
    <x v="218"/>
    <s v="Validé"/>
    <d v="2026-07-14T00:00:00"/>
    <d v="1899-12-30T14:44:01"/>
    <s v="Djeri Celin NGABERE"/>
    <s v="gerant@otto-bi.com"/>
    <s v="Fournisseurs et Prestataires locaux"/>
    <s v="Sénégal"/>
  </r>
  <r>
    <x v="219"/>
    <s v="Validé"/>
    <d v="2024-10-14T00:00:00"/>
    <d v="1899-12-30T21:05:11"/>
    <s v="Ille Nelson SIBI"/>
    <s v="ille.sibi@docteursett.com"/>
    <s v="Fournisseurs et Prestataires locaux"/>
    <s v="Sénégal"/>
  </r>
  <r>
    <x v="220"/>
    <s v="Validé"/>
    <d v="2025-12-14T00:00:00"/>
    <d v="1899-12-30T23:54:40"/>
    <s v="Samba Ndiobène KA"/>
    <s v="pdg_acg@acgroup.sn"/>
    <s v="Fournisseurs et Prestataires locaux"/>
    <s v="Sénégal"/>
  </r>
  <r>
    <x v="221"/>
    <s v="Validé"/>
    <d v="2026-01-15T00:00:00"/>
    <d v="1899-12-30T16:20:50"/>
    <s v="Malick SARR"/>
    <s v="malick.sarr@techspares.fr"/>
    <s v="Fournisseurs et Prestataires locaux"/>
    <s v="Sénégal"/>
  </r>
  <r>
    <x v="222"/>
    <s v="Validé"/>
    <d v="2026-04-15T00:00:00"/>
    <d v="1899-12-30T08:47:14"/>
    <s v="LOGISTICS ACC"/>
    <s v="p.niang@acc-logistics.net"/>
    <s v="Fournisseurs et Prestataires locaux"/>
    <s v="Sénégal"/>
  </r>
  <r>
    <x v="223"/>
    <s v="Validé"/>
    <d v="2026-04-15T00:00:00"/>
    <d v="1899-12-30T10:31:21"/>
    <s v="Abdoulaye DIALLO"/>
    <s v="abdoulaye.diallo@corica.com"/>
    <s v="Sous-traitants"/>
    <s v="Sénégal"/>
  </r>
  <r>
    <x v="224"/>
    <s v="Validé"/>
    <d v="2026-05-15T00:00:00"/>
    <d v="1899-12-30T12:11:37"/>
    <s v="Omar Diouf"/>
    <s v="globalphysio221@gmail.com"/>
    <s v="Fournisseurs et Prestataires locaux"/>
    <s v="Sénégal"/>
  </r>
  <r>
    <x v="225"/>
    <s v="Validé"/>
    <d v="2026-05-15T00:00:00"/>
    <d v="1899-12-30T17:26:50"/>
    <s v="Bara Nguirane"/>
    <s v="nguirane@gmail.com"/>
    <s v="Fournisseurs et Prestataires locaux"/>
    <s v="Sénégal"/>
  </r>
  <r>
    <x v="226"/>
    <s v="Validé"/>
    <d v="2026-05-15T00:00:00"/>
    <d v="1899-12-30T20:05:57"/>
    <s v="Sadek Tarraf"/>
    <s v="info@sendrillrocktools.com"/>
    <s v="Fournisseurs et Prestataires locaux"/>
    <s v="Sénégal"/>
  </r>
  <r>
    <x v="227"/>
    <s v="Validé"/>
    <d v="2026-06-15T00:00:00"/>
    <d v="1899-12-30T18:54:19"/>
    <s v="Abdou mamadou diarra ndiaye"/>
    <s v="sokoyoabdou@gmail.com"/>
    <s v="Fournisseurs et prestataires locaux (GPF ou GIE)"/>
    <s v="Sénégal"/>
  </r>
  <r>
    <x v="228"/>
    <s v="Validé"/>
    <d v="2026-06-15T00:00:00"/>
    <d v="1899-12-30T10:12:38"/>
    <s v="Mamadou Fadel  Mbaye "/>
    <s v="camamatmed@gmail.com"/>
    <s v="Fournisseurs et Prestataires locaux"/>
    <s v="Sénégal"/>
  </r>
  <r>
    <x v="229"/>
    <s v="Validé"/>
    <d v="2026-07-15T00:00:00"/>
    <d v="1899-12-30T17:43:40"/>
    <s v="Abdoulaye Déguessi MAKANGUILE"/>
    <s v="amakanguile@cactusmining.com"/>
    <s v="Fournisseurs et Prestataires locaux"/>
    <s v="Sénégal"/>
  </r>
  <r>
    <x v="230"/>
    <s v="Validé"/>
    <d v="2026-07-15T00:00:00"/>
    <d v="1899-12-30T13:11:33"/>
    <s v="Jonas Kangny"/>
    <s v="jonaskangny@gmail.com"/>
    <s v="Fournisseurs et Prestataires locaux"/>
    <s v="Sénégal"/>
  </r>
  <r>
    <x v="231"/>
    <s v="Validé"/>
    <d v="2026-07-15T00:00:00"/>
    <d v="1899-12-30T12:38:01"/>
    <s v="Paul Marie Jacques Daniel NGOM"/>
    <s v="paulngom48@gmail.com"/>
    <s v="Fournisseurs et Prestataires locaux"/>
    <s v="Sénégal"/>
  </r>
  <r>
    <x v="232"/>
    <s v="Validé"/>
    <d v="2025-10-15T00:00:00"/>
    <d v="1899-12-30T18:10:42"/>
    <s v="papa Laye Sene"/>
    <s v="abdoulayeseresene@gmail.com"/>
    <s v="Fournisseurs et Prestataires locaux"/>
    <s v="Sénégal"/>
  </r>
  <r>
    <x v="233"/>
    <s v="Validé"/>
    <d v="2025-11-15T00:00:00"/>
    <d v="1899-12-30T19:22:43"/>
    <s v="Sambe Mbaye"/>
    <s v="rtdkstructure@gmail.com"/>
    <s v="Fournisseurs et Prestataires locaux"/>
    <s v="Sénégal"/>
  </r>
  <r>
    <x v="234"/>
    <s v="Validé"/>
    <d v="2026-01-16T00:00:00"/>
    <d v="1899-12-30T19:37:27"/>
    <s v="AISSATOU DIOP"/>
    <s v="otew@otew.sn"/>
    <s v="Fournisseurs et Prestataires locaux"/>
    <s v="Sénégal"/>
  </r>
  <r>
    <x v="235"/>
    <s v="Validé"/>
    <d v="2026-01-16T00:00:00"/>
    <d v="1899-12-30T14:01:41"/>
    <s v="SOCE FAYE"/>
    <s v="soce@hydro-industrie.com"/>
    <s v="Fournisseurs et Prestataires locaux"/>
    <s v="France"/>
  </r>
  <r>
    <x v="236"/>
    <s v="Validé"/>
    <d v="2026-01-16T00:00:00"/>
    <d v="1899-12-30T13:54:44"/>
    <s v="Mame Bousso  Fall"/>
    <s v="falldiara@hotmail.com"/>
    <s v="Fournisseurs et Prestataires locaux"/>
    <s v="Sénégal"/>
  </r>
  <r>
    <x v="237"/>
    <s v="Validé"/>
    <d v="2026-01-16T00:00:00"/>
    <d v="1899-12-30T18:09:48"/>
    <s v="Diop Abdoulaye"/>
    <s v="abdou.diop@ertex.sn"/>
    <s v="Fournisseurs et Prestataires locaux"/>
    <s v="Sénégal"/>
  </r>
  <r>
    <x v="238"/>
    <s v="Validé"/>
    <d v="2026-01-16T00:00:00"/>
    <d v="1899-12-30T17:05:07"/>
    <s v="Abdoulaye Ba"/>
    <s v="odim.senegal@gmail.com"/>
    <s v="Fournisseurs et Prestataires locaux"/>
    <s v="Sénégal"/>
  </r>
  <r>
    <x v="239"/>
    <s v="Validé"/>
    <d v="2026-02-16T00:00:00"/>
    <d v="1899-12-30T14:24:32"/>
    <s v="Patrick MAILLET"/>
    <s v="patrick.maillet@groupe-cfid.com"/>
    <s v="Fournisseurs et Prestataires locaux"/>
    <s v="Sénégal"/>
  </r>
  <r>
    <x v="240"/>
    <s v="Validé"/>
    <d v="2026-02-16T00:00:00"/>
    <d v="1899-12-30T13:12:01"/>
    <s v="MAIMOUNA GUEYE MBAYE"/>
    <s v="efor.commercial@efor.sn"/>
    <s v="Fournisseurs et Prestataires locaux"/>
    <s v="Sénégal"/>
  </r>
  <r>
    <x v="241"/>
    <s v="Validé"/>
    <d v="2026-02-16T00:00:00"/>
    <d v="1899-12-30T16:11:00"/>
    <s v="Papa Madiop NDIAYE"/>
    <s v="enec.entreprise@gmail.com"/>
    <s v="Fournisseurs et Prestataires locaux"/>
    <s v="Sénégal"/>
  </r>
  <r>
    <x v="242"/>
    <s v="Validé"/>
    <d v="2026-02-16T00:00:00"/>
    <d v="1899-12-30T01:12:59"/>
    <s v="Amadou SOW"/>
    <s v="amadou@bayeconnect.com"/>
    <s v="Fournisseurs et Prestataires locaux"/>
    <s v="Sénégal"/>
  </r>
  <r>
    <x v="243"/>
    <s v="Validé"/>
    <d v="2026-02-16T00:00:00"/>
    <d v="1899-12-30T09:37:53"/>
    <s v="DIENG IBRA"/>
    <s v="dibra3317@gmail.com"/>
    <s v="Fournisseurs et Prestataires locaux"/>
    <s v="Sénégal"/>
  </r>
  <r>
    <x v="244"/>
    <s v="Validé"/>
    <d v="2026-03-16T00:00:00"/>
    <d v="1899-12-30T12:15:10"/>
    <s v="ELEMETAL ME"/>
    <s v="debtors@primaindustrial.co"/>
    <s v="Fournisseurs et Prestataires étrangers"/>
    <s v="Afrique du Sud"/>
  </r>
  <r>
    <x v="245"/>
    <s v="Validé"/>
    <d v="2026-03-16T00:00:00"/>
    <d v="1899-12-30T15:50:38"/>
    <s v="Ibrahima BA"/>
    <s v="ibatechnologie@gmail.com"/>
    <s v="Fournisseurs et Prestataires locaux"/>
    <s v="Sénégal"/>
  </r>
  <r>
    <x v="246"/>
    <s v="Validé"/>
    <d v="2026-03-16T00:00:00"/>
    <d v="1899-12-30T16:19:18"/>
    <s v="Ousmane Diallo"/>
    <s v="eauclairesenegal@gmail.com"/>
    <s v="Fournisseurs et Prestataires locaux"/>
    <s v="Sénégal"/>
  </r>
  <r>
    <x v="247"/>
    <s v="Validé"/>
    <d v="2026-03-16T00:00:00"/>
    <d v="1899-12-30T17:14:39"/>
    <s v="Dame Ndiaye SENE"/>
    <s v="dame.sene@eiffage.com"/>
    <s v="Sous-traitants"/>
    <s v="Sénégal"/>
  </r>
  <r>
    <x v="248"/>
    <s v="Validé"/>
    <d v="2026-03-16T00:00:00"/>
    <d v="1899-12-30T11:54:44"/>
    <s v="Laity DIOUF"/>
    <s v="sdf.laity@gmail.com"/>
    <s v="Fournisseurs et Prestataires locaux"/>
    <s v="Sénégal"/>
  </r>
  <r>
    <x v="249"/>
    <s v="Validé"/>
    <d v="2026-04-16T00:00:00"/>
    <d v="1899-12-30T13:33:40"/>
    <s v="Danfakha Tamba "/>
    <s v="tdanfakha09@gmail.com"/>
    <s v="Fournisseurs et Prestataires locaux"/>
    <s v="Sénégal"/>
  </r>
  <r>
    <x v="250"/>
    <s v="Validé"/>
    <d v="2026-04-16T00:00:00"/>
    <d v="1899-12-30T17:03:24"/>
    <s v="Laissa Diallo Ndiaye"/>
    <s v="ecko@ecko.sn"/>
    <s v="Fournisseurs et Prestataires locaux"/>
    <s v="Sénégal"/>
  </r>
  <r>
    <x v="251"/>
    <s v="Validé"/>
    <d v="2026-04-16T00:00:00"/>
    <d v="1899-12-30T16:33:44"/>
    <s v="ABDOU KANE"/>
    <s v="administration@batinov.sn"/>
    <s v="Fournisseurs et Prestataires locaux"/>
    <s v="Sénégal"/>
  </r>
  <r>
    <x v="252"/>
    <s v="Validé"/>
    <d v="2026-06-16T00:00:00"/>
    <d v="1899-12-30T11:06:45"/>
    <s v="Oumar Toguyeni"/>
    <s v="otoguyeni@outlook.com"/>
    <s v="Fournisseurs et Prestataires locaux"/>
    <s v="Sénégal"/>
  </r>
  <r>
    <x v="253"/>
    <s v="Validé"/>
    <d v="2026-06-16T00:00:00"/>
    <d v="1899-12-30T14:47:42"/>
    <s v="Pierre DIONE"/>
    <s v="pierre.dione@digitalelectronicsn.com"/>
    <s v="Fournisseurs et Prestataires locaux"/>
    <s v="Sénégal"/>
  </r>
  <r>
    <x v="254"/>
    <s v="Validé"/>
    <d v="2026-06-16T00:00:00"/>
    <d v="1899-12-30T14:00:03"/>
    <s v="Mamadou DIA"/>
    <s v="senlevage@gmail.com"/>
    <s v="Fournisseurs et Prestataires locaux"/>
    <s v="Sénégal"/>
  </r>
  <r>
    <x v="255"/>
    <s v="Validé"/>
    <d v="2026-06-16T00:00:00"/>
    <d v="1899-12-30T08:03:11"/>
    <s v="Hamidou Oumar SOW"/>
    <s v="hamidou.sow@petowal.com"/>
    <s v="Entreprises avec permis de recherche"/>
    <s v="Sénégal"/>
  </r>
  <r>
    <x v="256"/>
    <s v="Validé"/>
    <d v="2025-07-16T00:00:00"/>
    <d v="1899-12-30T15:14:59"/>
    <s v="Amadou  DIALLO"/>
    <s v="amadou.diallo@sahe.sn"/>
    <s v="Fournisseurs et Prestataires locaux"/>
    <s v="Sénégal"/>
  </r>
  <r>
    <x v="257"/>
    <s v="Validé"/>
    <d v="2026-07-16T00:00:00"/>
    <d v="1899-12-30T16:25:54"/>
    <s v="Diop Mamadou"/>
    <s v="servicecommercial@rentall-sn.com"/>
    <s v="Fournisseurs et Prestataires locaux"/>
    <s v="Sénégal"/>
  </r>
  <r>
    <x v="258"/>
    <s v="Validé"/>
    <d v="2026-07-16T00:00:00"/>
    <d v="1899-12-30T12:36:21"/>
    <s v="Massamba Diouf"/>
    <s v="massdioufpro@gmail.com"/>
    <s v="Fournisseurs et Prestataires locaux"/>
    <s v="Sénégal"/>
  </r>
  <r>
    <x v="259"/>
    <s v="Validé"/>
    <d v="2026-07-16T00:00:00"/>
    <d v="1899-12-30T10:06:47"/>
    <s v="Issa Bourgi"/>
    <s v="bourgiissa@gmail.com"/>
    <s v="Fournisseurs et Prestataires locaux"/>
    <s v="Sénégal"/>
  </r>
  <r>
    <x v="260"/>
    <s v="Validé"/>
    <d v="2025-12-16T00:00:00"/>
    <d v="1899-12-30T13:51:03"/>
    <s v="Khary baba  FALL"/>
    <s v="kharyb.fall@saer-emploi.com"/>
    <s v="Fournisseurs et Prestataires de droit sénégalais"/>
    <s v="Sénégal"/>
  </r>
  <r>
    <x v="261"/>
    <s v="Validé"/>
    <d v="2026-02-17T00:00:00"/>
    <d v="1899-12-30T08:34:31"/>
    <s v="ARNAUD PEY"/>
    <s v="pey@foraco.com"/>
    <s v="Fournisseurs et Prestataires de droit sénégalais"/>
    <s v="Sénégal"/>
  </r>
  <r>
    <x v="262"/>
    <s v="Validé"/>
    <d v="2026-02-17T00:00:00"/>
    <d v="1899-12-30T16:38:01"/>
    <s v="Youssouf ADAMOU HAROUNA"/>
    <s v="y.harouna@erathot.com"/>
    <s v="Fournisseurs et Prestataires de droit sénégalais"/>
    <s v="Sénégal"/>
  </r>
  <r>
    <x v="263"/>
    <s v="Validé"/>
    <d v="2026-02-17T00:00:00"/>
    <d v="1899-12-30T15:56:11"/>
    <s v="Mady Soumare "/>
    <s v="soumaretransportimmobilier@gmail.com"/>
    <s v="Fournisseurs et prestataires locaux (GPF ou GIE)"/>
    <s v="Sénégal"/>
  </r>
  <r>
    <x v="264"/>
    <s v="Validé"/>
    <d v="2026-03-17T00:00:00"/>
    <d v="1899-12-30T10:13:48"/>
    <s v="Cheikh Abdoul Khadre Diakhaté"/>
    <s v="khadre67@yahoo.fr"/>
    <s v="Fournisseurs et prestataires locaux (GPF ou GIE)"/>
    <s v="Sénégal"/>
  </r>
  <r>
    <x v="265"/>
    <s v="Validé"/>
    <d v="2026-04-17T00:00:00"/>
    <d v="1899-12-30T08:44:16"/>
    <s v="Laurent Gaba"/>
    <s v="gabalaurent@gmail.com"/>
    <s v="Sous-traitants"/>
    <s v="Sénégal"/>
  </r>
  <r>
    <x v="266"/>
    <s v="Validé"/>
    <d v="2026-06-17T00:00:00"/>
    <d v="1899-12-30T12:06:56"/>
    <s v="Karim  Fall"/>
    <s v="kamaftransports@gmail.com"/>
    <s v="Fournisseurs et Prestataires locaux"/>
    <s v="Sénégal"/>
  </r>
  <r>
    <x v="267"/>
    <s v="Validé"/>
    <d v="2026-06-17T00:00:00"/>
    <d v="1899-12-30T17:36:10"/>
    <s v="PAPE ABLAYE ALWANE  KHOUSSA "/>
    <s v="giecomet@gmail.com"/>
    <s v="Fournisseurs et prestataires locaux (GPF ou GIE)"/>
    <s v="Sénégal"/>
  </r>
  <r>
    <x v="268"/>
    <s v="Validé"/>
    <d v="2026-06-17T00:00:00"/>
    <d v="1899-12-30T13:36:24"/>
    <s v="Victor Louis DIOP DIOP"/>
    <s v="victor.diop@equilogsn.com"/>
    <s v="Fournisseurs et Prestataires locaux"/>
    <s v="Sénégal"/>
  </r>
  <r>
    <x v="269"/>
    <s v="Validé"/>
    <d v="2026-07-17T00:00:00"/>
    <d v="1899-12-30T20:36:16"/>
    <s v="Saliou Wade"/>
    <s v="infos@sitmel.com"/>
    <s v="Fournisseurs et Prestataires locaux"/>
    <s v="Sénégal"/>
  </r>
  <r>
    <x v="270"/>
    <s v="Validé"/>
    <d v="2026-07-17T00:00:00"/>
    <d v="1899-12-30T13:21:11"/>
    <s v="Abdoulaye Thiam"/>
    <s v="thiamabdoulaye1000@gmail.com"/>
    <s v="Fournisseurs et Prestataires locaux"/>
    <s v="Sénégal"/>
  </r>
  <r>
    <x v="271"/>
    <s v="Validé"/>
    <d v="2026-02-18T00:00:00"/>
    <d v="1899-12-30T15:56:16"/>
    <s v="MATTHIEU BISCAINO"/>
    <s v="mb@fai.fr"/>
    <s v="Fournisseurs et Prestataires étrangers"/>
    <s v="France"/>
  </r>
  <r>
    <x v="272"/>
    <s v="Validé"/>
    <d v="2026-02-18T00:00:00"/>
    <d v="1899-12-30T09:59:17"/>
    <s v="WANE Momar GAYE"/>
    <s v="rioconstruction2025@gmail.com"/>
    <s v="Fournisseurs et Prestataires locaux"/>
    <s v="Sénégal"/>
  </r>
  <r>
    <x v="273"/>
    <s v="Validé"/>
    <d v="2026-02-18T00:00:00"/>
    <d v="1899-12-30T17:03:26"/>
    <s v="Serigne Dieng"/>
    <s v="cordiordieng@hotmail.com"/>
    <s v="Fournisseurs et Prestataires locaux"/>
    <s v="Sénégal"/>
  </r>
  <r>
    <x v="274"/>
    <s v="Validé"/>
    <d v="2026-03-18T00:00:00"/>
    <d v="1899-12-30T13:29:06"/>
    <s v="sada dia"/>
    <s v="sada.dia@cbi.sn"/>
    <s v="Fournisseurs et Prestataires de droit sénégalais"/>
    <s v="Sénégal"/>
  </r>
  <r>
    <x v="275"/>
    <s v="Validé"/>
    <d v="2026-03-18T00:00:00"/>
    <d v="1899-12-30T11:17:20"/>
    <s v="Ndeye Ndoumbe COULIBALY"/>
    <s v="ndndoumb@gmail.com"/>
    <s v="Sociétés minières ou Cimenteries"/>
    <s v="Sénégal"/>
  </r>
  <r>
    <x v="276"/>
    <s v="Validé"/>
    <d v="2026-05-18T00:00:00"/>
    <d v="1899-12-30T19:26:41"/>
    <s v="Khady GUEYE"/>
    <s v="khady.gueye@mining-technologie.com"/>
    <s v="Fournisseurs et Prestataires locaux"/>
    <s v="Sénégal"/>
  </r>
  <r>
    <x v="277"/>
    <s v="Validé"/>
    <d v="2026-05-18T00:00:00"/>
    <d v="1899-12-30T15:29:03"/>
    <s v="Tony CISSE"/>
    <s v="info@ges-company.com"/>
    <s v="Fournisseurs et Prestataires locaux"/>
    <s v="Sénégal"/>
  </r>
  <r>
    <x v="278"/>
    <s v="Validé"/>
    <d v="2026-05-18T00:00:00"/>
    <d v="1899-12-30T11:15:24"/>
    <s v="Salikhou  SAMBE"/>
    <s v="zal66@yahoo.fr"/>
    <s v="Fournisseurs et Prestataires locaux"/>
    <s v="Sénégal"/>
  </r>
  <r>
    <x v="279"/>
    <s v="Validé"/>
    <d v="2026-06-18T00:00:00"/>
    <d v="1899-12-30T13:40:22"/>
    <s v="alex beda"/>
    <s v="juridique@manutentionservices.com"/>
    <s v="Fournisseurs et Prestataires de droit sénégalais"/>
    <s v="Sénégal"/>
  </r>
  <r>
    <x v="280"/>
    <s v="Validé"/>
    <d v="2026-06-18T00:00:00"/>
    <d v="1899-12-30T10:53:14"/>
    <s v="Papa Gora BA"/>
    <s v="papa-gora.ba@baconsultance.com"/>
    <s v="Fournisseurs et Prestataires locaux"/>
    <s v="Sénégal"/>
  </r>
  <r>
    <x v="281"/>
    <s v="Validé"/>
    <d v="2025-07-18T00:00:00"/>
    <d v="1899-12-30T22:59:47"/>
    <s v="BASSIROU DIOP"/>
    <s v="toubadaroukhoudosswst@gmail.com"/>
    <s v="Fournisseurs et Prestataires locaux"/>
    <s v="Sénégal"/>
  </r>
  <r>
    <x v="282"/>
    <s v="Validé"/>
    <d v="2025-12-18T00:00:00"/>
    <d v="1899-12-30T11:52:17"/>
    <s v="MAMADOU NDAO"/>
    <s v="gedimex@orange.sn"/>
    <s v="Fournisseurs et Prestataires locaux"/>
    <s v="Sénégal"/>
  </r>
  <r>
    <x v="283"/>
    <s v="Validé"/>
    <d v="2026-01-19T00:00:00"/>
    <d v="1899-12-30T12:50:37"/>
    <s v="NDÈYE KHADY SY"/>
    <s v="didi.mb74@gmail.com"/>
    <s v="Fournisseurs et Prestataires locaux"/>
    <s v="Sénégal"/>
  </r>
  <r>
    <x v="284"/>
    <s v="Validé"/>
    <d v="2026-02-19T00:00:00"/>
    <d v="1899-12-30T10:06:31"/>
    <s v="Bineta SENE"/>
    <s v="info@beablondin-agency.com"/>
    <s v="Fournisseurs et Prestataires locaux"/>
    <s v="Sénégal"/>
  </r>
  <r>
    <x v="285"/>
    <s v="Validé"/>
    <d v="2026-02-19T00:00:00"/>
    <d v="1899-12-30T17:13:13"/>
    <s v="MARIEME AMITH FALL"/>
    <s v="amith.fall@milos-group.com"/>
    <s v="Fournisseurs et Prestataires locaux"/>
    <s v="Sénégal"/>
  </r>
  <r>
    <x v="286"/>
    <s v="Validé"/>
    <d v="2026-02-19T00:00:00"/>
    <d v="1899-12-30T10:27:03"/>
    <s v="RACHID DOUMBOUYA"/>
    <s v="abdou.rasheed@yahoo.com"/>
    <s v="Fournisseurs et Prestataires étrangers"/>
    <s v="Afrique du Sud"/>
  </r>
  <r>
    <x v="287"/>
    <s v="Validé"/>
    <d v="2026-02-19T00:00:00"/>
    <d v="1899-12-30T14:03:25"/>
    <s v="Amath Dior Mbaye"/>
    <s v="amathdiormbaye@gmail.com"/>
    <s v="Fournisseurs et Prestataires locaux"/>
    <s v="Sénégal"/>
  </r>
  <r>
    <x v="288"/>
    <s v="Validé"/>
    <d v="2026-03-19T00:00:00"/>
    <d v="1899-12-30T08:52:02"/>
    <s v="Guillaume t'Serstevens"/>
    <s v="gmc@dimexco.be"/>
    <s v="Fournisseurs et Prestataires de droit sénégalais"/>
    <s v="Sénégal"/>
  </r>
  <r>
    <x v="289"/>
    <s v="Validé"/>
    <d v="2026-03-19T00:00:00"/>
    <d v="1899-12-30T20:59:52"/>
    <s v="Moussa Sall NDIAYE"/>
    <s v="msntravequipresta@gmail.com"/>
    <s v="Fournisseurs et Prestataires locaux"/>
    <s v="Sénégal"/>
  </r>
  <r>
    <x v="290"/>
    <s v="Validé"/>
    <d v="2026-03-19T00:00:00"/>
    <d v="1899-12-30T11:51:55"/>
    <s v="Assane FAYE"/>
    <s v="sahel@sahelsecurity.com"/>
    <s v="Fournisseurs et Prestataires locaux"/>
    <s v="Sénégal"/>
  </r>
  <r>
    <x v="291"/>
    <s v="Validé"/>
    <d v="2026-04-19T00:00:00"/>
    <d v="1899-12-30T19:10:59"/>
    <s v="Soudatou Sow"/>
    <s v="soudatou@gmail.com"/>
    <s v="Fournisseurs et Prestataires de droit sénégalais"/>
    <s v="Sénégal"/>
  </r>
  <r>
    <x v="292"/>
    <s v="Validé"/>
    <d v="2025-05-19T00:00:00"/>
    <d v="1899-12-30T13:22:57"/>
    <s v="MOHAMADOU MBAYE"/>
    <s v="mlmbaye@sentekservices.com"/>
    <s v="Fournisseurs et Prestataires locaux"/>
    <s v="Sénégal"/>
  </r>
  <r>
    <x v="293"/>
    <s v="Validé"/>
    <d v="2026-05-19T00:00:00"/>
    <d v="1899-12-30T13:10:57"/>
    <s v="MOHAMED JARKAS"/>
    <s v="direction@automeca.sn"/>
    <s v="Fournisseurs et Prestataires locaux"/>
    <s v="Sénégal"/>
  </r>
  <r>
    <x v="294"/>
    <s v="Validé"/>
    <d v="2026-05-19T00:00:00"/>
    <d v="1899-12-30T14:35:06"/>
    <s v="Abdou Khadre DIOP"/>
    <s v="abdou.diop@dieylani.com"/>
    <s v="Fournisseurs et Prestataires locaux"/>
    <s v="Sénégal"/>
  </r>
  <r>
    <x v="295"/>
    <s v="Validé"/>
    <d v="2026-05-19T00:00:00"/>
    <d v="1899-12-30T11:25:25"/>
    <s v="Mbacke Seck"/>
    <s v="seckmbacke507@gmail.com"/>
    <s v="Fournisseurs et prestataires locaux (GPF ou GIE)"/>
    <s v="Sénégal"/>
  </r>
  <r>
    <x v="296"/>
    <s v="Validé"/>
    <d v="2026-05-19T00:00:00"/>
    <d v="1899-12-30T10:23:17"/>
    <s v="Amadou Wilfried Hashime SANON"/>
    <s v="swilfried@sacoten.com"/>
    <s v="Fournisseurs et Prestataires de droit sénégalais"/>
    <s v="Sénégal"/>
  </r>
  <r>
    <x v="297"/>
    <s v="Validé"/>
    <d v="2026-05-19T00:00:00"/>
    <d v="1899-12-30T15:20:15"/>
    <s v="Assane Sy"/>
    <s v="assane.sy@talixmangroup.com"/>
    <s v="Fournisseurs et Prestataires locaux"/>
    <s v="Sénégal"/>
  </r>
  <r>
    <x v="298"/>
    <s v="Validé"/>
    <d v="2026-06-19T00:00:00"/>
    <d v="1899-12-30T09:12:16"/>
    <s v="ELHADJI MAYORO SAWARE"/>
    <s v="elhadjimayorosaware@gmail.com"/>
    <s v="Fournisseurs et Prestataires locaux"/>
    <s v="Sénégal"/>
  </r>
  <r>
    <x v="299"/>
    <s v="Validé"/>
    <d v="2026-07-19T00:00:00"/>
    <d v="1899-12-30T16:42:25"/>
    <s v="Cpex ElitGroup"/>
    <s v="ndeye.dieumbe@cpex-mining.com"/>
    <s v="Fournisseurs et Prestataires locaux"/>
    <s v="Sénégal"/>
  </r>
  <r>
    <x v="300"/>
    <s v="Validé"/>
    <d v="2025-08-19T00:00:00"/>
    <d v="1899-12-30T14:54:35"/>
    <s v="Aminata KOUNTA"/>
    <s v="aminata.kounta@orange-sonatel.com"/>
    <s v="Fournisseurs et Prestataires de droit sénégalais"/>
    <s v="Sénégal"/>
  </r>
  <r>
    <x v="301"/>
    <s v="Validé"/>
    <d v="2025-09-19T00:00:00"/>
    <d v="1899-12-30T16:13:15"/>
    <s v="Alioune Sene"/>
    <s v="contact@heavycranetrucks.com"/>
    <s v="Fournisseurs et Prestataires locaux"/>
    <s v="Sénégal"/>
  </r>
  <r>
    <x v="302"/>
    <s v="Validé"/>
    <d v="2024-11-19T00:00:00"/>
    <d v="1899-12-30T16:47:46"/>
    <s v="AHMADOU BAMBA SENE"/>
    <s v="diarra.bs.diop@sahelgaz.com"/>
    <s v="Fournisseurs et Prestataires locaux"/>
    <s v="Sénégal"/>
  </r>
  <r>
    <x v="303"/>
    <s v="Validé"/>
    <d v="2025-12-19T00:00:00"/>
    <d v="1899-12-30T19:16:27"/>
    <s v="Elhadji yelly  MARIKO"/>
    <s v="axineo.construction@gmail.com"/>
    <s v="Fournisseurs et Prestataires locaux"/>
    <s v="Sénégal"/>
  </r>
  <r>
    <x v="304"/>
    <s v="Validé"/>
    <d v="2026-01-20T00:00:00"/>
    <d v="1899-12-30T16:51:37"/>
    <s v="Mamadou GAYE"/>
    <s v="mgaye@groupecse.com"/>
    <s v="Fournisseurs et Prestataires de droit sénégalais"/>
    <s v="Sénégal"/>
  </r>
  <r>
    <x v="305"/>
    <s v="Validé"/>
    <d v="2026-01-20T00:00:00"/>
    <d v="1899-12-30T17:46:32"/>
    <s v="Jean-Baptitste Ciss"/>
    <s v="samoriprotectionprivee@gmail.com"/>
    <s v="Fournisseurs et Prestataires locaux"/>
    <s v="Sénégal"/>
  </r>
  <r>
    <x v="306"/>
    <s v="Validé"/>
    <d v="2026-01-20T00:00:00"/>
    <d v="1899-12-30T17:33:36"/>
    <s v="Abdoulaye DIOP"/>
    <s v="abdoulaye.diop@scis-sn.com"/>
    <s v="Fournisseurs et Prestataires locaux"/>
    <s v="Sénégal"/>
  </r>
  <r>
    <x v="307"/>
    <s v="Validé"/>
    <d v="2026-01-20T00:00:00"/>
    <d v="1899-12-30T13:18:03"/>
    <s v="NDEYE FAMA DIONGUE"/>
    <s v="ets_maleye@yahoo.fr"/>
    <s v="Fournisseurs et Prestataires locaux"/>
    <s v="Sénégal"/>
  </r>
  <r>
    <x v="308"/>
    <s v="Validé"/>
    <d v="2026-01-20T00:00:00"/>
    <d v="1899-12-30T10:29:03"/>
    <s v="Gabriella Rafidy"/>
    <s v="joumana.yahya@cassisequipements.com"/>
    <s v="Fournisseurs et Prestataires locaux"/>
    <s v="Sénégal"/>
  </r>
  <r>
    <x v="309"/>
    <s v="Validé"/>
    <d v="2026-02-20T00:00:00"/>
    <d v="1899-12-30T12:28:55"/>
    <s v="LAMINE DIEDHIOU"/>
    <s v="lamine.globalai@gmail.com"/>
    <s v="Sous-traitants"/>
    <s v="Sénégal"/>
  </r>
  <r>
    <x v="310"/>
    <s v="Validé"/>
    <d v="2026-02-20T00:00:00"/>
    <d v="1899-12-30T21:32:36"/>
    <s v="Saer DIOP"/>
    <s v="saerdiop75@gmail.com"/>
    <s v="Fournisseurs et Prestataires locaux"/>
    <s v="Sénégal"/>
  </r>
  <r>
    <x v="311"/>
    <s v="Validé"/>
    <d v="2026-03-20T00:00:00"/>
    <d v="1899-12-30T15:26:49"/>
    <s v="Papa Sana Camara"/>
    <s v="papasanacamara@gmail.com"/>
    <s v="Fournisseurs et Prestataires de droit sénégalais"/>
    <s v="Sénégal"/>
  </r>
  <r>
    <x v="312"/>
    <s v="Validé"/>
    <d v="2026-03-20T00:00:00"/>
    <d v="1899-12-30T23:55:04"/>
    <s v="Bangaly Danfakha"/>
    <s v="bangalydanfakha2015@gmail.com"/>
    <s v="Fournisseurs et prestataires locaux (GPF ou GIE)"/>
    <s v="Sénégal"/>
  </r>
  <r>
    <x v="313"/>
    <s v="Validé"/>
    <d v="2026-04-20T00:00:00"/>
    <d v="1899-12-30T15:39:47"/>
    <s v="Hane Maki"/>
    <s v="maki@mpssn.com"/>
    <s v="Fournisseurs et Prestataires locaux"/>
    <s v="Sénégal"/>
  </r>
  <r>
    <x v="314"/>
    <s v="Validé"/>
    <d v="2026-04-20T00:00:00"/>
    <d v="1899-12-30T07:31:38"/>
    <s v="Awa BADIANE"/>
    <s v="abadiane@samahotels.com"/>
    <s v="Fournisseurs et Prestataires locaux"/>
    <s v="Sénégal"/>
  </r>
  <r>
    <x v="315"/>
    <s v="Validé"/>
    <d v="2026-05-20T00:00:00"/>
    <d v="1899-12-30T10:54:27"/>
    <s v="AWA SEYE"/>
    <s v="seyeawa662@gmail.com"/>
    <s v="Fournisseurs et Prestataires locaux"/>
    <s v="Sénégal"/>
  </r>
  <r>
    <x v="316"/>
    <s v="Validé"/>
    <d v="2026-05-20T00:00:00"/>
    <d v="1899-12-30T13:24:11"/>
    <s v="GOMIS ISABELLE"/>
    <s v="biadakar.cl@biagroup.com"/>
    <s v="Fournisseurs et Prestataires de droit sénégalais"/>
    <s v="Sénégal"/>
  </r>
  <r>
    <x v="317"/>
    <s v="Validé"/>
    <d v="2026-05-20T00:00:00"/>
    <d v="1899-12-30T10:37:52"/>
    <s v="Papa Ndongo SOW"/>
    <s v="papans@mgosn.com"/>
    <s v="Sociétés minières ou Cimenteries"/>
    <s v="Sénégal"/>
  </r>
  <r>
    <x v="318"/>
    <s v="Validé"/>
    <d v="2026-05-20T00:00:00"/>
    <d v="1899-12-30T12:51:10"/>
    <s v="Ditoma ALETA"/>
    <s v="ditoma.aleta@ccbm.sn"/>
    <s v="Fournisseurs et Prestataires locaux"/>
    <s v="Sénégal"/>
  </r>
  <r>
    <x v="319"/>
    <s v="Validé"/>
    <d v="2026-05-20T00:00:00"/>
    <d v="1899-12-30T10:39:18"/>
    <s v="Abdourahmane Tall"/>
    <s v="abdourahmane.tall@stepin-africa.com"/>
    <s v="Fournisseurs et Prestataires de droit sénégalais"/>
    <s v="Sénégal"/>
  </r>
  <r>
    <x v="320"/>
    <s v="Validé"/>
    <d v="2026-05-20T00:00:00"/>
    <d v="1899-12-30T08:31:32"/>
    <s v="ADAMA GUEYE"/>
    <s v="bilaloil@bilaloil.com"/>
    <s v="Fournisseurs et Prestataires locaux"/>
    <s v="Sénégal"/>
  </r>
  <r>
    <x v="321"/>
    <s v="Validé"/>
    <d v="2026-06-20T00:00:00"/>
    <d v="1899-12-30T16:13:23"/>
    <s v="SEYDOU SALL"/>
    <s v="scs84kedougou@gmail.com"/>
    <s v="Fournisseurs et Prestataires locaux"/>
    <s v="Sénégal"/>
  </r>
  <r>
    <x v="322"/>
    <s v="Validé"/>
    <d v="2026-06-20T00:00:00"/>
    <d v="1899-12-30T15:58:05"/>
    <s v="SOULEYMANE KANE"/>
    <s v="epicerie1001merveilles@gmail.com"/>
    <s v="Fournisseurs et Prestataires locaux"/>
    <s v="Sénégal"/>
  </r>
  <r>
    <x v="323"/>
    <s v="Validé"/>
    <d v="2026-07-20T00:00:00"/>
    <d v="1899-12-30T09:21:45"/>
    <s v="Mamadou Djiby SALL"/>
    <s v="djiby.sall@se2i.com"/>
    <s v="Fournisseurs et Prestataires locaux"/>
    <s v="Sénégal"/>
  </r>
  <r>
    <x v="324"/>
    <s v="Validé"/>
    <d v="2026-07-20T00:00:00"/>
    <d v="1899-12-30T11:52:04"/>
    <s v="PASCAL DIATTA"/>
    <s v="pascalambou@gmail.com"/>
    <s v="Sous-traitants"/>
    <s v="Sénégal"/>
  </r>
  <r>
    <x v="325"/>
    <s v="Validé"/>
    <d v="2026-07-20T00:00:00"/>
    <d v="1899-12-30T02:48:52"/>
    <s v="Papa El Hadji Malick  NDIAYE "/>
    <s v="papamalickndiaye033@gmail.com"/>
    <s v="Fournisseurs et Prestataires locaux"/>
    <s v="Sénégal"/>
  </r>
  <r>
    <x v="326"/>
    <s v="Validé"/>
    <d v="2024-12-20T00:00:00"/>
    <d v="1899-12-30T10:12:27"/>
    <s v="Bacary DIATTA"/>
    <s v="groupebacagb@gmail.com"/>
    <s v="Fournisseurs et Prestataires locaux"/>
    <s v="Sénégal"/>
  </r>
  <r>
    <x v="327"/>
    <s v="Validé"/>
    <d v="2026-01-21T00:00:00"/>
    <d v="1899-12-30T11:10:33"/>
    <s v="Mélanie Akono"/>
    <s v="m.akono@mercure-cab.com"/>
    <s v="Fournisseurs et Prestataires locaux"/>
    <s v="Sénégal"/>
  </r>
  <r>
    <x v="328"/>
    <s v="Validé"/>
    <d v="2026-01-21T00:00:00"/>
    <d v="1899-12-30T17:48:21"/>
    <s v="SEKHOU TRAORE"/>
    <s v="info@topweldingstructures.com"/>
    <s v="Fournisseurs et Prestataires locaux"/>
    <s v="Sénégal"/>
  </r>
  <r>
    <x v="329"/>
    <s v="Validé"/>
    <d v="2026-01-21T00:00:00"/>
    <d v="1899-12-30T23:05:38"/>
    <s v="bachir mbacke"/>
    <s v="toubaidsarl@gmail.com"/>
    <s v="Fournisseurs et Prestataires locaux"/>
    <s v="Sénégal"/>
  </r>
  <r>
    <x v="330"/>
    <s v="Validé"/>
    <d v="2026-01-21T00:00:00"/>
    <d v="1899-12-30T11:52:36"/>
    <s v="ZAIAT Saleh"/>
    <s v="oxysen@oxysen.sn"/>
    <s v="Fournisseurs et Prestataires locaux"/>
    <s v="Sénégal"/>
  </r>
  <r>
    <x v="331"/>
    <s v="Validé"/>
    <d v="2026-02-21T00:00:00"/>
    <d v="1899-12-30T15:02:44"/>
    <s v="Papa Demba DIEYE"/>
    <s v="dembadieye18@gmail.com"/>
    <s v="Fournisseurs et Prestataires locaux"/>
    <s v="Sénégal"/>
  </r>
  <r>
    <x v="332"/>
    <s v="Validé"/>
    <d v="2026-04-21T00:00:00"/>
    <d v="1899-12-30T13:10:36"/>
    <s v="Ndeye Thioumboulaye NDIAYE"/>
    <s v="al.ba@dpm-sn.com"/>
    <s v="Fournisseurs et Prestataires locaux"/>
    <s v="Sénégal"/>
  </r>
  <r>
    <x v="333"/>
    <s v="Validé"/>
    <d v="2024-05-21T00:00:00"/>
    <d v="1899-12-30T13:12:54"/>
    <s v="Fatou Kine SARR"/>
    <s v="fatou.sarr@codexepc.net"/>
    <s v="Fournisseurs et Prestataires locaux"/>
    <s v="Sénégal"/>
  </r>
  <r>
    <x v="334"/>
    <s v="Validé"/>
    <d v="2026-05-21T00:00:00"/>
    <d v="1899-12-30T12:43:25"/>
    <s v="Didi Diouf"/>
    <s v="didi.diouf@wise-group.tech"/>
    <s v="Fournisseurs et Prestataires locaux"/>
    <s v="Sénégal"/>
  </r>
  <r>
    <x v="335"/>
    <s v="Validé"/>
    <d v="2026-05-21T00:00:00"/>
    <d v="1899-12-30T22:36:59"/>
    <s v="Demba Sény Diallo"/>
    <s v="diallodembaseny@gmail.com"/>
    <s v="Fournisseurs et Prestataires locaux"/>
    <s v="Sénégal"/>
  </r>
  <r>
    <x v="201"/>
    <s v="Validé"/>
    <d v="2026-05-21T00:00:00"/>
    <d v="1899-12-30T10:46:29"/>
    <s v="Cheikh Sadibou Ndiaye"/>
    <s v="contact@prosen.sn"/>
    <s v="Fournisseurs et Prestataires locaux"/>
    <s v="Sénégal"/>
  </r>
  <r>
    <x v="336"/>
    <s v="Validé"/>
    <d v="2026-05-21T00:00:00"/>
    <d v="1899-12-30T14:00:09"/>
    <s v="Birame  TOP"/>
    <s v="info@topstructures.de"/>
    <s v="Fournisseurs et Prestataires locaux"/>
    <s v="Sénégal"/>
  </r>
  <r>
    <x v="337"/>
    <s v="Validé"/>
    <d v="2026-05-21T00:00:00"/>
    <d v="1899-12-30T10:26:49"/>
    <s v="Anne laure Bertinotti"/>
    <s v="legal@africapowerservices.com"/>
    <s v="Fournisseurs et Prestataires étrangers"/>
    <s v="France"/>
  </r>
  <r>
    <x v="338"/>
    <s v="Validé"/>
    <d v="2026-07-21T00:00:00"/>
    <d v="1899-12-30T00:53:05"/>
    <s v="Axel Hermann Foutou MBOKO"/>
    <s v="amboko@kaynann.com"/>
    <s v="Fournisseurs et Prestataires de droit sénégalais"/>
    <s v="Sénégal"/>
  </r>
  <r>
    <x v="339"/>
    <s v="Validé"/>
    <d v="2025-11-21T00:00:00"/>
    <d v="1899-12-30T12:43:07"/>
    <s v="AMINATA BA"/>
    <s v="aminata.ba@amcoconsultingservices.com"/>
    <s v="Fournisseurs et Prestataires locaux"/>
    <s v="Sénégal"/>
  </r>
  <r>
    <x v="340"/>
    <s v="Validé"/>
    <d v="2026-01-22T00:00:00"/>
    <d v="1899-12-30T11:23:08"/>
    <s v="FATOU BINETOU  DIOP"/>
    <s v="alpam@faymaalpam.com"/>
    <s v="Fournisseurs et Prestataires locaux"/>
    <s v="Sénégal"/>
  </r>
  <r>
    <x v="341"/>
    <s v="Validé"/>
    <d v="2026-01-22T00:00:00"/>
    <d v="1899-12-30T11:39:10"/>
    <s v="SEYDOU DIALLO"/>
    <s v="makoteamm@gmail.com"/>
    <s v="Fournisseurs et prestataires locaux (GPF ou GIE)"/>
    <s v="Sénégal"/>
  </r>
  <r>
    <x v="342"/>
    <s v="Validé"/>
    <d v="2026-01-22T00:00:00"/>
    <d v="1899-12-30T14:13:03"/>
    <s v="DIOUF ABDOU"/>
    <s v="yamabdou67@gmail.com"/>
    <s v="Fournisseurs et Prestataires locaux"/>
    <s v="Sénégal"/>
  </r>
  <r>
    <x v="343"/>
    <s v="Validé"/>
    <d v="2026-01-22T00:00:00"/>
    <d v="1899-12-30T15:12:28"/>
    <s v="El hadji omar  Ndiaye "/>
    <s v="lieutenanomar@gmail.com"/>
    <s v="Fournisseurs et Prestataires locaux"/>
    <s v="Sénégal"/>
  </r>
  <r>
    <x v="344"/>
    <s v="Validé"/>
    <d v="2026-01-22T00:00:00"/>
    <d v="1899-12-30T15:16:33"/>
    <s v="Modou Diome FAYE"/>
    <s v="mdfaye@dergane.com"/>
    <s v="Fournisseurs et Prestataires locaux"/>
    <s v="Sénégal"/>
  </r>
  <r>
    <x v="345"/>
    <s v="Validé"/>
    <d v="2026-01-22T00:00:00"/>
    <d v="1899-12-30T16:19:41"/>
    <s v="AURELIEN SERTELET SESTI"/>
    <s v="sesti@sesti.fr"/>
    <s v="Fournisseurs et Prestataires étrangers"/>
    <s v="France"/>
  </r>
  <r>
    <x v="346"/>
    <s v="Validé"/>
    <d v="2026-01-22T00:00:00"/>
    <d v="1899-12-30T13:03:36"/>
    <s v="Babacar Ba"/>
    <s v="babacar.ba@ambbtechnologies.com"/>
    <s v="Fournisseurs et Prestataires locaux"/>
    <s v="Sénégal"/>
  </r>
  <r>
    <x v="347"/>
    <s v="Validé"/>
    <d v="2024-04-22T00:00:00"/>
    <d v="1899-12-30T18:39:17"/>
    <s v="elhadji malick gueye"/>
    <s v="raconnexmultiservices@gmail.com"/>
    <s v="Fournisseurs et Prestataires locaux"/>
    <s v="Sénégal"/>
  </r>
  <r>
    <x v="348"/>
    <s v="Validé"/>
    <d v="2026-04-22T00:00:00"/>
    <d v="1899-12-30T00:19:17"/>
    <s v="Pap Ismaél NDAO"/>
    <s v="seee.senegal@gmail.com"/>
    <s v="Fournisseurs et Prestataires locaux"/>
    <s v="Sénégal"/>
  </r>
  <r>
    <x v="349"/>
    <s v="Validé"/>
    <d v="2026-04-22T00:00:00"/>
    <d v="1899-12-30T00:28:25"/>
    <s v="Abdou NDIAYE"/>
    <s v="abdou@deluxegroupe.com"/>
    <s v="Fournisseurs et Prestataires locaux"/>
    <s v="Sénégal"/>
  </r>
  <r>
    <x v="350"/>
    <s v="Validé"/>
    <d v="2026-05-22T00:00:00"/>
    <d v="1899-12-30T10:56:37"/>
    <s v="Mamadou Coulibaly "/>
    <s v="sabodolabtpservicessbtps@gmail.com"/>
    <s v="Fournisseurs et Prestataires locaux"/>
    <s v="Sénégal"/>
  </r>
  <r>
    <x v="351"/>
    <s v="Validé"/>
    <d v="2026-05-22T00:00:00"/>
    <d v="1899-12-30T13:13:23"/>
    <s v="Cheikh DIA"/>
    <s v="constructionsetdesign@outlook.com"/>
    <s v="Fournisseurs et Prestataires locaux"/>
    <s v="Sénégal"/>
  </r>
  <r>
    <x v="352"/>
    <s v="Validé"/>
    <d v="2026-06-22T00:00:00"/>
    <d v="1899-12-30T13:29:51"/>
    <s v="Awa NDOYE"/>
    <s v="awa.ndoye@setinterim.com"/>
    <s v="Fournisseurs et Prestataires locaux"/>
    <s v="Sénégal"/>
  </r>
  <r>
    <x v="353"/>
    <s v="Validé"/>
    <d v="2026-06-22T00:00:00"/>
    <d v="1899-12-30T14:42:20"/>
    <s v="OUMOU KALSOUM SECK"/>
    <s v="oumou.kalsoum@iosho.sn"/>
    <s v="Fournisseurs et Prestataires locaux"/>
    <s v="Sénégal"/>
  </r>
  <r>
    <x v="354"/>
    <s v="Validé"/>
    <d v="2025-12-22T00:00:00"/>
    <d v="1899-12-30T16:39:54"/>
    <s v="MAMADOU LOUM"/>
    <s v="emf-groupe@emf-groupe.com"/>
    <s v="Fournisseurs et Prestataires locaux"/>
    <s v="Sénégal"/>
  </r>
  <r>
    <x v="355"/>
    <s v="Validé"/>
    <d v="2026-01-23T00:00:00"/>
    <d v="1899-12-30T13:34:27"/>
    <s v="Cheikh ahmadou bamba Diaw"/>
    <s v="cheikhbamba87@gmail.com"/>
    <s v="Fournisseurs et Prestataires locaux"/>
    <s v="Sénégal"/>
  </r>
  <r>
    <x v="356"/>
    <s v="Validé"/>
    <d v="2026-02-23T00:00:00"/>
    <d v="1899-12-30T12:58:11"/>
    <s v="TRAORE Baba"/>
    <s v="tratraco20@gmail.com"/>
    <s v="Fournisseurs et Prestataires locaux"/>
    <s v="Sénégal"/>
  </r>
  <r>
    <x v="357"/>
    <s v="Validé"/>
    <d v="2026-02-23T00:00:00"/>
    <d v="1899-12-30T09:23:29"/>
    <s v="Thiané DIOP"/>
    <s v="thiane.diop@itteconsulting.com"/>
    <s v="Fournisseurs et Prestataires locaux"/>
    <s v="Sénégal"/>
  </r>
  <r>
    <x v="358"/>
    <s v="Validé"/>
    <d v="2026-02-23T00:00:00"/>
    <d v="1899-12-30T17:55:38"/>
    <s v="AMADOU DIOULDE  BARRY"/>
    <s v="amadoudiouldebarry47@yahoo.fr"/>
    <s v="Fournisseurs et Prestataires locaux"/>
    <s v="Sénégal"/>
  </r>
  <r>
    <x v="359"/>
    <s v="Validé"/>
    <d v="2026-02-23T00:00:00"/>
    <d v="1899-12-30T17:51:39"/>
    <s v="SAMBA ABDOULAYE SARR"/>
    <s v="abdoulayesarr64@gmail.com"/>
    <s v="Fournisseurs et Prestataires locaux"/>
    <s v="Sénégal"/>
  </r>
  <r>
    <x v="360"/>
    <s v="Validé"/>
    <d v="2026-02-23T00:00:00"/>
    <d v="1899-12-30T11:28:41"/>
    <s v="Moussa  Sambou "/>
    <s v="m.sambou.ecti@gmail.com"/>
    <s v="Fournisseurs et Prestataires locaux"/>
    <s v="Sénégal"/>
  </r>
  <r>
    <x v="361"/>
    <s v="Validé"/>
    <d v="2024-03-23T00:00:00"/>
    <d v="1899-12-30T15:19:14"/>
    <s v="ELHADJI MALICK NIANG "/>
    <s v="niang.malick@urgsolutionsmed.sn"/>
    <s v="Fournisseurs et Prestataires locaux"/>
    <s v="Sénégal"/>
  </r>
  <r>
    <x v="362"/>
    <s v="Validé"/>
    <d v="2026-03-23T00:00:00"/>
    <d v="1899-12-30T15:59:48"/>
    <s v="Mark  Notoma"/>
    <s v="mark.notoma@spie.com"/>
    <s v="Fournisseurs et Prestataires de droit sénégalais"/>
    <s v="Sénégal"/>
  </r>
  <r>
    <x v="363"/>
    <s v="Validé"/>
    <d v="2026-03-23T00:00:00"/>
    <d v="1899-12-30T21:26:21"/>
    <s v="Rama SOW"/>
    <s v="sowrahma2@gmail.com"/>
    <s v="Fournisseurs et Prestataires locaux"/>
    <s v="Sénégal"/>
  </r>
  <r>
    <x v="364"/>
    <s v="Validé"/>
    <d v="2026-04-23T00:00:00"/>
    <d v="1899-12-30T12:53:18"/>
    <s v="VINCI Energies Sénégal"/>
    <s v="contact.ves@vinci-energies.com"/>
    <s v="Fournisseurs et Prestataires de droit sénégalais"/>
    <s v="Sénégal"/>
  </r>
  <r>
    <x v="365"/>
    <s v="Validé"/>
    <d v="2026-04-23T00:00:00"/>
    <d v="1899-12-30T13:01:08"/>
    <s v="Papa Demba  Thiam"/>
    <s v="dfthiam@gmail.com"/>
    <s v="Fournisseurs et Prestataires locaux"/>
    <s v="Sénégal"/>
  </r>
  <r>
    <x v="366"/>
    <s v="Validé"/>
    <d v="2025-05-23T00:00:00"/>
    <d v="1899-12-30T16:06:20"/>
    <s v="FALL  MASSAMBA "/>
    <s v="senrelais@gmail.com"/>
    <s v="Fournisseurs et Prestataires locaux"/>
    <s v="Sénégal"/>
  </r>
  <r>
    <x v="367"/>
    <s v="Validé"/>
    <d v="2026-05-23T00:00:00"/>
    <d v="1899-12-30T17:41:03"/>
    <s v="Sagna Seynabou "/>
    <s v="seynabousagna1997@gmail.com"/>
    <s v="Fournisseurs et Prestataires locaux"/>
    <s v="Sénégal"/>
  </r>
  <r>
    <x v="368"/>
    <s v="Validé"/>
    <d v="2026-06-23T00:00:00"/>
    <d v="1899-12-30T10:16:41"/>
    <s v="MOUHAMADOU MOUSTAPHA THIAM"/>
    <s v="moustapha.thiam@bernabeafrique.com"/>
    <s v="Fournisseurs et Prestataires locaux"/>
    <s v="Sénégal"/>
  </r>
  <r>
    <x v="369"/>
    <s v="Validé"/>
    <d v="2025-09-23T00:00:00"/>
    <d v="1899-12-30T22:12:17"/>
    <s v="Daouda Ibrahima BA"/>
    <s v="aerominetech@gmail.com"/>
    <s v="Fournisseurs et Prestataires locaux"/>
    <s v="Sénégal"/>
  </r>
  <r>
    <x v="370"/>
    <s v="Validé"/>
    <d v="2026-01-24T00:00:00"/>
    <d v="1899-12-30T16:58:03"/>
    <s v="AMINATA NDIAYE"/>
    <s v="a.ndiaye@sareqgroup.com"/>
    <s v="Fournisseurs et Prestataires locaux"/>
    <s v="Sénégal"/>
  </r>
  <r>
    <x v="371"/>
    <s v="Validé"/>
    <d v="2026-01-24T00:00:00"/>
    <d v="1899-12-30T15:43:52"/>
    <s v="Mbery Ndoye"/>
    <s v="ndoyemberi@gmail.com"/>
    <s v="Fournisseurs et Prestataires locaux"/>
    <s v="Sénégal"/>
  </r>
  <r>
    <x v="372"/>
    <s v="Validé"/>
    <d v="2026-02-24T00:00:00"/>
    <d v="1899-12-30T13:42:06"/>
    <s v="Amadou KANE"/>
    <s v="contact@jaguarssecurite.com"/>
    <s v="Fournisseurs et Prestataires locaux"/>
    <s v="Sénégal"/>
  </r>
  <r>
    <x v="373"/>
    <s v="Validé"/>
    <d v="2026-02-24T00:00:00"/>
    <d v="1899-12-30T10:55:43"/>
    <s v="Fatou SECK"/>
    <s v="fatou.seck@ivos-ci.com"/>
    <s v="Fournisseurs et Prestataires locaux"/>
    <s v="Sénégal"/>
  </r>
  <r>
    <x v="374"/>
    <s v="Validé"/>
    <d v="2026-02-24T00:00:00"/>
    <d v="1899-12-30T10:30:39"/>
    <s v="Aminata Gadiaga"/>
    <s v="logistiquesmesure@gmail.com"/>
    <s v="Fournisseurs et Prestataires locaux"/>
    <s v="Sénégal"/>
  </r>
  <r>
    <x v="375"/>
    <s v="Validé"/>
    <d v="2025-03-24T00:00:00"/>
    <d v="1899-12-30T11:53:53"/>
    <s v="Lina Manuelle MILENDJI NYARE"/>
    <s v="lina.nyare@baolaenergy.com"/>
    <s v="Fournisseurs et Prestataires locaux"/>
    <s v="Sénégal"/>
  </r>
  <r>
    <x v="376"/>
    <s v="Validé"/>
    <d v="2026-03-24T00:00:00"/>
    <d v="1899-12-30T11:22:37"/>
    <s v="Nene Foula Diallo"/>
    <s v="foula.diallo@oxynium-o2.com"/>
    <s v="Fournisseurs et Prestataires locaux"/>
    <s v="Sénégal"/>
  </r>
  <r>
    <x v="377"/>
    <s v="Validé"/>
    <d v="2026-03-24T00:00:00"/>
    <d v="1899-12-30T16:17:09"/>
    <s v="Habibou Gabriel d.habibou@global-foodsupply.com"/>
    <s v="d.habibou@global-foodsupply.com"/>
    <s v="Fournisseurs et Prestataires locaux"/>
    <s v="Sénégal"/>
  </r>
  <r>
    <x v="378"/>
    <s v="Validé"/>
    <d v="2026-04-24T00:00:00"/>
    <d v="1899-12-30T12:56:51"/>
    <s v="Otoikhine Ehis"/>
    <s v="ehis@terangaogcorp.com"/>
    <s v="Fournisseurs et Prestataires locaux"/>
    <s v="Sénégal"/>
  </r>
  <r>
    <x v="379"/>
    <s v="Validé"/>
    <d v="2026-04-24T00:00:00"/>
    <d v="1899-12-30T16:35:28"/>
    <s v="Maxime DIATTA"/>
    <s v="elephantgmd@yahoo.fr"/>
    <s v="Fournisseurs et Prestataires locaux"/>
    <s v="Sénégal"/>
  </r>
  <r>
    <x v="380"/>
    <s v="Validé"/>
    <d v="2026-04-24T00:00:00"/>
    <d v="1899-12-30T11:59:13"/>
    <s v="Mamadou ngawa Dembele"/>
    <s v="dembeleham@gmail.com"/>
    <s v="Fournisseurs et Prestataires locaux"/>
    <s v="Sénégal"/>
  </r>
  <r>
    <x v="381"/>
    <s v="Validé"/>
    <d v="2026-05-24T00:00:00"/>
    <d v="1899-12-30T16:59:23"/>
    <s v="Lamine Ndour"/>
    <s v="xafandamsn@gmail.com"/>
    <s v="Fournisseurs et Prestataires locaux"/>
    <s v="Sénégal"/>
  </r>
  <r>
    <x v="382"/>
    <s v="Validé"/>
    <d v="2026-06-24T00:00:00"/>
    <d v="1899-12-30T09:39:07"/>
    <s v="Petrosen Trading et Services Petrosen Trading et Services"/>
    <s v="aliou.diouf@petrosents.com"/>
    <s v="Fournisseurs et Prestataires locaux"/>
    <s v="Sénégal"/>
  </r>
  <r>
    <x v="383"/>
    <s v="Validé"/>
    <d v="2026-06-24T00:00:00"/>
    <d v="1899-12-30T10:29:29"/>
    <s v="Mouhamadou Oury  Diallo"/>
    <s v="janbtpsuarl@outlook.com"/>
    <s v="Fournisseurs et Prestataires locaux"/>
    <s v="Sénégal"/>
  </r>
  <r>
    <x v="384"/>
    <s v="Validé"/>
    <d v="2026-06-24T00:00:00"/>
    <d v="1899-12-30T16:01:49"/>
    <s v="PAUL SARR"/>
    <s v="codacsa@orange.sn"/>
    <s v="Fournisseurs et Prestataires locaux"/>
    <s v="Sénégal"/>
  </r>
  <r>
    <x v="385"/>
    <s v="Validé"/>
    <d v="2026-06-24T00:00:00"/>
    <d v="1899-12-30T11:12:10"/>
    <s v="Alassane DIALLO"/>
    <s v="rassoulindustriebtp@gmail.com"/>
    <s v="Fournisseurs et Prestataires locaux"/>
    <s v="Sénégal"/>
  </r>
  <r>
    <x v="386"/>
    <s v="Validé"/>
    <d v="2026-01-25T00:00:00"/>
    <d v="1899-12-30T19:09:09"/>
    <s v="Mahtar Diouf"/>
    <s v="entrepriseyasalam.diouf@gmail.com"/>
    <s v="Fournisseurs et Prestataires locaux"/>
    <s v="Sénégal"/>
  </r>
  <r>
    <x v="387"/>
    <s v="Validé"/>
    <d v="2026-01-25T00:00:00"/>
    <d v="1899-12-30T16:24:48"/>
    <s v="Abdoulaye BATHILY"/>
    <s v="a.bathily@saharatradings.com"/>
    <s v="Fournisseurs et Prestataires locaux"/>
    <s v="Sénégal"/>
  </r>
  <r>
    <x v="388"/>
    <s v="Validé"/>
    <d v="2026-01-25T00:00:00"/>
    <d v="1899-12-30T18:07:20"/>
    <s v="Malick LO"/>
    <s v="mlo@ifinanceconsulting.com"/>
    <s v="Fournisseurs et Prestataires locaux"/>
    <s v="Sénégal"/>
  </r>
  <r>
    <x v="389"/>
    <s v="Validé"/>
    <d v="2026-02-25T00:00:00"/>
    <d v="1899-12-30T13:15:56"/>
    <s v="Sala NDIAYE"/>
    <s v="geniepreira@gmail.com"/>
    <s v="Fournisseurs et Prestataires locaux"/>
    <s v="Sénégal"/>
  </r>
  <r>
    <x v="390"/>
    <s v="Validé"/>
    <d v="2026-02-25T00:00:00"/>
    <d v="1899-12-30T12:19:16"/>
    <s v="MAME MOR GUEYE"/>
    <s v="info@mkaexcellence.com"/>
    <s v="Fournisseurs et Prestataires locaux"/>
    <s v="Sénégal"/>
  </r>
  <r>
    <x v="391"/>
    <s v="Validé"/>
    <d v="2026-02-25T00:00:00"/>
    <d v="1899-12-30T13:33:20"/>
    <s v="Moussa Gueye"/>
    <s v="contactstr2019@gmail.com"/>
    <s v="Fournisseurs et Prestataires locaux"/>
    <s v="Sénégal"/>
  </r>
  <r>
    <x v="392"/>
    <s v="Validé"/>
    <d v="2026-02-25T00:00:00"/>
    <d v="1899-12-30T14:13:52"/>
    <s v="Ndeye Léna SARR"/>
    <s v="lsarr@baobabphosphate.com"/>
    <s v="Sociétés minières ou Cimenteries"/>
    <s v="Sénégal"/>
  </r>
  <r>
    <x v="393"/>
    <s v="Validé"/>
    <d v="2026-02-25T00:00:00"/>
    <d v="1899-12-30T08:34:28"/>
    <s v="Oumar DIOP"/>
    <s v="oumardiop@groupe-topinter.com"/>
    <s v="Fournisseurs et Prestataires locaux"/>
    <s v="Sénégal"/>
  </r>
  <r>
    <x v="394"/>
    <s v="Validé"/>
    <d v="2026-02-25T00:00:00"/>
    <d v="1899-12-30T12:32:40"/>
    <s v="Abdou Aziz DIOP"/>
    <s v="camsalaminesarl@gmail.com"/>
    <s v="Fournisseurs et Prestataires locaux"/>
    <s v="Sénégal"/>
  </r>
  <r>
    <x v="395"/>
    <s v="Validé"/>
    <d v="2026-03-25T00:00:00"/>
    <d v="1899-12-30T11:32:26"/>
    <s v="NDEYE FATOU NDOUR"/>
    <s v="ndeyefatou.ndour@regpro-energy.com"/>
    <s v="Fournisseurs et Prestataires locaux"/>
    <s v="Sénégal"/>
  </r>
  <r>
    <x v="396"/>
    <s v="Validé"/>
    <d v="2026-03-25T00:00:00"/>
    <d v="1899-12-30T13:15:29"/>
    <s v="ALIOUNE DIALLO"/>
    <s v="contact@securite-n2m.com"/>
    <s v="Fournisseurs et Prestataires locaux"/>
    <s v="Sénégal"/>
  </r>
  <r>
    <x v="397"/>
    <s v="Validé"/>
    <d v="2026-03-25T00:00:00"/>
    <d v="1899-12-30T17:03:14"/>
    <s v="ABLAYE DIOP"/>
    <s v="africaineco2007@gmail.com"/>
    <s v="Fournisseurs et Prestataires locaux"/>
    <s v="Sénégal"/>
  </r>
  <r>
    <x v="398"/>
    <s v="Validé"/>
    <d v="2026-04-25T00:00:00"/>
    <d v="1899-12-30T21:07:32"/>
    <s v="Guèye  Insa"/>
    <s v="insagueye30@gmail.com"/>
    <s v="Fournisseurs et Prestataires locaux"/>
    <s v="Sénégal"/>
  </r>
  <r>
    <x v="399"/>
    <s v="Validé"/>
    <d v="2026-06-25T00:00:00"/>
    <d v="1899-12-30T11:53:08"/>
    <s v="Matar LO"/>
    <s v="senproc@senproc.sn"/>
    <s v="Fournisseurs et Prestataires locaux"/>
    <s v="Sénégal"/>
  </r>
  <r>
    <x v="400"/>
    <s v="Validé"/>
    <d v="2026-06-25T00:00:00"/>
    <d v="1899-12-30T13:59:26"/>
    <s v="babacar diouf"/>
    <s v="babacardioufbando@gmail.com"/>
    <s v="Fournisseurs et Prestataires locaux"/>
    <s v="Sénégal"/>
  </r>
  <r>
    <x v="401"/>
    <s v="Validé"/>
    <d v="2026-06-25T00:00:00"/>
    <d v="1899-12-30T10:06:03"/>
    <s v="Innocencia Marie MBAYE "/>
    <s v="innocencia.mbaye@epc-mineex.sn"/>
    <s v="Sous-traitants"/>
    <s v="Sénégal"/>
  </r>
  <r>
    <x v="402"/>
    <s v="Validé"/>
    <d v="2026-06-25T00:00:00"/>
    <d v="1899-12-30T13:09:59"/>
    <s v="Cheikh Modou Bamba SENE"/>
    <s v="cheikhbamba@alt-afrique.com"/>
    <s v="Fournisseurs et Prestataires locaux"/>
    <s v="Sénégal"/>
  </r>
  <r>
    <x v="403"/>
    <s v="Validé"/>
    <d v="2026-06-25T00:00:00"/>
    <d v="1899-12-30T12:24:00"/>
    <s v="Djamal BENDOUMA"/>
    <s v="djamalsene@yahoo.fr"/>
    <s v="Fournisseurs et Prestataires locaux"/>
    <s v="Sénégal"/>
  </r>
  <r>
    <x v="404"/>
    <s v="Validé"/>
    <d v="2024-07-25T00:00:00"/>
    <d v="1899-12-30T13:22:49"/>
    <s v="Papa Ngoumba SENE"/>
    <s v="dg@laboratoiredemetrologie.com"/>
    <s v="Fournisseurs et Prestataires locaux"/>
    <s v="Sénégal"/>
  </r>
  <r>
    <x v="405"/>
    <s v="Validé"/>
    <d v="2024-07-25T00:00:00"/>
    <d v="1899-12-30T15:16:26"/>
    <s v="Safietou Birahim NDIAYE"/>
    <s v="safietou.ndiaye@groupeneurotech.com"/>
    <s v="Fournisseurs et Prestataires locaux"/>
    <s v="Sénégal"/>
  </r>
  <r>
    <x v="406"/>
    <s v="Validé"/>
    <d v="2025-12-25T00:00:00"/>
    <d v="1899-12-30T15:28:35"/>
    <s v="Birane Dieng"/>
    <s v="eljidieng@gmail.com"/>
    <s v="Fournisseurs et Prestataires locaux"/>
    <s v="Sénégal"/>
  </r>
  <r>
    <x v="407"/>
    <s v="Validé"/>
    <d v="2026-01-26T00:00:00"/>
    <d v="1899-12-30T10:57:46"/>
    <s v="anne laure bertinotti"/>
    <s v="juridique@delmasip.com"/>
    <s v="Sous-traitants"/>
    <s v="Sénégal"/>
  </r>
  <r>
    <x v="408"/>
    <s v="Validé"/>
    <d v="2026-01-26T00:00:00"/>
    <d v="1899-12-30T10:16:53"/>
    <s v="El Hadji Malick Dieye"/>
    <s v="md@malaika-development.com"/>
    <s v="Fournisseurs et Prestataires locaux"/>
    <s v="Sénégal"/>
  </r>
  <r>
    <x v="409"/>
    <s v="Validé"/>
    <d v="2025-02-26T00:00:00"/>
    <d v="1899-12-30T19:28:17"/>
    <s v="Cheikh Mbacke FALL"/>
    <s v="papaharas@gmail.com"/>
    <s v="Fournisseurs et Prestataires locaux"/>
    <s v="Sénégal"/>
  </r>
  <r>
    <x v="410"/>
    <s v="Validé"/>
    <d v="2025-02-26T00:00:00"/>
    <d v="1899-12-30T07:55:11"/>
    <s v="Seydina Ousmane DIENE"/>
    <s v="diene@dienesc.com"/>
    <s v="Fournisseurs et Prestataires locaux"/>
    <s v="Sénégal"/>
  </r>
  <r>
    <x v="411"/>
    <s v="Validé"/>
    <d v="2026-02-26T00:00:00"/>
    <d v="1899-12-30T14:59:49"/>
    <s v="THOMAS MANOJ "/>
    <s v="manoj.thomas@triengineering.co"/>
    <s v="Fournisseurs et Prestataires locaux"/>
    <s v="Sénégal"/>
  </r>
  <r>
    <x v="412"/>
    <s v="Validé"/>
    <d v="2026-02-26T00:00:00"/>
    <d v="1899-12-30T10:39:04"/>
    <s v="Eric Gilles  SAGNA"/>
    <s v="esagna@somemsn.com"/>
    <s v="Fournisseurs et Prestataires locaux"/>
    <s v="Sénégal"/>
  </r>
  <r>
    <x v="413"/>
    <s v="Validé"/>
    <d v="2026-02-26T00:00:00"/>
    <d v="1899-12-30T06:48:41"/>
    <s v="FATOU NDIAYE"/>
    <s v="pitextile.louga@gmail.com"/>
    <s v="Fournisseurs et Prestataires locaux"/>
    <s v="Sénégal"/>
  </r>
  <r>
    <x v="414"/>
    <s v="Validé"/>
    <d v="2026-02-26T00:00:00"/>
    <d v="1899-12-30T12:27:50"/>
    <s v="Diandian Cissokho "/>
    <s v="diandiancissokho08@gmail.com"/>
    <s v="Fournisseurs et Prestataires locaux"/>
    <s v="Sénégal"/>
  </r>
  <r>
    <x v="415"/>
    <s v="Validé"/>
    <d v="2026-02-26T00:00:00"/>
    <d v="1899-12-30T08:22:02"/>
    <s v="Mor Pene"/>
    <s v="ecmpene@gmail.com"/>
    <s v="Fournisseurs et Prestataires locaux"/>
    <s v="Sénégal"/>
  </r>
  <r>
    <x v="416"/>
    <s v="Validé"/>
    <d v="2026-03-26T00:00:00"/>
    <d v="1899-12-30T10:04:49"/>
    <s v="Pascal Vandevelde"/>
    <s v="p.vandevelde@vmsteel.com"/>
    <s v="Fournisseurs et Prestataires étrangers"/>
    <s v="Belgique"/>
  </r>
  <r>
    <x v="417"/>
    <s v="Validé"/>
    <d v="2026-03-26T00:00:00"/>
    <d v="1899-12-30T10:15:32"/>
    <s v="Youssou Jules DIOP"/>
    <s v="jules.diop@helixsen.com"/>
    <s v="Fournisseurs et Prestataires locaux"/>
    <s v="Sénégal"/>
  </r>
  <r>
    <x v="418"/>
    <s v="Validé"/>
    <d v="2026-03-26T00:00:00"/>
    <d v="1899-12-30T13:19:13"/>
    <s v="Mor Wade"/>
    <s v="mor.wade@ingetechnologie.com"/>
    <s v="Fournisseurs et Prestataires locaux"/>
    <s v="Sénégal"/>
  </r>
  <r>
    <x v="419"/>
    <s v="Validé"/>
    <d v="2026-04-26T00:00:00"/>
    <d v="1899-12-30T13:26:13"/>
    <s v="Sengane  DIAGNE "/>
    <s v="amdy6968@gmail.com"/>
    <s v="Fournisseurs et Prestataires locaux"/>
    <s v="Sénégal"/>
  </r>
  <r>
    <x v="420"/>
    <s v="Validé"/>
    <d v="2026-05-26T00:00:00"/>
    <d v="1899-12-30T10:21:08"/>
    <s v="Oumar SECK"/>
    <s v="info@sysroad.com"/>
    <s v="Fournisseurs et Prestataires locaux"/>
    <s v="Sénégal"/>
  </r>
  <r>
    <x v="421"/>
    <s v="Validé"/>
    <d v="2026-05-26T00:00:00"/>
    <d v="1899-12-30T16:15:41"/>
    <s v="VICTOR PIERRE DA-ROSA"/>
    <s v="victorpierredarosa@gmail.com"/>
    <s v="Fournisseurs et prestataires locaux (GPF ou GIE)"/>
    <s v="Sénégal"/>
  </r>
  <r>
    <x v="422"/>
    <s v="Validé"/>
    <d v="2026-06-26T00:00:00"/>
    <d v="1899-12-30T18:34:37"/>
    <s v="Aly DIOUF"/>
    <s v="alydiouf@eve-sn.org"/>
    <s v="Fournisseurs et Prestataires locaux"/>
    <s v="Sénégal"/>
  </r>
  <r>
    <x v="423"/>
    <s v="Validé"/>
    <d v="2024-11-26T00:00:00"/>
    <d v="1899-12-30T18:55:15"/>
    <s v="Bineta  DIAGNE"/>
    <s v="lezzetli@lezzetli.sn"/>
    <s v="Fournisseurs et Prestataires locaux"/>
    <s v="Sénégal"/>
  </r>
  <r>
    <x v="424"/>
    <s v="Validé"/>
    <d v="2025-11-26T00:00:00"/>
    <d v="1899-12-30T21:47:41"/>
    <s v="mamadou cisse"/>
    <s v="contact@tgs.sn"/>
    <s v="Fournisseurs et Prestataires locaux"/>
    <s v="Sénégal"/>
  </r>
  <r>
    <x v="425"/>
    <s v="Validé"/>
    <d v="2026-01-27T00:00:00"/>
    <d v="1899-12-30T10:55:03"/>
    <s v="Aminata SAGNA"/>
    <s v="aminata.sagna@afric-isole.com"/>
    <s v="Fournisseurs et Prestataires locaux"/>
    <s v="Sénégal"/>
  </r>
  <r>
    <x v="426"/>
    <s v="Validé"/>
    <d v="2026-01-27T00:00:00"/>
    <d v="1899-12-30T17:06:22"/>
    <s v="CHEIKH FALL"/>
    <s v="genttra@gmail.com"/>
    <s v="Fournisseurs et Prestataires locaux"/>
    <s v="Sénégal"/>
  </r>
  <r>
    <x v="427"/>
    <s v="Validé"/>
    <d v="2026-01-27T00:00:00"/>
    <d v="1899-12-30T15:48:09"/>
    <s v="Mamadou Thiam"/>
    <s v="mamadou.thiam@m2c.sn"/>
    <s v="Fournisseurs et Prestataires locaux"/>
    <s v="Sénégal"/>
  </r>
  <r>
    <x v="428"/>
    <s v="Validé"/>
    <d v="2026-01-27T00:00:00"/>
    <d v="1899-12-30T11:41:46"/>
    <s v="Elhadji ndongo  Lecor "/>
    <s v="socotra1.ms@gmail.com"/>
    <s v="Fournisseurs et Prestataires locaux"/>
    <s v="Sénégal"/>
  </r>
  <r>
    <x v="429"/>
    <s v="Validé"/>
    <d v="2026-01-27T00:00:00"/>
    <d v="1899-12-30T16:37:47"/>
    <s v="Abdoulaye DIENG"/>
    <s v="snshared.contenulocal@sococim.sn"/>
    <s v="Sociétés minières ou Cimenteries"/>
    <s v="Espagne"/>
  </r>
  <r>
    <x v="430"/>
    <s v="Validé"/>
    <d v="2026-02-27T00:00:00"/>
    <d v="1899-12-30T23:57:45"/>
    <s v="SENY DANFAKHA"/>
    <s v="danfakhaseny880@gmail.com"/>
    <s v="Fournisseurs et prestataires locaux (GPF ou GIE)"/>
    <s v="Sénégal"/>
  </r>
  <r>
    <x v="431"/>
    <s v="Validé"/>
    <d v="2026-02-27T00:00:00"/>
    <d v="1899-12-30T15:23:31"/>
    <s v="ANDRE NDIAYE"/>
    <s v="meditechsgroup2007@gmail.com"/>
    <s v="Fournisseurs et Prestataires locaux"/>
    <s v="Sénégal"/>
  </r>
  <r>
    <x v="432"/>
    <s v="Validé"/>
    <d v="2026-03-27T00:00:00"/>
    <d v="1899-12-30T11:35:13"/>
    <s v="Marie Helene DOCANTO"/>
    <s v="mh@galaxyindustriescorp.com"/>
    <s v="Fournisseurs et Prestataires locaux"/>
    <s v="Sénégal"/>
  </r>
  <r>
    <x v="433"/>
    <s v="Validé"/>
    <d v="2026-03-27T00:00:00"/>
    <d v="1899-12-30T11:53:08"/>
    <s v="AISSATOU DRAME"/>
    <s v="sahelmining2014@gmail.com"/>
    <s v="Fournisseurs et Prestataires locaux"/>
    <s v="Sénégal"/>
  </r>
  <r>
    <x v="434"/>
    <s v="Validé"/>
    <d v="2026-03-27T00:00:00"/>
    <d v="1899-12-30T12:58:04"/>
    <s v="CESAR GONZALEZ"/>
    <s v="cgojeda@elmasa.org"/>
    <s v="Fournisseurs et Prestataires de droit sénégalais"/>
    <s v="Sénégal"/>
  </r>
  <r>
    <x v="435"/>
    <s v="Validé"/>
    <d v="2026-03-27T00:00:00"/>
    <d v="1899-12-30T11:42:26"/>
    <s v="Mawdo DIOUF"/>
    <s v="dioufetab@hotmail.com"/>
    <s v="Fournisseurs et Prestataires locaux"/>
    <s v="Sénégal"/>
  </r>
  <r>
    <x v="436"/>
    <s v="Validé"/>
    <d v="2026-03-27T00:00:00"/>
    <d v="1899-12-30T10:31:17"/>
    <s v="SAIDI SAIDI"/>
    <s v="asaidi@amaris-equipment.com"/>
    <s v="Fournisseurs et Prestataires étrangers"/>
    <s v="France"/>
  </r>
  <r>
    <x v="437"/>
    <s v="Validé"/>
    <d v="2026-03-27T00:00:00"/>
    <d v="1899-12-30T09:17:08"/>
    <s v="ABDOU SALAM HANN"/>
    <s v="signal_routes@orange.sn"/>
    <s v="Fournisseurs et Prestataires de droit sénégalais"/>
    <s v="Sénégal"/>
  </r>
  <r>
    <x v="438"/>
    <s v="Validé"/>
    <d v="2026-04-27T00:00:00"/>
    <d v="1899-12-30T07:57:26"/>
    <s v="Helene SARR"/>
    <s v="adv@matondo.sn"/>
    <s v="Fournisseurs et Prestataires locaux"/>
    <s v="Sénégal"/>
  </r>
  <r>
    <x v="439"/>
    <s v="Validé"/>
    <d v="2026-04-27T00:00:00"/>
    <d v="1899-12-30T16:23:37"/>
    <s v="IDRISSA DIALLO"/>
    <s v="elhadjidaouda94@gmail.com"/>
    <s v="Fournisseurs et Prestataires locaux"/>
    <s v="Sénégal"/>
  </r>
  <r>
    <x v="440"/>
    <s v="Validé"/>
    <d v="2026-05-27T00:00:00"/>
    <d v="1899-12-30T12:10:01"/>
    <s v="Cheikhou DIALLO"/>
    <s v="cdiallo@sodimelsa.sn"/>
    <s v="Fournisseurs et Prestataires locaux"/>
    <s v="Sénégal"/>
  </r>
  <r>
    <x v="441"/>
    <s v="Validé"/>
    <d v="2026-05-27T00:00:00"/>
    <d v="1899-12-30T08:48:40"/>
    <s v="Civol Kane "/>
    <s v="civolkane@gmail.com"/>
    <s v="Fournisseurs et Prestataires locaux"/>
    <s v="Sénégal"/>
  </r>
  <r>
    <x v="442"/>
    <s v="Validé"/>
    <d v="2025-11-27T00:00:00"/>
    <d v="1899-12-30T20:19:58"/>
    <s v="Arame der Khoule"/>
    <s v="arame@infinity-overseas.com"/>
    <s v="Fournisseurs et Prestataires de droit sénégalais"/>
    <s v="Sénégal"/>
  </r>
  <r>
    <x v="443"/>
    <s v="Validé"/>
    <d v="2026-01-28T00:00:00"/>
    <d v="1899-12-30T12:21:05"/>
    <s v="UNIVERSAL TECH  SUPPLY"/>
    <s v="info@uts-tech.net"/>
    <s v="Fournisseurs et Prestataires locaux"/>
    <s v="Sénégal"/>
  </r>
  <r>
    <x v="444"/>
    <s v="Validé"/>
    <d v="2026-01-28T00:00:00"/>
    <d v="1899-12-30T20:25:13"/>
    <s v="Samba Fall"/>
    <s v="samba.fall@energense.net"/>
    <s v="Fournisseurs et Prestataires locaux"/>
    <s v="Sénégal"/>
  </r>
  <r>
    <x v="445"/>
    <s v="Validé"/>
    <d v="2026-01-28T00:00:00"/>
    <d v="1899-12-30T12:44:38"/>
    <s v="Samba Cor Bathily"/>
    <s v="sbathily@magikoil.com"/>
    <s v="Fournisseurs et Prestataires locaux"/>
    <s v="Sénégal"/>
  </r>
  <r>
    <x v="446"/>
    <s v="Validé"/>
    <d v="2026-01-28T00:00:00"/>
    <d v="1899-12-30T09:48:27"/>
    <s v="Mouhamadou Lamine DIA"/>
    <s v="eden@eden-ic.com"/>
    <s v="Fournisseurs et Prestataires locaux"/>
    <s v="Sénégal"/>
  </r>
  <r>
    <x v="447"/>
    <s v="Validé"/>
    <d v="2026-01-28T00:00:00"/>
    <d v="1899-12-30T15:46:47"/>
    <s v="BIRAME TOP"/>
    <s v="info@bma.sn"/>
    <s v="Fournisseurs et Prestataires locaux"/>
    <s v="Sénégal"/>
  </r>
  <r>
    <x v="448"/>
    <s v="Validé"/>
    <d v="2026-01-28T00:00:00"/>
    <d v="1899-12-30T15:55:06"/>
    <s v="Ndane DIOUF"/>
    <s v="ndanegeometre90@gmail.com"/>
    <s v="Fournisseurs et Prestataires locaux"/>
    <s v="Sénégal"/>
  </r>
  <r>
    <x v="449"/>
    <s v="Validé"/>
    <d v="2026-01-28T00:00:00"/>
    <d v="1899-12-30T14:47:23"/>
    <s v="Modou Gueye"/>
    <s v="modou@sgf.sn"/>
    <s v="Fournisseurs et Prestataires locaux"/>
    <s v="Sénégal"/>
  </r>
  <r>
    <x v="450"/>
    <s v="Validé"/>
    <d v="2026-01-28T00:00:00"/>
    <d v="1899-12-30T10:32:54"/>
    <s v="CHEIKH AHMET TIDIANE CISSE"/>
    <s v="tidiane.cisse@petowal.com"/>
    <s v="Sociétés minières ou Cimenteries"/>
    <s v="Sénégal"/>
  </r>
  <r>
    <x v="451"/>
    <s v="Validé"/>
    <d v="2026-02-28T00:00:00"/>
    <d v="1899-12-30T20:46:55"/>
    <s v="CISSE ABLAYE"/>
    <s v="diokinecisse.construction@gmail.com"/>
    <s v="Fournisseurs et Prestataires locaux"/>
    <s v="Sénégal"/>
  </r>
  <r>
    <x v="452"/>
    <s v="Validé"/>
    <d v="2026-03-28T00:00:00"/>
    <d v="1899-12-30T21:34:04"/>
    <s v="Ndioro NDIAYE"/>
    <s v="ndioro.ndiaye@senbiochimie.com"/>
    <s v="Fournisseurs et Prestataires locaux"/>
    <s v="Sénégal"/>
  </r>
  <r>
    <x v="453"/>
    <s v="Validé"/>
    <d v="2025-04-28T00:00:00"/>
    <d v="1899-12-30T17:04:11"/>
    <s v="Aliou Sene"/>
    <s v="gcmpaliou@gmail.com"/>
    <s v="Fournisseurs et Prestataires locaux"/>
    <s v="Sénégal"/>
  </r>
  <r>
    <x v="454"/>
    <s v="Validé"/>
    <d v="2026-04-28T00:00:00"/>
    <d v="1899-12-30T15:07:33"/>
    <s v="Roel te Braake"/>
    <s v="r.tebraake@snijder.nl"/>
    <s v="Fournisseurs et Prestataires étrangers"/>
    <s v="Pays-Bas"/>
  </r>
  <r>
    <x v="455"/>
    <s v="Validé"/>
    <d v="2026-04-28T00:00:00"/>
    <d v="1899-12-30T07:04:27"/>
    <s v="Mark McLaskey"/>
    <s v="mark.mclaskey@amsgh.com"/>
    <s v="Sous-traitants"/>
    <s v="Sénégal"/>
  </r>
  <r>
    <x v="456"/>
    <s v="Validé"/>
    <d v="2026-04-28T00:00:00"/>
    <d v="1899-12-30T17:20:55"/>
    <s v="Illo Ndoye"/>
    <s v="illo.ndoye@fbr-transports.com"/>
    <s v="Fournisseurs et Prestataires locaux"/>
    <s v="Sénégal"/>
  </r>
  <r>
    <x v="457"/>
    <s v="Validé"/>
    <d v="2026-04-28T00:00:00"/>
    <d v="1899-12-30T15:48:40"/>
    <s v="KHOUDIEDJI  SOUMARE"/>
    <s v="khoudiedji.soumare@erium.com"/>
    <s v="Fournisseurs et Prestataires de droit sénégalais"/>
    <s v="Sénégal"/>
  </r>
  <r>
    <x v="458"/>
    <s v="Validé"/>
    <d v="2026-04-28T00:00:00"/>
    <d v="1899-12-30T10:54:26"/>
    <s v="Birame  FALL"/>
    <s v="birame.fall@dangote.com"/>
    <s v="Sociétés minières ou Cimenteries"/>
    <s v="Sénégal"/>
  </r>
  <r>
    <x v="459"/>
    <s v="Validé"/>
    <d v="2025-10-28T00:00:00"/>
    <d v="1899-12-30T10:46:17"/>
    <s v="Mamadou Malal  Kane"/>
    <s v="logistiquemhk@gmail.com"/>
    <s v="Fournisseurs et Prestataires locaux"/>
    <s v="Sénégal"/>
  </r>
  <r>
    <x v="460"/>
    <s v="Validé"/>
    <d v="2026-01-29T00:00:00"/>
    <d v="1899-12-30T07:49:52"/>
    <s v="Abdoulaye Badara FAYE"/>
    <s v="bfaye@infogeo-senegal.com"/>
    <s v="Fournisseurs et Prestataires locaux"/>
    <s v="Sénégal"/>
  </r>
  <r>
    <x v="461"/>
    <s v="Validé"/>
    <d v="2026-01-29T00:00:00"/>
    <d v="1899-12-30T15:30:32"/>
    <s v="Mathieu Youga Thiaw"/>
    <s v="mathieu.thiaw@africalubeservices.com"/>
    <s v="Fournisseurs et Prestataires locaux"/>
    <s v="Sénégal"/>
  </r>
  <r>
    <x v="462"/>
    <s v="Validé"/>
    <d v="2026-01-29T00:00:00"/>
    <d v="1899-12-30T11:51:41"/>
    <s v="Amadou Khaïta Diagne"/>
    <s v="amadou@toubatravauxpublics.com"/>
    <s v="Fournisseurs et Prestataires locaux"/>
    <s v="Sénégal"/>
  </r>
  <r>
    <x v="463"/>
    <s v="Validé"/>
    <d v="2026-01-29T00:00:00"/>
    <d v="1899-12-30T17:02:42"/>
    <s v="Khalifa Abdoul Aziz  NIANG"/>
    <s v="proplus.senegal@gmail.com"/>
    <s v="Fournisseurs et Prestataires locaux"/>
    <s v="Sénégal"/>
  </r>
  <r>
    <x v="464"/>
    <s v="Validé"/>
    <d v="2026-04-29T00:00:00"/>
    <d v="1899-12-30T13:35:37"/>
    <s v="Kevin Aveline"/>
    <s v="kevin.aveline@aec-energyservices.com"/>
    <s v="Fournisseurs et Prestataires étrangers"/>
    <s v="France"/>
  </r>
  <r>
    <x v="465"/>
    <s v="Validé"/>
    <d v="2026-04-29T00:00:00"/>
    <d v="1899-12-30T16:36:30"/>
    <s v="Mamadou Lamine KAGNY"/>
    <s v="kagny.lamine@kekendoafricapoly.com"/>
    <s v="Sous-traitants"/>
    <s v="Sénégal"/>
  </r>
  <r>
    <x v="466"/>
    <s v="Validé"/>
    <d v="2026-04-29T00:00:00"/>
    <d v="1899-12-30T13:37:18"/>
    <s v="Moussa Diene"/>
    <s v="mdiene@gmail.com"/>
    <s v="Sociétés minières ou Cimenteries"/>
    <s v="Sénégal"/>
  </r>
  <r>
    <x v="467"/>
    <s v="Validé"/>
    <d v="2026-06-29T00:00:00"/>
    <d v="1899-12-30T18:52:04"/>
    <s v="Bertrand Kafando"/>
    <s v="bkafando@maxamcorp.com"/>
    <s v="Fournisseurs et Prestataires de droit sénégalais"/>
    <s v="Sénégal"/>
  </r>
  <r>
    <x v="468"/>
    <s v="Validé"/>
    <d v="2026-06-29T00:00:00"/>
    <d v="1899-12-30T18:15:21"/>
    <s v="DIE SENE"/>
    <s v="die-sene.paye@totalenergies.com"/>
    <s v="Fournisseurs et Prestataires de droit sénégalais"/>
    <s v="Sénégal"/>
  </r>
  <r>
    <x v="469"/>
    <s v="Validé"/>
    <d v="2026-06-29T00:00:00"/>
    <d v="1899-12-30T09:51:00"/>
    <s v="SOULEYMANE KANE"/>
    <s v="etsyollisopnabi@gmail.com"/>
    <s v="Fournisseurs et Prestataires locaux"/>
    <s v="Sénégal"/>
  </r>
  <r>
    <x v="470"/>
    <s v="Validé"/>
    <d v="2025-12-29T00:00:00"/>
    <d v="1899-12-30T10:33:49"/>
    <s v="PAUL DIOP"/>
    <s v="gieisothermi2@gmail.com"/>
    <s v="Fournisseurs et prestataires locaux (GPF ou GIE)"/>
    <s v="Sénégal"/>
  </r>
  <r>
    <x v="471"/>
    <s v="Validé"/>
    <d v="2026-01-30T00:00:00"/>
    <d v="1899-12-30T12:10:46"/>
    <s v="Alassane   DIAGNE "/>
    <s v="alassane.diagne@groupegtx.com"/>
    <s v="Fournisseurs et Prestataires locaux"/>
    <s v="Sénégal"/>
  </r>
  <r>
    <x v="472"/>
    <s v="Validé"/>
    <d v="2026-03-30T00:00:00"/>
    <d v="1899-12-30T16:12:42"/>
    <s v="Laurent PHILIPPON"/>
    <s v="l.philippon@douaisis.com"/>
    <s v="Fournisseurs et Prestataires étrangers"/>
    <s v="France"/>
  </r>
  <r>
    <x v="473"/>
    <s v="Validé"/>
    <d v="2026-03-30T00:00:00"/>
    <d v="1899-12-30T09:14:50"/>
    <s v="Hyacinthe SAMBOU"/>
    <s v="hyacinthe.sambou@fuelex.sn"/>
    <s v="Fournisseurs et Prestataires locaux"/>
    <s v="Sénégal"/>
  </r>
  <r>
    <x v="474"/>
    <s v="Validé"/>
    <d v="2026-03-30T00:00:00"/>
    <d v="1899-12-30T13:00:28"/>
    <s v="Carole Maria MBENGUE"/>
    <s v="carolemaria.mbengue@3mdenergy.com"/>
    <s v="Fournisseurs et Prestataires locaux"/>
    <s v="Sénégal"/>
  </r>
  <r>
    <x v="475"/>
    <s v="Validé"/>
    <d v="2026-04-30T00:00:00"/>
    <d v="1899-12-30T12:13:46"/>
    <s v="Mohamed El Habib Sow"/>
    <s v="habib.sow@outlook.com"/>
    <s v="Fournisseurs et Prestataires locaux"/>
    <s v="Sénégal"/>
  </r>
  <r>
    <x v="476"/>
    <s v="Validé"/>
    <d v="2026-04-30T00:00:00"/>
    <d v="1899-12-30T15:54:17"/>
    <s v="FABIENNE DIOUF"/>
    <s v="boclogisticssarl@outlook.com"/>
    <s v="Fournisseurs et Prestataires locaux"/>
    <s v="Sénégal"/>
  </r>
  <r>
    <x v="477"/>
    <s v="Validé"/>
    <d v="2026-04-30T00:00:00"/>
    <d v="1899-12-30T18:43:05"/>
    <s v="Bassim Hachem"/>
    <s v="azservicessarl@gmail.com"/>
    <s v="Sociétés minières ou Cimenteries"/>
    <s v="Sénégal"/>
  </r>
  <r>
    <x v="478"/>
    <s v="Validé"/>
    <d v="2026-04-30T00:00:00"/>
    <d v="1899-12-30T11:28:36"/>
    <s v="babacar gueye"/>
    <s v="acctthies@gmail.com"/>
    <s v="Fournisseurs et Prestataires locaux"/>
    <s v="Sénégal"/>
  </r>
  <r>
    <x v="479"/>
    <s v="Validé"/>
    <d v="2026-05-30T00:00:00"/>
    <d v="1899-12-30T10:41:37"/>
    <s v="Barma fall Kocc"/>
    <s v="koccbarmafalldiogo@gmail.com"/>
    <s v="Fournisseurs et Prestataires locaux"/>
    <s v="Sénégal"/>
  </r>
  <r>
    <x v="480"/>
    <s v="Validé"/>
    <d v="2026-06-30T00:00:00"/>
    <d v="1899-12-30T10:13:22"/>
    <s v="ROBERT PONZIO"/>
    <s v="b.diallo@geoaxisminingsolutions.com"/>
    <s v="Sous-traitants"/>
    <s v="Sénégal"/>
  </r>
  <r>
    <x v="481"/>
    <s v="Validé"/>
    <d v="2026-03-31T00:00:00"/>
    <d v="1899-12-30T13:23:34"/>
    <s v="Miguel Epifânio"/>
    <s v="miguel.epifanio@lapp.com"/>
    <s v="Fournisseurs et Prestataires étrangers"/>
    <s v="Portugal"/>
  </r>
  <r>
    <x v="482"/>
    <s v="Validé"/>
    <d v="2026-03-31T00:00:00"/>
    <d v="1899-12-30T12:24:37"/>
    <s v="ASSANE DIENG"/>
    <s v="otisgroupsen@gmail.com"/>
    <s v="Fournisseurs et Prestataires locaux"/>
    <s v="Sénég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96262-2E99-4F95-BB0F-CF553856D737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K39:L44" firstHeaderRow="1" firstDataRow="1" firstDataCol="1"/>
  <pivotFields count="11">
    <pivotField dataField="1" showAll="0"/>
    <pivotField showAll="0"/>
    <pivotField numFmtId="14" showAll="0">
      <items count="218">
        <item x="165"/>
        <item x="158"/>
        <item x="42"/>
        <item x="73"/>
        <item x="153"/>
        <item x="51"/>
        <item x="184"/>
        <item x="63"/>
        <item x="102"/>
        <item x="53"/>
        <item x="140"/>
        <item x="193"/>
        <item x="149"/>
        <item x="187"/>
        <item x="97"/>
        <item x="174"/>
        <item x="204"/>
        <item x="134"/>
        <item x="168"/>
        <item x="16"/>
        <item x="75"/>
        <item x="91"/>
        <item x="18"/>
        <item x="61"/>
        <item x="77"/>
        <item x="100"/>
        <item x="116"/>
        <item x="128"/>
        <item x="138"/>
        <item x="10"/>
        <item x="64"/>
        <item x="84"/>
        <item x="139"/>
        <item x="171"/>
        <item x="20"/>
        <item x="65"/>
        <item x="94"/>
        <item x="109"/>
        <item x="206"/>
        <item x="54"/>
        <item x="110"/>
        <item x="156"/>
        <item x="194"/>
        <item x="200"/>
        <item x="21"/>
        <item x="32"/>
        <item x="55"/>
        <item x="66"/>
        <item x="85"/>
        <item x="103"/>
        <item x="118"/>
        <item x="129"/>
        <item x="141"/>
        <item x="162"/>
        <item x="185"/>
        <item x="210"/>
        <item x="4"/>
        <item x="11"/>
        <item x="27"/>
        <item x="33"/>
        <item x="38"/>
        <item x="45"/>
        <item x="56"/>
        <item x="78"/>
        <item x="86"/>
        <item x="95"/>
        <item x="104"/>
        <item x="111"/>
        <item x="130"/>
        <item x="142"/>
        <item x="150"/>
        <item x="157"/>
        <item x="163"/>
        <item x="172"/>
        <item x="179"/>
        <item x="186"/>
        <item x="195"/>
        <item x="201"/>
        <item x="207"/>
        <item x="211"/>
        <item x="5"/>
        <item x="12"/>
        <item x="22"/>
        <item x="28"/>
        <item x="34"/>
        <item x="39"/>
        <item x="46"/>
        <item x="57"/>
        <item x="67"/>
        <item x="79"/>
        <item x="87"/>
        <item x="96"/>
        <item x="112"/>
        <item x="119"/>
        <item x="124"/>
        <item x="131"/>
        <item x="143"/>
        <item x="151"/>
        <item x="164"/>
        <item x="173"/>
        <item x="180"/>
        <item x="188"/>
        <item x="196"/>
        <item x="202"/>
        <item x="6"/>
        <item x="13"/>
        <item x="23"/>
        <item x="29"/>
        <item x="40"/>
        <item x="47"/>
        <item x="58"/>
        <item x="72"/>
        <item x="80"/>
        <item x="88"/>
        <item x="98"/>
        <item x="113"/>
        <item x="120"/>
        <item x="125"/>
        <item x="132"/>
        <item x="144"/>
        <item x="166"/>
        <item x="175"/>
        <item x="181"/>
        <item x="189"/>
        <item x="197"/>
        <item x="203"/>
        <item x="212"/>
        <item x="216"/>
        <item x="0"/>
        <item x="14"/>
        <item x="24"/>
        <item x="41"/>
        <item x="48"/>
        <item x="59"/>
        <item x="68"/>
        <item x="81"/>
        <item x="89"/>
        <item x="99"/>
        <item x="105"/>
        <item x="114"/>
        <item x="121"/>
        <item x="133"/>
        <item x="145"/>
        <item x="152"/>
        <item x="159"/>
        <item x="167"/>
        <item x="176"/>
        <item x="182"/>
        <item x="190"/>
        <item x="198"/>
        <item x="205"/>
        <item x="208"/>
        <item x="213"/>
        <item x="1"/>
        <item x="7"/>
        <item x="15"/>
        <item x="25"/>
        <item x="30"/>
        <item x="35"/>
        <item x="43"/>
        <item x="49"/>
        <item x="69"/>
        <item x="74"/>
        <item x="82"/>
        <item x="90"/>
        <item x="106"/>
        <item x="126"/>
        <item x="135"/>
        <item x="146"/>
        <item x="154"/>
        <item x="160"/>
        <item x="169"/>
        <item x="177"/>
        <item x="191"/>
        <item x="199"/>
        <item x="214"/>
        <item x="2"/>
        <item x="8"/>
        <item x="17"/>
        <item x="26"/>
        <item x="31"/>
        <item x="36"/>
        <item x="50"/>
        <item x="60"/>
        <item x="70"/>
        <item x="76"/>
        <item x="83"/>
        <item x="92"/>
        <item x="107"/>
        <item x="115"/>
        <item x="122"/>
        <item x="127"/>
        <item x="136"/>
        <item x="147"/>
        <item x="161"/>
        <item x="170"/>
        <item x="178"/>
        <item x="183"/>
        <item x="192"/>
        <item x="209"/>
        <item x="215"/>
        <item x="3"/>
        <item x="9"/>
        <item x="19"/>
        <item x="37"/>
        <item x="44"/>
        <item x="52"/>
        <item x="62"/>
        <item x="71"/>
        <item x="93"/>
        <item x="101"/>
        <item x="108"/>
        <item x="117"/>
        <item x="123"/>
        <item x="137"/>
        <item x="148"/>
        <item x="155"/>
        <item t="default"/>
      </items>
    </pivotField>
    <pivotField numFmtId="21"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Entreprise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1CB37-4649-45F5-9C12-2A49A664C7F4}" name="Tableau croisé dynamique1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L60:M90" firstHeaderRow="1" firstDataRow="1" firstDataCol="1"/>
  <pivotFields count="11">
    <pivotField dataField="1" showAll="0"/>
    <pivotField showAll="0"/>
    <pivotField numFmtId="14" showAll="0">
      <items count="218">
        <item x="165"/>
        <item x="158"/>
        <item x="42"/>
        <item x="73"/>
        <item x="153"/>
        <item x="51"/>
        <item x="184"/>
        <item x="63"/>
        <item x="102"/>
        <item x="53"/>
        <item x="140"/>
        <item x="193"/>
        <item x="149"/>
        <item x="187"/>
        <item x="97"/>
        <item x="174"/>
        <item x="204"/>
        <item x="134"/>
        <item x="168"/>
        <item x="16"/>
        <item x="75"/>
        <item x="91"/>
        <item x="18"/>
        <item x="61"/>
        <item x="77"/>
        <item x="100"/>
        <item x="116"/>
        <item x="128"/>
        <item x="138"/>
        <item x="10"/>
        <item x="64"/>
        <item x="84"/>
        <item x="139"/>
        <item x="171"/>
        <item x="20"/>
        <item x="65"/>
        <item x="94"/>
        <item x="109"/>
        <item x="206"/>
        <item x="54"/>
        <item x="110"/>
        <item x="156"/>
        <item x="194"/>
        <item x="200"/>
        <item x="21"/>
        <item x="32"/>
        <item x="55"/>
        <item x="66"/>
        <item x="85"/>
        <item x="103"/>
        <item x="118"/>
        <item x="129"/>
        <item x="141"/>
        <item x="162"/>
        <item x="185"/>
        <item x="210"/>
        <item x="4"/>
        <item x="11"/>
        <item x="27"/>
        <item x="33"/>
        <item x="38"/>
        <item x="45"/>
        <item x="56"/>
        <item x="78"/>
        <item x="86"/>
        <item x="95"/>
        <item x="104"/>
        <item x="111"/>
        <item x="130"/>
        <item x="142"/>
        <item x="150"/>
        <item x="157"/>
        <item x="163"/>
        <item x="172"/>
        <item x="179"/>
        <item x="186"/>
        <item x="195"/>
        <item x="201"/>
        <item x="207"/>
        <item x="211"/>
        <item x="5"/>
        <item x="12"/>
        <item x="22"/>
        <item x="28"/>
        <item x="34"/>
        <item x="39"/>
        <item x="46"/>
        <item x="57"/>
        <item x="67"/>
        <item x="79"/>
        <item x="87"/>
        <item x="96"/>
        <item x="112"/>
        <item x="119"/>
        <item x="124"/>
        <item x="131"/>
        <item x="143"/>
        <item x="151"/>
        <item x="164"/>
        <item x="173"/>
        <item x="180"/>
        <item x="188"/>
        <item x="196"/>
        <item x="202"/>
        <item x="6"/>
        <item x="13"/>
        <item x="23"/>
        <item x="29"/>
        <item x="40"/>
        <item x="47"/>
        <item x="58"/>
        <item x="72"/>
        <item x="80"/>
        <item x="88"/>
        <item x="98"/>
        <item x="113"/>
        <item x="120"/>
        <item x="125"/>
        <item x="132"/>
        <item x="144"/>
        <item x="166"/>
        <item x="175"/>
        <item x="181"/>
        <item x="189"/>
        <item x="197"/>
        <item x="203"/>
        <item x="212"/>
        <item x="216"/>
        <item x="0"/>
        <item x="14"/>
        <item x="24"/>
        <item x="41"/>
        <item x="48"/>
        <item x="59"/>
        <item x="68"/>
        <item x="81"/>
        <item x="89"/>
        <item x="99"/>
        <item x="105"/>
        <item x="114"/>
        <item x="121"/>
        <item x="133"/>
        <item x="145"/>
        <item x="152"/>
        <item x="159"/>
        <item x="167"/>
        <item x="176"/>
        <item x="182"/>
        <item x="190"/>
        <item x="198"/>
        <item x="205"/>
        <item x="208"/>
        <item x="213"/>
        <item x="1"/>
        <item x="7"/>
        <item x="15"/>
        <item x="25"/>
        <item x="30"/>
        <item x="35"/>
        <item x="43"/>
        <item x="49"/>
        <item x="69"/>
        <item x="74"/>
        <item x="82"/>
        <item x="90"/>
        <item x="106"/>
        <item x="126"/>
        <item x="135"/>
        <item x="146"/>
        <item x="154"/>
        <item x="160"/>
        <item x="169"/>
        <item x="177"/>
        <item x="191"/>
        <item x="199"/>
        <item x="214"/>
        <item x="2"/>
        <item x="8"/>
        <item x="17"/>
        <item x="26"/>
        <item x="31"/>
        <item x="36"/>
        <item x="50"/>
        <item x="60"/>
        <item x="70"/>
        <item x="76"/>
        <item x="83"/>
        <item x="92"/>
        <item x="107"/>
        <item x="115"/>
        <item x="122"/>
        <item x="127"/>
        <item x="136"/>
        <item x="147"/>
        <item x="161"/>
        <item x="170"/>
        <item x="178"/>
        <item x="183"/>
        <item x="192"/>
        <item x="209"/>
        <item x="215"/>
        <item x="3"/>
        <item x="9"/>
        <item x="19"/>
        <item x="37"/>
        <item x="44"/>
        <item x="52"/>
        <item x="62"/>
        <item x="71"/>
        <item x="93"/>
        <item x="101"/>
        <item x="108"/>
        <item x="117"/>
        <item x="123"/>
        <item x="137"/>
        <item x="148"/>
        <item x="155"/>
        <item t="default"/>
      </items>
    </pivotField>
    <pivotField numFmtId="21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x="1"/>
        <item x="2"/>
        <item x="3"/>
        <item sd="0" x="4"/>
      </items>
    </pivotField>
  </pivotFields>
  <rowFields count="2">
    <field x="10"/>
    <field x="8"/>
  </rowFields>
  <rowItems count="30">
    <i>
      <x v="1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2"/>
    </i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Nombre de Entrepris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80428-9246-4271-9981-72A7029BC311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N15:O23" firstHeaderRow="1" firstDataRow="1" firstDataCol="1" rowPageCount="1" colPageCount="1"/>
  <pivotFields count="7">
    <pivotField dataField="1" showAll="0"/>
    <pivotField showAll="0"/>
    <pivotField axis="axisPage" showAll="0">
      <items count="486">
        <item x="247"/>
        <item x="233"/>
        <item x="152"/>
        <item x="184"/>
        <item x="119"/>
        <item x="102"/>
        <item x="118"/>
        <item x="104"/>
        <item x="91"/>
        <item x="81"/>
        <item x="70"/>
        <item x="114"/>
        <item x="23"/>
        <item x="469"/>
        <item x="393"/>
        <item x="399"/>
        <item x="290"/>
        <item x="312"/>
        <item x="319"/>
        <item x="183"/>
        <item x="112"/>
        <item x="111"/>
        <item x="110"/>
        <item x="94"/>
        <item x="45"/>
        <item x="43"/>
        <item x="444"/>
        <item x="404"/>
        <item x="370"/>
        <item x="286"/>
        <item x="314"/>
        <item x="266"/>
        <item x="296"/>
        <item x="289"/>
        <item x="268"/>
        <item x="239"/>
        <item x="182"/>
        <item x="443"/>
        <item x="108"/>
        <item x="53"/>
        <item x="39"/>
        <item x="40"/>
        <item x="302"/>
        <item x="381"/>
        <item x="392"/>
        <item x="391"/>
        <item x="388"/>
        <item x="375"/>
        <item x="315"/>
        <item x="308"/>
        <item x="238"/>
        <item x="175"/>
        <item x="148"/>
        <item x="86"/>
        <item x="471"/>
        <item x="333"/>
        <item x="470"/>
        <item x="460"/>
        <item x="466"/>
        <item x="458"/>
        <item x="372"/>
        <item x="387"/>
        <item x="386"/>
        <item x="173"/>
        <item x="303"/>
        <item x="283"/>
        <item x="151"/>
        <item x="181"/>
        <item x="135"/>
        <item x="163"/>
        <item x="98"/>
        <item x="97"/>
        <item x="96"/>
        <item x="50"/>
        <item x="461"/>
        <item x="409"/>
        <item x="462"/>
        <item x="364"/>
        <item x="139"/>
        <item x="358"/>
        <item x="367"/>
        <item x="382"/>
        <item x="164"/>
        <item x="157"/>
        <item x="120"/>
        <item x="60"/>
        <item x="21"/>
        <item x="468"/>
        <item x="463"/>
        <item x="448"/>
        <item x="417"/>
        <item x="379"/>
        <item x="300"/>
        <item x="234"/>
        <item x="188"/>
        <item x="235"/>
        <item x="213"/>
        <item x="269"/>
        <item x="177"/>
        <item x="179"/>
        <item x="178"/>
        <item x="37"/>
        <item x="36"/>
        <item x="445"/>
        <item x="459"/>
        <item x="376"/>
        <item x="310"/>
        <item x="226"/>
        <item x="165"/>
        <item x="174"/>
        <item x="171"/>
        <item x="93"/>
        <item x="92"/>
        <item x="311"/>
        <item x="32"/>
        <item x="31"/>
        <item x="33"/>
        <item x="481"/>
        <item x="431"/>
        <item x="378"/>
        <item x="394"/>
        <item x="256"/>
        <item x="455"/>
        <item x="362"/>
        <item x="366"/>
        <item x="106"/>
        <item x="365"/>
        <item x="291"/>
        <item x="305"/>
        <item x="304"/>
        <item x="232"/>
        <item x="229"/>
        <item x="79"/>
        <item x="69"/>
        <item x="68"/>
        <item x="8"/>
        <item x="26"/>
        <item x="236"/>
        <item x="274"/>
        <item x="155"/>
        <item x="465"/>
        <item x="467"/>
        <item x="336"/>
        <item x="355"/>
        <item x="231"/>
        <item x="208"/>
        <item x="158"/>
        <item x="149"/>
        <item x="44"/>
        <item x="89"/>
        <item x="28"/>
        <item x="301"/>
        <item x="240"/>
        <item x="294"/>
        <item x="482"/>
        <item x="166"/>
        <item x="170"/>
        <item x="55"/>
        <item x="136"/>
        <item x="169"/>
        <item x="168"/>
        <item x="65"/>
        <item x="82"/>
        <item x="217"/>
        <item x="436"/>
        <item x="418"/>
        <item x="439"/>
        <item x="451"/>
        <item x="344"/>
        <item x="361"/>
        <item x="272"/>
        <item x="339"/>
        <item x="297"/>
        <item x="292"/>
        <item x="299"/>
        <item x="270"/>
        <item x="287"/>
        <item x="195"/>
        <item x="156"/>
        <item x="161"/>
        <item x="1"/>
        <item x="17"/>
        <item x="56"/>
        <item x="42"/>
        <item x="221"/>
        <item x="473"/>
        <item x="437"/>
        <item x="477"/>
        <item x="450"/>
        <item x="446"/>
        <item x="457"/>
        <item x="454"/>
        <item x="456"/>
        <item x="244"/>
        <item x="356"/>
        <item x="281"/>
        <item x="348"/>
        <item x="282"/>
        <item x="295"/>
        <item x="212"/>
        <item x="227"/>
        <item x="150"/>
        <item x="122"/>
        <item x="137"/>
        <item x="209"/>
        <item x="83"/>
        <item x="25"/>
        <item x="18"/>
        <item x="16"/>
        <item x="478"/>
        <item x="430"/>
        <item x="453"/>
        <item x="396"/>
        <item x="360"/>
        <item x="27"/>
        <item x="223"/>
        <item x="214"/>
        <item x="224"/>
        <item x="385"/>
        <item x="5"/>
        <item x="480"/>
        <item x="484"/>
        <item x="380"/>
        <item x="201"/>
        <item x="222"/>
        <item x="80"/>
        <item x="105"/>
        <item x="133"/>
        <item x="85"/>
        <item x="38"/>
        <item x="15"/>
        <item x="14"/>
        <item x="13"/>
        <item x="426"/>
        <item x="317"/>
        <item x="434"/>
        <item x="428"/>
        <item x="447"/>
        <item x="435"/>
        <item x="384"/>
        <item x="347"/>
        <item x="357"/>
        <item x="285"/>
        <item x="206"/>
        <item x="309"/>
        <item x="279"/>
        <item x="196"/>
        <item x="245"/>
        <item x="249"/>
        <item x="278"/>
        <item x="176"/>
        <item x="219"/>
        <item x="218"/>
        <item x="84"/>
        <item x="71"/>
        <item x="78"/>
        <item x="74"/>
        <item x="253"/>
        <item x="12"/>
        <item x="11"/>
        <item x="9"/>
        <item x="474"/>
        <item x="338"/>
        <item x="354"/>
        <item x="352"/>
        <item x="276"/>
        <item x="138"/>
        <item x="72"/>
        <item x="77"/>
        <item x="76"/>
        <item x="10"/>
        <item x="7"/>
        <item x="331"/>
        <item x="257"/>
        <item x="334"/>
        <item x="277"/>
        <item x="275"/>
        <item x="146"/>
        <item x="145"/>
        <item x="144"/>
        <item x="75"/>
        <item x="48"/>
        <item x="67"/>
        <item x="483"/>
        <item x="433"/>
        <item x="318"/>
        <item x="343"/>
        <item x="351"/>
        <item x="326"/>
        <item x="230"/>
        <item x="273"/>
        <item x="271"/>
        <item x="216"/>
        <item x="452"/>
        <item x="142"/>
        <item x="129"/>
        <item x="87"/>
        <item x="100"/>
        <item x="143"/>
        <item x="73"/>
        <item x="4"/>
        <item x="167"/>
        <item x="432"/>
        <item x="475"/>
        <item x="30"/>
        <item x="438"/>
        <item x="427"/>
        <item x="346"/>
        <item x="424"/>
        <item x="423"/>
        <item x="313"/>
        <item x="349"/>
        <item x="29"/>
        <item x="228"/>
        <item x="215"/>
        <item x="207"/>
        <item x="141"/>
        <item x="128"/>
        <item x="134"/>
        <item x="95"/>
        <item x="131"/>
        <item x="116"/>
        <item x="66"/>
        <item x="54"/>
        <item x="6"/>
        <item x="2"/>
        <item x="3"/>
        <item x="220"/>
        <item x="353"/>
        <item x="429"/>
        <item x="408"/>
        <item x="422"/>
        <item x="350"/>
        <item x="159"/>
        <item x="476"/>
        <item x="130"/>
        <item x="121"/>
        <item x="99"/>
        <item x="123"/>
        <item x="113"/>
        <item x="0"/>
        <item x="198"/>
        <item x="280"/>
        <item x="373"/>
        <item x="442"/>
        <item x="398"/>
        <item x="412"/>
        <item x="440"/>
        <item x="441"/>
        <item x="342"/>
        <item x="147"/>
        <item x="211"/>
        <item x="107"/>
        <item x="115"/>
        <item x="34"/>
        <item x="58"/>
        <item x="368"/>
        <item x="421"/>
        <item x="327"/>
        <item x="341"/>
        <item x="325"/>
        <item x="340"/>
        <item x="335"/>
        <item x="449"/>
        <item x="225"/>
        <item x="255"/>
        <item x="109"/>
        <item x="189"/>
        <item x="284"/>
        <item x="127"/>
        <item x="49"/>
        <item x="180"/>
        <item x="420"/>
        <item x="337"/>
        <item x="330"/>
        <item x="307"/>
        <item x="298"/>
        <item x="242"/>
        <item x="210"/>
        <item x="258"/>
        <item x="205"/>
        <item x="197"/>
        <item x="204"/>
        <item x="126"/>
        <item x="24"/>
        <item x="57"/>
        <item x="64"/>
        <item x="59"/>
        <item x="410"/>
        <item x="419"/>
        <item x="397"/>
        <item x="329"/>
        <item x="321"/>
        <item x="332"/>
        <item x="306"/>
        <item x="322"/>
        <item x="328"/>
        <item x="243"/>
        <item x="259"/>
        <item x="265"/>
        <item x="203"/>
        <item x="61"/>
        <item x="35"/>
        <item x="63"/>
        <item x="62"/>
        <item x="52"/>
        <item x="251"/>
        <item x="359"/>
        <item x="472"/>
        <item x="425"/>
        <item x="395"/>
        <item x="371"/>
        <item x="363"/>
        <item x="288"/>
        <item x="323"/>
        <item x="267"/>
        <item x="293"/>
        <item x="154"/>
        <item x="140"/>
        <item x="160"/>
        <item x="248"/>
        <item x="202"/>
        <item x="90"/>
        <item x="125"/>
        <item x="19"/>
        <item x="479"/>
        <item x="414"/>
        <item x="345"/>
        <item x="413"/>
        <item x="383"/>
        <item x="415"/>
        <item x="377"/>
        <item x="316"/>
        <item x="172"/>
        <item x="264"/>
        <item x="263"/>
        <item x="252"/>
        <item x="262"/>
        <item x="254"/>
        <item x="261"/>
        <item x="193"/>
        <item x="194"/>
        <item x="124"/>
        <item x="117"/>
        <item x="88"/>
        <item x="401"/>
        <item x="416"/>
        <item x="369"/>
        <item x="400"/>
        <item x="411"/>
        <item x="402"/>
        <item x="403"/>
        <item x="390"/>
        <item x="320"/>
        <item x="260"/>
        <item x="324"/>
        <item x="162"/>
        <item x="199"/>
        <item x="153"/>
        <item x="192"/>
        <item x="191"/>
        <item x="101"/>
        <item x="389"/>
        <item x="406"/>
        <item x="405"/>
        <item x="407"/>
        <item x="20"/>
        <item x="190"/>
        <item x="187"/>
        <item x="51"/>
        <item x="41"/>
        <item x="22"/>
        <item x="464"/>
        <item x="374"/>
        <item x="241"/>
        <item x="250"/>
        <item x="200"/>
        <item x="186"/>
        <item x="46"/>
        <item x="132"/>
        <item x="185"/>
        <item x="103"/>
        <item x="47"/>
        <item x="246"/>
        <item x="237"/>
        <item t="default"/>
      </items>
    </pivotField>
    <pivotField showAll="0"/>
    <pivotField showAll="0"/>
    <pivotField axis="axisRow" showAll="0">
      <items count="8">
        <item x="4"/>
        <item x="0"/>
        <item x="3"/>
        <item x="1"/>
        <item x="5"/>
        <item x="6"/>
        <item x="2"/>
        <item t="default"/>
      </items>
    </pivotField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Nombre de Entreprise" fld="0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101B0-D6A0-42BE-A4DA-1DB343E42A6F}" name="Tableau croisé dynamique4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B18:AC502" firstHeaderRow="1" firstDataRow="1" firstDataCol="1"/>
  <pivotFields count="8">
    <pivotField axis="axisRow" dataField="1" showAll="0">
      <items count="484">
        <item x="118"/>
        <item x="93"/>
        <item x="474"/>
        <item x="117"/>
        <item x="154"/>
        <item x="225"/>
        <item x="220"/>
        <item x="478"/>
        <item x="20"/>
        <item x="31"/>
        <item x="41"/>
        <item x="369"/>
        <item x="47"/>
        <item x="425"/>
        <item x="222"/>
        <item x="166"/>
        <item x="461"/>
        <item x="337"/>
        <item x="407"/>
        <item x="397"/>
        <item x="455"/>
        <item x="28"/>
        <item x="204"/>
        <item x="18"/>
        <item x="141"/>
        <item x="70"/>
        <item x="208"/>
        <item x="4"/>
        <item x="102"/>
        <item x="172"/>
        <item x="436"/>
        <item x="346"/>
        <item x="339"/>
        <item x="419"/>
        <item x="49"/>
        <item x="153"/>
        <item x="168"/>
        <item x="345"/>
        <item x="293"/>
        <item x="303"/>
        <item x="441"/>
        <item x="477"/>
        <item x="138"/>
        <item x="400"/>
        <item x="17"/>
        <item x="39"/>
        <item x="280"/>
        <item x="214"/>
        <item x="255"/>
        <item x="392"/>
        <item x="375"/>
        <item x="106"/>
        <item x="251"/>
        <item x="242"/>
        <item x="265"/>
        <item x="284"/>
        <item x="368"/>
        <item x="8"/>
        <item x="316"/>
        <item x="320"/>
        <item x="273"/>
        <item x="62"/>
        <item x="447"/>
        <item x="476"/>
        <item x="259"/>
        <item x="110"/>
        <item x="161"/>
        <item x="99"/>
        <item x="229"/>
        <item x="103"/>
        <item x="95"/>
        <item x="207"/>
        <item x="158"/>
        <item x="308"/>
        <item x="274"/>
        <item x="318"/>
        <item x="228"/>
        <item x="1"/>
        <item x="3"/>
        <item x="414"/>
        <item x="91"/>
        <item x="65"/>
        <item x="384"/>
        <item x="333"/>
        <item x="206"/>
        <item x="394"/>
        <item x="445"/>
        <item x="359"/>
        <item x="162"/>
        <item x="13"/>
        <item x="151"/>
        <item x="150"/>
        <item x="223"/>
        <item x="76"/>
        <item x="299"/>
        <item x="34"/>
        <item x="304"/>
        <item x="139"/>
        <item x="351"/>
        <item x="421"/>
        <item x="406"/>
        <item x="48"/>
        <item x="203"/>
        <item x="178"/>
        <item x="216"/>
        <item x="458"/>
        <item x="403"/>
        <item x="349"/>
        <item x="344"/>
        <item x="136"/>
        <item x="11"/>
        <item x="283"/>
        <item x="410"/>
        <item x="294"/>
        <item x="97"/>
        <item x="253"/>
        <item x="288"/>
        <item x="212"/>
        <item x="84"/>
        <item x="16"/>
        <item x="311"/>
        <item x="472"/>
        <item x="332"/>
        <item x="219"/>
        <item x="113"/>
        <item x="45"/>
        <item x="360"/>
        <item x="237"/>
        <item x="46"/>
        <item x="77"/>
        <item x="246"/>
        <item x="231"/>
        <item x="250"/>
        <item x="415"/>
        <item x="33"/>
        <item x="446"/>
        <item x="240"/>
        <item x="409"/>
        <item x="173"/>
        <item x="247"/>
        <item x="434"/>
        <item x="354"/>
        <item x="7"/>
        <item x="252"/>
        <item x="104"/>
        <item x="241"/>
        <item x="193"/>
        <item x="444"/>
        <item x="324"/>
        <item x="371"/>
        <item x="179"/>
        <item x="108"/>
        <item x="315"/>
        <item x="199"/>
        <item x="451"/>
        <item x="243"/>
        <item x="365"/>
        <item x="386"/>
        <item x="401"/>
        <item x="268"/>
        <item x="187"/>
        <item x="262"/>
        <item x="258"/>
        <item x="457"/>
        <item x="79"/>
        <item x="398"/>
        <item x="2"/>
        <item x="307"/>
        <item x="322"/>
        <item x="340"/>
        <item x="456"/>
        <item x="195"/>
        <item x="261"/>
        <item x="271"/>
        <item x="473"/>
        <item x="325"/>
        <item x="432"/>
        <item x="278"/>
        <item x="96"/>
        <item x="67"/>
        <item x="282"/>
        <item x="144"/>
        <item x="453"/>
        <item x="426"/>
        <item x="236"/>
        <item x="480"/>
        <item x="358"/>
        <item x="52"/>
        <item x="295"/>
        <item x="171"/>
        <item x="267"/>
        <item x="227"/>
        <item x="470"/>
        <item x="430"/>
        <item x="264"/>
        <item x="341"/>
        <item x="309"/>
        <item x="277"/>
        <item x="224"/>
        <item x="377"/>
        <item x="167"/>
        <item x="326"/>
        <item x="239"/>
        <item x="471"/>
        <item x="396"/>
        <item x="393"/>
        <item x="128"/>
        <item x="469"/>
        <item x="448"/>
        <item x="301"/>
        <item x="209"/>
        <item x="125"/>
        <item x="124"/>
        <item x="417"/>
        <item x="310"/>
        <item x="69"/>
        <item x="188"/>
        <item x="143"/>
        <item x="235"/>
        <item x="245"/>
        <item x="100"/>
        <item x="30"/>
        <item x="442"/>
        <item x="460"/>
        <item x="418"/>
        <item x="165"/>
        <item x="388"/>
        <item x="189"/>
        <item x="353"/>
        <item x="112"/>
        <item x="196"/>
        <item x="357"/>
        <item x="373"/>
        <item x="372"/>
        <item x="383"/>
        <item x="335"/>
        <item x="185"/>
        <item x="159"/>
        <item x="266"/>
        <item x="184"/>
        <item x="338"/>
        <item x="465"/>
        <item x="155"/>
        <item x="202"/>
        <item x="381"/>
        <item x="156"/>
        <item x="35"/>
        <item x="479"/>
        <item x="186"/>
        <item x="270"/>
        <item x="64"/>
        <item x="120"/>
        <item x="402"/>
        <item x="404"/>
        <item x="481"/>
        <item x="191"/>
        <item x="94"/>
        <item x="78"/>
        <item x="275"/>
        <item x="115"/>
        <item x="88"/>
        <item x="27"/>
        <item x="423"/>
        <item x="58"/>
        <item x="374"/>
        <item x="121"/>
        <item x="249"/>
        <item x="87"/>
        <item x="427"/>
        <item x="317"/>
        <item x="408"/>
        <item x="279"/>
        <item x="313"/>
        <item x="438"/>
        <item x="147"/>
        <item x="467"/>
        <item x="190"/>
        <item x="98"/>
        <item x="23"/>
        <item x="14"/>
        <item x="140"/>
        <item x="149"/>
        <item x="244"/>
        <item x="475"/>
        <item x="127"/>
        <item x="431"/>
        <item x="5"/>
        <item x="72"/>
        <item x="210"/>
        <item x="327"/>
        <item x="459"/>
        <item x="137"/>
        <item x="285"/>
        <item x="0"/>
        <item x="276"/>
        <item x="390"/>
        <item x="205"/>
        <item x="289"/>
        <item x="164"/>
        <item x="379"/>
        <item x="405"/>
        <item x="192"/>
        <item x="26"/>
        <item x="170"/>
        <item x="238"/>
        <item x="422"/>
        <item x="215"/>
        <item x="107"/>
        <item x="197"/>
        <item x="234"/>
        <item x="482"/>
        <item x="218"/>
        <item x="330"/>
        <item x="376"/>
        <item x="37"/>
        <item x="439"/>
        <item x="80"/>
        <item x="60"/>
        <item x="450"/>
        <item x="194"/>
        <item x="382"/>
        <item x="413"/>
        <item x="152"/>
        <item x="105"/>
        <item x="53"/>
        <item x="82"/>
        <item x="463"/>
        <item x="201"/>
        <item x="43"/>
        <item x="176"/>
        <item x="175"/>
        <item x="92"/>
        <item x="12"/>
        <item x="347"/>
        <item x="131"/>
        <item x="157"/>
        <item x="385"/>
        <item x="395"/>
        <item x="257"/>
        <item x="21"/>
        <item x="116"/>
        <item x="40"/>
        <item x="272"/>
        <item x="298"/>
        <item x="233"/>
        <item x="355"/>
        <item x="32"/>
        <item x="44"/>
        <item x="350"/>
        <item x="66"/>
        <item x="296"/>
        <item x="260"/>
        <item x="22"/>
        <item x="387"/>
        <item x="256"/>
        <item x="302"/>
        <item x="433"/>
        <item x="290"/>
        <item x="314"/>
        <item x="305"/>
        <item x="367"/>
        <item x="36"/>
        <item x="177"/>
        <item x="129"/>
        <item x="217"/>
        <item x="370"/>
        <item x="464"/>
        <item x="123"/>
        <item x="306"/>
        <item x="55"/>
        <item x="323"/>
        <item x="145"/>
        <item x="59"/>
        <item x="169"/>
        <item x="348"/>
        <item x="312"/>
        <item x="254"/>
        <item x="331"/>
        <item x="366"/>
        <item x="452"/>
        <item x="101"/>
        <item x="226"/>
        <item x="321"/>
        <item x="9"/>
        <item x="6"/>
        <item x="83"/>
        <item x="181"/>
        <item x="399"/>
        <item x="180"/>
        <item x="24"/>
        <item x="292"/>
        <item x="449"/>
        <item x="15"/>
        <item x="230"/>
        <item x="119"/>
        <item x="232"/>
        <item x="435"/>
        <item x="352"/>
        <item x="29"/>
        <item x="111"/>
        <item x="126"/>
        <item x="10"/>
        <item x="437"/>
        <item x="269"/>
        <item x="130"/>
        <item x="389"/>
        <item x="56"/>
        <item x="454"/>
        <item x="213"/>
        <item x="42"/>
        <item x="71"/>
        <item x="466"/>
        <item x="25"/>
        <item x="75"/>
        <item x="429"/>
        <item x="428"/>
        <item x="440"/>
        <item x="380"/>
        <item x="412"/>
        <item x="300"/>
        <item x="86"/>
        <item x="73"/>
        <item x="263"/>
        <item x="200"/>
        <item x="362"/>
        <item x="135"/>
        <item x="248"/>
        <item x="319"/>
        <item x="391"/>
        <item x="19"/>
        <item x="61"/>
        <item x="160"/>
        <item x="211"/>
        <item x="81"/>
        <item x="287"/>
        <item x="85"/>
        <item x="90"/>
        <item x="420"/>
        <item x="286"/>
        <item x="142"/>
        <item x="297"/>
        <item x="281"/>
        <item x="343"/>
        <item x="51"/>
        <item x="174"/>
        <item x="221"/>
        <item x="183"/>
        <item x="133"/>
        <item x="109"/>
        <item x="424"/>
        <item x="74"/>
        <item x="378"/>
        <item x="148"/>
        <item x="163"/>
        <item x="336"/>
        <item x="328"/>
        <item x="468"/>
        <item x="329"/>
        <item x="462"/>
        <item x="356"/>
        <item x="411"/>
        <item x="114"/>
        <item x="38"/>
        <item x="63"/>
        <item x="57"/>
        <item x="198"/>
        <item x="443"/>
        <item x="361"/>
        <item x="122"/>
        <item x="363"/>
        <item x="364"/>
        <item x="68"/>
        <item x="416"/>
        <item x="50"/>
        <item x="132"/>
        <item x="182"/>
        <item x="89"/>
        <item x="291"/>
        <item x="334"/>
        <item x="54"/>
        <item x="342"/>
        <item x="146"/>
        <item x="134"/>
        <item t="default"/>
      </items>
    </pivotField>
    <pivotField showAll="0"/>
    <pivotField numFmtId="14" showAll="0"/>
    <pivotField numFmtId="21" showAll="0"/>
    <pivotField showAll="0"/>
    <pivotField showAll="0"/>
    <pivotField showAll="0"/>
    <pivotField showAll="0"/>
  </pivotFields>
  <rowFields count="1">
    <field x="0"/>
  </rowFields>
  <rowItems count="4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 t="grand">
      <x/>
    </i>
  </rowItems>
  <colItems count="1">
    <i/>
  </colItems>
  <dataFields count="1">
    <dataField name="Nombre de Entrepris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BA9FF-5188-446F-9F20-3F1EF0C785DD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K13:L17" firstHeaderRow="1" firstDataRow="1" firstDataCol="1"/>
  <pivotFields count="11">
    <pivotField dataField="1" showAll="0">
      <items count="484">
        <item x="118"/>
        <item x="93"/>
        <item x="474"/>
        <item x="117"/>
        <item x="154"/>
        <item x="225"/>
        <item x="220"/>
        <item x="478"/>
        <item x="20"/>
        <item x="31"/>
        <item x="41"/>
        <item x="369"/>
        <item x="47"/>
        <item x="425"/>
        <item x="222"/>
        <item x="166"/>
        <item x="461"/>
        <item x="337"/>
        <item x="407"/>
        <item x="397"/>
        <item x="455"/>
        <item x="28"/>
        <item x="204"/>
        <item x="18"/>
        <item x="141"/>
        <item x="70"/>
        <item x="208"/>
        <item x="4"/>
        <item x="102"/>
        <item x="172"/>
        <item x="436"/>
        <item x="346"/>
        <item x="339"/>
        <item x="419"/>
        <item x="49"/>
        <item x="153"/>
        <item x="168"/>
        <item x="345"/>
        <item x="293"/>
        <item x="303"/>
        <item x="441"/>
        <item x="477"/>
        <item x="138"/>
        <item x="400"/>
        <item x="17"/>
        <item x="39"/>
        <item x="280"/>
        <item x="214"/>
        <item x="255"/>
        <item x="392"/>
        <item x="375"/>
        <item x="106"/>
        <item x="251"/>
        <item x="242"/>
        <item x="265"/>
        <item x="284"/>
        <item x="368"/>
        <item x="8"/>
        <item x="316"/>
        <item x="320"/>
        <item x="273"/>
        <item x="62"/>
        <item x="447"/>
        <item x="476"/>
        <item x="259"/>
        <item x="110"/>
        <item x="161"/>
        <item x="99"/>
        <item x="229"/>
        <item x="103"/>
        <item x="95"/>
        <item x="207"/>
        <item x="158"/>
        <item x="308"/>
        <item x="274"/>
        <item x="318"/>
        <item x="228"/>
        <item x="1"/>
        <item x="3"/>
        <item x="414"/>
        <item x="91"/>
        <item x="65"/>
        <item x="384"/>
        <item x="333"/>
        <item x="206"/>
        <item x="394"/>
        <item x="445"/>
        <item x="359"/>
        <item x="162"/>
        <item x="13"/>
        <item x="151"/>
        <item x="150"/>
        <item x="223"/>
        <item x="76"/>
        <item x="299"/>
        <item x="34"/>
        <item x="304"/>
        <item x="139"/>
        <item x="351"/>
        <item x="421"/>
        <item x="406"/>
        <item x="48"/>
        <item x="203"/>
        <item x="178"/>
        <item x="216"/>
        <item x="458"/>
        <item x="403"/>
        <item x="349"/>
        <item x="344"/>
        <item x="136"/>
        <item x="11"/>
        <item x="283"/>
        <item x="410"/>
        <item x="294"/>
        <item x="97"/>
        <item x="253"/>
        <item x="288"/>
        <item x="212"/>
        <item x="84"/>
        <item x="16"/>
        <item x="311"/>
        <item x="472"/>
        <item x="332"/>
        <item x="219"/>
        <item x="113"/>
        <item x="45"/>
        <item x="360"/>
        <item x="237"/>
        <item x="46"/>
        <item x="77"/>
        <item x="246"/>
        <item x="231"/>
        <item x="250"/>
        <item x="415"/>
        <item x="33"/>
        <item x="446"/>
        <item x="240"/>
        <item x="409"/>
        <item x="173"/>
        <item x="247"/>
        <item x="434"/>
        <item x="354"/>
        <item x="7"/>
        <item x="252"/>
        <item x="104"/>
        <item x="241"/>
        <item x="193"/>
        <item x="444"/>
        <item x="324"/>
        <item x="371"/>
        <item x="179"/>
        <item x="108"/>
        <item x="315"/>
        <item x="199"/>
        <item x="451"/>
        <item x="243"/>
        <item x="365"/>
        <item x="386"/>
        <item x="401"/>
        <item x="268"/>
        <item x="187"/>
        <item x="262"/>
        <item x="258"/>
        <item x="457"/>
        <item x="79"/>
        <item x="398"/>
        <item x="2"/>
        <item x="307"/>
        <item x="322"/>
        <item x="340"/>
        <item x="456"/>
        <item x="195"/>
        <item x="261"/>
        <item x="271"/>
        <item x="473"/>
        <item x="325"/>
        <item x="432"/>
        <item x="278"/>
        <item x="96"/>
        <item x="67"/>
        <item x="282"/>
        <item x="144"/>
        <item x="453"/>
        <item x="426"/>
        <item x="236"/>
        <item x="480"/>
        <item x="358"/>
        <item x="52"/>
        <item x="295"/>
        <item x="171"/>
        <item x="267"/>
        <item x="227"/>
        <item x="470"/>
        <item x="430"/>
        <item x="264"/>
        <item x="341"/>
        <item x="309"/>
        <item x="277"/>
        <item x="224"/>
        <item x="377"/>
        <item x="167"/>
        <item x="326"/>
        <item x="239"/>
        <item x="471"/>
        <item x="396"/>
        <item x="393"/>
        <item x="128"/>
        <item x="469"/>
        <item x="448"/>
        <item x="301"/>
        <item x="209"/>
        <item x="125"/>
        <item x="124"/>
        <item x="417"/>
        <item x="310"/>
        <item x="69"/>
        <item x="188"/>
        <item x="143"/>
        <item x="235"/>
        <item x="245"/>
        <item x="100"/>
        <item x="30"/>
        <item x="442"/>
        <item x="460"/>
        <item x="418"/>
        <item x="165"/>
        <item x="388"/>
        <item x="189"/>
        <item x="353"/>
        <item x="112"/>
        <item x="196"/>
        <item x="357"/>
        <item x="373"/>
        <item x="372"/>
        <item x="383"/>
        <item x="335"/>
        <item x="185"/>
        <item x="159"/>
        <item x="266"/>
        <item x="184"/>
        <item x="338"/>
        <item x="465"/>
        <item x="155"/>
        <item x="202"/>
        <item x="381"/>
        <item x="156"/>
        <item x="35"/>
        <item x="479"/>
        <item x="186"/>
        <item x="270"/>
        <item x="64"/>
        <item x="120"/>
        <item x="402"/>
        <item x="404"/>
        <item x="481"/>
        <item x="191"/>
        <item x="94"/>
        <item x="78"/>
        <item x="275"/>
        <item x="115"/>
        <item x="88"/>
        <item x="27"/>
        <item x="423"/>
        <item x="58"/>
        <item x="374"/>
        <item x="121"/>
        <item x="249"/>
        <item x="87"/>
        <item x="427"/>
        <item x="317"/>
        <item x="408"/>
        <item x="279"/>
        <item x="313"/>
        <item x="438"/>
        <item x="147"/>
        <item x="467"/>
        <item x="190"/>
        <item x="98"/>
        <item x="23"/>
        <item x="14"/>
        <item x="140"/>
        <item x="149"/>
        <item x="244"/>
        <item x="475"/>
        <item x="127"/>
        <item x="431"/>
        <item x="5"/>
        <item x="72"/>
        <item x="210"/>
        <item x="327"/>
        <item x="459"/>
        <item x="137"/>
        <item x="285"/>
        <item x="0"/>
        <item x="276"/>
        <item x="390"/>
        <item x="205"/>
        <item x="289"/>
        <item x="164"/>
        <item x="379"/>
        <item x="405"/>
        <item x="192"/>
        <item x="26"/>
        <item x="170"/>
        <item x="238"/>
        <item x="422"/>
        <item x="215"/>
        <item x="107"/>
        <item x="197"/>
        <item x="234"/>
        <item x="482"/>
        <item x="218"/>
        <item x="330"/>
        <item x="376"/>
        <item x="37"/>
        <item x="439"/>
        <item x="80"/>
        <item x="60"/>
        <item x="450"/>
        <item x="194"/>
        <item x="382"/>
        <item x="413"/>
        <item x="152"/>
        <item x="105"/>
        <item x="53"/>
        <item x="82"/>
        <item x="463"/>
        <item x="201"/>
        <item x="43"/>
        <item x="176"/>
        <item x="175"/>
        <item x="92"/>
        <item x="12"/>
        <item x="347"/>
        <item x="131"/>
        <item x="157"/>
        <item x="385"/>
        <item x="395"/>
        <item x="257"/>
        <item x="21"/>
        <item x="116"/>
        <item x="40"/>
        <item x="272"/>
        <item x="298"/>
        <item x="233"/>
        <item x="355"/>
        <item x="32"/>
        <item x="44"/>
        <item x="350"/>
        <item x="66"/>
        <item x="296"/>
        <item x="260"/>
        <item x="22"/>
        <item x="387"/>
        <item x="256"/>
        <item x="302"/>
        <item x="433"/>
        <item x="290"/>
        <item x="314"/>
        <item x="305"/>
        <item x="367"/>
        <item x="36"/>
        <item x="177"/>
        <item x="129"/>
        <item x="217"/>
        <item x="370"/>
        <item x="464"/>
        <item x="123"/>
        <item x="306"/>
        <item x="55"/>
        <item x="323"/>
        <item x="145"/>
        <item x="59"/>
        <item x="169"/>
        <item x="348"/>
        <item x="312"/>
        <item x="254"/>
        <item x="331"/>
        <item x="366"/>
        <item x="452"/>
        <item x="101"/>
        <item x="226"/>
        <item x="321"/>
        <item x="9"/>
        <item x="6"/>
        <item x="83"/>
        <item x="181"/>
        <item x="399"/>
        <item x="180"/>
        <item x="24"/>
        <item x="292"/>
        <item x="449"/>
        <item x="15"/>
        <item x="230"/>
        <item x="119"/>
        <item x="232"/>
        <item x="435"/>
        <item x="352"/>
        <item x="29"/>
        <item x="111"/>
        <item x="126"/>
        <item x="10"/>
        <item x="437"/>
        <item x="269"/>
        <item x="130"/>
        <item x="389"/>
        <item x="56"/>
        <item x="454"/>
        <item x="213"/>
        <item x="42"/>
        <item x="71"/>
        <item x="466"/>
        <item x="25"/>
        <item x="75"/>
        <item x="429"/>
        <item x="428"/>
        <item x="440"/>
        <item x="380"/>
        <item x="412"/>
        <item x="300"/>
        <item x="86"/>
        <item x="73"/>
        <item x="263"/>
        <item x="200"/>
        <item x="362"/>
        <item x="135"/>
        <item x="248"/>
        <item x="319"/>
        <item x="391"/>
        <item x="19"/>
        <item x="61"/>
        <item x="160"/>
        <item x="211"/>
        <item x="81"/>
        <item x="287"/>
        <item x="85"/>
        <item x="90"/>
        <item x="420"/>
        <item x="286"/>
        <item x="142"/>
        <item x="297"/>
        <item x="281"/>
        <item x="343"/>
        <item x="51"/>
        <item x="174"/>
        <item x="221"/>
        <item x="183"/>
        <item x="133"/>
        <item x="109"/>
        <item x="424"/>
        <item x="74"/>
        <item x="378"/>
        <item x="148"/>
        <item x="163"/>
        <item x="336"/>
        <item x="328"/>
        <item x="468"/>
        <item x="329"/>
        <item x="462"/>
        <item x="356"/>
        <item x="411"/>
        <item x="114"/>
        <item x="38"/>
        <item x="63"/>
        <item x="57"/>
        <item x="198"/>
        <item x="443"/>
        <item x="361"/>
        <item x="122"/>
        <item x="363"/>
        <item x="364"/>
        <item x="68"/>
        <item x="416"/>
        <item x="50"/>
        <item x="132"/>
        <item x="182"/>
        <item x="89"/>
        <item x="291"/>
        <item x="334"/>
        <item x="54"/>
        <item x="342"/>
        <item x="146"/>
        <item x="134"/>
        <item t="default"/>
      </items>
    </pivotField>
    <pivotField showAll="0"/>
    <pivotField numFmtId="14" showAll="0">
      <items count="218">
        <item x="165"/>
        <item x="158"/>
        <item x="42"/>
        <item x="73"/>
        <item x="153"/>
        <item x="51"/>
        <item x="184"/>
        <item x="63"/>
        <item x="102"/>
        <item x="53"/>
        <item x="140"/>
        <item x="193"/>
        <item x="149"/>
        <item x="187"/>
        <item x="97"/>
        <item x="174"/>
        <item x="204"/>
        <item x="134"/>
        <item x="168"/>
        <item x="16"/>
        <item x="75"/>
        <item x="91"/>
        <item x="18"/>
        <item x="61"/>
        <item x="77"/>
        <item x="100"/>
        <item x="116"/>
        <item x="128"/>
        <item x="138"/>
        <item x="10"/>
        <item x="64"/>
        <item x="84"/>
        <item x="139"/>
        <item x="171"/>
        <item x="20"/>
        <item x="65"/>
        <item x="94"/>
        <item x="109"/>
        <item x="206"/>
        <item x="54"/>
        <item x="110"/>
        <item x="156"/>
        <item x="194"/>
        <item x="200"/>
        <item x="21"/>
        <item x="32"/>
        <item x="55"/>
        <item x="66"/>
        <item x="85"/>
        <item x="103"/>
        <item x="118"/>
        <item x="129"/>
        <item x="141"/>
        <item x="162"/>
        <item x="185"/>
        <item x="210"/>
        <item x="4"/>
        <item x="11"/>
        <item x="27"/>
        <item x="33"/>
        <item x="38"/>
        <item x="45"/>
        <item x="56"/>
        <item x="78"/>
        <item x="86"/>
        <item x="95"/>
        <item x="104"/>
        <item x="111"/>
        <item x="130"/>
        <item x="142"/>
        <item x="150"/>
        <item x="157"/>
        <item x="163"/>
        <item x="172"/>
        <item x="179"/>
        <item x="186"/>
        <item x="195"/>
        <item x="201"/>
        <item x="207"/>
        <item x="211"/>
        <item x="5"/>
        <item x="12"/>
        <item x="22"/>
        <item x="28"/>
        <item x="34"/>
        <item x="39"/>
        <item x="46"/>
        <item x="57"/>
        <item x="67"/>
        <item x="79"/>
        <item x="87"/>
        <item x="96"/>
        <item x="112"/>
        <item x="119"/>
        <item x="124"/>
        <item x="131"/>
        <item x="143"/>
        <item x="151"/>
        <item x="164"/>
        <item x="173"/>
        <item x="180"/>
        <item x="188"/>
        <item x="196"/>
        <item x="202"/>
        <item x="6"/>
        <item x="13"/>
        <item x="23"/>
        <item x="29"/>
        <item x="40"/>
        <item x="47"/>
        <item x="58"/>
        <item x="72"/>
        <item x="80"/>
        <item x="88"/>
        <item x="98"/>
        <item x="113"/>
        <item x="120"/>
        <item x="125"/>
        <item x="132"/>
        <item x="144"/>
        <item x="166"/>
        <item x="175"/>
        <item x="181"/>
        <item x="189"/>
        <item x="197"/>
        <item x="203"/>
        <item x="212"/>
        <item x="216"/>
        <item x="0"/>
        <item x="14"/>
        <item x="24"/>
        <item x="41"/>
        <item x="48"/>
        <item x="59"/>
        <item x="68"/>
        <item x="81"/>
        <item x="89"/>
        <item x="99"/>
        <item x="105"/>
        <item x="114"/>
        <item x="121"/>
        <item x="133"/>
        <item x="145"/>
        <item x="152"/>
        <item x="159"/>
        <item x="167"/>
        <item x="176"/>
        <item x="182"/>
        <item x="190"/>
        <item x="198"/>
        <item x="205"/>
        <item x="208"/>
        <item x="213"/>
        <item x="1"/>
        <item x="7"/>
        <item x="15"/>
        <item x="25"/>
        <item x="30"/>
        <item x="35"/>
        <item x="43"/>
        <item x="49"/>
        <item x="69"/>
        <item x="74"/>
        <item x="82"/>
        <item x="90"/>
        <item x="106"/>
        <item x="126"/>
        <item x="135"/>
        <item x="146"/>
        <item x="154"/>
        <item x="160"/>
        <item x="169"/>
        <item x="177"/>
        <item x="191"/>
        <item x="199"/>
        <item x="214"/>
        <item x="2"/>
        <item x="8"/>
        <item x="17"/>
        <item x="26"/>
        <item x="31"/>
        <item x="36"/>
        <item x="50"/>
        <item x="60"/>
        <item x="70"/>
        <item x="76"/>
        <item x="83"/>
        <item x="92"/>
        <item x="107"/>
        <item x="115"/>
        <item x="122"/>
        <item x="127"/>
        <item x="136"/>
        <item x="147"/>
        <item x="161"/>
        <item x="170"/>
        <item x="178"/>
        <item x="183"/>
        <item x="192"/>
        <item x="209"/>
        <item x="215"/>
        <item x="3"/>
        <item x="9"/>
        <item x="19"/>
        <item x="37"/>
        <item x="44"/>
        <item x="52"/>
        <item x="62"/>
        <item x="71"/>
        <item x="93"/>
        <item x="101"/>
        <item x="108"/>
        <item x="117"/>
        <item x="123"/>
        <item x="137"/>
        <item x="148"/>
        <item x="155"/>
        <item t="default"/>
      </items>
    </pivotField>
    <pivotField numFmtId="2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Nombre de Entrepris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65B39-61FC-4BB4-9A2C-AEDB5847FA77}" name="Tableau croisé dynamique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N31:O47" firstHeaderRow="1" firstDataRow="1" firstDataCol="1" rowPageCount="1" colPageCount="1"/>
  <pivotFields count="7">
    <pivotField dataField="1" showAll="0"/>
    <pivotField showAll="0"/>
    <pivotField axis="axisPage" showAll="0">
      <items count="486">
        <item x="247"/>
        <item x="233"/>
        <item x="152"/>
        <item x="184"/>
        <item x="119"/>
        <item x="102"/>
        <item x="118"/>
        <item x="104"/>
        <item x="91"/>
        <item x="81"/>
        <item x="70"/>
        <item x="114"/>
        <item x="23"/>
        <item x="469"/>
        <item x="393"/>
        <item x="399"/>
        <item x="290"/>
        <item x="312"/>
        <item x="319"/>
        <item x="183"/>
        <item x="112"/>
        <item x="111"/>
        <item x="110"/>
        <item x="94"/>
        <item x="45"/>
        <item x="43"/>
        <item x="444"/>
        <item x="404"/>
        <item x="370"/>
        <item x="286"/>
        <item x="314"/>
        <item x="266"/>
        <item x="296"/>
        <item x="289"/>
        <item x="268"/>
        <item x="239"/>
        <item x="182"/>
        <item x="443"/>
        <item x="108"/>
        <item x="53"/>
        <item x="39"/>
        <item x="40"/>
        <item x="302"/>
        <item x="381"/>
        <item x="392"/>
        <item x="391"/>
        <item x="388"/>
        <item x="375"/>
        <item x="315"/>
        <item x="308"/>
        <item x="238"/>
        <item x="175"/>
        <item x="148"/>
        <item x="86"/>
        <item x="471"/>
        <item x="333"/>
        <item x="470"/>
        <item x="460"/>
        <item x="466"/>
        <item x="458"/>
        <item x="372"/>
        <item x="387"/>
        <item x="386"/>
        <item x="173"/>
        <item x="303"/>
        <item x="283"/>
        <item x="151"/>
        <item x="181"/>
        <item x="135"/>
        <item x="163"/>
        <item x="98"/>
        <item x="97"/>
        <item x="96"/>
        <item x="50"/>
        <item x="461"/>
        <item x="409"/>
        <item x="462"/>
        <item x="364"/>
        <item x="139"/>
        <item x="358"/>
        <item x="367"/>
        <item x="382"/>
        <item x="164"/>
        <item x="157"/>
        <item x="120"/>
        <item x="60"/>
        <item x="21"/>
        <item x="468"/>
        <item x="463"/>
        <item x="448"/>
        <item x="417"/>
        <item x="379"/>
        <item x="300"/>
        <item x="234"/>
        <item x="188"/>
        <item x="235"/>
        <item x="213"/>
        <item x="269"/>
        <item x="177"/>
        <item x="179"/>
        <item x="178"/>
        <item x="37"/>
        <item x="36"/>
        <item x="445"/>
        <item x="459"/>
        <item x="376"/>
        <item x="310"/>
        <item x="226"/>
        <item x="165"/>
        <item x="174"/>
        <item x="171"/>
        <item x="93"/>
        <item x="92"/>
        <item x="311"/>
        <item x="32"/>
        <item x="31"/>
        <item x="33"/>
        <item x="481"/>
        <item x="431"/>
        <item x="378"/>
        <item x="394"/>
        <item x="256"/>
        <item x="455"/>
        <item x="362"/>
        <item x="366"/>
        <item x="106"/>
        <item x="365"/>
        <item x="291"/>
        <item x="305"/>
        <item x="304"/>
        <item x="232"/>
        <item x="229"/>
        <item x="79"/>
        <item x="69"/>
        <item x="68"/>
        <item x="8"/>
        <item x="26"/>
        <item x="236"/>
        <item x="274"/>
        <item x="155"/>
        <item x="465"/>
        <item x="467"/>
        <item x="336"/>
        <item x="355"/>
        <item x="231"/>
        <item x="208"/>
        <item x="158"/>
        <item x="149"/>
        <item x="44"/>
        <item x="89"/>
        <item x="28"/>
        <item x="301"/>
        <item x="240"/>
        <item x="294"/>
        <item x="482"/>
        <item x="166"/>
        <item x="170"/>
        <item x="55"/>
        <item x="136"/>
        <item x="169"/>
        <item x="168"/>
        <item x="65"/>
        <item x="82"/>
        <item x="217"/>
        <item x="436"/>
        <item x="418"/>
        <item x="439"/>
        <item x="451"/>
        <item x="344"/>
        <item x="361"/>
        <item x="272"/>
        <item x="339"/>
        <item x="297"/>
        <item x="292"/>
        <item x="299"/>
        <item x="270"/>
        <item x="287"/>
        <item x="195"/>
        <item x="156"/>
        <item x="161"/>
        <item x="1"/>
        <item x="17"/>
        <item x="56"/>
        <item x="42"/>
        <item x="221"/>
        <item x="473"/>
        <item x="437"/>
        <item x="477"/>
        <item x="450"/>
        <item x="446"/>
        <item x="457"/>
        <item x="454"/>
        <item x="456"/>
        <item x="244"/>
        <item x="356"/>
        <item x="281"/>
        <item x="348"/>
        <item x="282"/>
        <item x="295"/>
        <item x="212"/>
        <item x="227"/>
        <item x="150"/>
        <item x="122"/>
        <item x="137"/>
        <item x="209"/>
        <item x="83"/>
        <item x="25"/>
        <item x="18"/>
        <item x="16"/>
        <item x="478"/>
        <item x="430"/>
        <item x="453"/>
        <item x="396"/>
        <item x="360"/>
        <item x="27"/>
        <item x="223"/>
        <item x="214"/>
        <item x="224"/>
        <item x="385"/>
        <item x="5"/>
        <item x="480"/>
        <item x="484"/>
        <item x="380"/>
        <item x="201"/>
        <item x="222"/>
        <item x="80"/>
        <item x="105"/>
        <item x="133"/>
        <item x="85"/>
        <item x="38"/>
        <item x="15"/>
        <item x="14"/>
        <item x="13"/>
        <item x="426"/>
        <item x="317"/>
        <item x="434"/>
        <item x="428"/>
        <item x="447"/>
        <item x="435"/>
        <item x="384"/>
        <item x="347"/>
        <item x="357"/>
        <item x="285"/>
        <item x="206"/>
        <item x="309"/>
        <item x="279"/>
        <item x="196"/>
        <item x="245"/>
        <item x="249"/>
        <item x="278"/>
        <item x="176"/>
        <item x="219"/>
        <item x="218"/>
        <item x="84"/>
        <item x="71"/>
        <item x="78"/>
        <item x="74"/>
        <item x="253"/>
        <item x="12"/>
        <item x="11"/>
        <item x="9"/>
        <item x="474"/>
        <item x="338"/>
        <item x="354"/>
        <item x="352"/>
        <item x="276"/>
        <item x="138"/>
        <item x="72"/>
        <item x="77"/>
        <item x="76"/>
        <item x="10"/>
        <item x="7"/>
        <item x="331"/>
        <item x="257"/>
        <item x="334"/>
        <item x="277"/>
        <item x="275"/>
        <item x="146"/>
        <item x="145"/>
        <item x="144"/>
        <item x="75"/>
        <item x="48"/>
        <item x="67"/>
        <item x="483"/>
        <item x="433"/>
        <item x="318"/>
        <item x="343"/>
        <item x="351"/>
        <item x="326"/>
        <item x="230"/>
        <item x="273"/>
        <item x="271"/>
        <item x="216"/>
        <item x="452"/>
        <item x="142"/>
        <item x="129"/>
        <item x="87"/>
        <item x="100"/>
        <item x="143"/>
        <item x="73"/>
        <item x="4"/>
        <item x="167"/>
        <item x="432"/>
        <item x="475"/>
        <item x="30"/>
        <item x="438"/>
        <item x="427"/>
        <item x="346"/>
        <item x="424"/>
        <item x="423"/>
        <item x="313"/>
        <item x="349"/>
        <item x="29"/>
        <item x="228"/>
        <item x="215"/>
        <item x="207"/>
        <item x="141"/>
        <item x="128"/>
        <item x="134"/>
        <item x="95"/>
        <item x="131"/>
        <item x="116"/>
        <item x="66"/>
        <item x="54"/>
        <item x="6"/>
        <item x="2"/>
        <item x="3"/>
        <item x="220"/>
        <item x="353"/>
        <item x="429"/>
        <item x="408"/>
        <item x="422"/>
        <item x="350"/>
        <item x="159"/>
        <item x="476"/>
        <item x="130"/>
        <item x="121"/>
        <item x="99"/>
        <item x="123"/>
        <item x="113"/>
        <item x="0"/>
        <item x="198"/>
        <item x="280"/>
        <item x="373"/>
        <item x="442"/>
        <item x="398"/>
        <item x="412"/>
        <item x="440"/>
        <item x="441"/>
        <item x="342"/>
        <item x="147"/>
        <item x="211"/>
        <item x="107"/>
        <item x="115"/>
        <item x="34"/>
        <item x="58"/>
        <item x="368"/>
        <item x="421"/>
        <item x="327"/>
        <item x="341"/>
        <item x="325"/>
        <item x="340"/>
        <item x="335"/>
        <item x="449"/>
        <item x="225"/>
        <item x="255"/>
        <item x="109"/>
        <item x="189"/>
        <item x="284"/>
        <item x="127"/>
        <item x="49"/>
        <item x="180"/>
        <item x="420"/>
        <item x="337"/>
        <item x="330"/>
        <item x="307"/>
        <item x="298"/>
        <item x="242"/>
        <item x="210"/>
        <item x="258"/>
        <item x="205"/>
        <item x="197"/>
        <item x="204"/>
        <item x="126"/>
        <item x="24"/>
        <item x="57"/>
        <item x="64"/>
        <item x="59"/>
        <item x="410"/>
        <item x="419"/>
        <item x="397"/>
        <item x="329"/>
        <item x="321"/>
        <item x="332"/>
        <item x="306"/>
        <item x="322"/>
        <item x="328"/>
        <item x="243"/>
        <item x="259"/>
        <item x="265"/>
        <item x="203"/>
        <item x="61"/>
        <item x="35"/>
        <item x="63"/>
        <item x="62"/>
        <item x="52"/>
        <item x="251"/>
        <item x="359"/>
        <item x="472"/>
        <item x="425"/>
        <item x="395"/>
        <item x="371"/>
        <item x="363"/>
        <item x="288"/>
        <item x="323"/>
        <item x="267"/>
        <item x="293"/>
        <item x="154"/>
        <item x="140"/>
        <item x="160"/>
        <item x="248"/>
        <item x="202"/>
        <item x="90"/>
        <item x="125"/>
        <item x="19"/>
        <item x="479"/>
        <item x="414"/>
        <item x="345"/>
        <item x="413"/>
        <item x="383"/>
        <item x="415"/>
        <item x="377"/>
        <item x="316"/>
        <item x="172"/>
        <item x="264"/>
        <item x="263"/>
        <item x="252"/>
        <item x="262"/>
        <item x="254"/>
        <item x="261"/>
        <item x="193"/>
        <item x="194"/>
        <item x="124"/>
        <item x="117"/>
        <item x="88"/>
        <item x="401"/>
        <item x="416"/>
        <item x="369"/>
        <item x="400"/>
        <item x="411"/>
        <item x="402"/>
        <item x="403"/>
        <item x="390"/>
        <item x="320"/>
        <item x="260"/>
        <item x="324"/>
        <item x="162"/>
        <item x="199"/>
        <item x="153"/>
        <item x="192"/>
        <item x="191"/>
        <item x="101"/>
        <item x="389"/>
        <item x="406"/>
        <item x="405"/>
        <item x="407"/>
        <item x="20"/>
        <item x="190"/>
        <item x="187"/>
        <item x="51"/>
        <item x="41"/>
        <item x="22"/>
        <item x="464"/>
        <item x="374"/>
        <item x="241"/>
        <item x="250"/>
        <item x="200"/>
        <item x="186"/>
        <item x="46"/>
        <item x="132"/>
        <item x="185"/>
        <item x="103"/>
        <item x="47"/>
        <item x="246"/>
        <item x="237"/>
        <item t="default"/>
      </items>
    </pivotField>
    <pivotField showAll="0"/>
    <pivotField showAll="0"/>
    <pivotField showAll="0"/>
    <pivotField axis="axisRow" showAll="0">
      <items count="16">
        <item x="1"/>
        <item x="8"/>
        <item x="5"/>
        <item x="10"/>
        <item x="13"/>
        <item x="12"/>
        <item x="2"/>
        <item x="14"/>
        <item x="11"/>
        <item x="7"/>
        <item x="6"/>
        <item x="9"/>
        <item x="3"/>
        <item x="0"/>
        <item x="4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2" hier="-1"/>
  </pageFields>
  <dataFields count="1">
    <dataField name="Nombre de Entreprise" fld="0" subtotal="count" baseField="0" baseItem="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4881-465E-489B-8011-230C0110A185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K22:L35" firstHeaderRow="1" firstDataRow="1" firstDataCol="1"/>
  <pivotFields count="11">
    <pivotField dataField="1" showAll="0"/>
    <pivotField showAll="0"/>
    <pivotField numFmtId="14" showAll="0">
      <items count="218">
        <item x="165"/>
        <item x="158"/>
        <item x="42"/>
        <item x="73"/>
        <item x="153"/>
        <item x="51"/>
        <item x="184"/>
        <item x="63"/>
        <item x="102"/>
        <item x="53"/>
        <item x="140"/>
        <item x="193"/>
        <item x="149"/>
        <item x="187"/>
        <item x="97"/>
        <item x="174"/>
        <item x="204"/>
        <item x="134"/>
        <item x="168"/>
        <item x="16"/>
        <item x="75"/>
        <item x="91"/>
        <item x="18"/>
        <item x="61"/>
        <item x="77"/>
        <item x="100"/>
        <item x="116"/>
        <item x="128"/>
        <item x="138"/>
        <item x="10"/>
        <item x="64"/>
        <item x="84"/>
        <item x="139"/>
        <item x="171"/>
        <item x="20"/>
        <item x="65"/>
        <item x="94"/>
        <item x="109"/>
        <item x="206"/>
        <item x="54"/>
        <item x="110"/>
        <item x="156"/>
        <item x="194"/>
        <item x="200"/>
        <item x="21"/>
        <item x="32"/>
        <item x="55"/>
        <item x="66"/>
        <item x="85"/>
        <item x="103"/>
        <item x="118"/>
        <item x="129"/>
        <item x="141"/>
        <item x="162"/>
        <item x="185"/>
        <item x="210"/>
        <item x="4"/>
        <item x="11"/>
        <item x="27"/>
        <item x="33"/>
        <item x="38"/>
        <item x="45"/>
        <item x="56"/>
        <item x="78"/>
        <item x="86"/>
        <item x="95"/>
        <item x="104"/>
        <item x="111"/>
        <item x="130"/>
        <item x="142"/>
        <item x="150"/>
        <item x="157"/>
        <item x="163"/>
        <item x="172"/>
        <item x="179"/>
        <item x="186"/>
        <item x="195"/>
        <item x="201"/>
        <item x="207"/>
        <item x="211"/>
        <item x="5"/>
        <item x="12"/>
        <item x="22"/>
        <item x="28"/>
        <item x="34"/>
        <item x="39"/>
        <item x="46"/>
        <item x="57"/>
        <item x="67"/>
        <item x="79"/>
        <item x="87"/>
        <item x="96"/>
        <item x="112"/>
        <item x="119"/>
        <item x="124"/>
        <item x="131"/>
        <item x="143"/>
        <item x="151"/>
        <item x="164"/>
        <item x="173"/>
        <item x="180"/>
        <item x="188"/>
        <item x="196"/>
        <item x="202"/>
        <item x="6"/>
        <item x="13"/>
        <item x="23"/>
        <item x="29"/>
        <item x="40"/>
        <item x="47"/>
        <item x="58"/>
        <item x="72"/>
        <item x="80"/>
        <item x="88"/>
        <item x="98"/>
        <item x="113"/>
        <item x="120"/>
        <item x="125"/>
        <item x="132"/>
        <item x="144"/>
        <item x="166"/>
        <item x="175"/>
        <item x="181"/>
        <item x="189"/>
        <item x="197"/>
        <item x="203"/>
        <item x="212"/>
        <item x="216"/>
        <item x="0"/>
        <item x="14"/>
        <item x="24"/>
        <item x="41"/>
        <item x="48"/>
        <item x="59"/>
        <item x="68"/>
        <item x="81"/>
        <item x="89"/>
        <item x="99"/>
        <item x="105"/>
        <item x="114"/>
        <item x="121"/>
        <item x="133"/>
        <item x="145"/>
        <item x="152"/>
        <item x="159"/>
        <item x="167"/>
        <item x="176"/>
        <item x="182"/>
        <item x="190"/>
        <item x="198"/>
        <item x="205"/>
        <item x="208"/>
        <item x="213"/>
        <item x="1"/>
        <item x="7"/>
        <item x="15"/>
        <item x="25"/>
        <item x="30"/>
        <item x="35"/>
        <item x="43"/>
        <item x="49"/>
        <item x="69"/>
        <item x="74"/>
        <item x="82"/>
        <item x="90"/>
        <item x="106"/>
        <item x="126"/>
        <item x="135"/>
        <item x="146"/>
        <item x="154"/>
        <item x="160"/>
        <item x="169"/>
        <item x="177"/>
        <item x="191"/>
        <item x="199"/>
        <item x="214"/>
        <item x="2"/>
        <item x="8"/>
        <item x="17"/>
        <item x="26"/>
        <item x="31"/>
        <item x="36"/>
        <item x="50"/>
        <item x="60"/>
        <item x="70"/>
        <item x="76"/>
        <item x="83"/>
        <item x="92"/>
        <item x="107"/>
        <item x="115"/>
        <item x="122"/>
        <item x="127"/>
        <item x="136"/>
        <item x="147"/>
        <item x="161"/>
        <item x="170"/>
        <item x="178"/>
        <item x="183"/>
        <item x="192"/>
        <item x="209"/>
        <item x="215"/>
        <item x="3"/>
        <item x="9"/>
        <item x="19"/>
        <item x="37"/>
        <item x="44"/>
        <item x="52"/>
        <item x="62"/>
        <item x="71"/>
        <item x="93"/>
        <item x="101"/>
        <item x="108"/>
        <item x="117"/>
        <item x="123"/>
        <item x="137"/>
        <item x="148"/>
        <item x="155"/>
        <item t="default"/>
      </items>
    </pivotField>
    <pivotField numFmtId="21"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Nombre de Entreprise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D91FA-F67B-41E0-BBDD-B8F32AC3132C}" name="Tableau1" displayName="Tableau1" ref="A1:H486" totalsRowShown="0" headerRowDxfId="54" dataDxfId="53">
  <autoFilter ref="A1:H486" xr:uid="{DB5D6077-BEA1-4E40-BF54-7BE114352046}"/>
  <tableColumns count="8">
    <tableColumn id="1" xr3:uid="{81DC8201-48C1-4942-8748-9947EA2022EB}" name="Entreprise" dataDxfId="52"/>
    <tableColumn id="2" xr3:uid="{02530223-0A6F-41B4-B956-D4761853319B}" name="Statut" dataDxfId="51"/>
    <tableColumn id="3" xr3:uid="{D2818408-7062-4311-9F66-62EBCC5EC2D1}" name="Date d'inscription" dataDxfId="50"/>
    <tableColumn id="11" xr3:uid="{D373D613-8D17-4143-B9B5-99B3809AD78E}" name="heure" dataDxfId="49"/>
    <tableColumn id="6" xr3:uid="{5A492DD7-A791-4040-B878-ABABE9B9A862}" name="Point focal" dataDxfId="48"/>
    <tableColumn id="7" xr3:uid="{CAB14EF3-5F17-49B8-BF43-F60495AAD554}" name="Email" dataDxfId="47"/>
    <tableColumn id="8" xr3:uid="{F01BCD96-FAE8-4953-8F59-B49EEB31F822}" name="Profile" dataDxfId="46"/>
    <tableColumn id="9" xr3:uid="{03621D6C-63DC-4753-B477-17D147D4D792}" name="Pays" dataDxfId="4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75550F-EC79-4F08-938C-2FA708A75081}" name="Tableau7" displayName="Tableau7" ref="A1:H484" totalsRowShown="0" headerRowDxfId="44" dataDxfId="43" headerRowCellStyle="Normal 3" dataCellStyle="Normal 3">
  <autoFilter ref="A1:H484" xr:uid="{BC75550F-EC79-4F08-938C-2FA708A75081}"/>
  <tableColumns count="8">
    <tableColumn id="1" xr3:uid="{CAB92A9E-E0DD-4C14-95D7-DA5F6461329F}" name="Entreprise" dataDxfId="42" dataCellStyle="Normal 3"/>
    <tableColumn id="2" xr3:uid="{D7F80B18-F491-45CF-8847-11E3FDA43506}" name="Statut" dataDxfId="41" dataCellStyle="Normal 3"/>
    <tableColumn id="3" xr3:uid="{42ACB20A-432D-48DA-B91A-C5D6A111F588}" name="Date d'inscription" dataDxfId="40" dataCellStyle="Normal 3"/>
    <tableColumn id="4" xr3:uid="{CA153DD1-3880-4932-A866-6E94660AAB36}" name="heure" dataDxfId="39" dataCellStyle="Normal 3"/>
    <tableColumn id="5" xr3:uid="{12C46D47-4670-424A-80FA-3AD74D10FA57}" name="Point focal" dataDxfId="38" dataCellStyle="Normal 3"/>
    <tableColumn id="6" xr3:uid="{F1A38D87-E6C1-4FDE-84F0-C8820F0CFC7E}" name="Email" dataDxfId="37" dataCellStyle="Normal 3"/>
    <tableColumn id="7" xr3:uid="{3540461F-74D0-48BB-BC22-56C4AC4ECC11}" name="Profile" dataDxfId="36" dataCellStyle="Normal 3"/>
    <tableColumn id="8" xr3:uid="{59CACACF-965C-4632-A8FC-61FC662E359F}" name="Pays" dataDxfId="35" dataCellStyle="Normal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B9A0A2-7B5B-42FF-860D-4B697789DFEE}" name="Permis" displayName="Permis" ref="A1:M4111" totalsRowShown="0">
  <autoFilter ref="A1:M4111" xr:uid="{00000000-0009-0000-0100-000001000000}"/>
  <tableColumns count="13">
    <tableColumn id="1" xr3:uid="{BAE5A5D6-F532-4467-AA6A-89C5516F7521}" name="Code"/>
    <tableColumn id="2" xr3:uid="{F2EC7A43-2AE3-494E-8F7C-FC465C9F1C64}" name="Nom"/>
    <tableColumn id="3" xr3:uid="{1C36974D-FA52-457C-AB0C-0EABABAFF896}" name="Parties"/>
    <tableColumn id="4" xr3:uid="{4611F3A4-A574-4204-AFBD-A4B5CB48F2F9}" name="Juridiction"/>
    <tableColumn id="5" xr3:uid="{FBDB8873-90D9-4750-BFFC-83D537D83F84}" name="Type"/>
    <tableColumn id="6" xr3:uid="{AFEC53A6-154F-44C0-8907-42F6F5ABD6E4}" name="Substances"/>
    <tableColumn id="7" xr3:uid="{D23E0518-2322-41E6-B405-94D16841C1FF}" name="Statut"/>
    <tableColumn id="8" xr3:uid="{37E830C1-DF81-45A5-BE88-8A0E5ED1B6CB}" name="Région"/>
    <tableColumn id="9" xr3:uid="{BB1A029B-566A-4A97-B7E2-1F57E95384CA}" name="Demande faite"/>
    <tableColumn id="10" xr3:uid="{9B21517C-1085-4BAD-99BB-FCE4C1902D75}" name="Octroyé"/>
    <tableColumn id="11" xr3:uid="{7FDB5383-05A8-4331-8B40-0F67A0441184}" name="Expire le"/>
    <tableColumn id="12" xr3:uid="{D5EE3850-37D3-411A-A964-F36411F4A9C4}" name="Renouvelé"/>
    <tableColumn id="13" xr3:uid="{5C220E26-F41B-48CD-AAAA-0CC6F51EE389}" name="superfici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8357E3-99EB-49B6-B8A8-8525538673DB}" name="Tableau3" displayName="Tableau3" ref="A1:R629" totalsRowShown="0" headerRowDxfId="34" headerRowBorderDxfId="33" tableBorderDxfId="32" totalsRowBorderDxfId="31">
  <autoFilter ref="A1:R629" xr:uid="{458357E3-99EB-49B6-B8A8-8525538673DB}"/>
  <sortState xmlns:xlrd2="http://schemas.microsoft.com/office/spreadsheetml/2017/richdata2" ref="A13:R614">
    <sortCondition ref="B1:B629"/>
  </sortState>
  <tableColumns count="18">
    <tableColumn id="1" xr3:uid="{155F815D-7579-4BD6-8C14-18C3342D34D9}" name="Région" dataDxfId="30"/>
    <tableColumn id="17" xr3:uid="{C5B49DF3-45A7-4F7B-97B2-824B71E98F22}" name="Denomination Sociale" dataDxfId="29"/>
    <tableColumn id="3" xr3:uid="{5CFB2373-127E-466A-B8D3-5B8924489EDD}" name="Prénom et Nom Bénéficiaire" dataDxfId="28"/>
    <tableColumn id="4" xr3:uid="{98470668-7824-4EED-AACC-84863406FC4D}" name="Date d'acquisition" dataDxfId="27"/>
    <tableColumn id="5" xr3:uid="{7E1DCD43-FC2E-425A-85AD-E51A5C775F6F}" name="% Action Direct" dataDxfId="26"/>
    <tableColumn id="6" xr3:uid="{19E92484-E6BD-4D5A-B18A-F3DBDF18BA37}" name="% Voix Direct" dataDxfId="25"/>
    <tableColumn id="7" xr3:uid="{DE42FCE1-7AA0-4069-9881-CE2EA6FF6BDF}" name="Nationalite" dataDxfId="24"/>
    <tableColumn id="8" xr3:uid="{A75DF195-2D0D-4919-9E51-15AB0329CF1E}" name="Pays de résidence" dataDxfId="23"/>
    <tableColumn id="9" xr3:uid="{2F93C7ED-1E0F-4C9B-86E7-8DE214C84D64}" name="Est Une PPE" dataDxfId="22"/>
    <tableColumn id="10" xr3:uid="{DC351D8B-0F76-42AF-9A4E-04EECE279546}" name="Fonction PPE" dataDxfId="21"/>
    <tableColumn id="11" xr3:uid="{FBE1196C-2D60-4F37-82B0-2AB2E372F6E0}" name="NomPPE" dataDxfId="20"/>
    <tableColumn id="12" xr3:uid="{FA8761FC-A323-421C-88B0-F03404BDAB04}" name="Greffe" dataDxfId="19"/>
    <tableColumn id="16" xr3:uid="{D1199537-1FD6-465D-A190-72C08EB9BB8A}" name="Colonne3" dataDxfId="1"/>
    <tableColumn id="14" xr3:uid="{31F692BE-31E1-41D2-9B71-637CEFEA0DF1}" name="Sous-traitant" dataDxfId="13">
      <calculatedColumnFormula>IFERROR(VLOOKUP(Tableau3[[#This Row],[Denomination Sociale]],Tableau7[],1,0),"")</calculatedColumnFormula>
    </tableColumn>
    <tableColumn id="15" xr3:uid="{D6C491E1-BB8F-462A-8A21-80DBBAA36CB9}" name="Permis" dataDxfId="18">
      <calculatedColumnFormula>VLOOKUP(#REF!,Tableau6[],1,0)</calculatedColumnFormula>
    </tableColumn>
    <tableColumn id="2" xr3:uid="{05891C49-B686-4E4C-87CC-2936339D83EA}" name="Colonne2" dataDxfId="14"/>
    <tableColumn id="20" xr3:uid="{81E57900-FCF5-4310-84B3-65AAD8FE536C}" name="Colonne1" dataDxfId="0">
      <calculatedColumnFormula>VLOOKUP(Tableau3[[#This Row],[Denomination Sociale]],Tableau6[],1,1)</calculatedColumnFormula>
    </tableColumn>
    <tableColumn id="13" xr3:uid="{D2B0922A-534D-4CAA-9F2F-4FFDB8E6FDE0}" name="Regions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2970B6-099F-4F71-BD18-AFA8513B0E7D}" name="Tableau6" displayName="Tableau6" ref="A1:M4111" totalsRowShown="0" headerRowDxfId="16" headerRowCellStyle="Normal 4" dataCellStyle="Normal 4">
  <autoFilter ref="A1:M4111" xr:uid="{8A2970B6-099F-4F71-BD18-AFA8513B0E7D}"/>
  <sortState xmlns:xlrd2="http://schemas.microsoft.com/office/spreadsheetml/2017/richdata2" ref="A2:M4111">
    <sortCondition ref="A1:A4111"/>
  </sortState>
  <tableColumns count="13">
    <tableColumn id="20" xr3:uid="{E964461E-9299-4A8E-81FD-9993D4E94A2A}" name="Entreprises" dataCellStyle="Normal 4"/>
    <tableColumn id="1" xr3:uid="{F3E8DF2F-2DB1-4911-9C91-C59F36D03092}" name="Code" dataCellStyle="Normal 4"/>
    <tableColumn id="2" xr3:uid="{9D7A1BEC-070E-4AB4-9EB8-115D9587CB58}" name="Nom" dataCellStyle="Normal 4"/>
    <tableColumn id="4" xr3:uid="{93050053-2940-4761-9A37-8DAC6CB042DF}" name="Juridiction" dataCellStyle="Normal 4"/>
    <tableColumn id="5" xr3:uid="{AE46A7D9-622A-4CA3-A3EF-48D26ACB9F5B}" name="Type" dataCellStyle="Normal 4"/>
    <tableColumn id="6" xr3:uid="{5D359361-B0DD-42D8-93AF-F9FFE4854B46}" name="Substances" dataCellStyle="Normal 4"/>
    <tableColumn id="7" xr3:uid="{B5518D83-4F06-48AD-9004-290D268F2A14}" name="Statut" dataCellStyle="Normal 4"/>
    <tableColumn id="8" xr3:uid="{48FD9C40-549E-4C45-823C-C3B9ABDAAB55}" name="Région" dataCellStyle="Normal 4"/>
    <tableColumn id="9" xr3:uid="{75DFAF69-8167-4A76-8166-D97783102335}" name="Demande faite" dataDxfId="15" dataCellStyle="Normal 4"/>
    <tableColumn id="10" xr3:uid="{8E02FB4E-B5D0-4E75-9871-B2BA03EB6FCA}" name="Octroyé" dataCellStyle="Normal 4"/>
    <tableColumn id="11" xr3:uid="{7B4C6BEA-C339-4CD0-9E76-F228CAF660C3}" name="Expire le" dataCellStyle="Normal 4"/>
    <tableColumn id="12" xr3:uid="{7A08C795-8392-485A-ABD1-4BD4E6862485}" name="Renouvelé" dataCellStyle="Normal 4"/>
    <tableColumn id="13" xr3:uid="{D38F356E-D1E4-430F-9837-DF7916412618}" name="superficie" dataCellStyle="Normal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00FD-6681-4219-A9F5-E35539F36281}">
  <dimension ref="A1:M629"/>
  <sheetViews>
    <sheetView zoomScale="42" zoomScaleNormal="92" workbookViewId="0">
      <selection activeCell="C14" sqref="C14"/>
    </sheetView>
  </sheetViews>
  <sheetFormatPr baseColWidth="10" defaultRowHeight="14.5" x14ac:dyDescent="0.35"/>
  <cols>
    <col min="2" max="2" width="33.36328125" customWidth="1"/>
    <col min="3" max="3" width="33.08984375" customWidth="1"/>
    <col min="4" max="4" width="24.7265625" style="2" customWidth="1"/>
    <col min="5" max="6" width="10.90625" style="2"/>
    <col min="8" max="8" width="15.81640625" customWidth="1"/>
  </cols>
  <sheetData>
    <row r="1" spans="1:13" s="4" customFormat="1" ht="28.5" customHeight="1" x14ac:dyDescent="0.35">
      <c r="A1" s="5" t="s">
        <v>0</v>
      </c>
      <c r="B1" s="5" t="s">
        <v>1</v>
      </c>
      <c r="C1" s="5" t="s">
        <v>2</v>
      </c>
      <c r="D1" s="5" t="s">
        <v>1067</v>
      </c>
      <c r="E1" s="6" t="s">
        <v>1070</v>
      </c>
      <c r="F1" s="6" t="s">
        <v>1071</v>
      </c>
      <c r="G1" s="5" t="s">
        <v>1068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1069</v>
      </c>
    </row>
    <row r="2" spans="1:13" x14ac:dyDescent="0.35">
      <c r="A2" s="1" t="s">
        <v>8</v>
      </c>
      <c r="B2" s="1" t="s">
        <v>210</v>
      </c>
      <c r="C2" s="1" t="s">
        <v>211</v>
      </c>
      <c r="D2" s="3" t="s">
        <v>212</v>
      </c>
      <c r="E2" s="3" t="s">
        <v>213</v>
      </c>
      <c r="F2" s="3" t="s">
        <v>213</v>
      </c>
      <c r="G2" s="1" t="s">
        <v>214</v>
      </c>
      <c r="H2" s="1" t="s">
        <v>214</v>
      </c>
      <c r="I2" s="1" t="s">
        <v>12</v>
      </c>
      <c r="J2" s="1">
        <v>0</v>
      </c>
      <c r="K2" s="1" t="s">
        <v>12</v>
      </c>
      <c r="L2" s="1" t="s">
        <v>7</v>
      </c>
      <c r="M2" s="1" t="s">
        <v>8</v>
      </c>
    </row>
    <row r="3" spans="1:13" x14ac:dyDescent="0.35">
      <c r="A3" s="1" t="s">
        <v>8</v>
      </c>
      <c r="B3" s="1" t="s">
        <v>456</v>
      </c>
      <c r="C3" s="1" t="s">
        <v>457</v>
      </c>
      <c r="D3" s="3" t="s">
        <v>458</v>
      </c>
      <c r="E3" s="3">
        <v>100</v>
      </c>
      <c r="F3" s="3" t="s">
        <v>12</v>
      </c>
      <c r="G3" s="1" t="s">
        <v>459</v>
      </c>
      <c r="H3" s="1" t="s">
        <v>459</v>
      </c>
      <c r="I3" s="1" t="s">
        <v>12</v>
      </c>
      <c r="J3" s="1">
        <v>0</v>
      </c>
      <c r="K3" s="1" t="s">
        <v>12</v>
      </c>
      <c r="L3" s="1" t="s">
        <v>7</v>
      </c>
      <c r="M3" s="1" t="s">
        <v>8</v>
      </c>
    </row>
    <row r="4" spans="1:13" x14ac:dyDescent="0.35">
      <c r="A4" s="1" t="s">
        <v>8</v>
      </c>
      <c r="B4" s="1" t="s">
        <v>259</v>
      </c>
      <c r="C4" s="1" t="s">
        <v>260</v>
      </c>
      <c r="D4" s="3" t="s">
        <v>261</v>
      </c>
      <c r="E4" s="3">
        <v>100</v>
      </c>
      <c r="F4" s="3" t="s">
        <v>12</v>
      </c>
      <c r="G4" s="1" t="s">
        <v>17</v>
      </c>
      <c r="H4" s="1" t="s">
        <v>17</v>
      </c>
      <c r="I4" s="1" t="s">
        <v>12</v>
      </c>
      <c r="J4" s="1">
        <v>0</v>
      </c>
      <c r="K4" s="1" t="s">
        <v>12</v>
      </c>
      <c r="L4" s="1" t="s">
        <v>7</v>
      </c>
      <c r="M4" s="1" t="s">
        <v>8</v>
      </c>
    </row>
    <row r="5" spans="1:13" x14ac:dyDescent="0.35">
      <c r="A5" s="1" t="s">
        <v>8</v>
      </c>
      <c r="B5" s="1" t="s">
        <v>328</v>
      </c>
      <c r="C5" s="1" t="s">
        <v>329</v>
      </c>
      <c r="D5" s="3" t="s">
        <v>330</v>
      </c>
      <c r="E5" s="3">
        <v>80</v>
      </c>
      <c r="F5" s="3">
        <v>80</v>
      </c>
      <c r="G5" s="1" t="s">
        <v>17</v>
      </c>
      <c r="H5" s="1" t="s">
        <v>17</v>
      </c>
      <c r="I5" s="1" t="s">
        <v>12</v>
      </c>
      <c r="J5" s="1">
        <v>0</v>
      </c>
      <c r="K5" s="1" t="s">
        <v>12</v>
      </c>
      <c r="L5" s="1" t="s">
        <v>7</v>
      </c>
      <c r="M5" s="1" t="s">
        <v>8</v>
      </c>
    </row>
    <row r="6" spans="1:13" x14ac:dyDescent="0.35">
      <c r="A6" s="1" t="s">
        <v>8</v>
      </c>
      <c r="B6" s="1" t="s">
        <v>393</v>
      </c>
      <c r="C6" s="1" t="s">
        <v>394</v>
      </c>
      <c r="D6" s="3" t="s">
        <v>395</v>
      </c>
      <c r="E6" s="3">
        <v>25</v>
      </c>
      <c r="F6" s="3" t="s">
        <v>12</v>
      </c>
      <c r="G6" s="1" t="s">
        <v>17</v>
      </c>
      <c r="H6" s="1" t="s">
        <v>17</v>
      </c>
      <c r="I6" s="1" t="s">
        <v>12</v>
      </c>
      <c r="J6" s="1">
        <v>0</v>
      </c>
      <c r="K6" s="1" t="s">
        <v>12</v>
      </c>
      <c r="L6" s="1" t="s">
        <v>7</v>
      </c>
      <c r="M6" s="1" t="s">
        <v>8</v>
      </c>
    </row>
    <row r="7" spans="1:13" x14ac:dyDescent="0.35">
      <c r="A7" s="1" t="s">
        <v>8</v>
      </c>
      <c r="B7" s="1" t="s">
        <v>481</v>
      </c>
      <c r="C7" s="1" t="s">
        <v>481</v>
      </c>
      <c r="D7" s="3" t="s">
        <v>482</v>
      </c>
      <c r="E7" s="3" t="s">
        <v>12</v>
      </c>
      <c r="F7" s="3" t="s">
        <v>12</v>
      </c>
      <c r="G7" s="1" t="s">
        <v>17</v>
      </c>
      <c r="H7" s="1" t="s">
        <v>17</v>
      </c>
      <c r="I7" s="1" t="s">
        <v>12</v>
      </c>
      <c r="J7" s="1">
        <v>0</v>
      </c>
      <c r="K7" s="1" t="s">
        <v>12</v>
      </c>
      <c r="L7" s="1" t="s">
        <v>7</v>
      </c>
      <c r="M7" s="1" t="s">
        <v>8</v>
      </c>
    </row>
    <row r="8" spans="1:13" x14ac:dyDescent="0.35">
      <c r="A8" s="1" t="s">
        <v>8</v>
      </c>
      <c r="B8" s="1" t="s">
        <v>393</v>
      </c>
      <c r="C8" s="1" t="s">
        <v>396</v>
      </c>
      <c r="D8" s="3" t="s">
        <v>395</v>
      </c>
      <c r="E8" s="3">
        <v>75</v>
      </c>
      <c r="F8" s="3" t="s">
        <v>12</v>
      </c>
      <c r="G8" s="1" t="s">
        <v>17</v>
      </c>
      <c r="H8" s="1" t="s">
        <v>17</v>
      </c>
      <c r="I8" s="1" t="s">
        <v>12</v>
      </c>
      <c r="J8" s="1">
        <v>0</v>
      </c>
      <c r="K8" s="1" t="s">
        <v>12</v>
      </c>
      <c r="L8" s="1" t="s">
        <v>7</v>
      </c>
      <c r="M8" s="1" t="s">
        <v>8</v>
      </c>
    </row>
    <row r="9" spans="1:13" x14ac:dyDescent="0.35">
      <c r="A9" s="1" t="s">
        <v>8</v>
      </c>
      <c r="B9" s="1" t="s">
        <v>397</v>
      </c>
      <c r="C9" s="1" t="s">
        <v>398</v>
      </c>
      <c r="D9" s="3" t="s">
        <v>399</v>
      </c>
      <c r="E9" s="3">
        <v>100</v>
      </c>
      <c r="F9" s="3">
        <v>100</v>
      </c>
      <c r="G9" s="1" t="s">
        <v>17</v>
      </c>
      <c r="H9" s="1" t="s">
        <v>17</v>
      </c>
      <c r="I9" s="1" t="s">
        <v>12</v>
      </c>
      <c r="J9" s="1">
        <v>0</v>
      </c>
      <c r="K9" s="1" t="s">
        <v>12</v>
      </c>
      <c r="L9" s="1" t="s">
        <v>7</v>
      </c>
      <c r="M9" s="1" t="s">
        <v>8</v>
      </c>
    </row>
    <row r="10" spans="1:13" x14ac:dyDescent="0.35">
      <c r="A10" s="1" t="s">
        <v>8</v>
      </c>
      <c r="B10" s="1" t="s">
        <v>735</v>
      </c>
      <c r="C10" s="1" t="s">
        <v>736</v>
      </c>
      <c r="D10" s="3" t="s">
        <v>737</v>
      </c>
      <c r="E10" s="3" t="s">
        <v>12</v>
      </c>
      <c r="F10" s="3" t="s">
        <v>12</v>
      </c>
      <c r="G10" s="1" t="s">
        <v>139</v>
      </c>
      <c r="H10" s="1" t="s">
        <v>139</v>
      </c>
      <c r="I10" s="1" t="s">
        <v>12</v>
      </c>
      <c r="J10" s="1">
        <v>0</v>
      </c>
      <c r="K10" s="1" t="s">
        <v>12</v>
      </c>
      <c r="L10" s="1" t="s">
        <v>7</v>
      </c>
      <c r="M10" s="1" t="s">
        <v>8</v>
      </c>
    </row>
    <row r="11" spans="1:13" x14ac:dyDescent="0.35">
      <c r="A11" s="1" t="s">
        <v>8</v>
      </c>
      <c r="B11" s="1" t="s">
        <v>713</v>
      </c>
      <c r="C11" s="1" t="s">
        <v>714</v>
      </c>
      <c r="D11" s="3" t="s">
        <v>715</v>
      </c>
      <c r="E11" s="3" t="s">
        <v>716</v>
      </c>
      <c r="F11" s="3" t="s">
        <v>716</v>
      </c>
      <c r="G11" s="1" t="s">
        <v>139</v>
      </c>
      <c r="H11" s="1" t="s">
        <v>139</v>
      </c>
      <c r="I11" s="1" t="s">
        <v>12</v>
      </c>
      <c r="J11" s="1">
        <v>0</v>
      </c>
      <c r="K11" s="1" t="s">
        <v>12</v>
      </c>
      <c r="L11" s="1" t="s">
        <v>7</v>
      </c>
      <c r="M11" s="1" t="s">
        <v>8</v>
      </c>
    </row>
    <row r="12" spans="1:13" x14ac:dyDescent="0.35">
      <c r="A12" s="1" t="s">
        <v>8</v>
      </c>
      <c r="B12" s="1" t="s">
        <v>717</v>
      </c>
      <c r="C12" s="1" t="s">
        <v>718</v>
      </c>
      <c r="D12" s="3" t="s">
        <v>719</v>
      </c>
      <c r="E12" s="3">
        <v>100</v>
      </c>
      <c r="F12" s="3">
        <v>100</v>
      </c>
      <c r="G12" s="1" t="s">
        <v>17</v>
      </c>
      <c r="H12" s="1" t="s">
        <v>17</v>
      </c>
      <c r="I12" s="1" t="s">
        <v>12</v>
      </c>
      <c r="J12" s="1">
        <v>0</v>
      </c>
      <c r="K12" s="1" t="s">
        <v>12</v>
      </c>
      <c r="L12" s="1" t="s">
        <v>7</v>
      </c>
      <c r="M12" s="1" t="s">
        <v>8</v>
      </c>
    </row>
    <row r="13" spans="1:13" x14ac:dyDescent="0.35">
      <c r="A13" s="1" t="s">
        <v>8</v>
      </c>
      <c r="B13" s="1" t="s">
        <v>328</v>
      </c>
      <c r="C13" s="1" t="s">
        <v>331</v>
      </c>
      <c r="D13" s="3" t="s">
        <v>330</v>
      </c>
      <c r="E13" s="3">
        <v>20</v>
      </c>
      <c r="F13" s="3">
        <v>20</v>
      </c>
      <c r="G13" s="1" t="s">
        <v>17</v>
      </c>
      <c r="H13" s="1" t="s">
        <v>17</v>
      </c>
      <c r="I13" s="1" t="s">
        <v>12</v>
      </c>
      <c r="J13" s="1">
        <v>0</v>
      </c>
      <c r="K13" s="1" t="s">
        <v>12</v>
      </c>
      <c r="L13" s="1" t="s">
        <v>7</v>
      </c>
      <c r="M13" s="1" t="s">
        <v>8</v>
      </c>
    </row>
    <row r="14" spans="1:13" x14ac:dyDescent="0.35">
      <c r="A14" s="1" t="s">
        <v>8</v>
      </c>
      <c r="B14" s="1" t="s">
        <v>788</v>
      </c>
      <c r="C14" s="1" t="s">
        <v>789</v>
      </c>
      <c r="D14" s="3" t="s">
        <v>790</v>
      </c>
      <c r="E14" s="3" t="s">
        <v>12</v>
      </c>
      <c r="F14" s="3" t="s">
        <v>12</v>
      </c>
      <c r="G14" s="1" t="s">
        <v>17</v>
      </c>
      <c r="H14" s="1" t="s">
        <v>17</v>
      </c>
      <c r="I14" s="1" t="s">
        <v>12</v>
      </c>
      <c r="J14" s="1">
        <v>0</v>
      </c>
      <c r="K14" s="1" t="s">
        <v>12</v>
      </c>
      <c r="L14" s="1" t="s">
        <v>7</v>
      </c>
      <c r="M14" s="1" t="s">
        <v>8</v>
      </c>
    </row>
    <row r="15" spans="1:13" x14ac:dyDescent="0.35">
      <c r="A15" s="1" t="s">
        <v>8</v>
      </c>
      <c r="B15" s="1" t="s">
        <v>788</v>
      </c>
      <c r="C15" s="1" t="s">
        <v>791</v>
      </c>
      <c r="D15" s="3" t="s">
        <v>790</v>
      </c>
      <c r="E15" s="3" t="s">
        <v>12</v>
      </c>
      <c r="F15" s="3" t="s">
        <v>12</v>
      </c>
      <c r="G15" s="1" t="s">
        <v>139</v>
      </c>
      <c r="H15" s="1" t="s">
        <v>139</v>
      </c>
      <c r="I15" s="1" t="s">
        <v>12</v>
      </c>
      <c r="J15" s="1">
        <v>0</v>
      </c>
      <c r="K15" s="1" t="s">
        <v>12</v>
      </c>
      <c r="L15" s="1" t="s">
        <v>7</v>
      </c>
      <c r="M15" s="1" t="s">
        <v>8</v>
      </c>
    </row>
    <row r="16" spans="1:13" x14ac:dyDescent="0.35">
      <c r="A16" s="1" t="s">
        <v>8</v>
      </c>
      <c r="B16" s="1" t="s">
        <v>788</v>
      </c>
      <c r="C16" s="1" t="s">
        <v>792</v>
      </c>
      <c r="D16" s="3" t="s">
        <v>790</v>
      </c>
      <c r="E16" s="3" t="s">
        <v>12</v>
      </c>
      <c r="F16" s="3" t="s">
        <v>12</v>
      </c>
      <c r="G16" s="1" t="s">
        <v>139</v>
      </c>
      <c r="H16" s="1" t="s">
        <v>139</v>
      </c>
      <c r="I16" s="1" t="s">
        <v>12</v>
      </c>
      <c r="J16" s="1">
        <v>0</v>
      </c>
      <c r="K16" s="1" t="s">
        <v>12</v>
      </c>
      <c r="L16" s="1" t="s">
        <v>7</v>
      </c>
      <c r="M16" s="1" t="s">
        <v>8</v>
      </c>
    </row>
    <row r="17" spans="1:13" x14ac:dyDescent="0.35">
      <c r="A17" s="1" t="s">
        <v>8</v>
      </c>
      <c r="B17" s="1" t="s">
        <v>788</v>
      </c>
      <c r="C17" s="1" t="s">
        <v>793</v>
      </c>
      <c r="D17" s="3" t="s">
        <v>790</v>
      </c>
      <c r="E17" s="3">
        <v>60</v>
      </c>
      <c r="F17" s="3">
        <v>60</v>
      </c>
      <c r="G17" s="1" t="s">
        <v>17</v>
      </c>
      <c r="H17" s="1" t="s">
        <v>17</v>
      </c>
      <c r="I17" s="1" t="s">
        <v>12</v>
      </c>
      <c r="J17" s="1">
        <v>0</v>
      </c>
      <c r="K17" s="1" t="s">
        <v>12</v>
      </c>
      <c r="L17" s="1" t="s">
        <v>7</v>
      </c>
      <c r="M17" s="1" t="s">
        <v>8</v>
      </c>
    </row>
    <row r="18" spans="1:13" x14ac:dyDescent="0.35">
      <c r="A18" s="1" t="s">
        <v>8</v>
      </c>
      <c r="B18" s="1" t="s">
        <v>788</v>
      </c>
      <c r="C18" s="1" t="s">
        <v>794</v>
      </c>
      <c r="D18" s="3" t="s">
        <v>790</v>
      </c>
      <c r="E18" s="3" t="s">
        <v>12</v>
      </c>
      <c r="F18" s="3" t="s">
        <v>12</v>
      </c>
      <c r="G18" s="1" t="s">
        <v>139</v>
      </c>
      <c r="H18" s="1" t="s">
        <v>139</v>
      </c>
      <c r="I18" s="1" t="s">
        <v>12</v>
      </c>
      <c r="J18" s="1">
        <v>0</v>
      </c>
      <c r="K18" s="1" t="s">
        <v>12</v>
      </c>
      <c r="L18" s="1" t="s">
        <v>7</v>
      </c>
      <c r="M18" s="1" t="s">
        <v>8</v>
      </c>
    </row>
    <row r="19" spans="1:13" x14ac:dyDescent="0.35">
      <c r="A19" s="1" t="s">
        <v>8</v>
      </c>
      <c r="B19" s="1" t="s">
        <v>795</v>
      </c>
      <c r="C19" s="1" t="s">
        <v>796</v>
      </c>
      <c r="D19" s="3" t="s">
        <v>797</v>
      </c>
      <c r="E19" s="3">
        <v>25</v>
      </c>
      <c r="F19" s="3">
        <v>25</v>
      </c>
      <c r="G19" s="1" t="s">
        <v>17</v>
      </c>
      <c r="H19" s="1" t="s">
        <v>17</v>
      </c>
      <c r="I19" s="1" t="s">
        <v>12</v>
      </c>
      <c r="J19" s="1">
        <v>0</v>
      </c>
      <c r="K19" s="1" t="s">
        <v>12</v>
      </c>
      <c r="L19" s="1" t="s">
        <v>7</v>
      </c>
      <c r="M19" s="1" t="s">
        <v>8</v>
      </c>
    </row>
    <row r="20" spans="1:13" x14ac:dyDescent="0.35">
      <c r="A20" s="1" t="s">
        <v>8</v>
      </c>
      <c r="B20" s="1" t="s">
        <v>795</v>
      </c>
      <c r="C20" s="1" t="s">
        <v>543</v>
      </c>
      <c r="D20" s="3" t="s">
        <v>797</v>
      </c>
      <c r="E20" s="3">
        <v>20</v>
      </c>
      <c r="F20" s="3">
        <v>20</v>
      </c>
      <c r="G20" s="1" t="s">
        <v>17</v>
      </c>
      <c r="H20" s="1" t="s">
        <v>17</v>
      </c>
      <c r="I20" s="1" t="s">
        <v>12</v>
      </c>
      <c r="J20" s="1">
        <v>0</v>
      </c>
      <c r="K20" s="1" t="s">
        <v>12</v>
      </c>
      <c r="L20" s="1" t="s">
        <v>7</v>
      </c>
      <c r="M20" s="1" t="s">
        <v>8</v>
      </c>
    </row>
    <row r="21" spans="1:13" x14ac:dyDescent="0.35">
      <c r="A21" s="1" t="s">
        <v>8</v>
      </c>
      <c r="B21" s="1" t="s">
        <v>795</v>
      </c>
      <c r="C21" s="1" t="s">
        <v>798</v>
      </c>
      <c r="D21" s="3" t="s">
        <v>797</v>
      </c>
      <c r="E21" s="3">
        <v>55</v>
      </c>
      <c r="F21" s="3">
        <v>55</v>
      </c>
      <c r="G21" s="1" t="s">
        <v>17</v>
      </c>
      <c r="H21" s="1" t="s">
        <v>17</v>
      </c>
      <c r="I21" s="1" t="s">
        <v>12</v>
      </c>
      <c r="J21" s="1">
        <v>0</v>
      </c>
      <c r="K21" s="1" t="s">
        <v>12</v>
      </c>
      <c r="L21" s="1" t="s">
        <v>7</v>
      </c>
      <c r="M21" s="1" t="s">
        <v>8</v>
      </c>
    </row>
    <row r="22" spans="1:13" x14ac:dyDescent="0.35">
      <c r="A22" s="1" t="s">
        <v>8</v>
      </c>
      <c r="B22" s="1" t="s">
        <v>249</v>
      </c>
      <c r="C22" s="1" t="s">
        <v>250</v>
      </c>
      <c r="D22" s="3" t="s">
        <v>251</v>
      </c>
      <c r="E22" s="3">
        <v>100</v>
      </c>
      <c r="F22" s="3">
        <v>100</v>
      </c>
      <c r="G22" s="1" t="s">
        <v>17</v>
      </c>
      <c r="H22" s="1" t="s">
        <v>17</v>
      </c>
      <c r="I22" s="1" t="s">
        <v>12</v>
      </c>
      <c r="J22" s="1">
        <v>0</v>
      </c>
      <c r="K22" s="1" t="s">
        <v>12</v>
      </c>
      <c r="L22" s="1" t="s">
        <v>7</v>
      </c>
      <c r="M22" s="1" t="s">
        <v>8</v>
      </c>
    </row>
    <row r="23" spans="1:13" x14ac:dyDescent="0.35">
      <c r="A23" s="1" t="s">
        <v>8</v>
      </c>
      <c r="B23" s="1" t="s">
        <v>532</v>
      </c>
      <c r="C23" s="1" t="s">
        <v>533</v>
      </c>
      <c r="D23" s="3" t="s">
        <v>534</v>
      </c>
      <c r="E23" s="3">
        <v>10</v>
      </c>
      <c r="F23" s="3" t="s">
        <v>12</v>
      </c>
      <c r="G23" s="1" t="s">
        <v>17</v>
      </c>
      <c r="H23" s="1" t="s">
        <v>17</v>
      </c>
      <c r="I23" s="1" t="s">
        <v>12</v>
      </c>
      <c r="J23" s="1">
        <v>0</v>
      </c>
      <c r="K23" s="1" t="s">
        <v>12</v>
      </c>
      <c r="L23" s="1" t="s">
        <v>7</v>
      </c>
      <c r="M23" s="1" t="s">
        <v>8</v>
      </c>
    </row>
    <row r="24" spans="1:13" x14ac:dyDescent="0.35">
      <c r="A24" s="1" t="s">
        <v>8</v>
      </c>
      <c r="B24" s="1" t="s">
        <v>761</v>
      </c>
      <c r="C24" s="1" t="s">
        <v>762</v>
      </c>
      <c r="D24" s="3" t="s">
        <v>763</v>
      </c>
      <c r="E24" s="3">
        <v>100</v>
      </c>
      <c r="F24" s="3" t="s">
        <v>12</v>
      </c>
      <c r="G24" s="1" t="s">
        <v>17</v>
      </c>
      <c r="H24" s="1" t="s">
        <v>17</v>
      </c>
      <c r="I24" s="1" t="s">
        <v>12</v>
      </c>
      <c r="J24" s="1">
        <v>0</v>
      </c>
      <c r="K24" s="1" t="s">
        <v>12</v>
      </c>
      <c r="L24" s="1" t="s">
        <v>7</v>
      </c>
      <c r="M24" s="1" t="s">
        <v>8</v>
      </c>
    </row>
    <row r="25" spans="1:13" x14ac:dyDescent="0.35">
      <c r="A25" s="1" t="s">
        <v>8</v>
      </c>
      <c r="B25" s="1" t="s">
        <v>532</v>
      </c>
      <c r="C25" s="1" t="s">
        <v>535</v>
      </c>
      <c r="D25" s="3" t="s">
        <v>534</v>
      </c>
      <c r="E25" s="3">
        <v>15</v>
      </c>
      <c r="F25" s="3" t="s">
        <v>12</v>
      </c>
      <c r="G25" s="1" t="s">
        <v>17</v>
      </c>
      <c r="H25" s="1" t="s">
        <v>17</v>
      </c>
      <c r="I25" s="1" t="s">
        <v>12</v>
      </c>
      <c r="J25" s="1">
        <v>0</v>
      </c>
      <c r="K25" s="1" t="s">
        <v>12</v>
      </c>
      <c r="L25" s="1" t="s">
        <v>7</v>
      </c>
      <c r="M25" s="1" t="s">
        <v>8</v>
      </c>
    </row>
    <row r="26" spans="1:13" x14ac:dyDescent="0.35">
      <c r="A26" s="1" t="s">
        <v>8</v>
      </c>
      <c r="B26" s="1" t="s">
        <v>105</v>
      </c>
      <c r="C26" s="1" t="s">
        <v>106</v>
      </c>
      <c r="D26" s="3" t="s">
        <v>107</v>
      </c>
      <c r="E26" s="3">
        <v>50</v>
      </c>
      <c r="F26" s="3">
        <v>50</v>
      </c>
      <c r="G26" s="1" t="s">
        <v>17</v>
      </c>
      <c r="H26" s="1" t="s">
        <v>17</v>
      </c>
      <c r="I26" s="1" t="s">
        <v>12</v>
      </c>
      <c r="J26" s="1">
        <v>0</v>
      </c>
      <c r="K26" s="1" t="s">
        <v>12</v>
      </c>
      <c r="L26" s="1" t="s">
        <v>7</v>
      </c>
      <c r="M26" s="1" t="s">
        <v>8</v>
      </c>
    </row>
    <row r="27" spans="1:13" x14ac:dyDescent="0.35">
      <c r="A27" s="1" t="s">
        <v>8</v>
      </c>
      <c r="B27" s="1" t="s">
        <v>140</v>
      </c>
      <c r="C27" s="1" t="s">
        <v>143</v>
      </c>
      <c r="D27" s="3" t="s">
        <v>142</v>
      </c>
      <c r="E27" s="3">
        <v>20</v>
      </c>
      <c r="F27" s="3" t="s">
        <v>12</v>
      </c>
      <c r="G27" s="1" t="s">
        <v>17</v>
      </c>
      <c r="H27" s="1" t="s">
        <v>17</v>
      </c>
      <c r="I27" s="1" t="s">
        <v>12</v>
      </c>
      <c r="J27" s="1">
        <v>0</v>
      </c>
      <c r="K27" s="1" t="s">
        <v>12</v>
      </c>
      <c r="L27" s="1" t="s">
        <v>7</v>
      </c>
      <c r="M27" s="1" t="s">
        <v>8</v>
      </c>
    </row>
    <row r="28" spans="1:13" x14ac:dyDescent="0.35">
      <c r="A28" s="1" t="s">
        <v>8</v>
      </c>
      <c r="B28" s="1" t="s">
        <v>532</v>
      </c>
      <c r="C28" s="1" t="s">
        <v>536</v>
      </c>
      <c r="D28" s="3" t="s">
        <v>534</v>
      </c>
      <c r="E28" s="3">
        <v>15</v>
      </c>
      <c r="F28" s="3" t="s">
        <v>12</v>
      </c>
      <c r="G28" s="1" t="s">
        <v>386</v>
      </c>
      <c r="H28" s="1" t="s">
        <v>386</v>
      </c>
      <c r="I28" s="1" t="s">
        <v>12</v>
      </c>
      <c r="J28" s="1">
        <v>0</v>
      </c>
      <c r="K28" s="1" t="s">
        <v>12</v>
      </c>
      <c r="L28" s="1" t="s">
        <v>7</v>
      </c>
      <c r="M28" s="1" t="s">
        <v>8</v>
      </c>
    </row>
    <row r="29" spans="1:13" x14ac:dyDescent="0.35">
      <c r="A29" s="1" t="s">
        <v>8</v>
      </c>
      <c r="B29" s="1" t="s">
        <v>655</v>
      </c>
      <c r="C29" s="1" t="s">
        <v>658</v>
      </c>
      <c r="D29" s="3" t="s">
        <v>657</v>
      </c>
      <c r="E29" s="3">
        <v>33</v>
      </c>
      <c r="F29" s="3">
        <v>33</v>
      </c>
      <c r="G29" s="1" t="s">
        <v>17</v>
      </c>
      <c r="H29" s="1" t="s">
        <v>17</v>
      </c>
      <c r="I29" s="1" t="s">
        <v>12</v>
      </c>
      <c r="J29" s="1">
        <v>0</v>
      </c>
      <c r="K29" s="1" t="s">
        <v>12</v>
      </c>
      <c r="L29" s="1" t="s">
        <v>7</v>
      </c>
      <c r="M29" s="1" t="s">
        <v>8</v>
      </c>
    </row>
    <row r="30" spans="1:13" x14ac:dyDescent="0.35">
      <c r="A30" s="1" t="s">
        <v>8</v>
      </c>
      <c r="B30" s="1" t="s">
        <v>703</v>
      </c>
      <c r="C30" s="1" t="s">
        <v>704</v>
      </c>
      <c r="D30" s="3" t="s">
        <v>705</v>
      </c>
      <c r="E30" s="3">
        <v>30</v>
      </c>
      <c r="F30" s="3">
        <v>30</v>
      </c>
      <c r="G30" s="1" t="s">
        <v>17</v>
      </c>
      <c r="H30" s="1" t="s">
        <v>17</v>
      </c>
      <c r="I30" s="1" t="s">
        <v>12</v>
      </c>
      <c r="J30" s="1">
        <v>0</v>
      </c>
      <c r="K30" s="1" t="s">
        <v>12</v>
      </c>
      <c r="L30" s="1" t="s">
        <v>7</v>
      </c>
      <c r="M30" s="1" t="s">
        <v>8</v>
      </c>
    </row>
    <row r="31" spans="1:13" x14ac:dyDescent="0.35">
      <c r="A31" s="1" t="s">
        <v>8</v>
      </c>
      <c r="B31" s="1" t="s">
        <v>703</v>
      </c>
      <c r="C31" s="1" t="s">
        <v>706</v>
      </c>
      <c r="D31" s="3" t="s">
        <v>705</v>
      </c>
      <c r="E31" s="3">
        <v>40</v>
      </c>
      <c r="F31" s="3">
        <v>40</v>
      </c>
      <c r="G31" s="1" t="s">
        <v>17</v>
      </c>
      <c r="H31" s="1" t="s">
        <v>17</v>
      </c>
      <c r="I31" s="1" t="s">
        <v>12</v>
      </c>
      <c r="J31" s="1">
        <v>0</v>
      </c>
      <c r="K31" s="1" t="s">
        <v>12</v>
      </c>
      <c r="L31" s="1" t="s">
        <v>7</v>
      </c>
      <c r="M31" s="1" t="s">
        <v>8</v>
      </c>
    </row>
    <row r="32" spans="1:13" x14ac:dyDescent="0.35">
      <c r="A32" s="1" t="s">
        <v>8</v>
      </c>
      <c r="B32" s="1" t="s">
        <v>732</v>
      </c>
      <c r="C32" s="1" t="s">
        <v>733</v>
      </c>
      <c r="D32" s="3" t="s">
        <v>734</v>
      </c>
      <c r="E32" s="3">
        <v>15</v>
      </c>
      <c r="F32" s="3">
        <v>15</v>
      </c>
      <c r="G32" s="1" t="s">
        <v>17</v>
      </c>
      <c r="H32" s="1" t="s">
        <v>17</v>
      </c>
      <c r="I32" s="1" t="s">
        <v>12</v>
      </c>
      <c r="J32" s="1">
        <v>0</v>
      </c>
      <c r="K32" s="1" t="s">
        <v>12</v>
      </c>
      <c r="L32" s="1" t="s">
        <v>7</v>
      </c>
      <c r="M32" s="1" t="s">
        <v>8</v>
      </c>
    </row>
    <row r="33" spans="1:13" x14ac:dyDescent="0.35">
      <c r="A33" s="1" t="s">
        <v>8</v>
      </c>
      <c r="B33" s="1" t="s">
        <v>703</v>
      </c>
      <c r="C33" s="1" t="s">
        <v>687</v>
      </c>
      <c r="D33" s="3" t="s">
        <v>705</v>
      </c>
      <c r="E33" s="3">
        <v>30</v>
      </c>
      <c r="F33" s="3">
        <v>30</v>
      </c>
      <c r="G33" s="1" t="s">
        <v>17</v>
      </c>
      <c r="H33" s="1" t="s">
        <v>17</v>
      </c>
      <c r="I33" s="1" t="s">
        <v>12</v>
      </c>
      <c r="J33" s="1">
        <v>0</v>
      </c>
      <c r="K33" s="1" t="s">
        <v>12</v>
      </c>
      <c r="L33" s="1" t="s">
        <v>7</v>
      </c>
      <c r="M33" s="1" t="s">
        <v>8</v>
      </c>
    </row>
    <row r="34" spans="1:13" x14ac:dyDescent="0.35">
      <c r="A34" s="1" t="s">
        <v>8</v>
      </c>
      <c r="B34" s="1" t="s">
        <v>659</v>
      </c>
      <c r="C34" s="1" t="s">
        <v>660</v>
      </c>
      <c r="D34" s="3" t="s">
        <v>661</v>
      </c>
      <c r="E34" s="3">
        <v>48</v>
      </c>
      <c r="F34" s="3">
        <v>48</v>
      </c>
      <c r="G34" s="1" t="s">
        <v>17</v>
      </c>
      <c r="H34" s="1" t="s">
        <v>17</v>
      </c>
      <c r="I34" s="1" t="s">
        <v>12</v>
      </c>
      <c r="J34" s="1">
        <v>0</v>
      </c>
      <c r="K34" s="1" t="s">
        <v>12</v>
      </c>
      <c r="L34" s="1" t="s">
        <v>7</v>
      </c>
      <c r="M34" s="1" t="s">
        <v>8</v>
      </c>
    </row>
    <row r="35" spans="1:13" x14ac:dyDescent="0.35">
      <c r="A35" s="1" t="s">
        <v>8</v>
      </c>
      <c r="B35" s="1" t="s">
        <v>659</v>
      </c>
      <c r="C35" s="1" t="s">
        <v>662</v>
      </c>
      <c r="D35" s="3" t="s">
        <v>661</v>
      </c>
      <c r="E35" s="3">
        <v>52</v>
      </c>
      <c r="F35" s="3">
        <v>52</v>
      </c>
      <c r="G35" s="1" t="s">
        <v>17</v>
      </c>
      <c r="H35" s="1" t="s">
        <v>17</v>
      </c>
      <c r="I35" s="1" t="s">
        <v>12</v>
      </c>
      <c r="J35" s="1">
        <v>0</v>
      </c>
      <c r="K35" s="1" t="s">
        <v>12</v>
      </c>
      <c r="L35" s="1" t="s">
        <v>7</v>
      </c>
      <c r="M35" s="1" t="s">
        <v>8</v>
      </c>
    </row>
    <row r="36" spans="1:13" x14ac:dyDescent="0.35">
      <c r="A36" s="1" t="s">
        <v>8</v>
      </c>
      <c r="B36" s="1" t="s">
        <v>663</v>
      </c>
      <c r="C36" s="1" t="s">
        <v>396</v>
      </c>
      <c r="D36" s="3" t="s">
        <v>664</v>
      </c>
      <c r="E36" s="3">
        <v>100</v>
      </c>
      <c r="F36" s="3">
        <v>100</v>
      </c>
      <c r="G36" s="1" t="s">
        <v>17</v>
      </c>
      <c r="H36" s="1" t="s">
        <v>17</v>
      </c>
      <c r="I36" s="1" t="s">
        <v>12</v>
      </c>
      <c r="J36" s="1">
        <v>0</v>
      </c>
      <c r="K36" s="1" t="s">
        <v>12</v>
      </c>
      <c r="L36" s="1" t="s">
        <v>7</v>
      </c>
      <c r="M36" s="1" t="s">
        <v>8</v>
      </c>
    </row>
    <row r="37" spans="1:13" x14ac:dyDescent="0.35">
      <c r="A37" s="1" t="s">
        <v>8</v>
      </c>
      <c r="B37" s="1" t="s">
        <v>532</v>
      </c>
      <c r="C37" s="1" t="s">
        <v>537</v>
      </c>
      <c r="D37" s="3" t="s">
        <v>534</v>
      </c>
      <c r="E37" s="3">
        <v>30</v>
      </c>
      <c r="F37" s="3" t="s">
        <v>12</v>
      </c>
      <c r="G37" s="1" t="s">
        <v>17</v>
      </c>
      <c r="H37" s="1" t="s">
        <v>17</v>
      </c>
      <c r="I37" s="1" t="s">
        <v>12</v>
      </c>
      <c r="J37" s="1">
        <v>0</v>
      </c>
      <c r="K37" s="1" t="s">
        <v>12</v>
      </c>
      <c r="L37" s="1" t="s">
        <v>7</v>
      </c>
      <c r="M37" s="1" t="s">
        <v>8</v>
      </c>
    </row>
    <row r="38" spans="1:13" x14ac:dyDescent="0.35">
      <c r="A38" s="1" t="s">
        <v>8</v>
      </c>
      <c r="B38" s="1" t="s">
        <v>532</v>
      </c>
      <c r="C38" s="1" t="s">
        <v>538</v>
      </c>
      <c r="D38" s="3" t="s">
        <v>534</v>
      </c>
      <c r="E38" s="3">
        <v>30</v>
      </c>
      <c r="F38" s="3" t="s">
        <v>12</v>
      </c>
      <c r="G38" s="1" t="s">
        <v>17</v>
      </c>
      <c r="H38" s="1" t="s">
        <v>17</v>
      </c>
      <c r="I38" s="1" t="s">
        <v>12</v>
      </c>
      <c r="J38" s="1">
        <v>0</v>
      </c>
      <c r="K38" s="1" t="s">
        <v>12</v>
      </c>
      <c r="L38" s="1" t="s">
        <v>7</v>
      </c>
      <c r="M38" s="1" t="s">
        <v>8</v>
      </c>
    </row>
    <row r="39" spans="1:13" x14ac:dyDescent="0.35">
      <c r="A39" s="1" t="s">
        <v>980</v>
      </c>
      <c r="B39" s="1" t="s">
        <v>1223</v>
      </c>
      <c r="C39" s="1" t="s">
        <v>1009</v>
      </c>
      <c r="D39" s="3" t="s">
        <v>1010</v>
      </c>
      <c r="E39" s="3">
        <v>100</v>
      </c>
      <c r="F39" s="3">
        <v>100</v>
      </c>
      <c r="G39" s="1" t="s">
        <v>17</v>
      </c>
      <c r="H39" s="1" t="s">
        <v>17</v>
      </c>
      <c r="I39" s="1" t="s">
        <v>12</v>
      </c>
      <c r="J39" s="1">
        <v>0</v>
      </c>
      <c r="K39" s="1" t="s">
        <v>12</v>
      </c>
      <c r="L39" s="1" t="s">
        <v>7</v>
      </c>
      <c r="M39" s="1" t="s">
        <v>980</v>
      </c>
    </row>
    <row r="40" spans="1:13" x14ac:dyDescent="0.35">
      <c r="A40" s="1" t="s">
        <v>8</v>
      </c>
      <c r="B40" s="1" t="s">
        <v>148</v>
      </c>
      <c r="C40" s="1" t="s">
        <v>149</v>
      </c>
      <c r="D40" s="3" t="s">
        <v>150</v>
      </c>
      <c r="E40" s="3" t="s">
        <v>12</v>
      </c>
      <c r="F40" s="3" t="s">
        <v>12</v>
      </c>
      <c r="G40" s="1" t="s">
        <v>151</v>
      </c>
      <c r="H40" s="1" t="s">
        <v>151</v>
      </c>
      <c r="I40" s="1" t="s">
        <v>12</v>
      </c>
      <c r="J40" s="1">
        <v>0</v>
      </c>
      <c r="K40" s="1" t="s">
        <v>12</v>
      </c>
      <c r="L40" s="1" t="s">
        <v>7</v>
      </c>
      <c r="M40" s="1" t="s">
        <v>8</v>
      </c>
    </row>
    <row r="41" spans="1:13" x14ac:dyDescent="0.35">
      <c r="A41" s="1" t="s">
        <v>8</v>
      </c>
      <c r="B41" s="1" t="s">
        <v>152</v>
      </c>
      <c r="C41" s="1" t="s">
        <v>153</v>
      </c>
      <c r="D41" s="3" t="s">
        <v>154</v>
      </c>
      <c r="E41" s="3" t="s">
        <v>12</v>
      </c>
      <c r="F41" s="3" t="s">
        <v>12</v>
      </c>
      <c r="G41" s="1" t="s">
        <v>17</v>
      </c>
      <c r="H41" s="1" t="s">
        <v>17</v>
      </c>
      <c r="I41" s="1" t="s">
        <v>12</v>
      </c>
      <c r="J41" s="1">
        <v>0</v>
      </c>
      <c r="K41" s="1" t="s">
        <v>12</v>
      </c>
      <c r="L41" s="1" t="s">
        <v>7</v>
      </c>
      <c r="M41" s="1" t="s">
        <v>8</v>
      </c>
    </row>
    <row r="42" spans="1:13" x14ac:dyDescent="0.35">
      <c r="A42" s="1" t="s">
        <v>8</v>
      </c>
      <c r="B42" s="1" t="s">
        <v>140</v>
      </c>
      <c r="C42" s="1" t="s">
        <v>144</v>
      </c>
      <c r="D42" s="3" t="s">
        <v>142</v>
      </c>
      <c r="E42" s="3">
        <v>20</v>
      </c>
      <c r="F42" s="3" t="s">
        <v>12</v>
      </c>
      <c r="G42" s="1" t="s">
        <v>17</v>
      </c>
      <c r="H42" s="1" t="s">
        <v>17</v>
      </c>
      <c r="I42" s="1" t="s">
        <v>12</v>
      </c>
      <c r="J42" s="1">
        <v>0</v>
      </c>
      <c r="K42" s="1" t="s">
        <v>12</v>
      </c>
      <c r="L42" s="1" t="s">
        <v>7</v>
      </c>
      <c r="M42" s="1" t="s">
        <v>8</v>
      </c>
    </row>
    <row r="43" spans="1:13" x14ac:dyDescent="0.35">
      <c r="A43" s="1" t="s">
        <v>8</v>
      </c>
      <c r="B43" s="1" t="s">
        <v>140</v>
      </c>
      <c r="C43" s="1" t="s">
        <v>141</v>
      </c>
      <c r="D43" s="3" t="s">
        <v>142</v>
      </c>
      <c r="E43" s="3">
        <v>20</v>
      </c>
      <c r="F43" s="3" t="s">
        <v>12</v>
      </c>
      <c r="G43" s="1" t="s">
        <v>17</v>
      </c>
      <c r="H43" s="1" t="s">
        <v>17</v>
      </c>
      <c r="I43" s="1" t="s">
        <v>12</v>
      </c>
      <c r="J43" s="1">
        <v>0</v>
      </c>
      <c r="K43" s="1" t="s">
        <v>12</v>
      </c>
      <c r="L43" s="1" t="s">
        <v>7</v>
      </c>
      <c r="M43" s="1" t="s">
        <v>8</v>
      </c>
    </row>
    <row r="44" spans="1:13" x14ac:dyDescent="0.35">
      <c r="A44" s="1" t="s">
        <v>8</v>
      </c>
      <c r="B44" s="1" t="s">
        <v>118</v>
      </c>
      <c r="C44" s="1" t="s">
        <v>119</v>
      </c>
      <c r="D44" s="3" t="s">
        <v>120</v>
      </c>
      <c r="E44" s="3">
        <v>100</v>
      </c>
      <c r="F44" s="3" t="s">
        <v>12</v>
      </c>
      <c r="G44" s="1" t="s">
        <v>121</v>
      </c>
      <c r="H44" s="1" t="s">
        <v>121</v>
      </c>
      <c r="I44" s="1" t="s">
        <v>12</v>
      </c>
      <c r="J44" s="1">
        <v>0</v>
      </c>
      <c r="K44" s="1" t="s">
        <v>12</v>
      </c>
      <c r="L44" s="1" t="s">
        <v>7</v>
      </c>
      <c r="M44" s="1" t="s">
        <v>8</v>
      </c>
    </row>
    <row r="45" spans="1:13" x14ac:dyDescent="0.35">
      <c r="A45" s="1" t="s">
        <v>980</v>
      </c>
      <c r="B45" s="1" t="s">
        <v>1031</v>
      </c>
      <c r="C45" s="1" t="s">
        <v>1032</v>
      </c>
      <c r="D45" s="3" t="s">
        <v>1033</v>
      </c>
      <c r="E45" s="3">
        <v>100</v>
      </c>
      <c r="F45" s="3">
        <v>100</v>
      </c>
      <c r="G45" s="1" t="s">
        <v>17</v>
      </c>
      <c r="H45" s="1" t="s">
        <v>17</v>
      </c>
      <c r="I45" s="1" t="s">
        <v>168</v>
      </c>
      <c r="J45" s="1">
        <v>0</v>
      </c>
      <c r="K45" s="1" t="s">
        <v>1034</v>
      </c>
      <c r="L45" s="1" t="s">
        <v>7</v>
      </c>
      <c r="M45" s="1" t="s">
        <v>980</v>
      </c>
    </row>
    <row r="46" spans="1:13" x14ac:dyDescent="0.35">
      <c r="A46" s="1" t="s">
        <v>980</v>
      </c>
      <c r="B46" s="1" t="s">
        <v>1031</v>
      </c>
      <c r="C46" s="1" t="s">
        <v>1032</v>
      </c>
      <c r="D46" s="3" t="s">
        <v>1033</v>
      </c>
      <c r="E46" s="3">
        <v>100</v>
      </c>
      <c r="F46" s="3">
        <v>100</v>
      </c>
      <c r="G46" s="1" t="s">
        <v>17</v>
      </c>
      <c r="H46" s="1" t="s">
        <v>17</v>
      </c>
      <c r="I46" s="1" t="s">
        <v>17</v>
      </c>
      <c r="J46" s="1">
        <v>0</v>
      </c>
      <c r="K46" s="1" t="s">
        <v>1034</v>
      </c>
      <c r="L46" s="1" t="s">
        <v>7</v>
      </c>
      <c r="M46" s="1" t="s">
        <v>980</v>
      </c>
    </row>
    <row r="47" spans="1:13" x14ac:dyDescent="0.35">
      <c r="A47" s="1" t="s">
        <v>980</v>
      </c>
      <c r="B47" s="1" t="s">
        <v>1224</v>
      </c>
      <c r="C47" s="1" t="s">
        <v>997</v>
      </c>
      <c r="D47" s="3" t="s">
        <v>998</v>
      </c>
      <c r="E47" s="3" t="s">
        <v>12</v>
      </c>
      <c r="F47" s="3">
        <v>100</v>
      </c>
      <c r="G47" s="1" t="s">
        <v>17</v>
      </c>
      <c r="H47" s="1" t="s">
        <v>17</v>
      </c>
      <c r="I47" s="1" t="s">
        <v>12</v>
      </c>
      <c r="J47" s="1">
        <v>0</v>
      </c>
      <c r="K47" s="1" t="s">
        <v>12</v>
      </c>
      <c r="L47" s="1" t="s">
        <v>7</v>
      </c>
      <c r="M47" s="1" t="s">
        <v>980</v>
      </c>
    </row>
    <row r="48" spans="1:13" x14ac:dyDescent="0.35">
      <c r="A48" s="1" t="s">
        <v>980</v>
      </c>
      <c r="B48" s="1" t="s">
        <v>1045</v>
      </c>
      <c r="C48" s="1" t="s">
        <v>1046</v>
      </c>
      <c r="D48" s="3" t="s">
        <v>1047</v>
      </c>
      <c r="E48" s="3">
        <v>95</v>
      </c>
      <c r="F48" s="3">
        <v>95</v>
      </c>
      <c r="G48" s="1" t="s">
        <v>17</v>
      </c>
      <c r="H48" s="1" t="s">
        <v>17</v>
      </c>
      <c r="I48" s="1" t="s">
        <v>12</v>
      </c>
      <c r="J48" s="1">
        <v>0</v>
      </c>
      <c r="K48" s="1" t="s">
        <v>12</v>
      </c>
      <c r="L48" s="1" t="s">
        <v>7</v>
      </c>
      <c r="M48" s="1" t="s">
        <v>980</v>
      </c>
    </row>
    <row r="49" spans="1:13" x14ac:dyDescent="0.35">
      <c r="A49" s="1" t="s">
        <v>980</v>
      </c>
      <c r="B49" s="1" t="s">
        <v>1045</v>
      </c>
      <c r="C49" s="1" t="s">
        <v>1048</v>
      </c>
      <c r="D49" s="3" t="s">
        <v>1047</v>
      </c>
      <c r="E49" s="3">
        <v>5</v>
      </c>
      <c r="F49" s="3">
        <v>5</v>
      </c>
      <c r="G49" s="1" t="s">
        <v>17</v>
      </c>
      <c r="H49" s="1" t="s">
        <v>17</v>
      </c>
      <c r="I49" s="1" t="s">
        <v>12</v>
      </c>
      <c r="J49" s="1">
        <v>0</v>
      </c>
      <c r="K49" s="1" t="s">
        <v>12</v>
      </c>
      <c r="L49" s="1" t="s">
        <v>7</v>
      </c>
      <c r="M49" s="1" t="s">
        <v>980</v>
      </c>
    </row>
    <row r="50" spans="1:13" x14ac:dyDescent="0.35">
      <c r="A50" s="1" t="s">
        <v>980</v>
      </c>
      <c r="B50" s="1" t="s">
        <v>1054</v>
      </c>
      <c r="C50" s="1" t="s">
        <v>1055</v>
      </c>
      <c r="D50" s="3" t="s">
        <v>1056</v>
      </c>
      <c r="E50" s="3" t="s">
        <v>1057</v>
      </c>
      <c r="F50" s="3" t="s">
        <v>1057</v>
      </c>
      <c r="G50" s="1" t="s">
        <v>17</v>
      </c>
      <c r="H50" s="1" t="s">
        <v>17</v>
      </c>
      <c r="I50" s="1" t="s">
        <v>12</v>
      </c>
      <c r="J50" s="1">
        <v>0</v>
      </c>
      <c r="K50" s="1" t="s">
        <v>12</v>
      </c>
      <c r="L50" s="1" t="s">
        <v>7</v>
      </c>
      <c r="M50" s="1" t="s">
        <v>980</v>
      </c>
    </row>
    <row r="51" spans="1:13" x14ac:dyDescent="0.35">
      <c r="A51" s="1" t="s">
        <v>8</v>
      </c>
      <c r="B51" s="1" t="s">
        <v>50</v>
      </c>
      <c r="C51" s="1" t="s">
        <v>51</v>
      </c>
      <c r="D51" s="3" t="s">
        <v>52</v>
      </c>
      <c r="E51" s="3">
        <v>25</v>
      </c>
      <c r="F51" s="3" t="s">
        <v>12</v>
      </c>
      <c r="G51" s="1" t="s">
        <v>17</v>
      </c>
      <c r="H51" s="1" t="s">
        <v>17</v>
      </c>
      <c r="I51" s="1" t="s">
        <v>12</v>
      </c>
      <c r="J51" s="1">
        <v>0</v>
      </c>
      <c r="K51" s="1" t="s">
        <v>12</v>
      </c>
      <c r="L51" s="1" t="s">
        <v>7</v>
      </c>
      <c r="M51" s="1" t="s">
        <v>8</v>
      </c>
    </row>
    <row r="52" spans="1:13" x14ac:dyDescent="0.35">
      <c r="A52" s="1" t="s">
        <v>8</v>
      </c>
      <c r="B52" s="1" t="s">
        <v>50</v>
      </c>
      <c r="C52" s="1" t="s">
        <v>53</v>
      </c>
      <c r="D52" s="3" t="s">
        <v>52</v>
      </c>
      <c r="E52" s="3">
        <v>25</v>
      </c>
      <c r="F52" s="3" t="s">
        <v>12</v>
      </c>
      <c r="G52" s="1" t="s">
        <v>17</v>
      </c>
      <c r="H52" s="1" t="s">
        <v>17</v>
      </c>
      <c r="I52" s="1" t="s">
        <v>12</v>
      </c>
      <c r="J52" s="1">
        <v>0</v>
      </c>
      <c r="K52" s="1" t="s">
        <v>12</v>
      </c>
      <c r="L52" s="1" t="s">
        <v>7</v>
      </c>
      <c r="M52" s="1" t="s">
        <v>8</v>
      </c>
    </row>
    <row r="53" spans="1:13" x14ac:dyDescent="0.35">
      <c r="A53" s="1" t="s">
        <v>8</v>
      </c>
      <c r="B53" s="1" t="s">
        <v>161</v>
      </c>
      <c r="C53" s="1" t="s">
        <v>162</v>
      </c>
      <c r="D53" s="3" t="s">
        <v>163</v>
      </c>
      <c r="E53" s="3">
        <v>30</v>
      </c>
      <c r="F53" s="3" t="s">
        <v>12</v>
      </c>
      <c r="G53" s="1" t="s">
        <v>17</v>
      </c>
      <c r="H53" s="1" t="s">
        <v>17</v>
      </c>
      <c r="I53" s="1" t="s">
        <v>12</v>
      </c>
      <c r="J53" s="1">
        <v>0</v>
      </c>
      <c r="K53" s="1" t="s">
        <v>12</v>
      </c>
      <c r="L53" s="1" t="s">
        <v>7</v>
      </c>
      <c r="M53" s="1" t="s">
        <v>8</v>
      </c>
    </row>
    <row r="54" spans="1:13" x14ac:dyDescent="0.35">
      <c r="A54" s="1" t="s">
        <v>8</v>
      </c>
      <c r="B54" s="1" t="s">
        <v>161</v>
      </c>
      <c r="C54" s="1" t="s">
        <v>164</v>
      </c>
      <c r="D54" s="3" t="s">
        <v>163</v>
      </c>
      <c r="E54" s="3">
        <v>70</v>
      </c>
      <c r="F54" s="3" t="s">
        <v>12</v>
      </c>
      <c r="G54" s="1" t="s">
        <v>17</v>
      </c>
      <c r="H54" s="1" t="s">
        <v>17</v>
      </c>
      <c r="I54" s="1" t="s">
        <v>12</v>
      </c>
      <c r="J54" s="1">
        <v>0</v>
      </c>
      <c r="K54" s="1" t="s">
        <v>12</v>
      </c>
      <c r="L54" s="1" t="s">
        <v>7</v>
      </c>
      <c r="M54" s="1" t="s">
        <v>8</v>
      </c>
    </row>
    <row r="55" spans="1:13" x14ac:dyDescent="0.35">
      <c r="A55" s="1" t="s">
        <v>8</v>
      </c>
      <c r="B55" s="1" t="s">
        <v>165</v>
      </c>
      <c r="C55" s="1" t="s">
        <v>166</v>
      </c>
      <c r="D55" s="3" t="s">
        <v>167</v>
      </c>
      <c r="E55" s="3">
        <v>50</v>
      </c>
      <c r="F55" s="3">
        <v>50</v>
      </c>
      <c r="G55" s="1" t="s">
        <v>17</v>
      </c>
      <c r="H55" s="1" t="s">
        <v>17</v>
      </c>
      <c r="I55" s="1" t="s">
        <v>168</v>
      </c>
      <c r="J55" s="1">
        <v>0</v>
      </c>
      <c r="K55" s="1" t="s">
        <v>169</v>
      </c>
      <c r="L55" s="1" t="s">
        <v>7</v>
      </c>
      <c r="M55" s="1" t="s">
        <v>8</v>
      </c>
    </row>
    <row r="56" spans="1:13" x14ac:dyDescent="0.35">
      <c r="A56" s="1" t="s">
        <v>8</v>
      </c>
      <c r="B56" s="1" t="s">
        <v>165</v>
      </c>
      <c r="C56" s="1" t="s">
        <v>166</v>
      </c>
      <c r="D56" s="3" t="s">
        <v>167</v>
      </c>
      <c r="E56" s="3">
        <v>50</v>
      </c>
      <c r="F56" s="3">
        <v>50</v>
      </c>
      <c r="G56" s="1" t="s">
        <v>17</v>
      </c>
      <c r="H56" s="1" t="s">
        <v>17</v>
      </c>
      <c r="I56" s="1" t="s">
        <v>17</v>
      </c>
      <c r="J56" s="1">
        <v>0</v>
      </c>
      <c r="K56" s="1" t="s">
        <v>169</v>
      </c>
      <c r="L56" s="1" t="s">
        <v>7</v>
      </c>
      <c r="M56" s="1" t="s">
        <v>8</v>
      </c>
    </row>
    <row r="57" spans="1:13" x14ac:dyDescent="0.35">
      <c r="A57" s="1" t="s">
        <v>8</v>
      </c>
      <c r="B57" s="1" t="s">
        <v>50</v>
      </c>
      <c r="C57" s="1" t="s">
        <v>54</v>
      </c>
      <c r="D57" s="3" t="s">
        <v>52</v>
      </c>
      <c r="E57" s="3">
        <v>25</v>
      </c>
      <c r="F57" s="3" t="s">
        <v>12</v>
      </c>
      <c r="G57" s="1" t="s">
        <v>17</v>
      </c>
      <c r="H57" s="1" t="s">
        <v>17</v>
      </c>
      <c r="I57" s="1" t="s">
        <v>12</v>
      </c>
      <c r="J57" s="1">
        <v>0</v>
      </c>
      <c r="K57" s="1" t="s">
        <v>12</v>
      </c>
      <c r="L57" s="1" t="s">
        <v>7</v>
      </c>
      <c r="M57" s="1" t="s">
        <v>8</v>
      </c>
    </row>
    <row r="58" spans="1:13" x14ac:dyDescent="0.35">
      <c r="A58" s="1" t="s">
        <v>8</v>
      </c>
      <c r="B58" s="1" t="s">
        <v>50</v>
      </c>
      <c r="C58" s="1" t="s">
        <v>55</v>
      </c>
      <c r="D58" s="3" t="s">
        <v>52</v>
      </c>
      <c r="E58" s="3">
        <v>25</v>
      </c>
      <c r="F58" s="3" t="s">
        <v>12</v>
      </c>
      <c r="G58" s="1" t="s">
        <v>17</v>
      </c>
      <c r="H58" s="1" t="s">
        <v>17</v>
      </c>
      <c r="I58" s="1" t="s">
        <v>12</v>
      </c>
      <c r="J58" s="1">
        <v>0</v>
      </c>
      <c r="K58" s="1" t="s">
        <v>12</v>
      </c>
      <c r="L58" s="1" t="s">
        <v>7</v>
      </c>
      <c r="M58" s="1" t="s">
        <v>8</v>
      </c>
    </row>
    <row r="59" spans="1:13" x14ac:dyDescent="0.35">
      <c r="A59" s="1" t="s">
        <v>835</v>
      </c>
      <c r="B59" s="1" t="s">
        <v>836</v>
      </c>
      <c r="C59" s="1" t="s">
        <v>837</v>
      </c>
      <c r="D59" s="3" t="s">
        <v>838</v>
      </c>
      <c r="E59" s="3" t="s">
        <v>12</v>
      </c>
      <c r="F59" s="3" t="s">
        <v>12</v>
      </c>
      <c r="G59" s="1" t="s">
        <v>17</v>
      </c>
      <c r="H59" s="1" t="s">
        <v>17</v>
      </c>
      <c r="I59" s="1" t="s">
        <v>12</v>
      </c>
      <c r="J59" s="1">
        <v>0</v>
      </c>
      <c r="K59" s="1" t="s">
        <v>12</v>
      </c>
      <c r="L59" s="1" t="s">
        <v>7</v>
      </c>
      <c r="M59" s="1" t="s">
        <v>835</v>
      </c>
    </row>
    <row r="60" spans="1:13" x14ac:dyDescent="0.35">
      <c r="A60" s="1" t="s">
        <v>857</v>
      </c>
      <c r="B60" s="1" t="s">
        <v>858</v>
      </c>
      <c r="C60" s="1" t="s">
        <v>859</v>
      </c>
      <c r="D60" s="3" t="s">
        <v>860</v>
      </c>
      <c r="E60" s="3" t="s">
        <v>12</v>
      </c>
      <c r="F60" s="3" t="s">
        <v>12</v>
      </c>
      <c r="G60" s="1" t="s">
        <v>17</v>
      </c>
      <c r="H60" s="1" t="s">
        <v>17</v>
      </c>
      <c r="I60" s="1" t="s">
        <v>12</v>
      </c>
      <c r="J60" s="1">
        <v>0</v>
      </c>
      <c r="K60" s="1" t="s">
        <v>12</v>
      </c>
      <c r="L60" s="1" t="s">
        <v>7</v>
      </c>
      <c r="M60" s="1" t="s">
        <v>857</v>
      </c>
    </row>
    <row r="61" spans="1:13" x14ac:dyDescent="0.35">
      <c r="A61" s="1" t="s">
        <v>8</v>
      </c>
      <c r="B61" s="1" t="s">
        <v>344</v>
      </c>
      <c r="C61" s="1" t="s">
        <v>345</v>
      </c>
      <c r="D61" s="3" t="s">
        <v>346</v>
      </c>
      <c r="E61" s="3" t="s">
        <v>12</v>
      </c>
      <c r="F61" s="3" t="s">
        <v>12</v>
      </c>
      <c r="G61" s="1" t="s">
        <v>59</v>
      </c>
      <c r="H61" s="1" t="s">
        <v>59</v>
      </c>
      <c r="I61" s="1" t="s">
        <v>12</v>
      </c>
      <c r="J61" s="1">
        <v>0</v>
      </c>
      <c r="K61" s="1" t="s">
        <v>12</v>
      </c>
      <c r="L61" s="1" t="s">
        <v>7</v>
      </c>
      <c r="M61" s="1" t="s">
        <v>8</v>
      </c>
    </row>
    <row r="62" spans="1:13" x14ac:dyDescent="0.35">
      <c r="A62" s="1" t="s">
        <v>8</v>
      </c>
      <c r="B62" s="1" t="s">
        <v>341</v>
      </c>
      <c r="C62" s="1" t="s">
        <v>342</v>
      </c>
      <c r="D62" s="3" t="s">
        <v>343</v>
      </c>
      <c r="E62" s="3">
        <v>100</v>
      </c>
      <c r="F62" s="3">
        <v>100</v>
      </c>
      <c r="G62" s="1" t="s">
        <v>17</v>
      </c>
      <c r="H62" s="1" t="s">
        <v>17</v>
      </c>
      <c r="I62" s="1" t="s">
        <v>12</v>
      </c>
      <c r="J62" s="1">
        <v>0</v>
      </c>
      <c r="K62" s="1" t="s">
        <v>12</v>
      </c>
      <c r="L62" s="1" t="s">
        <v>7</v>
      </c>
      <c r="M62" s="1" t="s">
        <v>8</v>
      </c>
    </row>
    <row r="63" spans="1:13" x14ac:dyDescent="0.35">
      <c r="A63" s="1" t="s">
        <v>8</v>
      </c>
      <c r="B63" s="1" t="s">
        <v>347</v>
      </c>
      <c r="C63" s="1" t="s">
        <v>348</v>
      </c>
      <c r="D63" s="3" t="s">
        <v>349</v>
      </c>
      <c r="E63" s="3">
        <v>100</v>
      </c>
      <c r="F63" s="3" t="s">
        <v>12</v>
      </c>
      <c r="G63" s="1" t="s">
        <v>17</v>
      </c>
      <c r="H63" s="1" t="s">
        <v>17</v>
      </c>
      <c r="I63" s="1" t="s">
        <v>12</v>
      </c>
      <c r="J63" s="1">
        <v>0</v>
      </c>
      <c r="K63" s="1" t="s">
        <v>12</v>
      </c>
      <c r="L63" s="1" t="s">
        <v>7</v>
      </c>
      <c r="M63" s="1" t="s">
        <v>8</v>
      </c>
    </row>
    <row r="64" spans="1:13" x14ac:dyDescent="0.35">
      <c r="A64" s="1" t="s">
        <v>8</v>
      </c>
      <c r="B64" s="1" t="s">
        <v>316</v>
      </c>
      <c r="C64" s="1" t="s">
        <v>317</v>
      </c>
      <c r="D64" s="3" t="s">
        <v>318</v>
      </c>
      <c r="E64" s="3" t="s">
        <v>12</v>
      </c>
      <c r="F64" s="3">
        <v>2</v>
      </c>
      <c r="G64" s="1" t="s">
        <v>17</v>
      </c>
      <c r="H64" s="1" t="s">
        <v>17</v>
      </c>
      <c r="I64" s="1" t="s">
        <v>12</v>
      </c>
      <c r="J64" s="1">
        <v>0</v>
      </c>
      <c r="K64" s="1" t="s">
        <v>12</v>
      </c>
      <c r="L64" s="1" t="s">
        <v>7</v>
      </c>
      <c r="M64" s="1" t="s">
        <v>8</v>
      </c>
    </row>
    <row r="65" spans="1:13" x14ac:dyDescent="0.35">
      <c r="A65" s="1" t="s">
        <v>8</v>
      </c>
      <c r="B65" s="1" t="s">
        <v>335</v>
      </c>
      <c r="C65" s="1" t="s">
        <v>336</v>
      </c>
      <c r="D65" s="3" t="s">
        <v>337</v>
      </c>
      <c r="E65" s="3">
        <v>100</v>
      </c>
      <c r="F65" s="3">
        <v>100</v>
      </c>
      <c r="G65" s="1" t="s">
        <v>17</v>
      </c>
      <c r="H65" s="1" t="s">
        <v>17</v>
      </c>
      <c r="I65" s="1" t="s">
        <v>12</v>
      </c>
      <c r="J65" s="1">
        <v>0</v>
      </c>
      <c r="K65" s="1" t="s">
        <v>12</v>
      </c>
      <c r="L65" s="1" t="s">
        <v>7</v>
      </c>
      <c r="M65" s="1" t="s">
        <v>8</v>
      </c>
    </row>
    <row r="66" spans="1:13" x14ac:dyDescent="0.35">
      <c r="A66" s="1" t="s">
        <v>835</v>
      </c>
      <c r="B66" s="1" t="s">
        <v>848</v>
      </c>
      <c r="C66" s="1" t="s">
        <v>849</v>
      </c>
      <c r="D66" s="3" t="s">
        <v>850</v>
      </c>
      <c r="E66" s="3" t="s">
        <v>12</v>
      </c>
      <c r="F66" s="3" t="s">
        <v>12</v>
      </c>
      <c r="G66" s="1" t="s">
        <v>17</v>
      </c>
      <c r="H66" s="1" t="s">
        <v>17</v>
      </c>
      <c r="I66" s="1" t="s">
        <v>12</v>
      </c>
      <c r="J66" s="1">
        <v>0</v>
      </c>
      <c r="K66" s="1" t="s">
        <v>12</v>
      </c>
      <c r="L66" s="1" t="s">
        <v>7</v>
      </c>
      <c r="M66" s="1" t="s">
        <v>835</v>
      </c>
    </row>
    <row r="67" spans="1:13" x14ac:dyDescent="0.35">
      <c r="A67" s="1" t="s">
        <v>8</v>
      </c>
      <c r="B67" s="1" t="s">
        <v>830</v>
      </c>
      <c r="C67" s="1" t="s">
        <v>831</v>
      </c>
      <c r="D67" s="3" t="s">
        <v>832</v>
      </c>
      <c r="E67" s="3">
        <v>40</v>
      </c>
      <c r="F67" s="3">
        <v>40</v>
      </c>
      <c r="G67" s="1" t="s">
        <v>17</v>
      </c>
      <c r="H67" s="1" t="s">
        <v>17</v>
      </c>
      <c r="I67" s="1" t="s">
        <v>12</v>
      </c>
      <c r="J67" s="1">
        <v>0</v>
      </c>
      <c r="K67" s="1" t="s">
        <v>12</v>
      </c>
      <c r="L67" s="1" t="s">
        <v>7</v>
      </c>
      <c r="M67" s="1" t="s">
        <v>8</v>
      </c>
    </row>
    <row r="68" spans="1:13" x14ac:dyDescent="0.35">
      <c r="A68" s="1" t="s">
        <v>8</v>
      </c>
      <c r="B68" s="1" t="s">
        <v>316</v>
      </c>
      <c r="C68" s="1" t="s">
        <v>319</v>
      </c>
      <c r="D68" s="3" t="s">
        <v>318</v>
      </c>
      <c r="E68" s="3" t="s">
        <v>12</v>
      </c>
      <c r="F68" s="3">
        <v>2</v>
      </c>
      <c r="G68" s="1" t="s">
        <v>17</v>
      </c>
      <c r="H68" s="1" t="s">
        <v>17</v>
      </c>
      <c r="I68" s="1" t="s">
        <v>12</v>
      </c>
      <c r="J68" s="1">
        <v>0</v>
      </c>
      <c r="K68" s="1" t="s">
        <v>12</v>
      </c>
      <c r="L68" s="1" t="s">
        <v>7</v>
      </c>
      <c r="M68" s="1" t="s">
        <v>8</v>
      </c>
    </row>
    <row r="69" spans="1:13" x14ac:dyDescent="0.35">
      <c r="A69" s="1" t="s">
        <v>8</v>
      </c>
      <c r="B69" s="1" t="s">
        <v>320</v>
      </c>
      <c r="C69" s="1" t="s">
        <v>321</v>
      </c>
      <c r="D69" s="3" t="s">
        <v>322</v>
      </c>
      <c r="E69" s="3">
        <v>100</v>
      </c>
      <c r="F69" s="3" t="s">
        <v>12</v>
      </c>
      <c r="G69" s="1" t="s">
        <v>17</v>
      </c>
      <c r="H69" s="1" t="s">
        <v>17</v>
      </c>
      <c r="I69" s="1" t="s">
        <v>12</v>
      </c>
      <c r="J69" s="1">
        <v>0</v>
      </c>
      <c r="K69" s="1" t="s">
        <v>12</v>
      </c>
      <c r="L69" s="1" t="s">
        <v>7</v>
      </c>
      <c r="M69" s="1" t="s">
        <v>8</v>
      </c>
    </row>
    <row r="70" spans="1:13" x14ac:dyDescent="0.35">
      <c r="A70" s="1" t="s">
        <v>8</v>
      </c>
      <c r="B70" s="1" t="s">
        <v>830</v>
      </c>
      <c r="C70" s="1" t="s">
        <v>833</v>
      </c>
      <c r="D70" s="3" t="s">
        <v>832</v>
      </c>
      <c r="E70" s="3">
        <v>40</v>
      </c>
      <c r="F70" s="3">
        <v>40</v>
      </c>
      <c r="G70" s="1" t="s">
        <v>17</v>
      </c>
      <c r="H70" s="1" t="s">
        <v>17</v>
      </c>
      <c r="I70" s="1" t="s">
        <v>12</v>
      </c>
      <c r="J70" s="1">
        <v>0</v>
      </c>
      <c r="K70" s="1" t="s">
        <v>12</v>
      </c>
      <c r="L70" s="1" t="s">
        <v>7</v>
      </c>
      <c r="M70" s="1" t="s">
        <v>8</v>
      </c>
    </row>
    <row r="71" spans="1:13" x14ac:dyDescent="0.35">
      <c r="A71" s="1" t="s">
        <v>8</v>
      </c>
      <c r="B71" s="1" t="s">
        <v>830</v>
      </c>
      <c r="C71" s="1" t="s">
        <v>834</v>
      </c>
      <c r="D71" s="3" t="s">
        <v>832</v>
      </c>
      <c r="E71" s="3">
        <v>30</v>
      </c>
      <c r="F71" s="3">
        <v>30</v>
      </c>
      <c r="G71" s="1" t="s">
        <v>17</v>
      </c>
      <c r="H71" s="1" t="s">
        <v>17</v>
      </c>
      <c r="I71" s="1" t="s">
        <v>12</v>
      </c>
      <c r="J71" s="1">
        <v>0</v>
      </c>
      <c r="K71" s="1" t="s">
        <v>12</v>
      </c>
      <c r="L71" s="1" t="s">
        <v>7</v>
      </c>
      <c r="M71" s="1" t="s">
        <v>8</v>
      </c>
    </row>
    <row r="72" spans="1:13" x14ac:dyDescent="0.35">
      <c r="A72" s="1" t="s">
        <v>857</v>
      </c>
      <c r="B72" s="1" t="s">
        <v>861</v>
      </c>
      <c r="C72" s="1" t="s">
        <v>862</v>
      </c>
      <c r="D72" s="3" t="s">
        <v>863</v>
      </c>
      <c r="E72" s="3">
        <v>100</v>
      </c>
      <c r="F72" s="3">
        <v>100</v>
      </c>
      <c r="G72" s="1" t="s">
        <v>17</v>
      </c>
      <c r="H72" s="1" t="s">
        <v>17</v>
      </c>
      <c r="I72" s="1" t="s">
        <v>12</v>
      </c>
      <c r="J72" s="1">
        <v>0</v>
      </c>
      <c r="K72" s="1" t="s">
        <v>12</v>
      </c>
      <c r="L72" s="1" t="s">
        <v>7</v>
      </c>
      <c r="M72" s="1" t="s">
        <v>857</v>
      </c>
    </row>
    <row r="73" spans="1:13" x14ac:dyDescent="0.35">
      <c r="A73" s="1" t="s">
        <v>864</v>
      </c>
      <c r="B73" s="1" t="s">
        <v>1225</v>
      </c>
      <c r="C73" s="1" t="s">
        <v>865</v>
      </c>
      <c r="D73" s="3" t="s">
        <v>866</v>
      </c>
      <c r="E73" s="3" t="s">
        <v>12</v>
      </c>
      <c r="F73" s="3" t="s">
        <v>12</v>
      </c>
      <c r="G73" s="1" t="s">
        <v>17</v>
      </c>
      <c r="H73" s="1" t="s">
        <v>17</v>
      </c>
      <c r="I73" s="1" t="s">
        <v>12</v>
      </c>
      <c r="J73" s="1">
        <v>0</v>
      </c>
      <c r="K73" s="1" t="s">
        <v>12</v>
      </c>
      <c r="L73" s="1" t="s">
        <v>7</v>
      </c>
      <c r="M73" s="1" t="s">
        <v>864</v>
      </c>
    </row>
    <row r="74" spans="1:13" x14ac:dyDescent="0.35">
      <c r="A74" s="1" t="s">
        <v>8</v>
      </c>
      <c r="B74" s="1" t="s">
        <v>199</v>
      </c>
      <c r="C74" s="1" t="s">
        <v>200</v>
      </c>
      <c r="D74" s="3" t="s">
        <v>201</v>
      </c>
      <c r="E74" s="3">
        <v>24</v>
      </c>
      <c r="F74" s="3" t="s">
        <v>12</v>
      </c>
      <c r="G74" s="1" t="s">
        <v>17</v>
      </c>
      <c r="H74" s="1" t="s">
        <v>17</v>
      </c>
      <c r="I74" s="1" t="s">
        <v>12</v>
      </c>
      <c r="J74" s="1">
        <v>0</v>
      </c>
      <c r="K74" s="1" t="s">
        <v>12</v>
      </c>
      <c r="L74" s="1" t="s">
        <v>7</v>
      </c>
      <c r="M74" s="1" t="s">
        <v>8</v>
      </c>
    </row>
    <row r="75" spans="1:13" x14ac:dyDescent="0.35">
      <c r="A75" s="1" t="s">
        <v>8</v>
      </c>
      <c r="B75" s="1" t="s">
        <v>199</v>
      </c>
      <c r="C75" s="1" t="s">
        <v>202</v>
      </c>
      <c r="D75" s="3" t="s">
        <v>201</v>
      </c>
      <c r="E75" s="3">
        <v>5</v>
      </c>
      <c r="F75" s="3" t="s">
        <v>12</v>
      </c>
      <c r="G75" s="1" t="s">
        <v>17</v>
      </c>
      <c r="H75" s="1" t="s">
        <v>17</v>
      </c>
      <c r="I75" s="1" t="s">
        <v>12</v>
      </c>
      <c r="J75" s="1">
        <v>0</v>
      </c>
      <c r="K75" s="1" t="s">
        <v>12</v>
      </c>
      <c r="L75" s="1" t="s">
        <v>7</v>
      </c>
      <c r="M75" s="1" t="s">
        <v>8</v>
      </c>
    </row>
    <row r="76" spans="1:13" x14ac:dyDescent="0.35">
      <c r="A76" s="1" t="s">
        <v>8</v>
      </c>
      <c r="B76" s="1" t="s">
        <v>199</v>
      </c>
      <c r="C76" s="1" t="s">
        <v>203</v>
      </c>
      <c r="D76" s="3" t="s">
        <v>201</v>
      </c>
      <c r="E76" s="3">
        <v>11</v>
      </c>
      <c r="F76" s="3" t="s">
        <v>12</v>
      </c>
      <c r="G76" s="1" t="s">
        <v>17</v>
      </c>
      <c r="H76" s="1" t="s">
        <v>17</v>
      </c>
      <c r="I76" s="1" t="s">
        <v>12</v>
      </c>
      <c r="J76" s="1">
        <v>0</v>
      </c>
      <c r="K76" s="1" t="s">
        <v>12</v>
      </c>
      <c r="L76" s="1" t="s">
        <v>7</v>
      </c>
      <c r="M76" s="1" t="s">
        <v>8</v>
      </c>
    </row>
    <row r="77" spans="1:13" x14ac:dyDescent="0.35">
      <c r="A77" s="1" t="s">
        <v>8</v>
      </c>
      <c r="B77" s="1" t="s">
        <v>199</v>
      </c>
      <c r="C77" s="1" t="s">
        <v>204</v>
      </c>
      <c r="D77" s="3" t="s">
        <v>201</v>
      </c>
      <c r="E77" s="3">
        <v>23</v>
      </c>
      <c r="F77" s="3" t="s">
        <v>12</v>
      </c>
      <c r="G77" s="1" t="s">
        <v>17</v>
      </c>
      <c r="H77" s="1" t="s">
        <v>17</v>
      </c>
      <c r="I77" s="1" t="s">
        <v>12</v>
      </c>
      <c r="J77" s="1">
        <v>0</v>
      </c>
      <c r="K77" s="1" t="s">
        <v>12</v>
      </c>
      <c r="L77" s="1" t="s">
        <v>7</v>
      </c>
      <c r="M77" s="1" t="s">
        <v>8</v>
      </c>
    </row>
    <row r="78" spans="1:13" x14ac:dyDescent="0.35">
      <c r="A78" s="1" t="s">
        <v>8</v>
      </c>
      <c r="B78" s="1" t="s">
        <v>199</v>
      </c>
      <c r="C78" s="1" t="s">
        <v>205</v>
      </c>
      <c r="D78" s="3" t="s">
        <v>201</v>
      </c>
      <c r="E78" s="3">
        <v>11</v>
      </c>
      <c r="F78" s="3" t="s">
        <v>12</v>
      </c>
      <c r="G78" s="1" t="s">
        <v>17</v>
      </c>
      <c r="H78" s="1" t="s">
        <v>17</v>
      </c>
      <c r="I78" s="1" t="s">
        <v>12</v>
      </c>
      <c r="J78" s="1">
        <v>0</v>
      </c>
      <c r="K78" s="1" t="s">
        <v>12</v>
      </c>
      <c r="L78" s="1" t="s">
        <v>7</v>
      </c>
      <c r="M78" s="1" t="s">
        <v>8</v>
      </c>
    </row>
    <row r="79" spans="1:13" x14ac:dyDescent="0.35">
      <c r="A79" s="1" t="s">
        <v>8</v>
      </c>
      <c r="B79" s="1" t="s">
        <v>199</v>
      </c>
      <c r="C79" s="1" t="s">
        <v>206</v>
      </c>
      <c r="D79" s="3" t="s">
        <v>201</v>
      </c>
      <c r="E79" s="3">
        <v>11</v>
      </c>
      <c r="F79" s="3" t="s">
        <v>12</v>
      </c>
      <c r="G79" s="1" t="s">
        <v>17</v>
      </c>
      <c r="H79" s="1" t="s">
        <v>17</v>
      </c>
      <c r="I79" s="1" t="s">
        <v>12</v>
      </c>
      <c r="J79" s="1">
        <v>0</v>
      </c>
      <c r="K79" s="1" t="s">
        <v>12</v>
      </c>
      <c r="L79" s="1" t="s">
        <v>7</v>
      </c>
      <c r="M79" s="1" t="s">
        <v>8</v>
      </c>
    </row>
    <row r="80" spans="1:13" x14ac:dyDescent="0.35">
      <c r="A80" s="1" t="s">
        <v>864</v>
      </c>
      <c r="B80" s="1" t="s">
        <v>867</v>
      </c>
      <c r="C80" s="1" t="s">
        <v>865</v>
      </c>
      <c r="D80" s="3" t="s">
        <v>868</v>
      </c>
      <c r="E80" s="3" t="s">
        <v>12</v>
      </c>
      <c r="F80" s="3" t="s">
        <v>12</v>
      </c>
      <c r="G80" s="1" t="s">
        <v>17</v>
      </c>
      <c r="H80" s="1" t="s">
        <v>17</v>
      </c>
      <c r="I80" s="1" t="s">
        <v>12</v>
      </c>
      <c r="J80" s="1">
        <v>0</v>
      </c>
      <c r="K80" s="1" t="s">
        <v>12</v>
      </c>
      <c r="L80" s="1" t="s">
        <v>7</v>
      </c>
      <c r="M80" s="1" t="s">
        <v>864</v>
      </c>
    </row>
    <row r="81" spans="1:13" x14ac:dyDescent="0.35">
      <c r="A81" s="1" t="s">
        <v>8</v>
      </c>
      <c r="B81" s="1" t="s">
        <v>56</v>
      </c>
      <c r="C81" s="1" t="s">
        <v>57</v>
      </c>
      <c r="D81" s="3" t="s">
        <v>58</v>
      </c>
      <c r="E81" s="3" t="s">
        <v>12</v>
      </c>
      <c r="F81" s="3" t="s">
        <v>12</v>
      </c>
      <c r="G81" s="1" t="s">
        <v>59</v>
      </c>
      <c r="H81" s="1" t="s">
        <v>59</v>
      </c>
      <c r="I81" s="1" t="s">
        <v>12</v>
      </c>
      <c r="J81" s="1">
        <v>0</v>
      </c>
      <c r="K81" s="1" t="s">
        <v>12</v>
      </c>
      <c r="L81" s="1" t="s">
        <v>7</v>
      </c>
      <c r="M81" s="1" t="s">
        <v>8</v>
      </c>
    </row>
    <row r="82" spans="1:13" x14ac:dyDescent="0.35">
      <c r="A82" s="1" t="s">
        <v>980</v>
      </c>
      <c r="B82" s="1" t="s">
        <v>1226</v>
      </c>
      <c r="C82" s="1" t="s">
        <v>1049</v>
      </c>
      <c r="D82" s="3" t="s">
        <v>1050</v>
      </c>
      <c r="E82" s="3">
        <v>100</v>
      </c>
      <c r="F82" s="3">
        <v>100</v>
      </c>
      <c r="G82" s="1" t="s">
        <v>17</v>
      </c>
      <c r="H82" s="1" t="s">
        <v>17</v>
      </c>
      <c r="I82" s="1" t="s">
        <v>168</v>
      </c>
      <c r="J82" s="1">
        <v>0</v>
      </c>
      <c r="K82" s="1" t="s">
        <v>1016</v>
      </c>
      <c r="L82" s="1" t="s">
        <v>7</v>
      </c>
      <c r="M82" s="1" t="s">
        <v>980</v>
      </c>
    </row>
    <row r="83" spans="1:13" x14ac:dyDescent="0.35">
      <c r="A83" s="1" t="s">
        <v>980</v>
      </c>
      <c r="B83" s="1" t="s">
        <v>1227</v>
      </c>
      <c r="C83" s="1" t="s">
        <v>1035</v>
      </c>
      <c r="D83" s="3" t="s">
        <v>1036</v>
      </c>
      <c r="E83" s="3">
        <v>100</v>
      </c>
      <c r="F83" s="3">
        <v>100</v>
      </c>
      <c r="G83" s="1" t="s">
        <v>17</v>
      </c>
      <c r="H83" s="1" t="s">
        <v>17</v>
      </c>
      <c r="I83" s="1" t="s">
        <v>12</v>
      </c>
      <c r="J83" s="1">
        <v>0</v>
      </c>
      <c r="K83" s="1" t="s">
        <v>12</v>
      </c>
      <c r="L83" s="1" t="s">
        <v>7</v>
      </c>
      <c r="M83" s="1" t="s">
        <v>980</v>
      </c>
    </row>
    <row r="84" spans="1:13" x14ac:dyDescent="0.35">
      <c r="A84" s="1" t="s">
        <v>980</v>
      </c>
      <c r="B84" s="1" t="s">
        <v>1228</v>
      </c>
      <c r="C84" s="1" t="s">
        <v>989</v>
      </c>
      <c r="D84" s="3" t="s">
        <v>990</v>
      </c>
      <c r="E84" s="3">
        <v>100</v>
      </c>
      <c r="F84" s="3">
        <v>100</v>
      </c>
      <c r="G84" s="1" t="s">
        <v>17</v>
      </c>
      <c r="H84" s="1" t="s">
        <v>17</v>
      </c>
      <c r="I84" s="1" t="s">
        <v>12</v>
      </c>
      <c r="J84" s="1">
        <v>0</v>
      </c>
      <c r="K84" s="1" t="s">
        <v>12</v>
      </c>
      <c r="L84" s="1" t="s">
        <v>7</v>
      </c>
      <c r="M84" s="1" t="s">
        <v>980</v>
      </c>
    </row>
    <row r="85" spans="1:13" x14ac:dyDescent="0.35">
      <c r="A85" s="1" t="s">
        <v>873</v>
      </c>
      <c r="B85" s="1" t="s">
        <v>939</v>
      </c>
      <c r="C85" s="1" t="s">
        <v>940</v>
      </c>
      <c r="D85" s="3" t="s">
        <v>941</v>
      </c>
      <c r="E85" s="3">
        <v>5</v>
      </c>
      <c r="F85" s="3" t="s">
        <v>12</v>
      </c>
      <c r="G85" s="1" t="s">
        <v>17</v>
      </c>
      <c r="H85" s="1" t="s">
        <v>17</v>
      </c>
      <c r="I85" s="1" t="s">
        <v>12</v>
      </c>
      <c r="J85" s="1">
        <v>0</v>
      </c>
      <c r="K85" s="1" t="s">
        <v>12</v>
      </c>
      <c r="L85" s="1" t="s">
        <v>7</v>
      </c>
      <c r="M85" s="1" t="s">
        <v>873</v>
      </c>
    </row>
    <row r="86" spans="1:13" x14ac:dyDescent="0.35">
      <c r="A86" s="1" t="s">
        <v>8</v>
      </c>
      <c r="B86" s="1" t="s">
        <v>390</v>
      </c>
      <c r="C86" s="1" t="s">
        <v>391</v>
      </c>
      <c r="D86" s="3" t="s">
        <v>392</v>
      </c>
      <c r="E86" s="3">
        <v>100</v>
      </c>
      <c r="F86" s="3">
        <v>100</v>
      </c>
      <c r="G86" s="1" t="s">
        <v>17</v>
      </c>
      <c r="H86" s="1" t="s">
        <v>17</v>
      </c>
      <c r="I86" s="1" t="s">
        <v>12</v>
      </c>
      <c r="J86" s="1">
        <v>0</v>
      </c>
      <c r="K86" s="1" t="s">
        <v>12</v>
      </c>
      <c r="L86" s="1" t="s">
        <v>7</v>
      </c>
      <c r="M86" s="1" t="s">
        <v>8</v>
      </c>
    </row>
    <row r="87" spans="1:13" x14ac:dyDescent="0.35">
      <c r="A87" s="1" t="s">
        <v>8</v>
      </c>
      <c r="B87" s="1" t="s">
        <v>400</v>
      </c>
      <c r="C87" s="1" t="s">
        <v>401</v>
      </c>
      <c r="D87" s="3" t="s">
        <v>402</v>
      </c>
      <c r="E87" s="3">
        <v>30</v>
      </c>
      <c r="F87" s="3">
        <v>30</v>
      </c>
      <c r="G87" s="1" t="s">
        <v>17</v>
      </c>
      <c r="H87" s="1" t="s">
        <v>17</v>
      </c>
      <c r="I87" s="1" t="s">
        <v>12</v>
      </c>
      <c r="J87" s="1">
        <v>0</v>
      </c>
      <c r="K87" s="1" t="s">
        <v>12</v>
      </c>
      <c r="L87" s="1" t="s">
        <v>7</v>
      </c>
      <c r="M87" s="1" t="s">
        <v>8</v>
      </c>
    </row>
    <row r="88" spans="1:13" x14ac:dyDescent="0.35">
      <c r="A88" s="1" t="s">
        <v>8</v>
      </c>
      <c r="B88" s="1" t="s">
        <v>400</v>
      </c>
      <c r="C88" s="1" t="s">
        <v>403</v>
      </c>
      <c r="D88" s="3" t="s">
        <v>402</v>
      </c>
      <c r="E88" s="3">
        <v>30</v>
      </c>
      <c r="F88" s="3">
        <v>30</v>
      </c>
      <c r="G88" s="1" t="s">
        <v>17</v>
      </c>
      <c r="H88" s="1" t="s">
        <v>17</v>
      </c>
      <c r="I88" s="1" t="s">
        <v>12</v>
      </c>
      <c r="J88" s="1">
        <v>0</v>
      </c>
      <c r="K88" s="1" t="s">
        <v>12</v>
      </c>
      <c r="L88" s="1" t="s">
        <v>7</v>
      </c>
      <c r="M88" s="1" t="s">
        <v>8</v>
      </c>
    </row>
    <row r="89" spans="1:13" x14ac:dyDescent="0.35">
      <c r="A89" s="1" t="s">
        <v>873</v>
      </c>
      <c r="B89" s="1" t="s">
        <v>939</v>
      </c>
      <c r="C89" s="1" t="s">
        <v>942</v>
      </c>
      <c r="D89" s="3" t="s">
        <v>941</v>
      </c>
      <c r="E89" s="3">
        <v>55</v>
      </c>
      <c r="F89" s="3" t="s">
        <v>12</v>
      </c>
      <c r="G89" s="1" t="s">
        <v>17</v>
      </c>
      <c r="H89" s="1" t="s">
        <v>17</v>
      </c>
      <c r="I89" s="1" t="s">
        <v>12</v>
      </c>
      <c r="J89" s="1">
        <v>0</v>
      </c>
      <c r="K89" s="1" t="s">
        <v>12</v>
      </c>
      <c r="L89" s="1" t="s">
        <v>7</v>
      </c>
      <c r="M89" s="1" t="s">
        <v>873</v>
      </c>
    </row>
    <row r="90" spans="1:13" x14ac:dyDescent="0.35">
      <c r="A90" s="1" t="s">
        <v>873</v>
      </c>
      <c r="B90" s="1" t="s">
        <v>939</v>
      </c>
      <c r="C90" s="1" t="s">
        <v>943</v>
      </c>
      <c r="D90" s="3" t="s">
        <v>941</v>
      </c>
      <c r="E90" s="3">
        <v>40</v>
      </c>
      <c r="F90" s="3" t="s">
        <v>12</v>
      </c>
      <c r="G90" s="1" t="s">
        <v>100</v>
      </c>
      <c r="H90" s="1" t="s">
        <v>100</v>
      </c>
      <c r="I90" s="1" t="s">
        <v>12</v>
      </c>
      <c r="J90" s="1" t="s">
        <v>12</v>
      </c>
      <c r="K90" s="1" t="s">
        <v>12</v>
      </c>
      <c r="L90" s="1" t="s">
        <v>7</v>
      </c>
      <c r="M90" s="1" t="s">
        <v>873</v>
      </c>
    </row>
    <row r="91" spans="1:13" x14ac:dyDescent="0.35">
      <c r="A91" s="1" t="s">
        <v>980</v>
      </c>
      <c r="B91" s="1" t="s">
        <v>1229</v>
      </c>
      <c r="C91" s="1" t="s">
        <v>1038</v>
      </c>
      <c r="D91" s="3" t="s">
        <v>1037</v>
      </c>
      <c r="E91" s="3">
        <v>50</v>
      </c>
      <c r="F91" s="3">
        <v>50</v>
      </c>
      <c r="G91" s="1" t="s">
        <v>17</v>
      </c>
      <c r="H91" s="1" t="s">
        <v>17</v>
      </c>
      <c r="I91" s="1" t="s">
        <v>12</v>
      </c>
      <c r="J91" s="1">
        <v>0</v>
      </c>
      <c r="K91" s="1" t="s">
        <v>12</v>
      </c>
      <c r="L91" s="1" t="s">
        <v>7</v>
      </c>
      <c r="M91" s="1" t="s">
        <v>980</v>
      </c>
    </row>
    <row r="92" spans="1:13" x14ac:dyDescent="0.35">
      <c r="A92" s="1" t="s">
        <v>980</v>
      </c>
      <c r="B92" s="1" t="s">
        <v>1230</v>
      </c>
      <c r="C92" s="1" t="s">
        <v>1043</v>
      </c>
      <c r="D92" s="3" t="s">
        <v>1044</v>
      </c>
      <c r="E92" s="3">
        <v>100</v>
      </c>
      <c r="F92" s="3">
        <v>100</v>
      </c>
      <c r="G92" s="1" t="s">
        <v>17</v>
      </c>
      <c r="H92" s="1" t="s">
        <v>17</v>
      </c>
      <c r="I92" s="1" t="s">
        <v>12</v>
      </c>
      <c r="J92" s="1">
        <v>0</v>
      </c>
      <c r="K92" s="1" t="s">
        <v>12</v>
      </c>
      <c r="L92" s="1" t="s">
        <v>7</v>
      </c>
      <c r="M92" s="1" t="s">
        <v>980</v>
      </c>
    </row>
    <row r="93" spans="1:13" x14ac:dyDescent="0.35">
      <c r="A93" s="1" t="s">
        <v>8</v>
      </c>
      <c r="B93" s="1" t="s">
        <v>145</v>
      </c>
      <c r="C93" s="1" t="s">
        <v>146</v>
      </c>
      <c r="D93" s="3" t="s">
        <v>147</v>
      </c>
      <c r="E93" s="3">
        <v>100</v>
      </c>
      <c r="F93" s="3">
        <v>100</v>
      </c>
      <c r="G93" s="1" t="s">
        <v>17</v>
      </c>
      <c r="H93" s="1" t="s">
        <v>17</v>
      </c>
      <c r="I93" s="1" t="s">
        <v>12</v>
      </c>
      <c r="J93" s="1">
        <v>0</v>
      </c>
      <c r="K93" s="1" t="s">
        <v>12</v>
      </c>
      <c r="L93" s="1" t="s">
        <v>7</v>
      </c>
      <c r="M93" s="1" t="s">
        <v>8</v>
      </c>
    </row>
    <row r="94" spans="1:13" x14ac:dyDescent="0.35">
      <c r="A94" s="1" t="s">
        <v>8</v>
      </c>
      <c r="B94" s="1" t="s">
        <v>122</v>
      </c>
      <c r="C94" s="1" t="s">
        <v>123</v>
      </c>
      <c r="D94" s="3" t="s">
        <v>124</v>
      </c>
      <c r="E94" s="3" t="s">
        <v>12</v>
      </c>
      <c r="F94" s="3" t="s">
        <v>12</v>
      </c>
      <c r="G94" s="1" t="s">
        <v>125</v>
      </c>
      <c r="H94" s="1" t="s">
        <v>125</v>
      </c>
      <c r="I94" s="1" t="s">
        <v>12</v>
      </c>
      <c r="J94" s="1">
        <v>0</v>
      </c>
      <c r="K94" s="1" t="s">
        <v>12</v>
      </c>
      <c r="L94" s="1" t="s">
        <v>7</v>
      </c>
      <c r="M94" s="1" t="s">
        <v>8</v>
      </c>
    </row>
    <row r="95" spans="1:13" x14ac:dyDescent="0.35">
      <c r="A95" s="1" t="s">
        <v>8</v>
      </c>
      <c r="B95" s="1" t="s">
        <v>126</v>
      </c>
      <c r="C95" s="1" t="s">
        <v>127</v>
      </c>
      <c r="D95" s="3" t="s">
        <v>128</v>
      </c>
      <c r="E95" s="3">
        <v>100</v>
      </c>
      <c r="F95" s="3">
        <v>100</v>
      </c>
      <c r="G95" s="1" t="s">
        <v>17</v>
      </c>
      <c r="H95" s="1" t="s">
        <v>17</v>
      </c>
      <c r="I95" s="1" t="s">
        <v>12</v>
      </c>
      <c r="J95" s="1">
        <v>0</v>
      </c>
      <c r="K95" s="1" t="s">
        <v>12</v>
      </c>
      <c r="L95" s="1" t="s">
        <v>7</v>
      </c>
      <c r="M95" s="1" t="s">
        <v>8</v>
      </c>
    </row>
    <row r="96" spans="1:13" x14ac:dyDescent="0.35">
      <c r="A96" s="1" t="s">
        <v>8</v>
      </c>
      <c r="B96" s="1" t="s">
        <v>133</v>
      </c>
      <c r="C96" s="1" t="s">
        <v>134</v>
      </c>
      <c r="D96" s="3" t="s">
        <v>135</v>
      </c>
      <c r="E96" s="3">
        <v>100</v>
      </c>
      <c r="F96" s="3">
        <v>100</v>
      </c>
      <c r="G96" s="1" t="s">
        <v>17</v>
      </c>
      <c r="H96" s="1" t="s">
        <v>17</v>
      </c>
      <c r="I96" s="1" t="s">
        <v>12</v>
      </c>
      <c r="J96" s="1">
        <v>0</v>
      </c>
      <c r="K96" s="1" t="s">
        <v>12</v>
      </c>
      <c r="L96" s="1" t="s">
        <v>7</v>
      </c>
      <c r="M96" s="1" t="s">
        <v>8</v>
      </c>
    </row>
    <row r="97" spans="1:13" x14ac:dyDescent="0.35">
      <c r="A97" s="1" t="s">
        <v>980</v>
      </c>
      <c r="B97" s="1" t="s">
        <v>1226</v>
      </c>
      <c r="C97" s="1" t="s">
        <v>1049</v>
      </c>
      <c r="D97" s="3" t="s">
        <v>1050</v>
      </c>
      <c r="E97" s="3">
        <v>100</v>
      </c>
      <c r="F97" s="3">
        <v>100</v>
      </c>
      <c r="G97" s="1" t="s">
        <v>17</v>
      </c>
      <c r="H97" s="1" t="s">
        <v>17</v>
      </c>
      <c r="I97" s="1" t="s">
        <v>17</v>
      </c>
      <c r="J97" s="1">
        <v>0</v>
      </c>
      <c r="K97" s="1" t="s">
        <v>1016</v>
      </c>
      <c r="L97" s="1" t="s">
        <v>7</v>
      </c>
      <c r="M97" s="1" t="s">
        <v>980</v>
      </c>
    </row>
    <row r="98" spans="1:13" x14ac:dyDescent="0.35">
      <c r="A98" s="1" t="s">
        <v>980</v>
      </c>
      <c r="B98" s="1" t="s">
        <v>1231</v>
      </c>
      <c r="C98" s="1" t="s">
        <v>1011</v>
      </c>
      <c r="D98" s="3" t="s">
        <v>1012</v>
      </c>
      <c r="E98" s="3">
        <v>80</v>
      </c>
      <c r="F98" s="3">
        <v>80</v>
      </c>
      <c r="G98" s="1" t="s">
        <v>17</v>
      </c>
      <c r="H98" s="1" t="s">
        <v>17</v>
      </c>
      <c r="I98" s="1" t="s">
        <v>12</v>
      </c>
      <c r="J98" s="1">
        <v>0</v>
      </c>
      <c r="K98" s="1" t="s">
        <v>12</v>
      </c>
      <c r="L98" s="1" t="s">
        <v>7</v>
      </c>
      <c r="M98" s="1" t="s">
        <v>980</v>
      </c>
    </row>
    <row r="99" spans="1:13" x14ac:dyDescent="0.35">
      <c r="A99" s="1" t="s">
        <v>980</v>
      </c>
      <c r="B99" s="1" t="s">
        <v>1231</v>
      </c>
      <c r="C99" s="1" t="s">
        <v>1013</v>
      </c>
      <c r="D99" s="3" t="s">
        <v>1012</v>
      </c>
      <c r="E99" s="3">
        <v>20</v>
      </c>
      <c r="F99" s="3">
        <v>20</v>
      </c>
      <c r="G99" s="1" t="s">
        <v>17</v>
      </c>
      <c r="H99" s="1" t="s">
        <v>17</v>
      </c>
      <c r="I99" s="1" t="s">
        <v>12</v>
      </c>
      <c r="J99" s="1">
        <v>0</v>
      </c>
      <c r="K99" s="1" t="s">
        <v>12</v>
      </c>
      <c r="L99" s="1" t="s">
        <v>7</v>
      </c>
      <c r="M99" s="1" t="s">
        <v>980</v>
      </c>
    </row>
    <row r="100" spans="1:13" x14ac:dyDescent="0.35">
      <c r="A100" s="1" t="s">
        <v>980</v>
      </c>
      <c r="B100" s="1" t="s">
        <v>1232</v>
      </c>
      <c r="C100" s="1" t="s">
        <v>1014</v>
      </c>
      <c r="D100" s="3" t="s">
        <v>1015</v>
      </c>
      <c r="E100" s="3">
        <v>100</v>
      </c>
      <c r="F100" s="3">
        <v>100</v>
      </c>
      <c r="G100" s="1" t="s">
        <v>17</v>
      </c>
      <c r="H100" s="1" t="s">
        <v>17</v>
      </c>
      <c r="I100" s="1" t="s">
        <v>12</v>
      </c>
      <c r="J100" s="1">
        <v>0</v>
      </c>
      <c r="K100" s="1" t="s">
        <v>12</v>
      </c>
      <c r="L100" s="1" t="s">
        <v>7</v>
      </c>
      <c r="M100" s="1" t="s">
        <v>980</v>
      </c>
    </row>
    <row r="101" spans="1:13" x14ac:dyDescent="0.35">
      <c r="A101" s="1" t="s">
        <v>980</v>
      </c>
      <c r="B101" s="1" t="s">
        <v>1233</v>
      </c>
      <c r="C101" s="1" t="s">
        <v>1016</v>
      </c>
      <c r="D101" s="3" t="s">
        <v>1017</v>
      </c>
      <c r="E101" s="3">
        <v>100</v>
      </c>
      <c r="F101" s="3">
        <v>100</v>
      </c>
      <c r="G101" s="1" t="s">
        <v>17</v>
      </c>
      <c r="H101" s="1" t="s">
        <v>17</v>
      </c>
      <c r="I101" s="1" t="s">
        <v>168</v>
      </c>
      <c r="J101" s="1">
        <v>0</v>
      </c>
      <c r="K101" s="1" t="s">
        <v>1018</v>
      </c>
      <c r="L101" s="1" t="s">
        <v>7</v>
      </c>
      <c r="M101" s="1" t="s">
        <v>980</v>
      </c>
    </row>
    <row r="102" spans="1:13" x14ac:dyDescent="0.35">
      <c r="A102" s="1" t="s">
        <v>980</v>
      </c>
      <c r="B102" s="1" t="s">
        <v>1233</v>
      </c>
      <c r="C102" s="1" t="s">
        <v>1016</v>
      </c>
      <c r="D102" s="3" t="s">
        <v>1017</v>
      </c>
      <c r="E102" s="3">
        <v>100</v>
      </c>
      <c r="F102" s="3">
        <v>100</v>
      </c>
      <c r="G102" s="1" t="s">
        <v>17</v>
      </c>
      <c r="H102" s="1" t="s">
        <v>17</v>
      </c>
      <c r="I102" s="1" t="s">
        <v>17</v>
      </c>
      <c r="J102" s="1">
        <v>0</v>
      </c>
      <c r="K102" s="1" t="s">
        <v>1018</v>
      </c>
      <c r="L102" s="1" t="s">
        <v>7</v>
      </c>
      <c r="M102" s="1" t="s">
        <v>980</v>
      </c>
    </row>
    <row r="103" spans="1:13" x14ac:dyDescent="0.35">
      <c r="A103" s="1" t="s">
        <v>980</v>
      </c>
      <c r="B103" s="1" t="s">
        <v>1234</v>
      </c>
      <c r="C103" s="1" t="s">
        <v>993</v>
      </c>
      <c r="D103" s="3" t="s">
        <v>994</v>
      </c>
      <c r="E103" s="3">
        <v>72</v>
      </c>
      <c r="F103" s="3">
        <v>72</v>
      </c>
      <c r="G103" s="1" t="s">
        <v>17</v>
      </c>
      <c r="H103" s="1" t="s">
        <v>17</v>
      </c>
      <c r="I103" s="1" t="s">
        <v>12</v>
      </c>
      <c r="J103" s="1">
        <v>0</v>
      </c>
      <c r="K103" s="1" t="s">
        <v>12</v>
      </c>
      <c r="L103" s="1" t="s">
        <v>7</v>
      </c>
      <c r="M103" s="1" t="s">
        <v>980</v>
      </c>
    </row>
    <row r="104" spans="1:13" x14ac:dyDescent="0.35">
      <c r="A104" s="1" t="s">
        <v>8</v>
      </c>
      <c r="B104" s="1" t="s">
        <v>375</v>
      </c>
      <c r="C104" s="1" t="s">
        <v>57</v>
      </c>
      <c r="D104" s="3" t="s">
        <v>376</v>
      </c>
      <c r="E104" s="3" t="s">
        <v>12</v>
      </c>
      <c r="F104" s="3" t="s">
        <v>12</v>
      </c>
      <c r="G104" s="1" t="s">
        <v>59</v>
      </c>
      <c r="H104" s="1" t="s">
        <v>59</v>
      </c>
      <c r="I104" s="1" t="s">
        <v>12</v>
      </c>
      <c r="J104" s="1">
        <v>0</v>
      </c>
      <c r="K104" s="1" t="s">
        <v>12</v>
      </c>
      <c r="L104" s="1" t="s">
        <v>7</v>
      </c>
      <c r="M104" s="1" t="s">
        <v>8</v>
      </c>
    </row>
    <row r="105" spans="1:13" x14ac:dyDescent="0.35">
      <c r="A105" s="1" t="s">
        <v>980</v>
      </c>
      <c r="B105" s="1" t="s">
        <v>1234</v>
      </c>
      <c r="C105" s="1" t="s">
        <v>995</v>
      </c>
      <c r="D105" s="3" t="s">
        <v>994</v>
      </c>
      <c r="E105" s="3">
        <v>5</v>
      </c>
      <c r="F105" s="3">
        <v>5</v>
      </c>
      <c r="G105" s="1" t="s">
        <v>17</v>
      </c>
      <c r="H105" s="1" t="s">
        <v>17</v>
      </c>
      <c r="I105" s="1" t="s">
        <v>12</v>
      </c>
      <c r="J105" s="1">
        <v>0</v>
      </c>
      <c r="K105" s="1" t="s">
        <v>12</v>
      </c>
      <c r="L105" s="1" t="s">
        <v>7</v>
      </c>
      <c r="M105" s="1" t="s">
        <v>980</v>
      </c>
    </row>
    <row r="106" spans="1:13" x14ac:dyDescent="0.35">
      <c r="A106" s="1" t="s">
        <v>980</v>
      </c>
      <c r="B106" s="1" t="s">
        <v>1234</v>
      </c>
      <c r="C106" s="1" t="s">
        <v>996</v>
      </c>
      <c r="D106" s="3" t="s">
        <v>994</v>
      </c>
      <c r="E106" s="3">
        <v>23</v>
      </c>
      <c r="F106" s="3">
        <v>23</v>
      </c>
      <c r="G106" s="1" t="s">
        <v>182</v>
      </c>
      <c r="H106" s="1" t="s">
        <v>182</v>
      </c>
      <c r="I106" s="1" t="s">
        <v>12</v>
      </c>
      <c r="J106" s="1">
        <v>0</v>
      </c>
      <c r="K106" s="1" t="s">
        <v>12</v>
      </c>
      <c r="L106" s="1" t="s">
        <v>7</v>
      </c>
      <c r="M106" s="1" t="s">
        <v>980</v>
      </c>
    </row>
    <row r="107" spans="1:13" x14ac:dyDescent="0.35">
      <c r="A107" s="1" t="s">
        <v>980</v>
      </c>
      <c r="B107" s="1" t="s">
        <v>1235</v>
      </c>
      <c r="C107" s="1" t="s">
        <v>999</v>
      </c>
      <c r="D107" s="3" t="s">
        <v>1000</v>
      </c>
      <c r="E107" s="3">
        <v>15</v>
      </c>
      <c r="F107" s="3">
        <v>15</v>
      </c>
      <c r="G107" s="1" t="s">
        <v>17</v>
      </c>
      <c r="H107" s="1" t="s">
        <v>17</v>
      </c>
      <c r="I107" s="1" t="s">
        <v>12</v>
      </c>
      <c r="J107" s="1">
        <v>0</v>
      </c>
      <c r="K107" s="1" t="s">
        <v>12</v>
      </c>
      <c r="L107" s="1" t="s">
        <v>7</v>
      </c>
      <c r="M107" s="1" t="s">
        <v>980</v>
      </c>
    </row>
    <row r="108" spans="1:13" x14ac:dyDescent="0.35">
      <c r="A108" s="1" t="s">
        <v>980</v>
      </c>
      <c r="B108" s="1" t="s">
        <v>1235</v>
      </c>
      <c r="C108" s="1" t="s">
        <v>1001</v>
      </c>
      <c r="D108" s="3" t="s">
        <v>1000</v>
      </c>
      <c r="E108" s="3">
        <v>15</v>
      </c>
      <c r="F108" s="3">
        <v>15</v>
      </c>
      <c r="G108" s="1" t="s">
        <v>17</v>
      </c>
      <c r="H108" s="1" t="s">
        <v>17</v>
      </c>
      <c r="I108" s="1" t="s">
        <v>12</v>
      </c>
      <c r="J108" s="1">
        <v>0</v>
      </c>
      <c r="K108" s="1" t="s">
        <v>12</v>
      </c>
      <c r="L108" s="1" t="s">
        <v>7</v>
      </c>
      <c r="M108" s="1" t="s">
        <v>980</v>
      </c>
    </row>
    <row r="109" spans="1:13" x14ac:dyDescent="0.35">
      <c r="A109" s="1" t="s">
        <v>8</v>
      </c>
      <c r="B109" s="1" t="s">
        <v>223</v>
      </c>
      <c r="C109" s="1" t="s">
        <v>224</v>
      </c>
      <c r="D109" s="3" t="s">
        <v>225</v>
      </c>
      <c r="E109" s="3">
        <v>100</v>
      </c>
      <c r="F109" s="3">
        <v>100</v>
      </c>
      <c r="G109" s="1" t="s">
        <v>17</v>
      </c>
      <c r="H109" s="1" t="s">
        <v>17</v>
      </c>
      <c r="I109" s="1" t="s">
        <v>12</v>
      </c>
      <c r="J109" s="1">
        <v>0</v>
      </c>
      <c r="K109" s="1" t="s">
        <v>12</v>
      </c>
      <c r="L109" s="1" t="s">
        <v>7</v>
      </c>
      <c r="M109" s="1" t="s">
        <v>8</v>
      </c>
    </row>
    <row r="110" spans="1:13" x14ac:dyDescent="0.35">
      <c r="A110" s="1" t="s">
        <v>8</v>
      </c>
      <c r="B110" s="1" t="s">
        <v>226</v>
      </c>
      <c r="C110" s="1" t="s">
        <v>227</v>
      </c>
      <c r="D110" s="3" t="s">
        <v>228</v>
      </c>
      <c r="E110" s="3">
        <v>100</v>
      </c>
      <c r="F110" s="3">
        <v>100</v>
      </c>
      <c r="G110" s="1" t="s">
        <v>17</v>
      </c>
      <c r="H110" s="1" t="s">
        <v>17</v>
      </c>
      <c r="I110" s="1" t="s">
        <v>12</v>
      </c>
      <c r="J110" s="1">
        <v>0</v>
      </c>
      <c r="K110" s="1" t="s">
        <v>12</v>
      </c>
      <c r="L110" s="1" t="s">
        <v>7</v>
      </c>
      <c r="M110" s="1" t="s">
        <v>8</v>
      </c>
    </row>
    <row r="111" spans="1:13" x14ac:dyDescent="0.35">
      <c r="A111" s="1" t="s">
        <v>8</v>
      </c>
      <c r="B111" s="1" t="s">
        <v>232</v>
      </c>
      <c r="C111" s="1" t="s">
        <v>233</v>
      </c>
      <c r="D111" s="3" t="s">
        <v>234</v>
      </c>
      <c r="E111" s="3">
        <v>80</v>
      </c>
      <c r="F111" s="3">
        <v>80</v>
      </c>
      <c r="G111" s="1" t="s">
        <v>17</v>
      </c>
      <c r="H111" s="1" t="s">
        <v>17</v>
      </c>
      <c r="I111" s="1" t="s">
        <v>12</v>
      </c>
      <c r="J111" s="1">
        <v>0</v>
      </c>
      <c r="K111" s="1" t="s">
        <v>12</v>
      </c>
      <c r="L111" s="1" t="s">
        <v>7</v>
      </c>
      <c r="M111" s="1" t="s">
        <v>8</v>
      </c>
    </row>
    <row r="112" spans="1:13" x14ac:dyDescent="0.35">
      <c r="A112" s="1" t="s">
        <v>8</v>
      </c>
      <c r="B112" s="1" t="s">
        <v>232</v>
      </c>
      <c r="C112" s="1" t="s">
        <v>235</v>
      </c>
      <c r="D112" s="3" t="s">
        <v>234</v>
      </c>
      <c r="E112" s="3">
        <v>20</v>
      </c>
      <c r="F112" s="3">
        <v>20</v>
      </c>
      <c r="G112" s="1" t="s">
        <v>17</v>
      </c>
      <c r="H112" s="1" t="s">
        <v>17</v>
      </c>
      <c r="I112" s="1" t="s">
        <v>12</v>
      </c>
      <c r="J112" s="1">
        <v>0</v>
      </c>
      <c r="K112" s="1" t="s">
        <v>12</v>
      </c>
      <c r="L112" s="1" t="s">
        <v>7</v>
      </c>
      <c r="M112" s="1" t="s">
        <v>8</v>
      </c>
    </row>
    <row r="113" spans="1:13" x14ac:dyDescent="0.35">
      <c r="A113" s="1" t="s">
        <v>8</v>
      </c>
      <c r="B113" s="1" t="s">
        <v>236</v>
      </c>
      <c r="C113" s="1" t="s">
        <v>237</v>
      </c>
      <c r="D113" s="3" t="s">
        <v>238</v>
      </c>
      <c r="E113" s="3">
        <v>5</v>
      </c>
      <c r="F113" s="3">
        <v>5</v>
      </c>
      <c r="G113" s="1" t="s">
        <v>17</v>
      </c>
      <c r="H113" s="1" t="s">
        <v>17</v>
      </c>
      <c r="I113" s="1" t="s">
        <v>12</v>
      </c>
      <c r="J113" s="1">
        <v>0</v>
      </c>
      <c r="K113" s="1" t="s">
        <v>12</v>
      </c>
      <c r="L113" s="1" t="s">
        <v>7</v>
      </c>
      <c r="M113" s="1" t="s">
        <v>8</v>
      </c>
    </row>
    <row r="114" spans="1:13" x14ac:dyDescent="0.35">
      <c r="A114" s="1" t="s">
        <v>8</v>
      </c>
      <c r="B114" s="1" t="s">
        <v>236</v>
      </c>
      <c r="C114" s="1" t="s">
        <v>239</v>
      </c>
      <c r="D114" s="3" t="s">
        <v>238</v>
      </c>
      <c r="E114" s="3">
        <v>65</v>
      </c>
      <c r="F114" s="3">
        <v>65</v>
      </c>
      <c r="G114" s="1" t="s">
        <v>17</v>
      </c>
      <c r="H114" s="1" t="s">
        <v>17</v>
      </c>
      <c r="I114" s="1" t="s">
        <v>12</v>
      </c>
      <c r="J114" s="1">
        <v>0</v>
      </c>
      <c r="K114" s="1" t="s">
        <v>12</v>
      </c>
      <c r="L114" s="1" t="s">
        <v>7</v>
      </c>
      <c r="M114" s="1" t="s">
        <v>8</v>
      </c>
    </row>
    <row r="115" spans="1:13" x14ac:dyDescent="0.35">
      <c r="A115" s="1" t="s">
        <v>8</v>
      </c>
      <c r="B115" s="1" t="s">
        <v>236</v>
      </c>
      <c r="C115" s="1" t="s">
        <v>240</v>
      </c>
      <c r="D115" s="3" t="s">
        <v>238</v>
      </c>
      <c r="E115" s="3">
        <v>30</v>
      </c>
      <c r="F115" s="3">
        <v>30</v>
      </c>
      <c r="G115" s="1" t="s">
        <v>17</v>
      </c>
      <c r="H115" s="1" t="s">
        <v>17</v>
      </c>
      <c r="I115" s="1" t="s">
        <v>12</v>
      </c>
      <c r="J115" s="1">
        <v>0</v>
      </c>
      <c r="K115" s="1" t="s">
        <v>12</v>
      </c>
      <c r="L115" s="1" t="s">
        <v>7</v>
      </c>
      <c r="M115" s="1" t="s">
        <v>8</v>
      </c>
    </row>
    <row r="116" spans="1:13" x14ac:dyDescent="0.35">
      <c r="A116" s="1" t="s">
        <v>8</v>
      </c>
      <c r="B116" s="1" t="s">
        <v>244</v>
      </c>
      <c r="C116" s="1" t="s">
        <v>171</v>
      </c>
      <c r="D116" s="3" t="s">
        <v>245</v>
      </c>
      <c r="E116" s="3">
        <v>20</v>
      </c>
      <c r="F116" s="3">
        <v>20</v>
      </c>
      <c r="G116" s="1" t="s">
        <v>17</v>
      </c>
      <c r="H116" s="1" t="s">
        <v>17</v>
      </c>
      <c r="I116" s="1" t="s">
        <v>12</v>
      </c>
      <c r="J116" s="1">
        <v>0</v>
      </c>
      <c r="K116" s="1" t="s">
        <v>12</v>
      </c>
      <c r="L116" s="1" t="s">
        <v>7</v>
      </c>
      <c r="M116" s="1" t="s">
        <v>8</v>
      </c>
    </row>
    <row r="117" spans="1:13" x14ac:dyDescent="0.35">
      <c r="A117" s="1" t="s">
        <v>8</v>
      </c>
      <c r="B117" s="1" t="s">
        <v>244</v>
      </c>
      <c r="C117" s="1" t="s">
        <v>246</v>
      </c>
      <c r="D117" s="3" t="s">
        <v>245</v>
      </c>
      <c r="E117" s="3">
        <v>40</v>
      </c>
      <c r="F117" s="3">
        <v>40</v>
      </c>
      <c r="G117" s="1" t="s">
        <v>247</v>
      </c>
      <c r="H117" s="1" t="s">
        <v>247</v>
      </c>
      <c r="I117" s="1" t="s">
        <v>12</v>
      </c>
      <c r="J117" s="1">
        <v>0</v>
      </c>
      <c r="K117" s="1" t="s">
        <v>12</v>
      </c>
      <c r="L117" s="1" t="s">
        <v>7</v>
      </c>
      <c r="M117" s="1" t="s">
        <v>8</v>
      </c>
    </row>
    <row r="118" spans="1:13" x14ac:dyDescent="0.35">
      <c r="A118" s="1" t="s">
        <v>8</v>
      </c>
      <c r="B118" s="1" t="s">
        <v>244</v>
      </c>
      <c r="C118" s="1" t="s">
        <v>248</v>
      </c>
      <c r="D118" s="3" t="s">
        <v>245</v>
      </c>
      <c r="E118" s="3">
        <v>40</v>
      </c>
      <c r="F118" s="3">
        <v>40</v>
      </c>
      <c r="G118" s="1" t="s">
        <v>17</v>
      </c>
      <c r="H118" s="1" t="s">
        <v>17</v>
      </c>
      <c r="I118" s="1" t="s">
        <v>12</v>
      </c>
      <c r="J118" s="1">
        <v>0</v>
      </c>
      <c r="K118" s="1" t="s">
        <v>12</v>
      </c>
      <c r="L118" s="1" t="s">
        <v>7</v>
      </c>
      <c r="M118" s="1" t="s">
        <v>8</v>
      </c>
    </row>
    <row r="119" spans="1:13" x14ac:dyDescent="0.35">
      <c r="A119" s="1" t="s">
        <v>980</v>
      </c>
      <c r="B119" s="1" t="s">
        <v>1236</v>
      </c>
      <c r="C119" s="1" t="s">
        <v>1002</v>
      </c>
      <c r="D119" s="3" t="s">
        <v>1003</v>
      </c>
      <c r="E119" s="3">
        <v>30</v>
      </c>
      <c r="F119" s="3">
        <v>30</v>
      </c>
      <c r="G119" s="1" t="s">
        <v>17</v>
      </c>
      <c r="H119" s="1" t="s">
        <v>17</v>
      </c>
      <c r="I119" s="1" t="s">
        <v>12</v>
      </c>
      <c r="J119" s="1">
        <v>0</v>
      </c>
      <c r="K119" s="1" t="s">
        <v>12</v>
      </c>
      <c r="L119" s="1" t="s">
        <v>7</v>
      </c>
      <c r="M119" s="1" t="s">
        <v>980</v>
      </c>
    </row>
    <row r="120" spans="1:13" x14ac:dyDescent="0.35">
      <c r="A120" s="1" t="s">
        <v>980</v>
      </c>
      <c r="B120" s="1" t="s">
        <v>1237</v>
      </c>
      <c r="C120" s="1" t="s">
        <v>999</v>
      </c>
      <c r="D120" s="3" t="s">
        <v>1004</v>
      </c>
      <c r="E120" s="3">
        <v>15</v>
      </c>
      <c r="F120" s="3">
        <v>15</v>
      </c>
      <c r="G120" s="1" t="s">
        <v>17</v>
      </c>
      <c r="H120" s="1" t="s">
        <v>17</v>
      </c>
      <c r="I120" s="1" t="s">
        <v>168</v>
      </c>
      <c r="J120" s="1">
        <v>1</v>
      </c>
      <c r="K120" s="1" t="s">
        <v>12</v>
      </c>
      <c r="L120" s="1" t="s">
        <v>7</v>
      </c>
      <c r="M120" s="1" t="s">
        <v>980</v>
      </c>
    </row>
    <row r="121" spans="1:13" x14ac:dyDescent="0.35">
      <c r="A121" s="1" t="s">
        <v>8</v>
      </c>
      <c r="B121" s="1" t="s">
        <v>82</v>
      </c>
      <c r="C121" s="1" t="s">
        <v>83</v>
      </c>
      <c r="D121" s="3" t="s">
        <v>84</v>
      </c>
      <c r="E121" s="3">
        <v>25</v>
      </c>
      <c r="F121" s="3">
        <v>25</v>
      </c>
      <c r="G121" s="1" t="s">
        <v>17</v>
      </c>
      <c r="H121" s="1" t="s">
        <v>17</v>
      </c>
      <c r="I121" s="1" t="s">
        <v>12</v>
      </c>
      <c r="J121" s="1">
        <v>0</v>
      </c>
      <c r="K121" s="1" t="s">
        <v>12</v>
      </c>
      <c r="L121" s="1" t="s">
        <v>7</v>
      </c>
      <c r="M121" s="1" t="s">
        <v>8</v>
      </c>
    </row>
    <row r="122" spans="1:13" x14ac:dyDescent="0.35">
      <c r="A122" s="1" t="s">
        <v>8</v>
      </c>
      <c r="B122" s="1" t="s">
        <v>82</v>
      </c>
      <c r="C122" s="1" t="s">
        <v>85</v>
      </c>
      <c r="D122" s="3" t="s">
        <v>84</v>
      </c>
      <c r="E122" s="3">
        <v>30</v>
      </c>
      <c r="F122" s="3">
        <v>30</v>
      </c>
      <c r="G122" s="1" t="s">
        <v>17</v>
      </c>
      <c r="H122" s="1" t="s">
        <v>17</v>
      </c>
      <c r="I122" s="1" t="s">
        <v>12</v>
      </c>
      <c r="J122" s="1">
        <v>0</v>
      </c>
      <c r="K122" s="1" t="s">
        <v>12</v>
      </c>
      <c r="L122" s="1" t="s">
        <v>7</v>
      </c>
      <c r="M122" s="1" t="s">
        <v>8</v>
      </c>
    </row>
    <row r="123" spans="1:13" x14ac:dyDescent="0.35">
      <c r="A123" s="1" t="s">
        <v>8</v>
      </c>
      <c r="B123" s="1" t="s">
        <v>82</v>
      </c>
      <c r="C123" s="1" t="s">
        <v>86</v>
      </c>
      <c r="D123" s="3" t="s">
        <v>84</v>
      </c>
      <c r="E123" s="3">
        <v>15</v>
      </c>
      <c r="F123" s="3">
        <v>15</v>
      </c>
      <c r="G123" s="1" t="s">
        <v>17</v>
      </c>
      <c r="H123" s="1" t="s">
        <v>17</v>
      </c>
      <c r="I123" s="1" t="s">
        <v>12</v>
      </c>
      <c r="J123" s="1">
        <v>0</v>
      </c>
      <c r="K123" s="1" t="s">
        <v>12</v>
      </c>
      <c r="L123" s="1" t="s">
        <v>7</v>
      </c>
      <c r="M123" s="1" t="s">
        <v>8</v>
      </c>
    </row>
    <row r="124" spans="1:13" x14ac:dyDescent="0.35">
      <c r="A124" s="1" t="s">
        <v>8</v>
      </c>
      <c r="B124" s="1" t="s">
        <v>82</v>
      </c>
      <c r="C124" s="1" t="s">
        <v>87</v>
      </c>
      <c r="D124" s="3" t="s">
        <v>84</v>
      </c>
      <c r="E124" s="3">
        <v>30</v>
      </c>
      <c r="F124" s="3">
        <v>30</v>
      </c>
      <c r="G124" s="1" t="s">
        <v>17</v>
      </c>
      <c r="H124" s="1" t="s">
        <v>17</v>
      </c>
      <c r="I124" s="1" t="s">
        <v>12</v>
      </c>
      <c r="J124" s="1">
        <v>0</v>
      </c>
      <c r="K124" s="1" t="s">
        <v>12</v>
      </c>
      <c r="L124" s="1" t="s">
        <v>7</v>
      </c>
      <c r="M124" s="1" t="s">
        <v>8</v>
      </c>
    </row>
    <row r="125" spans="1:13" x14ac:dyDescent="0.35">
      <c r="A125" s="1" t="s">
        <v>980</v>
      </c>
      <c r="B125" s="1" t="s">
        <v>1237</v>
      </c>
      <c r="C125" s="1" t="s">
        <v>999</v>
      </c>
      <c r="D125" s="3" t="s">
        <v>1004</v>
      </c>
      <c r="E125" s="3">
        <v>15</v>
      </c>
      <c r="F125" s="3">
        <v>15</v>
      </c>
      <c r="G125" s="1" t="s">
        <v>17</v>
      </c>
      <c r="H125" s="1" t="s">
        <v>17</v>
      </c>
      <c r="I125" s="1" t="s">
        <v>17</v>
      </c>
      <c r="J125" s="1">
        <v>1</v>
      </c>
      <c r="K125" s="1" t="s">
        <v>12</v>
      </c>
      <c r="L125" s="1" t="s">
        <v>7</v>
      </c>
      <c r="M125" s="1" t="s">
        <v>980</v>
      </c>
    </row>
    <row r="126" spans="1:13" x14ac:dyDescent="0.35">
      <c r="A126" s="1" t="s">
        <v>980</v>
      </c>
      <c r="B126" s="1" t="s">
        <v>1237</v>
      </c>
      <c r="C126" s="1" t="s">
        <v>1005</v>
      </c>
      <c r="D126" s="3" t="s">
        <v>1004</v>
      </c>
      <c r="E126" s="3">
        <v>15</v>
      </c>
      <c r="F126" s="3">
        <v>15</v>
      </c>
      <c r="G126" s="1" t="s">
        <v>17</v>
      </c>
      <c r="H126" s="1" t="s">
        <v>17</v>
      </c>
      <c r="I126" s="1" t="s">
        <v>168</v>
      </c>
      <c r="J126" s="1">
        <v>0</v>
      </c>
      <c r="K126" s="1" t="s">
        <v>1006</v>
      </c>
      <c r="L126" s="1" t="s">
        <v>7</v>
      </c>
      <c r="M126" s="1" t="s">
        <v>980</v>
      </c>
    </row>
    <row r="127" spans="1:13" x14ac:dyDescent="0.35">
      <c r="A127" s="1" t="s">
        <v>980</v>
      </c>
      <c r="B127" s="1" t="s">
        <v>1237</v>
      </c>
      <c r="C127" s="1" t="s">
        <v>1005</v>
      </c>
      <c r="D127" s="3" t="s">
        <v>1004</v>
      </c>
      <c r="E127" s="3">
        <v>15</v>
      </c>
      <c r="F127" s="3">
        <v>15</v>
      </c>
      <c r="G127" s="1" t="s">
        <v>17</v>
      </c>
      <c r="H127" s="1" t="s">
        <v>17</v>
      </c>
      <c r="I127" s="1" t="s">
        <v>17</v>
      </c>
      <c r="J127" s="1">
        <v>0</v>
      </c>
      <c r="K127" s="1" t="s">
        <v>1006</v>
      </c>
      <c r="L127" s="1" t="s">
        <v>7</v>
      </c>
      <c r="M127" s="1" t="s">
        <v>980</v>
      </c>
    </row>
    <row r="128" spans="1:13" x14ac:dyDescent="0.35">
      <c r="A128" s="1" t="s">
        <v>980</v>
      </c>
      <c r="B128" s="1" t="s">
        <v>1019</v>
      </c>
      <c r="C128" s="1" t="s">
        <v>1020</v>
      </c>
      <c r="D128" s="3" t="s">
        <v>1021</v>
      </c>
      <c r="E128" s="3">
        <v>100</v>
      </c>
      <c r="F128" s="3">
        <v>100</v>
      </c>
      <c r="G128" s="1" t="s">
        <v>17</v>
      </c>
      <c r="H128" s="1" t="s">
        <v>17</v>
      </c>
      <c r="I128" s="1" t="s">
        <v>12</v>
      </c>
      <c r="J128" s="1">
        <v>0</v>
      </c>
      <c r="K128" s="1" t="s">
        <v>12</v>
      </c>
      <c r="L128" s="1" t="s">
        <v>7</v>
      </c>
      <c r="M128" s="1" t="s">
        <v>980</v>
      </c>
    </row>
    <row r="129" spans="1:13" x14ac:dyDescent="0.35">
      <c r="A129" s="1" t="s">
        <v>980</v>
      </c>
      <c r="B129" s="1" t="s">
        <v>1051</v>
      </c>
      <c r="C129" s="1" t="s">
        <v>1052</v>
      </c>
      <c r="D129" s="3" t="s">
        <v>1053</v>
      </c>
      <c r="E129" s="3">
        <v>100</v>
      </c>
      <c r="F129" s="3">
        <v>100</v>
      </c>
      <c r="G129" s="1" t="s">
        <v>17</v>
      </c>
      <c r="H129" s="1" t="s">
        <v>17</v>
      </c>
      <c r="I129" s="1" t="s">
        <v>12</v>
      </c>
      <c r="J129" s="1">
        <v>0</v>
      </c>
      <c r="K129" s="1" t="s">
        <v>12</v>
      </c>
      <c r="L129" s="1" t="s">
        <v>7</v>
      </c>
      <c r="M129" s="1" t="s">
        <v>980</v>
      </c>
    </row>
    <row r="130" spans="1:13" x14ac:dyDescent="0.35">
      <c r="A130" s="1" t="s">
        <v>980</v>
      </c>
      <c r="B130" s="1" t="s">
        <v>1058</v>
      </c>
      <c r="C130" s="1" t="s">
        <v>1058</v>
      </c>
      <c r="D130" s="3" t="s">
        <v>1059</v>
      </c>
      <c r="E130" s="3">
        <v>100</v>
      </c>
      <c r="F130" s="3">
        <v>100</v>
      </c>
      <c r="G130" s="1" t="s">
        <v>17</v>
      </c>
      <c r="H130" s="1" t="s">
        <v>17</v>
      </c>
      <c r="I130" s="1" t="s">
        <v>12</v>
      </c>
      <c r="J130" s="1">
        <v>0</v>
      </c>
      <c r="K130" s="1" t="s">
        <v>12</v>
      </c>
      <c r="L130" s="1" t="s">
        <v>7</v>
      </c>
      <c r="M130" s="1" t="s">
        <v>980</v>
      </c>
    </row>
    <row r="131" spans="1:13" x14ac:dyDescent="0.35">
      <c r="A131" s="1" t="s">
        <v>980</v>
      </c>
      <c r="B131" s="1" t="s">
        <v>1060</v>
      </c>
      <c r="C131" s="1" t="s">
        <v>1060</v>
      </c>
      <c r="D131" s="3" t="s">
        <v>1061</v>
      </c>
      <c r="E131" s="3">
        <v>100</v>
      </c>
      <c r="F131" s="3">
        <v>100</v>
      </c>
      <c r="G131" s="1" t="s">
        <v>17</v>
      </c>
      <c r="H131" s="1" t="s">
        <v>17</v>
      </c>
      <c r="I131" s="1" t="s">
        <v>12</v>
      </c>
      <c r="J131" s="1">
        <v>0</v>
      </c>
      <c r="K131" s="1" t="s">
        <v>12</v>
      </c>
      <c r="L131" s="1" t="s">
        <v>7</v>
      </c>
      <c r="M131" s="1" t="s">
        <v>980</v>
      </c>
    </row>
    <row r="132" spans="1:13" x14ac:dyDescent="0.35">
      <c r="A132" s="1" t="s">
        <v>8</v>
      </c>
      <c r="B132" s="1" t="s">
        <v>33</v>
      </c>
      <c r="C132" s="1" t="s">
        <v>34</v>
      </c>
      <c r="D132" s="3" t="s">
        <v>35</v>
      </c>
      <c r="E132" s="3">
        <v>100</v>
      </c>
      <c r="F132" s="3" t="s">
        <v>12</v>
      </c>
      <c r="G132" s="1" t="s">
        <v>17</v>
      </c>
      <c r="H132" s="1" t="s">
        <v>17</v>
      </c>
      <c r="I132" s="1" t="s">
        <v>12</v>
      </c>
      <c r="J132" s="1">
        <v>0</v>
      </c>
      <c r="K132" s="1" t="s">
        <v>12</v>
      </c>
      <c r="L132" s="1" t="s">
        <v>7</v>
      </c>
      <c r="M132" s="1" t="s">
        <v>8</v>
      </c>
    </row>
    <row r="133" spans="1:13" x14ac:dyDescent="0.35">
      <c r="A133" s="1" t="s">
        <v>8</v>
      </c>
      <c r="B133" s="1" t="s">
        <v>71</v>
      </c>
      <c r="C133" s="1" t="s">
        <v>72</v>
      </c>
      <c r="D133" s="3" t="s">
        <v>73</v>
      </c>
      <c r="E133" s="3">
        <v>100</v>
      </c>
      <c r="F133" s="3">
        <v>100</v>
      </c>
      <c r="G133" s="1" t="s">
        <v>17</v>
      </c>
      <c r="H133" s="1" t="s">
        <v>17</v>
      </c>
      <c r="I133" s="1" t="s">
        <v>12</v>
      </c>
      <c r="J133" s="1">
        <v>0</v>
      </c>
      <c r="K133" s="1" t="s">
        <v>12</v>
      </c>
      <c r="L133" s="1" t="s">
        <v>7</v>
      </c>
      <c r="M133" s="1" t="s">
        <v>8</v>
      </c>
    </row>
    <row r="134" spans="1:13" x14ac:dyDescent="0.35">
      <c r="A134" s="1" t="s">
        <v>8</v>
      </c>
      <c r="B134" s="1" t="s">
        <v>186</v>
      </c>
      <c r="C134" s="1" t="s">
        <v>187</v>
      </c>
      <c r="D134" s="3" t="s">
        <v>188</v>
      </c>
      <c r="E134" s="3">
        <v>5</v>
      </c>
      <c r="F134" s="3">
        <v>5</v>
      </c>
      <c r="G134" s="1" t="s">
        <v>17</v>
      </c>
      <c r="H134" s="1" t="s">
        <v>17</v>
      </c>
      <c r="I134" s="1" t="s">
        <v>12</v>
      </c>
      <c r="J134" s="1">
        <v>0</v>
      </c>
      <c r="K134" s="1" t="s">
        <v>12</v>
      </c>
      <c r="L134" s="1" t="s">
        <v>7</v>
      </c>
      <c r="M134" s="1" t="s">
        <v>8</v>
      </c>
    </row>
    <row r="135" spans="1:13" x14ac:dyDescent="0.35">
      <c r="A135" s="1" t="s">
        <v>8</v>
      </c>
      <c r="B135" s="1" t="s">
        <v>186</v>
      </c>
      <c r="C135" s="1" t="s">
        <v>189</v>
      </c>
      <c r="D135" s="3" t="s">
        <v>188</v>
      </c>
      <c r="E135" s="3">
        <v>10</v>
      </c>
      <c r="F135" s="3">
        <v>10</v>
      </c>
      <c r="G135" s="1" t="s">
        <v>17</v>
      </c>
      <c r="H135" s="1" t="s">
        <v>17</v>
      </c>
      <c r="I135" s="1" t="s">
        <v>12</v>
      </c>
      <c r="J135" s="1">
        <v>0</v>
      </c>
      <c r="K135" s="1" t="s">
        <v>12</v>
      </c>
      <c r="L135" s="1" t="s">
        <v>7</v>
      </c>
      <c r="M135" s="1" t="s">
        <v>8</v>
      </c>
    </row>
    <row r="136" spans="1:13" x14ac:dyDescent="0.35">
      <c r="A136" s="1" t="s">
        <v>8</v>
      </c>
      <c r="B136" s="1" t="s">
        <v>186</v>
      </c>
      <c r="C136" s="1" t="s">
        <v>190</v>
      </c>
      <c r="D136" s="3" t="s">
        <v>188</v>
      </c>
      <c r="E136" s="3">
        <v>8</v>
      </c>
      <c r="F136" s="3">
        <v>8</v>
      </c>
      <c r="G136" s="1" t="s">
        <v>17</v>
      </c>
      <c r="H136" s="1" t="s">
        <v>17</v>
      </c>
      <c r="I136" s="1" t="s">
        <v>12</v>
      </c>
      <c r="J136" s="1">
        <v>0</v>
      </c>
      <c r="K136" s="1" t="s">
        <v>12</v>
      </c>
      <c r="L136" s="1" t="s">
        <v>7</v>
      </c>
      <c r="M136" s="1" t="s">
        <v>8</v>
      </c>
    </row>
    <row r="137" spans="1:13" x14ac:dyDescent="0.35">
      <c r="A137" s="1" t="s">
        <v>8</v>
      </c>
      <c r="B137" s="1" t="s">
        <v>186</v>
      </c>
      <c r="C137" s="1" t="s">
        <v>191</v>
      </c>
      <c r="D137" s="3" t="s">
        <v>188</v>
      </c>
      <c r="E137" s="3">
        <v>77</v>
      </c>
      <c r="F137" s="3">
        <v>77</v>
      </c>
      <c r="G137" s="1" t="s">
        <v>17</v>
      </c>
      <c r="H137" s="1" t="s">
        <v>17</v>
      </c>
      <c r="I137" s="1" t="s">
        <v>12</v>
      </c>
      <c r="J137" s="1">
        <v>0</v>
      </c>
      <c r="K137" s="1" t="s">
        <v>12</v>
      </c>
      <c r="L137" s="1" t="s">
        <v>7</v>
      </c>
      <c r="M137" s="1" t="s">
        <v>8</v>
      </c>
    </row>
    <row r="138" spans="1:13" x14ac:dyDescent="0.35">
      <c r="A138" s="1" t="s">
        <v>8</v>
      </c>
      <c r="B138" s="1" t="s">
        <v>192</v>
      </c>
      <c r="C138" s="1" t="s">
        <v>193</v>
      </c>
      <c r="D138" s="3" t="s">
        <v>194</v>
      </c>
      <c r="E138" s="3">
        <v>100</v>
      </c>
      <c r="F138" s="3">
        <v>100</v>
      </c>
      <c r="G138" s="1" t="s">
        <v>17</v>
      </c>
      <c r="H138" s="1" t="s">
        <v>17</v>
      </c>
      <c r="I138" s="1" t="s">
        <v>12</v>
      </c>
      <c r="J138" s="1">
        <v>0</v>
      </c>
      <c r="K138" s="1" t="s">
        <v>12</v>
      </c>
      <c r="L138" s="1" t="s">
        <v>7</v>
      </c>
      <c r="M138" s="1" t="s">
        <v>8</v>
      </c>
    </row>
    <row r="139" spans="1:13" x14ac:dyDescent="0.35">
      <c r="A139" s="1" t="s">
        <v>8</v>
      </c>
      <c r="B139" s="1" t="s">
        <v>24</v>
      </c>
      <c r="C139" s="1" t="s">
        <v>25</v>
      </c>
      <c r="D139" s="3" t="s">
        <v>26</v>
      </c>
      <c r="E139" s="3">
        <v>50</v>
      </c>
      <c r="F139" s="3">
        <v>50</v>
      </c>
      <c r="G139" s="1" t="s">
        <v>17</v>
      </c>
      <c r="H139" s="1" t="s">
        <v>17</v>
      </c>
      <c r="I139" s="1" t="s">
        <v>12</v>
      </c>
      <c r="J139" s="1">
        <v>0</v>
      </c>
      <c r="K139" s="1" t="s">
        <v>12</v>
      </c>
      <c r="L139" s="1" t="s">
        <v>7</v>
      </c>
      <c r="M139" s="1" t="s">
        <v>8</v>
      </c>
    </row>
    <row r="140" spans="1:13" x14ac:dyDescent="0.35">
      <c r="A140" s="1" t="s">
        <v>8</v>
      </c>
      <c r="B140" s="1" t="s">
        <v>24</v>
      </c>
      <c r="C140" s="1" t="s">
        <v>27</v>
      </c>
      <c r="D140" s="3" t="s">
        <v>26</v>
      </c>
      <c r="E140" s="3">
        <v>50</v>
      </c>
      <c r="F140" s="3">
        <v>50</v>
      </c>
      <c r="G140" s="1" t="s">
        <v>17</v>
      </c>
      <c r="H140" s="1" t="s">
        <v>17</v>
      </c>
      <c r="I140" s="1" t="s">
        <v>12</v>
      </c>
      <c r="J140" s="1">
        <v>0</v>
      </c>
      <c r="K140" s="1" t="s">
        <v>12</v>
      </c>
      <c r="L140" s="1" t="s">
        <v>7</v>
      </c>
      <c r="M140" s="1" t="s">
        <v>8</v>
      </c>
    </row>
    <row r="141" spans="1:13" x14ac:dyDescent="0.35">
      <c r="A141" s="1" t="s">
        <v>8</v>
      </c>
      <c r="B141" s="1" t="s">
        <v>292</v>
      </c>
      <c r="C141" s="1" t="s">
        <v>293</v>
      </c>
      <c r="D141" s="3" t="s">
        <v>294</v>
      </c>
      <c r="E141" s="3">
        <v>48</v>
      </c>
      <c r="F141" s="3">
        <v>48</v>
      </c>
      <c r="G141" s="1" t="s">
        <v>295</v>
      </c>
      <c r="H141" s="1" t="s">
        <v>295</v>
      </c>
      <c r="I141" s="1" t="s">
        <v>12</v>
      </c>
      <c r="J141" s="1">
        <v>0</v>
      </c>
      <c r="K141" s="1" t="s">
        <v>12</v>
      </c>
      <c r="L141" s="1" t="s">
        <v>7</v>
      </c>
      <c r="M141" s="1" t="s">
        <v>8</v>
      </c>
    </row>
    <row r="142" spans="1:13" x14ac:dyDescent="0.35">
      <c r="A142" s="1" t="s">
        <v>8</v>
      </c>
      <c r="B142" s="1" t="s">
        <v>262</v>
      </c>
      <c r="C142" s="1" t="s">
        <v>263</v>
      </c>
      <c r="D142" s="3" t="s">
        <v>264</v>
      </c>
      <c r="E142" s="3">
        <v>100</v>
      </c>
      <c r="F142" s="3">
        <v>100</v>
      </c>
      <c r="G142" s="1" t="s">
        <v>17</v>
      </c>
      <c r="H142" s="1" t="s">
        <v>17</v>
      </c>
      <c r="I142" s="1" t="s">
        <v>12</v>
      </c>
      <c r="J142" s="1">
        <v>0</v>
      </c>
      <c r="K142" s="1" t="s">
        <v>12</v>
      </c>
      <c r="L142" s="1" t="s">
        <v>7</v>
      </c>
      <c r="M142" s="1" t="s">
        <v>8</v>
      </c>
    </row>
    <row r="143" spans="1:13" x14ac:dyDescent="0.35">
      <c r="A143" s="1" t="s">
        <v>8</v>
      </c>
      <c r="B143" s="1" t="s">
        <v>292</v>
      </c>
      <c r="C143" s="1" t="s">
        <v>171</v>
      </c>
      <c r="D143" s="3" t="s">
        <v>294</v>
      </c>
      <c r="E143" s="3">
        <v>5</v>
      </c>
      <c r="F143" s="3">
        <v>5</v>
      </c>
      <c r="G143" s="1" t="s">
        <v>17</v>
      </c>
      <c r="H143" s="1" t="s">
        <v>17</v>
      </c>
      <c r="I143" s="1" t="s">
        <v>12</v>
      </c>
      <c r="J143" s="1">
        <v>0</v>
      </c>
      <c r="K143" s="1" t="s">
        <v>12</v>
      </c>
      <c r="L143" s="1" t="s">
        <v>7</v>
      </c>
      <c r="M143" s="1" t="s">
        <v>8</v>
      </c>
    </row>
    <row r="144" spans="1:13" x14ac:dyDescent="0.35">
      <c r="A144" s="1" t="s">
        <v>8</v>
      </c>
      <c r="B144" s="1" t="s">
        <v>292</v>
      </c>
      <c r="C144" s="1" t="s">
        <v>246</v>
      </c>
      <c r="D144" s="3" t="s">
        <v>294</v>
      </c>
      <c r="E144" s="3">
        <v>23</v>
      </c>
      <c r="F144" s="3">
        <v>23</v>
      </c>
      <c r="G144" s="1" t="s">
        <v>247</v>
      </c>
      <c r="H144" s="1" t="s">
        <v>247</v>
      </c>
      <c r="I144" s="1" t="s">
        <v>12</v>
      </c>
      <c r="J144" s="1">
        <v>0</v>
      </c>
      <c r="K144" s="1" t="s">
        <v>12</v>
      </c>
      <c r="L144" s="1" t="s">
        <v>7</v>
      </c>
      <c r="M144" s="1" t="s">
        <v>8</v>
      </c>
    </row>
    <row r="145" spans="1:13" x14ac:dyDescent="0.35">
      <c r="A145" s="1" t="s">
        <v>8</v>
      </c>
      <c r="B145" s="1" t="s">
        <v>292</v>
      </c>
      <c r="C145" s="1" t="s">
        <v>248</v>
      </c>
      <c r="D145" s="3" t="s">
        <v>294</v>
      </c>
      <c r="E145" s="3">
        <v>24</v>
      </c>
      <c r="F145" s="3">
        <v>24</v>
      </c>
      <c r="G145" s="1" t="s">
        <v>17</v>
      </c>
      <c r="H145" s="1" t="s">
        <v>17</v>
      </c>
      <c r="I145" s="1" t="s">
        <v>12</v>
      </c>
      <c r="J145" s="1">
        <v>0</v>
      </c>
      <c r="K145" s="1" t="s">
        <v>12</v>
      </c>
      <c r="L145" s="1" t="s">
        <v>7</v>
      </c>
      <c r="M145" s="1" t="s">
        <v>8</v>
      </c>
    </row>
    <row r="146" spans="1:13" x14ac:dyDescent="0.35">
      <c r="A146" s="1" t="s">
        <v>8</v>
      </c>
      <c r="B146" s="1" t="s">
        <v>652</v>
      </c>
      <c r="C146" s="1" t="s">
        <v>653</v>
      </c>
      <c r="D146" s="3" t="s">
        <v>654</v>
      </c>
      <c r="E146" s="3">
        <v>100</v>
      </c>
      <c r="F146" s="3">
        <v>100</v>
      </c>
      <c r="G146" s="1" t="s">
        <v>125</v>
      </c>
      <c r="H146" s="1" t="s">
        <v>125</v>
      </c>
      <c r="I146" s="1" t="s">
        <v>12</v>
      </c>
      <c r="J146" s="1">
        <v>0</v>
      </c>
      <c r="K146" s="1" t="s">
        <v>12</v>
      </c>
      <c r="L146" s="1" t="s">
        <v>7</v>
      </c>
      <c r="M146" s="1" t="s">
        <v>8</v>
      </c>
    </row>
    <row r="147" spans="1:13" x14ac:dyDescent="0.35">
      <c r="A147" s="1" t="s">
        <v>8</v>
      </c>
      <c r="B147" s="1" t="s">
        <v>508</v>
      </c>
      <c r="C147" s="1" t="s">
        <v>509</v>
      </c>
      <c r="D147" s="3" t="s">
        <v>510</v>
      </c>
      <c r="E147" s="3">
        <v>10</v>
      </c>
      <c r="F147" s="3">
        <v>10</v>
      </c>
      <c r="G147" s="1" t="s">
        <v>17</v>
      </c>
      <c r="H147" s="1" t="s">
        <v>17</v>
      </c>
      <c r="I147" s="1" t="s">
        <v>12</v>
      </c>
      <c r="J147" s="1">
        <v>0</v>
      </c>
      <c r="K147" s="1" t="s">
        <v>12</v>
      </c>
      <c r="L147" s="1" t="s">
        <v>7</v>
      </c>
      <c r="M147" s="1" t="s">
        <v>8</v>
      </c>
    </row>
    <row r="148" spans="1:13" x14ac:dyDescent="0.35">
      <c r="A148" s="1" t="s">
        <v>8</v>
      </c>
      <c r="B148" s="1" t="s">
        <v>508</v>
      </c>
      <c r="C148" s="1" t="s">
        <v>511</v>
      </c>
      <c r="D148" s="3" t="s">
        <v>510</v>
      </c>
      <c r="E148" s="3">
        <v>65</v>
      </c>
      <c r="F148" s="3">
        <v>65</v>
      </c>
      <c r="G148" s="1" t="s">
        <v>17</v>
      </c>
      <c r="H148" s="1" t="s">
        <v>17</v>
      </c>
      <c r="I148" s="1" t="s">
        <v>12</v>
      </c>
      <c r="J148" s="1">
        <v>0</v>
      </c>
      <c r="K148" s="1" t="s">
        <v>12</v>
      </c>
      <c r="L148" s="1" t="s">
        <v>7</v>
      </c>
      <c r="M148" s="1" t="s">
        <v>8</v>
      </c>
    </row>
    <row r="149" spans="1:13" x14ac:dyDescent="0.35">
      <c r="A149" s="1" t="s">
        <v>8</v>
      </c>
      <c r="B149" s="1" t="s">
        <v>508</v>
      </c>
      <c r="C149" s="1" t="s">
        <v>512</v>
      </c>
      <c r="D149" s="3" t="s">
        <v>510</v>
      </c>
      <c r="E149" s="3">
        <v>25</v>
      </c>
      <c r="F149" s="3">
        <v>25</v>
      </c>
      <c r="G149" s="1" t="s">
        <v>17</v>
      </c>
      <c r="H149" s="1" t="s">
        <v>17</v>
      </c>
      <c r="I149" s="1" t="s">
        <v>12</v>
      </c>
      <c r="J149" s="1">
        <v>0</v>
      </c>
      <c r="K149" s="1" t="s">
        <v>12</v>
      </c>
      <c r="L149" s="1" t="s">
        <v>7</v>
      </c>
      <c r="M149" s="1" t="s">
        <v>8</v>
      </c>
    </row>
    <row r="150" spans="1:13" x14ac:dyDescent="0.35">
      <c r="A150" s="1" t="s">
        <v>8</v>
      </c>
      <c r="B150" s="1" t="s">
        <v>513</v>
      </c>
      <c r="C150" s="1" t="s">
        <v>514</v>
      </c>
      <c r="D150" s="3" t="s">
        <v>515</v>
      </c>
      <c r="E150" s="3">
        <v>100</v>
      </c>
      <c r="F150" s="3">
        <v>100</v>
      </c>
      <c r="G150" s="1" t="s">
        <v>17</v>
      </c>
      <c r="H150" s="1" t="s">
        <v>17</v>
      </c>
      <c r="I150" s="1" t="s">
        <v>12</v>
      </c>
      <c r="J150" s="1">
        <v>0</v>
      </c>
      <c r="K150" s="1" t="s">
        <v>12</v>
      </c>
      <c r="L150" s="1" t="s">
        <v>7</v>
      </c>
      <c r="M150" s="1" t="s">
        <v>8</v>
      </c>
    </row>
    <row r="151" spans="1:13" x14ac:dyDescent="0.35">
      <c r="A151" s="1" t="s">
        <v>8</v>
      </c>
      <c r="B151" s="1" t="s">
        <v>516</v>
      </c>
      <c r="C151" s="1" t="s">
        <v>517</v>
      </c>
      <c r="D151" s="3" t="s">
        <v>518</v>
      </c>
      <c r="E151" s="3">
        <v>50</v>
      </c>
      <c r="F151" s="3">
        <v>50</v>
      </c>
      <c r="G151" s="1" t="s">
        <v>17</v>
      </c>
      <c r="H151" s="1" t="s">
        <v>17</v>
      </c>
      <c r="I151" s="1" t="s">
        <v>12</v>
      </c>
      <c r="J151" s="1">
        <v>0</v>
      </c>
      <c r="K151" s="1" t="s">
        <v>12</v>
      </c>
      <c r="L151" s="1" t="s">
        <v>7</v>
      </c>
      <c r="M151" s="1" t="s">
        <v>8</v>
      </c>
    </row>
    <row r="152" spans="1:13" x14ac:dyDescent="0.35">
      <c r="A152" s="1" t="s">
        <v>8</v>
      </c>
      <c r="B152" s="1" t="s">
        <v>516</v>
      </c>
      <c r="C152" s="1" t="s">
        <v>519</v>
      </c>
      <c r="D152" s="3" t="s">
        <v>518</v>
      </c>
      <c r="E152" s="3">
        <v>50</v>
      </c>
      <c r="F152" s="3">
        <v>50</v>
      </c>
      <c r="G152" s="1" t="s">
        <v>17</v>
      </c>
      <c r="H152" s="1" t="s">
        <v>17</v>
      </c>
      <c r="I152" s="1" t="s">
        <v>12</v>
      </c>
      <c r="J152" s="1">
        <v>0</v>
      </c>
      <c r="K152" s="1" t="s">
        <v>12</v>
      </c>
      <c r="L152" s="1" t="s">
        <v>7</v>
      </c>
      <c r="M152" s="1" t="s">
        <v>8</v>
      </c>
    </row>
    <row r="153" spans="1:13" x14ac:dyDescent="0.35">
      <c r="A153" s="1" t="s">
        <v>8</v>
      </c>
      <c r="B153" s="1" t="s">
        <v>523</v>
      </c>
      <c r="C153" s="1" t="s">
        <v>524</v>
      </c>
      <c r="D153" s="3" t="s">
        <v>525</v>
      </c>
      <c r="E153" s="3">
        <v>100</v>
      </c>
      <c r="F153" s="3">
        <v>100</v>
      </c>
      <c r="G153" s="1" t="s">
        <v>17</v>
      </c>
      <c r="H153" s="1" t="s">
        <v>17</v>
      </c>
      <c r="I153" s="1" t="s">
        <v>12</v>
      </c>
      <c r="J153" s="1">
        <v>0</v>
      </c>
      <c r="K153" s="1" t="s">
        <v>12</v>
      </c>
      <c r="L153" s="1" t="s">
        <v>7</v>
      </c>
      <c r="M153" s="1" t="s">
        <v>8</v>
      </c>
    </row>
    <row r="154" spans="1:13" x14ac:dyDescent="0.35">
      <c r="A154" s="1" t="s">
        <v>8</v>
      </c>
      <c r="B154" s="1" t="s">
        <v>526</v>
      </c>
      <c r="C154" s="1" t="s">
        <v>527</v>
      </c>
      <c r="D154" s="3" t="s">
        <v>528</v>
      </c>
      <c r="E154" s="3">
        <v>30</v>
      </c>
      <c r="F154" s="3">
        <v>30</v>
      </c>
      <c r="G154" s="1" t="s">
        <v>17</v>
      </c>
      <c r="H154" s="1" t="s">
        <v>17</v>
      </c>
      <c r="I154" s="1" t="s">
        <v>12</v>
      </c>
      <c r="J154" s="1">
        <v>0</v>
      </c>
      <c r="K154" s="1" t="s">
        <v>12</v>
      </c>
      <c r="L154" s="1" t="s">
        <v>7</v>
      </c>
      <c r="M154" s="1" t="s">
        <v>8</v>
      </c>
    </row>
    <row r="155" spans="1:13" x14ac:dyDescent="0.35">
      <c r="A155" s="1" t="s">
        <v>8</v>
      </c>
      <c r="B155" s="1" t="s">
        <v>526</v>
      </c>
      <c r="C155" s="1" t="s">
        <v>529</v>
      </c>
      <c r="D155" s="3" t="s">
        <v>528</v>
      </c>
      <c r="E155" s="3">
        <v>10</v>
      </c>
      <c r="F155" s="3">
        <v>10</v>
      </c>
      <c r="G155" s="1" t="s">
        <v>17</v>
      </c>
      <c r="H155" s="1" t="s">
        <v>17</v>
      </c>
      <c r="I155" s="1" t="s">
        <v>12</v>
      </c>
      <c r="J155" s="1">
        <v>0</v>
      </c>
      <c r="K155" s="1" t="s">
        <v>12</v>
      </c>
      <c r="L155" s="1" t="s">
        <v>7</v>
      </c>
      <c r="M155" s="1" t="s">
        <v>8</v>
      </c>
    </row>
    <row r="156" spans="1:13" x14ac:dyDescent="0.35">
      <c r="A156" s="1" t="s">
        <v>8</v>
      </c>
      <c r="B156" s="1" t="s">
        <v>526</v>
      </c>
      <c r="C156" s="1" t="s">
        <v>530</v>
      </c>
      <c r="D156" s="3" t="s">
        <v>528</v>
      </c>
      <c r="E156" s="3">
        <v>60</v>
      </c>
      <c r="F156" s="3">
        <v>60</v>
      </c>
      <c r="G156" s="1" t="s">
        <v>531</v>
      </c>
      <c r="H156" s="1" t="s">
        <v>531</v>
      </c>
      <c r="I156" s="1" t="s">
        <v>12</v>
      </c>
      <c r="J156" s="1">
        <v>0</v>
      </c>
      <c r="K156" s="1" t="s">
        <v>12</v>
      </c>
      <c r="L156" s="1" t="s">
        <v>7</v>
      </c>
      <c r="M156" s="1" t="s">
        <v>8</v>
      </c>
    </row>
    <row r="157" spans="1:13" x14ac:dyDescent="0.35">
      <c r="A157" s="1" t="s">
        <v>8</v>
      </c>
      <c r="B157" s="1" t="s">
        <v>655</v>
      </c>
      <c r="C157" s="1" t="s">
        <v>656</v>
      </c>
      <c r="D157" s="3" t="s">
        <v>657</v>
      </c>
      <c r="E157" s="3">
        <v>67</v>
      </c>
      <c r="F157" s="3">
        <v>67</v>
      </c>
      <c r="G157" s="1" t="s">
        <v>17</v>
      </c>
      <c r="H157" s="1" t="s">
        <v>17</v>
      </c>
      <c r="I157" s="1" t="s">
        <v>12</v>
      </c>
      <c r="J157" s="1">
        <v>0</v>
      </c>
      <c r="K157" s="1" t="s">
        <v>12</v>
      </c>
      <c r="L157" s="1" t="s">
        <v>7</v>
      </c>
      <c r="M157" s="1" t="s">
        <v>8</v>
      </c>
    </row>
    <row r="158" spans="1:13" x14ac:dyDescent="0.35">
      <c r="A158" s="1" t="s">
        <v>8</v>
      </c>
      <c r="B158" s="1" t="s">
        <v>665</v>
      </c>
      <c r="C158" s="1" t="s">
        <v>411</v>
      </c>
      <c r="D158" s="3" t="s">
        <v>666</v>
      </c>
      <c r="E158" s="3">
        <v>100</v>
      </c>
      <c r="F158" s="3">
        <v>100</v>
      </c>
      <c r="G158" s="1" t="s">
        <v>17</v>
      </c>
      <c r="H158" s="1" t="s">
        <v>17</v>
      </c>
      <c r="I158" s="1" t="s">
        <v>12</v>
      </c>
      <c r="J158" s="1">
        <v>0</v>
      </c>
      <c r="K158" s="1" t="s">
        <v>12</v>
      </c>
      <c r="L158" s="1" t="s">
        <v>7</v>
      </c>
      <c r="M158" s="1" t="s">
        <v>8</v>
      </c>
    </row>
    <row r="159" spans="1:13" x14ac:dyDescent="0.35">
      <c r="A159" s="1" t="s">
        <v>8</v>
      </c>
      <c r="B159" s="1" t="s">
        <v>670</v>
      </c>
      <c r="C159" s="1" t="s">
        <v>671</v>
      </c>
      <c r="D159" s="3" t="s">
        <v>672</v>
      </c>
      <c r="E159" s="3">
        <v>100</v>
      </c>
      <c r="F159" s="3" t="s">
        <v>12</v>
      </c>
      <c r="G159" s="1" t="s">
        <v>17</v>
      </c>
      <c r="H159" s="1" t="s">
        <v>17</v>
      </c>
      <c r="I159" s="1" t="s">
        <v>12</v>
      </c>
      <c r="J159" s="1">
        <v>0</v>
      </c>
      <c r="K159" s="1" t="s">
        <v>12</v>
      </c>
      <c r="L159" s="1" t="s">
        <v>7</v>
      </c>
      <c r="M159" s="1" t="s">
        <v>8</v>
      </c>
    </row>
    <row r="160" spans="1:13" x14ac:dyDescent="0.35">
      <c r="A160" s="1" t="s">
        <v>8</v>
      </c>
      <c r="B160" s="1" t="s">
        <v>673</v>
      </c>
      <c r="C160" s="1" t="s">
        <v>674</v>
      </c>
      <c r="D160" s="3" t="s">
        <v>675</v>
      </c>
      <c r="E160" s="3">
        <v>55</v>
      </c>
      <c r="F160" s="3">
        <v>55</v>
      </c>
      <c r="G160" s="1" t="s">
        <v>17</v>
      </c>
      <c r="H160" s="1" t="s">
        <v>17</v>
      </c>
      <c r="I160" s="1" t="s">
        <v>12</v>
      </c>
      <c r="J160" s="1">
        <v>0</v>
      </c>
      <c r="K160" s="1" t="s">
        <v>12</v>
      </c>
      <c r="L160" s="1" t="s">
        <v>7</v>
      </c>
      <c r="M160" s="1" t="s">
        <v>8</v>
      </c>
    </row>
    <row r="161" spans="1:13" x14ac:dyDescent="0.35">
      <c r="A161" s="1" t="s">
        <v>8</v>
      </c>
      <c r="B161" s="1" t="s">
        <v>673</v>
      </c>
      <c r="C161" s="1" t="s">
        <v>221</v>
      </c>
      <c r="D161" s="3" t="s">
        <v>675</v>
      </c>
      <c r="E161" s="3">
        <v>45</v>
      </c>
      <c r="F161" s="3">
        <v>45</v>
      </c>
      <c r="G161" s="1" t="s">
        <v>17</v>
      </c>
      <c r="H161" s="1" t="s">
        <v>17</v>
      </c>
      <c r="I161" s="1" t="s">
        <v>12</v>
      </c>
      <c r="J161" s="1">
        <v>0</v>
      </c>
      <c r="K161" s="1" t="s">
        <v>12</v>
      </c>
      <c r="L161" s="1" t="s">
        <v>7</v>
      </c>
      <c r="M161" s="1" t="s">
        <v>8</v>
      </c>
    </row>
    <row r="162" spans="1:13" x14ac:dyDescent="0.35">
      <c r="A162" s="1" t="s">
        <v>8</v>
      </c>
      <c r="B162" s="1" t="s">
        <v>676</v>
      </c>
      <c r="C162" s="1" t="s">
        <v>677</v>
      </c>
      <c r="D162" s="3" t="s">
        <v>678</v>
      </c>
      <c r="E162" s="3" t="s">
        <v>12</v>
      </c>
      <c r="F162" s="3" t="s">
        <v>12</v>
      </c>
      <c r="G162" s="1" t="s">
        <v>17</v>
      </c>
      <c r="H162" s="1" t="s">
        <v>17</v>
      </c>
      <c r="I162" s="1" t="s">
        <v>12</v>
      </c>
      <c r="J162" s="1">
        <v>1</v>
      </c>
      <c r="K162" s="1" t="s">
        <v>12</v>
      </c>
      <c r="L162" s="1" t="s">
        <v>7</v>
      </c>
      <c r="M162" s="1" t="s">
        <v>8</v>
      </c>
    </row>
    <row r="163" spans="1:13" x14ac:dyDescent="0.35">
      <c r="A163" s="1" t="s">
        <v>8</v>
      </c>
      <c r="B163" s="1" t="s">
        <v>679</v>
      </c>
      <c r="C163" s="1" t="s">
        <v>680</v>
      </c>
      <c r="D163" s="3" t="s">
        <v>681</v>
      </c>
      <c r="E163" s="3">
        <v>33</v>
      </c>
      <c r="F163" s="3">
        <v>33</v>
      </c>
      <c r="G163" s="1" t="s">
        <v>17</v>
      </c>
      <c r="H163" s="1" t="s">
        <v>17</v>
      </c>
      <c r="I163" s="1" t="s">
        <v>12</v>
      </c>
      <c r="J163" s="1">
        <v>0</v>
      </c>
      <c r="K163" s="1" t="s">
        <v>12</v>
      </c>
      <c r="L163" s="1" t="s">
        <v>7</v>
      </c>
      <c r="M163" s="1" t="s">
        <v>8</v>
      </c>
    </row>
    <row r="164" spans="1:13" x14ac:dyDescent="0.35">
      <c r="A164" s="1" t="s">
        <v>8</v>
      </c>
      <c r="B164" s="1" t="s">
        <v>679</v>
      </c>
      <c r="C164" s="1" t="s">
        <v>682</v>
      </c>
      <c r="D164" s="3" t="s">
        <v>681</v>
      </c>
      <c r="E164" s="3">
        <v>33</v>
      </c>
      <c r="F164" s="3" t="s">
        <v>12</v>
      </c>
      <c r="G164" s="1" t="s">
        <v>683</v>
      </c>
      <c r="H164" s="1" t="s">
        <v>683</v>
      </c>
      <c r="I164" s="1" t="s">
        <v>12</v>
      </c>
      <c r="J164" s="1">
        <v>0</v>
      </c>
      <c r="K164" s="1" t="s">
        <v>12</v>
      </c>
      <c r="L164" s="1" t="s">
        <v>7</v>
      </c>
      <c r="M164" s="1" t="s">
        <v>8</v>
      </c>
    </row>
    <row r="165" spans="1:13" x14ac:dyDescent="0.35">
      <c r="A165" s="1" t="s">
        <v>8</v>
      </c>
      <c r="B165" s="1" t="s">
        <v>679</v>
      </c>
      <c r="C165" s="1" t="s">
        <v>684</v>
      </c>
      <c r="D165" s="3" t="s">
        <v>681</v>
      </c>
      <c r="E165" s="3">
        <v>12</v>
      </c>
      <c r="F165" s="3" t="s">
        <v>12</v>
      </c>
      <c r="G165" s="1" t="s">
        <v>17</v>
      </c>
      <c r="H165" s="1" t="s">
        <v>17</v>
      </c>
      <c r="I165" s="1" t="s">
        <v>12</v>
      </c>
      <c r="J165" s="1">
        <v>0</v>
      </c>
      <c r="K165" s="1" t="s">
        <v>12</v>
      </c>
      <c r="L165" s="1" t="s">
        <v>7</v>
      </c>
      <c r="M165" s="1" t="s">
        <v>8</v>
      </c>
    </row>
    <row r="166" spans="1:13" x14ac:dyDescent="0.35">
      <c r="A166" s="1" t="s">
        <v>8</v>
      </c>
      <c r="B166" s="1" t="s">
        <v>729</v>
      </c>
      <c r="C166" s="1" t="s">
        <v>730</v>
      </c>
      <c r="D166" s="3" t="s">
        <v>731</v>
      </c>
      <c r="E166" s="3">
        <v>100</v>
      </c>
      <c r="F166" s="3">
        <v>100</v>
      </c>
      <c r="G166" s="1" t="s">
        <v>17</v>
      </c>
      <c r="H166" s="1" t="s">
        <v>17</v>
      </c>
      <c r="I166" s="1" t="s">
        <v>12</v>
      </c>
      <c r="J166" s="1">
        <v>0</v>
      </c>
      <c r="K166" s="1" t="s">
        <v>12</v>
      </c>
      <c r="L166" s="1" t="s">
        <v>7</v>
      </c>
      <c r="M166" s="1" t="s">
        <v>8</v>
      </c>
    </row>
    <row r="167" spans="1:13" x14ac:dyDescent="0.35">
      <c r="A167" s="1" t="s">
        <v>8</v>
      </c>
      <c r="B167" s="1" t="s">
        <v>741</v>
      </c>
      <c r="C167" s="1" t="s">
        <v>742</v>
      </c>
      <c r="D167" s="3" t="s">
        <v>743</v>
      </c>
      <c r="E167" s="3">
        <v>100</v>
      </c>
      <c r="F167" s="3">
        <v>100</v>
      </c>
      <c r="G167" s="1" t="s">
        <v>17</v>
      </c>
      <c r="H167" s="1" t="s">
        <v>17</v>
      </c>
      <c r="I167" s="1" t="s">
        <v>12</v>
      </c>
      <c r="J167" s="1">
        <v>0</v>
      </c>
      <c r="K167" s="1" t="s">
        <v>12</v>
      </c>
      <c r="L167" s="1" t="s">
        <v>7</v>
      </c>
      <c r="M167" s="1" t="s">
        <v>8</v>
      </c>
    </row>
    <row r="168" spans="1:13" x14ac:dyDescent="0.35">
      <c r="A168" s="1" t="s">
        <v>8</v>
      </c>
      <c r="B168" s="1" t="s">
        <v>771</v>
      </c>
      <c r="C168" s="1" t="s">
        <v>772</v>
      </c>
      <c r="D168" s="3" t="s">
        <v>773</v>
      </c>
      <c r="E168" s="3">
        <v>50</v>
      </c>
      <c r="F168" s="3">
        <v>50</v>
      </c>
      <c r="G168" s="1" t="s">
        <v>17</v>
      </c>
      <c r="H168" s="1" t="s">
        <v>17</v>
      </c>
      <c r="I168" s="1" t="s">
        <v>12</v>
      </c>
      <c r="J168" s="1">
        <v>0</v>
      </c>
      <c r="K168" s="1" t="s">
        <v>12</v>
      </c>
      <c r="L168" s="1" t="s">
        <v>7</v>
      </c>
      <c r="M168" s="1" t="s">
        <v>8</v>
      </c>
    </row>
    <row r="169" spans="1:13" x14ac:dyDescent="0.35">
      <c r="A169" s="1" t="s">
        <v>8</v>
      </c>
      <c r="B169" s="1" t="s">
        <v>771</v>
      </c>
      <c r="C169" s="1" t="s">
        <v>774</v>
      </c>
      <c r="D169" s="3" t="s">
        <v>773</v>
      </c>
      <c r="E169" s="3">
        <v>50</v>
      </c>
      <c r="F169" s="3">
        <v>50</v>
      </c>
      <c r="G169" s="1" t="s">
        <v>17</v>
      </c>
      <c r="H169" s="1" t="s">
        <v>17</v>
      </c>
      <c r="I169" s="1" t="s">
        <v>12</v>
      </c>
      <c r="J169" s="1">
        <v>0</v>
      </c>
      <c r="K169" s="1" t="s">
        <v>12</v>
      </c>
      <c r="L169" s="1" t="s">
        <v>7</v>
      </c>
      <c r="M169" s="1" t="s">
        <v>8</v>
      </c>
    </row>
    <row r="170" spans="1:13" x14ac:dyDescent="0.35">
      <c r="A170" s="1" t="s">
        <v>8</v>
      </c>
      <c r="B170" s="1" t="s">
        <v>778</v>
      </c>
      <c r="C170" s="1" t="s">
        <v>779</v>
      </c>
      <c r="D170" s="3" t="s">
        <v>780</v>
      </c>
      <c r="E170" s="3">
        <v>100</v>
      </c>
      <c r="F170" s="3" t="s">
        <v>12</v>
      </c>
      <c r="G170" s="1" t="s">
        <v>17</v>
      </c>
      <c r="H170" s="1" t="s">
        <v>17</v>
      </c>
      <c r="I170" s="1" t="s">
        <v>12</v>
      </c>
      <c r="J170" s="1">
        <v>0</v>
      </c>
      <c r="K170" s="1" t="s">
        <v>12</v>
      </c>
      <c r="L170" s="1" t="s">
        <v>7</v>
      </c>
      <c r="M170" s="1" t="s">
        <v>8</v>
      </c>
    </row>
    <row r="171" spans="1:13" x14ac:dyDescent="0.35">
      <c r="A171" s="1" t="s">
        <v>8</v>
      </c>
      <c r="B171" s="1" t="s">
        <v>784</v>
      </c>
      <c r="C171" s="1" t="s">
        <v>785</v>
      </c>
      <c r="D171" s="3" t="s">
        <v>786</v>
      </c>
      <c r="E171" s="3">
        <v>60</v>
      </c>
      <c r="F171" s="3" t="s">
        <v>12</v>
      </c>
      <c r="G171" s="1" t="s">
        <v>17</v>
      </c>
      <c r="H171" s="1" t="s">
        <v>17</v>
      </c>
      <c r="I171" s="1" t="s">
        <v>12</v>
      </c>
      <c r="J171" s="1">
        <v>0</v>
      </c>
      <c r="K171" s="1" t="s">
        <v>12</v>
      </c>
      <c r="L171" s="1" t="s">
        <v>7</v>
      </c>
      <c r="M171" s="1" t="s">
        <v>8</v>
      </c>
    </row>
    <row r="172" spans="1:13" x14ac:dyDescent="0.35">
      <c r="A172" s="1" t="s">
        <v>8</v>
      </c>
      <c r="B172" s="1" t="s">
        <v>784</v>
      </c>
      <c r="C172" s="1" t="s">
        <v>787</v>
      </c>
      <c r="D172" s="3" t="s">
        <v>786</v>
      </c>
      <c r="E172" s="3">
        <v>40</v>
      </c>
      <c r="F172" s="3">
        <v>40</v>
      </c>
      <c r="G172" s="1" t="s">
        <v>17</v>
      </c>
      <c r="H172" s="1" t="s">
        <v>17</v>
      </c>
      <c r="I172" s="1" t="s">
        <v>12</v>
      </c>
      <c r="J172" s="1">
        <v>0</v>
      </c>
      <c r="K172" s="1" t="s">
        <v>12</v>
      </c>
      <c r="L172" s="1" t="s">
        <v>7</v>
      </c>
      <c r="M172" s="1" t="s">
        <v>8</v>
      </c>
    </row>
    <row r="173" spans="1:13" x14ac:dyDescent="0.35">
      <c r="A173" s="1" t="s">
        <v>8</v>
      </c>
      <c r="B173" s="1" t="s">
        <v>804</v>
      </c>
      <c r="C173" s="1" t="s">
        <v>443</v>
      </c>
      <c r="D173" s="3" t="s">
        <v>805</v>
      </c>
      <c r="E173" s="3">
        <v>100</v>
      </c>
      <c r="F173" s="3">
        <v>100</v>
      </c>
      <c r="G173" s="1" t="s">
        <v>17</v>
      </c>
      <c r="H173" s="1" t="s">
        <v>17</v>
      </c>
      <c r="I173" s="1" t="s">
        <v>12</v>
      </c>
      <c r="J173" s="1">
        <v>0</v>
      </c>
      <c r="K173" s="1" t="s">
        <v>12</v>
      </c>
      <c r="L173" s="1" t="s">
        <v>7</v>
      </c>
      <c r="M173" s="1" t="s">
        <v>8</v>
      </c>
    </row>
    <row r="174" spans="1:13" x14ac:dyDescent="0.35">
      <c r="A174" s="1" t="s">
        <v>8</v>
      </c>
      <c r="B174" s="1" t="s">
        <v>809</v>
      </c>
      <c r="C174" s="1" t="s">
        <v>810</v>
      </c>
      <c r="D174" s="3" t="s">
        <v>811</v>
      </c>
      <c r="E174" s="3" t="s">
        <v>12</v>
      </c>
      <c r="F174" s="3">
        <v>25</v>
      </c>
      <c r="G174" s="1" t="s">
        <v>17</v>
      </c>
      <c r="H174" s="1" t="s">
        <v>17</v>
      </c>
      <c r="I174" s="1" t="s">
        <v>12</v>
      </c>
      <c r="J174" s="1">
        <v>0</v>
      </c>
      <c r="K174" s="1" t="s">
        <v>12</v>
      </c>
      <c r="L174" s="1" t="s">
        <v>7</v>
      </c>
      <c r="M174" s="1" t="s">
        <v>8</v>
      </c>
    </row>
    <row r="175" spans="1:13" x14ac:dyDescent="0.35">
      <c r="A175" s="1" t="s">
        <v>8</v>
      </c>
      <c r="B175" s="1" t="s">
        <v>483</v>
      </c>
      <c r="C175" s="1" t="s">
        <v>484</v>
      </c>
      <c r="D175" s="3" t="s">
        <v>485</v>
      </c>
      <c r="E175" s="3">
        <v>5</v>
      </c>
      <c r="F175" s="3">
        <v>5</v>
      </c>
      <c r="G175" s="1" t="s">
        <v>486</v>
      </c>
      <c r="H175" s="1" t="s">
        <v>486</v>
      </c>
      <c r="I175" s="1" t="s">
        <v>12</v>
      </c>
      <c r="J175" s="1">
        <v>0</v>
      </c>
      <c r="K175" s="1" t="s">
        <v>12</v>
      </c>
      <c r="L175" s="1" t="s">
        <v>7</v>
      </c>
      <c r="M175" s="1" t="s">
        <v>8</v>
      </c>
    </row>
    <row r="176" spans="1:13" x14ac:dyDescent="0.35">
      <c r="A176" s="1" t="s">
        <v>8</v>
      </c>
      <c r="B176" s="1" t="s">
        <v>483</v>
      </c>
      <c r="C176" s="1" t="s">
        <v>487</v>
      </c>
      <c r="D176" s="3" t="s">
        <v>485</v>
      </c>
      <c r="E176" s="3">
        <v>5</v>
      </c>
      <c r="F176" s="3">
        <v>5</v>
      </c>
      <c r="G176" s="1" t="s">
        <v>409</v>
      </c>
      <c r="H176" s="1" t="s">
        <v>409</v>
      </c>
      <c r="I176" s="1" t="s">
        <v>12</v>
      </c>
      <c r="J176" s="1">
        <v>0</v>
      </c>
      <c r="K176" s="1" t="s">
        <v>12</v>
      </c>
      <c r="L176" s="1" t="s">
        <v>7</v>
      </c>
      <c r="M176" s="1" t="s">
        <v>8</v>
      </c>
    </row>
    <row r="177" spans="1:13" x14ac:dyDescent="0.35">
      <c r="A177" s="1" t="s">
        <v>8</v>
      </c>
      <c r="B177" s="1" t="s">
        <v>483</v>
      </c>
      <c r="C177" s="1" t="s">
        <v>488</v>
      </c>
      <c r="D177" s="3" t="s">
        <v>485</v>
      </c>
      <c r="E177" s="3">
        <v>5</v>
      </c>
      <c r="F177" s="3">
        <v>5</v>
      </c>
      <c r="G177" s="1" t="s">
        <v>274</v>
      </c>
      <c r="H177" s="1" t="s">
        <v>274</v>
      </c>
      <c r="I177" s="1" t="s">
        <v>12</v>
      </c>
      <c r="J177" s="1">
        <v>0</v>
      </c>
      <c r="K177" s="1" t="s">
        <v>12</v>
      </c>
      <c r="L177" s="1" t="s">
        <v>7</v>
      </c>
      <c r="M177" s="1" t="s">
        <v>8</v>
      </c>
    </row>
    <row r="178" spans="1:13" x14ac:dyDescent="0.35">
      <c r="A178" s="1" t="s">
        <v>8</v>
      </c>
      <c r="B178" s="1" t="s">
        <v>597</v>
      </c>
      <c r="C178" s="1" t="s">
        <v>333</v>
      </c>
      <c r="D178" s="3" t="s">
        <v>598</v>
      </c>
      <c r="E178" s="3">
        <v>40</v>
      </c>
      <c r="F178" s="3">
        <v>40</v>
      </c>
      <c r="G178" s="1" t="s">
        <v>599</v>
      </c>
      <c r="H178" s="1" t="s">
        <v>599</v>
      </c>
      <c r="I178" s="1" t="s">
        <v>12</v>
      </c>
      <c r="J178" s="1">
        <v>0</v>
      </c>
      <c r="K178" s="1" t="s">
        <v>12</v>
      </c>
      <c r="L178" s="1" t="s">
        <v>7</v>
      </c>
      <c r="M178" s="1" t="s">
        <v>8</v>
      </c>
    </row>
    <row r="179" spans="1:13" x14ac:dyDescent="0.35">
      <c r="A179" s="1" t="s">
        <v>8</v>
      </c>
      <c r="B179" s="1" t="s">
        <v>597</v>
      </c>
      <c r="C179" s="1" t="s">
        <v>600</v>
      </c>
      <c r="D179" s="3" t="s">
        <v>598</v>
      </c>
      <c r="E179" s="3">
        <v>60</v>
      </c>
      <c r="F179" s="3">
        <v>60</v>
      </c>
      <c r="G179" s="1" t="s">
        <v>17</v>
      </c>
      <c r="H179" s="1" t="s">
        <v>17</v>
      </c>
      <c r="I179" s="1" t="s">
        <v>12</v>
      </c>
      <c r="J179" s="1">
        <v>0</v>
      </c>
      <c r="K179" s="1" t="s">
        <v>12</v>
      </c>
      <c r="L179" s="1" t="s">
        <v>7</v>
      </c>
      <c r="M179" s="1" t="s">
        <v>8</v>
      </c>
    </row>
    <row r="180" spans="1:13" x14ac:dyDescent="0.35">
      <c r="A180" s="1" t="s">
        <v>8</v>
      </c>
      <c r="B180" s="1" t="s">
        <v>754</v>
      </c>
      <c r="C180" s="1" t="s">
        <v>755</v>
      </c>
      <c r="D180" s="3" t="s">
        <v>756</v>
      </c>
      <c r="E180" s="3">
        <v>100</v>
      </c>
      <c r="F180" s="3">
        <v>100</v>
      </c>
      <c r="G180" s="1" t="s">
        <v>17</v>
      </c>
      <c r="H180" s="1" t="s">
        <v>17</v>
      </c>
      <c r="I180" s="1" t="s">
        <v>12</v>
      </c>
      <c r="J180" s="1">
        <v>0</v>
      </c>
      <c r="K180" s="1" t="s">
        <v>12</v>
      </c>
      <c r="L180" s="1" t="s">
        <v>7</v>
      </c>
      <c r="M180" s="1" t="s">
        <v>8</v>
      </c>
    </row>
    <row r="181" spans="1:13" x14ac:dyDescent="0.35">
      <c r="A181" s="1" t="s">
        <v>8</v>
      </c>
      <c r="B181" s="1" t="s">
        <v>764</v>
      </c>
      <c r="C181" s="1" t="s">
        <v>765</v>
      </c>
      <c r="D181" s="3" t="s">
        <v>766</v>
      </c>
      <c r="E181" s="3">
        <v>100</v>
      </c>
      <c r="F181" s="3">
        <v>100</v>
      </c>
      <c r="G181" s="1" t="s">
        <v>17</v>
      </c>
      <c r="H181" s="1" t="s">
        <v>17</v>
      </c>
      <c r="I181" s="1" t="s">
        <v>12</v>
      </c>
      <c r="J181" s="1">
        <v>0</v>
      </c>
      <c r="K181" s="1" t="s">
        <v>12</v>
      </c>
      <c r="L181" s="1" t="s">
        <v>7</v>
      </c>
      <c r="M181" s="1" t="s">
        <v>8</v>
      </c>
    </row>
    <row r="182" spans="1:13" x14ac:dyDescent="0.35">
      <c r="A182" s="1" t="s">
        <v>8</v>
      </c>
      <c r="B182" s="1" t="s">
        <v>601</v>
      </c>
      <c r="C182" s="1" t="s">
        <v>602</v>
      </c>
      <c r="D182" s="3" t="s">
        <v>603</v>
      </c>
      <c r="E182" s="3">
        <v>12</v>
      </c>
      <c r="F182" s="3" t="s">
        <v>12</v>
      </c>
      <c r="G182" s="1" t="s">
        <v>17</v>
      </c>
      <c r="H182" s="1" t="s">
        <v>17</v>
      </c>
      <c r="I182" s="1" t="s">
        <v>12</v>
      </c>
      <c r="J182" s="1">
        <v>0</v>
      </c>
      <c r="K182" s="1" t="s">
        <v>12</v>
      </c>
      <c r="L182" s="1" t="s">
        <v>7</v>
      </c>
      <c r="M182" s="1" t="s">
        <v>8</v>
      </c>
    </row>
    <row r="183" spans="1:13" x14ac:dyDescent="0.35">
      <c r="A183" s="1" t="s">
        <v>8</v>
      </c>
      <c r="B183" s="1" t="s">
        <v>601</v>
      </c>
      <c r="C183" s="1" t="s">
        <v>604</v>
      </c>
      <c r="D183" s="3" t="s">
        <v>603</v>
      </c>
      <c r="E183" s="3">
        <v>12</v>
      </c>
      <c r="F183" s="3" t="s">
        <v>12</v>
      </c>
      <c r="G183" s="1" t="s">
        <v>17</v>
      </c>
      <c r="H183" s="1" t="s">
        <v>17</v>
      </c>
      <c r="I183" s="1" t="s">
        <v>12</v>
      </c>
      <c r="J183" s="1">
        <v>0</v>
      </c>
      <c r="K183" s="1" t="s">
        <v>12</v>
      </c>
      <c r="L183" s="1" t="s">
        <v>7</v>
      </c>
      <c r="M183" s="1" t="s">
        <v>8</v>
      </c>
    </row>
    <row r="184" spans="1:13" x14ac:dyDescent="0.35">
      <c r="A184" s="1" t="s">
        <v>8</v>
      </c>
      <c r="B184" s="1" t="s">
        <v>601</v>
      </c>
      <c r="C184" s="1" t="s">
        <v>605</v>
      </c>
      <c r="D184" s="3" t="s">
        <v>603</v>
      </c>
      <c r="E184" s="3">
        <v>12</v>
      </c>
      <c r="F184" s="3" t="s">
        <v>12</v>
      </c>
      <c r="G184" s="1" t="s">
        <v>17</v>
      </c>
      <c r="H184" s="1" t="s">
        <v>17</v>
      </c>
      <c r="I184" s="1" t="s">
        <v>12</v>
      </c>
      <c r="J184" s="1">
        <v>0</v>
      </c>
      <c r="K184" s="1" t="s">
        <v>12</v>
      </c>
      <c r="L184" s="1" t="s">
        <v>7</v>
      </c>
      <c r="M184" s="1" t="s">
        <v>8</v>
      </c>
    </row>
    <row r="185" spans="1:13" x14ac:dyDescent="0.35">
      <c r="A185" s="1" t="s">
        <v>8</v>
      </c>
      <c r="B185" s="1" t="s">
        <v>601</v>
      </c>
      <c r="C185" s="1" t="s">
        <v>606</v>
      </c>
      <c r="D185" s="3" t="s">
        <v>603</v>
      </c>
      <c r="E185" s="3">
        <v>12</v>
      </c>
      <c r="F185" s="3" t="s">
        <v>12</v>
      </c>
      <c r="G185" s="1" t="s">
        <v>17</v>
      </c>
      <c r="H185" s="1" t="s">
        <v>17</v>
      </c>
      <c r="I185" s="1" t="s">
        <v>12</v>
      </c>
      <c r="J185" s="1">
        <v>0</v>
      </c>
      <c r="K185" s="1" t="s">
        <v>12</v>
      </c>
      <c r="L185" s="1" t="s">
        <v>7</v>
      </c>
      <c r="M185" s="1" t="s">
        <v>8</v>
      </c>
    </row>
    <row r="186" spans="1:13" x14ac:dyDescent="0.35">
      <c r="A186" s="1" t="s">
        <v>8</v>
      </c>
      <c r="B186" s="1" t="s">
        <v>601</v>
      </c>
      <c r="C186" s="1" t="s">
        <v>607</v>
      </c>
      <c r="D186" s="3" t="s">
        <v>603</v>
      </c>
      <c r="E186" s="3">
        <v>80</v>
      </c>
      <c r="F186" s="3" t="s">
        <v>12</v>
      </c>
      <c r="G186" s="1" t="s">
        <v>17</v>
      </c>
      <c r="H186" s="1" t="s">
        <v>17</v>
      </c>
      <c r="I186" s="1" t="s">
        <v>12</v>
      </c>
      <c r="J186" s="1">
        <v>0</v>
      </c>
      <c r="K186" s="1" t="s">
        <v>12</v>
      </c>
      <c r="L186" s="1" t="s">
        <v>7</v>
      </c>
      <c r="M186" s="1" t="s">
        <v>8</v>
      </c>
    </row>
    <row r="187" spans="1:13" x14ac:dyDescent="0.35">
      <c r="A187" s="1" t="s">
        <v>8</v>
      </c>
      <c r="B187" s="1" t="s">
        <v>623</v>
      </c>
      <c r="C187" s="1" t="s">
        <v>624</v>
      </c>
      <c r="D187" s="3" t="s">
        <v>625</v>
      </c>
      <c r="E187" s="3" t="s">
        <v>12</v>
      </c>
      <c r="F187" s="3" t="s">
        <v>12</v>
      </c>
      <c r="G187" s="1" t="s">
        <v>17</v>
      </c>
      <c r="H187" s="1" t="s">
        <v>17</v>
      </c>
      <c r="I187" s="1" t="s">
        <v>12</v>
      </c>
      <c r="J187" s="1">
        <v>0</v>
      </c>
      <c r="K187" s="1" t="s">
        <v>12</v>
      </c>
      <c r="L187" s="1" t="s">
        <v>7</v>
      </c>
      <c r="M187" s="1" t="s">
        <v>8</v>
      </c>
    </row>
    <row r="188" spans="1:13" x14ac:dyDescent="0.35">
      <c r="A188" s="1" t="s">
        <v>8</v>
      </c>
      <c r="B188" s="1" t="s">
        <v>462</v>
      </c>
      <c r="C188" s="1" t="s">
        <v>466</v>
      </c>
      <c r="D188" s="3" t="s">
        <v>464</v>
      </c>
      <c r="E188" s="3">
        <v>30</v>
      </c>
      <c r="F188" s="3">
        <v>30</v>
      </c>
      <c r="G188" s="1" t="s">
        <v>17</v>
      </c>
      <c r="H188" s="1" t="s">
        <v>17</v>
      </c>
      <c r="I188" s="1" t="s">
        <v>12</v>
      </c>
      <c r="J188" s="1">
        <v>0</v>
      </c>
      <c r="K188" s="1" t="s">
        <v>12</v>
      </c>
      <c r="L188" s="1" t="s">
        <v>7</v>
      </c>
      <c r="M188" s="1" t="s">
        <v>8</v>
      </c>
    </row>
    <row r="189" spans="1:13" x14ac:dyDescent="0.35">
      <c r="A189" s="1" t="s">
        <v>8</v>
      </c>
      <c r="B189" s="1" t="s">
        <v>483</v>
      </c>
      <c r="C189" s="1" t="s">
        <v>489</v>
      </c>
      <c r="D189" s="3" t="s">
        <v>485</v>
      </c>
      <c r="E189" s="3">
        <v>5</v>
      </c>
      <c r="F189" s="3">
        <v>5</v>
      </c>
      <c r="G189" s="1" t="s">
        <v>17</v>
      </c>
      <c r="H189" s="1" t="s">
        <v>17</v>
      </c>
      <c r="I189" s="1" t="s">
        <v>12</v>
      </c>
      <c r="J189" s="1">
        <v>0</v>
      </c>
      <c r="K189" s="1" t="s">
        <v>12</v>
      </c>
      <c r="L189" s="1" t="s">
        <v>7</v>
      </c>
      <c r="M189" s="1" t="s">
        <v>8</v>
      </c>
    </row>
    <row r="190" spans="1:13" x14ac:dyDescent="0.35">
      <c r="A190" s="1" t="s">
        <v>8</v>
      </c>
      <c r="B190" s="1" t="s">
        <v>483</v>
      </c>
      <c r="C190" s="1" t="s">
        <v>490</v>
      </c>
      <c r="D190" s="3" t="s">
        <v>485</v>
      </c>
      <c r="E190" s="3">
        <v>5</v>
      </c>
      <c r="F190" s="3">
        <v>5</v>
      </c>
      <c r="G190" s="1" t="s">
        <v>17</v>
      </c>
      <c r="H190" s="1" t="s">
        <v>17</v>
      </c>
      <c r="I190" s="1" t="s">
        <v>12</v>
      </c>
      <c r="J190" s="1">
        <v>0</v>
      </c>
      <c r="K190" s="1" t="s">
        <v>12</v>
      </c>
      <c r="L190" s="1" t="s">
        <v>7</v>
      </c>
      <c r="M190" s="1" t="s">
        <v>8</v>
      </c>
    </row>
    <row r="191" spans="1:13" x14ac:dyDescent="0.35">
      <c r="A191" s="1" t="s">
        <v>8</v>
      </c>
      <c r="B191" s="1" t="s">
        <v>483</v>
      </c>
      <c r="C191" s="1" t="s">
        <v>491</v>
      </c>
      <c r="D191" s="3" t="s">
        <v>485</v>
      </c>
      <c r="E191" s="3">
        <v>70</v>
      </c>
      <c r="F191" s="3">
        <v>70</v>
      </c>
      <c r="G191" s="1" t="s">
        <v>409</v>
      </c>
      <c r="H191" s="1" t="s">
        <v>409</v>
      </c>
      <c r="I191" s="1" t="s">
        <v>12</v>
      </c>
      <c r="J191" s="1">
        <v>0</v>
      </c>
      <c r="K191" s="1" t="s">
        <v>12</v>
      </c>
      <c r="L191" s="1" t="s">
        <v>7</v>
      </c>
      <c r="M191" s="1" t="s">
        <v>8</v>
      </c>
    </row>
    <row r="192" spans="1:13" x14ac:dyDescent="0.35">
      <c r="A192" s="1" t="s">
        <v>8</v>
      </c>
      <c r="B192" s="1" t="s">
        <v>483</v>
      </c>
      <c r="C192" s="1" t="s">
        <v>492</v>
      </c>
      <c r="D192" s="3" t="s">
        <v>485</v>
      </c>
      <c r="E192" s="3">
        <v>5</v>
      </c>
      <c r="F192" s="3">
        <v>5</v>
      </c>
      <c r="G192" s="1" t="s">
        <v>81</v>
      </c>
      <c r="H192" s="1" t="s">
        <v>81</v>
      </c>
      <c r="I192" s="1" t="s">
        <v>12</v>
      </c>
      <c r="J192" s="1">
        <v>0</v>
      </c>
      <c r="K192" s="1" t="s">
        <v>12</v>
      </c>
      <c r="L192" s="1" t="s">
        <v>7</v>
      </c>
      <c r="M192" s="1" t="s">
        <v>8</v>
      </c>
    </row>
    <row r="193" spans="1:13" x14ac:dyDescent="0.35">
      <c r="A193" s="1" t="s">
        <v>8</v>
      </c>
      <c r="B193" s="1" t="s">
        <v>493</v>
      </c>
      <c r="C193" s="1" t="s">
        <v>396</v>
      </c>
      <c r="D193" s="3" t="s">
        <v>494</v>
      </c>
      <c r="E193" s="3">
        <v>100</v>
      </c>
      <c r="F193" s="3">
        <v>100</v>
      </c>
      <c r="G193" s="1" t="s">
        <v>17</v>
      </c>
      <c r="H193" s="1" t="s">
        <v>17</v>
      </c>
      <c r="I193" s="1" t="s">
        <v>12</v>
      </c>
      <c r="J193" s="1">
        <v>0</v>
      </c>
      <c r="K193" s="1" t="s">
        <v>12</v>
      </c>
      <c r="L193" s="1" t="s">
        <v>7</v>
      </c>
      <c r="M193" s="1" t="s">
        <v>8</v>
      </c>
    </row>
    <row r="194" spans="1:13" x14ac:dyDescent="0.35">
      <c r="A194" s="1" t="s">
        <v>8</v>
      </c>
      <c r="B194" s="1" t="s">
        <v>809</v>
      </c>
      <c r="C194" s="1" t="s">
        <v>812</v>
      </c>
      <c r="D194" s="3" t="s">
        <v>811</v>
      </c>
      <c r="E194" s="3" t="s">
        <v>12</v>
      </c>
      <c r="F194" s="3">
        <v>25</v>
      </c>
      <c r="G194" s="1" t="s">
        <v>813</v>
      </c>
      <c r="H194" s="1" t="s">
        <v>813</v>
      </c>
      <c r="I194" s="1" t="s">
        <v>12</v>
      </c>
      <c r="J194" s="1">
        <v>0</v>
      </c>
      <c r="K194" s="1" t="s">
        <v>12</v>
      </c>
      <c r="L194" s="1" t="s">
        <v>7</v>
      </c>
      <c r="M194" s="1" t="s">
        <v>8</v>
      </c>
    </row>
    <row r="195" spans="1:13" x14ac:dyDescent="0.35">
      <c r="A195" s="1" t="s">
        <v>8</v>
      </c>
      <c r="B195" s="1" t="s">
        <v>809</v>
      </c>
      <c r="C195" s="1" t="s">
        <v>814</v>
      </c>
      <c r="D195" s="3" t="s">
        <v>811</v>
      </c>
      <c r="E195" s="3" t="s">
        <v>12</v>
      </c>
      <c r="F195" s="3">
        <v>25</v>
      </c>
      <c r="G195" s="1" t="s">
        <v>160</v>
      </c>
      <c r="H195" s="1" t="s">
        <v>160</v>
      </c>
      <c r="I195" s="1" t="s">
        <v>12</v>
      </c>
      <c r="J195" s="1">
        <v>0</v>
      </c>
      <c r="K195" s="1" t="s">
        <v>12</v>
      </c>
      <c r="L195" s="1" t="s">
        <v>7</v>
      </c>
      <c r="M195" s="1" t="s">
        <v>8</v>
      </c>
    </row>
    <row r="196" spans="1:13" x14ac:dyDescent="0.35">
      <c r="A196" s="1" t="s">
        <v>8</v>
      </c>
      <c r="B196" s="1" t="s">
        <v>809</v>
      </c>
      <c r="C196" s="1" t="s">
        <v>815</v>
      </c>
      <c r="D196" s="3" t="s">
        <v>811</v>
      </c>
      <c r="E196" s="3" t="s">
        <v>12</v>
      </c>
      <c r="F196" s="3">
        <v>25</v>
      </c>
      <c r="G196" s="1" t="s">
        <v>409</v>
      </c>
      <c r="H196" s="1" t="s">
        <v>409</v>
      </c>
      <c r="I196" s="1" t="s">
        <v>12</v>
      </c>
      <c r="J196" s="1">
        <v>0</v>
      </c>
      <c r="K196" s="1" t="s">
        <v>12</v>
      </c>
      <c r="L196" s="1" t="s">
        <v>7</v>
      </c>
      <c r="M196" s="1" t="s">
        <v>8</v>
      </c>
    </row>
    <row r="197" spans="1:13" x14ac:dyDescent="0.35">
      <c r="A197" s="1" t="s">
        <v>8</v>
      </c>
      <c r="B197" s="1" t="s">
        <v>820</v>
      </c>
      <c r="C197" s="1" t="s">
        <v>543</v>
      </c>
      <c r="D197" s="3" t="s">
        <v>821</v>
      </c>
      <c r="E197" s="3">
        <v>20</v>
      </c>
      <c r="F197" s="3">
        <v>20</v>
      </c>
      <c r="G197" s="1" t="s">
        <v>17</v>
      </c>
      <c r="H197" s="1" t="s">
        <v>17</v>
      </c>
      <c r="I197" s="1" t="s">
        <v>12</v>
      </c>
      <c r="J197" s="1">
        <v>0</v>
      </c>
      <c r="K197" s="1" t="s">
        <v>12</v>
      </c>
      <c r="L197" s="1" t="s">
        <v>7</v>
      </c>
      <c r="M197" s="1" t="s">
        <v>8</v>
      </c>
    </row>
    <row r="198" spans="1:13" x14ac:dyDescent="0.35">
      <c r="A198" s="1" t="s">
        <v>8</v>
      </c>
      <c r="B198" s="1" t="s">
        <v>820</v>
      </c>
      <c r="C198" s="1" t="s">
        <v>798</v>
      </c>
      <c r="D198" s="3" t="s">
        <v>821</v>
      </c>
      <c r="E198" s="3">
        <v>20</v>
      </c>
      <c r="F198" s="3">
        <v>20</v>
      </c>
      <c r="G198" s="1" t="s">
        <v>822</v>
      </c>
      <c r="H198" s="1" t="s">
        <v>822</v>
      </c>
      <c r="I198" s="1" t="s">
        <v>12</v>
      </c>
      <c r="J198" s="1">
        <v>0</v>
      </c>
      <c r="K198" s="1" t="s">
        <v>12</v>
      </c>
      <c r="L198" s="1" t="s">
        <v>7</v>
      </c>
      <c r="M198" s="1" t="s">
        <v>8</v>
      </c>
    </row>
    <row r="199" spans="1:13" x14ac:dyDescent="0.35">
      <c r="A199" s="1" t="s">
        <v>8</v>
      </c>
      <c r="B199" s="1" t="s">
        <v>820</v>
      </c>
      <c r="C199" s="1" t="s">
        <v>538</v>
      </c>
      <c r="D199" s="3" t="s">
        <v>821</v>
      </c>
      <c r="E199" s="3">
        <v>60</v>
      </c>
      <c r="F199" s="3">
        <v>60</v>
      </c>
      <c r="G199" s="1" t="s">
        <v>17</v>
      </c>
      <c r="H199" s="1" t="s">
        <v>17</v>
      </c>
      <c r="I199" s="1" t="s">
        <v>12</v>
      </c>
      <c r="J199" s="1">
        <v>0</v>
      </c>
      <c r="K199" s="1" t="s">
        <v>12</v>
      </c>
      <c r="L199" s="1" t="s">
        <v>7</v>
      </c>
      <c r="M199" s="1" t="s">
        <v>8</v>
      </c>
    </row>
    <row r="200" spans="1:13" x14ac:dyDescent="0.35">
      <c r="A200" s="1" t="s">
        <v>8</v>
      </c>
      <c r="B200" s="1" t="s">
        <v>744</v>
      </c>
      <c r="C200" s="1" t="s">
        <v>745</v>
      </c>
      <c r="D200" s="3" t="s">
        <v>746</v>
      </c>
      <c r="E200" s="3">
        <v>100</v>
      </c>
      <c r="F200" s="3">
        <v>100</v>
      </c>
      <c r="G200" s="1" t="s">
        <v>17</v>
      </c>
      <c r="H200" s="1" t="s">
        <v>17</v>
      </c>
      <c r="I200" s="1" t="s">
        <v>12</v>
      </c>
      <c r="J200" s="1">
        <v>0</v>
      </c>
      <c r="K200" s="1" t="s">
        <v>12</v>
      </c>
      <c r="L200" s="1" t="s">
        <v>7</v>
      </c>
      <c r="M200" s="1" t="s">
        <v>8</v>
      </c>
    </row>
    <row r="201" spans="1:13" x14ac:dyDescent="0.35">
      <c r="A201" s="1" t="s">
        <v>8</v>
      </c>
      <c r="B201" s="1" t="s">
        <v>679</v>
      </c>
      <c r="C201" s="1" t="s">
        <v>685</v>
      </c>
      <c r="D201" s="3" t="s">
        <v>681</v>
      </c>
      <c r="E201" s="3">
        <v>33</v>
      </c>
      <c r="F201" s="3">
        <v>33</v>
      </c>
      <c r="G201" s="1" t="s">
        <v>683</v>
      </c>
      <c r="H201" s="1" t="s">
        <v>683</v>
      </c>
      <c r="I201" s="1" t="s">
        <v>12</v>
      </c>
      <c r="J201" s="1">
        <v>0</v>
      </c>
      <c r="K201" s="1" t="s">
        <v>12</v>
      </c>
      <c r="L201" s="1" t="s">
        <v>7</v>
      </c>
      <c r="M201" s="1" t="s">
        <v>8</v>
      </c>
    </row>
    <row r="202" spans="1:13" x14ac:dyDescent="0.35">
      <c r="A202" s="1" t="s">
        <v>8</v>
      </c>
      <c r="B202" s="1" t="s">
        <v>686</v>
      </c>
      <c r="C202" s="1" t="s">
        <v>687</v>
      </c>
      <c r="D202" s="3" t="s">
        <v>688</v>
      </c>
      <c r="E202" s="3" t="s">
        <v>12</v>
      </c>
      <c r="F202" s="3">
        <v>100</v>
      </c>
      <c r="G202" s="1" t="s">
        <v>17</v>
      </c>
      <c r="H202" s="1" t="s">
        <v>17</v>
      </c>
      <c r="I202" s="1" t="s">
        <v>12</v>
      </c>
      <c r="J202" s="1">
        <v>0</v>
      </c>
      <c r="K202" s="1" t="s">
        <v>12</v>
      </c>
      <c r="L202" s="1" t="s">
        <v>7</v>
      </c>
      <c r="M202" s="1" t="s">
        <v>8</v>
      </c>
    </row>
    <row r="203" spans="1:13" x14ac:dyDescent="0.35">
      <c r="A203" s="1" t="s">
        <v>8</v>
      </c>
      <c r="B203" s="1" t="s">
        <v>692</v>
      </c>
      <c r="C203" s="1" t="s">
        <v>693</v>
      </c>
      <c r="D203" s="3" t="s">
        <v>694</v>
      </c>
      <c r="E203" s="3" t="s">
        <v>12</v>
      </c>
      <c r="F203" s="3" t="s">
        <v>12</v>
      </c>
      <c r="G203" s="1" t="s">
        <v>17</v>
      </c>
      <c r="H203" s="1" t="s">
        <v>17</v>
      </c>
      <c r="I203" s="1" t="s">
        <v>12</v>
      </c>
      <c r="J203" s="1">
        <v>0</v>
      </c>
      <c r="K203" s="1" t="s">
        <v>12</v>
      </c>
      <c r="L203" s="1" t="s">
        <v>7</v>
      </c>
      <c r="M203" s="1" t="s">
        <v>8</v>
      </c>
    </row>
    <row r="204" spans="1:13" x14ac:dyDescent="0.35">
      <c r="A204" s="1" t="s">
        <v>8</v>
      </c>
      <c r="B204" s="1" t="s">
        <v>572</v>
      </c>
      <c r="C204" s="1" t="s">
        <v>573</v>
      </c>
      <c r="D204" s="3" t="s">
        <v>574</v>
      </c>
      <c r="E204" s="3">
        <v>50</v>
      </c>
      <c r="F204" s="3">
        <v>50</v>
      </c>
      <c r="G204" s="1" t="s">
        <v>17</v>
      </c>
      <c r="H204" s="1" t="s">
        <v>17</v>
      </c>
      <c r="I204" s="1" t="s">
        <v>12</v>
      </c>
      <c r="J204" s="1">
        <v>0</v>
      </c>
      <c r="K204" s="1" t="s">
        <v>12</v>
      </c>
      <c r="L204" s="1" t="s">
        <v>7</v>
      </c>
      <c r="M204" s="1" t="s">
        <v>8</v>
      </c>
    </row>
    <row r="205" spans="1:13" x14ac:dyDescent="0.35">
      <c r="A205" s="1" t="s">
        <v>8</v>
      </c>
      <c r="B205" s="1" t="s">
        <v>575</v>
      </c>
      <c r="C205" s="1" t="s">
        <v>576</v>
      </c>
      <c r="D205" s="3" t="s">
        <v>577</v>
      </c>
      <c r="E205" s="3">
        <v>100</v>
      </c>
      <c r="F205" s="3" t="s">
        <v>12</v>
      </c>
      <c r="G205" s="1" t="s">
        <v>17</v>
      </c>
      <c r="H205" s="1" t="s">
        <v>17</v>
      </c>
      <c r="I205" s="1" t="s">
        <v>12</v>
      </c>
      <c r="J205" s="1">
        <v>0</v>
      </c>
      <c r="K205" s="1" t="s">
        <v>12</v>
      </c>
      <c r="L205" s="1" t="s">
        <v>7</v>
      </c>
      <c r="M205" s="1" t="s">
        <v>8</v>
      </c>
    </row>
    <row r="206" spans="1:13" x14ac:dyDescent="0.35">
      <c r="A206" s="1" t="s">
        <v>8</v>
      </c>
      <c r="B206" s="1" t="s">
        <v>578</v>
      </c>
      <c r="C206" s="1" t="s">
        <v>579</v>
      </c>
      <c r="D206" s="3" t="s">
        <v>580</v>
      </c>
      <c r="E206" s="3">
        <v>5</v>
      </c>
      <c r="F206" s="3">
        <v>5</v>
      </c>
      <c r="G206" s="1" t="s">
        <v>17</v>
      </c>
      <c r="H206" s="1" t="s">
        <v>17</v>
      </c>
      <c r="I206" s="1" t="s">
        <v>12</v>
      </c>
      <c r="J206" s="1">
        <v>0</v>
      </c>
      <c r="K206" s="1" t="s">
        <v>12</v>
      </c>
      <c r="L206" s="1" t="s">
        <v>7</v>
      </c>
      <c r="M206" s="1" t="s">
        <v>8</v>
      </c>
    </row>
    <row r="207" spans="1:13" x14ac:dyDescent="0.35">
      <c r="A207" s="1" t="s">
        <v>8</v>
      </c>
      <c r="B207" s="1" t="s">
        <v>578</v>
      </c>
      <c r="C207" s="1" t="s">
        <v>581</v>
      </c>
      <c r="D207" s="3" t="s">
        <v>580</v>
      </c>
      <c r="E207" s="3">
        <v>5</v>
      </c>
      <c r="F207" s="3">
        <v>5</v>
      </c>
      <c r="G207" s="1" t="s">
        <v>17</v>
      </c>
      <c r="H207" s="1" t="s">
        <v>17</v>
      </c>
      <c r="I207" s="1" t="s">
        <v>12</v>
      </c>
      <c r="J207" s="1">
        <v>0</v>
      </c>
      <c r="K207" s="1" t="s">
        <v>12</v>
      </c>
      <c r="L207" s="1" t="s">
        <v>7</v>
      </c>
      <c r="M207" s="1" t="s">
        <v>8</v>
      </c>
    </row>
    <row r="208" spans="1:13" x14ac:dyDescent="0.35">
      <c r="A208" s="1" t="s">
        <v>8</v>
      </c>
      <c r="B208" s="1" t="s">
        <v>578</v>
      </c>
      <c r="C208" s="1" t="s">
        <v>582</v>
      </c>
      <c r="D208" s="3" t="s">
        <v>580</v>
      </c>
      <c r="E208" s="3">
        <v>10</v>
      </c>
      <c r="F208" s="3">
        <v>10</v>
      </c>
      <c r="G208" s="1" t="s">
        <v>17</v>
      </c>
      <c r="H208" s="1" t="s">
        <v>17</v>
      </c>
      <c r="I208" s="1" t="s">
        <v>12</v>
      </c>
      <c r="J208" s="1">
        <v>0</v>
      </c>
      <c r="K208" s="1" t="s">
        <v>12</v>
      </c>
      <c r="L208" s="1" t="s">
        <v>7</v>
      </c>
      <c r="M208" s="1" t="s">
        <v>8</v>
      </c>
    </row>
    <row r="209" spans="1:13" x14ac:dyDescent="0.35">
      <c r="A209" s="1" t="s">
        <v>8</v>
      </c>
      <c r="B209" s="1" t="s">
        <v>578</v>
      </c>
      <c r="C209" s="1" t="s">
        <v>583</v>
      </c>
      <c r="D209" s="3" t="s">
        <v>580</v>
      </c>
      <c r="E209" s="3">
        <v>10</v>
      </c>
      <c r="F209" s="3">
        <v>10</v>
      </c>
      <c r="G209" s="1" t="s">
        <v>17</v>
      </c>
      <c r="H209" s="1" t="s">
        <v>17</v>
      </c>
      <c r="I209" s="1" t="s">
        <v>12</v>
      </c>
      <c r="J209" s="1">
        <v>0</v>
      </c>
      <c r="K209" s="1" t="s">
        <v>12</v>
      </c>
      <c r="L209" s="1" t="s">
        <v>7</v>
      </c>
      <c r="M209" s="1" t="s">
        <v>8</v>
      </c>
    </row>
    <row r="210" spans="1:13" x14ac:dyDescent="0.35">
      <c r="A210" s="1" t="s">
        <v>8</v>
      </c>
      <c r="B210" s="1" t="s">
        <v>578</v>
      </c>
      <c r="C210" s="1" t="s">
        <v>584</v>
      </c>
      <c r="D210" s="3" t="s">
        <v>580</v>
      </c>
      <c r="E210" s="3">
        <v>5</v>
      </c>
      <c r="F210" s="3">
        <v>5</v>
      </c>
      <c r="G210" s="1" t="s">
        <v>17</v>
      </c>
      <c r="H210" s="1" t="s">
        <v>17</v>
      </c>
      <c r="I210" s="1" t="s">
        <v>12</v>
      </c>
      <c r="J210" s="1">
        <v>0</v>
      </c>
      <c r="K210" s="1" t="s">
        <v>12</v>
      </c>
      <c r="L210" s="1" t="s">
        <v>7</v>
      </c>
      <c r="M210" s="1" t="s">
        <v>8</v>
      </c>
    </row>
    <row r="211" spans="1:13" x14ac:dyDescent="0.35">
      <c r="A211" s="1" t="s">
        <v>8</v>
      </c>
      <c r="B211" s="1" t="s">
        <v>578</v>
      </c>
      <c r="C211" s="1" t="s">
        <v>585</v>
      </c>
      <c r="D211" s="3" t="s">
        <v>580</v>
      </c>
      <c r="E211" s="3">
        <v>10</v>
      </c>
      <c r="F211" s="3">
        <v>10</v>
      </c>
      <c r="G211" s="1" t="s">
        <v>17</v>
      </c>
      <c r="H211" s="1" t="s">
        <v>17</v>
      </c>
      <c r="I211" s="1" t="s">
        <v>12</v>
      </c>
      <c r="J211" s="1">
        <v>0</v>
      </c>
      <c r="K211" s="1" t="s">
        <v>12</v>
      </c>
      <c r="L211" s="1" t="s">
        <v>7</v>
      </c>
      <c r="M211" s="1" t="s">
        <v>8</v>
      </c>
    </row>
    <row r="212" spans="1:13" x14ac:dyDescent="0.35">
      <c r="A212" s="1" t="s">
        <v>8</v>
      </c>
      <c r="B212" s="1" t="s">
        <v>578</v>
      </c>
      <c r="C212" s="1" t="s">
        <v>466</v>
      </c>
      <c r="D212" s="3" t="s">
        <v>580</v>
      </c>
      <c r="E212" s="3">
        <v>55</v>
      </c>
      <c r="F212" s="3">
        <v>55</v>
      </c>
      <c r="G212" s="1" t="s">
        <v>17</v>
      </c>
      <c r="H212" s="1" t="s">
        <v>17</v>
      </c>
      <c r="I212" s="1" t="s">
        <v>12</v>
      </c>
      <c r="J212" s="1">
        <v>0</v>
      </c>
      <c r="K212" s="1" t="s">
        <v>12</v>
      </c>
      <c r="L212" s="1" t="s">
        <v>7</v>
      </c>
      <c r="M212" s="1" t="s">
        <v>8</v>
      </c>
    </row>
    <row r="213" spans="1:13" x14ac:dyDescent="0.35">
      <c r="A213" s="1" t="s">
        <v>8</v>
      </c>
      <c r="B213" s="1" t="s">
        <v>586</v>
      </c>
      <c r="C213" s="1" t="s">
        <v>496</v>
      </c>
      <c r="D213" s="3" t="s">
        <v>587</v>
      </c>
      <c r="E213" s="3" t="s">
        <v>12</v>
      </c>
      <c r="F213" s="3" t="s">
        <v>12</v>
      </c>
      <c r="G213" s="1" t="s">
        <v>380</v>
      </c>
      <c r="H213" s="1" t="s">
        <v>380</v>
      </c>
      <c r="I213" s="1" t="s">
        <v>12</v>
      </c>
      <c r="J213" s="1">
        <v>0</v>
      </c>
      <c r="K213" s="1" t="s">
        <v>12</v>
      </c>
      <c r="L213" s="1" t="s">
        <v>7</v>
      </c>
      <c r="M213" s="1" t="s">
        <v>8</v>
      </c>
    </row>
    <row r="214" spans="1:13" x14ac:dyDescent="0.35">
      <c r="A214" s="1" t="s">
        <v>8</v>
      </c>
      <c r="B214" s="1" t="s">
        <v>586</v>
      </c>
      <c r="C214" s="1" t="s">
        <v>498</v>
      </c>
      <c r="D214" s="3" t="s">
        <v>587</v>
      </c>
      <c r="E214" s="3" t="s">
        <v>12</v>
      </c>
      <c r="F214" s="3" t="s">
        <v>12</v>
      </c>
      <c r="G214" s="1" t="s">
        <v>499</v>
      </c>
      <c r="H214" s="1" t="s">
        <v>499</v>
      </c>
      <c r="I214" s="1" t="s">
        <v>500</v>
      </c>
      <c r="J214" s="1">
        <v>1</v>
      </c>
      <c r="K214" s="1" t="s">
        <v>501</v>
      </c>
      <c r="L214" s="1" t="s">
        <v>7</v>
      </c>
      <c r="M214" s="1" t="s">
        <v>8</v>
      </c>
    </row>
    <row r="215" spans="1:13" x14ac:dyDescent="0.35">
      <c r="A215" s="1" t="s">
        <v>8</v>
      </c>
      <c r="B215" s="1" t="s">
        <v>586</v>
      </c>
      <c r="C215" s="1" t="s">
        <v>498</v>
      </c>
      <c r="D215" s="3" t="s">
        <v>587</v>
      </c>
      <c r="E215" s="3" t="s">
        <v>12</v>
      </c>
      <c r="F215" s="3" t="s">
        <v>12</v>
      </c>
      <c r="G215" s="1" t="s">
        <v>499</v>
      </c>
      <c r="H215" s="1" t="s">
        <v>499</v>
      </c>
      <c r="I215" s="1" t="s">
        <v>499</v>
      </c>
      <c r="J215" s="1">
        <v>1</v>
      </c>
      <c r="K215" s="1" t="s">
        <v>501</v>
      </c>
      <c r="L215" s="1" t="s">
        <v>7</v>
      </c>
      <c r="M215" s="1" t="s">
        <v>8</v>
      </c>
    </row>
    <row r="216" spans="1:13" x14ac:dyDescent="0.35">
      <c r="A216" s="1" t="s">
        <v>8</v>
      </c>
      <c r="B216" s="1" t="s">
        <v>697</v>
      </c>
      <c r="C216" s="1" t="s">
        <v>698</v>
      </c>
      <c r="D216" s="3" t="s">
        <v>699</v>
      </c>
      <c r="E216" s="3">
        <v>25</v>
      </c>
      <c r="F216" s="3">
        <v>25</v>
      </c>
      <c r="G216" s="1" t="s">
        <v>17</v>
      </c>
      <c r="H216" s="1" t="s">
        <v>17</v>
      </c>
      <c r="I216" s="1" t="s">
        <v>12</v>
      </c>
      <c r="J216" s="1">
        <v>0</v>
      </c>
      <c r="K216" s="1" t="s">
        <v>12</v>
      </c>
      <c r="L216" s="1" t="s">
        <v>7</v>
      </c>
      <c r="M216" s="1" t="s">
        <v>8</v>
      </c>
    </row>
    <row r="217" spans="1:13" x14ac:dyDescent="0.35">
      <c r="A217" s="1" t="s">
        <v>8</v>
      </c>
      <c r="B217" s="1" t="s">
        <v>697</v>
      </c>
      <c r="C217" s="1" t="s">
        <v>700</v>
      </c>
      <c r="D217" s="3" t="s">
        <v>699</v>
      </c>
      <c r="E217" s="3">
        <v>30</v>
      </c>
      <c r="F217" s="3">
        <v>30</v>
      </c>
      <c r="G217" s="1" t="s">
        <v>17</v>
      </c>
      <c r="H217" s="1" t="s">
        <v>17</v>
      </c>
      <c r="I217" s="1" t="s">
        <v>12</v>
      </c>
      <c r="J217" s="1">
        <v>0</v>
      </c>
      <c r="K217" s="1" t="s">
        <v>12</v>
      </c>
      <c r="L217" s="1" t="s">
        <v>7</v>
      </c>
      <c r="M217" s="1" t="s">
        <v>8</v>
      </c>
    </row>
    <row r="218" spans="1:13" x14ac:dyDescent="0.35">
      <c r="A218" s="1" t="s">
        <v>8</v>
      </c>
      <c r="B218" s="1" t="s">
        <v>697</v>
      </c>
      <c r="C218" s="1" t="s">
        <v>701</v>
      </c>
      <c r="D218" s="3" t="s">
        <v>699</v>
      </c>
      <c r="E218" s="3">
        <v>15</v>
      </c>
      <c r="F218" s="3">
        <v>15</v>
      </c>
      <c r="G218" s="1" t="s">
        <v>17</v>
      </c>
      <c r="H218" s="1" t="s">
        <v>17</v>
      </c>
      <c r="I218" s="1" t="s">
        <v>12</v>
      </c>
      <c r="J218" s="1">
        <v>0</v>
      </c>
      <c r="K218" s="1" t="s">
        <v>12</v>
      </c>
      <c r="L218" s="1" t="s">
        <v>7</v>
      </c>
      <c r="M218" s="1" t="s">
        <v>8</v>
      </c>
    </row>
    <row r="219" spans="1:13" x14ac:dyDescent="0.35">
      <c r="A219" s="1" t="s">
        <v>8</v>
      </c>
      <c r="B219" s="1" t="s">
        <v>697</v>
      </c>
      <c r="C219" s="1" t="s">
        <v>702</v>
      </c>
      <c r="D219" s="3" t="s">
        <v>699</v>
      </c>
      <c r="E219" s="3">
        <v>30</v>
      </c>
      <c r="F219" s="3">
        <v>30</v>
      </c>
      <c r="G219" s="1" t="s">
        <v>17</v>
      </c>
      <c r="H219" s="1" t="s">
        <v>17</v>
      </c>
      <c r="I219" s="1" t="s">
        <v>12</v>
      </c>
      <c r="J219" s="1">
        <v>0</v>
      </c>
      <c r="K219" s="1" t="s">
        <v>12</v>
      </c>
      <c r="L219" s="1" t="s">
        <v>7</v>
      </c>
      <c r="M219" s="1" t="s">
        <v>8</v>
      </c>
    </row>
    <row r="220" spans="1:13" x14ac:dyDescent="0.35">
      <c r="A220" s="1" t="s">
        <v>8</v>
      </c>
      <c r="B220" s="1" t="s">
        <v>14</v>
      </c>
      <c r="C220" s="1" t="s">
        <v>15</v>
      </c>
      <c r="D220" s="3" t="s">
        <v>16</v>
      </c>
      <c r="E220" s="3">
        <v>100</v>
      </c>
      <c r="F220" s="3">
        <v>100</v>
      </c>
      <c r="G220" s="1" t="s">
        <v>17</v>
      </c>
      <c r="H220" s="1" t="s">
        <v>17</v>
      </c>
      <c r="I220" s="1" t="s">
        <v>12</v>
      </c>
      <c r="J220" s="1">
        <v>0</v>
      </c>
      <c r="K220" s="1" t="s">
        <v>12</v>
      </c>
      <c r="L220" s="1" t="s">
        <v>7</v>
      </c>
      <c r="M220" s="1" t="s">
        <v>8</v>
      </c>
    </row>
    <row r="221" spans="1:13" x14ac:dyDescent="0.35">
      <c r="A221" s="1" t="s">
        <v>8</v>
      </c>
      <c r="B221" s="1" t="s">
        <v>462</v>
      </c>
      <c r="C221" s="1" t="s">
        <v>463</v>
      </c>
      <c r="D221" s="3" t="s">
        <v>464</v>
      </c>
      <c r="E221" s="3">
        <v>15</v>
      </c>
      <c r="F221" s="3">
        <v>15</v>
      </c>
      <c r="G221" s="1" t="s">
        <v>17</v>
      </c>
      <c r="H221" s="1" t="s">
        <v>17</v>
      </c>
      <c r="I221" s="1" t="s">
        <v>12</v>
      </c>
      <c r="J221" s="1">
        <v>0</v>
      </c>
      <c r="K221" s="1" t="s">
        <v>12</v>
      </c>
      <c r="L221" s="1" t="s">
        <v>7</v>
      </c>
      <c r="M221" s="1" t="s">
        <v>8</v>
      </c>
    </row>
    <row r="222" spans="1:13" x14ac:dyDescent="0.35">
      <c r="A222" s="1" t="s">
        <v>8</v>
      </c>
      <c r="B222" s="1" t="s">
        <v>462</v>
      </c>
      <c r="C222" s="1" t="s">
        <v>465</v>
      </c>
      <c r="D222" s="3" t="s">
        <v>464</v>
      </c>
      <c r="E222" s="3">
        <v>55</v>
      </c>
      <c r="F222" s="3">
        <v>55</v>
      </c>
      <c r="G222" s="1" t="s">
        <v>17</v>
      </c>
      <c r="H222" s="1" t="s">
        <v>17</v>
      </c>
      <c r="I222" s="1" t="s">
        <v>12</v>
      </c>
      <c r="J222" s="1">
        <v>0</v>
      </c>
      <c r="K222" s="1" t="s">
        <v>12</v>
      </c>
      <c r="L222" s="1" t="s">
        <v>7</v>
      </c>
      <c r="M222" s="1" t="s">
        <v>8</v>
      </c>
    </row>
    <row r="223" spans="1:13" x14ac:dyDescent="0.35">
      <c r="A223" s="1" t="s">
        <v>8</v>
      </c>
      <c r="B223" s="1" t="s">
        <v>423</v>
      </c>
      <c r="C223" s="1" t="s">
        <v>424</v>
      </c>
      <c r="D223" s="3" t="s">
        <v>425</v>
      </c>
      <c r="E223" s="3">
        <v>100</v>
      </c>
      <c r="F223" s="3">
        <v>100</v>
      </c>
      <c r="G223" s="1" t="s">
        <v>17</v>
      </c>
      <c r="H223" s="1" t="s">
        <v>17</v>
      </c>
      <c r="I223" s="1" t="s">
        <v>12</v>
      </c>
      <c r="J223" s="1">
        <v>0</v>
      </c>
      <c r="K223" s="1" t="s">
        <v>12</v>
      </c>
      <c r="L223" s="1" t="s">
        <v>7</v>
      </c>
      <c r="M223" s="1" t="s">
        <v>8</v>
      </c>
    </row>
    <row r="224" spans="1:13" x14ac:dyDescent="0.35">
      <c r="A224" s="1" t="s">
        <v>8</v>
      </c>
      <c r="B224" s="1" t="s">
        <v>442</v>
      </c>
      <c r="C224" s="1" t="s">
        <v>443</v>
      </c>
      <c r="D224" s="3" t="s">
        <v>444</v>
      </c>
      <c r="E224" s="3">
        <v>100</v>
      </c>
      <c r="F224" s="3">
        <v>100</v>
      </c>
      <c r="G224" s="1" t="s">
        <v>17</v>
      </c>
      <c r="H224" s="1" t="s">
        <v>17</v>
      </c>
      <c r="I224" s="1" t="s">
        <v>12</v>
      </c>
      <c r="J224" s="1">
        <v>0</v>
      </c>
      <c r="K224" s="1" t="s">
        <v>12</v>
      </c>
      <c r="L224" s="1" t="s">
        <v>7</v>
      </c>
      <c r="M224" s="1" t="s">
        <v>8</v>
      </c>
    </row>
    <row r="225" spans="1:13" x14ac:dyDescent="0.35">
      <c r="A225" s="1" t="s">
        <v>8</v>
      </c>
      <c r="B225" s="1" t="s">
        <v>426</v>
      </c>
      <c r="C225" s="1" t="s">
        <v>427</v>
      </c>
      <c r="D225" s="3" t="s">
        <v>428</v>
      </c>
      <c r="E225" s="3">
        <v>100</v>
      </c>
      <c r="F225" s="3">
        <v>100</v>
      </c>
      <c r="G225" s="1" t="s">
        <v>17</v>
      </c>
      <c r="H225" s="1" t="s">
        <v>17</v>
      </c>
      <c r="I225" s="1" t="s">
        <v>12</v>
      </c>
      <c r="J225" s="1">
        <v>0</v>
      </c>
      <c r="K225" s="1" t="s">
        <v>12</v>
      </c>
      <c r="L225" s="1" t="s">
        <v>7</v>
      </c>
      <c r="M225" s="1" t="s">
        <v>8</v>
      </c>
    </row>
    <row r="226" spans="1:13" x14ac:dyDescent="0.35">
      <c r="A226" s="1" t="s">
        <v>8</v>
      </c>
      <c r="B226" s="1" t="s">
        <v>429</v>
      </c>
      <c r="C226" s="1" t="s">
        <v>396</v>
      </c>
      <c r="D226" s="3" t="s">
        <v>430</v>
      </c>
      <c r="E226" s="3">
        <v>100</v>
      </c>
      <c r="F226" s="3">
        <v>100</v>
      </c>
      <c r="G226" s="1" t="s">
        <v>17</v>
      </c>
      <c r="H226" s="1" t="s">
        <v>17</v>
      </c>
      <c r="I226" s="1" t="s">
        <v>12</v>
      </c>
      <c r="J226" s="1">
        <v>0</v>
      </c>
      <c r="K226" s="1" t="s">
        <v>12</v>
      </c>
      <c r="L226" s="1" t="s">
        <v>7</v>
      </c>
      <c r="M226" s="1" t="s">
        <v>8</v>
      </c>
    </row>
    <row r="227" spans="1:13" x14ac:dyDescent="0.35">
      <c r="A227" s="1" t="s">
        <v>8</v>
      </c>
      <c r="B227" s="1" t="s">
        <v>434</v>
      </c>
      <c r="C227" s="1" t="s">
        <v>435</v>
      </c>
      <c r="D227" s="3" t="s">
        <v>436</v>
      </c>
      <c r="E227" s="3">
        <v>25</v>
      </c>
      <c r="F227" s="3" t="s">
        <v>12</v>
      </c>
      <c r="G227" s="1" t="s">
        <v>17</v>
      </c>
      <c r="H227" s="1" t="s">
        <v>17</v>
      </c>
      <c r="I227" s="1" t="s">
        <v>12</v>
      </c>
      <c r="J227" s="1">
        <v>0</v>
      </c>
      <c r="K227" s="1" t="s">
        <v>12</v>
      </c>
      <c r="L227" s="1" t="s">
        <v>7</v>
      </c>
      <c r="M227" s="1" t="s">
        <v>8</v>
      </c>
    </row>
    <row r="228" spans="1:13" x14ac:dyDescent="0.35">
      <c r="A228" s="1" t="s">
        <v>8</v>
      </c>
      <c r="B228" s="1" t="s">
        <v>434</v>
      </c>
      <c r="C228" s="1" t="s">
        <v>437</v>
      </c>
      <c r="D228" s="3" t="s">
        <v>436</v>
      </c>
      <c r="E228" s="3">
        <v>15</v>
      </c>
      <c r="F228" s="3" t="s">
        <v>12</v>
      </c>
      <c r="G228" s="1" t="s">
        <v>17</v>
      </c>
      <c r="H228" s="1" t="s">
        <v>17</v>
      </c>
      <c r="I228" s="1" t="s">
        <v>12</v>
      </c>
      <c r="J228" s="1">
        <v>0</v>
      </c>
      <c r="K228" s="1" t="s">
        <v>12</v>
      </c>
      <c r="L228" s="1" t="s">
        <v>7</v>
      </c>
      <c r="M228" s="1" t="s">
        <v>8</v>
      </c>
    </row>
    <row r="229" spans="1:13" x14ac:dyDescent="0.35">
      <c r="A229" s="1" t="s">
        <v>8</v>
      </c>
      <c r="B229" s="1" t="s">
        <v>434</v>
      </c>
      <c r="C229" s="1" t="s">
        <v>438</v>
      </c>
      <c r="D229" s="3" t="s">
        <v>436</v>
      </c>
      <c r="E229" s="3">
        <v>60</v>
      </c>
      <c r="F229" s="3" t="s">
        <v>12</v>
      </c>
      <c r="G229" s="1" t="s">
        <v>17</v>
      </c>
      <c r="H229" s="1" t="s">
        <v>17</v>
      </c>
      <c r="I229" s="1" t="s">
        <v>12</v>
      </c>
      <c r="J229" s="1">
        <v>0</v>
      </c>
      <c r="K229" s="1" t="s">
        <v>12</v>
      </c>
      <c r="L229" s="1" t="s">
        <v>7</v>
      </c>
      <c r="M229" s="1" t="s">
        <v>8</v>
      </c>
    </row>
    <row r="230" spans="1:13" x14ac:dyDescent="0.35">
      <c r="A230" s="1" t="s">
        <v>8</v>
      </c>
      <c r="B230" s="1" t="s">
        <v>18</v>
      </c>
      <c r="C230" s="1" t="s">
        <v>19</v>
      </c>
      <c r="D230" s="3" t="s">
        <v>20</v>
      </c>
      <c r="E230" s="3">
        <v>100</v>
      </c>
      <c r="F230" s="3">
        <v>100</v>
      </c>
      <c r="G230" s="1" t="s">
        <v>17</v>
      </c>
      <c r="H230" s="1" t="s">
        <v>17</v>
      </c>
      <c r="I230" s="1" t="s">
        <v>12</v>
      </c>
      <c r="J230" s="1">
        <v>0</v>
      </c>
      <c r="K230" s="1" t="s">
        <v>12</v>
      </c>
      <c r="L230" s="1" t="s">
        <v>7</v>
      </c>
      <c r="M230" s="1" t="s">
        <v>8</v>
      </c>
    </row>
    <row r="231" spans="1:13" x14ac:dyDescent="0.35">
      <c r="A231" s="1" t="s">
        <v>8</v>
      </c>
      <c r="B231" s="1" t="s">
        <v>36</v>
      </c>
      <c r="C231" s="1" t="s">
        <v>37</v>
      </c>
      <c r="D231" s="3" t="s">
        <v>38</v>
      </c>
      <c r="E231" s="3">
        <v>67</v>
      </c>
      <c r="F231" s="3" t="s">
        <v>12</v>
      </c>
      <c r="G231" s="1" t="s">
        <v>17</v>
      </c>
      <c r="H231" s="1" t="s">
        <v>17</v>
      </c>
      <c r="I231" s="1" t="s">
        <v>12</v>
      </c>
      <c r="J231" s="1">
        <v>0</v>
      </c>
      <c r="K231" s="1" t="s">
        <v>12</v>
      </c>
      <c r="L231" s="1" t="s">
        <v>7</v>
      </c>
      <c r="M231" s="1" t="s">
        <v>8</v>
      </c>
    </row>
    <row r="232" spans="1:13" x14ac:dyDescent="0.35">
      <c r="A232" s="1" t="s">
        <v>8</v>
      </c>
      <c r="B232" s="1" t="s">
        <v>36</v>
      </c>
      <c r="C232" s="1" t="s">
        <v>39</v>
      </c>
      <c r="D232" s="3" t="s">
        <v>38</v>
      </c>
      <c r="E232" s="3">
        <v>33</v>
      </c>
      <c r="F232" s="3" t="s">
        <v>12</v>
      </c>
      <c r="G232" s="1" t="s">
        <v>17</v>
      </c>
      <c r="H232" s="1" t="s">
        <v>17</v>
      </c>
      <c r="I232" s="1" t="s">
        <v>12</v>
      </c>
      <c r="J232" s="1">
        <v>0</v>
      </c>
      <c r="K232" s="1" t="s">
        <v>12</v>
      </c>
      <c r="L232" s="1" t="s">
        <v>7</v>
      </c>
      <c r="M232" s="1" t="s">
        <v>8</v>
      </c>
    </row>
    <row r="233" spans="1:13" x14ac:dyDescent="0.35">
      <c r="A233" s="1" t="s">
        <v>8</v>
      </c>
      <c r="B233" s="1" t="s">
        <v>40</v>
      </c>
      <c r="C233" s="1" t="s">
        <v>41</v>
      </c>
      <c r="D233" s="3" t="s">
        <v>42</v>
      </c>
      <c r="E233" s="3">
        <v>100</v>
      </c>
      <c r="F233" s="3">
        <v>100</v>
      </c>
      <c r="G233" s="1" t="s">
        <v>17</v>
      </c>
      <c r="H233" s="1" t="s">
        <v>17</v>
      </c>
      <c r="I233" s="1" t="s">
        <v>12</v>
      </c>
      <c r="J233" s="1">
        <v>0</v>
      </c>
      <c r="K233" s="1" t="s">
        <v>12</v>
      </c>
      <c r="L233" s="1" t="s">
        <v>7</v>
      </c>
      <c r="M233" s="1" t="s">
        <v>8</v>
      </c>
    </row>
    <row r="234" spans="1:13" x14ac:dyDescent="0.35">
      <c r="A234" s="1" t="s">
        <v>8</v>
      </c>
      <c r="B234" s="1" t="s">
        <v>21</v>
      </c>
      <c r="C234" s="1" t="s">
        <v>22</v>
      </c>
      <c r="D234" s="3" t="s">
        <v>23</v>
      </c>
      <c r="E234" s="3">
        <v>100</v>
      </c>
      <c r="F234" s="3" t="s">
        <v>12</v>
      </c>
      <c r="G234" s="1" t="s">
        <v>17</v>
      </c>
      <c r="H234" s="1" t="s">
        <v>17</v>
      </c>
      <c r="I234" s="1" t="s">
        <v>12</v>
      </c>
      <c r="J234" s="1">
        <v>0</v>
      </c>
      <c r="K234" s="1" t="s">
        <v>12</v>
      </c>
      <c r="L234" s="1" t="s">
        <v>7</v>
      </c>
      <c r="M234" s="1" t="s">
        <v>8</v>
      </c>
    </row>
    <row r="235" spans="1:13" x14ac:dyDescent="0.35">
      <c r="A235" s="1" t="s">
        <v>8</v>
      </c>
      <c r="B235" s="1" t="s">
        <v>43</v>
      </c>
      <c r="C235" s="1" t="s">
        <v>44</v>
      </c>
      <c r="D235" s="3" t="s">
        <v>45</v>
      </c>
      <c r="E235" s="3">
        <v>50</v>
      </c>
      <c r="F235" s="3">
        <v>50</v>
      </c>
      <c r="G235" s="1" t="s">
        <v>17</v>
      </c>
      <c r="H235" s="1" t="s">
        <v>17</v>
      </c>
      <c r="I235" s="1" t="s">
        <v>12</v>
      </c>
      <c r="J235" s="1">
        <v>0</v>
      </c>
      <c r="K235" s="1" t="s">
        <v>12</v>
      </c>
      <c r="L235" s="1" t="s">
        <v>7</v>
      </c>
      <c r="M235" s="1" t="s">
        <v>8</v>
      </c>
    </row>
    <row r="236" spans="1:13" x14ac:dyDescent="0.35">
      <c r="A236" s="1" t="s">
        <v>8</v>
      </c>
      <c r="B236" s="1" t="s">
        <v>43</v>
      </c>
      <c r="C236" s="1" t="s">
        <v>46</v>
      </c>
      <c r="D236" s="3" t="s">
        <v>45</v>
      </c>
      <c r="E236" s="3">
        <v>50</v>
      </c>
      <c r="F236" s="3">
        <v>50</v>
      </c>
      <c r="G236" s="1" t="s">
        <v>17</v>
      </c>
      <c r="H236" s="1" t="s">
        <v>17</v>
      </c>
      <c r="I236" s="1" t="s">
        <v>12</v>
      </c>
      <c r="J236" s="1">
        <v>0</v>
      </c>
      <c r="K236" s="1" t="s">
        <v>12</v>
      </c>
      <c r="L236" s="1" t="s">
        <v>7</v>
      </c>
      <c r="M236" s="1" t="s">
        <v>8</v>
      </c>
    </row>
    <row r="237" spans="1:13" x14ac:dyDescent="0.35">
      <c r="A237" s="1" t="s">
        <v>8</v>
      </c>
      <c r="B237" s="1" t="s">
        <v>47</v>
      </c>
      <c r="C237" s="1" t="s">
        <v>48</v>
      </c>
      <c r="D237" s="3" t="s">
        <v>49</v>
      </c>
      <c r="E237" s="3">
        <v>100</v>
      </c>
      <c r="F237" s="3">
        <v>100</v>
      </c>
      <c r="G237" s="1" t="s">
        <v>17</v>
      </c>
      <c r="H237" s="1" t="s">
        <v>17</v>
      </c>
      <c r="I237" s="1" t="s">
        <v>12</v>
      </c>
      <c r="J237" s="1">
        <v>0</v>
      </c>
      <c r="K237" s="1" t="s">
        <v>12</v>
      </c>
      <c r="L237" s="1" t="s">
        <v>7</v>
      </c>
      <c r="M237" s="1" t="s">
        <v>8</v>
      </c>
    </row>
    <row r="238" spans="1:13" x14ac:dyDescent="0.35">
      <c r="A238" s="1" t="s">
        <v>8</v>
      </c>
      <c r="B238" s="1" t="s">
        <v>60</v>
      </c>
      <c r="C238" s="1" t="s">
        <v>61</v>
      </c>
      <c r="D238" s="3" t="s">
        <v>62</v>
      </c>
      <c r="E238" s="3">
        <v>60</v>
      </c>
      <c r="F238" s="3">
        <v>60</v>
      </c>
      <c r="G238" s="1" t="s">
        <v>17</v>
      </c>
      <c r="H238" s="1" t="s">
        <v>17</v>
      </c>
      <c r="I238" s="1" t="s">
        <v>12</v>
      </c>
      <c r="J238" s="1">
        <v>0</v>
      </c>
      <c r="K238" s="1" t="s">
        <v>12</v>
      </c>
      <c r="L238" s="1" t="s">
        <v>7</v>
      </c>
      <c r="M238" s="1" t="s">
        <v>8</v>
      </c>
    </row>
    <row r="239" spans="1:13" x14ac:dyDescent="0.35">
      <c r="A239" s="1" t="s">
        <v>8</v>
      </c>
      <c r="B239" s="1" t="s">
        <v>60</v>
      </c>
      <c r="C239" s="1" t="s">
        <v>63</v>
      </c>
      <c r="D239" s="3" t="s">
        <v>62</v>
      </c>
      <c r="E239" s="3">
        <v>40</v>
      </c>
      <c r="F239" s="3">
        <v>40</v>
      </c>
      <c r="G239" s="1" t="s">
        <v>17</v>
      </c>
      <c r="H239" s="1" t="s">
        <v>17</v>
      </c>
      <c r="I239" s="1" t="s">
        <v>12</v>
      </c>
      <c r="J239" s="1">
        <v>0</v>
      </c>
      <c r="K239" s="1" t="s">
        <v>12</v>
      </c>
      <c r="L239" s="1" t="s">
        <v>7</v>
      </c>
      <c r="M239" s="1" t="s">
        <v>8</v>
      </c>
    </row>
    <row r="240" spans="1:13" x14ac:dyDescent="0.35">
      <c r="A240" s="1" t="s">
        <v>8</v>
      </c>
      <c r="B240" s="1" t="s">
        <v>64</v>
      </c>
      <c r="C240" s="1" t="s">
        <v>65</v>
      </c>
      <c r="D240" s="3" t="s">
        <v>66</v>
      </c>
      <c r="E240" s="3">
        <v>100</v>
      </c>
      <c r="F240" s="3">
        <v>100</v>
      </c>
      <c r="G240" s="1" t="s">
        <v>17</v>
      </c>
      <c r="H240" s="1" t="s">
        <v>17</v>
      </c>
      <c r="I240" s="1" t="s">
        <v>12</v>
      </c>
      <c r="J240" s="1">
        <v>0</v>
      </c>
      <c r="K240" s="1" t="s">
        <v>12</v>
      </c>
      <c r="L240" s="1" t="s">
        <v>7</v>
      </c>
      <c r="M240" s="1" t="s">
        <v>8</v>
      </c>
    </row>
    <row r="241" spans="1:13" x14ac:dyDescent="0.35">
      <c r="A241" s="1" t="s">
        <v>980</v>
      </c>
      <c r="B241" s="1" t="s">
        <v>1022</v>
      </c>
      <c r="C241" s="1" t="s">
        <v>1023</v>
      </c>
      <c r="D241" s="3" t="s">
        <v>1024</v>
      </c>
      <c r="E241" s="3">
        <v>100</v>
      </c>
      <c r="F241" s="3">
        <v>100</v>
      </c>
      <c r="G241" s="1" t="s">
        <v>17</v>
      </c>
      <c r="H241" s="1" t="s">
        <v>17</v>
      </c>
      <c r="I241" s="1" t="s">
        <v>12</v>
      </c>
      <c r="J241" s="1">
        <v>0</v>
      </c>
      <c r="K241" s="1" t="s">
        <v>12</v>
      </c>
      <c r="L241" s="1" t="s">
        <v>7</v>
      </c>
      <c r="M241" s="1" t="s">
        <v>980</v>
      </c>
    </row>
    <row r="242" spans="1:13" x14ac:dyDescent="0.35">
      <c r="A242" s="1" t="s">
        <v>8</v>
      </c>
      <c r="B242" s="1" t="s">
        <v>74</v>
      </c>
      <c r="C242" s="1" t="s">
        <v>75</v>
      </c>
      <c r="D242" s="3" t="s">
        <v>76</v>
      </c>
      <c r="E242" s="3">
        <v>100</v>
      </c>
      <c r="F242" s="3" t="s">
        <v>12</v>
      </c>
      <c r="G242" s="1" t="s">
        <v>17</v>
      </c>
      <c r="H242" s="1" t="s">
        <v>17</v>
      </c>
      <c r="I242" s="1" t="s">
        <v>12</v>
      </c>
      <c r="J242" s="1">
        <v>0</v>
      </c>
      <c r="K242" s="1" t="s">
        <v>12</v>
      </c>
      <c r="L242" s="1" t="s">
        <v>7</v>
      </c>
      <c r="M242" s="1" t="s">
        <v>8</v>
      </c>
    </row>
    <row r="243" spans="1:13" x14ac:dyDescent="0.35">
      <c r="A243" s="1" t="s">
        <v>8</v>
      </c>
      <c r="B243" s="1" t="s">
        <v>77</v>
      </c>
      <c r="C243" s="1" t="s">
        <v>78</v>
      </c>
      <c r="D243" s="3" t="s">
        <v>79</v>
      </c>
      <c r="E243" s="3">
        <v>50</v>
      </c>
      <c r="F243" s="3">
        <v>50</v>
      </c>
      <c r="G243" s="1" t="s">
        <v>17</v>
      </c>
      <c r="H243" s="1" t="s">
        <v>17</v>
      </c>
      <c r="I243" s="1" t="s">
        <v>12</v>
      </c>
      <c r="J243" s="1">
        <v>0</v>
      </c>
      <c r="K243" s="1" t="s">
        <v>12</v>
      </c>
      <c r="L243" s="1" t="s">
        <v>7</v>
      </c>
      <c r="M243" s="1" t="s">
        <v>8</v>
      </c>
    </row>
    <row r="244" spans="1:13" x14ac:dyDescent="0.35">
      <c r="A244" s="1" t="s">
        <v>8</v>
      </c>
      <c r="B244" s="1" t="s">
        <v>77</v>
      </c>
      <c r="C244" s="1" t="s">
        <v>80</v>
      </c>
      <c r="D244" s="3" t="s">
        <v>79</v>
      </c>
      <c r="E244" s="3">
        <v>50</v>
      </c>
      <c r="F244" s="3">
        <v>50</v>
      </c>
      <c r="G244" s="1" t="s">
        <v>81</v>
      </c>
      <c r="H244" s="1" t="s">
        <v>81</v>
      </c>
      <c r="I244" s="1" t="s">
        <v>12</v>
      </c>
      <c r="J244" s="1">
        <v>0</v>
      </c>
      <c r="K244" s="1" t="s">
        <v>12</v>
      </c>
      <c r="L244" s="1" t="s">
        <v>7</v>
      </c>
      <c r="M244" s="1" t="s">
        <v>8</v>
      </c>
    </row>
    <row r="245" spans="1:13" x14ac:dyDescent="0.35">
      <c r="A245" s="1" t="s">
        <v>8</v>
      </c>
      <c r="B245" s="1" t="s">
        <v>88</v>
      </c>
      <c r="C245" s="1" t="s">
        <v>89</v>
      </c>
      <c r="D245" s="3" t="s">
        <v>90</v>
      </c>
      <c r="E245" s="3">
        <v>100</v>
      </c>
      <c r="F245" s="3" t="s">
        <v>12</v>
      </c>
      <c r="G245" s="1" t="s">
        <v>17</v>
      </c>
      <c r="H245" s="1" t="s">
        <v>17</v>
      </c>
      <c r="I245" s="1" t="s">
        <v>12</v>
      </c>
      <c r="J245" s="1">
        <v>0</v>
      </c>
      <c r="K245" s="1" t="s">
        <v>12</v>
      </c>
      <c r="L245" s="1" t="s">
        <v>7</v>
      </c>
      <c r="M245" s="1" t="s">
        <v>8</v>
      </c>
    </row>
    <row r="246" spans="1:13" x14ac:dyDescent="0.35">
      <c r="A246" s="1" t="s">
        <v>8</v>
      </c>
      <c r="B246" s="1" t="s">
        <v>91</v>
      </c>
      <c r="C246" s="1" t="s">
        <v>92</v>
      </c>
      <c r="D246" s="3" t="s">
        <v>93</v>
      </c>
      <c r="E246" s="3">
        <v>100</v>
      </c>
      <c r="F246" s="3">
        <v>100</v>
      </c>
      <c r="G246" s="1" t="s">
        <v>17</v>
      </c>
      <c r="H246" s="1" t="s">
        <v>17</v>
      </c>
      <c r="I246" s="1" t="s">
        <v>12</v>
      </c>
      <c r="J246" s="1">
        <v>0</v>
      </c>
      <c r="K246" s="1" t="s">
        <v>12</v>
      </c>
      <c r="L246" s="1" t="s">
        <v>7</v>
      </c>
      <c r="M246" s="1" t="s">
        <v>8</v>
      </c>
    </row>
    <row r="247" spans="1:13" x14ac:dyDescent="0.35">
      <c r="A247" s="1" t="s">
        <v>8</v>
      </c>
      <c r="B247" s="1" t="s">
        <v>129</v>
      </c>
      <c r="C247" s="1" t="s">
        <v>130</v>
      </c>
      <c r="D247" s="3" t="s">
        <v>131</v>
      </c>
      <c r="E247" s="3">
        <v>50</v>
      </c>
      <c r="F247" s="3">
        <v>50</v>
      </c>
      <c r="G247" s="1" t="s">
        <v>17</v>
      </c>
      <c r="H247" s="1" t="s">
        <v>17</v>
      </c>
      <c r="I247" s="1" t="s">
        <v>12</v>
      </c>
      <c r="J247" s="1">
        <v>0</v>
      </c>
      <c r="K247" s="1" t="s">
        <v>12</v>
      </c>
      <c r="L247" s="1" t="s">
        <v>7</v>
      </c>
      <c r="M247" s="1" t="s">
        <v>8</v>
      </c>
    </row>
    <row r="248" spans="1:13" x14ac:dyDescent="0.35">
      <c r="A248" s="1" t="s">
        <v>8</v>
      </c>
      <c r="B248" s="1" t="s">
        <v>129</v>
      </c>
      <c r="C248" s="1" t="s">
        <v>132</v>
      </c>
      <c r="D248" s="3" t="s">
        <v>131</v>
      </c>
      <c r="E248" s="3">
        <v>50</v>
      </c>
      <c r="F248" s="3">
        <v>50</v>
      </c>
      <c r="G248" s="1" t="s">
        <v>17</v>
      </c>
      <c r="H248" s="1" t="s">
        <v>17</v>
      </c>
      <c r="I248" s="1" t="s">
        <v>12</v>
      </c>
      <c r="J248" s="1">
        <v>0</v>
      </c>
      <c r="K248" s="1" t="s">
        <v>12</v>
      </c>
      <c r="L248" s="1" t="s">
        <v>7</v>
      </c>
      <c r="M248" s="1" t="s">
        <v>8</v>
      </c>
    </row>
    <row r="249" spans="1:13" x14ac:dyDescent="0.35">
      <c r="A249" s="1" t="s">
        <v>8</v>
      </c>
      <c r="B249" s="1" t="s">
        <v>94</v>
      </c>
      <c r="C249" s="1" t="s">
        <v>95</v>
      </c>
      <c r="D249" s="3" t="s">
        <v>96</v>
      </c>
      <c r="E249" s="3" t="s">
        <v>12</v>
      </c>
      <c r="F249" s="3" t="s">
        <v>12</v>
      </c>
      <c r="G249" s="1" t="s">
        <v>17</v>
      </c>
      <c r="H249" s="1" t="s">
        <v>17</v>
      </c>
      <c r="I249" s="1" t="s">
        <v>12</v>
      </c>
      <c r="J249" s="1">
        <v>0</v>
      </c>
      <c r="K249" s="1" t="s">
        <v>12</v>
      </c>
      <c r="L249" s="1" t="s">
        <v>7</v>
      </c>
      <c r="M249" s="1" t="s">
        <v>8</v>
      </c>
    </row>
    <row r="250" spans="1:13" x14ac:dyDescent="0.35">
      <c r="A250" s="1" t="s">
        <v>8</v>
      </c>
      <c r="B250" s="1" t="s">
        <v>97</v>
      </c>
      <c r="C250" s="1" t="s">
        <v>98</v>
      </c>
      <c r="D250" s="3" t="s">
        <v>99</v>
      </c>
      <c r="E250" s="3" t="s">
        <v>12</v>
      </c>
      <c r="F250" s="3" t="s">
        <v>12</v>
      </c>
      <c r="G250" s="1" t="s">
        <v>100</v>
      </c>
      <c r="H250" s="1" t="s">
        <v>100</v>
      </c>
      <c r="I250" s="1" t="s">
        <v>12</v>
      </c>
      <c r="J250" s="1">
        <v>0</v>
      </c>
      <c r="K250" s="1" t="s">
        <v>12</v>
      </c>
      <c r="L250" s="1" t="s">
        <v>7</v>
      </c>
      <c r="M250" s="1" t="s">
        <v>8</v>
      </c>
    </row>
    <row r="251" spans="1:13" x14ac:dyDescent="0.35">
      <c r="A251" s="1" t="s">
        <v>8</v>
      </c>
      <c r="B251" s="1" t="s">
        <v>101</v>
      </c>
      <c r="C251" s="1" t="s">
        <v>102</v>
      </c>
      <c r="D251" s="3" t="s">
        <v>103</v>
      </c>
      <c r="E251" s="3" t="s">
        <v>12</v>
      </c>
      <c r="F251" s="3" t="s">
        <v>12</v>
      </c>
      <c r="G251" s="1" t="s">
        <v>104</v>
      </c>
      <c r="H251" s="1" t="s">
        <v>104</v>
      </c>
      <c r="I251" s="1" t="s">
        <v>12</v>
      </c>
      <c r="J251" s="1">
        <v>0</v>
      </c>
      <c r="K251" s="1" t="s">
        <v>12</v>
      </c>
      <c r="L251" s="1" t="s">
        <v>7</v>
      </c>
      <c r="M251" s="1" t="s">
        <v>8</v>
      </c>
    </row>
    <row r="252" spans="1:13" x14ac:dyDescent="0.35">
      <c r="A252" s="1" t="s">
        <v>8</v>
      </c>
      <c r="B252" s="1" t="s">
        <v>111</v>
      </c>
      <c r="C252" s="1" t="s">
        <v>112</v>
      </c>
      <c r="D252" s="3" t="s">
        <v>113</v>
      </c>
      <c r="E252" s="3">
        <v>50</v>
      </c>
      <c r="F252" s="3">
        <v>50</v>
      </c>
      <c r="G252" s="1" t="s">
        <v>17</v>
      </c>
      <c r="H252" s="1" t="s">
        <v>17</v>
      </c>
      <c r="I252" s="1" t="s">
        <v>12</v>
      </c>
      <c r="J252" s="1">
        <v>0</v>
      </c>
      <c r="K252" s="1" t="s">
        <v>12</v>
      </c>
      <c r="L252" s="1" t="s">
        <v>7</v>
      </c>
      <c r="M252" s="1" t="s">
        <v>8</v>
      </c>
    </row>
    <row r="253" spans="1:13" x14ac:dyDescent="0.35">
      <c r="A253" s="1" t="s">
        <v>8</v>
      </c>
      <c r="B253" s="1" t="s">
        <v>111</v>
      </c>
      <c r="C253" s="1" t="s">
        <v>114</v>
      </c>
      <c r="D253" s="3" t="s">
        <v>113</v>
      </c>
      <c r="E253" s="3">
        <v>50</v>
      </c>
      <c r="F253" s="3">
        <v>50</v>
      </c>
      <c r="G253" s="1" t="s">
        <v>17</v>
      </c>
      <c r="H253" s="1" t="s">
        <v>17</v>
      </c>
      <c r="I253" s="1" t="s">
        <v>12</v>
      </c>
      <c r="J253" s="1">
        <v>0</v>
      </c>
      <c r="K253" s="1" t="s">
        <v>12</v>
      </c>
      <c r="L253" s="1" t="s">
        <v>7</v>
      </c>
      <c r="M253" s="1" t="s">
        <v>8</v>
      </c>
    </row>
    <row r="254" spans="1:13" x14ac:dyDescent="0.35">
      <c r="A254" s="1" t="s">
        <v>8</v>
      </c>
      <c r="B254" s="1" t="s">
        <v>155</v>
      </c>
      <c r="C254" s="1" t="s">
        <v>156</v>
      </c>
      <c r="D254" s="3" t="s">
        <v>157</v>
      </c>
      <c r="E254" s="3">
        <v>33</v>
      </c>
      <c r="F254" s="3">
        <v>33</v>
      </c>
      <c r="G254" s="1" t="s">
        <v>17</v>
      </c>
      <c r="H254" s="1" t="s">
        <v>17</v>
      </c>
      <c r="I254" s="1" t="s">
        <v>12</v>
      </c>
      <c r="J254" s="1">
        <v>0</v>
      </c>
      <c r="K254" s="1" t="s">
        <v>12</v>
      </c>
      <c r="L254" s="1" t="s">
        <v>7</v>
      </c>
      <c r="M254" s="1" t="s">
        <v>8</v>
      </c>
    </row>
    <row r="255" spans="1:13" x14ac:dyDescent="0.35">
      <c r="A255" s="1" t="s">
        <v>8</v>
      </c>
      <c r="B255" s="1" t="s">
        <v>155</v>
      </c>
      <c r="C255" s="1" t="s">
        <v>158</v>
      </c>
      <c r="D255" s="3" t="s">
        <v>157</v>
      </c>
      <c r="E255" s="3">
        <v>33</v>
      </c>
      <c r="F255" s="3">
        <v>33</v>
      </c>
      <c r="G255" s="1" t="s">
        <v>17</v>
      </c>
      <c r="H255" s="1" t="s">
        <v>17</v>
      </c>
      <c r="I255" s="1" t="s">
        <v>12</v>
      </c>
      <c r="J255" s="1">
        <v>0</v>
      </c>
      <c r="K255" s="1" t="s">
        <v>12</v>
      </c>
      <c r="L255" s="1" t="s">
        <v>7</v>
      </c>
      <c r="M255" s="1" t="s">
        <v>8</v>
      </c>
    </row>
    <row r="256" spans="1:13" x14ac:dyDescent="0.35">
      <c r="A256" s="1" t="s">
        <v>8</v>
      </c>
      <c r="B256" s="1" t="s">
        <v>155</v>
      </c>
      <c r="C256" s="1" t="s">
        <v>159</v>
      </c>
      <c r="D256" s="3" t="s">
        <v>157</v>
      </c>
      <c r="E256" s="3">
        <v>34</v>
      </c>
      <c r="F256" s="3">
        <v>34</v>
      </c>
      <c r="G256" s="1" t="s">
        <v>160</v>
      </c>
      <c r="H256" s="1" t="s">
        <v>160</v>
      </c>
      <c r="I256" s="1" t="s">
        <v>12</v>
      </c>
      <c r="J256" s="1">
        <v>0</v>
      </c>
      <c r="K256" s="1" t="s">
        <v>12</v>
      </c>
      <c r="L256" s="1" t="s">
        <v>7</v>
      </c>
      <c r="M256" s="1" t="s">
        <v>8</v>
      </c>
    </row>
    <row r="257" spans="1:13" x14ac:dyDescent="0.35">
      <c r="A257" s="1" t="s">
        <v>8</v>
      </c>
      <c r="B257" s="1" t="s">
        <v>170</v>
      </c>
      <c r="C257" s="1" t="s">
        <v>171</v>
      </c>
      <c r="D257" s="3" t="s">
        <v>172</v>
      </c>
      <c r="E257" s="3">
        <v>10</v>
      </c>
      <c r="F257" s="3">
        <v>10</v>
      </c>
      <c r="G257" s="1" t="s">
        <v>17</v>
      </c>
      <c r="H257" s="1" t="s">
        <v>17</v>
      </c>
      <c r="I257" s="1" t="s">
        <v>12</v>
      </c>
      <c r="J257" s="1">
        <v>0</v>
      </c>
      <c r="K257" s="1" t="s">
        <v>12</v>
      </c>
      <c r="L257" s="1" t="s">
        <v>7</v>
      </c>
      <c r="M257" s="1" t="s">
        <v>8</v>
      </c>
    </row>
    <row r="258" spans="1:13" x14ac:dyDescent="0.35">
      <c r="A258" s="1" t="s">
        <v>8</v>
      </c>
      <c r="B258" s="1" t="s">
        <v>170</v>
      </c>
      <c r="C258" s="1" t="s">
        <v>173</v>
      </c>
      <c r="D258" s="3" t="s">
        <v>172</v>
      </c>
      <c r="E258" s="3">
        <v>35</v>
      </c>
      <c r="F258" s="3">
        <v>35</v>
      </c>
      <c r="G258" s="1" t="s">
        <v>17</v>
      </c>
      <c r="H258" s="1" t="s">
        <v>17</v>
      </c>
      <c r="I258" s="1" t="s">
        <v>12</v>
      </c>
      <c r="J258" s="1">
        <v>0</v>
      </c>
      <c r="K258" s="1" t="s">
        <v>12</v>
      </c>
      <c r="L258" s="1" t="s">
        <v>7</v>
      </c>
      <c r="M258" s="1" t="s">
        <v>8</v>
      </c>
    </row>
    <row r="259" spans="1:13" x14ac:dyDescent="0.35">
      <c r="A259" s="1" t="s">
        <v>8</v>
      </c>
      <c r="B259" s="1" t="s">
        <v>170</v>
      </c>
      <c r="C259" s="1" t="s">
        <v>174</v>
      </c>
      <c r="D259" s="3" t="s">
        <v>172</v>
      </c>
      <c r="E259" s="3">
        <v>5</v>
      </c>
      <c r="F259" s="3">
        <v>5</v>
      </c>
      <c r="G259" s="1" t="s">
        <v>17</v>
      </c>
      <c r="H259" s="1" t="s">
        <v>17</v>
      </c>
      <c r="I259" s="1" t="s">
        <v>12</v>
      </c>
      <c r="J259" s="1">
        <v>0</v>
      </c>
      <c r="K259" s="1" t="s">
        <v>12</v>
      </c>
      <c r="L259" s="1" t="s">
        <v>7</v>
      </c>
      <c r="M259" s="1" t="s">
        <v>8</v>
      </c>
    </row>
    <row r="260" spans="1:13" x14ac:dyDescent="0.35">
      <c r="A260" s="1" t="s">
        <v>8</v>
      </c>
      <c r="B260" s="1" t="s">
        <v>170</v>
      </c>
      <c r="C260" s="1" t="s">
        <v>175</v>
      </c>
      <c r="D260" s="3" t="s">
        <v>172</v>
      </c>
      <c r="E260" s="3">
        <v>50</v>
      </c>
      <c r="F260" s="3">
        <v>50</v>
      </c>
      <c r="G260" s="1" t="s">
        <v>17</v>
      </c>
      <c r="H260" s="1" t="s">
        <v>17</v>
      </c>
      <c r="I260" s="1" t="s">
        <v>12</v>
      </c>
      <c r="J260" s="1">
        <v>0</v>
      </c>
      <c r="K260" s="1" t="s">
        <v>12</v>
      </c>
      <c r="L260" s="1" t="s">
        <v>7</v>
      </c>
      <c r="M260" s="1" t="s">
        <v>8</v>
      </c>
    </row>
    <row r="261" spans="1:13" x14ac:dyDescent="0.35">
      <c r="A261" s="1" t="s">
        <v>8</v>
      </c>
      <c r="B261" s="1" t="s">
        <v>176</v>
      </c>
      <c r="C261" s="1" t="s">
        <v>177</v>
      </c>
      <c r="D261" s="3" t="s">
        <v>178</v>
      </c>
      <c r="E261" s="3">
        <v>100</v>
      </c>
      <c r="F261" s="3">
        <v>100</v>
      </c>
      <c r="G261" s="1" t="s">
        <v>17</v>
      </c>
      <c r="H261" s="1" t="s">
        <v>17</v>
      </c>
      <c r="I261" s="1" t="s">
        <v>12</v>
      </c>
      <c r="J261" s="1">
        <v>0</v>
      </c>
      <c r="K261" s="1" t="s">
        <v>12</v>
      </c>
      <c r="L261" s="1" t="s">
        <v>7</v>
      </c>
      <c r="M261" s="1" t="s">
        <v>8</v>
      </c>
    </row>
    <row r="262" spans="1:13" x14ac:dyDescent="0.35">
      <c r="A262" s="1" t="s">
        <v>8</v>
      </c>
      <c r="B262" s="1" t="s">
        <v>215</v>
      </c>
      <c r="C262" s="1" t="s">
        <v>216</v>
      </c>
      <c r="D262" s="3" t="s">
        <v>217</v>
      </c>
      <c r="E262" s="3">
        <v>30</v>
      </c>
      <c r="F262" s="3" t="s">
        <v>12</v>
      </c>
      <c r="G262" s="1" t="s">
        <v>17</v>
      </c>
      <c r="H262" s="1" t="s">
        <v>17</v>
      </c>
      <c r="I262" s="1" t="s">
        <v>12</v>
      </c>
      <c r="J262" s="1">
        <v>0</v>
      </c>
      <c r="K262" s="1" t="s">
        <v>12</v>
      </c>
      <c r="L262" s="1" t="s">
        <v>7</v>
      </c>
      <c r="M262" s="1" t="s">
        <v>8</v>
      </c>
    </row>
    <row r="263" spans="1:13" x14ac:dyDescent="0.35">
      <c r="A263" s="1" t="s">
        <v>8</v>
      </c>
      <c r="B263" s="1" t="s">
        <v>215</v>
      </c>
      <c r="C263" s="1" t="s">
        <v>218</v>
      </c>
      <c r="D263" s="3" t="s">
        <v>217</v>
      </c>
      <c r="E263" s="3">
        <v>40</v>
      </c>
      <c r="F263" s="3" t="s">
        <v>12</v>
      </c>
      <c r="G263" s="1" t="s">
        <v>17</v>
      </c>
      <c r="H263" s="1" t="s">
        <v>17</v>
      </c>
      <c r="I263" s="1" t="s">
        <v>12</v>
      </c>
      <c r="J263" s="1">
        <v>0</v>
      </c>
      <c r="K263" s="1" t="s">
        <v>12</v>
      </c>
      <c r="L263" s="1" t="s">
        <v>7</v>
      </c>
      <c r="M263" s="1" t="s">
        <v>8</v>
      </c>
    </row>
    <row r="264" spans="1:13" x14ac:dyDescent="0.35">
      <c r="A264" s="1" t="s">
        <v>8</v>
      </c>
      <c r="B264" s="1" t="s">
        <v>215</v>
      </c>
      <c r="C264" s="1" t="s">
        <v>219</v>
      </c>
      <c r="D264" s="3" t="s">
        <v>217</v>
      </c>
      <c r="E264" s="3">
        <v>30</v>
      </c>
      <c r="F264" s="3" t="s">
        <v>12</v>
      </c>
      <c r="G264" s="1" t="s">
        <v>17</v>
      </c>
      <c r="H264" s="1" t="s">
        <v>17</v>
      </c>
      <c r="I264" s="1" t="s">
        <v>12</v>
      </c>
      <c r="J264" s="1">
        <v>0</v>
      </c>
      <c r="K264" s="1" t="s">
        <v>12</v>
      </c>
      <c r="L264" s="1" t="s">
        <v>7</v>
      </c>
      <c r="M264" s="1" t="s">
        <v>8</v>
      </c>
    </row>
    <row r="265" spans="1:13" x14ac:dyDescent="0.35">
      <c r="A265" s="1" t="s">
        <v>8</v>
      </c>
      <c r="B265" s="1" t="s">
        <v>256</v>
      </c>
      <c r="C265" s="1" t="s">
        <v>257</v>
      </c>
      <c r="D265" s="3" t="s">
        <v>258</v>
      </c>
      <c r="E265" s="3">
        <v>100</v>
      </c>
      <c r="F265" s="3" t="s">
        <v>12</v>
      </c>
      <c r="G265" s="1" t="s">
        <v>17</v>
      </c>
      <c r="H265" s="1" t="s">
        <v>17</v>
      </c>
      <c r="I265" s="1" t="s">
        <v>12</v>
      </c>
      <c r="J265" s="1">
        <v>0</v>
      </c>
      <c r="K265" s="1" t="s">
        <v>12</v>
      </c>
      <c r="L265" s="1" t="s">
        <v>7</v>
      </c>
      <c r="M265" s="1" t="s">
        <v>8</v>
      </c>
    </row>
    <row r="266" spans="1:13" x14ac:dyDescent="0.35">
      <c r="A266" s="1" t="s">
        <v>8</v>
      </c>
      <c r="B266" s="1" t="s">
        <v>265</v>
      </c>
      <c r="C266" s="1" t="s">
        <v>266</v>
      </c>
      <c r="D266" s="3" t="s">
        <v>267</v>
      </c>
      <c r="E266" s="3">
        <v>100</v>
      </c>
      <c r="F266" s="3" t="s">
        <v>12</v>
      </c>
      <c r="G266" s="1" t="s">
        <v>17</v>
      </c>
      <c r="H266" s="1" t="s">
        <v>17</v>
      </c>
      <c r="I266" s="1" t="s">
        <v>12</v>
      </c>
      <c r="J266" s="1">
        <v>0</v>
      </c>
      <c r="K266" s="1" t="s">
        <v>12</v>
      </c>
      <c r="L266" s="1" t="s">
        <v>7</v>
      </c>
      <c r="M266" s="1" t="s">
        <v>8</v>
      </c>
    </row>
    <row r="267" spans="1:13" x14ac:dyDescent="0.35">
      <c r="A267" s="1" t="s">
        <v>8</v>
      </c>
      <c r="B267" s="1" t="s">
        <v>279</v>
      </c>
      <c r="C267" s="1" t="s">
        <v>280</v>
      </c>
      <c r="D267" s="3" t="s">
        <v>281</v>
      </c>
      <c r="E267" s="3">
        <v>90</v>
      </c>
      <c r="F267" s="3" t="s">
        <v>12</v>
      </c>
      <c r="G267" s="1" t="s">
        <v>17</v>
      </c>
      <c r="H267" s="1" t="s">
        <v>17</v>
      </c>
      <c r="I267" s="1" t="s">
        <v>12</v>
      </c>
      <c r="J267" s="1">
        <v>0</v>
      </c>
      <c r="K267" s="1" t="s">
        <v>12</v>
      </c>
      <c r="L267" s="1" t="s">
        <v>7</v>
      </c>
      <c r="M267" s="1" t="s">
        <v>8</v>
      </c>
    </row>
    <row r="268" spans="1:13" x14ac:dyDescent="0.35">
      <c r="A268" s="1" t="s">
        <v>8</v>
      </c>
      <c r="B268" s="1" t="s">
        <v>279</v>
      </c>
      <c r="C268" s="1" t="s">
        <v>282</v>
      </c>
      <c r="D268" s="3" t="s">
        <v>281</v>
      </c>
      <c r="E268" s="3">
        <v>10</v>
      </c>
      <c r="F268" s="3" t="s">
        <v>12</v>
      </c>
      <c r="G268" s="1" t="s">
        <v>17</v>
      </c>
      <c r="H268" s="1" t="s">
        <v>17</v>
      </c>
      <c r="I268" s="1" t="s">
        <v>12</v>
      </c>
      <c r="J268" s="1">
        <v>0</v>
      </c>
      <c r="K268" s="1" t="s">
        <v>12</v>
      </c>
      <c r="L268" s="1" t="s">
        <v>7</v>
      </c>
      <c r="M268" s="1" t="s">
        <v>8</v>
      </c>
    </row>
    <row r="269" spans="1:13" x14ac:dyDescent="0.35">
      <c r="A269" s="1" t="s">
        <v>8</v>
      </c>
      <c r="B269" s="1" t="s">
        <v>268</v>
      </c>
      <c r="C269" s="1" t="s">
        <v>269</v>
      </c>
      <c r="D269" s="3" t="s">
        <v>270</v>
      </c>
      <c r="E269" s="3">
        <v>50</v>
      </c>
      <c r="F269" s="3">
        <v>50</v>
      </c>
      <c r="G269" s="1" t="s">
        <v>17</v>
      </c>
      <c r="H269" s="1" t="s">
        <v>17</v>
      </c>
      <c r="I269" s="1" t="s">
        <v>12</v>
      </c>
      <c r="J269" s="1">
        <v>0</v>
      </c>
      <c r="K269" s="1" t="s">
        <v>12</v>
      </c>
      <c r="L269" s="1" t="s">
        <v>7</v>
      </c>
      <c r="M269" s="1" t="s">
        <v>8</v>
      </c>
    </row>
    <row r="270" spans="1:13" x14ac:dyDescent="0.35">
      <c r="A270" s="1" t="s">
        <v>8</v>
      </c>
      <c r="B270" s="1" t="s">
        <v>268</v>
      </c>
      <c r="C270" s="1" t="s">
        <v>114</v>
      </c>
      <c r="D270" s="3" t="s">
        <v>270</v>
      </c>
      <c r="E270" s="3">
        <v>50</v>
      </c>
      <c r="F270" s="3">
        <v>50</v>
      </c>
      <c r="G270" s="1" t="s">
        <v>17</v>
      </c>
      <c r="H270" s="1" t="s">
        <v>17</v>
      </c>
      <c r="I270" s="1" t="s">
        <v>12</v>
      </c>
      <c r="J270" s="1">
        <v>0</v>
      </c>
      <c r="K270" s="1" t="s">
        <v>12</v>
      </c>
      <c r="L270" s="1" t="s">
        <v>7</v>
      </c>
      <c r="M270" s="1" t="s">
        <v>8</v>
      </c>
    </row>
    <row r="271" spans="1:13" x14ac:dyDescent="0.35">
      <c r="A271" s="1" t="s">
        <v>8</v>
      </c>
      <c r="B271" s="1" t="s">
        <v>287</v>
      </c>
      <c r="C271" s="1" t="s">
        <v>288</v>
      </c>
      <c r="D271" s="3" t="s">
        <v>289</v>
      </c>
      <c r="E271" s="3">
        <v>20</v>
      </c>
      <c r="F271" s="3">
        <v>20</v>
      </c>
      <c r="G271" s="1" t="s">
        <v>17</v>
      </c>
      <c r="H271" s="1" t="s">
        <v>17</v>
      </c>
      <c r="I271" s="1" t="s">
        <v>12</v>
      </c>
      <c r="J271" s="1">
        <v>0</v>
      </c>
      <c r="K271" s="1" t="s">
        <v>12</v>
      </c>
      <c r="L271" s="1" t="s">
        <v>7</v>
      </c>
      <c r="M271" s="1" t="s">
        <v>8</v>
      </c>
    </row>
    <row r="272" spans="1:13" x14ac:dyDescent="0.35">
      <c r="A272" s="1" t="s">
        <v>8</v>
      </c>
      <c r="B272" s="1" t="s">
        <v>287</v>
      </c>
      <c r="C272" s="1" t="s">
        <v>290</v>
      </c>
      <c r="D272" s="3" t="s">
        <v>289</v>
      </c>
      <c r="E272" s="3">
        <v>40</v>
      </c>
      <c r="F272" s="3">
        <v>40</v>
      </c>
      <c r="G272" s="1" t="s">
        <v>17</v>
      </c>
      <c r="H272" s="1" t="s">
        <v>17</v>
      </c>
      <c r="I272" s="1" t="s">
        <v>12</v>
      </c>
      <c r="J272" s="1">
        <v>0</v>
      </c>
      <c r="K272" s="1" t="s">
        <v>12</v>
      </c>
      <c r="L272" s="1" t="s">
        <v>7</v>
      </c>
      <c r="M272" s="1" t="s">
        <v>8</v>
      </c>
    </row>
    <row r="273" spans="1:13" x14ac:dyDescent="0.35">
      <c r="A273" s="1" t="s">
        <v>8</v>
      </c>
      <c r="B273" s="1" t="s">
        <v>287</v>
      </c>
      <c r="C273" s="1" t="s">
        <v>291</v>
      </c>
      <c r="D273" s="3" t="s">
        <v>289</v>
      </c>
      <c r="E273" s="3">
        <v>40</v>
      </c>
      <c r="F273" s="3">
        <v>40</v>
      </c>
      <c r="G273" s="1" t="s">
        <v>17</v>
      </c>
      <c r="H273" s="1" t="s">
        <v>17</v>
      </c>
      <c r="I273" s="1" t="s">
        <v>12</v>
      </c>
      <c r="J273" s="1">
        <v>0</v>
      </c>
      <c r="K273" s="1" t="s">
        <v>12</v>
      </c>
      <c r="L273" s="1" t="s">
        <v>7</v>
      </c>
      <c r="M273" s="1" t="s">
        <v>8</v>
      </c>
    </row>
    <row r="274" spans="1:13" x14ac:dyDescent="0.35">
      <c r="A274" s="1" t="s">
        <v>8</v>
      </c>
      <c r="B274" s="1" t="s">
        <v>271</v>
      </c>
      <c r="C274" s="1" t="s">
        <v>272</v>
      </c>
      <c r="D274" s="3" t="s">
        <v>273</v>
      </c>
      <c r="E274" s="3" t="s">
        <v>12</v>
      </c>
      <c r="F274" s="3" t="s">
        <v>12</v>
      </c>
      <c r="G274" s="1" t="s">
        <v>274</v>
      </c>
      <c r="H274" s="1" t="s">
        <v>274</v>
      </c>
      <c r="I274" s="1" t="s">
        <v>12</v>
      </c>
      <c r="J274" s="1">
        <v>0</v>
      </c>
      <c r="K274" s="1" t="s">
        <v>12</v>
      </c>
      <c r="L274" s="1" t="s">
        <v>7</v>
      </c>
      <c r="M274" s="1" t="s">
        <v>8</v>
      </c>
    </row>
    <row r="275" spans="1:13" x14ac:dyDescent="0.35">
      <c r="A275" s="1" t="s">
        <v>8</v>
      </c>
      <c r="B275" s="1" t="s">
        <v>271</v>
      </c>
      <c r="C275" s="1" t="s">
        <v>275</v>
      </c>
      <c r="D275" s="3" t="s">
        <v>273</v>
      </c>
      <c r="E275" s="3" t="s">
        <v>12</v>
      </c>
      <c r="F275" s="3" t="s">
        <v>12</v>
      </c>
      <c r="G275" s="1" t="s">
        <v>139</v>
      </c>
      <c r="H275" s="1" t="s">
        <v>139</v>
      </c>
      <c r="I275" s="1" t="s">
        <v>12</v>
      </c>
      <c r="J275" s="1">
        <v>0</v>
      </c>
      <c r="K275" s="1" t="s">
        <v>12</v>
      </c>
      <c r="L275" s="1" t="s">
        <v>7</v>
      </c>
      <c r="M275" s="1" t="s">
        <v>8</v>
      </c>
    </row>
    <row r="276" spans="1:13" x14ac:dyDescent="0.35">
      <c r="A276" s="1" t="s">
        <v>8</v>
      </c>
      <c r="B276" s="1" t="s">
        <v>312</v>
      </c>
      <c r="C276" s="1" t="s">
        <v>313</v>
      </c>
      <c r="D276" s="3" t="s">
        <v>314</v>
      </c>
      <c r="E276" s="3">
        <v>50</v>
      </c>
      <c r="F276" s="3">
        <v>50</v>
      </c>
      <c r="G276" s="1" t="s">
        <v>17</v>
      </c>
      <c r="H276" s="1" t="s">
        <v>17</v>
      </c>
      <c r="I276" s="1" t="s">
        <v>12</v>
      </c>
      <c r="J276" s="1">
        <v>0</v>
      </c>
      <c r="K276" s="1" t="s">
        <v>12</v>
      </c>
      <c r="L276" s="1" t="s">
        <v>7</v>
      </c>
      <c r="M276" s="1" t="s">
        <v>8</v>
      </c>
    </row>
    <row r="277" spans="1:13" x14ac:dyDescent="0.35">
      <c r="A277" s="1" t="s">
        <v>8</v>
      </c>
      <c r="B277" s="1" t="s">
        <v>312</v>
      </c>
      <c r="C277" s="1" t="s">
        <v>315</v>
      </c>
      <c r="D277" s="3" t="s">
        <v>314</v>
      </c>
      <c r="E277" s="3">
        <v>50</v>
      </c>
      <c r="F277" s="3">
        <v>50</v>
      </c>
      <c r="G277" s="1" t="s">
        <v>17</v>
      </c>
      <c r="H277" s="1" t="s">
        <v>17</v>
      </c>
      <c r="I277" s="1" t="s">
        <v>12</v>
      </c>
      <c r="J277" s="1">
        <v>0</v>
      </c>
      <c r="K277" s="1" t="s">
        <v>12</v>
      </c>
      <c r="L277" s="1" t="s">
        <v>7</v>
      </c>
      <c r="M277" s="1" t="s">
        <v>8</v>
      </c>
    </row>
    <row r="278" spans="1:13" x14ac:dyDescent="0.35">
      <c r="A278" s="1" t="s">
        <v>8</v>
      </c>
      <c r="B278" s="1" t="s">
        <v>323</v>
      </c>
      <c r="C278" s="1" t="s">
        <v>324</v>
      </c>
      <c r="D278" s="3" t="s">
        <v>325</v>
      </c>
      <c r="E278" s="3">
        <v>20</v>
      </c>
      <c r="F278" s="3">
        <v>20</v>
      </c>
      <c r="G278" s="1" t="s">
        <v>17</v>
      </c>
      <c r="H278" s="1" t="s">
        <v>17</v>
      </c>
      <c r="I278" s="1" t="s">
        <v>12</v>
      </c>
      <c r="J278" s="1">
        <v>0</v>
      </c>
      <c r="K278" s="1" t="s">
        <v>12</v>
      </c>
      <c r="L278" s="1" t="s">
        <v>7</v>
      </c>
      <c r="M278" s="1" t="s">
        <v>8</v>
      </c>
    </row>
    <row r="279" spans="1:13" x14ac:dyDescent="0.35">
      <c r="A279" s="1" t="s">
        <v>8</v>
      </c>
      <c r="B279" s="1" t="s">
        <v>323</v>
      </c>
      <c r="C279" s="1" t="s">
        <v>313</v>
      </c>
      <c r="D279" s="3" t="s">
        <v>325</v>
      </c>
      <c r="E279" s="3">
        <v>20</v>
      </c>
      <c r="F279" s="3">
        <v>20</v>
      </c>
      <c r="G279" s="1" t="s">
        <v>17</v>
      </c>
      <c r="H279" s="1" t="s">
        <v>17</v>
      </c>
      <c r="I279" s="1" t="s">
        <v>12</v>
      </c>
      <c r="J279" s="1">
        <v>0</v>
      </c>
      <c r="K279" s="1" t="s">
        <v>12</v>
      </c>
      <c r="L279" s="1" t="s">
        <v>7</v>
      </c>
      <c r="M279" s="1" t="s">
        <v>8</v>
      </c>
    </row>
    <row r="280" spans="1:13" x14ac:dyDescent="0.35">
      <c r="A280" s="1" t="s">
        <v>8</v>
      </c>
      <c r="B280" s="1" t="s">
        <v>323</v>
      </c>
      <c r="C280" s="1" t="s">
        <v>326</v>
      </c>
      <c r="D280" s="3" t="s">
        <v>325</v>
      </c>
      <c r="E280" s="3">
        <v>20</v>
      </c>
      <c r="F280" s="3">
        <v>20</v>
      </c>
      <c r="G280" s="1" t="s">
        <v>17</v>
      </c>
      <c r="H280" s="1" t="s">
        <v>17</v>
      </c>
      <c r="I280" s="1" t="s">
        <v>12</v>
      </c>
      <c r="J280" s="1">
        <v>0</v>
      </c>
      <c r="K280" s="1" t="s">
        <v>12</v>
      </c>
      <c r="L280" s="1" t="s">
        <v>7</v>
      </c>
      <c r="M280" s="1" t="s">
        <v>8</v>
      </c>
    </row>
    <row r="281" spans="1:13" x14ac:dyDescent="0.35">
      <c r="A281" s="1" t="s">
        <v>8</v>
      </c>
      <c r="B281" s="1" t="s">
        <v>323</v>
      </c>
      <c r="C281" s="1" t="s">
        <v>315</v>
      </c>
      <c r="D281" s="3" t="s">
        <v>325</v>
      </c>
      <c r="E281" s="3">
        <v>20</v>
      </c>
      <c r="F281" s="3">
        <v>20</v>
      </c>
      <c r="G281" s="1" t="s">
        <v>17</v>
      </c>
      <c r="H281" s="1" t="s">
        <v>17</v>
      </c>
      <c r="I281" s="1" t="s">
        <v>12</v>
      </c>
      <c r="J281" s="1">
        <v>0</v>
      </c>
      <c r="K281" s="1" t="s">
        <v>12</v>
      </c>
      <c r="L281" s="1" t="s">
        <v>7</v>
      </c>
      <c r="M281" s="1" t="s">
        <v>8</v>
      </c>
    </row>
    <row r="282" spans="1:13" x14ac:dyDescent="0.35">
      <c r="A282" s="1" t="s">
        <v>8</v>
      </c>
      <c r="B282" s="1" t="s">
        <v>323</v>
      </c>
      <c r="C282" s="1" t="s">
        <v>327</v>
      </c>
      <c r="D282" s="3" t="s">
        <v>325</v>
      </c>
      <c r="E282" s="3">
        <v>20</v>
      </c>
      <c r="F282" s="3">
        <v>20</v>
      </c>
      <c r="G282" s="1" t="s">
        <v>17</v>
      </c>
      <c r="H282" s="1" t="s">
        <v>17</v>
      </c>
      <c r="I282" s="1" t="s">
        <v>12</v>
      </c>
      <c r="J282" s="1">
        <v>0</v>
      </c>
      <c r="K282" s="1" t="s">
        <v>12</v>
      </c>
      <c r="L282" s="1" t="s">
        <v>7</v>
      </c>
      <c r="M282" s="1" t="s">
        <v>8</v>
      </c>
    </row>
    <row r="283" spans="1:13" x14ac:dyDescent="0.35">
      <c r="A283" s="1" t="s">
        <v>8</v>
      </c>
      <c r="B283" s="1" t="s">
        <v>350</v>
      </c>
      <c r="C283" s="1" t="s">
        <v>351</v>
      </c>
      <c r="D283" s="3" t="s">
        <v>352</v>
      </c>
      <c r="E283" s="3">
        <v>100</v>
      </c>
      <c r="F283" s="3" t="s">
        <v>12</v>
      </c>
      <c r="G283" s="1" t="s">
        <v>17</v>
      </c>
      <c r="H283" s="1" t="s">
        <v>17</v>
      </c>
      <c r="I283" s="1" t="s">
        <v>12</v>
      </c>
      <c r="J283" s="1">
        <v>0</v>
      </c>
      <c r="K283" s="1" t="s">
        <v>12</v>
      </c>
      <c r="L283" s="1" t="s">
        <v>7</v>
      </c>
      <c r="M283" s="1" t="s">
        <v>8</v>
      </c>
    </row>
    <row r="284" spans="1:13" x14ac:dyDescent="0.35">
      <c r="A284" s="1" t="s">
        <v>8</v>
      </c>
      <c r="B284" s="1" t="s">
        <v>332</v>
      </c>
      <c r="C284" s="1" t="s">
        <v>333</v>
      </c>
      <c r="D284" s="3" t="s">
        <v>334</v>
      </c>
      <c r="E284" s="3" t="s">
        <v>12</v>
      </c>
      <c r="F284" s="3" t="s">
        <v>12</v>
      </c>
      <c r="G284" s="1" t="s">
        <v>17</v>
      </c>
      <c r="H284" s="1" t="s">
        <v>17</v>
      </c>
      <c r="I284" s="1" t="s">
        <v>12</v>
      </c>
      <c r="J284" s="1">
        <v>0</v>
      </c>
      <c r="K284" s="1" t="s">
        <v>12</v>
      </c>
      <c r="L284" s="1" t="s">
        <v>7</v>
      </c>
      <c r="M284" s="1" t="s">
        <v>8</v>
      </c>
    </row>
    <row r="285" spans="1:13" x14ac:dyDescent="0.35">
      <c r="A285" s="1" t="s">
        <v>8</v>
      </c>
      <c r="B285" s="1" t="s">
        <v>356</v>
      </c>
      <c r="C285" s="1" t="s">
        <v>357</v>
      </c>
      <c r="D285" s="3" t="s">
        <v>358</v>
      </c>
      <c r="E285" s="3">
        <v>15</v>
      </c>
      <c r="F285" s="3">
        <v>15</v>
      </c>
      <c r="G285" s="1" t="s">
        <v>17</v>
      </c>
      <c r="H285" s="1" t="s">
        <v>17</v>
      </c>
      <c r="I285" s="1" t="s">
        <v>12</v>
      </c>
      <c r="J285" s="1">
        <v>0</v>
      </c>
      <c r="K285" s="1" t="s">
        <v>12</v>
      </c>
      <c r="L285" s="1" t="s">
        <v>7</v>
      </c>
      <c r="M285" s="1" t="s">
        <v>8</v>
      </c>
    </row>
    <row r="286" spans="1:13" x14ac:dyDescent="0.35">
      <c r="A286" s="1" t="s">
        <v>8</v>
      </c>
      <c r="B286" s="1" t="s">
        <v>356</v>
      </c>
      <c r="C286" s="1" t="s">
        <v>359</v>
      </c>
      <c r="D286" s="3" t="s">
        <v>358</v>
      </c>
      <c r="E286" s="3">
        <v>15</v>
      </c>
      <c r="F286" s="3">
        <v>15</v>
      </c>
      <c r="G286" s="1" t="s">
        <v>17</v>
      </c>
      <c r="H286" s="1" t="s">
        <v>17</v>
      </c>
      <c r="I286" s="1" t="s">
        <v>12</v>
      </c>
      <c r="J286" s="1">
        <v>0</v>
      </c>
      <c r="K286" s="1" t="s">
        <v>12</v>
      </c>
      <c r="L286" s="1" t="s">
        <v>7</v>
      </c>
      <c r="M286" s="1" t="s">
        <v>8</v>
      </c>
    </row>
    <row r="287" spans="1:13" x14ac:dyDescent="0.35">
      <c r="A287" s="1" t="s">
        <v>8</v>
      </c>
      <c r="B287" s="1" t="s">
        <v>368</v>
      </c>
      <c r="C287" s="1" t="s">
        <v>369</v>
      </c>
      <c r="D287" s="3" t="s">
        <v>370</v>
      </c>
      <c r="E287" s="3" t="s">
        <v>12</v>
      </c>
      <c r="F287" s="3" t="s">
        <v>12</v>
      </c>
      <c r="G287" s="1" t="s">
        <v>17</v>
      </c>
      <c r="H287" s="1" t="s">
        <v>17</v>
      </c>
      <c r="I287" s="1" t="s">
        <v>12</v>
      </c>
      <c r="J287" s="1">
        <v>0</v>
      </c>
      <c r="K287" s="1" t="s">
        <v>12</v>
      </c>
      <c r="L287" s="1" t="s">
        <v>7</v>
      </c>
      <c r="M287" s="1" t="s">
        <v>8</v>
      </c>
    </row>
    <row r="288" spans="1:13" x14ac:dyDescent="0.35">
      <c r="A288" s="1" t="s">
        <v>8</v>
      </c>
      <c r="B288" s="1" t="s">
        <v>356</v>
      </c>
      <c r="C288" s="1" t="s">
        <v>360</v>
      </c>
      <c r="D288" s="3" t="s">
        <v>358</v>
      </c>
      <c r="E288" s="3">
        <v>15</v>
      </c>
      <c r="F288" s="3">
        <v>15</v>
      </c>
      <c r="G288" s="1" t="s">
        <v>17</v>
      </c>
      <c r="H288" s="1" t="s">
        <v>17</v>
      </c>
      <c r="I288" s="1" t="s">
        <v>12</v>
      </c>
      <c r="J288" s="1">
        <v>0</v>
      </c>
      <c r="K288" s="1" t="s">
        <v>12</v>
      </c>
      <c r="L288" s="1" t="s">
        <v>7</v>
      </c>
      <c r="M288" s="1" t="s">
        <v>8</v>
      </c>
    </row>
    <row r="289" spans="1:13" x14ac:dyDescent="0.35">
      <c r="A289" s="1" t="s">
        <v>8</v>
      </c>
      <c r="B289" s="1" t="s">
        <v>371</v>
      </c>
      <c r="C289" s="1" t="s">
        <v>171</v>
      </c>
      <c r="D289" s="3" t="s">
        <v>372</v>
      </c>
      <c r="E289" s="3">
        <v>5</v>
      </c>
      <c r="F289" s="3" t="s">
        <v>12</v>
      </c>
      <c r="G289" s="1" t="s">
        <v>17</v>
      </c>
      <c r="H289" s="1" t="s">
        <v>17</v>
      </c>
      <c r="I289" s="1" t="s">
        <v>12</v>
      </c>
      <c r="J289" s="1">
        <v>0</v>
      </c>
      <c r="K289" s="1" t="s">
        <v>12</v>
      </c>
      <c r="L289" s="1" t="s">
        <v>7</v>
      </c>
      <c r="M289" s="1" t="s">
        <v>8</v>
      </c>
    </row>
    <row r="290" spans="1:13" x14ac:dyDescent="0.35">
      <c r="A290" s="1" t="s">
        <v>8</v>
      </c>
      <c r="B290" s="1" t="s">
        <v>371</v>
      </c>
      <c r="C290" s="1" t="s">
        <v>373</v>
      </c>
      <c r="D290" s="3" t="s">
        <v>372</v>
      </c>
      <c r="E290" s="3">
        <v>5</v>
      </c>
      <c r="F290" s="3" t="s">
        <v>12</v>
      </c>
      <c r="G290" s="1" t="s">
        <v>17</v>
      </c>
      <c r="H290" s="1" t="s">
        <v>17</v>
      </c>
      <c r="I290" s="1" t="s">
        <v>12</v>
      </c>
      <c r="J290" s="1">
        <v>0</v>
      </c>
      <c r="K290" s="1" t="s">
        <v>12</v>
      </c>
      <c r="L290" s="1" t="s">
        <v>7</v>
      </c>
      <c r="M290" s="1" t="s">
        <v>8</v>
      </c>
    </row>
    <row r="291" spans="1:13" x14ac:dyDescent="0.35">
      <c r="A291" s="1" t="s">
        <v>8</v>
      </c>
      <c r="B291" s="1" t="s">
        <v>371</v>
      </c>
      <c r="C291" s="1" t="s">
        <v>374</v>
      </c>
      <c r="D291" s="3" t="s">
        <v>372</v>
      </c>
      <c r="E291" s="3">
        <v>90</v>
      </c>
      <c r="F291" s="3" t="s">
        <v>12</v>
      </c>
      <c r="G291" s="1" t="s">
        <v>17</v>
      </c>
      <c r="H291" s="1" t="s">
        <v>17</v>
      </c>
      <c r="I291" s="1" t="s">
        <v>12</v>
      </c>
      <c r="J291" s="1">
        <v>0</v>
      </c>
      <c r="K291" s="1" t="s">
        <v>12</v>
      </c>
      <c r="L291" s="1" t="s">
        <v>7</v>
      </c>
      <c r="M291" s="1" t="s">
        <v>8</v>
      </c>
    </row>
    <row r="292" spans="1:13" x14ac:dyDescent="0.35">
      <c r="A292" s="1" t="s">
        <v>8</v>
      </c>
      <c r="B292" s="1" t="s">
        <v>377</v>
      </c>
      <c r="C292" s="1" t="s">
        <v>378</v>
      </c>
      <c r="D292" s="3" t="s">
        <v>379</v>
      </c>
      <c r="E292" s="3">
        <v>50</v>
      </c>
      <c r="F292" s="3">
        <v>50</v>
      </c>
      <c r="G292" s="1" t="s">
        <v>380</v>
      </c>
      <c r="H292" s="1" t="s">
        <v>380</v>
      </c>
      <c r="I292" s="1" t="s">
        <v>12</v>
      </c>
      <c r="J292" s="1">
        <v>0</v>
      </c>
      <c r="K292" s="1" t="s">
        <v>12</v>
      </c>
      <c r="L292" s="1" t="s">
        <v>7</v>
      </c>
      <c r="M292" s="1" t="s">
        <v>8</v>
      </c>
    </row>
    <row r="293" spans="1:13" x14ac:dyDescent="0.35">
      <c r="A293" s="1" t="s">
        <v>8</v>
      </c>
      <c r="B293" s="1" t="s">
        <v>377</v>
      </c>
      <c r="C293" s="1" t="s">
        <v>381</v>
      </c>
      <c r="D293" s="3" t="s">
        <v>379</v>
      </c>
      <c r="E293" s="3">
        <v>50</v>
      </c>
      <c r="F293" s="3">
        <v>50</v>
      </c>
      <c r="G293" s="1" t="s">
        <v>380</v>
      </c>
      <c r="H293" s="1" t="s">
        <v>380</v>
      </c>
      <c r="I293" s="1" t="s">
        <v>12</v>
      </c>
      <c r="J293" s="1">
        <v>0</v>
      </c>
      <c r="K293" s="1" t="s">
        <v>12</v>
      </c>
      <c r="L293" s="1" t="s">
        <v>7</v>
      </c>
      <c r="M293" s="1" t="s">
        <v>8</v>
      </c>
    </row>
    <row r="294" spans="1:13" x14ac:dyDescent="0.35">
      <c r="A294" s="1" t="s">
        <v>8</v>
      </c>
      <c r="B294" s="1" t="s">
        <v>382</v>
      </c>
      <c r="C294" s="1" t="s">
        <v>383</v>
      </c>
      <c r="D294" s="3" t="s">
        <v>384</v>
      </c>
      <c r="E294" s="3">
        <v>30</v>
      </c>
      <c r="F294" s="3">
        <v>30</v>
      </c>
      <c r="G294" s="1" t="s">
        <v>17</v>
      </c>
      <c r="H294" s="1" t="s">
        <v>17</v>
      </c>
      <c r="I294" s="1" t="s">
        <v>12</v>
      </c>
      <c r="J294" s="1">
        <v>0</v>
      </c>
      <c r="K294" s="1" t="s">
        <v>12</v>
      </c>
      <c r="L294" s="1" t="s">
        <v>7</v>
      </c>
      <c r="M294" s="1" t="s">
        <v>8</v>
      </c>
    </row>
    <row r="295" spans="1:13" x14ac:dyDescent="0.35">
      <c r="A295" s="1" t="s">
        <v>8</v>
      </c>
      <c r="B295" s="1" t="s">
        <v>382</v>
      </c>
      <c r="C295" s="1" t="s">
        <v>385</v>
      </c>
      <c r="D295" s="3" t="s">
        <v>384</v>
      </c>
      <c r="E295" s="3">
        <v>70</v>
      </c>
      <c r="F295" s="3">
        <v>70</v>
      </c>
      <c r="G295" s="1" t="s">
        <v>386</v>
      </c>
      <c r="H295" s="1" t="s">
        <v>386</v>
      </c>
      <c r="I295" s="1" t="s">
        <v>12</v>
      </c>
      <c r="J295" s="1">
        <v>0</v>
      </c>
      <c r="K295" s="1" t="s">
        <v>12</v>
      </c>
      <c r="L295" s="1" t="s">
        <v>7</v>
      </c>
      <c r="M295" s="1" t="s">
        <v>8</v>
      </c>
    </row>
    <row r="296" spans="1:13" x14ac:dyDescent="0.35">
      <c r="A296" s="1" t="s">
        <v>8</v>
      </c>
      <c r="B296" s="1" t="s">
        <v>588</v>
      </c>
      <c r="C296" s="1" t="s">
        <v>496</v>
      </c>
      <c r="D296" s="3" t="s">
        <v>589</v>
      </c>
      <c r="E296" s="3" t="s">
        <v>12</v>
      </c>
      <c r="F296" s="3" t="s">
        <v>12</v>
      </c>
      <c r="G296" s="1" t="s">
        <v>380</v>
      </c>
      <c r="H296" s="1" t="s">
        <v>380</v>
      </c>
      <c r="I296" s="1" t="s">
        <v>12</v>
      </c>
      <c r="J296" s="1">
        <v>0</v>
      </c>
      <c r="K296" s="1" t="s">
        <v>12</v>
      </c>
      <c r="L296" s="1" t="s">
        <v>7</v>
      </c>
      <c r="M296" s="1" t="s">
        <v>8</v>
      </c>
    </row>
    <row r="297" spans="1:13" x14ac:dyDescent="0.35">
      <c r="A297" s="1" t="s">
        <v>8</v>
      </c>
      <c r="B297" s="1" t="s">
        <v>588</v>
      </c>
      <c r="C297" s="1" t="s">
        <v>498</v>
      </c>
      <c r="D297" s="3" t="s">
        <v>589</v>
      </c>
      <c r="E297" s="3" t="s">
        <v>12</v>
      </c>
      <c r="F297" s="3" t="s">
        <v>12</v>
      </c>
      <c r="G297" s="1" t="s">
        <v>499</v>
      </c>
      <c r="H297" s="1" t="s">
        <v>499</v>
      </c>
      <c r="I297" s="1" t="s">
        <v>500</v>
      </c>
      <c r="J297" s="1">
        <v>1</v>
      </c>
      <c r="K297" s="1" t="s">
        <v>501</v>
      </c>
      <c r="L297" s="1" t="s">
        <v>7</v>
      </c>
      <c r="M297" s="1" t="s">
        <v>8</v>
      </c>
    </row>
    <row r="298" spans="1:13" x14ac:dyDescent="0.35">
      <c r="A298" s="1" t="s">
        <v>8</v>
      </c>
      <c r="B298" s="1" t="s">
        <v>588</v>
      </c>
      <c r="C298" s="1" t="s">
        <v>498</v>
      </c>
      <c r="D298" s="3" t="s">
        <v>589</v>
      </c>
      <c r="E298" s="3" t="s">
        <v>12</v>
      </c>
      <c r="F298" s="3" t="s">
        <v>12</v>
      </c>
      <c r="G298" s="1" t="s">
        <v>499</v>
      </c>
      <c r="H298" s="1" t="s">
        <v>499</v>
      </c>
      <c r="I298" s="1" t="s">
        <v>499</v>
      </c>
      <c r="J298" s="1">
        <v>1</v>
      </c>
      <c r="K298" s="1" t="s">
        <v>501</v>
      </c>
      <c r="L298" s="1" t="s">
        <v>7</v>
      </c>
      <c r="M298" s="1" t="s">
        <v>8</v>
      </c>
    </row>
    <row r="299" spans="1:13" x14ac:dyDescent="0.35">
      <c r="A299" s="1" t="s">
        <v>8</v>
      </c>
      <c r="B299" s="1" t="s">
        <v>387</v>
      </c>
      <c r="C299" s="1" t="s">
        <v>388</v>
      </c>
      <c r="D299" s="3" t="s">
        <v>389</v>
      </c>
      <c r="E299" s="3">
        <v>100</v>
      </c>
      <c r="F299" s="3">
        <v>100</v>
      </c>
      <c r="G299" s="1" t="s">
        <v>17</v>
      </c>
      <c r="H299" s="1" t="s">
        <v>17</v>
      </c>
      <c r="I299" s="1" t="s">
        <v>12</v>
      </c>
      <c r="J299" s="1">
        <v>0</v>
      </c>
      <c r="K299" s="1" t="s">
        <v>12</v>
      </c>
      <c r="L299" s="1" t="s">
        <v>7</v>
      </c>
      <c r="M299" s="1" t="s">
        <v>8</v>
      </c>
    </row>
    <row r="300" spans="1:13" x14ac:dyDescent="0.35">
      <c r="A300" s="1" t="s">
        <v>8</v>
      </c>
      <c r="B300" s="1" t="s">
        <v>356</v>
      </c>
      <c r="C300" s="1" t="s">
        <v>361</v>
      </c>
      <c r="D300" s="3" t="s">
        <v>358</v>
      </c>
      <c r="E300" s="3">
        <v>15</v>
      </c>
      <c r="F300" s="3">
        <v>15</v>
      </c>
      <c r="G300" s="1" t="s">
        <v>17</v>
      </c>
      <c r="H300" s="1" t="s">
        <v>17</v>
      </c>
      <c r="I300" s="1" t="s">
        <v>12</v>
      </c>
      <c r="J300" s="1">
        <v>0</v>
      </c>
      <c r="K300" s="1" t="s">
        <v>12</v>
      </c>
      <c r="L300" s="1" t="s">
        <v>7</v>
      </c>
      <c r="M300" s="1" t="s">
        <v>8</v>
      </c>
    </row>
    <row r="301" spans="1:13" x14ac:dyDescent="0.35">
      <c r="A301" s="1" t="s">
        <v>8</v>
      </c>
      <c r="B301" s="1" t="s">
        <v>356</v>
      </c>
      <c r="C301" s="1" t="s">
        <v>362</v>
      </c>
      <c r="D301" s="3" t="s">
        <v>358</v>
      </c>
      <c r="E301" s="3">
        <v>40</v>
      </c>
      <c r="F301" s="3">
        <v>40</v>
      </c>
      <c r="G301" s="1" t="s">
        <v>17</v>
      </c>
      <c r="H301" s="1" t="s">
        <v>17</v>
      </c>
      <c r="I301" s="1" t="s">
        <v>12</v>
      </c>
      <c r="J301" s="1">
        <v>0</v>
      </c>
      <c r="K301" s="1" t="s">
        <v>12</v>
      </c>
      <c r="L301" s="1" t="s">
        <v>7</v>
      </c>
      <c r="M301" s="1" t="s">
        <v>8</v>
      </c>
    </row>
    <row r="302" spans="1:13" x14ac:dyDescent="0.35">
      <c r="A302" s="1" t="s">
        <v>8</v>
      </c>
      <c r="B302" s="1" t="s">
        <v>520</v>
      </c>
      <c r="C302" s="1" t="s">
        <v>521</v>
      </c>
      <c r="D302" s="3" t="s">
        <v>522</v>
      </c>
      <c r="E302" s="3">
        <v>100</v>
      </c>
      <c r="F302" s="3">
        <v>100</v>
      </c>
      <c r="G302" s="1" t="s">
        <v>17</v>
      </c>
      <c r="H302" s="1" t="s">
        <v>17</v>
      </c>
      <c r="I302" s="1" t="s">
        <v>12</v>
      </c>
      <c r="J302" s="1">
        <v>0</v>
      </c>
      <c r="K302" s="1" t="s">
        <v>12</v>
      </c>
      <c r="L302" s="1" t="s">
        <v>7</v>
      </c>
      <c r="M302" s="1" t="s">
        <v>8</v>
      </c>
    </row>
    <row r="303" spans="1:13" x14ac:dyDescent="0.35">
      <c r="A303" s="1" t="s">
        <v>8</v>
      </c>
      <c r="B303" s="1" t="s">
        <v>539</v>
      </c>
      <c r="C303" s="1" t="s">
        <v>540</v>
      </c>
      <c r="D303" s="3" t="s">
        <v>541</v>
      </c>
      <c r="E303" s="3">
        <v>20</v>
      </c>
      <c r="F303" s="3">
        <v>20</v>
      </c>
      <c r="G303" s="1" t="s">
        <v>17</v>
      </c>
      <c r="H303" s="1" t="s">
        <v>17</v>
      </c>
      <c r="I303" s="1" t="s">
        <v>12</v>
      </c>
      <c r="J303" s="1">
        <v>0</v>
      </c>
      <c r="K303" s="1" t="s">
        <v>12</v>
      </c>
      <c r="L303" s="1" t="s">
        <v>7</v>
      </c>
      <c r="M303" s="1" t="s">
        <v>8</v>
      </c>
    </row>
    <row r="304" spans="1:13" x14ac:dyDescent="0.35">
      <c r="A304" s="1" t="s">
        <v>8</v>
      </c>
      <c r="B304" s="1" t="s">
        <v>539</v>
      </c>
      <c r="C304" s="1" t="s">
        <v>542</v>
      </c>
      <c r="D304" s="3" t="s">
        <v>541</v>
      </c>
      <c r="E304" s="3">
        <v>30</v>
      </c>
      <c r="F304" s="3">
        <v>30</v>
      </c>
      <c r="G304" s="1" t="s">
        <v>17</v>
      </c>
      <c r="H304" s="1" t="s">
        <v>17</v>
      </c>
      <c r="I304" s="1" t="s">
        <v>12</v>
      </c>
      <c r="J304" s="1">
        <v>0</v>
      </c>
      <c r="K304" s="1" t="s">
        <v>12</v>
      </c>
      <c r="L304" s="1" t="s">
        <v>7</v>
      </c>
      <c r="M304" s="1" t="s">
        <v>8</v>
      </c>
    </row>
    <row r="305" spans="1:13" x14ac:dyDescent="0.35">
      <c r="A305" s="1" t="s">
        <v>8</v>
      </c>
      <c r="B305" s="1" t="s">
        <v>539</v>
      </c>
      <c r="C305" s="1" t="s">
        <v>543</v>
      </c>
      <c r="D305" s="3" t="s">
        <v>541</v>
      </c>
      <c r="E305" s="3">
        <v>20</v>
      </c>
      <c r="F305" s="3">
        <v>20</v>
      </c>
      <c r="G305" s="1" t="s">
        <v>17</v>
      </c>
      <c r="H305" s="1" t="s">
        <v>17</v>
      </c>
      <c r="I305" s="1" t="s">
        <v>12</v>
      </c>
      <c r="J305" s="1">
        <v>0</v>
      </c>
      <c r="K305" s="1" t="s">
        <v>12</v>
      </c>
      <c r="L305" s="1" t="s">
        <v>7</v>
      </c>
      <c r="M305" s="1" t="s">
        <v>8</v>
      </c>
    </row>
    <row r="306" spans="1:13" x14ac:dyDescent="0.35">
      <c r="A306" s="1" t="s">
        <v>8</v>
      </c>
      <c r="B306" s="1" t="s">
        <v>539</v>
      </c>
      <c r="C306" s="1" t="s">
        <v>544</v>
      </c>
      <c r="D306" s="3" t="s">
        <v>541</v>
      </c>
      <c r="E306" s="3">
        <v>30</v>
      </c>
      <c r="F306" s="3">
        <v>30</v>
      </c>
      <c r="G306" s="1" t="s">
        <v>17</v>
      </c>
      <c r="H306" s="1" t="s">
        <v>17</v>
      </c>
      <c r="I306" s="1" t="s">
        <v>12</v>
      </c>
      <c r="J306" s="1">
        <v>0</v>
      </c>
      <c r="K306" s="1" t="s">
        <v>12</v>
      </c>
      <c r="L306" s="1" t="s">
        <v>7</v>
      </c>
      <c r="M306" s="1" t="s">
        <v>8</v>
      </c>
    </row>
    <row r="307" spans="1:13" x14ac:dyDescent="0.35">
      <c r="A307" s="1" t="s">
        <v>8</v>
      </c>
      <c r="B307" s="1" t="s">
        <v>545</v>
      </c>
      <c r="C307" s="1" t="s">
        <v>546</v>
      </c>
      <c r="D307" s="3" t="s">
        <v>547</v>
      </c>
      <c r="E307" s="3">
        <v>15</v>
      </c>
      <c r="F307" s="3">
        <v>15</v>
      </c>
      <c r="G307" s="1" t="s">
        <v>17</v>
      </c>
      <c r="H307" s="1" t="s">
        <v>17</v>
      </c>
      <c r="I307" s="1" t="s">
        <v>12</v>
      </c>
      <c r="J307" s="1">
        <v>0</v>
      </c>
      <c r="K307" s="1" t="s">
        <v>12</v>
      </c>
      <c r="L307" s="1" t="s">
        <v>7</v>
      </c>
      <c r="M307" s="1" t="s">
        <v>8</v>
      </c>
    </row>
    <row r="308" spans="1:13" x14ac:dyDescent="0.35">
      <c r="A308" s="1" t="s">
        <v>8</v>
      </c>
      <c r="B308" s="1" t="s">
        <v>545</v>
      </c>
      <c r="C308" s="1" t="s">
        <v>548</v>
      </c>
      <c r="D308" s="3" t="s">
        <v>547</v>
      </c>
      <c r="E308" s="3">
        <v>50</v>
      </c>
      <c r="F308" s="3">
        <v>50</v>
      </c>
      <c r="G308" s="1" t="s">
        <v>17</v>
      </c>
      <c r="H308" s="1" t="s">
        <v>17</v>
      </c>
      <c r="I308" s="1" t="s">
        <v>12</v>
      </c>
      <c r="J308" s="1">
        <v>0</v>
      </c>
      <c r="K308" s="1" t="s">
        <v>12</v>
      </c>
      <c r="L308" s="1" t="s">
        <v>7</v>
      </c>
      <c r="M308" s="1" t="s">
        <v>8</v>
      </c>
    </row>
    <row r="309" spans="1:13" x14ac:dyDescent="0.35">
      <c r="A309" s="1" t="s">
        <v>8</v>
      </c>
      <c r="B309" s="1" t="s">
        <v>545</v>
      </c>
      <c r="C309" s="1" t="s">
        <v>549</v>
      </c>
      <c r="D309" s="3" t="s">
        <v>547</v>
      </c>
      <c r="E309" s="3">
        <v>10</v>
      </c>
      <c r="F309" s="3">
        <v>10</v>
      </c>
      <c r="G309" s="1" t="s">
        <v>17</v>
      </c>
      <c r="H309" s="1" t="s">
        <v>17</v>
      </c>
      <c r="I309" s="1" t="s">
        <v>12</v>
      </c>
      <c r="J309" s="1">
        <v>0</v>
      </c>
      <c r="K309" s="1" t="s">
        <v>12</v>
      </c>
      <c r="L309" s="1" t="s">
        <v>7</v>
      </c>
      <c r="M309" s="1" t="s">
        <v>8</v>
      </c>
    </row>
    <row r="310" spans="1:13" x14ac:dyDescent="0.35">
      <c r="A310" s="1" t="s">
        <v>8</v>
      </c>
      <c r="B310" s="1" t="s">
        <v>545</v>
      </c>
      <c r="C310" s="1" t="s">
        <v>550</v>
      </c>
      <c r="D310" s="3" t="s">
        <v>547</v>
      </c>
      <c r="E310" s="3">
        <v>25</v>
      </c>
      <c r="F310" s="3">
        <v>25</v>
      </c>
      <c r="G310" s="1" t="s">
        <v>17</v>
      </c>
      <c r="H310" s="1" t="s">
        <v>17</v>
      </c>
      <c r="I310" s="1" t="s">
        <v>12</v>
      </c>
      <c r="J310" s="1">
        <v>0</v>
      </c>
      <c r="K310" s="1" t="s">
        <v>12</v>
      </c>
      <c r="L310" s="1" t="s">
        <v>7</v>
      </c>
      <c r="M310" s="1" t="s">
        <v>8</v>
      </c>
    </row>
    <row r="311" spans="1:13" x14ac:dyDescent="0.35">
      <c r="A311" s="1" t="s">
        <v>8</v>
      </c>
      <c r="B311" s="1" t="s">
        <v>551</v>
      </c>
      <c r="C311" s="1" t="s">
        <v>354</v>
      </c>
      <c r="D311" s="3" t="s">
        <v>552</v>
      </c>
      <c r="E311" s="3">
        <v>34</v>
      </c>
      <c r="F311" s="3" t="s">
        <v>12</v>
      </c>
      <c r="G311" s="1" t="s">
        <v>17</v>
      </c>
      <c r="H311" s="1" t="s">
        <v>17</v>
      </c>
      <c r="I311" s="1" t="s">
        <v>12</v>
      </c>
      <c r="J311" s="1">
        <v>0</v>
      </c>
      <c r="K311" s="1" t="s">
        <v>12</v>
      </c>
      <c r="L311" s="1" t="s">
        <v>7</v>
      </c>
      <c r="M311" s="1" t="s">
        <v>8</v>
      </c>
    </row>
    <row r="312" spans="1:13" x14ac:dyDescent="0.35">
      <c r="A312" s="1" t="s">
        <v>8</v>
      </c>
      <c r="B312" s="1" t="s">
        <v>363</v>
      </c>
      <c r="C312" s="1" t="s">
        <v>364</v>
      </c>
      <c r="D312" s="3" t="s">
        <v>365</v>
      </c>
      <c r="E312" s="3">
        <v>2</v>
      </c>
      <c r="F312" s="3" t="s">
        <v>12</v>
      </c>
      <c r="G312" s="1" t="s">
        <v>17</v>
      </c>
      <c r="H312" s="1" t="s">
        <v>17</v>
      </c>
      <c r="I312" s="1" t="s">
        <v>12</v>
      </c>
      <c r="J312" s="1">
        <v>0</v>
      </c>
      <c r="K312" s="1" t="s">
        <v>12</v>
      </c>
      <c r="L312" s="1" t="s">
        <v>7</v>
      </c>
      <c r="M312" s="1" t="s">
        <v>8</v>
      </c>
    </row>
    <row r="313" spans="1:13" x14ac:dyDescent="0.35">
      <c r="A313" s="1" t="s">
        <v>8</v>
      </c>
      <c r="B313" s="1" t="s">
        <v>404</v>
      </c>
      <c r="C313" s="1" t="s">
        <v>269</v>
      </c>
      <c r="D313" s="3" t="s">
        <v>405</v>
      </c>
      <c r="E313" s="3">
        <v>50</v>
      </c>
      <c r="F313" s="3">
        <v>50</v>
      </c>
      <c r="G313" s="1" t="s">
        <v>17</v>
      </c>
      <c r="H313" s="1" t="s">
        <v>17</v>
      </c>
      <c r="I313" s="1" t="s">
        <v>12</v>
      </c>
      <c r="J313" s="1">
        <v>0</v>
      </c>
      <c r="K313" s="1" t="s">
        <v>12</v>
      </c>
      <c r="L313" s="1" t="s">
        <v>7</v>
      </c>
      <c r="M313" s="1" t="s">
        <v>8</v>
      </c>
    </row>
    <row r="314" spans="1:13" x14ac:dyDescent="0.35">
      <c r="A314" s="1" t="s">
        <v>8</v>
      </c>
      <c r="B314" s="1" t="s">
        <v>404</v>
      </c>
      <c r="C314" s="1" t="s">
        <v>114</v>
      </c>
      <c r="D314" s="3" t="s">
        <v>405</v>
      </c>
      <c r="E314" s="3">
        <v>50</v>
      </c>
      <c r="F314" s="3">
        <v>50</v>
      </c>
      <c r="G314" s="1" t="s">
        <v>17</v>
      </c>
      <c r="H314" s="1" t="s">
        <v>17</v>
      </c>
      <c r="I314" s="1" t="s">
        <v>12</v>
      </c>
      <c r="J314" s="1">
        <v>0</v>
      </c>
      <c r="K314" s="1" t="s">
        <v>12</v>
      </c>
      <c r="L314" s="1" t="s">
        <v>7</v>
      </c>
      <c r="M314" s="1" t="s">
        <v>8</v>
      </c>
    </row>
    <row r="315" spans="1:13" x14ac:dyDescent="0.35">
      <c r="A315" s="1" t="s">
        <v>8</v>
      </c>
      <c r="B315" s="1" t="s">
        <v>406</v>
      </c>
      <c r="C315" s="1" t="s">
        <v>407</v>
      </c>
      <c r="D315" s="3" t="s">
        <v>408</v>
      </c>
      <c r="E315" s="3" t="s">
        <v>12</v>
      </c>
      <c r="F315" s="3" t="s">
        <v>12</v>
      </c>
      <c r="G315" s="1" t="s">
        <v>409</v>
      </c>
      <c r="H315" s="1" t="s">
        <v>409</v>
      </c>
      <c r="I315" s="1" t="s">
        <v>12</v>
      </c>
      <c r="J315" s="1">
        <v>0</v>
      </c>
      <c r="K315" s="1" t="s">
        <v>12</v>
      </c>
      <c r="L315" s="1" t="s">
        <v>7</v>
      </c>
      <c r="M315" s="1" t="s">
        <v>8</v>
      </c>
    </row>
    <row r="316" spans="1:13" x14ac:dyDescent="0.35">
      <c r="A316" s="1" t="s">
        <v>8</v>
      </c>
      <c r="B316" s="1" t="s">
        <v>410</v>
      </c>
      <c r="C316" s="1" t="s">
        <v>411</v>
      </c>
      <c r="D316" s="3" t="s">
        <v>412</v>
      </c>
      <c r="E316" s="3">
        <v>50</v>
      </c>
      <c r="F316" s="3">
        <v>50</v>
      </c>
      <c r="G316" s="1" t="s">
        <v>17</v>
      </c>
      <c r="H316" s="1" t="s">
        <v>17</v>
      </c>
      <c r="I316" s="1" t="s">
        <v>12</v>
      </c>
      <c r="J316" s="1">
        <v>0</v>
      </c>
      <c r="K316" s="1" t="s">
        <v>12</v>
      </c>
      <c r="L316" s="1" t="s">
        <v>7</v>
      </c>
      <c r="M316" s="1" t="s">
        <v>8</v>
      </c>
    </row>
    <row r="317" spans="1:13" x14ac:dyDescent="0.35">
      <c r="A317" s="1" t="s">
        <v>8</v>
      </c>
      <c r="B317" s="1" t="s">
        <v>410</v>
      </c>
      <c r="C317" s="1" t="s">
        <v>413</v>
      </c>
      <c r="D317" s="3" t="s">
        <v>412</v>
      </c>
      <c r="E317" s="3">
        <v>50</v>
      </c>
      <c r="F317" s="3">
        <v>50</v>
      </c>
      <c r="G317" s="1" t="s">
        <v>59</v>
      </c>
      <c r="H317" s="1" t="s">
        <v>59</v>
      </c>
      <c r="I317" s="1" t="s">
        <v>12</v>
      </c>
      <c r="J317" s="1">
        <v>0</v>
      </c>
      <c r="K317" s="1" t="s">
        <v>12</v>
      </c>
      <c r="L317" s="1" t="s">
        <v>7</v>
      </c>
      <c r="M317" s="1" t="s">
        <v>8</v>
      </c>
    </row>
    <row r="318" spans="1:13" x14ac:dyDescent="0.35">
      <c r="A318" s="1" t="s">
        <v>8</v>
      </c>
      <c r="B318" s="1" t="s">
        <v>414</v>
      </c>
      <c r="C318" s="1" t="s">
        <v>415</v>
      </c>
      <c r="D318" s="3" t="s">
        <v>416</v>
      </c>
      <c r="E318" s="3" t="s">
        <v>12</v>
      </c>
      <c r="F318" s="3" t="s">
        <v>12</v>
      </c>
      <c r="G318" s="1" t="s">
        <v>17</v>
      </c>
      <c r="H318" s="1" t="s">
        <v>17</v>
      </c>
      <c r="I318" s="1" t="s">
        <v>12</v>
      </c>
      <c r="J318" s="1">
        <v>0</v>
      </c>
      <c r="K318" s="1" t="s">
        <v>12</v>
      </c>
      <c r="L318" s="1" t="s">
        <v>7</v>
      </c>
      <c r="M318" s="1" t="s">
        <v>8</v>
      </c>
    </row>
    <row r="319" spans="1:13" x14ac:dyDescent="0.35">
      <c r="A319" s="1" t="s">
        <v>8</v>
      </c>
      <c r="B319" s="1" t="s">
        <v>414</v>
      </c>
      <c r="C319" s="1" t="s">
        <v>417</v>
      </c>
      <c r="D319" s="3" t="s">
        <v>416</v>
      </c>
      <c r="E319" s="3" t="s">
        <v>12</v>
      </c>
      <c r="F319" s="3" t="s">
        <v>12</v>
      </c>
      <c r="G319" s="1" t="s">
        <v>17</v>
      </c>
      <c r="H319" s="1" t="s">
        <v>17</v>
      </c>
      <c r="I319" s="1" t="s">
        <v>12</v>
      </c>
      <c r="J319" s="1" t="s">
        <v>12</v>
      </c>
      <c r="K319" s="1" t="s">
        <v>12</v>
      </c>
      <c r="L319" s="1" t="s">
        <v>7</v>
      </c>
      <c r="M319" s="1" t="s">
        <v>8</v>
      </c>
    </row>
    <row r="320" spans="1:13" x14ac:dyDescent="0.35">
      <c r="A320" s="1" t="s">
        <v>8</v>
      </c>
      <c r="B320" s="1" t="s">
        <v>414</v>
      </c>
      <c r="C320" s="1" t="s">
        <v>418</v>
      </c>
      <c r="D320" s="3" t="s">
        <v>416</v>
      </c>
      <c r="E320" s="3" t="s">
        <v>12</v>
      </c>
      <c r="F320" s="3" t="s">
        <v>12</v>
      </c>
      <c r="G320" s="1" t="s">
        <v>17</v>
      </c>
      <c r="H320" s="1" t="s">
        <v>17</v>
      </c>
      <c r="I320" s="1" t="s">
        <v>12</v>
      </c>
      <c r="J320" s="1">
        <v>0</v>
      </c>
      <c r="K320" s="1" t="s">
        <v>12</v>
      </c>
      <c r="L320" s="1" t="s">
        <v>7</v>
      </c>
      <c r="M320" s="1" t="s">
        <v>8</v>
      </c>
    </row>
    <row r="321" spans="1:13" x14ac:dyDescent="0.35">
      <c r="A321" s="1" t="s">
        <v>8</v>
      </c>
      <c r="B321" s="1" t="s">
        <v>419</v>
      </c>
      <c r="C321" s="1" t="s">
        <v>420</v>
      </c>
      <c r="D321" s="3" t="s">
        <v>421</v>
      </c>
      <c r="E321" s="3">
        <v>100</v>
      </c>
      <c r="F321" s="3" t="s">
        <v>422</v>
      </c>
      <c r="G321" s="1" t="s">
        <v>17</v>
      </c>
      <c r="H321" s="1" t="s">
        <v>17</v>
      </c>
      <c r="I321" s="1" t="s">
        <v>12</v>
      </c>
      <c r="J321" s="1">
        <v>0</v>
      </c>
      <c r="K321" s="1" t="s">
        <v>12</v>
      </c>
      <c r="L321" s="1" t="s">
        <v>7</v>
      </c>
      <c r="M321" s="1" t="s">
        <v>8</v>
      </c>
    </row>
    <row r="322" spans="1:13" x14ac:dyDescent="0.35">
      <c r="A322" s="1" t="s">
        <v>8</v>
      </c>
      <c r="B322" s="1" t="s">
        <v>431</v>
      </c>
      <c r="C322" s="1" t="s">
        <v>432</v>
      </c>
      <c r="D322" s="3" t="s">
        <v>433</v>
      </c>
      <c r="E322" s="3" t="s">
        <v>12</v>
      </c>
      <c r="F322" s="3" t="s">
        <v>12</v>
      </c>
      <c r="G322" s="1" t="s">
        <v>17</v>
      </c>
      <c r="H322" s="1" t="s">
        <v>17</v>
      </c>
      <c r="I322" s="1" t="s">
        <v>12</v>
      </c>
      <c r="J322" s="1">
        <v>0</v>
      </c>
      <c r="K322" s="1" t="s">
        <v>12</v>
      </c>
      <c r="L322" s="1" t="s">
        <v>7</v>
      </c>
      <c r="M322" s="1" t="s">
        <v>8</v>
      </c>
    </row>
    <row r="323" spans="1:13" x14ac:dyDescent="0.35">
      <c r="A323" s="1" t="s">
        <v>8</v>
      </c>
      <c r="B323" s="1" t="s">
        <v>439</v>
      </c>
      <c r="C323" s="1" t="s">
        <v>440</v>
      </c>
      <c r="D323" s="3" t="s">
        <v>441</v>
      </c>
      <c r="E323" s="3">
        <v>70</v>
      </c>
      <c r="F323" s="3">
        <v>70</v>
      </c>
      <c r="G323" s="1" t="s">
        <v>17</v>
      </c>
      <c r="H323" s="1" t="s">
        <v>17</v>
      </c>
      <c r="I323" s="1" t="s">
        <v>12</v>
      </c>
      <c r="J323" s="1">
        <v>0</v>
      </c>
      <c r="K323" s="1" t="s">
        <v>12</v>
      </c>
      <c r="L323" s="1" t="s">
        <v>7</v>
      </c>
      <c r="M323" s="1" t="s">
        <v>8</v>
      </c>
    </row>
    <row r="324" spans="1:13" x14ac:dyDescent="0.35">
      <c r="A324" s="1" t="s">
        <v>8</v>
      </c>
      <c r="B324" s="1" t="s">
        <v>439</v>
      </c>
      <c r="C324" s="1" t="s">
        <v>162</v>
      </c>
      <c r="D324" s="3" t="s">
        <v>441</v>
      </c>
      <c r="E324" s="3">
        <v>30</v>
      </c>
      <c r="F324" s="3">
        <v>30</v>
      </c>
      <c r="G324" s="1" t="s">
        <v>17</v>
      </c>
      <c r="H324" s="1" t="s">
        <v>17</v>
      </c>
      <c r="I324" s="1" t="s">
        <v>12</v>
      </c>
      <c r="J324" s="1">
        <v>0</v>
      </c>
      <c r="K324" s="1" t="s">
        <v>12</v>
      </c>
      <c r="L324" s="1" t="s">
        <v>7</v>
      </c>
      <c r="M324" s="1" t="s">
        <v>8</v>
      </c>
    </row>
    <row r="325" spans="1:13" x14ac:dyDescent="0.35">
      <c r="A325" s="1" t="s">
        <v>8</v>
      </c>
      <c r="B325" s="1" t="s">
        <v>453</v>
      </c>
      <c r="C325" s="1" t="s">
        <v>454</v>
      </c>
      <c r="D325" s="3" t="s">
        <v>455</v>
      </c>
      <c r="E325" s="3">
        <v>100</v>
      </c>
      <c r="F325" s="3" t="s">
        <v>12</v>
      </c>
      <c r="G325" s="1" t="s">
        <v>17</v>
      </c>
      <c r="H325" s="1" t="s">
        <v>17</v>
      </c>
      <c r="I325" s="1" t="s">
        <v>12</v>
      </c>
      <c r="J325" s="1">
        <v>0</v>
      </c>
      <c r="K325" s="1" t="s">
        <v>12</v>
      </c>
      <c r="L325" s="1" t="s">
        <v>7</v>
      </c>
      <c r="M325" s="1" t="s">
        <v>8</v>
      </c>
    </row>
    <row r="326" spans="1:13" x14ac:dyDescent="0.35">
      <c r="A326" s="1" t="s">
        <v>8</v>
      </c>
      <c r="B326" s="1" t="s">
        <v>460</v>
      </c>
      <c r="C326" s="1" t="s">
        <v>48</v>
      </c>
      <c r="D326" s="3" t="s">
        <v>461</v>
      </c>
      <c r="E326" s="3">
        <v>100</v>
      </c>
      <c r="F326" s="3">
        <v>100</v>
      </c>
      <c r="G326" s="1" t="s">
        <v>17</v>
      </c>
      <c r="H326" s="1" t="s">
        <v>17</v>
      </c>
      <c r="I326" s="1" t="s">
        <v>12</v>
      </c>
      <c r="J326" s="1">
        <v>0</v>
      </c>
      <c r="K326" s="1" t="s">
        <v>12</v>
      </c>
      <c r="L326" s="1" t="s">
        <v>7</v>
      </c>
      <c r="M326" s="1" t="s">
        <v>8</v>
      </c>
    </row>
    <row r="327" spans="1:13" x14ac:dyDescent="0.35">
      <c r="A327" s="1" t="s">
        <v>8</v>
      </c>
      <c r="B327" s="1" t="s">
        <v>472</v>
      </c>
      <c r="C327" s="1" t="s">
        <v>473</v>
      </c>
      <c r="D327" s="3" t="s">
        <v>474</v>
      </c>
      <c r="E327" s="3">
        <v>100</v>
      </c>
      <c r="F327" s="3" t="s">
        <v>12</v>
      </c>
      <c r="G327" s="1" t="s">
        <v>17</v>
      </c>
      <c r="H327" s="1" t="s">
        <v>17</v>
      </c>
      <c r="I327" s="1" t="s">
        <v>12</v>
      </c>
      <c r="J327" s="1">
        <v>0</v>
      </c>
      <c r="K327" s="1" t="s">
        <v>12</v>
      </c>
      <c r="L327" s="1" t="s">
        <v>7</v>
      </c>
      <c r="M327" s="1" t="s">
        <v>8</v>
      </c>
    </row>
    <row r="328" spans="1:13" x14ac:dyDescent="0.35">
      <c r="A328" s="1" t="s">
        <v>8</v>
      </c>
      <c r="B328" s="1" t="s">
        <v>475</v>
      </c>
      <c r="C328" s="1" t="s">
        <v>476</v>
      </c>
      <c r="D328" s="3" t="s">
        <v>477</v>
      </c>
      <c r="E328" s="3">
        <v>100</v>
      </c>
      <c r="F328" s="3">
        <v>100</v>
      </c>
      <c r="G328" s="1" t="s">
        <v>17</v>
      </c>
      <c r="H328" s="1" t="s">
        <v>17</v>
      </c>
      <c r="I328" s="1" t="s">
        <v>12</v>
      </c>
      <c r="J328" s="1">
        <v>0</v>
      </c>
      <c r="K328" s="1" t="s">
        <v>12</v>
      </c>
      <c r="L328" s="1" t="s">
        <v>7</v>
      </c>
      <c r="M328" s="1" t="s">
        <v>8</v>
      </c>
    </row>
    <row r="329" spans="1:13" x14ac:dyDescent="0.35">
      <c r="A329" s="1" t="s">
        <v>8</v>
      </c>
      <c r="B329" s="1" t="s">
        <v>478</v>
      </c>
      <c r="C329" s="1" t="s">
        <v>479</v>
      </c>
      <c r="D329" s="3" t="s">
        <v>480</v>
      </c>
      <c r="E329" s="3" t="s">
        <v>12</v>
      </c>
      <c r="F329" s="3" t="s">
        <v>12</v>
      </c>
      <c r="G329" s="1" t="s">
        <v>17</v>
      </c>
      <c r="H329" s="1" t="s">
        <v>17</v>
      </c>
      <c r="I329" s="1" t="s">
        <v>12</v>
      </c>
      <c r="J329" s="1">
        <v>0</v>
      </c>
      <c r="K329" s="1" t="s">
        <v>12</v>
      </c>
      <c r="L329" s="1" t="s">
        <v>7</v>
      </c>
      <c r="M329" s="1" t="s">
        <v>8</v>
      </c>
    </row>
    <row r="330" spans="1:13" x14ac:dyDescent="0.35">
      <c r="A330" s="1" t="s">
        <v>8</v>
      </c>
      <c r="B330" s="1" t="s">
        <v>495</v>
      </c>
      <c r="C330" s="1" t="s">
        <v>496</v>
      </c>
      <c r="D330" s="3" t="s">
        <v>497</v>
      </c>
      <c r="E330" s="3" t="s">
        <v>12</v>
      </c>
      <c r="F330" s="3" t="s">
        <v>12</v>
      </c>
      <c r="G330" s="1" t="s">
        <v>139</v>
      </c>
      <c r="H330" s="1" t="s">
        <v>139</v>
      </c>
      <c r="I330" s="1" t="s">
        <v>12</v>
      </c>
      <c r="J330" s="1">
        <v>0</v>
      </c>
      <c r="K330" s="1" t="s">
        <v>12</v>
      </c>
      <c r="L330" s="1" t="s">
        <v>7</v>
      </c>
      <c r="M330" s="1" t="s">
        <v>8</v>
      </c>
    </row>
    <row r="331" spans="1:13" x14ac:dyDescent="0.35">
      <c r="A331" s="1" t="s">
        <v>8</v>
      </c>
      <c r="B331" s="1" t="s">
        <v>495</v>
      </c>
      <c r="C331" s="1" t="s">
        <v>498</v>
      </c>
      <c r="D331" s="3" t="s">
        <v>497</v>
      </c>
      <c r="E331" s="3" t="s">
        <v>12</v>
      </c>
      <c r="F331" s="3" t="s">
        <v>12</v>
      </c>
      <c r="G331" s="1" t="s">
        <v>499</v>
      </c>
      <c r="H331" s="1" t="s">
        <v>499</v>
      </c>
      <c r="I331" s="1" t="s">
        <v>500</v>
      </c>
      <c r="J331" s="1">
        <v>1</v>
      </c>
      <c r="K331" s="1" t="s">
        <v>501</v>
      </c>
      <c r="L331" s="1" t="s">
        <v>7</v>
      </c>
      <c r="M331" s="1" t="s">
        <v>8</v>
      </c>
    </row>
    <row r="332" spans="1:13" x14ac:dyDescent="0.35">
      <c r="A332" s="1" t="s">
        <v>8</v>
      </c>
      <c r="B332" s="1" t="s">
        <v>495</v>
      </c>
      <c r="C332" s="1" t="s">
        <v>498</v>
      </c>
      <c r="D332" s="3" t="s">
        <v>497</v>
      </c>
      <c r="E332" s="3" t="s">
        <v>12</v>
      </c>
      <c r="F332" s="3" t="s">
        <v>12</v>
      </c>
      <c r="G332" s="1" t="s">
        <v>499</v>
      </c>
      <c r="H332" s="1" t="s">
        <v>499</v>
      </c>
      <c r="I332" s="1" t="s">
        <v>499</v>
      </c>
      <c r="J332" s="1">
        <v>1</v>
      </c>
      <c r="K332" s="1" t="s">
        <v>501</v>
      </c>
      <c r="L332" s="1" t="s">
        <v>7</v>
      </c>
      <c r="M332" s="1" t="s">
        <v>8</v>
      </c>
    </row>
    <row r="333" spans="1:13" x14ac:dyDescent="0.35">
      <c r="A333" s="1" t="s">
        <v>8</v>
      </c>
      <c r="B333" s="1" t="s">
        <v>626</v>
      </c>
      <c r="C333" s="1" t="s">
        <v>627</v>
      </c>
      <c r="D333" s="3" t="s">
        <v>628</v>
      </c>
      <c r="E333" s="3">
        <v>55</v>
      </c>
      <c r="F333" s="3" t="s">
        <v>12</v>
      </c>
      <c r="G333" s="1" t="s">
        <v>17</v>
      </c>
      <c r="H333" s="1" t="s">
        <v>17</v>
      </c>
      <c r="I333" s="1" t="s">
        <v>12</v>
      </c>
      <c r="J333" s="1">
        <v>0</v>
      </c>
      <c r="K333" s="1" t="s">
        <v>12</v>
      </c>
      <c r="L333" s="1" t="s">
        <v>7</v>
      </c>
      <c r="M333" s="1" t="s">
        <v>8</v>
      </c>
    </row>
    <row r="334" spans="1:13" x14ac:dyDescent="0.35">
      <c r="A334" s="1" t="s">
        <v>8</v>
      </c>
      <c r="B334" s="1" t="s">
        <v>626</v>
      </c>
      <c r="C334" s="1" t="s">
        <v>221</v>
      </c>
      <c r="D334" s="3" t="s">
        <v>628</v>
      </c>
      <c r="E334" s="3">
        <v>45</v>
      </c>
      <c r="F334" s="3">
        <v>45</v>
      </c>
      <c r="G334" s="1" t="s">
        <v>17</v>
      </c>
      <c r="H334" s="1" t="s">
        <v>17</v>
      </c>
      <c r="I334" s="1" t="s">
        <v>12</v>
      </c>
      <c r="J334" s="1">
        <v>0</v>
      </c>
      <c r="K334" s="1" t="s">
        <v>12</v>
      </c>
      <c r="L334" s="1" t="s">
        <v>7</v>
      </c>
      <c r="M334" s="1" t="s">
        <v>8</v>
      </c>
    </row>
    <row r="335" spans="1:13" x14ac:dyDescent="0.35">
      <c r="A335" s="1" t="s">
        <v>8</v>
      </c>
      <c r="B335" s="1" t="s">
        <v>629</v>
      </c>
      <c r="C335" s="1" t="s">
        <v>630</v>
      </c>
      <c r="D335" s="3" t="s">
        <v>631</v>
      </c>
      <c r="E335" s="3">
        <v>5</v>
      </c>
      <c r="F335" s="3">
        <v>5</v>
      </c>
      <c r="G335" s="1" t="s">
        <v>17</v>
      </c>
      <c r="H335" s="1" t="s">
        <v>17</v>
      </c>
      <c r="I335" s="1" t="s">
        <v>12</v>
      </c>
      <c r="J335" s="1">
        <v>0</v>
      </c>
      <c r="K335" s="1" t="s">
        <v>12</v>
      </c>
      <c r="L335" s="1" t="s">
        <v>7</v>
      </c>
      <c r="M335" s="1" t="s">
        <v>8</v>
      </c>
    </row>
    <row r="336" spans="1:13" x14ac:dyDescent="0.35">
      <c r="A336" s="1" t="s">
        <v>8</v>
      </c>
      <c r="B336" s="1" t="s">
        <v>629</v>
      </c>
      <c r="C336" s="1" t="s">
        <v>632</v>
      </c>
      <c r="D336" s="3" t="s">
        <v>631</v>
      </c>
      <c r="E336" s="3">
        <v>5</v>
      </c>
      <c r="F336" s="3">
        <v>5</v>
      </c>
      <c r="G336" s="1" t="s">
        <v>17</v>
      </c>
      <c r="H336" s="1" t="s">
        <v>17</v>
      </c>
      <c r="I336" s="1" t="s">
        <v>12</v>
      </c>
      <c r="J336" s="1">
        <v>0</v>
      </c>
      <c r="K336" s="1" t="s">
        <v>12</v>
      </c>
      <c r="L336" s="1" t="s">
        <v>7</v>
      </c>
      <c r="M336" s="1" t="s">
        <v>8</v>
      </c>
    </row>
    <row r="337" spans="1:13" x14ac:dyDescent="0.35">
      <c r="A337" s="1" t="s">
        <v>8</v>
      </c>
      <c r="B337" s="1" t="s">
        <v>629</v>
      </c>
      <c r="C337" s="1" t="s">
        <v>633</v>
      </c>
      <c r="D337" s="3" t="s">
        <v>631</v>
      </c>
      <c r="E337" s="3">
        <v>5</v>
      </c>
      <c r="F337" s="3">
        <v>5</v>
      </c>
      <c r="G337" s="1" t="s">
        <v>17</v>
      </c>
      <c r="H337" s="1" t="s">
        <v>17</v>
      </c>
      <c r="I337" s="1" t="s">
        <v>12</v>
      </c>
      <c r="J337" s="1">
        <v>0</v>
      </c>
      <c r="K337" s="1" t="s">
        <v>12</v>
      </c>
      <c r="L337" s="1" t="s">
        <v>7</v>
      </c>
      <c r="M337" s="1" t="s">
        <v>8</v>
      </c>
    </row>
    <row r="338" spans="1:13" x14ac:dyDescent="0.35">
      <c r="A338" s="1" t="s">
        <v>8</v>
      </c>
      <c r="B338" s="1" t="s">
        <v>629</v>
      </c>
      <c r="C338" s="1" t="s">
        <v>634</v>
      </c>
      <c r="D338" s="3" t="s">
        <v>631</v>
      </c>
      <c r="E338" s="3">
        <v>70</v>
      </c>
      <c r="F338" s="3">
        <v>70</v>
      </c>
      <c r="G338" s="1" t="s">
        <v>17</v>
      </c>
      <c r="H338" s="1" t="s">
        <v>17</v>
      </c>
      <c r="I338" s="1" t="s">
        <v>12</v>
      </c>
      <c r="J338" s="1">
        <v>0</v>
      </c>
      <c r="K338" s="1" t="s">
        <v>12</v>
      </c>
      <c r="L338" s="1" t="s">
        <v>7</v>
      </c>
      <c r="M338" s="1" t="s">
        <v>8</v>
      </c>
    </row>
    <row r="339" spans="1:13" x14ac:dyDescent="0.35">
      <c r="A339" s="1" t="s">
        <v>8</v>
      </c>
      <c r="B339" s="1" t="s">
        <v>629</v>
      </c>
      <c r="C339" s="1" t="s">
        <v>635</v>
      </c>
      <c r="D339" s="3" t="s">
        <v>631</v>
      </c>
      <c r="E339" s="3">
        <v>5</v>
      </c>
      <c r="F339" s="3">
        <v>5</v>
      </c>
      <c r="G339" s="1" t="s">
        <v>17</v>
      </c>
      <c r="H339" s="1" t="s">
        <v>17</v>
      </c>
      <c r="I339" s="1" t="s">
        <v>12</v>
      </c>
      <c r="J339" s="1">
        <v>0</v>
      </c>
      <c r="K339" s="1" t="s">
        <v>12</v>
      </c>
      <c r="L339" s="1" t="s">
        <v>7</v>
      </c>
      <c r="M339" s="1" t="s">
        <v>8</v>
      </c>
    </row>
    <row r="340" spans="1:13" x14ac:dyDescent="0.35">
      <c r="A340" s="1" t="s">
        <v>8</v>
      </c>
      <c r="B340" s="1" t="s">
        <v>629</v>
      </c>
      <c r="C340" s="1" t="s">
        <v>636</v>
      </c>
      <c r="D340" s="3" t="s">
        <v>631</v>
      </c>
      <c r="E340" s="3">
        <v>5</v>
      </c>
      <c r="F340" s="3">
        <v>5</v>
      </c>
      <c r="G340" s="1" t="s">
        <v>17</v>
      </c>
      <c r="H340" s="1" t="s">
        <v>17</v>
      </c>
      <c r="I340" s="1" t="s">
        <v>12</v>
      </c>
      <c r="J340" s="1">
        <v>0</v>
      </c>
      <c r="K340" s="1" t="s">
        <v>12</v>
      </c>
      <c r="L340" s="1" t="s">
        <v>7</v>
      </c>
      <c r="M340" s="1" t="s">
        <v>8</v>
      </c>
    </row>
    <row r="341" spans="1:13" x14ac:dyDescent="0.35">
      <c r="A341" s="1" t="s">
        <v>8</v>
      </c>
      <c r="B341" s="1" t="s">
        <v>629</v>
      </c>
      <c r="C341" s="1" t="s">
        <v>637</v>
      </c>
      <c r="D341" s="3" t="s">
        <v>631</v>
      </c>
      <c r="E341" s="3">
        <v>5</v>
      </c>
      <c r="F341" s="3">
        <v>5</v>
      </c>
      <c r="G341" s="1" t="s">
        <v>17</v>
      </c>
      <c r="H341" s="1" t="s">
        <v>17</v>
      </c>
      <c r="I341" s="1" t="s">
        <v>12</v>
      </c>
      <c r="J341" s="1">
        <v>0</v>
      </c>
      <c r="K341" s="1" t="s">
        <v>12</v>
      </c>
      <c r="L341" s="1" t="s">
        <v>7</v>
      </c>
      <c r="M341" s="1" t="s">
        <v>8</v>
      </c>
    </row>
    <row r="342" spans="1:13" x14ac:dyDescent="0.35">
      <c r="A342" s="1" t="s">
        <v>8</v>
      </c>
      <c r="B342" s="1" t="s">
        <v>641</v>
      </c>
      <c r="C342" s="1" t="s">
        <v>642</v>
      </c>
      <c r="D342" s="3" t="s">
        <v>643</v>
      </c>
      <c r="E342" s="3">
        <v>100</v>
      </c>
      <c r="F342" s="3">
        <v>100</v>
      </c>
      <c r="G342" s="1" t="s">
        <v>17</v>
      </c>
      <c r="H342" s="1" t="s">
        <v>17</v>
      </c>
      <c r="I342" s="1" t="s">
        <v>12</v>
      </c>
      <c r="J342" s="1">
        <v>0</v>
      </c>
      <c r="K342" s="1" t="s">
        <v>12</v>
      </c>
      <c r="L342" s="1" t="s">
        <v>7</v>
      </c>
      <c r="M342" s="1" t="s">
        <v>8</v>
      </c>
    </row>
    <row r="343" spans="1:13" x14ac:dyDescent="0.35">
      <c r="A343" s="1" t="s">
        <v>8</v>
      </c>
      <c r="B343" s="1" t="s">
        <v>667</v>
      </c>
      <c r="C343" s="1" t="s">
        <v>668</v>
      </c>
      <c r="D343" s="3" t="s">
        <v>669</v>
      </c>
      <c r="E343" s="3">
        <v>100</v>
      </c>
      <c r="F343" s="3">
        <v>100</v>
      </c>
      <c r="G343" s="1" t="s">
        <v>17</v>
      </c>
      <c r="H343" s="1" t="s">
        <v>17</v>
      </c>
      <c r="I343" s="1" t="s">
        <v>12</v>
      </c>
      <c r="J343" s="1">
        <v>0</v>
      </c>
      <c r="K343" s="1" t="s">
        <v>12</v>
      </c>
      <c r="L343" s="1" t="s">
        <v>7</v>
      </c>
      <c r="M343" s="1" t="s">
        <v>8</v>
      </c>
    </row>
    <row r="344" spans="1:13" x14ac:dyDescent="0.35">
      <c r="A344" s="1" t="s">
        <v>8</v>
      </c>
      <c r="B344" s="1" t="s">
        <v>644</v>
      </c>
      <c r="C344" s="1" t="s">
        <v>645</v>
      </c>
      <c r="D344" s="3" t="s">
        <v>646</v>
      </c>
      <c r="E344" s="3" t="s">
        <v>12</v>
      </c>
      <c r="F344" s="3" t="s">
        <v>12</v>
      </c>
      <c r="G344" s="1" t="s">
        <v>599</v>
      </c>
      <c r="H344" s="1" t="s">
        <v>599</v>
      </c>
      <c r="I344" s="1" t="s">
        <v>12</v>
      </c>
      <c r="J344" s="1">
        <v>0</v>
      </c>
      <c r="K344" s="1" t="s">
        <v>12</v>
      </c>
      <c r="L344" s="1" t="s">
        <v>7</v>
      </c>
      <c r="M344" s="1" t="s">
        <v>8</v>
      </c>
    </row>
    <row r="345" spans="1:13" x14ac:dyDescent="0.35">
      <c r="A345" s="1" t="s">
        <v>8</v>
      </c>
      <c r="B345" s="1" t="s">
        <v>647</v>
      </c>
      <c r="C345" s="1" t="s">
        <v>648</v>
      </c>
      <c r="D345" s="3" t="s">
        <v>649</v>
      </c>
      <c r="E345" s="3" t="s">
        <v>12</v>
      </c>
      <c r="F345" s="3" t="s">
        <v>12</v>
      </c>
      <c r="G345" s="1" t="s">
        <v>17</v>
      </c>
      <c r="H345" s="1" t="s">
        <v>17</v>
      </c>
      <c r="I345" s="1" t="s">
        <v>12</v>
      </c>
      <c r="J345" s="1">
        <v>0</v>
      </c>
      <c r="K345" s="1" t="s">
        <v>12</v>
      </c>
      <c r="L345" s="1" t="s">
        <v>7</v>
      </c>
      <c r="M345" s="1" t="s">
        <v>8</v>
      </c>
    </row>
    <row r="346" spans="1:13" x14ac:dyDescent="0.35">
      <c r="A346" s="1" t="s">
        <v>8</v>
      </c>
      <c r="B346" s="1" t="s">
        <v>647</v>
      </c>
      <c r="C346" s="1" t="s">
        <v>650</v>
      </c>
      <c r="D346" s="3" t="s">
        <v>649</v>
      </c>
      <c r="E346" s="3" t="s">
        <v>12</v>
      </c>
      <c r="F346" s="3" t="s">
        <v>12</v>
      </c>
      <c r="G346" s="1" t="s">
        <v>17</v>
      </c>
      <c r="H346" s="1" t="s">
        <v>17</v>
      </c>
      <c r="I346" s="1" t="s">
        <v>12</v>
      </c>
      <c r="J346" s="1">
        <v>0</v>
      </c>
      <c r="K346" s="1" t="s">
        <v>12</v>
      </c>
      <c r="L346" s="1" t="s">
        <v>7</v>
      </c>
      <c r="M346" s="1" t="s">
        <v>8</v>
      </c>
    </row>
    <row r="347" spans="1:13" x14ac:dyDescent="0.35">
      <c r="A347" s="1" t="s">
        <v>8</v>
      </c>
      <c r="B347" s="1" t="s">
        <v>647</v>
      </c>
      <c r="C347" s="1" t="s">
        <v>651</v>
      </c>
      <c r="D347" s="3" t="s">
        <v>649</v>
      </c>
      <c r="E347" s="3" t="s">
        <v>12</v>
      </c>
      <c r="F347" s="3" t="s">
        <v>12</v>
      </c>
      <c r="G347" s="1" t="s">
        <v>17</v>
      </c>
      <c r="H347" s="1" t="s">
        <v>17</v>
      </c>
      <c r="I347" s="1" t="s">
        <v>12</v>
      </c>
      <c r="J347" s="1">
        <v>0</v>
      </c>
      <c r="K347" s="1" t="s">
        <v>12</v>
      </c>
      <c r="L347" s="1" t="s">
        <v>7</v>
      </c>
      <c r="M347" s="1" t="s">
        <v>8</v>
      </c>
    </row>
    <row r="348" spans="1:13" x14ac:dyDescent="0.35">
      <c r="A348" s="1" t="s">
        <v>8</v>
      </c>
      <c r="B348" s="1" t="s">
        <v>723</v>
      </c>
      <c r="C348" s="1" t="s">
        <v>724</v>
      </c>
      <c r="D348" s="3" t="s">
        <v>725</v>
      </c>
      <c r="E348" s="3">
        <v>10</v>
      </c>
      <c r="F348" s="3">
        <v>10</v>
      </c>
      <c r="G348" s="1" t="s">
        <v>17</v>
      </c>
      <c r="H348" s="1" t="s">
        <v>17</v>
      </c>
      <c r="I348" s="1" t="s">
        <v>12</v>
      </c>
      <c r="J348" s="1">
        <v>0</v>
      </c>
      <c r="K348" s="1" t="s">
        <v>12</v>
      </c>
      <c r="L348" s="1" t="s">
        <v>7</v>
      </c>
      <c r="M348" s="1" t="s">
        <v>8</v>
      </c>
    </row>
    <row r="349" spans="1:13" x14ac:dyDescent="0.35">
      <c r="A349" s="1" t="s">
        <v>8</v>
      </c>
      <c r="B349" s="1" t="s">
        <v>723</v>
      </c>
      <c r="C349" s="1" t="s">
        <v>726</v>
      </c>
      <c r="D349" s="3" t="s">
        <v>725</v>
      </c>
      <c r="E349" s="3">
        <v>10</v>
      </c>
      <c r="F349" s="3">
        <v>10</v>
      </c>
      <c r="G349" s="1" t="s">
        <v>17</v>
      </c>
      <c r="H349" s="1" t="s">
        <v>17</v>
      </c>
      <c r="I349" s="1" t="s">
        <v>12</v>
      </c>
      <c r="J349" s="1">
        <v>0</v>
      </c>
      <c r="K349" s="1" t="s">
        <v>12</v>
      </c>
      <c r="L349" s="1" t="s">
        <v>7</v>
      </c>
      <c r="M349" s="1" t="s">
        <v>8</v>
      </c>
    </row>
    <row r="350" spans="1:13" x14ac:dyDescent="0.35">
      <c r="A350" s="1" t="s">
        <v>8</v>
      </c>
      <c r="B350" s="1" t="s">
        <v>723</v>
      </c>
      <c r="C350" s="1" t="s">
        <v>727</v>
      </c>
      <c r="D350" s="3" t="s">
        <v>725</v>
      </c>
      <c r="E350" s="3">
        <v>70</v>
      </c>
      <c r="F350" s="3">
        <v>70</v>
      </c>
      <c r="G350" s="1" t="s">
        <v>17</v>
      </c>
      <c r="H350" s="1" t="s">
        <v>17</v>
      </c>
      <c r="I350" s="1" t="s">
        <v>12</v>
      </c>
      <c r="J350" s="1">
        <v>0</v>
      </c>
      <c r="K350" s="1" t="s">
        <v>12</v>
      </c>
      <c r="L350" s="1" t="s">
        <v>7</v>
      </c>
      <c r="M350" s="1" t="s">
        <v>8</v>
      </c>
    </row>
    <row r="351" spans="1:13" x14ac:dyDescent="0.35">
      <c r="A351" s="1" t="s">
        <v>8</v>
      </c>
      <c r="B351" s="1" t="s">
        <v>723</v>
      </c>
      <c r="C351" s="1" t="s">
        <v>728</v>
      </c>
      <c r="D351" s="3" t="s">
        <v>725</v>
      </c>
      <c r="E351" s="3">
        <v>10</v>
      </c>
      <c r="F351" s="3">
        <v>10</v>
      </c>
      <c r="G351" s="1" t="s">
        <v>17</v>
      </c>
      <c r="H351" s="1" t="s">
        <v>17</v>
      </c>
      <c r="I351" s="1" t="s">
        <v>12</v>
      </c>
      <c r="J351" s="1">
        <v>0</v>
      </c>
      <c r="K351" s="1" t="s">
        <v>12</v>
      </c>
      <c r="L351" s="1" t="s">
        <v>7</v>
      </c>
      <c r="M351" s="1" t="s">
        <v>8</v>
      </c>
    </row>
    <row r="352" spans="1:13" x14ac:dyDescent="0.35">
      <c r="A352" s="1" t="s">
        <v>8</v>
      </c>
      <c r="B352" s="1" t="s">
        <v>747</v>
      </c>
      <c r="C352" s="1" t="s">
        <v>748</v>
      </c>
      <c r="D352" s="3" t="s">
        <v>749</v>
      </c>
      <c r="E352" s="3" t="s">
        <v>12</v>
      </c>
      <c r="F352" s="3" t="s">
        <v>12</v>
      </c>
      <c r="G352" s="1" t="s">
        <v>17</v>
      </c>
      <c r="H352" s="1" t="s">
        <v>17</v>
      </c>
      <c r="I352" s="1" t="s">
        <v>12</v>
      </c>
      <c r="J352" s="1">
        <v>0</v>
      </c>
      <c r="K352" s="1" t="s">
        <v>12</v>
      </c>
      <c r="L352" s="1" t="s">
        <v>7</v>
      </c>
      <c r="M352" s="1" t="s">
        <v>8</v>
      </c>
    </row>
    <row r="353" spans="1:13" x14ac:dyDescent="0.35">
      <c r="A353" s="1" t="s">
        <v>8</v>
      </c>
      <c r="B353" s="1" t="s">
        <v>750</v>
      </c>
      <c r="C353" s="1" t="s">
        <v>751</v>
      </c>
      <c r="D353" s="3" t="s">
        <v>752</v>
      </c>
      <c r="E353" s="3" t="s">
        <v>12</v>
      </c>
      <c r="F353" s="3" t="s">
        <v>12</v>
      </c>
      <c r="G353" s="1" t="s">
        <v>17</v>
      </c>
      <c r="H353" s="1" t="s">
        <v>17</v>
      </c>
      <c r="I353" s="1" t="s">
        <v>12</v>
      </c>
      <c r="J353" s="1">
        <v>0</v>
      </c>
      <c r="K353" s="1" t="s">
        <v>12</v>
      </c>
      <c r="L353" s="1" t="s">
        <v>7</v>
      </c>
      <c r="M353" s="1" t="s">
        <v>8</v>
      </c>
    </row>
    <row r="354" spans="1:13" x14ac:dyDescent="0.35">
      <c r="A354" s="1" t="s">
        <v>8</v>
      </c>
      <c r="B354" s="1" t="s">
        <v>750</v>
      </c>
      <c r="C354" s="1" t="s">
        <v>753</v>
      </c>
      <c r="D354" s="3" t="s">
        <v>752</v>
      </c>
      <c r="E354" s="3" t="s">
        <v>12</v>
      </c>
      <c r="F354" s="3" t="s">
        <v>12</v>
      </c>
      <c r="G354" s="1" t="s">
        <v>17</v>
      </c>
      <c r="H354" s="1" t="s">
        <v>17</v>
      </c>
      <c r="I354" s="1" t="s">
        <v>12</v>
      </c>
      <c r="J354" s="1">
        <v>0</v>
      </c>
      <c r="K354" s="1" t="s">
        <v>12</v>
      </c>
      <c r="L354" s="1" t="s">
        <v>7</v>
      </c>
      <c r="M354" s="1" t="s">
        <v>8</v>
      </c>
    </row>
    <row r="355" spans="1:13" x14ac:dyDescent="0.35">
      <c r="A355" s="1" t="s">
        <v>8</v>
      </c>
      <c r="B355" s="1" t="s">
        <v>767</v>
      </c>
      <c r="C355" s="1" t="s">
        <v>768</v>
      </c>
      <c r="D355" s="3" t="s">
        <v>769</v>
      </c>
      <c r="E355" s="3">
        <v>60</v>
      </c>
      <c r="F355" s="3">
        <v>60</v>
      </c>
      <c r="G355" s="1" t="s">
        <v>17</v>
      </c>
      <c r="H355" s="1" t="s">
        <v>17</v>
      </c>
      <c r="I355" s="1" t="s">
        <v>12</v>
      </c>
      <c r="J355" s="1">
        <v>0</v>
      </c>
      <c r="K355" s="1" t="s">
        <v>12</v>
      </c>
      <c r="L355" s="1" t="s">
        <v>7</v>
      </c>
      <c r="M355" s="1" t="s">
        <v>8</v>
      </c>
    </row>
    <row r="356" spans="1:13" x14ac:dyDescent="0.35">
      <c r="A356" s="1" t="s">
        <v>8</v>
      </c>
      <c r="B356" s="1" t="s">
        <v>767</v>
      </c>
      <c r="C356" s="1" t="s">
        <v>618</v>
      </c>
      <c r="D356" s="3" t="s">
        <v>769</v>
      </c>
      <c r="E356" s="3">
        <v>20</v>
      </c>
      <c r="F356" s="3">
        <v>20</v>
      </c>
      <c r="G356" s="1" t="s">
        <v>17</v>
      </c>
      <c r="H356" s="1" t="s">
        <v>17</v>
      </c>
      <c r="I356" s="1" t="s">
        <v>12</v>
      </c>
      <c r="J356" s="1">
        <v>0</v>
      </c>
      <c r="K356" s="1" t="s">
        <v>12</v>
      </c>
      <c r="L356" s="1" t="s">
        <v>7</v>
      </c>
      <c r="M356" s="1" t="s">
        <v>8</v>
      </c>
    </row>
    <row r="357" spans="1:13" x14ac:dyDescent="0.35">
      <c r="A357" s="1" t="s">
        <v>8</v>
      </c>
      <c r="B357" s="1" t="s">
        <v>767</v>
      </c>
      <c r="C357" s="1" t="s">
        <v>770</v>
      </c>
      <c r="D357" s="3" t="s">
        <v>769</v>
      </c>
      <c r="E357" s="3">
        <v>20</v>
      </c>
      <c r="F357" s="3">
        <v>20</v>
      </c>
      <c r="G357" s="1" t="s">
        <v>17</v>
      </c>
      <c r="H357" s="1" t="s">
        <v>17</v>
      </c>
      <c r="I357" s="1" t="s">
        <v>12</v>
      </c>
      <c r="J357" s="1">
        <v>0</v>
      </c>
      <c r="K357" s="1" t="s">
        <v>12</v>
      </c>
      <c r="L357" s="1" t="s">
        <v>7</v>
      </c>
      <c r="M357" s="1" t="s">
        <v>8</v>
      </c>
    </row>
    <row r="358" spans="1:13" x14ac:dyDescent="0.35">
      <c r="A358" s="1" t="s">
        <v>8</v>
      </c>
      <c r="B358" s="1" t="s">
        <v>775</v>
      </c>
      <c r="C358" s="1" t="s">
        <v>776</v>
      </c>
      <c r="D358" s="3" t="s">
        <v>777</v>
      </c>
      <c r="E358" s="3" t="s">
        <v>12</v>
      </c>
      <c r="F358" s="3" t="s">
        <v>12</v>
      </c>
      <c r="G358" s="1" t="s">
        <v>139</v>
      </c>
      <c r="H358" s="1" t="s">
        <v>139</v>
      </c>
      <c r="I358" s="1" t="s">
        <v>12</v>
      </c>
      <c r="J358" s="1">
        <v>0</v>
      </c>
      <c r="K358" s="1" t="s">
        <v>12</v>
      </c>
      <c r="L358" s="1" t="s">
        <v>7</v>
      </c>
      <c r="M358" s="1" t="s">
        <v>8</v>
      </c>
    </row>
    <row r="359" spans="1:13" x14ac:dyDescent="0.35">
      <c r="A359" s="1" t="s">
        <v>8</v>
      </c>
      <c r="B359" s="1" t="s">
        <v>823</v>
      </c>
      <c r="C359" s="1" t="s">
        <v>824</v>
      </c>
      <c r="D359" s="3" t="s">
        <v>825</v>
      </c>
      <c r="E359" s="3">
        <v>14</v>
      </c>
      <c r="F359" s="3" t="s">
        <v>12</v>
      </c>
      <c r="G359" s="1" t="s">
        <v>17</v>
      </c>
      <c r="H359" s="1" t="s">
        <v>17</v>
      </c>
      <c r="I359" s="1" t="s">
        <v>12</v>
      </c>
      <c r="J359" s="1">
        <v>0</v>
      </c>
      <c r="K359" s="1" t="s">
        <v>12</v>
      </c>
      <c r="L359" s="1" t="s">
        <v>7</v>
      </c>
      <c r="M359" s="1" t="s">
        <v>8</v>
      </c>
    </row>
    <row r="360" spans="1:13" x14ac:dyDescent="0.35">
      <c r="A360" s="1" t="s">
        <v>8</v>
      </c>
      <c r="B360" s="1" t="s">
        <v>823</v>
      </c>
      <c r="C360" s="1" t="s">
        <v>826</v>
      </c>
      <c r="D360" s="3" t="s">
        <v>825</v>
      </c>
      <c r="E360" s="3">
        <v>30</v>
      </c>
      <c r="F360" s="3" t="s">
        <v>12</v>
      </c>
      <c r="G360" s="1" t="s">
        <v>139</v>
      </c>
      <c r="H360" s="1" t="s">
        <v>139</v>
      </c>
      <c r="I360" s="1" t="s">
        <v>12</v>
      </c>
      <c r="J360" s="1">
        <v>0</v>
      </c>
      <c r="K360" s="1" t="s">
        <v>12</v>
      </c>
      <c r="L360" s="1" t="s">
        <v>7</v>
      </c>
      <c r="M360" s="1" t="s">
        <v>8</v>
      </c>
    </row>
    <row r="361" spans="1:13" x14ac:dyDescent="0.35">
      <c r="A361" s="1" t="s">
        <v>8</v>
      </c>
      <c r="B361" s="1" t="s">
        <v>823</v>
      </c>
      <c r="C361" s="1" t="s">
        <v>827</v>
      </c>
      <c r="D361" s="3" t="s">
        <v>825</v>
      </c>
      <c r="E361" s="3">
        <v>14</v>
      </c>
      <c r="F361" s="3" t="s">
        <v>12</v>
      </c>
      <c r="G361" s="1" t="s">
        <v>139</v>
      </c>
      <c r="H361" s="1" t="s">
        <v>139</v>
      </c>
      <c r="I361" s="1" t="s">
        <v>12</v>
      </c>
      <c r="J361" s="1">
        <v>0</v>
      </c>
      <c r="K361" s="1" t="s">
        <v>12</v>
      </c>
      <c r="L361" s="1" t="s">
        <v>7</v>
      </c>
      <c r="M361" s="1" t="s">
        <v>8</v>
      </c>
    </row>
    <row r="362" spans="1:13" x14ac:dyDescent="0.35">
      <c r="A362" s="1" t="s">
        <v>8</v>
      </c>
      <c r="B362" s="1" t="s">
        <v>823</v>
      </c>
      <c r="C362" s="1" t="s">
        <v>828</v>
      </c>
      <c r="D362" s="3" t="s">
        <v>825</v>
      </c>
      <c r="E362" s="3">
        <v>14</v>
      </c>
      <c r="F362" s="3" t="s">
        <v>12</v>
      </c>
      <c r="G362" s="1" t="s">
        <v>17</v>
      </c>
      <c r="H362" s="1" t="s">
        <v>17</v>
      </c>
      <c r="I362" s="1" t="s">
        <v>12</v>
      </c>
      <c r="J362" s="1">
        <v>0</v>
      </c>
      <c r="K362" s="1" t="s">
        <v>12</v>
      </c>
      <c r="L362" s="1" t="s">
        <v>7</v>
      </c>
      <c r="M362" s="1" t="s">
        <v>8</v>
      </c>
    </row>
    <row r="363" spans="1:13" x14ac:dyDescent="0.35">
      <c r="A363" s="1" t="s">
        <v>8</v>
      </c>
      <c r="B363" s="1" t="s">
        <v>823</v>
      </c>
      <c r="C363" s="1" t="s">
        <v>303</v>
      </c>
      <c r="D363" s="3" t="s">
        <v>825</v>
      </c>
      <c r="E363" s="3">
        <v>13</v>
      </c>
      <c r="F363" s="3" t="s">
        <v>12</v>
      </c>
      <c r="G363" s="1" t="s">
        <v>17</v>
      </c>
      <c r="H363" s="1" t="s">
        <v>17</v>
      </c>
      <c r="I363" s="1" t="s">
        <v>12</v>
      </c>
      <c r="J363" s="1">
        <v>0</v>
      </c>
      <c r="K363" s="1" t="s">
        <v>12</v>
      </c>
      <c r="L363" s="1" t="s">
        <v>7</v>
      </c>
      <c r="M363" s="1" t="s">
        <v>8</v>
      </c>
    </row>
    <row r="364" spans="1:13" x14ac:dyDescent="0.35">
      <c r="A364" s="1" t="s">
        <v>8</v>
      </c>
      <c r="B364" s="1" t="s">
        <v>823</v>
      </c>
      <c r="C364" s="1" t="s">
        <v>829</v>
      </c>
      <c r="D364" s="3" t="s">
        <v>825</v>
      </c>
      <c r="E364" s="3">
        <v>15</v>
      </c>
      <c r="F364" s="3" t="s">
        <v>12</v>
      </c>
      <c r="G364" s="1" t="s">
        <v>139</v>
      </c>
      <c r="H364" s="1" t="s">
        <v>139</v>
      </c>
      <c r="I364" s="1" t="s">
        <v>12</v>
      </c>
      <c r="J364" s="1">
        <v>0</v>
      </c>
      <c r="K364" s="1" t="s">
        <v>12</v>
      </c>
      <c r="L364" s="1" t="s">
        <v>7</v>
      </c>
      <c r="M364" s="1" t="s">
        <v>8</v>
      </c>
    </row>
    <row r="365" spans="1:13" x14ac:dyDescent="0.35">
      <c r="A365" s="1" t="s">
        <v>835</v>
      </c>
      <c r="B365" s="1" t="s">
        <v>839</v>
      </c>
      <c r="C365" s="1" t="s">
        <v>840</v>
      </c>
      <c r="D365" s="3" t="s">
        <v>841</v>
      </c>
      <c r="E365" s="3" t="s">
        <v>12</v>
      </c>
      <c r="F365" s="3" t="s">
        <v>12</v>
      </c>
      <c r="G365" s="1" t="s">
        <v>17</v>
      </c>
      <c r="H365" s="1" t="s">
        <v>17</v>
      </c>
      <c r="I365" s="1" t="s">
        <v>12</v>
      </c>
      <c r="J365" s="1">
        <v>0</v>
      </c>
      <c r="K365" s="1" t="s">
        <v>12</v>
      </c>
      <c r="L365" s="1" t="s">
        <v>7</v>
      </c>
      <c r="M365" s="1" t="s">
        <v>835</v>
      </c>
    </row>
    <row r="366" spans="1:13" x14ac:dyDescent="0.35">
      <c r="A366" s="1" t="s">
        <v>835</v>
      </c>
      <c r="B366" s="1" t="s">
        <v>842</v>
      </c>
      <c r="C366" s="1" t="s">
        <v>843</v>
      </c>
      <c r="D366" s="3" t="s">
        <v>844</v>
      </c>
      <c r="E366" s="3" t="s">
        <v>12</v>
      </c>
      <c r="F366" s="3" t="s">
        <v>12</v>
      </c>
      <c r="G366" s="1" t="s">
        <v>17</v>
      </c>
      <c r="H366" s="1" t="s">
        <v>17</v>
      </c>
      <c r="I366" s="1" t="s">
        <v>12</v>
      </c>
      <c r="J366" s="1">
        <v>0</v>
      </c>
      <c r="K366" s="1" t="s">
        <v>12</v>
      </c>
      <c r="L366" s="1" t="s">
        <v>7</v>
      </c>
      <c r="M366" s="1" t="s">
        <v>835</v>
      </c>
    </row>
    <row r="367" spans="1:13" x14ac:dyDescent="0.35">
      <c r="A367" s="1" t="s">
        <v>835</v>
      </c>
      <c r="B367" s="1" t="s">
        <v>845</v>
      </c>
      <c r="C367" s="1" t="s">
        <v>846</v>
      </c>
      <c r="D367" s="3" t="s">
        <v>847</v>
      </c>
      <c r="E367" s="3" t="s">
        <v>12</v>
      </c>
      <c r="F367" s="3" t="s">
        <v>12</v>
      </c>
      <c r="G367" s="1" t="s">
        <v>17</v>
      </c>
      <c r="H367" s="1" t="s">
        <v>17</v>
      </c>
      <c r="I367" s="1" t="s">
        <v>12</v>
      </c>
      <c r="J367" s="1">
        <v>0</v>
      </c>
      <c r="K367" s="1" t="s">
        <v>12</v>
      </c>
      <c r="L367" s="1" t="s">
        <v>7</v>
      </c>
      <c r="M367" s="1" t="s">
        <v>835</v>
      </c>
    </row>
    <row r="368" spans="1:13" x14ac:dyDescent="0.35">
      <c r="A368" s="1" t="s">
        <v>835</v>
      </c>
      <c r="B368" s="1" t="s">
        <v>851</v>
      </c>
      <c r="C368" s="1" t="s">
        <v>852</v>
      </c>
      <c r="D368" s="3" t="s">
        <v>853</v>
      </c>
      <c r="E368" s="3" t="s">
        <v>12</v>
      </c>
      <c r="F368" s="3" t="s">
        <v>12</v>
      </c>
      <c r="G368" s="1" t="s">
        <v>17</v>
      </c>
      <c r="H368" s="1" t="s">
        <v>17</v>
      </c>
      <c r="I368" s="1" t="s">
        <v>12</v>
      </c>
      <c r="J368" s="1">
        <v>0</v>
      </c>
      <c r="K368" s="1" t="s">
        <v>12</v>
      </c>
      <c r="L368" s="1" t="s">
        <v>7</v>
      </c>
      <c r="M368" s="1" t="s">
        <v>835</v>
      </c>
    </row>
    <row r="369" spans="1:13" x14ac:dyDescent="0.35">
      <c r="A369" s="1" t="s">
        <v>8</v>
      </c>
      <c r="B369" s="1" t="s">
        <v>707</v>
      </c>
      <c r="C369" s="1" t="s">
        <v>10</v>
      </c>
      <c r="D369" s="3" t="s">
        <v>708</v>
      </c>
      <c r="E369" s="3" t="s">
        <v>12</v>
      </c>
      <c r="F369" s="3" t="s">
        <v>12</v>
      </c>
      <c r="G369" s="1" t="s">
        <v>13</v>
      </c>
      <c r="H369" s="1" t="s">
        <v>13</v>
      </c>
      <c r="I369" s="1" t="s">
        <v>12</v>
      </c>
      <c r="J369" s="1">
        <v>0</v>
      </c>
      <c r="K369" s="1" t="s">
        <v>12</v>
      </c>
      <c r="L369" s="1" t="s">
        <v>7</v>
      </c>
      <c r="M369" s="1" t="s">
        <v>8</v>
      </c>
    </row>
    <row r="370" spans="1:13" x14ac:dyDescent="0.35">
      <c r="A370" s="1" t="s">
        <v>8</v>
      </c>
      <c r="B370" s="1" t="s">
        <v>707</v>
      </c>
      <c r="C370" s="1" t="s">
        <v>709</v>
      </c>
      <c r="D370" s="3" t="s">
        <v>708</v>
      </c>
      <c r="E370" s="3" t="s">
        <v>12</v>
      </c>
      <c r="F370" s="3" t="s">
        <v>12</v>
      </c>
      <c r="G370" s="1" t="s">
        <v>17</v>
      </c>
      <c r="H370" s="1" t="s">
        <v>17</v>
      </c>
      <c r="I370" s="1" t="s">
        <v>12</v>
      </c>
      <c r="J370" s="1">
        <v>0</v>
      </c>
      <c r="K370" s="1" t="s">
        <v>12</v>
      </c>
      <c r="L370" s="1" t="s">
        <v>7</v>
      </c>
      <c r="M370" s="1" t="s">
        <v>8</v>
      </c>
    </row>
    <row r="371" spans="1:13" x14ac:dyDescent="0.35">
      <c r="A371" s="1" t="s">
        <v>8</v>
      </c>
      <c r="B371" s="1" t="s">
        <v>689</v>
      </c>
      <c r="C371" s="1" t="s">
        <v>690</v>
      </c>
      <c r="D371" s="3" t="s">
        <v>691</v>
      </c>
      <c r="E371" s="3">
        <v>100</v>
      </c>
      <c r="F371" s="3" t="s">
        <v>12</v>
      </c>
      <c r="G371" s="1" t="s">
        <v>17</v>
      </c>
      <c r="H371" s="1" t="s">
        <v>17</v>
      </c>
      <c r="I371" s="1" t="s">
        <v>12</v>
      </c>
      <c r="J371" s="1">
        <v>0</v>
      </c>
      <c r="K371" s="1" t="s">
        <v>12</v>
      </c>
      <c r="L371" s="1" t="s">
        <v>7</v>
      </c>
      <c r="M371" s="1" t="s">
        <v>8</v>
      </c>
    </row>
    <row r="372" spans="1:13" x14ac:dyDescent="0.35">
      <c r="A372" s="1" t="s">
        <v>8</v>
      </c>
      <c r="B372" s="1" t="s">
        <v>738</v>
      </c>
      <c r="C372" s="1" t="s">
        <v>739</v>
      </c>
      <c r="D372" s="3" t="s">
        <v>740</v>
      </c>
      <c r="E372" s="3">
        <v>100</v>
      </c>
      <c r="F372" s="3" t="s">
        <v>12</v>
      </c>
      <c r="G372" s="1" t="s">
        <v>17</v>
      </c>
      <c r="H372" s="1" t="s">
        <v>17</v>
      </c>
      <c r="I372" s="1" t="s">
        <v>12</v>
      </c>
      <c r="J372" s="1">
        <v>0</v>
      </c>
      <c r="K372" s="1" t="s">
        <v>12</v>
      </c>
      <c r="L372" s="1" t="s">
        <v>7</v>
      </c>
      <c r="M372" s="1" t="s">
        <v>8</v>
      </c>
    </row>
    <row r="373" spans="1:13" x14ac:dyDescent="0.35">
      <c r="A373" s="1" t="s">
        <v>8</v>
      </c>
      <c r="B373" s="1" t="s">
        <v>710</v>
      </c>
      <c r="C373" s="1" t="s">
        <v>711</v>
      </c>
      <c r="D373" s="3" t="s">
        <v>712</v>
      </c>
      <c r="E373" s="3" t="s">
        <v>12</v>
      </c>
      <c r="F373" s="3" t="s">
        <v>12</v>
      </c>
      <c r="G373" s="1" t="s">
        <v>17</v>
      </c>
      <c r="H373" s="1" t="s">
        <v>17</v>
      </c>
      <c r="I373" s="1" t="s">
        <v>12</v>
      </c>
      <c r="J373" s="1">
        <v>0</v>
      </c>
      <c r="K373" s="1" t="s">
        <v>12</v>
      </c>
      <c r="L373" s="1" t="s">
        <v>7</v>
      </c>
      <c r="M373" s="1" t="s">
        <v>8</v>
      </c>
    </row>
    <row r="374" spans="1:13" x14ac:dyDescent="0.35">
      <c r="A374" s="1" t="s">
        <v>835</v>
      </c>
      <c r="B374" s="1" t="s">
        <v>854</v>
      </c>
      <c r="C374" s="1" t="s">
        <v>855</v>
      </c>
      <c r="D374" s="3" t="s">
        <v>856</v>
      </c>
      <c r="E374" s="3" t="s">
        <v>12</v>
      </c>
      <c r="F374" s="3" t="s">
        <v>12</v>
      </c>
      <c r="G374" s="1" t="s">
        <v>17</v>
      </c>
      <c r="H374" s="1" t="s">
        <v>17</v>
      </c>
      <c r="I374" s="1" t="s">
        <v>12</v>
      </c>
      <c r="J374" s="1">
        <v>0</v>
      </c>
      <c r="K374" s="1" t="s">
        <v>12</v>
      </c>
      <c r="L374" s="1" t="s">
        <v>7</v>
      </c>
      <c r="M374" s="1" t="s">
        <v>835</v>
      </c>
    </row>
    <row r="375" spans="1:13" x14ac:dyDescent="0.35">
      <c r="A375" s="1" t="s">
        <v>864</v>
      </c>
      <c r="B375" s="1" t="s">
        <v>869</v>
      </c>
      <c r="C375" s="1" t="s">
        <v>870</v>
      </c>
      <c r="D375" s="3" t="s">
        <v>871</v>
      </c>
      <c r="E375" s="3" t="s">
        <v>12</v>
      </c>
      <c r="F375" s="3" t="s">
        <v>12</v>
      </c>
      <c r="G375" s="1" t="s">
        <v>872</v>
      </c>
      <c r="H375" s="1" t="s">
        <v>872</v>
      </c>
      <c r="I375" s="1" t="s">
        <v>12</v>
      </c>
      <c r="J375" s="1">
        <v>0</v>
      </c>
      <c r="K375" s="1" t="s">
        <v>12</v>
      </c>
      <c r="L375" s="1" t="s">
        <v>7</v>
      </c>
      <c r="M375" s="1" t="s">
        <v>864</v>
      </c>
    </row>
    <row r="376" spans="1:13" x14ac:dyDescent="0.35">
      <c r="A376" s="1" t="s">
        <v>873</v>
      </c>
      <c r="B376" s="1" t="s">
        <v>879</v>
      </c>
      <c r="C376" s="1" t="s">
        <v>880</v>
      </c>
      <c r="D376" s="3" t="s">
        <v>881</v>
      </c>
      <c r="E376" s="3" t="s">
        <v>12</v>
      </c>
      <c r="F376" s="3" t="s">
        <v>12</v>
      </c>
      <c r="G376" s="1" t="s">
        <v>17</v>
      </c>
      <c r="H376" s="1" t="s">
        <v>17</v>
      </c>
      <c r="I376" s="1" t="s">
        <v>12</v>
      </c>
      <c r="J376" s="1">
        <v>0</v>
      </c>
      <c r="K376" s="1" t="s">
        <v>12</v>
      </c>
      <c r="L376" s="1" t="s">
        <v>7</v>
      </c>
      <c r="M376" s="1" t="s">
        <v>873</v>
      </c>
    </row>
    <row r="377" spans="1:13" x14ac:dyDescent="0.35">
      <c r="A377" s="1" t="s">
        <v>873</v>
      </c>
      <c r="B377" s="1" t="s">
        <v>879</v>
      </c>
      <c r="C377" s="1" t="s">
        <v>882</v>
      </c>
      <c r="D377" s="3" t="s">
        <v>881</v>
      </c>
      <c r="E377" s="3" t="s">
        <v>12</v>
      </c>
      <c r="F377" s="3" t="s">
        <v>12</v>
      </c>
      <c r="G377" s="1" t="s">
        <v>17</v>
      </c>
      <c r="H377" s="1" t="s">
        <v>17</v>
      </c>
      <c r="I377" s="1" t="s">
        <v>12</v>
      </c>
      <c r="J377" s="1">
        <v>0</v>
      </c>
      <c r="K377" s="1" t="s">
        <v>12</v>
      </c>
      <c r="L377" s="1" t="s">
        <v>7</v>
      </c>
      <c r="M377" s="1" t="s">
        <v>873</v>
      </c>
    </row>
    <row r="378" spans="1:13" x14ac:dyDescent="0.35">
      <c r="A378" s="1" t="s">
        <v>873</v>
      </c>
      <c r="B378" s="1" t="s">
        <v>879</v>
      </c>
      <c r="C378" s="1" t="s">
        <v>602</v>
      </c>
      <c r="D378" s="3" t="s">
        <v>881</v>
      </c>
      <c r="E378" s="3" t="s">
        <v>12</v>
      </c>
      <c r="F378" s="3" t="s">
        <v>12</v>
      </c>
      <c r="G378" s="1" t="s">
        <v>17</v>
      </c>
      <c r="H378" s="1" t="s">
        <v>17</v>
      </c>
      <c r="I378" s="1" t="s">
        <v>12</v>
      </c>
      <c r="J378" s="1">
        <v>0</v>
      </c>
      <c r="K378" s="1" t="s">
        <v>12</v>
      </c>
      <c r="L378" s="1" t="s">
        <v>7</v>
      </c>
      <c r="M378" s="1" t="s">
        <v>873</v>
      </c>
    </row>
    <row r="379" spans="1:13" x14ac:dyDescent="0.35">
      <c r="A379" s="1" t="s">
        <v>873</v>
      </c>
      <c r="B379" s="1" t="s">
        <v>879</v>
      </c>
      <c r="C379" s="1" t="s">
        <v>883</v>
      </c>
      <c r="D379" s="3" t="s">
        <v>881</v>
      </c>
      <c r="E379" s="3" t="s">
        <v>12</v>
      </c>
      <c r="F379" s="3" t="s">
        <v>12</v>
      </c>
      <c r="G379" s="1" t="s">
        <v>17</v>
      </c>
      <c r="H379" s="1" t="s">
        <v>17</v>
      </c>
      <c r="I379" s="1" t="s">
        <v>12</v>
      </c>
      <c r="J379" s="1">
        <v>0</v>
      </c>
      <c r="K379" s="1" t="s">
        <v>12</v>
      </c>
      <c r="L379" s="1" t="s">
        <v>7</v>
      </c>
      <c r="M379" s="1" t="s">
        <v>873</v>
      </c>
    </row>
    <row r="380" spans="1:13" x14ac:dyDescent="0.35">
      <c r="A380" s="1" t="s">
        <v>873</v>
      </c>
      <c r="B380" s="1" t="s">
        <v>879</v>
      </c>
      <c r="C380" s="1" t="s">
        <v>884</v>
      </c>
      <c r="D380" s="3" t="s">
        <v>881</v>
      </c>
      <c r="E380" s="3" t="s">
        <v>12</v>
      </c>
      <c r="F380" s="3" t="s">
        <v>12</v>
      </c>
      <c r="G380" s="1" t="s">
        <v>17</v>
      </c>
      <c r="H380" s="1" t="s">
        <v>17</v>
      </c>
      <c r="I380" s="1" t="s">
        <v>12</v>
      </c>
      <c r="J380" s="1">
        <v>0</v>
      </c>
      <c r="K380" s="1" t="s">
        <v>12</v>
      </c>
      <c r="L380" s="1" t="s">
        <v>7</v>
      </c>
      <c r="M380" s="1" t="s">
        <v>873</v>
      </c>
    </row>
    <row r="381" spans="1:13" x14ac:dyDescent="0.35">
      <c r="A381" s="1" t="s">
        <v>873</v>
      </c>
      <c r="B381" s="1" t="s">
        <v>879</v>
      </c>
      <c r="C381" s="1" t="s">
        <v>885</v>
      </c>
      <c r="D381" s="3" t="s">
        <v>881</v>
      </c>
      <c r="E381" s="3" t="s">
        <v>12</v>
      </c>
      <c r="F381" s="3" t="s">
        <v>12</v>
      </c>
      <c r="G381" s="1" t="s">
        <v>17</v>
      </c>
      <c r="H381" s="1" t="s">
        <v>17</v>
      </c>
      <c r="I381" s="1" t="s">
        <v>12</v>
      </c>
      <c r="J381" s="1">
        <v>0</v>
      </c>
      <c r="K381" s="1" t="s">
        <v>12</v>
      </c>
      <c r="L381" s="1" t="s">
        <v>7</v>
      </c>
      <c r="M381" s="1" t="s">
        <v>873</v>
      </c>
    </row>
    <row r="382" spans="1:13" x14ac:dyDescent="0.35">
      <c r="A382" s="1" t="s">
        <v>873</v>
      </c>
      <c r="B382" s="1" t="s">
        <v>879</v>
      </c>
      <c r="C382" s="1" t="s">
        <v>886</v>
      </c>
      <c r="D382" s="3" t="s">
        <v>881</v>
      </c>
      <c r="E382" s="3" t="s">
        <v>12</v>
      </c>
      <c r="F382" s="3" t="s">
        <v>12</v>
      </c>
      <c r="G382" s="1" t="s">
        <v>17</v>
      </c>
      <c r="H382" s="1" t="s">
        <v>17</v>
      </c>
      <c r="I382" s="1" t="s">
        <v>12</v>
      </c>
      <c r="J382" s="1">
        <v>0</v>
      </c>
      <c r="K382" s="1" t="s">
        <v>12</v>
      </c>
      <c r="L382" s="1" t="s">
        <v>7</v>
      </c>
      <c r="M382" s="1" t="s">
        <v>873</v>
      </c>
    </row>
    <row r="383" spans="1:13" x14ac:dyDescent="0.35">
      <c r="A383" s="1" t="s">
        <v>873</v>
      </c>
      <c r="B383" s="1" t="s">
        <v>879</v>
      </c>
      <c r="C383" s="1" t="s">
        <v>887</v>
      </c>
      <c r="D383" s="3" t="s">
        <v>881</v>
      </c>
      <c r="E383" s="3" t="s">
        <v>12</v>
      </c>
      <c r="F383" s="3" t="s">
        <v>12</v>
      </c>
      <c r="G383" s="1" t="s">
        <v>17</v>
      </c>
      <c r="H383" s="1" t="s">
        <v>17</v>
      </c>
      <c r="I383" s="1" t="s">
        <v>12</v>
      </c>
      <c r="J383" s="1">
        <v>0</v>
      </c>
      <c r="K383" s="1" t="s">
        <v>12</v>
      </c>
      <c r="L383" s="1" t="s">
        <v>7</v>
      </c>
      <c r="M383" s="1" t="s">
        <v>873</v>
      </c>
    </row>
    <row r="384" spans="1:13" x14ac:dyDescent="0.35">
      <c r="A384" s="1" t="s">
        <v>873</v>
      </c>
      <c r="B384" s="1" t="s">
        <v>879</v>
      </c>
      <c r="C384" s="1" t="s">
        <v>888</v>
      </c>
      <c r="D384" s="3" t="s">
        <v>881</v>
      </c>
      <c r="E384" s="3" t="s">
        <v>12</v>
      </c>
      <c r="F384" s="3" t="s">
        <v>12</v>
      </c>
      <c r="G384" s="1" t="s">
        <v>17</v>
      </c>
      <c r="H384" s="1" t="s">
        <v>17</v>
      </c>
      <c r="I384" s="1" t="s">
        <v>12</v>
      </c>
      <c r="J384" s="1">
        <v>0</v>
      </c>
      <c r="K384" s="1" t="s">
        <v>12</v>
      </c>
      <c r="L384" s="1" t="s">
        <v>7</v>
      </c>
      <c r="M384" s="1" t="s">
        <v>873</v>
      </c>
    </row>
    <row r="385" spans="1:13" x14ac:dyDescent="0.35">
      <c r="A385" s="1" t="s">
        <v>873</v>
      </c>
      <c r="B385" s="1" t="s">
        <v>879</v>
      </c>
      <c r="C385" s="1" t="s">
        <v>889</v>
      </c>
      <c r="D385" s="3" t="s">
        <v>881</v>
      </c>
      <c r="E385" s="3" t="s">
        <v>12</v>
      </c>
      <c r="F385" s="3" t="s">
        <v>12</v>
      </c>
      <c r="G385" s="1" t="s">
        <v>17</v>
      </c>
      <c r="H385" s="1" t="s">
        <v>17</v>
      </c>
      <c r="I385" s="1" t="s">
        <v>12</v>
      </c>
      <c r="J385" s="1">
        <v>0</v>
      </c>
      <c r="K385" s="1" t="s">
        <v>12</v>
      </c>
      <c r="L385" s="1" t="s">
        <v>7</v>
      </c>
      <c r="M385" s="1" t="s">
        <v>873</v>
      </c>
    </row>
    <row r="386" spans="1:13" x14ac:dyDescent="0.35">
      <c r="A386" s="1" t="s">
        <v>873</v>
      </c>
      <c r="B386" s="1" t="s">
        <v>879</v>
      </c>
      <c r="C386" s="1" t="s">
        <v>890</v>
      </c>
      <c r="D386" s="3" t="s">
        <v>881</v>
      </c>
      <c r="E386" s="3" t="s">
        <v>12</v>
      </c>
      <c r="F386" s="3" t="s">
        <v>12</v>
      </c>
      <c r="G386" s="1" t="s">
        <v>17</v>
      </c>
      <c r="H386" s="1" t="s">
        <v>17</v>
      </c>
      <c r="I386" s="1" t="s">
        <v>12</v>
      </c>
      <c r="J386" s="1">
        <v>0</v>
      </c>
      <c r="K386" s="1" t="s">
        <v>12</v>
      </c>
      <c r="L386" s="1" t="s">
        <v>7</v>
      </c>
      <c r="M386" s="1" t="s">
        <v>873</v>
      </c>
    </row>
    <row r="387" spans="1:13" x14ac:dyDescent="0.35">
      <c r="A387" s="1" t="s">
        <v>873</v>
      </c>
      <c r="B387" s="1" t="s">
        <v>879</v>
      </c>
      <c r="C387" s="1" t="s">
        <v>891</v>
      </c>
      <c r="D387" s="3" t="s">
        <v>881</v>
      </c>
      <c r="E387" s="3" t="s">
        <v>12</v>
      </c>
      <c r="F387" s="3" t="s">
        <v>12</v>
      </c>
      <c r="G387" s="1" t="s">
        <v>17</v>
      </c>
      <c r="H387" s="1" t="s">
        <v>17</v>
      </c>
      <c r="I387" s="1" t="s">
        <v>12</v>
      </c>
      <c r="J387" s="1">
        <v>0</v>
      </c>
      <c r="K387" s="1" t="s">
        <v>12</v>
      </c>
      <c r="L387" s="1" t="s">
        <v>7</v>
      </c>
      <c r="M387" s="1" t="s">
        <v>873</v>
      </c>
    </row>
    <row r="388" spans="1:13" x14ac:dyDescent="0.35">
      <c r="A388" s="1" t="s">
        <v>873</v>
      </c>
      <c r="B388" s="1" t="s">
        <v>879</v>
      </c>
      <c r="C388" s="1" t="s">
        <v>892</v>
      </c>
      <c r="D388" s="3" t="s">
        <v>881</v>
      </c>
      <c r="E388" s="3" t="s">
        <v>12</v>
      </c>
      <c r="F388" s="3" t="s">
        <v>12</v>
      </c>
      <c r="G388" s="1" t="s">
        <v>17</v>
      </c>
      <c r="H388" s="1" t="s">
        <v>17</v>
      </c>
      <c r="I388" s="1" t="s">
        <v>12</v>
      </c>
      <c r="J388" s="1">
        <v>0</v>
      </c>
      <c r="K388" s="1" t="s">
        <v>12</v>
      </c>
      <c r="L388" s="1" t="s">
        <v>7</v>
      </c>
      <c r="M388" s="1" t="s">
        <v>873</v>
      </c>
    </row>
    <row r="389" spans="1:13" x14ac:dyDescent="0.35">
      <c r="A389" s="1" t="s">
        <v>873</v>
      </c>
      <c r="B389" s="1" t="s">
        <v>879</v>
      </c>
      <c r="C389" s="1" t="s">
        <v>893</v>
      </c>
      <c r="D389" s="3" t="s">
        <v>881</v>
      </c>
      <c r="E389" s="3" t="s">
        <v>12</v>
      </c>
      <c r="F389" s="3" t="s">
        <v>12</v>
      </c>
      <c r="G389" s="1" t="s">
        <v>17</v>
      </c>
      <c r="H389" s="1" t="s">
        <v>17</v>
      </c>
      <c r="I389" s="1" t="s">
        <v>12</v>
      </c>
      <c r="J389" s="1">
        <v>0</v>
      </c>
      <c r="K389" s="1" t="s">
        <v>12</v>
      </c>
      <c r="L389" s="1" t="s">
        <v>7</v>
      </c>
      <c r="M389" s="1" t="s">
        <v>873</v>
      </c>
    </row>
    <row r="390" spans="1:13" x14ac:dyDescent="0.35">
      <c r="A390" s="1" t="s">
        <v>873</v>
      </c>
      <c r="B390" s="1" t="s">
        <v>879</v>
      </c>
      <c r="C390" s="1" t="s">
        <v>894</v>
      </c>
      <c r="D390" s="3" t="s">
        <v>881</v>
      </c>
      <c r="E390" s="3" t="s">
        <v>12</v>
      </c>
      <c r="F390" s="3" t="s">
        <v>12</v>
      </c>
      <c r="G390" s="1" t="s">
        <v>17</v>
      </c>
      <c r="H390" s="1" t="s">
        <v>17</v>
      </c>
      <c r="I390" s="1" t="s">
        <v>12</v>
      </c>
      <c r="J390" s="1">
        <v>0</v>
      </c>
      <c r="K390" s="1" t="s">
        <v>12</v>
      </c>
      <c r="L390" s="1" t="s">
        <v>7</v>
      </c>
      <c r="M390" s="1" t="s">
        <v>873</v>
      </c>
    </row>
    <row r="391" spans="1:13" x14ac:dyDescent="0.35">
      <c r="A391" s="1" t="s">
        <v>873</v>
      </c>
      <c r="B391" s="1" t="s">
        <v>879</v>
      </c>
      <c r="C391" s="1" t="s">
        <v>895</v>
      </c>
      <c r="D391" s="3" t="s">
        <v>881</v>
      </c>
      <c r="E391" s="3" t="s">
        <v>12</v>
      </c>
      <c r="F391" s="3" t="s">
        <v>12</v>
      </c>
      <c r="G391" s="1" t="s">
        <v>17</v>
      </c>
      <c r="H391" s="1" t="s">
        <v>17</v>
      </c>
      <c r="I391" s="1" t="s">
        <v>12</v>
      </c>
      <c r="J391" s="1">
        <v>0</v>
      </c>
      <c r="K391" s="1" t="s">
        <v>12</v>
      </c>
      <c r="L391" s="1" t="s">
        <v>7</v>
      </c>
      <c r="M391" s="1" t="s">
        <v>873</v>
      </c>
    </row>
    <row r="392" spans="1:13" x14ac:dyDescent="0.35">
      <c r="A392" s="1" t="s">
        <v>873</v>
      </c>
      <c r="B392" s="1" t="s">
        <v>879</v>
      </c>
      <c r="C392" s="1" t="s">
        <v>896</v>
      </c>
      <c r="D392" s="3" t="s">
        <v>881</v>
      </c>
      <c r="E392" s="3" t="s">
        <v>12</v>
      </c>
      <c r="F392" s="3" t="s">
        <v>12</v>
      </c>
      <c r="G392" s="1" t="s">
        <v>17</v>
      </c>
      <c r="H392" s="1" t="s">
        <v>17</v>
      </c>
      <c r="I392" s="1" t="s">
        <v>12</v>
      </c>
      <c r="J392" s="1">
        <v>0</v>
      </c>
      <c r="K392" s="1" t="s">
        <v>12</v>
      </c>
      <c r="L392" s="1" t="s">
        <v>7</v>
      </c>
      <c r="M392" s="1" t="s">
        <v>873</v>
      </c>
    </row>
    <row r="393" spans="1:13" x14ac:dyDescent="0.35">
      <c r="A393" s="1" t="s">
        <v>873</v>
      </c>
      <c r="B393" s="1" t="s">
        <v>879</v>
      </c>
      <c r="C393" s="1" t="s">
        <v>897</v>
      </c>
      <c r="D393" s="3" t="s">
        <v>881</v>
      </c>
      <c r="E393" s="3" t="s">
        <v>12</v>
      </c>
      <c r="F393" s="3" t="s">
        <v>12</v>
      </c>
      <c r="G393" s="1" t="s">
        <v>17</v>
      </c>
      <c r="H393" s="1" t="s">
        <v>17</v>
      </c>
      <c r="I393" s="1" t="s">
        <v>12</v>
      </c>
      <c r="J393" s="1">
        <v>0</v>
      </c>
      <c r="K393" s="1" t="s">
        <v>12</v>
      </c>
      <c r="L393" s="1" t="s">
        <v>7</v>
      </c>
      <c r="M393" s="1" t="s">
        <v>873</v>
      </c>
    </row>
    <row r="394" spans="1:13" x14ac:dyDescent="0.35">
      <c r="A394" s="1" t="s">
        <v>873</v>
      </c>
      <c r="B394" s="1" t="s">
        <v>879</v>
      </c>
      <c r="C394" s="1" t="s">
        <v>898</v>
      </c>
      <c r="D394" s="3" t="s">
        <v>881</v>
      </c>
      <c r="E394" s="3" t="s">
        <v>12</v>
      </c>
      <c r="F394" s="3" t="s">
        <v>12</v>
      </c>
      <c r="G394" s="1" t="s">
        <v>17</v>
      </c>
      <c r="H394" s="1" t="s">
        <v>17</v>
      </c>
      <c r="I394" s="1" t="s">
        <v>12</v>
      </c>
      <c r="J394" s="1">
        <v>0</v>
      </c>
      <c r="K394" s="1" t="s">
        <v>12</v>
      </c>
      <c r="L394" s="1" t="s">
        <v>7</v>
      </c>
      <c r="M394" s="1" t="s">
        <v>873</v>
      </c>
    </row>
    <row r="395" spans="1:13" x14ac:dyDescent="0.35">
      <c r="A395" s="1" t="s">
        <v>873</v>
      </c>
      <c r="B395" s="1" t="s">
        <v>879</v>
      </c>
      <c r="C395" s="1" t="s">
        <v>899</v>
      </c>
      <c r="D395" s="3" t="s">
        <v>881</v>
      </c>
      <c r="E395" s="3" t="s">
        <v>12</v>
      </c>
      <c r="F395" s="3" t="s">
        <v>12</v>
      </c>
      <c r="G395" s="1" t="s">
        <v>17</v>
      </c>
      <c r="H395" s="1" t="s">
        <v>17</v>
      </c>
      <c r="I395" s="1" t="s">
        <v>12</v>
      </c>
      <c r="J395" s="1">
        <v>0</v>
      </c>
      <c r="K395" s="1" t="s">
        <v>12</v>
      </c>
      <c r="L395" s="1" t="s">
        <v>7</v>
      </c>
      <c r="M395" s="1" t="s">
        <v>873</v>
      </c>
    </row>
    <row r="396" spans="1:13" x14ac:dyDescent="0.35">
      <c r="A396" s="1" t="s">
        <v>873</v>
      </c>
      <c r="B396" s="1" t="s">
        <v>879</v>
      </c>
      <c r="C396" s="1" t="s">
        <v>900</v>
      </c>
      <c r="D396" s="3" t="s">
        <v>881</v>
      </c>
      <c r="E396" s="3" t="s">
        <v>12</v>
      </c>
      <c r="F396" s="3" t="s">
        <v>12</v>
      </c>
      <c r="G396" s="1" t="s">
        <v>17</v>
      </c>
      <c r="H396" s="1" t="s">
        <v>17</v>
      </c>
      <c r="I396" s="1" t="s">
        <v>12</v>
      </c>
      <c r="J396" s="1">
        <v>0</v>
      </c>
      <c r="K396" s="1" t="s">
        <v>12</v>
      </c>
      <c r="L396" s="1" t="s">
        <v>7</v>
      </c>
      <c r="M396" s="1" t="s">
        <v>873</v>
      </c>
    </row>
    <row r="397" spans="1:13" x14ac:dyDescent="0.35">
      <c r="A397" s="1" t="s">
        <v>873</v>
      </c>
      <c r="B397" s="1" t="s">
        <v>879</v>
      </c>
      <c r="C397" s="1" t="s">
        <v>901</v>
      </c>
      <c r="D397" s="3" t="s">
        <v>881</v>
      </c>
      <c r="E397" s="3" t="s">
        <v>12</v>
      </c>
      <c r="F397" s="3" t="s">
        <v>12</v>
      </c>
      <c r="G397" s="1" t="s">
        <v>17</v>
      </c>
      <c r="H397" s="1" t="s">
        <v>17</v>
      </c>
      <c r="I397" s="1" t="s">
        <v>12</v>
      </c>
      <c r="J397" s="1">
        <v>0</v>
      </c>
      <c r="K397" s="1" t="s">
        <v>12</v>
      </c>
      <c r="L397" s="1" t="s">
        <v>7</v>
      </c>
      <c r="M397" s="1" t="s">
        <v>873</v>
      </c>
    </row>
    <row r="398" spans="1:13" x14ac:dyDescent="0.35">
      <c r="A398" s="1" t="s">
        <v>873</v>
      </c>
      <c r="B398" s="1" t="s">
        <v>879</v>
      </c>
      <c r="C398" s="1" t="s">
        <v>902</v>
      </c>
      <c r="D398" s="3" t="s">
        <v>881</v>
      </c>
      <c r="E398" s="3" t="s">
        <v>12</v>
      </c>
      <c r="F398" s="3" t="s">
        <v>12</v>
      </c>
      <c r="G398" s="1" t="s">
        <v>17</v>
      </c>
      <c r="H398" s="1" t="s">
        <v>17</v>
      </c>
      <c r="I398" s="1" t="s">
        <v>12</v>
      </c>
      <c r="J398" s="1">
        <v>0</v>
      </c>
      <c r="K398" s="1" t="s">
        <v>12</v>
      </c>
      <c r="L398" s="1" t="s">
        <v>7</v>
      </c>
      <c r="M398" s="1" t="s">
        <v>873</v>
      </c>
    </row>
    <row r="399" spans="1:13" x14ac:dyDescent="0.35">
      <c r="A399" s="1" t="s">
        <v>873</v>
      </c>
      <c r="B399" s="1" t="s">
        <v>879</v>
      </c>
      <c r="C399" s="1" t="s">
        <v>903</v>
      </c>
      <c r="D399" s="3" t="s">
        <v>881</v>
      </c>
      <c r="E399" s="3" t="s">
        <v>12</v>
      </c>
      <c r="F399" s="3" t="s">
        <v>12</v>
      </c>
      <c r="G399" s="1" t="s">
        <v>17</v>
      </c>
      <c r="H399" s="1" t="s">
        <v>17</v>
      </c>
      <c r="I399" s="1" t="s">
        <v>12</v>
      </c>
      <c r="J399" s="1">
        <v>0</v>
      </c>
      <c r="K399" s="1" t="s">
        <v>12</v>
      </c>
      <c r="L399" s="1" t="s">
        <v>7</v>
      </c>
      <c r="M399" s="1" t="s">
        <v>873</v>
      </c>
    </row>
    <row r="400" spans="1:13" x14ac:dyDescent="0.35">
      <c r="A400" s="1" t="s">
        <v>873</v>
      </c>
      <c r="B400" s="1" t="s">
        <v>879</v>
      </c>
      <c r="C400" s="1" t="s">
        <v>904</v>
      </c>
      <c r="D400" s="3" t="s">
        <v>881</v>
      </c>
      <c r="E400" s="3" t="s">
        <v>12</v>
      </c>
      <c r="F400" s="3" t="s">
        <v>12</v>
      </c>
      <c r="G400" s="1" t="s">
        <v>17</v>
      </c>
      <c r="H400" s="1" t="s">
        <v>17</v>
      </c>
      <c r="I400" s="1" t="s">
        <v>12</v>
      </c>
      <c r="J400" s="1">
        <v>0</v>
      </c>
      <c r="K400" s="1" t="s">
        <v>12</v>
      </c>
      <c r="L400" s="1" t="s">
        <v>7</v>
      </c>
      <c r="M400" s="1" t="s">
        <v>873</v>
      </c>
    </row>
    <row r="401" spans="1:13" x14ac:dyDescent="0.35">
      <c r="A401" s="1" t="s">
        <v>873</v>
      </c>
      <c r="B401" s="1" t="s">
        <v>879</v>
      </c>
      <c r="C401" s="1" t="s">
        <v>905</v>
      </c>
      <c r="D401" s="3" t="s">
        <v>881</v>
      </c>
      <c r="E401" s="3" t="s">
        <v>12</v>
      </c>
      <c r="F401" s="3" t="s">
        <v>12</v>
      </c>
      <c r="G401" s="1" t="s">
        <v>17</v>
      </c>
      <c r="H401" s="1" t="s">
        <v>17</v>
      </c>
      <c r="I401" s="1" t="s">
        <v>12</v>
      </c>
      <c r="J401" s="1">
        <v>0</v>
      </c>
      <c r="K401" s="1" t="s">
        <v>12</v>
      </c>
      <c r="L401" s="1" t="s">
        <v>7</v>
      </c>
      <c r="M401" s="1" t="s">
        <v>873</v>
      </c>
    </row>
    <row r="402" spans="1:13" x14ac:dyDescent="0.35">
      <c r="A402" s="1" t="s">
        <v>873</v>
      </c>
      <c r="B402" s="1" t="s">
        <v>879</v>
      </c>
      <c r="C402" s="1" t="s">
        <v>906</v>
      </c>
      <c r="D402" s="3" t="s">
        <v>881</v>
      </c>
      <c r="E402" s="3" t="s">
        <v>12</v>
      </c>
      <c r="F402" s="3" t="s">
        <v>12</v>
      </c>
      <c r="G402" s="1" t="s">
        <v>17</v>
      </c>
      <c r="H402" s="1" t="s">
        <v>17</v>
      </c>
      <c r="I402" s="1" t="s">
        <v>12</v>
      </c>
      <c r="J402" s="1">
        <v>0</v>
      </c>
      <c r="K402" s="1" t="s">
        <v>12</v>
      </c>
      <c r="L402" s="1" t="s">
        <v>7</v>
      </c>
      <c r="M402" s="1" t="s">
        <v>873</v>
      </c>
    </row>
    <row r="403" spans="1:13" x14ac:dyDescent="0.35">
      <c r="A403" s="1" t="s">
        <v>873</v>
      </c>
      <c r="B403" s="1" t="s">
        <v>907</v>
      </c>
      <c r="C403" s="1" t="s">
        <v>908</v>
      </c>
      <c r="D403" s="3" t="s">
        <v>909</v>
      </c>
      <c r="E403" s="3">
        <v>20</v>
      </c>
      <c r="F403" s="3" t="s">
        <v>12</v>
      </c>
      <c r="G403" s="1" t="s">
        <v>17</v>
      </c>
      <c r="H403" s="1" t="s">
        <v>17</v>
      </c>
      <c r="I403" s="1" t="s">
        <v>12</v>
      </c>
      <c r="J403" s="1">
        <v>0</v>
      </c>
      <c r="K403" s="1" t="s">
        <v>12</v>
      </c>
      <c r="L403" s="1" t="s">
        <v>7</v>
      </c>
      <c r="M403" s="1" t="s">
        <v>873</v>
      </c>
    </row>
    <row r="404" spans="1:13" x14ac:dyDescent="0.35">
      <c r="A404" s="1" t="s">
        <v>873</v>
      </c>
      <c r="B404" s="1" t="s">
        <v>907</v>
      </c>
      <c r="C404" s="1" t="s">
        <v>910</v>
      </c>
      <c r="D404" s="3" t="s">
        <v>909</v>
      </c>
      <c r="E404" s="3">
        <v>80</v>
      </c>
      <c r="F404" s="3" t="s">
        <v>12</v>
      </c>
      <c r="G404" s="1" t="s">
        <v>17</v>
      </c>
      <c r="H404" s="1" t="s">
        <v>17</v>
      </c>
      <c r="I404" s="1" t="s">
        <v>12</v>
      </c>
      <c r="J404" s="1">
        <v>0</v>
      </c>
      <c r="K404" s="1" t="s">
        <v>12</v>
      </c>
      <c r="L404" s="1" t="s">
        <v>7</v>
      </c>
      <c r="M404" s="1" t="s">
        <v>873</v>
      </c>
    </row>
    <row r="405" spans="1:13" x14ac:dyDescent="0.35">
      <c r="A405" s="1" t="s">
        <v>873</v>
      </c>
      <c r="B405" s="1" t="s">
        <v>911</v>
      </c>
      <c r="C405" s="1" t="s">
        <v>912</v>
      </c>
      <c r="D405" s="3" t="s">
        <v>913</v>
      </c>
      <c r="E405" s="3" t="s">
        <v>12</v>
      </c>
      <c r="F405" s="3" t="s">
        <v>12</v>
      </c>
      <c r="G405" s="1" t="s">
        <v>17</v>
      </c>
      <c r="H405" s="1" t="s">
        <v>17</v>
      </c>
      <c r="I405" s="1" t="s">
        <v>12</v>
      </c>
      <c r="J405" s="1">
        <v>0</v>
      </c>
      <c r="K405" s="1" t="s">
        <v>12</v>
      </c>
      <c r="L405" s="1" t="s">
        <v>7</v>
      </c>
      <c r="M405" s="1" t="s">
        <v>873</v>
      </c>
    </row>
    <row r="406" spans="1:13" x14ac:dyDescent="0.35">
      <c r="A406" s="1" t="s">
        <v>873</v>
      </c>
      <c r="B406" s="1" t="s">
        <v>911</v>
      </c>
      <c r="C406" s="1" t="s">
        <v>914</v>
      </c>
      <c r="D406" s="3" t="s">
        <v>913</v>
      </c>
      <c r="E406" s="3" t="s">
        <v>12</v>
      </c>
      <c r="F406" s="3" t="s">
        <v>12</v>
      </c>
      <c r="G406" s="1" t="s">
        <v>17</v>
      </c>
      <c r="H406" s="1" t="s">
        <v>17</v>
      </c>
      <c r="I406" s="1" t="s">
        <v>12</v>
      </c>
      <c r="J406" s="1">
        <v>0</v>
      </c>
      <c r="K406" s="1" t="s">
        <v>12</v>
      </c>
      <c r="L406" s="1" t="s">
        <v>7</v>
      </c>
      <c r="M406" s="1" t="s">
        <v>873</v>
      </c>
    </row>
    <row r="407" spans="1:13" x14ac:dyDescent="0.35">
      <c r="A407" s="1" t="s">
        <v>873</v>
      </c>
      <c r="B407" s="1" t="s">
        <v>911</v>
      </c>
      <c r="C407" s="1" t="s">
        <v>915</v>
      </c>
      <c r="D407" s="3" t="s">
        <v>913</v>
      </c>
      <c r="E407" s="3" t="s">
        <v>12</v>
      </c>
      <c r="F407" s="3" t="s">
        <v>12</v>
      </c>
      <c r="G407" s="1" t="s">
        <v>17</v>
      </c>
      <c r="H407" s="1" t="s">
        <v>17</v>
      </c>
      <c r="I407" s="1" t="s">
        <v>12</v>
      </c>
      <c r="J407" s="1">
        <v>0</v>
      </c>
      <c r="K407" s="1" t="s">
        <v>12</v>
      </c>
      <c r="L407" s="1" t="s">
        <v>7</v>
      </c>
      <c r="M407" s="1" t="s">
        <v>873</v>
      </c>
    </row>
    <row r="408" spans="1:13" x14ac:dyDescent="0.35">
      <c r="A408" s="1" t="s">
        <v>873</v>
      </c>
      <c r="B408" s="1" t="s">
        <v>916</v>
      </c>
      <c r="C408" s="1" t="s">
        <v>581</v>
      </c>
      <c r="D408" s="3" t="s">
        <v>917</v>
      </c>
      <c r="E408" s="3">
        <v>15</v>
      </c>
      <c r="F408" s="3" t="s">
        <v>12</v>
      </c>
      <c r="G408" s="1" t="s">
        <v>17</v>
      </c>
      <c r="H408" s="1" t="s">
        <v>17</v>
      </c>
      <c r="I408" s="1" t="s">
        <v>12</v>
      </c>
      <c r="J408" s="1">
        <v>0</v>
      </c>
      <c r="K408" s="1" t="s">
        <v>12</v>
      </c>
      <c r="L408" s="1" t="s">
        <v>7</v>
      </c>
      <c r="M408" s="1" t="s">
        <v>873</v>
      </c>
    </row>
    <row r="409" spans="1:13" x14ac:dyDescent="0.35">
      <c r="A409" s="1" t="s">
        <v>873</v>
      </c>
      <c r="B409" s="1" t="s">
        <v>916</v>
      </c>
      <c r="C409" s="1" t="s">
        <v>918</v>
      </c>
      <c r="D409" s="3" t="s">
        <v>917</v>
      </c>
      <c r="E409" s="3">
        <v>35</v>
      </c>
      <c r="F409" s="3" t="s">
        <v>12</v>
      </c>
      <c r="G409" s="1" t="s">
        <v>17</v>
      </c>
      <c r="H409" s="1" t="s">
        <v>17</v>
      </c>
      <c r="I409" s="1" t="s">
        <v>12</v>
      </c>
      <c r="J409" s="1">
        <v>0</v>
      </c>
      <c r="K409" s="1" t="s">
        <v>12</v>
      </c>
      <c r="L409" s="1" t="s">
        <v>7</v>
      </c>
      <c r="M409" s="1" t="s">
        <v>873</v>
      </c>
    </row>
    <row r="410" spans="1:13" x14ac:dyDescent="0.35">
      <c r="A410" s="1" t="s">
        <v>873</v>
      </c>
      <c r="B410" s="1" t="s">
        <v>916</v>
      </c>
      <c r="C410" s="1" t="s">
        <v>919</v>
      </c>
      <c r="D410" s="3" t="s">
        <v>917</v>
      </c>
      <c r="E410" s="3">
        <v>18</v>
      </c>
      <c r="F410" s="3" t="s">
        <v>12</v>
      </c>
      <c r="G410" s="1" t="s">
        <v>17</v>
      </c>
      <c r="H410" s="1" t="s">
        <v>17</v>
      </c>
      <c r="I410" s="1" t="s">
        <v>12</v>
      </c>
      <c r="J410" s="1">
        <v>0</v>
      </c>
      <c r="K410" s="1" t="s">
        <v>12</v>
      </c>
      <c r="L410" s="1" t="s">
        <v>7</v>
      </c>
      <c r="M410" s="1" t="s">
        <v>873</v>
      </c>
    </row>
    <row r="411" spans="1:13" x14ac:dyDescent="0.35">
      <c r="A411" s="1" t="s">
        <v>873</v>
      </c>
      <c r="B411" s="1" t="s">
        <v>916</v>
      </c>
      <c r="C411" s="1" t="s">
        <v>920</v>
      </c>
      <c r="D411" s="3" t="s">
        <v>917</v>
      </c>
      <c r="E411" s="3">
        <v>32</v>
      </c>
      <c r="F411" s="3" t="s">
        <v>12</v>
      </c>
      <c r="G411" s="1" t="s">
        <v>17</v>
      </c>
      <c r="H411" s="1" t="s">
        <v>17</v>
      </c>
      <c r="I411" s="1" t="s">
        <v>12</v>
      </c>
      <c r="J411" s="1">
        <v>0</v>
      </c>
      <c r="K411" s="1" t="s">
        <v>12</v>
      </c>
      <c r="L411" s="1" t="s">
        <v>7</v>
      </c>
      <c r="M411" s="1" t="s">
        <v>873</v>
      </c>
    </row>
    <row r="412" spans="1:13" x14ac:dyDescent="0.35">
      <c r="A412" s="1" t="s">
        <v>873</v>
      </c>
      <c r="B412" s="1" t="s">
        <v>921</v>
      </c>
      <c r="C412" s="1" t="s">
        <v>922</v>
      </c>
      <c r="D412" s="3" t="s">
        <v>923</v>
      </c>
      <c r="E412" s="3" t="s">
        <v>12</v>
      </c>
      <c r="F412" s="3" t="s">
        <v>12</v>
      </c>
      <c r="G412" s="1" t="s">
        <v>17</v>
      </c>
      <c r="H412" s="1" t="s">
        <v>17</v>
      </c>
      <c r="I412" s="1" t="s">
        <v>12</v>
      </c>
      <c r="J412" s="1">
        <v>0</v>
      </c>
      <c r="K412" s="1" t="s">
        <v>12</v>
      </c>
      <c r="L412" s="1" t="s">
        <v>7</v>
      </c>
      <c r="M412" s="1" t="s">
        <v>873</v>
      </c>
    </row>
    <row r="413" spans="1:13" x14ac:dyDescent="0.35">
      <c r="A413" s="1" t="s">
        <v>873</v>
      </c>
      <c r="B413" s="1" t="s">
        <v>921</v>
      </c>
      <c r="C413" s="1" t="s">
        <v>924</v>
      </c>
      <c r="D413" s="3" t="s">
        <v>923</v>
      </c>
      <c r="E413" s="3" t="s">
        <v>12</v>
      </c>
      <c r="F413" s="3" t="s">
        <v>12</v>
      </c>
      <c r="G413" s="1" t="s">
        <v>17</v>
      </c>
      <c r="H413" s="1" t="s">
        <v>17</v>
      </c>
      <c r="I413" s="1" t="s">
        <v>12</v>
      </c>
      <c r="J413" s="1">
        <v>0</v>
      </c>
      <c r="K413" s="1" t="s">
        <v>12</v>
      </c>
      <c r="L413" s="1" t="s">
        <v>7</v>
      </c>
      <c r="M413" s="1" t="s">
        <v>873</v>
      </c>
    </row>
    <row r="414" spans="1:13" x14ac:dyDescent="0.35">
      <c r="A414" s="1" t="s">
        <v>873</v>
      </c>
      <c r="B414" s="1" t="s">
        <v>921</v>
      </c>
      <c r="C414" s="1" t="s">
        <v>925</v>
      </c>
      <c r="D414" s="3" t="s">
        <v>923</v>
      </c>
      <c r="E414" s="3" t="s">
        <v>12</v>
      </c>
      <c r="F414" s="3" t="s">
        <v>12</v>
      </c>
      <c r="G414" s="1" t="s">
        <v>17</v>
      </c>
      <c r="H414" s="1" t="s">
        <v>17</v>
      </c>
      <c r="I414" s="1" t="s">
        <v>12</v>
      </c>
      <c r="J414" s="1">
        <v>0</v>
      </c>
      <c r="K414" s="1" t="s">
        <v>12</v>
      </c>
      <c r="L414" s="1" t="s">
        <v>7</v>
      </c>
      <c r="M414" s="1" t="s">
        <v>873</v>
      </c>
    </row>
    <row r="415" spans="1:13" x14ac:dyDescent="0.35">
      <c r="A415" s="1" t="s">
        <v>873</v>
      </c>
      <c r="B415" s="1" t="s">
        <v>921</v>
      </c>
      <c r="C415" s="1" t="s">
        <v>926</v>
      </c>
      <c r="D415" s="3" t="s">
        <v>923</v>
      </c>
      <c r="E415" s="3" t="s">
        <v>12</v>
      </c>
      <c r="F415" s="3" t="s">
        <v>12</v>
      </c>
      <c r="G415" s="1" t="s">
        <v>17</v>
      </c>
      <c r="H415" s="1" t="s">
        <v>17</v>
      </c>
      <c r="I415" s="1" t="s">
        <v>12</v>
      </c>
      <c r="J415" s="1">
        <v>0</v>
      </c>
      <c r="K415" s="1" t="s">
        <v>12</v>
      </c>
      <c r="L415" s="1" t="s">
        <v>7</v>
      </c>
      <c r="M415" s="1" t="s">
        <v>873</v>
      </c>
    </row>
    <row r="416" spans="1:13" x14ac:dyDescent="0.35">
      <c r="A416" s="1" t="s">
        <v>873</v>
      </c>
      <c r="B416" s="1" t="s">
        <v>921</v>
      </c>
      <c r="C416" s="1" t="s">
        <v>927</v>
      </c>
      <c r="D416" s="3" t="s">
        <v>923</v>
      </c>
      <c r="E416" s="3" t="s">
        <v>12</v>
      </c>
      <c r="F416" s="3" t="s">
        <v>12</v>
      </c>
      <c r="G416" s="1" t="s">
        <v>17</v>
      </c>
      <c r="H416" s="1" t="s">
        <v>17</v>
      </c>
      <c r="I416" s="1" t="s">
        <v>12</v>
      </c>
      <c r="J416" s="1">
        <v>0</v>
      </c>
      <c r="K416" s="1" t="s">
        <v>12</v>
      </c>
      <c r="L416" s="1" t="s">
        <v>7</v>
      </c>
      <c r="M416" s="1" t="s">
        <v>873</v>
      </c>
    </row>
    <row r="417" spans="1:13" x14ac:dyDescent="0.35">
      <c r="A417" s="1" t="s">
        <v>873</v>
      </c>
      <c r="B417" s="1" t="s">
        <v>921</v>
      </c>
      <c r="C417" s="1" t="s">
        <v>928</v>
      </c>
      <c r="D417" s="3" t="s">
        <v>923</v>
      </c>
      <c r="E417" s="3" t="s">
        <v>12</v>
      </c>
      <c r="F417" s="3" t="s">
        <v>12</v>
      </c>
      <c r="G417" s="1" t="s">
        <v>17</v>
      </c>
      <c r="H417" s="1" t="s">
        <v>17</v>
      </c>
      <c r="I417" s="1" t="s">
        <v>12</v>
      </c>
      <c r="J417" s="1">
        <v>0</v>
      </c>
      <c r="K417" s="1" t="s">
        <v>12</v>
      </c>
      <c r="L417" s="1" t="s">
        <v>7</v>
      </c>
      <c r="M417" s="1" t="s">
        <v>873</v>
      </c>
    </row>
    <row r="418" spans="1:13" x14ac:dyDescent="0.35">
      <c r="A418" s="1" t="s">
        <v>873</v>
      </c>
      <c r="B418" s="1" t="s">
        <v>929</v>
      </c>
      <c r="C418" s="1" t="s">
        <v>930</v>
      </c>
      <c r="D418" s="3" t="s">
        <v>931</v>
      </c>
      <c r="E418" s="3">
        <v>100</v>
      </c>
      <c r="F418" s="3" t="s">
        <v>12</v>
      </c>
      <c r="G418" s="1" t="s">
        <v>17</v>
      </c>
      <c r="H418" s="1" t="s">
        <v>17</v>
      </c>
      <c r="I418" s="1" t="s">
        <v>12</v>
      </c>
      <c r="J418" s="1">
        <v>0</v>
      </c>
      <c r="K418" s="1" t="s">
        <v>12</v>
      </c>
      <c r="L418" s="1" t="s">
        <v>7</v>
      </c>
      <c r="M418" s="1" t="s">
        <v>873</v>
      </c>
    </row>
    <row r="419" spans="1:13" x14ac:dyDescent="0.35">
      <c r="A419" s="1" t="s">
        <v>873</v>
      </c>
      <c r="B419" s="1" t="s">
        <v>932</v>
      </c>
      <c r="C419" s="1" t="s">
        <v>908</v>
      </c>
      <c r="D419" s="3" t="s">
        <v>933</v>
      </c>
      <c r="E419" s="3">
        <v>100</v>
      </c>
      <c r="F419" s="3" t="s">
        <v>12</v>
      </c>
      <c r="G419" s="1" t="s">
        <v>17</v>
      </c>
      <c r="H419" s="1" t="s">
        <v>17</v>
      </c>
      <c r="I419" s="1" t="s">
        <v>12</v>
      </c>
      <c r="J419" s="1">
        <v>0</v>
      </c>
      <c r="K419" s="1" t="s">
        <v>12</v>
      </c>
      <c r="L419" s="1" t="s">
        <v>7</v>
      </c>
      <c r="M419" s="1" t="s">
        <v>873</v>
      </c>
    </row>
    <row r="420" spans="1:13" x14ac:dyDescent="0.35">
      <c r="A420" s="1" t="s">
        <v>873</v>
      </c>
      <c r="B420" s="1" t="s">
        <v>934</v>
      </c>
      <c r="C420" s="1" t="s">
        <v>935</v>
      </c>
      <c r="D420" s="3" t="s">
        <v>936</v>
      </c>
      <c r="E420" s="3" t="s">
        <v>12</v>
      </c>
      <c r="F420" s="3" t="s">
        <v>12</v>
      </c>
      <c r="G420" s="1" t="s">
        <v>17</v>
      </c>
      <c r="H420" s="1" t="s">
        <v>17</v>
      </c>
      <c r="I420" s="1" t="s">
        <v>12</v>
      </c>
      <c r="J420" s="1">
        <v>0</v>
      </c>
      <c r="K420" s="1" t="s">
        <v>12</v>
      </c>
      <c r="L420" s="1" t="s">
        <v>7</v>
      </c>
      <c r="M420" s="1" t="s">
        <v>873</v>
      </c>
    </row>
    <row r="421" spans="1:13" x14ac:dyDescent="0.35">
      <c r="A421" s="1" t="s">
        <v>873</v>
      </c>
      <c r="B421" s="1" t="s">
        <v>934</v>
      </c>
      <c r="C421" s="1" t="s">
        <v>937</v>
      </c>
      <c r="D421" s="3" t="s">
        <v>936</v>
      </c>
      <c r="E421" s="3" t="s">
        <v>12</v>
      </c>
      <c r="F421" s="3" t="s">
        <v>12</v>
      </c>
      <c r="G421" s="1" t="s">
        <v>17</v>
      </c>
      <c r="H421" s="1" t="s">
        <v>17</v>
      </c>
      <c r="I421" s="1" t="s">
        <v>12</v>
      </c>
      <c r="J421" s="1">
        <v>0</v>
      </c>
      <c r="K421" s="1" t="s">
        <v>12</v>
      </c>
      <c r="L421" s="1" t="s">
        <v>7</v>
      </c>
      <c r="M421" s="1" t="s">
        <v>873</v>
      </c>
    </row>
    <row r="422" spans="1:13" x14ac:dyDescent="0.35">
      <c r="A422" s="1" t="s">
        <v>873</v>
      </c>
      <c r="B422" s="1" t="s">
        <v>934</v>
      </c>
      <c r="C422" s="1" t="s">
        <v>938</v>
      </c>
      <c r="D422" s="3" t="s">
        <v>936</v>
      </c>
      <c r="E422" s="3" t="s">
        <v>12</v>
      </c>
      <c r="F422" s="3" t="s">
        <v>12</v>
      </c>
      <c r="G422" s="1" t="s">
        <v>17</v>
      </c>
      <c r="H422" s="1" t="s">
        <v>17</v>
      </c>
      <c r="I422" s="1" t="s">
        <v>12</v>
      </c>
      <c r="J422" s="1">
        <v>0</v>
      </c>
      <c r="K422" s="1" t="s">
        <v>12</v>
      </c>
      <c r="L422" s="1" t="s">
        <v>7</v>
      </c>
      <c r="M422" s="1" t="s">
        <v>873</v>
      </c>
    </row>
    <row r="423" spans="1:13" x14ac:dyDescent="0.35">
      <c r="A423" s="1" t="s">
        <v>873</v>
      </c>
      <c r="B423" s="1" t="s">
        <v>944</v>
      </c>
      <c r="C423" s="1" t="s">
        <v>945</v>
      </c>
      <c r="D423" s="3" t="s">
        <v>946</v>
      </c>
      <c r="E423" s="3" t="s">
        <v>12</v>
      </c>
      <c r="F423" s="3" t="s">
        <v>12</v>
      </c>
      <c r="G423" s="1" t="s">
        <v>17</v>
      </c>
      <c r="H423" s="1" t="s">
        <v>17</v>
      </c>
      <c r="I423" s="1" t="s">
        <v>12</v>
      </c>
      <c r="J423" s="1">
        <v>0</v>
      </c>
      <c r="K423" s="1" t="s">
        <v>12</v>
      </c>
      <c r="L423" s="1" t="s">
        <v>7</v>
      </c>
      <c r="M423" s="1" t="s">
        <v>873</v>
      </c>
    </row>
    <row r="424" spans="1:13" x14ac:dyDescent="0.35">
      <c r="A424" s="1" t="s">
        <v>873</v>
      </c>
      <c r="B424" s="1" t="s">
        <v>944</v>
      </c>
      <c r="C424" s="1" t="s">
        <v>947</v>
      </c>
      <c r="D424" s="3" t="s">
        <v>946</v>
      </c>
      <c r="E424" s="3" t="s">
        <v>12</v>
      </c>
      <c r="F424" s="3" t="s">
        <v>12</v>
      </c>
      <c r="G424" s="1" t="s">
        <v>17</v>
      </c>
      <c r="H424" s="1" t="s">
        <v>17</v>
      </c>
      <c r="I424" s="1" t="s">
        <v>12</v>
      </c>
      <c r="J424" s="1">
        <v>0</v>
      </c>
      <c r="K424" s="1" t="s">
        <v>12</v>
      </c>
      <c r="L424" s="1" t="s">
        <v>7</v>
      </c>
      <c r="M424" s="1" t="s">
        <v>873</v>
      </c>
    </row>
    <row r="425" spans="1:13" x14ac:dyDescent="0.35">
      <c r="A425" s="1" t="s">
        <v>873</v>
      </c>
      <c r="B425" s="1" t="s">
        <v>944</v>
      </c>
      <c r="C425" s="1" t="s">
        <v>948</v>
      </c>
      <c r="D425" s="3" t="s">
        <v>946</v>
      </c>
      <c r="E425" s="3" t="s">
        <v>12</v>
      </c>
      <c r="F425" s="3" t="s">
        <v>12</v>
      </c>
      <c r="G425" s="1" t="s">
        <v>17</v>
      </c>
      <c r="H425" s="1" t="s">
        <v>17</v>
      </c>
      <c r="I425" s="1" t="s">
        <v>12</v>
      </c>
      <c r="J425" s="1">
        <v>0</v>
      </c>
      <c r="K425" s="1" t="s">
        <v>12</v>
      </c>
      <c r="L425" s="1" t="s">
        <v>7</v>
      </c>
      <c r="M425" s="1" t="s">
        <v>873</v>
      </c>
    </row>
    <row r="426" spans="1:13" x14ac:dyDescent="0.35">
      <c r="A426" s="1" t="s">
        <v>873</v>
      </c>
      <c r="B426" s="1" t="s">
        <v>949</v>
      </c>
      <c r="C426" s="1" t="s">
        <v>950</v>
      </c>
      <c r="D426" s="3" t="s">
        <v>951</v>
      </c>
      <c r="E426" s="3" t="s">
        <v>12</v>
      </c>
      <c r="F426" s="3" t="s">
        <v>12</v>
      </c>
      <c r="G426" s="1" t="s">
        <v>17</v>
      </c>
      <c r="H426" s="1" t="s">
        <v>17</v>
      </c>
      <c r="I426" s="1" t="s">
        <v>12</v>
      </c>
      <c r="J426" s="1">
        <v>0</v>
      </c>
      <c r="K426" s="1" t="s">
        <v>12</v>
      </c>
      <c r="L426" s="1" t="s">
        <v>7</v>
      </c>
      <c r="M426" s="1" t="s">
        <v>873</v>
      </c>
    </row>
    <row r="427" spans="1:13" x14ac:dyDescent="0.35">
      <c r="A427" s="1" t="s">
        <v>873</v>
      </c>
      <c r="B427" s="1" t="s">
        <v>949</v>
      </c>
      <c r="C427" s="1" t="s">
        <v>952</v>
      </c>
      <c r="D427" s="3" t="s">
        <v>951</v>
      </c>
      <c r="E427" s="3" t="s">
        <v>12</v>
      </c>
      <c r="F427" s="3" t="s">
        <v>12</v>
      </c>
      <c r="G427" s="1" t="s">
        <v>17</v>
      </c>
      <c r="H427" s="1" t="s">
        <v>17</v>
      </c>
      <c r="I427" s="1" t="s">
        <v>12</v>
      </c>
      <c r="J427" s="1">
        <v>0</v>
      </c>
      <c r="K427" s="1" t="s">
        <v>12</v>
      </c>
      <c r="L427" s="1" t="s">
        <v>7</v>
      </c>
      <c r="M427" s="1" t="s">
        <v>873</v>
      </c>
    </row>
    <row r="428" spans="1:13" x14ac:dyDescent="0.35">
      <c r="A428" s="1" t="s">
        <v>873</v>
      </c>
      <c r="B428" s="1" t="s">
        <v>949</v>
      </c>
      <c r="C428" s="1" t="s">
        <v>930</v>
      </c>
      <c r="D428" s="3" t="s">
        <v>951</v>
      </c>
      <c r="E428" s="3" t="s">
        <v>12</v>
      </c>
      <c r="F428" s="3" t="s">
        <v>12</v>
      </c>
      <c r="G428" s="1" t="s">
        <v>17</v>
      </c>
      <c r="H428" s="1" t="s">
        <v>17</v>
      </c>
      <c r="I428" s="1" t="s">
        <v>12</v>
      </c>
      <c r="J428" s="1">
        <v>0</v>
      </c>
      <c r="K428" s="1" t="s">
        <v>12</v>
      </c>
      <c r="L428" s="1" t="s">
        <v>7</v>
      </c>
      <c r="M428" s="1" t="s">
        <v>873</v>
      </c>
    </row>
    <row r="429" spans="1:13" x14ac:dyDescent="0.35">
      <c r="A429" s="1" t="s">
        <v>873</v>
      </c>
      <c r="B429" s="1" t="s">
        <v>953</v>
      </c>
      <c r="C429" s="1" t="s">
        <v>954</v>
      </c>
      <c r="D429" s="3" t="s">
        <v>955</v>
      </c>
      <c r="E429" s="3" t="s">
        <v>12</v>
      </c>
      <c r="F429" s="3" t="s">
        <v>12</v>
      </c>
      <c r="G429" s="1" t="s">
        <v>17</v>
      </c>
      <c r="H429" s="1" t="s">
        <v>17</v>
      </c>
      <c r="I429" s="1" t="s">
        <v>12</v>
      </c>
      <c r="J429" s="1">
        <v>0</v>
      </c>
      <c r="K429" s="1" t="s">
        <v>12</v>
      </c>
      <c r="L429" s="1" t="s">
        <v>7</v>
      </c>
      <c r="M429" s="1" t="s">
        <v>873</v>
      </c>
    </row>
    <row r="430" spans="1:13" x14ac:dyDescent="0.35">
      <c r="A430" s="1" t="s">
        <v>873</v>
      </c>
      <c r="B430" s="1" t="s">
        <v>953</v>
      </c>
      <c r="C430" s="1" t="s">
        <v>956</v>
      </c>
      <c r="D430" s="3" t="s">
        <v>955</v>
      </c>
      <c r="E430" s="3" t="s">
        <v>12</v>
      </c>
      <c r="F430" s="3" t="s">
        <v>12</v>
      </c>
      <c r="G430" s="1" t="s">
        <v>17</v>
      </c>
      <c r="H430" s="1" t="s">
        <v>17</v>
      </c>
      <c r="I430" s="1" t="s">
        <v>12</v>
      </c>
      <c r="J430" s="1">
        <v>0</v>
      </c>
      <c r="K430" s="1" t="s">
        <v>12</v>
      </c>
      <c r="L430" s="1" t="s">
        <v>7</v>
      </c>
      <c r="M430" s="1" t="s">
        <v>873</v>
      </c>
    </row>
    <row r="431" spans="1:13" x14ac:dyDescent="0.35">
      <c r="A431" s="1" t="s">
        <v>873</v>
      </c>
      <c r="B431" s="1" t="s">
        <v>953</v>
      </c>
      <c r="C431" s="1" t="s">
        <v>957</v>
      </c>
      <c r="D431" s="3" t="s">
        <v>955</v>
      </c>
      <c r="E431" s="3" t="s">
        <v>12</v>
      </c>
      <c r="F431" s="3" t="s">
        <v>12</v>
      </c>
      <c r="G431" s="1" t="s">
        <v>17</v>
      </c>
      <c r="H431" s="1" t="s">
        <v>17</v>
      </c>
      <c r="I431" s="1" t="s">
        <v>12</v>
      </c>
      <c r="J431" s="1">
        <v>0</v>
      </c>
      <c r="K431" s="1" t="s">
        <v>12</v>
      </c>
      <c r="L431" s="1" t="s">
        <v>7</v>
      </c>
      <c r="M431" s="1" t="s">
        <v>873</v>
      </c>
    </row>
    <row r="432" spans="1:13" x14ac:dyDescent="0.35">
      <c r="A432" s="1" t="s">
        <v>873</v>
      </c>
      <c r="B432" s="1" t="s">
        <v>953</v>
      </c>
      <c r="C432" s="1" t="s">
        <v>958</v>
      </c>
      <c r="D432" s="3" t="s">
        <v>955</v>
      </c>
      <c r="E432" s="3" t="s">
        <v>12</v>
      </c>
      <c r="F432" s="3" t="s">
        <v>12</v>
      </c>
      <c r="G432" s="1" t="s">
        <v>17</v>
      </c>
      <c r="H432" s="1" t="s">
        <v>17</v>
      </c>
      <c r="I432" s="1" t="s">
        <v>12</v>
      </c>
      <c r="J432" s="1">
        <v>0</v>
      </c>
      <c r="K432" s="1" t="s">
        <v>12</v>
      </c>
      <c r="L432" s="1" t="s">
        <v>7</v>
      </c>
      <c r="M432" s="1" t="s">
        <v>873</v>
      </c>
    </row>
    <row r="433" spans="1:13" x14ac:dyDescent="0.35">
      <c r="A433" s="1" t="s">
        <v>873</v>
      </c>
      <c r="B433" s="1" t="s">
        <v>953</v>
      </c>
      <c r="C433" s="1" t="s">
        <v>959</v>
      </c>
      <c r="D433" s="3" t="s">
        <v>955</v>
      </c>
      <c r="E433" s="3" t="s">
        <v>12</v>
      </c>
      <c r="F433" s="3" t="s">
        <v>12</v>
      </c>
      <c r="G433" s="1" t="s">
        <v>17</v>
      </c>
      <c r="H433" s="1" t="s">
        <v>17</v>
      </c>
      <c r="I433" s="1" t="s">
        <v>12</v>
      </c>
      <c r="J433" s="1">
        <v>0</v>
      </c>
      <c r="K433" s="1" t="s">
        <v>12</v>
      </c>
      <c r="L433" s="1" t="s">
        <v>7</v>
      </c>
      <c r="M433" s="1" t="s">
        <v>873</v>
      </c>
    </row>
    <row r="434" spans="1:13" x14ac:dyDescent="0.35">
      <c r="A434" s="1" t="s">
        <v>873</v>
      </c>
      <c r="B434" s="1" t="s">
        <v>953</v>
      </c>
      <c r="C434" s="1" t="s">
        <v>890</v>
      </c>
      <c r="D434" s="3" t="s">
        <v>955</v>
      </c>
      <c r="E434" s="3" t="s">
        <v>12</v>
      </c>
      <c r="F434" s="3" t="s">
        <v>12</v>
      </c>
      <c r="G434" s="1" t="s">
        <v>17</v>
      </c>
      <c r="H434" s="1" t="s">
        <v>17</v>
      </c>
      <c r="I434" s="1" t="s">
        <v>12</v>
      </c>
      <c r="J434" s="1">
        <v>0</v>
      </c>
      <c r="K434" s="1" t="s">
        <v>12</v>
      </c>
      <c r="L434" s="1" t="s">
        <v>7</v>
      </c>
      <c r="M434" s="1" t="s">
        <v>873</v>
      </c>
    </row>
    <row r="435" spans="1:13" x14ac:dyDescent="0.35">
      <c r="A435" s="1" t="s">
        <v>873</v>
      </c>
      <c r="B435" s="1" t="s">
        <v>953</v>
      </c>
      <c r="C435" s="1" t="s">
        <v>960</v>
      </c>
      <c r="D435" s="3" t="s">
        <v>955</v>
      </c>
      <c r="E435" s="3" t="s">
        <v>12</v>
      </c>
      <c r="F435" s="3" t="s">
        <v>12</v>
      </c>
      <c r="G435" s="1" t="s">
        <v>17</v>
      </c>
      <c r="H435" s="1" t="s">
        <v>17</v>
      </c>
      <c r="I435" s="1" t="s">
        <v>12</v>
      </c>
      <c r="J435" s="1">
        <v>0</v>
      </c>
      <c r="K435" s="1" t="s">
        <v>12</v>
      </c>
      <c r="L435" s="1" t="s">
        <v>7</v>
      </c>
      <c r="M435" s="1" t="s">
        <v>873</v>
      </c>
    </row>
    <row r="436" spans="1:13" x14ac:dyDescent="0.35">
      <c r="A436" s="1" t="s">
        <v>873</v>
      </c>
      <c r="B436" s="1" t="s">
        <v>953</v>
      </c>
      <c r="C436" s="1" t="s">
        <v>961</v>
      </c>
      <c r="D436" s="3" t="s">
        <v>955</v>
      </c>
      <c r="E436" s="3" t="s">
        <v>12</v>
      </c>
      <c r="F436" s="3" t="s">
        <v>12</v>
      </c>
      <c r="G436" s="1" t="s">
        <v>17</v>
      </c>
      <c r="H436" s="1" t="s">
        <v>17</v>
      </c>
      <c r="I436" s="1" t="s">
        <v>12</v>
      </c>
      <c r="J436" s="1">
        <v>0</v>
      </c>
      <c r="K436" s="1" t="s">
        <v>12</v>
      </c>
      <c r="L436" s="1" t="s">
        <v>7</v>
      </c>
      <c r="M436" s="1" t="s">
        <v>873</v>
      </c>
    </row>
    <row r="437" spans="1:13" x14ac:dyDescent="0.35">
      <c r="A437" s="1" t="s">
        <v>873</v>
      </c>
      <c r="B437" s="1" t="s">
        <v>953</v>
      </c>
      <c r="C437" s="1" t="s">
        <v>962</v>
      </c>
      <c r="D437" s="3" t="s">
        <v>955</v>
      </c>
      <c r="E437" s="3" t="s">
        <v>12</v>
      </c>
      <c r="F437" s="3" t="s">
        <v>12</v>
      </c>
      <c r="G437" s="1" t="s">
        <v>17</v>
      </c>
      <c r="H437" s="1" t="s">
        <v>17</v>
      </c>
      <c r="I437" s="1" t="s">
        <v>12</v>
      </c>
      <c r="J437" s="1">
        <v>0</v>
      </c>
      <c r="K437" s="1" t="s">
        <v>12</v>
      </c>
      <c r="L437" s="1" t="s">
        <v>7</v>
      </c>
      <c r="M437" s="1" t="s">
        <v>873</v>
      </c>
    </row>
    <row r="438" spans="1:13" x14ac:dyDescent="0.35">
      <c r="A438" s="1" t="s">
        <v>8</v>
      </c>
      <c r="B438" s="1" t="s">
        <v>296</v>
      </c>
      <c r="C438" s="1" t="s">
        <v>297</v>
      </c>
      <c r="D438" s="3" t="s">
        <v>298</v>
      </c>
      <c r="E438" s="3">
        <v>100</v>
      </c>
      <c r="F438" s="3" t="s">
        <v>12</v>
      </c>
      <c r="G438" s="1" t="s">
        <v>17</v>
      </c>
      <c r="H438" s="1" t="s">
        <v>17</v>
      </c>
      <c r="I438" s="1" t="s">
        <v>12</v>
      </c>
      <c r="J438" s="1">
        <v>0</v>
      </c>
      <c r="K438" s="1" t="s">
        <v>12</v>
      </c>
      <c r="L438" s="1" t="s">
        <v>7</v>
      </c>
      <c r="M438" s="1" t="s">
        <v>8</v>
      </c>
    </row>
    <row r="439" spans="1:13" x14ac:dyDescent="0.35">
      <c r="A439" s="1" t="s">
        <v>8</v>
      </c>
      <c r="B439" s="1" t="s">
        <v>448</v>
      </c>
      <c r="C439" s="1" t="s">
        <v>448</v>
      </c>
      <c r="D439" s="3" t="s">
        <v>449</v>
      </c>
      <c r="E439" s="3">
        <v>100</v>
      </c>
      <c r="F439" s="3">
        <v>100</v>
      </c>
      <c r="G439" s="1" t="s">
        <v>17</v>
      </c>
      <c r="H439" s="1" t="s">
        <v>17</v>
      </c>
      <c r="I439" s="1" t="s">
        <v>12</v>
      </c>
      <c r="J439" s="1">
        <v>0</v>
      </c>
      <c r="K439" s="1" t="s">
        <v>12</v>
      </c>
      <c r="L439" s="1" t="s">
        <v>7</v>
      </c>
      <c r="M439" s="1" t="s">
        <v>8</v>
      </c>
    </row>
    <row r="440" spans="1:13" x14ac:dyDescent="0.35">
      <c r="A440" s="1" t="s">
        <v>873</v>
      </c>
      <c r="B440" s="1" t="s">
        <v>953</v>
      </c>
      <c r="C440" s="1" t="s">
        <v>963</v>
      </c>
      <c r="D440" s="3" t="s">
        <v>955</v>
      </c>
      <c r="E440" s="3" t="s">
        <v>12</v>
      </c>
      <c r="F440" s="3" t="s">
        <v>12</v>
      </c>
      <c r="G440" s="1" t="s">
        <v>17</v>
      </c>
      <c r="H440" s="1" t="s">
        <v>17</v>
      </c>
      <c r="I440" s="1" t="s">
        <v>12</v>
      </c>
      <c r="J440" s="1">
        <v>0</v>
      </c>
      <c r="K440" s="1" t="s">
        <v>12</v>
      </c>
      <c r="L440" s="1" t="s">
        <v>7</v>
      </c>
      <c r="M440" s="1" t="s">
        <v>873</v>
      </c>
    </row>
    <row r="441" spans="1:13" x14ac:dyDescent="0.35">
      <c r="A441" s="1" t="s">
        <v>873</v>
      </c>
      <c r="B441" s="1" t="s">
        <v>953</v>
      </c>
      <c r="C441" s="1" t="s">
        <v>964</v>
      </c>
      <c r="D441" s="3" t="s">
        <v>955</v>
      </c>
      <c r="E441" s="3" t="s">
        <v>12</v>
      </c>
      <c r="F441" s="3" t="s">
        <v>12</v>
      </c>
      <c r="G441" s="1" t="s">
        <v>17</v>
      </c>
      <c r="H441" s="1" t="s">
        <v>17</v>
      </c>
      <c r="I441" s="1" t="s">
        <v>12</v>
      </c>
      <c r="J441" s="1">
        <v>0</v>
      </c>
      <c r="K441" s="1" t="s">
        <v>12</v>
      </c>
      <c r="L441" s="1" t="s">
        <v>7</v>
      </c>
      <c r="M441" s="1" t="s">
        <v>873</v>
      </c>
    </row>
    <row r="442" spans="1:13" x14ac:dyDescent="0.35">
      <c r="A442" s="1" t="s">
        <v>873</v>
      </c>
      <c r="B442" s="1" t="s">
        <v>953</v>
      </c>
      <c r="C442" s="1" t="s">
        <v>965</v>
      </c>
      <c r="D442" s="3" t="s">
        <v>955</v>
      </c>
      <c r="E442" s="3" t="s">
        <v>12</v>
      </c>
      <c r="F442" s="3" t="s">
        <v>12</v>
      </c>
      <c r="G442" s="1" t="s">
        <v>17</v>
      </c>
      <c r="H442" s="1" t="s">
        <v>17</v>
      </c>
      <c r="I442" s="1" t="s">
        <v>12</v>
      </c>
      <c r="J442" s="1">
        <v>0</v>
      </c>
      <c r="K442" s="1" t="s">
        <v>12</v>
      </c>
      <c r="L442" s="1" t="s">
        <v>7</v>
      </c>
      <c r="M442" s="1" t="s">
        <v>873</v>
      </c>
    </row>
    <row r="443" spans="1:13" x14ac:dyDescent="0.35">
      <c r="A443" s="1" t="s">
        <v>966</v>
      </c>
      <c r="B443" s="1" t="s">
        <v>1238</v>
      </c>
      <c r="C443" s="1" t="s">
        <v>967</v>
      </c>
      <c r="D443" s="3" t="s">
        <v>968</v>
      </c>
      <c r="E443" s="3" t="s">
        <v>12</v>
      </c>
      <c r="F443" s="3" t="s">
        <v>12</v>
      </c>
      <c r="G443" s="1" t="s">
        <v>59</v>
      </c>
      <c r="H443" s="1" t="s">
        <v>59</v>
      </c>
      <c r="I443" s="1" t="s">
        <v>12</v>
      </c>
      <c r="J443" s="1">
        <v>0</v>
      </c>
      <c r="K443" s="1" t="s">
        <v>12</v>
      </c>
      <c r="L443" s="1" t="s">
        <v>7</v>
      </c>
      <c r="M443" s="1" t="s">
        <v>966</v>
      </c>
    </row>
    <row r="444" spans="1:13" x14ac:dyDescent="0.35">
      <c r="A444" s="1" t="s">
        <v>966</v>
      </c>
      <c r="B444" s="1" t="s">
        <v>1238</v>
      </c>
      <c r="C444" s="1" t="s">
        <v>969</v>
      </c>
      <c r="D444" s="3" t="s">
        <v>968</v>
      </c>
      <c r="E444" s="3" t="s">
        <v>12</v>
      </c>
      <c r="F444" s="3" t="s">
        <v>12</v>
      </c>
      <c r="G444" s="1" t="s">
        <v>17</v>
      </c>
      <c r="H444" s="1" t="s">
        <v>17</v>
      </c>
      <c r="I444" s="1" t="s">
        <v>12</v>
      </c>
      <c r="J444" s="1">
        <v>0</v>
      </c>
      <c r="K444" s="1" t="s">
        <v>12</v>
      </c>
      <c r="L444" s="1" t="s">
        <v>7</v>
      </c>
      <c r="M444" s="1" t="s">
        <v>966</v>
      </c>
    </row>
    <row r="445" spans="1:13" x14ac:dyDescent="0.35">
      <c r="A445" s="1" t="s">
        <v>966</v>
      </c>
      <c r="B445" s="1" t="s">
        <v>1238</v>
      </c>
      <c r="C445" s="1" t="s">
        <v>970</v>
      </c>
      <c r="D445" s="3" t="s">
        <v>968</v>
      </c>
      <c r="E445" s="3" t="s">
        <v>12</v>
      </c>
      <c r="F445" s="3" t="s">
        <v>12</v>
      </c>
      <c r="G445" s="1" t="s">
        <v>17</v>
      </c>
      <c r="H445" s="1" t="s">
        <v>17</v>
      </c>
      <c r="I445" s="1" t="s">
        <v>12</v>
      </c>
      <c r="J445" s="1">
        <v>0</v>
      </c>
      <c r="K445" s="1" t="s">
        <v>12</v>
      </c>
      <c r="L445" s="1" t="s">
        <v>7</v>
      </c>
      <c r="M445" s="1" t="s">
        <v>966</v>
      </c>
    </row>
    <row r="446" spans="1:13" x14ac:dyDescent="0.35">
      <c r="A446" s="1" t="s">
        <v>973</v>
      </c>
      <c r="B446" s="1" t="s">
        <v>977</v>
      </c>
      <c r="C446" s="1" t="s">
        <v>978</v>
      </c>
      <c r="D446" s="3" t="s">
        <v>979</v>
      </c>
      <c r="E446" s="3">
        <v>2</v>
      </c>
      <c r="F446" s="3">
        <v>2</v>
      </c>
      <c r="G446" s="1" t="s">
        <v>17</v>
      </c>
      <c r="H446" s="1" t="s">
        <v>17</v>
      </c>
      <c r="I446" s="1" t="s">
        <v>12</v>
      </c>
      <c r="J446" s="1">
        <v>0</v>
      </c>
      <c r="K446" s="1" t="s">
        <v>12</v>
      </c>
      <c r="L446" s="1" t="s">
        <v>7</v>
      </c>
      <c r="M446" s="1" t="s">
        <v>973</v>
      </c>
    </row>
    <row r="447" spans="1:13" x14ac:dyDescent="0.35">
      <c r="A447" s="1" t="s">
        <v>980</v>
      </c>
      <c r="B447" s="1" t="s">
        <v>1239</v>
      </c>
      <c r="C447" s="1" t="s">
        <v>1039</v>
      </c>
      <c r="D447" s="3" t="s">
        <v>1040</v>
      </c>
      <c r="E447" s="3">
        <v>15</v>
      </c>
      <c r="F447" s="3">
        <v>15</v>
      </c>
      <c r="G447" s="1" t="s">
        <v>17</v>
      </c>
      <c r="H447" s="1" t="s">
        <v>17</v>
      </c>
      <c r="I447" s="1" t="s">
        <v>12</v>
      </c>
      <c r="J447" s="1">
        <v>0</v>
      </c>
      <c r="K447" s="1" t="s">
        <v>12</v>
      </c>
      <c r="L447" s="1" t="s">
        <v>7</v>
      </c>
      <c r="M447" s="1" t="s">
        <v>980</v>
      </c>
    </row>
    <row r="448" spans="1:13" x14ac:dyDescent="0.35">
      <c r="A448" s="1" t="s">
        <v>980</v>
      </c>
      <c r="B448" s="1" t="s">
        <v>1239</v>
      </c>
      <c r="C448" s="1" t="s">
        <v>1041</v>
      </c>
      <c r="D448" s="3" t="s">
        <v>1040</v>
      </c>
      <c r="E448" s="3">
        <v>70</v>
      </c>
      <c r="F448" s="3">
        <v>70</v>
      </c>
      <c r="G448" s="1" t="s">
        <v>17</v>
      </c>
      <c r="H448" s="1" t="s">
        <v>17</v>
      </c>
      <c r="I448" s="1" t="s">
        <v>12</v>
      </c>
      <c r="J448" s="1">
        <v>0</v>
      </c>
      <c r="K448" s="1" t="s">
        <v>12</v>
      </c>
      <c r="L448" s="1" t="s">
        <v>7</v>
      </c>
      <c r="M448" s="1" t="s">
        <v>980</v>
      </c>
    </row>
    <row r="449" spans="1:13" x14ac:dyDescent="0.35">
      <c r="A449" s="1" t="s">
        <v>980</v>
      </c>
      <c r="B449" s="1" t="s">
        <v>1239</v>
      </c>
      <c r="C449" s="1" t="s">
        <v>1042</v>
      </c>
      <c r="D449" s="3" t="s">
        <v>1040</v>
      </c>
      <c r="E449" s="3">
        <v>15</v>
      </c>
      <c r="F449" s="3">
        <v>15</v>
      </c>
      <c r="G449" s="1" t="s">
        <v>17</v>
      </c>
      <c r="H449" s="1" t="s">
        <v>17</v>
      </c>
      <c r="I449" s="1" t="s">
        <v>12</v>
      </c>
      <c r="J449" s="1">
        <v>0</v>
      </c>
      <c r="K449" s="1" t="s">
        <v>12</v>
      </c>
      <c r="L449" s="1" t="s">
        <v>7</v>
      </c>
      <c r="M449" s="1" t="s">
        <v>980</v>
      </c>
    </row>
    <row r="450" spans="1:13" x14ac:dyDescent="0.35">
      <c r="A450" s="1" t="s">
        <v>8</v>
      </c>
      <c r="B450" s="1" t="s">
        <v>816</v>
      </c>
      <c r="C450" s="1" t="s">
        <v>817</v>
      </c>
      <c r="D450" s="3" t="s">
        <v>818</v>
      </c>
      <c r="E450" s="3">
        <v>33</v>
      </c>
      <c r="F450" s="3">
        <v>33</v>
      </c>
      <c r="G450" s="1" t="s">
        <v>17</v>
      </c>
      <c r="H450" s="1" t="s">
        <v>17</v>
      </c>
      <c r="I450" s="1" t="s">
        <v>12</v>
      </c>
      <c r="J450" s="1">
        <v>0</v>
      </c>
      <c r="K450" s="1" t="s">
        <v>12</v>
      </c>
      <c r="L450" s="1" t="s">
        <v>7</v>
      </c>
      <c r="M450" s="1" t="s">
        <v>8</v>
      </c>
    </row>
    <row r="451" spans="1:13" x14ac:dyDescent="0.35">
      <c r="A451" s="1" t="s">
        <v>8</v>
      </c>
      <c r="B451" s="1" t="s">
        <v>799</v>
      </c>
      <c r="C451" s="1" t="s">
        <v>627</v>
      </c>
      <c r="D451" s="3" t="s">
        <v>800</v>
      </c>
      <c r="E451" s="3">
        <v>100</v>
      </c>
      <c r="F451" s="3">
        <v>100</v>
      </c>
      <c r="G451" s="1" t="s">
        <v>17</v>
      </c>
      <c r="H451" s="1" t="s">
        <v>17</v>
      </c>
      <c r="I451" s="1" t="s">
        <v>12</v>
      </c>
      <c r="J451" s="1">
        <v>0</v>
      </c>
      <c r="K451" s="1" t="s">
        <v>12</v>
      </c>
      <c r="L451" s="1" t="s">
        <v>7</v>
      </c>
      <c r="M451" s="1" t="s">
        <v>8</v>
      </c>
    </row>
    <row r="452" spans="1:13" x14ac:dyDescent="0.35">
      <c r="A452" s="1" t="s">
        <v>8</v>
      </c>
      <c r="B452" s="1" t="s">
        <v>781</v>
      </c>
      <c r="C452" s="1" t="s">
        <v>782</v>
      </c>
      <c r="D452" s="3" t="s">
        <v>783</v>
      </c>
      <c r="E452" s="3">
        <v>100</v>
      </c>
      <c r="F452" s="3" t="s">
        <v>12</v>
      </c>
      <c r="G452" s="1" t="s">
        <v>17</v>
      </c>
      <c r="H452" s="1" t="s">
        <v>17</v>
      </c>
      <c r="I452" s="1" t="s">
        <v>12</v>
      </c>
      <c r="J452" s="1">
        <v>0</v>
      </c>
      <c r="K452" s="1" t="s">
        <v>12</v>
      </c>
      <c r="L452" s="1" t="s">
        <v>7</v>
      </c>
      <c r="M452" s="1" t="s">
        <v>8</v>
      </c>
    </row>
    <row r="453" spans="1:13" x14ac:dyDescent="0.35">
      <c r="A453" s="1" t="s">
        <v>8</v>
      </c>
      <c r="B453" s="1" t="s">
        <v>816</v>
      </c>
      <c r="C453" s="1" t="s">
        <v>819</v>
      </c>
      <c r="D453" s="3" t="s">
        <v>818</v>
      </c>
      <c r="E453" s="3">
        <v>33</v>
      </c>
      <c r="F453" s="3">
        <v>33</v>
      </c>
      <c r="G453" s="1" t="s">
        <v>17</v>
      </c>
      <c r="H453" s="1" t="s">
        <v>17</v>
      </c>
      <c r="I453" s="1" t="s">
        <v>12</v>
      </c>
      <c r="J453" s="1">
        <v>0</v>
      </c>
      <c r="K453" s="1" t="s">
        <v>12</v>
      </c>
      <c r="L453" s="1" t="s">
        <v>7</v>
      </c>
      <c r="M453" s="1" t="s">
        <v>8</v>
      </c>
    </row>
    <row r="454" spans="1:13" x14ac:dyDescent="0.35">
      <c r="A454" s="1" t="s">
        <v>8</v>
      </c>
      <c r="B454" s="1" t="s">
        <v>816</v>
      </c>
      <c r="C454" s="1" t="s">
        <v>114</v>
      </c>
      <c r="D454" s="3" t="s">
        <v>818</v>
      </c>
      <c r="E454" s="3">
        <v>34</v>
      </c>
      <c r="F454" s="3">
        <v>34</v>
      </c>
      <c r="G454" s="1" t="s">
        <v>17</v>
      </c>
      <c r="H454" s="1" t="s">
        <v>17</v>
      </c>
      <c r="I454" s="1" t="s">
        <v>12</v>
      </c>
      <c r="J454" s="1">
        <v>0</v>
      </c>
      <c r="K454" s="1" t="s">
        <v>12</v>
      </c>
      <c r="L454" s="1" t="s">
        <v>7</v>
      </c>
      <c r="M454" s="1" t="s">
        <v>8</v>
      </c>
    </row>
    <row r="455" spans="1:13" x14ac:dyDescent="0.35">
      <c r="A455" s="1" t="s">
        <v>8</v>
      </c>
      <c r="B455" s="1" t="s">
        <v>806</v>
      </c>
      <c r="C455" s="1" t="s">
        <v>807</v>
      </c>
      <c r="D455" s="3" t="s">
        <v>808</v>
      </c>
      <c r="E455" s="3">
        <v>100</v>
      </c>
      <c r="F455" s="3">
        <v>100</v>
      </c>
      <c r="G455" s="1" t="s">
        <v>17</v>
      </c>
      <c r="H455" s="1" t="s">
        <v>17</v>
      </c>
      <c r="I455" s="1" t="s">
        <v>12</v>
      </c>
      <c r="J455" s="1">
        <v>0</v>
      </c>
      <c r="K455" s="1" t="s">
        <v>12</v>
      </c>
      <c r="L455" s="1" t="s">
        <v>7</v>
      </c>
      <c r="M455" s="1" t="s">
        <v>8</v>
      </c>
    </row>
    <row r="456" spans="1:13" x14ac:dyDescent="0.35">
      <c r="A456" s="1" t="s">
        <v>8</v>
      </c>
      <c r="B456" s="1" t="s">
        <v>801</v>
      </c>
      <c r="C456" s="1" t="s">
        <v>802</v>
      </c>
      <c r="D456" s="3" t="s">
        <v>803</v>
      </c>
      <c r="E456" s="3">
        <v>100</v>
      </c>
      <c r="F456" s="3">
        <v>100</v>
      </c>
      <c r="G456" s="1" t="s">
        <v>17</v>
      </c>
      <c r="H456" s="1" t="s">
        <v>17</v>
      </c>
      <c r="I456" s="1" t="s">
        <v>12</v>
      </c>
      <c r="J456" s="1">
        <v>0</v>
      </c>
      <c r="K456" s="1" t="s">
        <v>12</v>
      </c>
      <c r="L456" s="1" t="s">
        <v>7</v>
      </c>
      <c r="M456" s="1" t="s">
        <v>8</v>
      </c>
    </row>
    <row r="457" spans="1:13" x14ac:dyDescent="0.35">
      <c r="A457" s="1" t="s">
        <v>1062</v>
      </c>
      <c r="B457" s="1" t="s">
        <v>1240</v>
      </c>
      <c r="C457" s="1" t="s">
        <v>1063</v>
      </c>
      <c r="D457" s="3" t="s">
        <v>1064</v>
      </c>
      <c r="E457" s="3">
        <v>35</v>
      </c>
      <c r="F457" s="3">
        <v>35</v>
      </c>
      <c r="G457" s="1" t="s">
        <v>17</v>
      </c>
      <c r="H457" s="1" t="s">
        <v>17</v>
      </c>
      <c r="I457" s="1" t="s">
        <v>12</v>
      </c>
      <c r="J457" s="1" t="s">
        <v>12</v>
      </c>
      <c r="K457" s="1" t="s">
        <v>12</v>
      </c>
      <c r="L457" s="1" t="s">
        <v>7</v>
      </c>
      <c r="M457" s="1" t="s">
        <v>1062</v>
      </c>
    </row>
    <row r="458" spans="1:13" x14ac:dyDescent="0.35">
      <c r="A458" s="1" t="s">
        <v>8</v>
      </c>
      <c r="B458" s="1" t="s">
        <v>9</v>
      </c>
      <c r="C458" s="1" t="s">
        <v>10</v>
      </c>
      <c r="D458" s="3" t="s">
        <v>11</v>
      </c>
      <c r="E458" s="3" t="s">
        <v>12</v>
      </c>
      <c r="F458" s="3" t="s">
        <v>12</v>
      </c>
      <c r="G458" s="1" t="s">
        <v>13</v>
      </c>
      <c r="H458" s="1" t="s">
        <v>13</v>
      </c>
      <c r="I458" s="1" t="s">
        <v>12</v>
      </c>
      <c r="J458" s="1">
        <v>0</v>
      </c>
      <c r="K458" s="1" t="s">
        <v>12</v>
      </c>
      <c r="L458" s="1" t="s">
        <v>7</v>
      </c>
      <c r="M458" s="1" t="s">
        <v>8</v>
      </c>
    </row>
    <row r="459" spans="1:13" x14ac:dyDescent="0.35">
      <c r="A459" s="1" t="s">
        <v>966</v>
      </c>
      <c r="B459" s="1" t="s">
        <v>971</v>
      </c>
      <c r="C459" s="1" t="s">
        <v>364</v>
      </c>
      <c r="D459" s="3" t="s">
        <v>972</v>
      </c>
      <c r="E459" s="3">
        <v>2</v>
      </c>
      <c r="F459" s="3" t="s">
        <v>12</v>
      </c>
      <c r="G459" s="1" t="s">
        <v>17</v>
      </c>
      <c r="H459" s="1" t="s">
        <v>17</v>
      </c>
      <c r="I459" s="1" t="s">
        <v>12</v>
      </c>
      <c r="J459" s="1">
        <v>0</v>
      </c>
      <c r="K459" s="1" t="s">
        <v>12</v>
      </c>
      <c r="L459" s="1" t="s">
        <v>7</v>
      </c>
      <c r="M459" s="1" t="s">
        <v>966</v>
      </c>
    </row>
    <row r="460" spans="1:13" x14ac:dyDescent="0.35">
      <c r="A460" s="1" t="s">
        <v>8</v>
      </c>
      <c r="B460" s="1" t="s">
        <v>28</v>
      </c>
      <c r="C460" s="1" t="s">
        <v>29</v>
      </c>
      <c r="D460" s="3" t="s">
        <v>30</v>
      </c>
      <c r="E460" s="3">
        <v>33</v>
      </c>
      <c r="F460" s="3">
        <v>33</v>
      </c>
      <c r="G460" s="1" t="s">
        <v>17</v>
      </c>
      <c r="H460" s="1" t="s">
        <v>17</v>
      </c>
      <c r="I460" s="1" t="s">
        <v>12</v>
      </c>
      <c r="J460" s="1">
        <v>0</v>
      </c>
      <c r="K460" s="1" t="s">
        <v>12</v>
      </c>
      <c r="L460" s="1" t="s">
        <v>7</v>
      </c>
      <c r="M460" s="1" t="s">
        <v>8</v>
      </c>
    </row>
    <row r="461" spans="1:13" x14ac:dyDescent="0.35">
      <c r="A461" s="1" t="s">
        <v>8</v>
      </c>
      <c r="B461" s="1" t="s">
        <v>28</v>
      </c>
      <c r="C461" s="1" t="s">
        <v>31</v>
      </c>
      <c r="D461" s="3" t="s">
        <v>30</v>
      </c>
      <c r="E461" s="3">
        <v>34</v>
      </c>
      <c r="F461" s="3">
        <v>34</v>
      </c>
      <c r="G461" s="1" t="s">
        <v>17</v>
      </c>
      <c r="H461" s="1" t="s">
        <v>17</v>
      </c>
      <c r="I461" s="1" t="s">
        <v>12</v>
      </c>
      <c r="J461" s="1">
        <v>0</v>
      </c>
      <c r="K461" s="1" t="s">
        <v>12</v>
      </c>
      <c r="L461" s="1" t="s">
        <v>7</v>
      </c>
      <c r="M461" s="1" t="s">
        <v>8</v>
      </c>
    </row>
    <row r="462" spans="1:13" x14ac:dyDescent="0.35">
      <c r="A462" s="1" t="s">
        <v>8</v>
      </c>
      <c r="B462" s="1" t="s">
        <v>28</v>
      </c>
      <c r="C462" s="1" t="s">
        <v>32</v>
      </c>
      <c r="D462" s="3" t="s">
        <v>30</v>
      </c>
      <c r="E462" s="3">
        <v>33</v>
      </c>
      <c r="F462" s="3">
        <v>33</v>
      </c>
      <c r="G462" s="1" t="s">
        <v>17</v>
      </c>
      <c r="H462" s="1" t="s">
        <v>17</v>
      </c>
      <c r="I462" s="1" t="s">
        <v>12</v>
      </c>
      <c r="J462" s="1">
        <v>0</v>
      </c>
      <c r="K462" s="1" t="s">
        <v>12</v>
      </c>
      <c r="L462" s="1" t="s">
        <v>7</v>
      </c>
      <c r="M462" s="1" t="s">
        <v>8</v>
      </c>
    </row>
    <row r="463" spans="1:13" x14ac:dyDescent="0.35">
      <c r="A463" s="1" t="s">
        <v>1062</v>
      </c>
      <c r="B463" s="1" t="s">
        <v>1240</v>
      </c>
      <c r="C463" s="1" t="s">
        <v>1065</v>
      </c>
      <c r="D463" s="3" t="s">
        <v>1064</v>
      </c>
      <c r="E463" s="3">
        <v>30</v>
      </c>
      <c r="F463" s="3">
        <v>30</v>
      </c>
      <c r="G463" s="1" t="s">
        <v>17</v>
      </c>
      <c r="H463" s="1" t="s">
        <v>17</v>
      </c>
      <c r="I463" s="1" t="s">
        <v>12</v>
      </c>
      <c r="J463" s="1" t="s">
        <v>12</v>
      </c>
      <c r="K463" s="1" t="s">
        <v>12</v>
      </c>
      <c r="L463" s="1" t="s">
        <v>7</v>
      </c>
      <c r="M463" s="1" t="s">
        <v>1062</v>
      </c>
    </row>
    <row r="464" spans="1:13" x14ac:dyDescent="0.35">
      <c r="A464" s="1" t="s">
        <v>1062</v>
      </c>
      <c r="B464" s="1" t="s">
        <v>1240</v>
      </c>
      <c r="C464" s="1" t="s">
        <v>1066</v>
      </c>
      <c r="D464" s="3" t="s">
        <v>1064</v>
      </c>
      <c r="E464" s="3">
        <v>35</v>
      </c>
      <c r="F464" s="3">
        <v>35</v>
      </c>
      <c r="G464" s="1" t="s">
        <v>17</v>
      </c>
      <c r="H464" s="1" t="s">
        <v>17</v>
      </c>
      <c r="I464" s="1" t="s">
        <v>12</v>
      </c>
      <c r="J464" s="1" t="s">
        <v>12</v>
      </c>
      <c r="K464" s="1" t="s">
        <v>12</v>
      </c>
      <c r="L464" s="1" t="s">
        <v>7</v>
      </c>
      <c r="M464" s="1" t="s">
        <v>1062</v>
      </c>
    </row>
    <row r="465" spans="1:13" x14ac:dyDescent="0.35">
      <c r="A465" s="1" t="s">
        <v>8</v>
      </c>
      <c r="B465" s="1" t="s">
        <v>108</v>
      </c>
      <c r="C465" s="1" t="s">
        <v>110</v>
      </c>
      <c r="D465" s="3" t="s">
        <v>109</v>
      </c>
      <c r="E465" s="3">
        <v>25</v>
      </c>
      <c r="F465" s="3">
        <v>25</v>
      </c>
      <c r="G465" s="1" t="s">
        <v>17</v>
      </c>
      <c r="H465" s="1" t="s">
        <v>17</v>
      </c>
      <c r="I465" s="1" t="s">
        <v>12</v>
      </c>
      <c r="J465" s="1">
        <v>0</v>
      </c>
      <c r="K465" s="1" t="s">
        <v>12</v>
      </c>
      <c r="L465" s="1" t="s">
        <v>7</v>
      </c>
      <c r="M465" s="1" t="s">
        <v>8</v>
      </c>
    </row>
    <row r="466" spans="1:13" x14ac:dyDescent="0.35">
      <c r="A466" s="1" t="s">
        <v>8</v>
      </c>
      <c r="B466" s="1" t="s">
        <v>108</v>
      </c>
      <c r="C466" s="1" t="s">
        <v>68</v>
      </c>
      <c r="D466" s="3" t="s">
        <v>109</v>
      </c>
      <c r="E466" s="3">
        <v>75</v>
      </c>
      <c r="F466" s="3">
        <v>75</v>
      </c>
      <c r="G466" s="1" t="s">
        <v>17</v>
      </c>
      <c r="H466" s="1" t="s">
        <v>17</v>
      </c>
      <c r="I466" s="1" t="s">
        <v>12</v>
      </c>
      <c r="J466" s="1">
        <v>0</v>
      </c>
      <c r="K466" s="1" t="s">
        <v>12</v>
      </c>
      <c r="L466" s="1" t="s">
        <v>7</v>
      </c>
      <c r="M466" s="1" t="s">
        <v>8</v>
      </c>
    </row>
    <row r="467" spans="1:13" x14ac:dyDescent="0.35">
      <c r="A467" s="1" t="s">
        <v>8</v>
      </c>
      <c r="B467" s="1" t="s">
        <v>115</v>
      </c>
      <c r="C467" s="1" t="s">
        <v>116</v>
      </c>
      <c r="D467" s="3" t="s">
        <v>117</v>
      </c>
      <c r="E467" s="3" t="s">
        <v>12</v>
      </c>
      <c r="F467" s="3" t="s">
        <v>12</v>
      </c>
      <c r="G467" s="1" t="s">
        <v>17</v>
      </c>
      <c r="H467" s="1" t="s">
        <v>17</v>
      </c>
      <c r="I467" s="1" t="s">
        <v>12</v>
      </c>
      <c r="J467" s="1">
        <v>0</v>
      </c>
      <c r="K467" s="1" t="s">
        <v>12</v>
      </c>
      <c r="L467" s="1" t="s">
        <v>7</v>
      </c>
      <c r="M467" s="1" t="s">
        <v>8</v>
      </c>
    </row>
    <row r="468" spans="1:13" x14ac:dyDescent="0.35">
      <c r="A468" s="1" t="s">
        <v>8</v>
      </c>
      <c r="B468" s="1" t="s">
        <v>136</v>
      </c>
      <c r="C468" s="1" t="s">
        <v>137</v>
      </c>
      <c r="D468" s="3" t="s">
        <v>138</v>
      </c>
      <c r="E468" s="3" t="s">
        <v>12</v>
      </c>
      <c r="F468" s="3" t="s">
        <v>12</v>
      </c>
      <c r="G468" s="1" t="s">
        <v>139</v>
      </c>
      <c r="H468" s="1" t="s">
        <v>139</v>
      </c>
      <c r="I468" s="1" t="s">
        <v>12</v>
      </c>
      <c r="J468" s="1">
        <v>0</v>
      </c>
      <c r="K468" s="1" t="s">
        <v>12</v>
      </c>
      <c r="L468" s="1" t="s">
        <v>7</v>
      </c>
      <c r="M468" s="1" t="s">
        <v>8</v>
      </c>
    </row>
    <row r="469" spans="1:13" x14ac:dyDescent="0.35">
      <c r="A469" s="1" t="s">
        <v>8</v>
      </c>
      <c r="B469" s="1" t="s">
        <v>695</v>
      </c>
      <c r="C469" s="1" t="s">
        <v>255</v>
      </c>
      <c r="D469" s="3" t="s">
        <v>696</v>
      </c>
      <c r="E469" s="3">
        <v>50</v>
      </c>
      <c r="F469" s="3">
        <v>50</v>
      </c>
      <c r="G469" s="1" t="s">
        <v>17</v>
      </c>
      <c r="H469" s="1" t="s">
        <v>17</v>
      </c>
      <c r="I469" s="1" t="s">
        <v>12</v>
      </c>
      <c r="J469" s="1">
        <v>0</v>
      </c>
      <c r="K469" s="1" t="s">
        <v>12</v>
      </c>
      <c r="L469" s="1" t="s">
        <v>7</v>
      </c>
      <c r="M469" s="1" t="s">
        <v>8</v>
      </c>
    </row>
    <row r="470" spans="1:13" x14ac:dyDescent="0.35">
      <c r="A470" s="1" t="s">
        <v>8</v>
      </c>
      <c r="B470" s="1" t="s">
        <v>695</v>
      </c>
      <c r="C470" s="1" t="s">
        <v>193</v>
      </c>
      <c r="D470" s="3" t="s">
        <v>696</v>
      </c>
      <c r="E470" s="3">
        <v>50</v>
      </c>
      <c r="F470" s="3">
        <v>50</v>
      </c>
      <c r="G470" s="1" t="s">
        <v>17</v>
      </c>
      <c r="H470" s="1" t="s">
        <v>17</v>
      </c>
      <c r="I470" s="1" t="s">
        <v>12</v>
      </c>
      <c r="J470" s="1">
        <v>0</v>
      </c>
      <c r="K470" s="1" t="s">
        <v>12</v>
      </c>
      <c r="L470" s="1" t="s">
        <v>7</v>
      </c>
      <c r="M470" s="1" t="s">
        <v>8</v>
      </c>
    </row>
    <row r="471" spans="1:13" x14ac:dyDescent="0.35">
      <c r="A471" s="1" t="s">
        <v>980</v>
      </c>
      <c r="B471" s="1" t="s">
        <v>1025</v>
      </c>
      <c r="C471" s="1" t="s">
        <v>1026</v>
      </c>
      <c r="D471" s="3" t="s">
        <v>1027</v>
      </c>
      <c r="E471" s="3">
        <v>100</v>
      </c>
      <c r="F471" s="3">
        <v>100</v>
      </c>
      <c r="G471" s="1" t="s">
        <v>17</v>
      </c>
      <c r="H471" s="1" t="s">
        <v>17</v>
      </c>
      <c r="I471" s="1" t="s">
        <v>12</v>
      </c>
      <c r="J471" s="1">
        <v>0</v>
      </c>
      <c r="K471" s="1" t="s">
        <v>12</v>
      </c>
      <c r="L471" s="1" t="s">
        <v>7</v>
      </c>
      <c r="M471" s="1" t="s">
        <v>980</v>
      </c>
    </row>
    <row r="472" spans="1:13" x14ac:dyDescent="0.35">
      <c r="A472" s="1" t="s">
        <v>980</v>
      </c>
      <c r="B472" s="1" t="s">
        <v>1028</v>
      </c>
      <c r="C472" s="1" t="s">
        <v>1029</v>
      </c>
      <c r="D472" s="3" t="s">
        <v>1030</v>
      </c>
      <c r="E472" s="3">
        <v>100</v>
      </c>
      <c r="F472" s="3">
        <v>100</v>
      </c>
      <c r="G472" s="1" t="s">
        <v>17</v>
      </c>
      <c r="H472" s="1" t="s">
        <v>17</v>
      </c>
      <c r="I472" s="1" t="s">
        <v>12</v>
      </c>
      <c r="J472" s="1">
        <v>0</v>
      </c>
      <c r="K472" s="1" t="s">
        <v>12</v>
      </c>
      <c r="L472" s="1" t="s">
        <v>7</v>
      </c>
      <c r="M472" s="1" t="s">
        <v>980</v>
      </c>
    </row>
    <row r="473" spans="1:13" x14ac:dyDescent="0.35">
      <c r="A473" s="1" t="s">
        <v>980</v>
      </c>
      <c r="B473" s="1" t="s">
        <v>1241</v>
      </c>
      <c r="C473" s="1" t="s">
        <v>981</v>
      </c>
      <c r="D473" s="3" t="s">
        <v>982</v>
      </c>
      <c r="E473" s="3" t="s">
        <v>983</v>
      </c>
      <c r="F473" s="3" t="s">
        <v>983</v>
      </c>
      <c r="G473" s="1" t="s">
        <v>17</v>
      </c>
      <c r="H473" s="1" t="s">
        <v>17</v>
      </c>
      <c r="I473" s="1" t="s">
        <v>12</v>
      </c>
      <c r="J473" s="1">
        <v>0</v>
      </c>
      <c r="K473" s="1" t="s">
        <v>12</v>
      </c>
      <c r="L473" s="1" t="s">
        <v>7</v>
      </c>
      <c r="M473" s="1" t="s">
        <v>980</v>
      </c>
    </row>
    <row r="474" spans="1:13" x14ac:dyDescent="0.35">
      <c r="A474" s="1" t="s">
        <v>973</v>
      </c>
      <c r="B474" s="1" t="s">
        <v>974</v>
      </c>
      <c r="C474" s="1" t="s">
        <v>975</v>
      </c>
      <c r="D474" s="3" t="s">
        <v>976</v>
      </c>
      <c r="E474" s="3" t="s">
        <v>12</v>
      </c>
      <c r="F474" s="3">
        <v>25</v>
      </c>
      <c r="G474" s="1" t="s">
        <v>17</v>
      </c>
      <c r="H474" s="1" t="s">
        <v>17</v>
      </c>
      <c r="I474" s="1" t="s">
        <v>12</v>
      </c>
      <c r="J474" s="1">
        <v>0</v>
      </c>
      <c r="K474" s="1" t="s">
        <v>12</v>
      </c>
      <c r="L474" s="1" t="s">
        <v>7</v>
      </c>
      <c r="M474" s="1" t="s">
        <v>973</v>
      </c>
    </row>
    <row r="475" spans="1:13" x14ac:dyDescent="0.35">
      <c r="A475" s="1" t="s">
        <v>980</v>
      </c>
      <c r="B475" s="1" t="s">
        <v>1241</v>
      </c>
      <c r="C475" s="1" t="s">
        <v>984</v>
      </c>
      <c r="D475" s="3" t="s">
        <v>982</v>
      </c>
      <c r="E475" s="3">
        <v>15</v>
      </c>
      <c r="F475" s="3">
        <v>15</v>
      </c>
      <c r="G475" s="1" t="s">
        <v>59</v>
      </c>
      <c r="H475" s="1" t="s">
        <v>59</v>
      </c>
      <c r="I475" s="1" t="s">
        <v>12</v>
      </c>
      <c r="J475" s="1">
        <v>0</v>
      </c>
      <c r="K475" s="1" t="s">
        <v>12</v>
      </c>
      <c r="L475" s="1" t="s">
        <v>7</v>
      </c>
      <c r="M475" s="1" t="s">
        <v>980</v>
      </c>
    </row>
    <row r="476" spans="1:13" x14ac:dyDescent="0.35">
      <c r="A476" s="1" t="s">
        <v>980</v>
      </c>
      <c r="B476" s="1" t="s">
        <v>1241</v>
      </c>
      <c r="C476" s="1" t="s">
        <v>985</v>
      </c>
      <c r="D476" s="3" t="s">
        <v>982</v>
      </c>
      <c r="E476" s="3">
        <v>10</v>
      </c>
      <c r="F476" s="3">
        <v>10</v>
      </c>
      <c r="G476" s="1" t="s">
        <v>17</v>
      </c>
      <c r="H476" s="1" t="s">
        <v>17</v>
      </c>
      <c r="I476" s="1" t="s">
        <v>12</v>
      </c>
      <c r="J476" s="1">
        <v>0</v>
      </c>
      <c r="K476" s="1" t="s">
        <v>12</v>
      </c>
      <c r="L476" s="1" t="s">
        <v>7</v>
      </c>
      <c r="M476" s="1" t="s">
        <v>980</v>
      </c>
    </row>
    <row r="477" spans="1:13" x14ac:dyDescent="0.35">
      <c r="A477" s="1" t="s">
        <v>980</v>
      </c>
      <c r="B477" s="1" t="s">
        <v>1241</v>
      </c>
      <c r="C477" s="1" t="s">
        <v>986</v>
      </c>
      <c r="D477" s="3" t="s">
        <v>982</v>
      </c>
      <c r="E477" s="3">
        <v>15</v>
      </c>
      <c r="F477" s="3">
        <v>15</v>
      </c>
      <c r="G477" s="1" t="s">
        <v>59</v>
      </c>
      <c r="H477" s="1" t="s">
        <v>59</v>
      </c>
      <c r="I477" s="1" t="s">
        <v>12</v>
      </c>
      <c r="J477" s="1">
        <v>0</v>
      </c>
      <c r="K477" s="1" t="s">
        <v>12</v>
      </c>
      <c r="L477" s="1" t="s">
        <v>7</v>
      </c>
      <c r="M477" s="1" t="s">
        <v>980</v>
      </c>
    </row>
    <row r="478" spans="1:13" x14ac:dyDescent="0.35">
      <c r="A478" s="1" t="s">
        <v>8</v>
      </c>
      <c r="B478" s="1" t="s">
        <v>445</v>
      </c>
      <c r="C478" s="1" t="s">
        <v>446</v>
      </c>
      <c r="D478" s="3" t="s">
        <v>447</v>
      </c>
      <c r="E478" s="3">
        <v>100</v>
      </c>
      <c r="F478" s="3">
        <v>100</v>
      </c>
      <c r="G478" s="1" t="s">
        <v>17</v>
      </c>
      <c r="H478" s="1" t="s">
        <v>17</v>
      </c>
      <c r="I478" s="1" t="s">
        <v>12</v>
      </c>
      <c r="J478" s="1">
        <v>0</v>
      </c>
      <c r="K478" s="1" t="s">
        <v>12</v>
      </c>
      <c r="L478" s="1" t="s">
        <v>7</v>
      </c>
      <c r="M478" s="1" t="s">
        <v>8</v>
      </c>
    </row>
    <row r="479" spans="1:13" x14ac:dyDescent="0.35">
      <c r="A479" s="1" t="s">
        <v>8</v>
      </c>
      <c r="B479" s="1" t="s">
        <v>450</v>
      </c>
      <c r="C479" s="1" t="s">
        <v>451</v>
      </c>
      <c r="D479" s="3" t="s">
        <v>452</v>
      </c>
      <c r="E479" s="3">
        <v>100</v>
      </c>
      <c r="F479" s="3" t="s">
        <v>12</v>
      </c>
      <c r="G479" s="1" t="s">
        <v>17</v>
      </c>
      <c r="H479" s="1" t="s">
        <v>17</v>
      </c>
      <c r="I479" s="1" t="s">
        <v>12</v>
      </c>
      <c r="J479" s="1">
        <v>0</v>
      </c>
      <c r="K479" s="1" t="s">
        <v>12</v>
      </c>
      <c r="L479" s="1" t="s">
        <v>7</v>
      </c>
      <c r="M479" s="1" t="s">
        <v>8</v>
      </c>
    </row>
    <row r="480" spans="1:13" x14ac:dyDescent="0.35">
      <c r="A480" s="1" t="s">
        <v>8</v>
      </c>
      <c r="B480" s="1" t="s">
        <v>276</v>
      </c>
      <c r="C480" s="1" t="s">
        <v>277</v>
      </c>
      <c r="D480" s="3" t="s">
        <v>278</v>
      </c>
      <c r="E480" s="3">
        <v>100</v>
      </c>
      <c r="F480" s="3">
        <v>100</v>
      </c>
      <c r="G480" s="1" t="s">
        <v>17</v>
      </c>
      <c r="H480" s="1" t="s">
        <v>17</v>
      </c>
      <c r="I480" s="1" t="s">
        <v>12</v>
      </c>
      <c r="J480" s="1">
        <v>0</v>
      </c>
      <c r="K480" s="1" t="s">
        <v>12</v>
      </c>
      <c r="L480" s="1" t="s">
        <v>7</v>
      </c>
      <c r="M480" s="1" t="s">
        <v>8</v>
      </c>
    </row>
    <row r="481" spans="1:13" x14ac:dyDescent="0.35">
      <c r="A481" s="1" t="s">
        <v>8</v>
      </c>
      <c r="B481" s="1" t="s">
        <v>283</v>
      </c>
      <c r="C481" s="1" t="s">
        <v>284</v>
      </c>
      <c r="D481" s="3" t="s">
        <v>285</v>
      </c>
      <c r="E481" s="3">
        <v>25</v>
      </c>
      <c r="F481" s="3">
        <v>25</v>
      </c>
      <c r="G481" s="1" t="s">
        <v>17</v>
      </c>
      <c r="H481" s="1" t="s">
        <v>17</v>
      </c>
      <c r="I481" s="1" t="s">
        <v>12</v>
      </c>
      <c r="J481" s="1">
        <v>0</v>
      </c>
      <c r="K481" s="1" t="s">
        <v>12</v>
      </c>
      <c r="L481" s="1" t="s">
        <v>7</v>
      </c>
      <c r="M481" s="1" t="s">
        <v>8</v>
      </c>
    </row>
    <row r="482" spans="1:13" x14ac:dyDescent="0.35">
      <c r="A482" s="1" t="s">
        <v>8</v>
      </c>
      <c r="B482" s="1" t="s">
        <v>283</v>
      </c>
      <c r="C482" s="1" t="s">
        <v>286</v>
      </c>
      <c r="D482" s="3" t="s">
        <v>285</v>
      </c>
      <c r="E482" s="3">
        <v>75</v>
      </c>
      <c r="F482" s="3">
        <v>75</v>
      </c>
      <c r="G482" s="1" t="s">
        <v>17</v>
      </c>
      <c r="H482" s="1" t="s">
        <v>17</v>
      </c>
      <c r="I482" s="1" t="s">
        <v>12</v>
      </c>
      <c r="J482" s="1">
        <v>0</v>
      </c>
      <c r="K482" s="1" t="s">
        <v>12</v>
      </c>
      <c r="L482" s="1" t="s">
        <v>7</v>
      </c>
      <c r="M482" s="1" t="s">
        <v>8</v>
      </c>
    </row>
    <row r="483" spans="1:13" x14ac:dyDescent="0.35">
      <c r="A483" s="1" t="s">
        <v>8</v>
      </c>
      <c r="B483" s="1" t="s">
        <v>299</v>
      </c>
      <c r="C483" s="1" t="s">
        <v>300</v>
      </c>
      <c r="D483" s="3" t="s">
        <v>301</v>
      </c>
      <c r="E483" s="3" t="s">
        <v>12</v>
      </c>
      <c r="F483" s="3" t="s">
        <v>12</v>
      </c>
      <c r="G483" s="1" t="s">
        <v>17</v>
      </c>
      <c r="H483" s="1" t="s">
        <v>17</v>
      </c>
      <c r="I483" s="1" t="s">
        <v>12</v>
      </c>
      <c r="J483" s="1">
        <v>0</v>
      </c>
      <c r="K483" s="1" t="s">
        <v>12</v>
      </c>
      <c r="L483" s="1" t="s">
        <v>7</v>
      </c>
      <c r="M483" s="1" t="s">
        <v>8</v>
      </c>
    </row>
    <row r="484" spans="1:13" x14ac:dyDescent="0.35">
      <c r="A484" s="1" t="s">
        <v>8</v>
      </c>
      <c r="B484" s="1" t="s">
        <v>302</v>
      </c>
      <c r="C484" s="1" t="s">
        <v>303</v>
      </c>
      <c r="D484" s="3" t="s">
        <v>304</v>
      </c>
      <c r="E484" s="3">
        <v>50</v>
      </c>
      <c r="F484" s="3">
        <v>50</v>
      </c>
      <c r="G484" s="1" t="s">
        <v>17</v>
      </c>
      <c r="H484" s="1" t="s">
        <v>17</v>
      </c>
      <c r="I484" s="1" t="s">
        <v>12</v>
      </c>
      <c r="J484" s="1">
        <v>0</v>
      </c>
      <c r="K484" s="1" t="s">
        <v>12</v>
      </c>
      <c r="L484" s="1" t="s">
        <v>7</v>
      </c>
      <c r="M484" s="1" t="s">
        <v>8</v>
      </c>
    </row>
    <row r="485" spans="1:13" x14ac:dyDescent="0.35">
      <c r="A485" s="1" t="s">
        <v>8</v>
      </c>
      <c r="B485" s="1" t="s">
        <v>302</v>
      </c>
      <c r="C485" s="1" t="s">
        <v>305</v>
      </c>
      <c r="D485" s="3" t="s">
        <v>304</v>
      </c>
      <c r="E485" s="3">
        <v>50</v>
      </c>
      <c r="F485" s="3">
        <v>50</v>
      </c>
      <c r="G485" s="1" t="s">
        <v>17</v>
      </c>
      <c r="H485" s="1" t="s">
        <v>17</v>
      </c>
      <c r="I485" s="1" t="s">
        <v>12</v>
      </c>
      <c r="J485" s="1">
        <v>0</v>
      </c>
      <c r="K485" s="1" t="s">
        <v>12</v>
      </c>
      <c r="L485" s="1" t="s">
        <v>7</v>
      </c>
      <c r="M485" s="1" t="s">
        <v>8</v>
      </c>
    </row>
    <row r="486" spans="1:13" x14ac:dyDescent="0.35">
      <c r="A486" s="1" t="s">
        <v>8</v>
      </c>
      <c r="B486" s="1" t="s">
        <v>338</v>
      </c>
      <c r="C486" s="1" t="s">
        <v>68</v>
      </c>
      <c r="D486" s="3" t="s">
        <v>339</v>
      </c>
      <c r="E486" s="3">
        <v>25</v>
      </c>
      <c r="F486" s="3">
        <v>25</v>
      </c>
      <c r="G486" s="1" t="s">
        <v>17</v>
      </c>
      <c r="H486" s="1" t="s">
        <v>17</v>
      </c>
      <c r="I486" s="1" t="s">
        <v>12</v>
      </c>
      <c r="J486" s="1">
        <v>0</v>
      </c>
      <c r="K486" s="1" t="s">
        <v>12</v>
      </c>
      <c r="L486" s="1" t="s">
        <v>7</v>
      </c>
      <c r="M486" s="1" t="s">
        <v>8</v>
      </c>
    </row>
    <row r="487" spans="1:13" x14ac:dyDescent="0.35">
      <c r="A487" s="1" t="s">
        <v>8</v>
      </c>
      <c r="B487" s="1" t="s">
        <v>590</v>
      </c>
      <c r="C487" s="1" t="s">
        <v>591</v>
      </c>
      <c r="D487" s="3" t="s">
        <v>592</v>
      </c>
      <c r="E487" s="3">
        <v>5</v>
      </c>
      <c r="F487" s="3">
        <v>5</v>
      </c>
      <c r="G487" s="1" t="s">
        <v>17</v>
      </c>
      <c r="H487" s="1" t="s">
        <v>17</v>
      </c>
      <c r="I487" s="1" t="s">
        <v>12</v>
      </c>
      <c r="J487" s="1">
        <v>0</v>
      </c>
      <c r="K487" s="1" t="s">
        <v>12</v>
      </c>
      <c r="L487" s="1" t="s">
        <v>7</v>
      </c>
      <c r="M487" s="1" t="s">
        <v>8</v>
      </c>
    </row>
    <row r="488" spans="1:13" x14ac:dyDescent="0.35">
      <c r="A488" s="1" t="s">
        <v>8</v>
      </c>
      <c r="B488" s="1" t="s">
        <v>590</v>
      </c>
      <c r="C488" s="1" t="s">
        <v>174</v>
      </c>
      <c r="D488" s="3" t="s">
        <v>592</v>
      </c>
      <c r="E488" s="3">
        <v>95</v>
      </c>
      <c r="F488" s="3">
        <v>95</v>
      </c>
      <c r="G488" s="1" t="s">
        <v>17</v>
      </c>
      <c r="H488" s="1" t="s">
        <v>17</v>
      </c>
      <c r="I488" s="1" t="s">
        <v>12</v>
      </c>
      <c r="J488" s="1">
        <v>0</v>
      </c>
      <c r="K488" s="1" t="s">
        <v>12</v>
      </c>
      <c r="L488" s="1" t="s">
        <v>7</v>
      </c>
      <c r="M488" s="1" t="s">
        <v>8</v>
      </c>
    </row>
    <row r="489" spans="1:13" x14ac:dyDescent="0.35">
      <c r="A489" s="1" t="s">
        <v>8</v>
      </c>
      <c r="B489" s="1" t="s">
        <v>593</v>
      </c>
      <c r="C489" s="1" t="s">
        <v>594</v>
      </c>
      <c r="D489" s="3" t="s">
        <v>595</v>
      </c>
      <c r="E489" s="3">
        <v>20</v>
      </c>
      <c r="F489" s="3">
        <v>20</v>
      </c>
      <c r="G489" s="1" t="s">
        <v>17</v>
      </c>
      <c r="H489" s="1" t="s">
        <v>17</v>
      </c>
      <c r="I489" s="1" t="s">
        <v>12</v>
      </c>
      <c r="J489" s="1">
        <v>0</v>
      </c>
      <c r="K489" s="1" t="s">
        <v>12</v>
      </c>
      <c r="L489" s="1" t="s">
        <v>7</v>
      </c>
      <c r="M489" s="1" t="s">
        <v>8</v>
      </c>
    </row>
    <row r="490" spans="1:13" x14ac:dyDescent="0.35">
      <c r="A490" s="1" t="s">
        <v>8</v>
      </c>
      <c r="B490" s="1" t="s">
        <v>593</v>
      </c>
      <c r="C490" s="1" t="s">
        <v>596</v>
      </c>
      <c r="D490" s="3" t="s">
        <v>595</v>
      </c>
      <c r="E490" s="3">
        <v>80</v>
      </c>
      <c r="F490" s="3">
        <v>80</v>
      </c>
      <c r="G490" s="1" t="s">
        <v>17</v>
      </c>
      <c r="H490" s="1" t="s">
        <v>17</v>
      </c>
      <c r="I490" s="1" t="s">
        <v>12</v>
      </c>
      <c r="J490" s="1">
        <v>0</v>
      </c>
      <c r="K490" s="1" t="s">
        <v>12</v>
      </c>
      <c r="L490" s="1" t="s">
        <v>7</v>
      </c>
      <c r="M490" s="1" t="s">
        <v>8</v>
      </c>
    </row>
    <row r="491" spans="1:13" x14ac:dyDescent="0.35">
      <c r="A491" s="1" t="s">
        <v>8</v>
      </c>
      <c r="B491" s="1" t="s">
        <v>467</v>
      </c>
      <c r="C491" s="1" t="s">
        <v>468</v>
      </c>
      <c r="D491" s="3" t="s">
        <v>469</v>
      </c>
      <c r="E491" s="3">
        <v>5</v>
      </c>
      <c r="F491" s="3">
        <v>5</v>
      </c>
      <c r="G491" s="1" t="s">
        <v>17</v>
      </c>
      <c r="H491" s="1" t="s">
        <v>17</v>
      </c>
      <c r="I491" s="1" t="s">
        <v>12</v>
      </c>
      <c r="J491" s="1">
        <v>0</v>
      </c>
      <c r="K491" s="1" t="s">
        <v>12</v>
      </c>
      <c r="L491" s="1" t="s">
        <v>7</v>
      </c>
      <c r="M491" s="1" t="s">
        <v>8</v>
      </c>
    </row>
    <row r="492" spans="1:13" x14ac:dyDescent="0.35">
      <c r="A492" s="1" t="s">
        <v>8</v>
      </c>
      <c r="B492" s="1" t="s">
        <v>467</v>
      </c>
      <c r="C492" s="1" t="s">
        <v>470</v>
      </c>
      <c r="D492" s="3" t="s">
        <v>469</v>
      </c>
      <c r="E492" s="3">
        <v>90</v>
      </c>
      <c r="F492" s="3">
        <v>90</v>
      </c>
      <c r="G492" s="1" t="s">
        <v>17</v>
      </c>
      <c r="H492" s="1" t="s">
        <v>17</v>
      </c>
      <c r="I492" s="1" t="s">
        <v>12</v>
      </c>
      <c r="J492" s="1">
        <v>0</v>
      </c>
      <c r="K492" s="1" t="s">
        <v>12</v>
      </c>
      <c r="L492" s="1" t="s">
        <v>7</v>
      </c>
      <c r="M492" s="1" t="s">
        <v>8</v>
      </c>
    </row>
    <row r="493" spans="1:13" x14ac:dyDescent="0.35">
      <c r="A493" s="1" t="s">
        <v>8</v>
      </c>
      <c r="B493" s="1" t="s">
        <v>467</v>
      </c>
      <c r="C493" s="1" t="s">
        <v>471</v>
      </c>
      <c r="D493" s="3" t="s">
        <v>469</v>
      </c>
      <c r="E493" s="3">
        <v>5</v>
      </c>
      <c r="F493" s="3">
        <v>5</v>
      </c>
      <c r="G493" s="1" t="s">
        <v>17</v>
      </c>
      <c r="H493" s="1" t="s">
        <v>17</v>
      </c>
      <c r="I493" s="1" t="s">
        <v>12</v>
      </c>
      <c r="J493" s="1">
        <v>0</v>
      </c>
      <c r="K493" s="1" t="s">
        <v>12</v>
      </c>
      <c r="L493" s="1" t="s">
        <v>7</v>
      </c>
      <c r="M493" s="1" t="s">
        <v>8</v>
      </c>
    </row>
    <row r="494" spans="1:13" x14ac:dyDescent="0.35">
      <c r="A494" s="1" t="s">
        <v>8</v>
      </c>
      <c r="B494" s="1" t="s">
        <v>306</v>
      </c>
      <c r="C494" s="1" t="s">
        <v>307</v>
      </c>
      <c r="D494" s="3" t="s">
        <v>308</v>
      </c>
      <c r="E494" s="3" t="s">
        <v>12</v>
      </c>
      <c r="F494" s="3" t="s">
        <v>12</v>
      </c>
      <c r="G494" s="1" t="s">
        <v>17</v>
      </c>
      <c r="H494" s="1" t="s">
        <v>17</v>
      </c>
      <c r="I494" s="1" t="s">
        <v>12</v>
      </c>
      <c r="J494" s="1">
        <v>0</v>
      </c>
      <c r="K494" s="1" t="s">
        <v>12</v>
      </c>
      <c r="L494" s="1" t="s">
        <v>7</v>
      </c>
      <c r="M494" s="1" t="s">
        <v>8</v>
      </c>
    </row>
    <row r="495" spans="1:13" x14ac:dyDescent="0.35">
      <c r="A495" s="1" t="s">
        <v>8</v>
      </c>
      <c r="B495" s="1" t="s">
        <v>309</v>
      </c>
      <c r="C495" s="1" t="s">
        <v>310</v>
      </c>
      <c r="D495" s="3" t="s">
        <v>311</v>
      </c>
      <c r="E495" s="3">
        <v>100</v>
      </c>
      <c r="F495" s="3">
        <v>100</v>
      </c>
      <c r="G495" s="1" t="s">
        <v>17</v>
      </c>
      <c r="H495" s="1" t="s">
        <v>17</v>
      </c>
      <c r="I495" s="1" t="s">
        <v>12</v>
      </c>
      <c r="J495" s="1">
        <v>0</v>
      </c>
      <c r="K495" s="1" t="s">
        <v>12</v>
      </c>
      <c r="L495" s="1" t="s">
        <v>7</v>
      </c>
      <c r="M495" s="1" t="s">
        <v>8</v>
      </c>
    </row>
    <row r="496" spans="1:13" x14ac:dyDescent="0.35">
      <c r="A496" s="1" t="s">
        <v>8</v>
      </c>
      <c r="B496" s="1" t="s">
        <v>338</v>
      </c>
      <c r="C496" s="1" t="s">
        <v>340</v>
      </c>
      <c r="D496" s="3" t="s">
        <v>339</v>
      </c>
      <c r="E496" s="3">
        <v>75</v>
      </c>
      <c r="F496" s="3">
        <v>75</v>
      </c>
      <c r="G496" s="1" t="s">
        <v>17</v>
      </c>
      <c r="H496" s="1" t="s">
        <v>17</v>
      </c>
      <c r="I496" s="1" t="s">
        <v>12</v>
      </c>
      <c r="J496" s="1">
        <v>0</v>
      </c>
      <c r="K496" s="1" t="s">
        <v>12</v>
      </c>
      <c r="L496" s="1" t="s">
        <v>7</v>
      </c>
      <c r="M496" s="1" t="s">
        <v>8</v>
      </c>
    </row>
    <row r="497" spans="1:13" x14ac:dyDescent="0.35">
      <c r="A497" s="1" t="s">
        <v>8</v>
      </c>
      <c r="B497" s="1" t="s">
        <v>252</v>
      </c>
      <c r="C497" s="1" t="s">
        <v>253</v>
      </c>
      <c r="D497" s="3" t="s">
        <v>254</v>
      </c>
      <c r="E497" s="3">
        <v>30</v>
      </c>
      <c r="F497" s="3">
        <v>30</v>
      </c>
      <c r="G497" s="1" t="s">
        <v>17</v>
      </c>
      <c r="H497" s="1" t="s">
        <v>17</v>
      </c>
      <c r="I497" s="1" t="s">
        <v>12</v>
      </c>
      <c r="J497" s="1">
        <v>0</v>
      </c>
      <c r="K497" s="1" t="s">
        <v>12</v>
      </c>
      <c r="L497" s="1" t="s">
        <v>7</v>
      </c>
      <c r="M497" s="1" t="s">
        <v>8</v>
      </c>
    </row>
    <row r="498" spans="1:13" x14ac:dyDescent="0.35">
      <c r="A498" s="1" t="s">
        <v>8</v>
      </c>
      <c r="B498" s="1" t="s">
        <v>252</v>
      </c>
      <c r="C498" s="1" t="s">
        <v>255</v>
      </c>
      <c r="D498" s="3" t="s">
        <v>254</v>
      </c>
      <c r="E498" s="3">
        <v>30</v>
      </c>
      <c r="F498" s="3">
        <v>30</v>
      </c>
      <c r="G498" s="1" t="s">
        <v>17</v>
      </c>
      <c r="H498" s="1" t="s">
        <v>17</v>
      </c>
      <c r="I498" s="1" t="s">
        <v>12</v>
      </c>
      <c r="J498" s="1">
        <v>0</v>
      </c>
      <c r="K498" s="1" t="s">
        <v>12</v>
      </c>
      <c r="L498" s="1" t="s">
        <v>7</v>
      </c>
      <c r="M498" s="1" t="s">
        <v>8</v>
      </c>
    </row>
    <row r="499" spans="1:13" x14ac:dyDescent="0.35">
      <c r="A499" s="1" t="s">
        <v>8</v>
      </c>
      <c r="B499" s="1" t="s">
        <v>252</v>
      </c>
      <c r="C499" s="1" t="s">
        <v>193</v>
      </c>
      <c r="D499" s="3" t="s">
        <v>254</v>
      </c>
      <c r="E499" s="3">
        <v>40</v>
      </c>
      <c r="F499" s="3">
        <v>40</v>
      </c>
      <c r="G499" s="1" t="s">
        <v>17</v>
      </c>
      <c r="H499" s="1" t="s">
        <v>17</v>
      </c>
      <c r="I499" s="1" t="s">
        <v>12</v>
      </c>
      <c r="J499" s="1">
        <v>0</v>
      </c>
      <c r="K499" s="1" t="s">
        <v>12</v>
      </c>
      <c r="L499" s="1" t="s">
        <v>7</v>
      </c>
      <c r="M499" s="1" t="s">
        <v>8</v>
      </c>
    </row>
    <row r="500" spans="1:13" x14ac:dyDescent="0.35">
      <c r="A500" s="1" t="s">
        <v>980</v>
      </c>
      <c r="B500" s="1" t="s">
        <v>1241</v>
      </c>
      <c r="C500" s="1" t="s">
        <v>987</v>
      </c>
      <c r="D500" s="3" t="s">
        <v>982</v>
      </c>
      <c r="E500" s="3">
        <v>15</v>
      </c>
      <c r="F500" s="3">
        <v>15</v>
      </c>
      <c r="G500" s="1" t="s">
        <v>59</v>
      </c>
      <c r="H500" s="1" t="s">
        <v>59</v>
      </c>
      <c r="I500" s="1" t="s">
        <v>12</v>
      </c>
      <c r="J500" s="1">
        <v>0</v>
      </c>
      <c r="K500" s="1" t="s">
        <v>12</v>
      </c>
      <c r="L500" s="1" t="s">
        <v>7</v>
      </c>
      <c r="M500" s="1" t="s">
        <v>980</v>
      </c>
    </row>
    <row r="501" spans="1:13" x14ac:dyDescent="0.35">
      <c r="A501" s="1" t="s">
        <v>8</v>
      </c>
      <c r="B501" s="1" t="s">
        <v>638</v>
      </c>
      <c r="C501" s="1" t="s">
        <v>639</v>
      </c>
      <c r="D501" s="3" t="s">
        <v>640</v>
      </c>
      <c r="E501" s="3">
        <v>100</v>
      </c>
      <c r="F501" s="3">
        <v>100</v>
      </c>
      <c r="G501" s="1" t="s">
        <v>17</v>
      </c>
      <c r="H501" s="1" t="s">
        <v>17</v>
      </c>
      <c r="I501" s="1" t="s">
        <v>12</v>
      </c>
      <c r="J501" s="1">
        <v>0</v>
      </c>
      <c r="K501" s="1" t="s">
        <v>12</v>
      </c>
      <c r="L501" s="1" t="s">
        <v>7</v>
      </c>
      <c r="M501" s="1" t="s">
        <v>8</v>
      </c>
    </row>
    <row r="502" spans="1:13" x14ac:dyDescent="0.35">
      <c r="A502" s="1" t="s">
        <v>980</v>
      </c>
      <c r="B502" s="1" t="s">
        <v>1241</v>
      </c>
      <c r="C502" s="1" t="s">
        <v>988</v>
      </c>
      <c r="D502" s="3" t="s">
        <v>982</v>
      </c>
      <c r="E502" s="3" t="s">
        <v>983</v>
      </c>
      <c r="F502" s="3" t="s">
        <v>983</v>
      </c>
      <c r="G502" s="1" t="s">
        <v>17</v>
      </c>
      <c r="H502" s="1" t="s">
        <v>17</v>
      </c>
      <c r="I502" s="1" t="s">
        <v>12</v>
      </c>
      <c r="J502" s="1">
        <v>0</v>
      </c>
      <c r="K502" s="1" t="s">
        <v>12</v>
      </c>
      <c r="L502" s="1" t="s">
        <v>7</v>
      </c>
      <c r="M502" s="1" t="s">
        <v>980</v>
      </c>
    </row>
    <row r="503" spans="1:13" x14ac:dyDescent="0.35">
      <c r="A503" s="1" t="s">
        <v>980</v>
      </c>
      <c r="B503" s="1" t="s">
        <v>1242</v>
      </c>
      <c r="C503" s="1" t="s">
        <v>991</v>
      </c>
      <c r="D503" s="3" t="s">
        <v>992</v>
      </c>
      <c r="E503" s="3">
        <v>100</v>
      </c>
      <c r="F503" s="3">
        <v>100</v>
      </c>
      <c r="G503" s="1" t="s">
        <v>17</v>
      </c>
      <c r="H503" s="1" t="s">
        <v>17</v>
      </c>
      <c r="I503" s="1" t="s">
        <v>12</v>
      </c>
      <c r="J503" s="1">
        <v>0</v>
      </c>
      <c r="K503" s="1" t="s">
        <v>12</v>
      </c>
      <c r="L503" s="1" t="s">
        <v>7</v>
      </c>
      <c r="M503" s="1" t="s">
        <v>980</v>
      </c>
    </row>
    <row r="504" spans="1:13" x14ac:dyDescent="0.35">
      <c r="A504" s="1" t="s">
        <v>8</v>
      </c>
      <c r="B504" s="1" t="s">
        <v>720</v>
      </c>
      <c r="C504" s="1" t="s">
        <v>721</v>
      </c>
      <c r="D504" s="3" t="s">
        <v>722</v>
      </c>
      <c r="E504" s="3">
        <v>100</v>
      </c>
      <c r="F504" s="3">
        <v>100</v>
      </c>
      <c r="G504" s="1" t="s">
        <v>17</v>
      </c>
      <c r="H504" s="1" t="s">
        <v>17</v>
      </c>
      <c r="I504" s="1" t="s">
        <v>12</v>
      </c>
      <c r="J504" s="1">
        <v>0</v>
      </c>
      <c r="K504" s="1" t="s">
        <v>12</v>
      </c>
      <c r="L504" s="1" t="s">
        <v>7</v>
      </c>
      <c r="M504" s="1" t="s">
        <v>8</v>
      </c>
    </row>
    <row r="505" spans="1:13" x14ac:dyDescent="0.35">
      <c r="A505" s="1" t="s">
        <v>8</v>
      </c>
      <c r="B505" s="1" t="s">
        <v>179</v>
      </c>
      <c r="C505" s="1" t="s">
        <v>180</v>
      </c>
      <c r="D505" s="3" t="s">
        <v>181</v>
      </c>
      <c r="E505" s="3">
        <v>14</v>
      </c>
      <c r="F505" s="3" t="s">
        <v>12</v>
      </c>
      <c r="G505" s="1" t="s">
        <v>182</v>
      </c>
      <c r="H505" s="1" t="s">
        <v>182</v>
      </c>
      <c r="I505" s="1" t="s">
        <v>12</v>
      </c>
      <c r="J505" s="1">
        <v>0</v>
      </c>
      <c r="K505" s="1" t="s">
        <v>12</v>
      </c>
      <c r="L505" s="1" t="s">
        <v>7</v>
      </c>
      <c r="M505" s="1" t="s">
        <v>8</v>
      </c>
    </row>
    <row r="506" spans="1:13" x14ac:dyDescent="0.35">
      <c r="A506" s="1" t="s">
        <v>8</v>
      </c>
      <c r="B506" s="1" t="s">
        <v>179</v>
      </c>
      <c r="C506" s="1" t="s">
        <v>183</v>
      </c>
      <c r="D506" s="3" t="s">
        <v>181</v>
      </c>
      <c r="E506" s="3">
        <v>23</v>
      </c>
      <c r="F506" s="3" t="s">
        <v>12</v>
      </c>
      <c r="G506" s="1" t="s">
        <v>17</v>
      </c>
      <c r="H506" s="1" t="s">
        <v>17</v>
      </c>
      <c r="I506" s="1" t="s">
        <v>12</v>
      </c>
      <c r="J506" s="1">
        <v>0</v>
      </c>
      <c r="K506" s="1" t="s">
        <v>12</v>
      </c>
      <c r="L506" s="1" t="s">
        <v>7</v>
      </c>
      <c r="M506" s="1" t="s">
        <v>8</v>
      </c>
    </row>
    <row r="507" spans="1:13" x14ac:dyDescent="0.35">
      <c r="A507" s="1" t="s">
        <v>8</v>
      </c>
      <c r="B507" s="1" t="s">
        <v>179</v>
      </c>
      <c r="C507" s="1" t="s">
        <v>184</v>
      </c>
      <c r="D507" s="3" t="s">
        <v>181</v>
      </c>
      <c r="E507" s="3">
        <v>13</v>
      </c>
      <c r="F507" s="3" t="s">
        <v>12</v>
      </c>
      <c r="G507" s="1" t="s">
        <v>17</v>
      </c>
      <c r="H507" s="1" t="s">
        <v>17</v>
      </c>
      <c r="I507" s="1" t="s">
        <v>12</v>
      </c>
      <c r="J507" s="1">
        <v>0</v>
      </c>
      <c r="K507" s="1" t="s">
        <v>12</v>
      </c>
      <c r="L507" s="1" t="s">
        <v>7</v>
      </c>
      <c r="M507" s="1" t="s">
        <v>8</v>
      </c>
    </row>
    <row r="508" spans="1:13" x14ac:dyDescent="0.35">
      <c r="A508" s="1" t="s">
        <v>8</v>
      </c>
      <c r="B508" s="1" t="s">
        <v>366</v>
      </c>
      <c r="C508" s="1" t="s">
        <v>68</v>
      </c>
      <c r="D508" s="3" t="s">
        <v>367</v>
      </c>
      <c r="E508" s="3">
        <v>50</v>
      </c>
      <c r="F508" s="3">
        <v>50</v>
      </c>
      <c r="G508" s="1" t="s">
        <v>17</v>
      </c>
      <c r="H508" s="1" t="s">
        <v>17</v>
      </c>
      <c r="I508" s="1" t="s">
        <v>12</v>
      </c>
      <c r="J508" s="1">
        <v>0</v>
      </c>
      <c r="K508" s="1" t="s">
        <v>12</v>
      </c>
      <c r="L508" s="1" t="s">
        <v>7</v>
      </c>
      <c r="M508" s="1" t="s">
        <v>8</v>
      </c>
    </row>
    <row r="509" spans="1:13" x14ac:dyDescent="0.35">
      <c r="A509" s="1" t="s">
        <v>8</v>
      </c>
      <c r="B509" s="1" t="s">
        <v>353</v>
      </c>
      <c r="C509" s="1" t="s">
        <v>354</v>
      </c>
      <c r="D509" s="3" t="s">
        <v>355</v>
      </c>
      <c r="E509" s="3">
        <v>100</v>
      </c>
      <c r="F509" s="3">
        <v>100</v>
      </c>
      <c r="G509" s="1" t="s">
        <v>17</v>
      </c>
      <c r="H509" s="1" t="s">
        <v>17</v>
      </c>
      <c r="I509" s="1" t="s">
        <v>12</v>
      </c>
      <c r="J509" s="1">
        <v>0</v>
      </c>
      <c r="K509" s="1" t="s">
        <v>12</v>
      </c>
      <c r="L509" s="1" t="s">
        <v>7</v>
      </c>
      <c r="M509" s="1" t="s">
        <v>8</v>
      </c>
    </row>
    <row r="510" spans="1:13" x14ac:dyDescent="0.35">
      <c r="A510" s="1" t="s">
        <v>8</v>
      </c>
      <c r="B510" s="1" t="s">
        <v>366</v>
      </c>
      <c r="C510" s="1" t="s">
        <v>68</v>
      </c>
      <c r="D510" s="3" t="s">
        <v>1072</v>
      </c>
      <c r="E510" s="3">
        <v>150</v>
      </c>
      <c r="F510" s="3">
        <v>150</v>
      </c>
      <c r="G510" s="1" t="s">
        <v>17</v>
      </c>
      <c r="H510" s="1" t="s">
        <v>17</v>
      </c>
      <c r="I510" s="1" t="s">
        <v>12</v>
      </c>
      <c r="J510" s="1">
        <v>0</v>
      </c>
      <c r="K510" s="1" t="s">
        <v>12</v>
      </c>
      <c r="L510" s="1" t="s">
        <v>7</v>
      </c>
      <c r="M510" s="1" t="s">
        <v>8</v>
      </c>
    </row>
    <row r="511" spans="1:13" x14ac:dyDescent="0.35">
      <c r="A511" s="1" t="s">
        <v>8</v>
      </c>
      <c r="B511" s="1" t="s">
        <v>353</v>
      </c>
      <c r="C511" s="1" t="s">
        <v>354</v>
      </c>
      <c r="D511" s="3" t="s">
        <v>1073</v>
      </c>
      <c r="E511" s="3">
        <v>200</v>
      </c>
      <c r="F511" s="3">
        <v>200</v>
      </c>
      <c r="G511" s="1" t="s">
        <v>17</v>
      </c>
      <c r="H511" s="1" t="s">
        <v>17</v>
      </c>
      <c r="I511" s="1" t="s">
        <v>12</v>
      </c>
      <c r="J511" s="1">
        <v>0</v>
      </c>
      <c r="K511" s="1" t="s">
        <v>12</v>
      </c>
      <c r="L511" s="1" t="s">
        <v>7</v>
      </c>
      <c r="M511" s="1" t="s">
        <v>8</v>
      </c>
    </row>
    <row r="512" spans="1:13" x14ac:dyDescent="0.35">
      <c r="A512" s="1" t="s">
        <v>8</v>
      </c>
      <c r="B512" s="1" t="s">
        <v>179</v>
      </c>
      <c r="C512" s="1" t="s">
        <v>185</v>
      </c>
      <c r="D512" s="3" t="s">
        <v>181</v>
      </c>
      <c r="E512" s="3">
        <v>50</v>
      </c>
      <c r="F512" s="3" t="s">
        <v>12</v>
      </c>
      <c r="G512" s="1" t="s">
        <v>182</v>
      </c>
      <c r="H512" s="1" t="s">
        <v>182</v>
      </c>
      <c r="I512" s="1" t="s">
        <v>12</v>
      </c>
      <c r="J512" s="1">
        <v>0</v>
      </c>
      <c r="K512" s="1" t="s">
        <v>12</v>
      </c>
      <c r="L512" s="1" t="s">
        <v>7</v>
      </c>
      <c r="M512" s="1" t="s">
        <v>8</v>
      </c>
    </row>
    <row r="513" spans="1:13" x14ac:dyDescent="0.35">
      <c r="A513" s="1" t="s">
        <v>8</v>
      </c>
      <c r="B513" s="1" t="s">
        <v>195</v>
      </c>
      <c r="C513" s="1" t="s">
        <v>196</v>
      </c>
      <c r="D513" s="3" t="s">
        <v>197</v>
      </c>
      <c r="E513" s="3" t="s">
        <v>12</v>
      </c>
      <c r="F513" s="3">
        <v>70</v>
      </c>
      <c r="G513" s="1" t="s">
        <v>17</v>
      </c>
      <c r="H513" s="1" t="s">
        <v>17</v>
      </c>
      <c r="I513" s="1" t="s">
        <v>12</v>
      </c>
      <c r="J513" s="1" t="s">
        <v>12</v>
      </c>
      <c r="K513" s="1" t="s">
        <v>12</v>
      </c>
      <c r="L513" s="1" t="s">
        <v>7</v>
      </c>
      <c r="M513" s="1" t="s">
        <v>8</v>
      </c>
    </row>
    <row r="514" spans="1:13" x14ac:dyDescent="0.35">
      <c r="A514" s="1" t="s">
        <v>8</v>
      </c>
      <c r="B514" s="1" t="s">
        <v>195</v>
      </c>
      <c r="C514" s="1" t="s">
        <v>198</v>
      </c>
      <c r="D514" s="3" t="s">
        <v>197</v>
      </c>
      <c r="E514" s="3">
        <v>30</v>
      </c>
      <c r="F514" s="3">
        <v>30</v>
      </c>
      <c r="G514" s="1" t="s">
        <v>17</v>
      </c>
      <c r="H514" s="1" t="s">
        <v>17</v>
      </c>
      <c r="I514" s="1" t="s">
        <v>12</v>
      </c>
      <c r="J514" s="1">
        <v>0</v>
      </c>
      <c r="K514" s="1" t="s">
        <v>12</v>
      </c>
      <c r="L514" s="1" t="s">
        <v>7</v>
      </c>
      <c r="M514" s="1" t="s">
        <v>8</v>
      </c>
    </row>
    <row r="515" spans="1:13" x14ac:dyDescent="0.35">
      <c r="A515" s="1" t="s">
        <v>8</v>
      </c>
      <c r="B515" s="1" t="s">
        <v>220</v>
      </c>
      <c r="C515" s="1" t="s">
        <v>221</v>
      </c>
      <c r="D515" s="3" t="s">
        <v>222</v>
      </c>
      <c r="E515" s="3">
        <v>100</v>
      </c>
      <c r="F515" s="3">
        <v>100</v>
      </c>
      <c r="G515" s="1" t="s">
        <v>17</v>
      </c>
      <c r="H515" s="1" t="s">
        <v>17</v>
      </c>
      <c r="I515" s="1" t="s">
        <v>12</v>
      </c>
      <c r="J515" s="1">
        <v>0</v>
      </c>
      <c r="K515" s="1" t="s">
        <v>12</v>
      </c>
      <c r="L515" s="1" t="s">
        <v>7</v>
      </c>
      <c r="M515" s="1" t="s">
        <v>8</v>
      </c>
    </row>
    <row r="516" spans="1:13" x14ac:dyDescent="0.35">
      <c r="A516" s="1" t="s">
        <v>8</v>
      </c>
      <c r="B516" s="1" t="s">
        <v>241</v>
      </c>
      <c r="C516" s="1" t="s">
        <v>242</v>
      </c>
      <c r="D516" s="3" t="s">
        <v>243</v>
      </c>
      <c r="E516" s="3">
        <v>100</v>
      </c>
      <c r="F516" s="3" t="s">
        <v>12</v>
      </c>
      <c r="G516" s="1" t="s">
        <v>17</v>
      </c>
      <c r="H516" s="1" t="s">
        <v>17</v>
      </c>
      <c r="I516" s="1" t="s">
        <v>12</v>
      </c>
      <c r="J516" s="1">
        <v>0</v>
      </c>
      <c r="K516" s="1" t="s">
        <v>12</v>
      </c>
      <c r="L516" s="1" t="s">
        <v>7</v>
      </c>
      <c r="M516" s="1" t="s">
        <v>8</v>
      </c>
    </row>
    <row r="517" spans="1:13" x14ac:dyDescent="0.35">
      <c r="A517" s="1" t="s">
        <v>8</v>
      </c>
      <c r="B517" s="1" t="s">
        <v>229</v>
      </c>
      <c r="C517" s="1" t="s">
        <v>230</v>
      </c>
      <c r="D517" s="3" t="s">
        <v>231</v>
      </c>
      <c r="E517" s="3" t="s">
        <v>12</v>
      </c>
      <c r="F517" s="3" t="s">
        <v>12</v>
      </c>
      <c r="G517" s="1" t="s">
        <v>17</v>
      </c>
      <c r="H517" s="1" t="s">
        <v>17</v>
      </c>
      <c r="I517" s="1" t="s">
        <v>12</v>
      </c>
      <c r="J517" s="1">
        <v>0</v>
      </c>
      <c r="K517" s="1" t="s">
        <v>12</v>
      </c>
      <c r="L517" s="1" t="s">
        <v>7</v>
      </c>
      <c r="M517" s="1" t="s">
        <v>8</v>
      </c>
    </row>
    <row r="518" spans="1:13" x14ac:dyDescent="0.35">
      <c r="A518" s="1" t="s">
        <v>8</v>
      </c>
      <c r="B518" s="1" t="s">
        <v>207</v>
      </c>
      <c r="C518" s="1" t="s">
        <v>208</v>
      </c>
      <c r="D518" s="3" t="s">
        <v>209</v>
      </c>
      <c r="E518" s="3">
        <v>100</v>
      </c>
      <c r="F518" s="3">
        <v>100</v>
      </c>
      <c r="G518" s="1" t="s">
        <v>17</v>
      </c>
      <c r="H518" s="1" t="s">
        <v>17</v>
      </c>
      <c r="I518" s="1" t="s">
        <v>12</v>
      </c>
      <c r="J518" s="1">
        <v>0</v>
      </c>
      <c r="K518" s="1" t="s">
        <v>12</v>
      </c>
      <c r="L518" s="1" t="s">
        <v>7</v>
      </c>
      <c r="M518" s="1" t="s">
        <v>8</v>
      </c>
    </row>
    <row r="519" spans="1:13" x14ac:dyDescent="0.35">
      <c r="A519" s="1" t="s">
        <v>980</v>
      </c>
      <c r="B519" s="1" t="s">
        <v>1243</v>
      </c>
      <c r="C519" s="1" t="s">
        <v>1007</v>
      </c>
      <c r="D519" s="3" t="s">
        <v>1008</v>
      </c>
      <c r="E519" s="3">
        <v>100</v>
      </c>
      <c r="F519" s="3">
        <v>100</v>
      </c>
      <c r="G519" s="1" t="s">
        <v>17</v>
      </c>
      <c r="H519" s="1" t="s">
        <v>17</v>
      </c>
      <c r="I519" s="1" t="s">
        <v>12</v>
      </c>
      <c r="J519" s="1">
        <v>0</v>
      </c>
      <c r="K519" s="1" t="s">
        <v>12</v>
      </c>
      <c r="L519" s="1" t="s">
        <v>7</v>
      </c>
      <c r="M519" s="1" t="s">
        <v>980</v>
      </c>
    </row>
    <row r="520" spans="1:13" x14ac:dyDescent="0.35">
      <c r="A520" s="1" t="s">
        <v>8</v>
      </c>
      <c r="B520" s="1" t="s">
        <v>67</v>
      </c>
      <c r="C520" s="1" t="s">
        <v>68</v>
      </c>
      <c r="D520" s="3" t="s">
        <v>69</v>
      </c>
      <c r="E520" s="3">
        <v>50</v>
      </c>
      <c r="F520" s="3">
        <v>50</v>
      </c>
      <c r="G520" s="1" t="s">
        <v>17</v>
      </c>
      <c r="H520" s="1" t="s">
        <v>17</v>
      </c>
      <c r="I520" s="1" t="s">
        <v>12</v>
      </c>
      <c r="J520" s="1">
        <v>0</v>
      </c>
      <c r="K520" s="1" t="s">
        <v>12</v>
      </c>
      <c r="L520" s="1" t="s">
        <v>7</v>
      </c>
      <c r="M520" s="1" t="s">
        <v>8</v>
      </c>
    </row>
    <row r="521" spans="1:13" x14ac:dyDescent="0.35">
      <c r="A521" s="1" t="s">
        <v>8</v>
      </c>
      <c r="B521" s="1" t="s">
        <v>67</v>
      </c>
      <c r="C521" s="1" t="s">
        <v>70</v>
      </c>
      <c r="D521" s="3" t="s">
        <v>69</v>
      </c>
      <c r="E521" s="3">
        <v>50</v>
      </c>
      <c r="F521" s="3">
        <v>50</v>
      </c>
      <c r="G521" s="1" t="s">
        <v>17</v>
      </c>
      <c r="H521" s="1" t="s">
        <v>17</v>
      </c>
      <c r="I521" s="1" t="s">
        <v>12</v>
      </c>
      <c r="J521" s="1">
        <v>0</v>
      </c>
      <c r="K521" s="1" t="s">
        <v>12</v>
      </c>
      <c r="L521" s="1" t="s">
        <v>7</v>
      </c>
      <c r="M521" s="1" t="s">
        <v>8</v>
      </c>
    </row>
    <row r="522" spans="1:13" x14ac:dyDescent="0.35">
      <c r="A522" s="1" t="s">
        <v>8</v>
      </c>
      <c r="B522" s="1" t="s">
        <v>608</v>
      </c>
      <c r="C522" s="1" t="s">
        <v>609</v>
      </c>
      <c r="D522" s="3" t="s">
        <v>610</v>
      </c>
      <c r="E522" s="3">
        <v>90</v>
      </c>
      <c r="F522" s="3" t="s">
        <v>12</v>
      </c>
      <c r="G522" s="1" t="s">
        <v>17</v>
      </c>
      <c r="H522" s="1" t="s">
        <v>17</v>
      </c>
      <c r="I522" s="1" t="s">
        <v>12</v>
      </c>
      <c r="J522" s="1">
        <v>0</v>
      </c>
      <c r="K522" s="1" t="s">
        <v>12</v>
      </c>
      <c r="L522" s="1" t="s">
        <v>7</v>
      </c>
      <c r="M522" s="1" t="s">
        <v>8</v>
      </c>
    </row>
    <row r="523" spans="1:13" x14ac:dyDescent="0.35">
      <c r="A523" s="1" t="s">
        <v>8</v>
      </c>
      <c r="B523" s="1" t="s">
        <v>757</v>
      </c>
      <c r="C523" s="1" t="s">
        <v>758</v>
      </c>
      <c r="D523" s="3" t="s">
        <v>759</v>
      </c>
      <c r="E523" s="3">
        <v>50</v>
      </c>
      <c r="F523" s="3" t="s">
        <v>12</v>
      </c>
      <c r="G523" s="1" t="s">
        <v>17</v>
      </c>
      <c r="H523" s="1" t="s">
        <v>17</v>
      </c>
      <c r="I523" s="1" t="s">
        <v>12</v>
      </c>
      <c r="J523" s="1">
        <v>0</v>
      </c>
      <c r="K523" s="1" t="s">
        <v>12</v>
      </c>
      <c r="L523" s="1" t="s">
        <v>7</v>
      </c>
      <c r="M523" s="1" t="s">
        <v>8</v>
      </c>
    </row>
    <row r="524" spans="1:13" x14ac:dyDescent="0.35">
      <c r="A524" s="1" t="s">
        <v>8</v>
      </c>
      <c r="B524" s="1" t="s">
        <v>757</v>
      </c>
      <c r="C524" s="1" t="s">
        <v>760</v>
      </c>
      <c r="D524" s="3" t="s">
        <v>759</v>
      </c>
      <c r="E524" s="3">
        <v>50</v>
      </c>
      <c r="F524" s="3" t="s">
        <v>12</v>
      </c>
      <c r="G524" s="1" t="s">
        <v>17</v>
      </c>
      <c r="H524" s="1" t="s">
        <v>17</v>
      </c>
      <c r="I524" s="1" t="s">
        <v>12</v>
      </c>
      <c r="J524" s="1">
        <v>0</v>
      </c>
      <c r="K524" s="1" t="s">
        <v>12</v>
      </c>
      <c r="L524" s="1" t="s">
        <v>7</v>
      </c>
      <c r="M524" s="1" t="s">
        <v>8</v>
      </c>
    </row>
    <row r="525" spans="1:13" x14ac:dyDescent="0.35">
      <c r="A525" s="1" t="s">
        <v>8</v>
      </c>
      <c r="B525" s="1" t="s">
        <v>608</v>
      </c>
      <c r="C525" s="1" t="s">
        <v>611</v>
      </c>
      <c r="D525" s="3" t="s">
        <v>610</v>
      </c>
      <c r="E525" s="3">
        <v>10</v>
      </c>
      <c r="F525" s="3" t="s">
        <v>12</v>
      </c>
      <c r="G525" s="1" t="s">
        <v>17</v>
      </c>
      <c r="H525" s="1" t="s">
        <v>17</v>
      </c>
      <c r="I525" s="1" t="s">
        <v>12</v>
      </c>
      <c r="J525" s="1">
        <v>0</v>
      </c>
      <c r="K525" s="1" t="s">
        <v>12</v>
      </c>
      <c r="L525" s="1" t="s">
        <v>7</v>
      </c>
      <c r="M525" s="1" t="s">
        <v>8</v>
      </c>
    </row>
    <row r="526" spans="1:13" x14ac:dyDescent="0.35">
      <c r="A526" s="1" t="s">
        <v>8</v>
      </c>
      <c r="B526" s="1" t="s">
        <v>612</v>
      </c>
      <c r="C526" s="1" t="s">
        <v>613</v>
      </c>
      <c r="D526" s="3" t="s">
        <v>614</v>
      </c>
      <c r="E526" s="3">
        <v>21</v>
      </c>
      <c r="F526" s="3">
        <v>21</v>
      </c>
      <c r="G526" s="1" t="s">
        <v>17</v>
      </c>
      <c r="H526" s="1" t="s">
        <v>17</v>
      </c>
      <c r="I526" s="1" t="s">
        <v>12</v>
      </c>
      <c r="J526" s="1">
        <v>0</v>
      </c>
      <c r="K526" s="1" t="s">
        <v>12</v>
      </c>
      <c r="L526" s="1" t="s">
        <v>7</v>
      </c>
      <c r="M526" s="1" t="s">
        <v>8</v>
      </c>
    </row>
    <row r="527" spans="1:13" x14ac:dyDescent="0.35">
      <c r="A527" s="1" t="s">
        <v>8</v>
      </c>
      <c r="B527" s="1" t="s">
        <v>612</v>
      </c>
      <c r="C527" s="1" t="s">
        <v>615</v>
      </c>
      <c r="D527" s="3" t="s">
        <v>614</v>
      </c>
      <c r="E527" s="3">
        <v>27</v>
      </c>
      <c r="F527" s="3">
        <v>27</v>
      </c>
      <c r="G527" s="1" t="s">
        <v>17</v>
      </c>
      <c r="H527" s="1" t="s">
        <v>17</v>
      </c>
      <c r="I527" s="1" t="s">
        <v>12</v>
      </c>
      <c r="J527" s="1">
        <v>0</v>
      </c>
      <c r="K527" s="1" t="s">
        <v>12</v>
      </c>
      <c r="L527" s="1" t="s">
        <v>7</v>
      </c>
      <c r="M527" s="1" t="s">
        <v>8</v>
      </c>
    </row>
    <row r="528" spans="1:13" x14ac:dyDescent="0.35">
      <c r="A528" s="1" t="s">
        <v>8</v>
      </c>
      <c r="B528" s="1" t="s">
        <v>612</v>
      </c>
      <c r="C528" s="1" t="s">
        <v>616</v>
      </c>
      <c r="D528" s="3" t="s">
        <v>614</v>
      </c>
      <c r="E528" s="3">
        <v>5</v>
      </c>
      <c r="F528" s="3">
        <v>5</v>
      </c>
      <c r="G528" s="1" t="s">
        <v>17</v>
      </c>
      <c r="H528" s="1" t="s">
        <v>17</v>
      </c>
      <c r="I528" s="1" t="s">
        <v>12</v>
      </c>
      <c r="J528" s="1">
        <v>0</v>
      </c>
      <c r="K528" s="1" t="s">
        <v>12</v>
      </c>
      <c r="L528" s="1" t="s">
        <v>7</v>
      </c>
      <c r="M528" s="1" t="s">
        <v>8</v>
      </c>
    </row>
    <row r="529" spans="1:13" x14ac:dyDescent="0.35">
      <c r="A529" s="1" t="s">
        <v>8</v>
      </c>
      <c r="B529" s="1" t="s">
        <v>612</v>
      </c>
      <c r="C529" s="1" t="s">
        <v>617</v>
      </c>
      <c r="D529" s="3" t="s">
        <v>614</v>
      </c>
      <c r="E529" s="3">
        <v>5</v>
      </c>
      <c r="F529" s="3">
        <v>5</v>
      </c>
      <c r="G529" s="1" t="s">
        <v>17</v>
      </c>
      <c r="H529" s="1" t="s">
        <v>17</v>
      </c>
      <c r="I529" s="1" t="s">
        <v>12</v>
      </c>
      <c r="J529" s="1">
        <v>0</v>
      </c>
      <c r="K529" s="1" t="s">
        <v>12</v>
      </c>
      <c r="L529" s="1" t="s">
        <v>7</v>
      </c>
      <c r="M529" s="1" t="s">
        <v>8</v>
      </c>
    </row>
    <row r="530" spans="1:13" x14ac:dyDescent="0.35">
      <c r="A530" s="1" t="s">
        <v>8</v>
      </c>
      <c r="B530" s="1" t="s">
        <v>612</v>
      </c>
      <c r="C530" s="1" t="s">
        <v>618</v>
      </c>
      <c r="D530" s="3" t="s">
        <v>614</v>
      </c>
      <c r="E530" s="3">
        <v>23</v>
      </c>
      <c r="F530" s="3">
        <v>23</v>
      </c>
      <c r="G530" s="1" t="s">
        <v>17</v>
      </c>
      <c r="H530" s="1" t="s">
        <v>17</v>
      </c>
      <c r="I530" s="1" t="s">
        <v>12</v>
      </c>
      <c r="J530" s="1">
        <v>0</v>
      </c>
      <c r="K530" s="1" t="s">
        <v>12</v>
      </c>
      <c r="L530" s="1" t="s">
        <v>7</v>
      </c>
      <c r="M530" s="1" t="s">
        <v>8</v>
      </c>
    </row>
    <row r="531" spans="1:13" x14ac:dyDescent="0.35">
      <c r="A531" s="1" t="s">
        <v>8</v>
      </c>
      <c r="B531" s="1" t="s">
        <v>612</v>
      </c>
      <c r="C531" s="1" t="s">
        <v>619</v>
      </c>
      <c r="D531" s="3" t="s">
        <v>614</v>
      </c>
      <c r="E531" s="3">
        <v>5</v>
      </c>
      <c r="F531" s="3">
        <v>5</v>
      </c>
      <c r="G531" s="1" t="s">
        <v>17</v>
      </c>
      <c r="H531" s="1" t="s">
        <v>17</v>
      </c>
      <c r="I531" s="1" t="s">
        <v>12</v>
      </c>
      <c r="J531" s="1">
        <v>0</v>
      </c>
      <c r="K531" s="1" t="s">
        <v>12</v>
      </c>
      <c r="L531" s="1" t="s">
        <v>7</v>
      </c>
      <c r="M531" s="1" t="s">
        <v>8</v>
      </c>
    </row>
    <row r="532" spans="1:13" x14ac:dyDescent="0.35">
      <c r="A532" s="1" t="s">
        <v>8</v>
      </c>
      <c r="B532" s="1" t="s">
        <v>612</v>
      </c>
      <c r="C532" s="1" t="s">
        <v>620</v>
      </c>
      <c r="D532" s="3" t="s">
        <v>614</v>
      </c>
      <c r="E532" s="3">
        <v>5</v>
      </c>
      <c r="F532" s="3">
        <v>5</v>
      </c>
      <c r="G532" s="1" t="s">
        <v>17</v>
      </c>
      <c r="H532" s="1" t="s">
        <v>17</v>
      </c>
      <c r="I532" s="1" t="s">
        <v>12</v>
      </c>
      <c r="J532" s="1">
        <v>0</v>
      </c>
      <c r="K532" s="1" t="s">
        <v>12</v>
      </c>
      <c r="L532" s="1" t="s">
        <v>7</v>
      </c>
      <c r="M532" s="1" t="s">
        <v>8</v>
      </c>
    </row>
    <row r="533" spans="1:13" x14ac:dyDescent="0.35">
      <c r="A533" s="1" t="s">
        <v>8</v>
      </c>
      <c r="B533" s="1" t="s">
        <v>612</v>
      </c>
      <c r="C533" s="1" t="s">
        <v>621</v>
      </c>
      <c r="D533" s="3" t="s">
        <v>614</v>
      </c>
      <c r="E533" s="3">
        <v>4</v>
      </c>
      <c r="F533" s="3">
        <v>4</v>
      </c>
      <c r="G533" s="1" t="s">
        <v>17</v>
      </c>
      <c r="H533" s="1" t="s">
        <v>17</v>
      </c>
      <c r="I533" s="1" t="s">
        <v>12</v>
      </c>
      <c r="J533" s="1">
        <v>0</v>
      </c>
      <c r="K533" s="1" t="s">
        <v>12</v>
      </c>
      <c r="L533" s="1" t="s">
        <v>7</v>
      </c>
      <c r="M533" s="1" t="s">
        <v>8</v>
      </c>
    </row>
    <row r="534" spans="1:13" x14ac:dyDescent="0.35">
      <c r="A534" s="1" t="s">
        <v>8</v>
      </c>
      <c r="B534" s="1" t="s">
        <v>612</v>
      </c>
      <c r="C534" s="1" t="s">
        <v>622</v>
      </c>
      <c r="D534" s="3" t="s">
        <v>614</v>
      </c>
      <c r="E534" s="3">
        <v>5</v>
      </c>
      <c r="F534" s="3">
        <v>5</v>
      </c>
      <c r="G534" s="1" t="s">
        <v>17</v>
      </c>
      <c r="H534" s="1" t="s">
        <v>17</v>
      </c>
      <c r="I534" s="1" t="s">
        <v>12</v>
      </c>
      <c r="J534" s="1">
        <v>0</v>
      </c>
      <c r="K534" s="1" t="s">
        <v>12</v>
      </c>
      <c r="L534" s="1" t="s">
        <v>7</v>
      </c>
      <c r="M534" s="1" t="s">
        <v>8</v>
      </c>
    </row>
    <row r="535" spans="1:13" x14ac:dyDescent="0.35">
      <c r="A535" s="1" t="s">
        <v>873</v>
      </c>
      <c r="B535" s="1" t="s">
        <v>874</v>
      </c>
      <c r="C535" s="1" t="s">
        <v>875</v>
      </c>
      <c r="D535" s="3" t="s">
        <v>876</v>
      </c>
      <c r="E535" s="3" t="s">
        <v>12</v>
      </c>
      <c r="F535" s="3" t="s">
        <v>12</v>
      </c>
      <c r="G535" s="1" t="s">
        <v>17</v>
      </c>
      <c r="H535" s="1" t="s">
        <v>17</v>
      </c>
      <c r="I535" s="1" t="s">
        <v>12</v>
      </c>
      <c r="J535" s="1">
        <v>0</v>
      </c>
      <c r="K535" s="1" t="s">
        <v>12</v>
      </c>
      <c r="L535" s="1" t="s">
        <v>7</v>
      </c>
      <c r="M535" s="1" t="s">
        <v>873</v>
      </c>
    </row>
    <row r="536" spans="1:13" x14ac:dyDescent="0.35">
      <c r="A536" s="1" t="s">
        <v>873</v>
      </c>
      <c r="B536" s="1" t="s">
        <v>874</v>
      </c>
      <c r="C536" s="1" t="s">
        <v>877</v>
      </c>
      <c r="D536" s="3" t="s">
        <v>876</v>
      </c>
      <c r="E536" s="3" t="s">
        <v>12</v>
      </c>
      <c r="F536" s="3" t="s">
        <v>12</v>
      </c>
      <c r="G536" s="1" t="s">
        <v>17</v>
      </c>
      <c r="H536" s="1" t="s">
        <v>17</v>
      </c>
      <c r="I536" s="1" t="s">
        <v>12</v>
      </c>
      <c r="J536" s="1">
        <v>0</v>
      </c>
      <c r="K536" s="1" t="s">
        <v>12</v>
      </c>
      <c r="L536" s="1" t="s">
        <v>7</v>
      </c>
      <c r="M536" s="1" t="s">
        <v>873</v>
      </c>
    </row>
    <row r="537" spans="1:13" x14ac:dyDescent="0.35">
      <c r="A537" s="1" t="s">
        <v>873</v>
      </c>
      <c r="B537" s="1" t="s">
        <v>874</v>
      </c>
      <c r="C537" s="1" t="s">
        <v>878</v>
      </c>
      <c r="D537" s="3" t="s">
        <v>876</v>
      </c>
      <c r="E537" s="3" t="s">
        <v>12</v>
      </c>
      <c r="F537" s="3" t="s">
        <v>12</v>
      </c>
      <c r="G537" s="1" t="s">
        <v>17</v>
      </c>
      <c r="H537" s="1" t="s">
        <v>17</v>
      </c>
      <c r="I537" s="1" t="s">
        <v>12</v>
      </c>
      <c r="J537" s="1">
        <v>0</v>
      </c>
      <c r="K537" s="1" t="s">
        <v>12</v>
      </c>
      <c r="L537" s="1" t="s">
        <v>7</v>
      </c>
      <c r="M537" s="1" t="s">
        <v>873</v>
      </c>
    </row>
    <row r="538" spans="1:13" x14ac:dyDescent="0.35">
      <c r="A538" s="1" t="s">
        <v>8</v>
      </c>
      <c r="B538" s="1" t="s">
        <v>502</v>
      </c>
      <c r="C538" s="1" t="s">
        <v>208</v>
      </c>
      <c r="D538" s="3" t="s">
        <v>503</v>
      </c>
      <c r="E538" s="3">
        <v>40</v>
      </c>
      <c r="F538" s="3">
        <v>40</v>
      </c>
      <c r="G538" s="1" t="s">
        <v>17</v>
      </c>
      <c r="H538" s="1" t="s">
        <v>17</v>
      </c>
      <c r="I538" s="1" t="s">
        <v>12</v>
      </c>
      <c r="J538" s="1">
        <v>0</v>
      </c>
      <c r="K538" s="1" t="s">
        <v>12</v>
      </c>
      <c r="L538" s="1" t="s">
        <v>7</v>
      </c>
      <c r="M538" s="1" t="s">
        <v>8</v>
      </c>
    </row>
    <row r="539" spans="1:13" x14ac:dyDescent="0.35">
      <c r="A539" s="1" t="s">
        <v>8</v>
      </c>
      <c r="B539" s="1" t="s">
        <v>502</v>
      </c>
      <c r="C539" s="1" t="s">
        <v>504</v>
      </c>
      <c r="D539" s="3" t="s">
        <v>503</v>
      </c>
      <c r="E539" s="3">
        <v>30</v>
      </c>
      <c r="F539" s="3">
        <v>30</v>
      </c>
      <c r="G539" s="1" t="s">
        <v>17</v>
      </c>
      <c r="H539" s="1" t="s">
        <v>17</v>
      </c>
      <c r="I539" s="1" t="s">
        <v>12</v>
      </c>
      <c r="J539" s="1">
        <v>0</v>
      </c>
      <c r="K539" s="1" t="s">
        <v>12</v>
      </c>
      <c r="L539" s="1" t="s">
        <v>7</v>
      </c>
      <c r="M539" s="1" t="s">
        <v>8</v>
      </c>
    </row>
    <row r="540" spans="1:13" x14ac:dyDescent="0.35">
      <c r="A540" s="1" t="s">
        <v>8</v>
      </c>
      <c r="B540" s="1" t="s">
        <v>502</v>
      </c>
      <c r="C540" s="1" t="s">
        <v>505</v>
      </c>
      <c r="D540" s="3" t="s">
        <v>503</v>
      </c>
      <c r="E540" s="3">
        <v>30</v>
      </c>
      <c r="F540" s="3">
        <v>30</v>
      </c>
      <c r="G540" s="1" t="s">
        <v>17</v>
      </c>
      <c r="H540" s="1" t="s">
        <v>17</v>
      </c>
      <c r="I540" s="1" t="s">
        <v>12</v>
      </c>
      <c r="J540" s="1">
        <v>0</v>
      </c>
      <c r="K540" s="1" t="s">
        <v>12</v>
      </c>
      <c r="L540" s="1" t="s">
        <v>7</v>
      </c>
      <c r="M540" s="1" t="s">
        <v>8</v>
      </c>
    </row>
    <row r="541" spans="1:13" x14ac:dyDescent="0.35">
      <c r="A541" s="1" t="s">
        <v>8</v>
      </c>
      <c r="B541" s="1" t="s">
        <v>506</v>
      </c>
      <c r="C541" s="1" t="s">
        <v>255</v>
      </c>
      <c r="D541" s="3" t="s">
        <v>507</v>
      </c>
      <c r="E541" s="3">
        <v>50</v>
      </c>
      <c r="F541" s="3">
        <v>50</v>
      </c>
      <c r="G541" s="1" t="s">
        <v>17</v>
      </c>
      <c r="H541" s="1" t="s">
        <v>17</v>
      </c>
      <c r="I541" s="1" t="s">
        <v>12</v>
      </c>
      <c r="J541" s="1">
        <v>0</v>
      </c>
      <c r="K541" s="1" t="s">
        <v>12</v>
      </c>
      <c r="L541" s="1" t="s">
        <v>7</v>
      </c>
      <c r="M541" s="1" t="s">
        <v>8</v>
      </c>
    </row>
    <row r="542" spans="1:13" x14ac:dyDescent="0.35">
      <c r="A542" s="1" t="s">
        <v>8</v>
      </c>
      <c r="B542" s="1" t="s">
        <v>506</v>
      </c>
      <c r="C542" s="1" t="s">
        <v>193</v>
      </c>
      <c r="D542" s="3" t="s">
        <v>507</v>
      </c>
      <c r="E542" s="3">
        <v>50</v>
      </c>
      <c r="F542" s="3">
        <v>50</v>
      </c>
      <c r="G542" s="1" t="s">
        <v>17</v>
      </c>
      <c r="H542" s="1" t="s">
        <v>17</v>
      </c>
      <c r="I542" s="1" t="s">
        <v>12</v>
      </c>
      <c r="J542" s="1">
        <v>0</v>
      </c>
      <c r="K542" s="1" t="s">
        <v>12</v>
      </c>
      <c r="L542" s="1" t="s">
        <v>7</v>
      </c>
      <c r="M542" s="1" t="s">
        <v>8</v>
      </c>
    </row>
    <row r="543" spans="1:13" x14ac:dyDescent="0.35">
      <c r="A543" s="1" t="s">
        <v>8</v>
      </c>
      <c r="B543" s="1" t="s">
        <v>553</v>
      </c>
      <c r="C543" s="1" t="s">
        <v>554</v>
      </c>
      <c r="D543" s="3" t="s">
        <v>555</v>
      </c>
      <c r="E543" s="3" t="s">
        <v>12</v>
      </c>
      <c r="F543" s="3" t="s">
        <v>12</v>
      </c>
      <c r="G543" s="1" t="s">
        <v>17</v>
      </c>
      <c r="H543" s="1" t="s">
        <v>17</v>
      </c>
      <c r="I543" s="1" t="s">
        <v>12</v>
      </c>
      <c r="J543" s="1">
        <v>0</v>
      </c>
      <c r="K543" s="1" t="s">
        <v>12</v>
      </c>
      <c r="L543" s="1" t="s">
        <v>7</v>
      </c>
      <c r="M543" s="1" t="s">
        <v>8</v>
      </c>
    </row>
    <row r="544" spans="1:13" x14ac:dyDescent="0.35">
      <c r="A544" s="1" t="s">
        <v>8</v>
      </c>
      <c r="B544" s="1" t="s">
        <v>556</v>
      </c>
      <c r="C544" s="1" t="s">
        <v>557</v>
      </c>
      <c r="D544" s="3" t="s">
        <v>558</v>
      </c>
      <c r="E544" s="3" t="s">
        <v>12</v>
      </c>
      <c r="F544" s="3" t="s">
        <v>12</v>
      </c>
      <c r="G544" s="1" t="s">
        <v>559</v>
      </c>
      <c r="H544" s="1" t="s">
        <v>559</v>
      </c>
      <c r="I544" s="1" t="s">
        <v>12</v>
      </c>
      <c r="J544" s="1">
        <v>0</v>
      </c>
      <c r="K544" s="1" t="s">
        <v>12</v>
      </c>
      <c r="L544" s="1" t="s">
        <v>7</v>
      </c>
      <c r="M544" s="1" t="s">
        <v>8</v>
      </c>
    </row>
    <row r="545" spans="1:13" x14ac:dyDescent="0.35">
      <c r="A545" s="1" t="s">
        <v>8</v>
      </c>
      <c r="B545" s="1" t="s">
        <v>560</v>
      </c>
      <c r="C545" s="1" t="s">
        <v>561</v>
      </c>
      <c r="D545" s="3" t="s">
        <v>562</v>
      </c>
      <c r="E545" s="3">
        <v>30</v>
      </c>
      <c r="F545" s="3">
        <v>30</v>
      </c>
      <c r="G545" s="1" t="s">
        <v>17</v>
      </c>
      <c r="H545" s="1" t="s">
        <v>17</v>
      </c>
      <c r="I545" s="1" t="s">
        <v>12</v>
      </c>
      <c r="J545" s="1">
        <v>0</v>
      </c>
      <c r="K545" s="1" t="s">
        <v>12</v>
      </c>
      <c r="L545" s="1" t="s">
        <v>7</v>
      </c>
      <c r="M545" s="1" t="s">
        <v>8</v>
      </c>
    </row>
    <row r="546" spans="1:13" x14ac:dyDescent="0.35">
      <c r="A546" s="1" t="s">
        <v>8</v>
      </c>
      <c r="B546" s="1" t="s">
        <v>560</v>
      </c>
      <c r="C546" s="1" t="s">
        <v>563</v>
      </c>
      <c r="D546" s="3" t="s">
        <v>562</v>
      </c>
      <c r="E546" s="3">
        <v>30</v>
      </c>
      <c r="F546" s="3">
        <v>30</v>
      </c>
      <c r="G546" s="1" t="s">
        <v>17</v>
      </c>
      <c r="H546" s="1" t="s">
        <v>17</v>
      </c>
      <c r="I546" s="1" t="s">
        <v>12</v>
      </c>
      <c r="J546" s="1">
        <v>0</v>
      </c>
      <c r="K546" s="1" t="s">
        <v>12</v>
      </c>
      <c r="L546" s="1" t="s">
        <v>7</v>
      </c>
      <c r="M546" s="1" t="s">
        <v>8</v>
      </c>
    </row>
    <row r="547" spans="1:13" x14ac:dyDescent="0.35">
      <c r="A547" s="1" t="s">
        <v>8</v>
      </c>
      <c r="B547" s="1" t="s">
        <v>560</v>
      </c>
      <c r="C547" s="1" t="s">
        <v>446</v>
      </c>
      <c r="D547" s="3" t="s">
        <v>562</v>
      </c>
      <c r="E547" s="3">
        <v>40</v>
      </c>
      <c r="F547" s="3">
        <v>40</v>
      </c>
      <c r="G547" s="1" t="s">
        <v>17</v>
      </c>
      <c r="H547" s="1" t="s">
        <v>17</v>
      </c>
      <c r="I547" s="1" t="s">
        <v>12</v>
      </c>
      <c r="J547" s="1">
        <v>0</v>
      </c>
      <c r="K547" s="1" t="s">
        <v>12</v>
      </c>
      <c r="L547" s="1" t="s">
        <v>7</v>
      </c>
      <c r="M547" s="1" t="s">
        <v>8</v>
      </c>
    </row>
    <row r="548" spans="1:13" x14ac:dyDescent="0.35">
      <c r="A548" s="1" t="s">
        <v>8</v>
      </c>
      <c r="B548" s="1" t="s">
        <v>564</v>
      </c>
      <c r="C548" s="1" t="s">
        <v>565</v>
      </c>
      <c r="D548" s="3" t="s">
        <v>566</v>
      </c>
      <c r="E548" s="3">
        <v>100</v>
      </c>
      <c r="F548" s="3">
        <v>100</v>
      </c>
      <c r="G548" s="1" t="s">
        <v>17</v>
      </c>
      <c r="H548" s="1" t="s">
        <v>17</v>
      </c>
      <c r="I548" s="1" t="s">
        <v>12</v>
      </c>
      <c r="J548" s="1">
        <v>0</v>
      </c>
      <c r="K548" s="1" t="s">
        <v>12</v>
      </c>
      <c r="L548" s="1" t="s">
        <v>7</v>
      </c>
      <c r="M548" s="1" t="s">
        <v>8</v>
      </c>
    </row>
    <row r="549" spans="1:13" x14ac:dyDescent="0.35">
      <c r="A549" s="1" t="s">
        <v>8</v>
      </c>
      <c r="B549" s="1" t="s">
        <v>567</v>
      </c>
      <c r="C549" s="1" t="s">
        <v>568</v>
      </c>
      <c r="D549" s="3" t="s">
        <v>569</v>
      </c>
      <c r="E549" s="3" t="s">
        <v>12</v>
      </c>
      <c r="F549" s="3" t="s">
        <v>12</v>
      </c>
      <c r="G549" s="1" t="s">
        <v>17</v>
      </c>
      <c r="H549" s="1" t="s">
        <v>17</v>
      </c>
      <c r="I549" s="1" t="s">
        <v>12</v>
      </c>
      <c r="J549" s="1">
        <v>0</v>
      </c>
      <c r="K549" s="1" t="s">
        <v>12</v>
      </c>
      <c r="L549" s="1" t="s">
        <v>7</v>
      </c>
      <c r="M549" s="1" t="s">
        <v>8</v>
      </c>
    </row>
    <row r="550" spans="1:13" x14ac:dyDescent="0.35">
      <c r="A550" s="1" t="s">
        <v>8</v>
      </c>
      <c r="B550" s="1" t="s">
        <v>570</v>
      </c>
      <c r="C550" s="1" t="s">
        <v>173</v>
      </c>
      <c r="D550" s="3" t="s">
        <v>571</v>
      </c>
      <c r="E550" s="3">
        <v>5</v>
      </c>
      <c r="F550" s="3">
        <v>5</v>
      </c>
      <c r="G550" s="1" t="s">
        <v>17</v>
      </c>
      <c r="H550" s="1" t="s">
        <v>17</v>
      </c>
      <c r="I550" s="1" t="s">
        <v>12</v>
      </c>
      <c r="J550" s="1">
        <v>0</v>
      </c>
      <c r="K550" s="1" t="s">
        <v>12</v>
      </c>
      <c r="L550" s="1" t="s">
        <v>7</v>
      </c>
      <c r="M550" s="1" t="s">
        <v>8</v>
      </c>
    </row>
    <row r="551" spans="1:13" x14ac:dyDescent="0.35">
      <c r="A551" s="1" t="s">
        <v>8</v>
      </c>
      <c r="B551" s="1" t="s">
        <v>570</v>
      </c>
      <c r="C551" s="1" t="s">
        <v>174</v>
      </c>
      <c r="D551" s="3" t="s">
        <v>571</v>
      </c>
      <c r="E551" s="3">
        <v>5</v>
      </c>
      <c r="F551" s="3">
        <v>5</v>
      </c>
      <c r="G551" s="1" t="s">
        <v>17</v>
      </c>
      <c r="H551" s="1" t="s">
        <v>17</v>
      </c>
      <c r="I551" s="1" t="s">
        <v>12</v>
      </c>
      <c r="J551" s="1">
        <v>0</v>
      </c>
      <c r="K551" s="1" t="s">
        <v>12</v>
      </c>
      <c r="L551" s="1" t="s">
        <v>7</v>
      </c>
      <c r="M551" s="1" t="s">
        <v>8</v>
      </c>
    </row>
    <row r="552" spans="1:13" x14ac:dyDescent="0.35">
      <c r="A552" s="1" t="s">
        <v>8</v>
      </c>
      <c r="B552" s="1" t="s">
        <v>570</v>
      </c>
      <c r="C552" s="1" t="s">
        <v>374</v>
      </c>
      <c r="D552" s="3" t="s">
        <v>571</v>
      </c>
      <c r="E552" s="3">
        <v>90</v>
      </c>
      <c r="F552" s="3">
        <v>90</v>
      </c>
      <c r="G552" s="1" t="s">
        <v>17</v>
      </c>
      <c r="H552" s="1" t="s">
        <v>17</v>
      </c>
      <c r="I552" s="1" t="s">
        <v>12</v>
      </c>
      <c r="J552" s="1">
        <v>0</v>
      </c>
      <c r="K552" s="1" t="s">
        <v>12</v>
      </c>
      <c r="L552" s="1" t="s">
        <v>7</v>
      </c>
      <c r="M552" s="1" t="s">
        <v>8</v>
      </c>
    </row>
    <row r="553" spans="1:13" x14ac:dyDescent="0.35">
      <c r="A553" s="1" t="s">
        <v>8</v>
      </c>
      <c r="B553" s="1" t="s">
        <v>1074</v>
      </c>
      <c r="C553" s="1" t="s">
        <v>1075</v>
      </c>
      <c r="D553" s="3" t="s">
        <v>1076</v>
      </c>
      <c r="E553" s="3" t="s">
        <v>12</v>
      </c>
      <c r="F553" s="3" t="s">
        <v>12</v>
      </c>
      <c r="G553" s="1" t="s">
        <v>17</v>
      </c>
      <c r="H553" s="1"/>
      <c r="I553" s="1">
        <v>0</v>
      </c>
      <c r="J553" s="1" t="s">
        <v>12</v>
      </c>
      <c r="K553" s="1" t="s">
        <v>12</v>
      </c>
      <c r="L553" s="1" t="s">
        <v>7</v>
      </c>
      <c r="M553" s="1" t="s">
        <v>8</v>
      </c>
    </row>
    <row r="554" spans="1:13" x14ac:dyDescent="0.35">
      <c r="A554" s="1" t="s">
        <v>8</v>
      </c>
      <c r="B554" s="1" t="s">
        <v>1077</v>
      </c>
      <c r="C554" s="1" t="s">
        <v>1078</v>
      </c>
      <c r="D554" s="3" t="s">
        <v>1079</v>
      </c>
      <c r="E554" s="3" t="s">
        <v>12</v>
      </c>
      <c r="F554" s="3" t="s">
        <v>12</v>
      </c>
      <c r="G554" s="1" t="s">
        <v>17</v>
      </c>
      <c r="H554" s="1"/>
      <c r="I554" s="1">
        <v>0</v>
      </c>
      <c r="J554" s="1" t="s">
        <v>12</v>
      </c>
      <c r="K554" s="1" t="s">
        <v>12</v>
      </c>
      <c r="L554" s="1" t="s">
        <v>7</v>
      </c>
      <c r="M554" s="1" t="s">
        <v>8</v>
      </c>
    </row>
    <row r="555" spans="1:13" x14ac:dyDescent="0.35">
      <c r="A555" s="1" t="s">
        <v>980</v>
      </c>
      <c r="B555" s="1" t="s">
        <v>1244</v>
      </c>
      <c r="C555" s="1" t="s">
        <v>1080</v>
      </c>
      <c r="D555" s="3" t="s">
        <v>1081</v>
      </c>
      <c r="E555" s="3">
        <v>50</v>
      </c>
      <c r="F555" s="3">
        <v>50</v>
      </c>
      <c r="G555" s="1" t="s">
        <v>17</v>
      </c>
      <c r="H555" s="1"/>
      <c r="I555" s="1">
        <v>0</v>
      </c>
      <c r="J555" s="1" t="s">
        <v>12</v>
      </c>
      <c r="K555" s="1" t="s">
        <v>12</v>
      </c>
      <c r="L555" s="1" t="s">
        <v>7</v>
      </c>
      <c r="M555" s="1" t="s">
        <v>980</v>
      </c>
    </row>
    <row r="556" spans="1:13" x14ac:dyDescent="0.35">
      <c r="A556" s="1" t="s">
        <v>980</v>
      </c>
      <c r="B556" s="1" t="s">
        <v>1244</v>
      </c>
      <c r="C556" s="1" t="s">
        <v>1082</v>
      </c>
      <c r="D556" s="3" t="s">
        <v>1081</v>
      </c>
      <c r="E556" s="3">
        <v>50</v>
      </c>
      <c r="F556" s="3">
        <v>50</v>
      </c>
      <c r="G556" s="1" t="s">
        <v>17</v>
      </c>
      <c r="H556" s="1"/>
      <c r="I556" s="1">
        <v>0</v>
      </c>
      <c r="J556" s="1" t="s">
        <v>12</v>
      </c>
      <c r="K556" s="1" t="s">
        <v>12</v>
      </c>
      <c r="L556" s="1" t="s">
        <v>7</v>
      </c>
      <c r="M556" s="1" t="s">
        <v>980</v>
      </c>
    </row>
    <row r="557" spans="1:13" x14ac:dyDescent="0.35">
      <c r="A557" s="1" t="s">
        <v>8</v>
      </c>
      <c r="B557" s="1" t="s">
        <v>1083</v>
      </c>
      <c r="C557" s="1" t="s">
        <v>1084</v>
      </c>
      <c r="D557" s="3" t="s">
        <v>1085</v>
      </c>
      <c r="E557" s="3">
        <v>100</v>
      </c>
      <c r="F557" s="3" t="s">
        <v>12</v>
      </c>
      <c r="G557" s="1" t="s">
        <v>17</v>
      </c>
      <c r="H557" s="1"/>
      <c r="I557" s="1">
        <v>0</v>
      </c>
      <c r="J557" s="1" t="s">
        <v>12</v>
      </c>
      <c r="K557" s="1" t="s">
        <v>12</v>
      </c>
      <c r="L557" s="1" t="s">
        <v>7</v>
      </c>
      <c r="M557" s="1" t="s">
        <v>8</v>
      </c>
    </row>
    <row r="558" spans="1:13" x14ac:dyDescent="0.35">
      <c r="A558" s="1" t="s">
        <v>873</v>
      </c>
      <c r="B558" s="1" t="s">
        <v>1086</v>
      </c>
      <c r="C558" s="1" t="s">
        <v>1087</v>
      </c>
      <c r="D558" s="3" t="s">
        <v>1088</v>
      </c>
      <c r="E558" s="3" t="s">
        <v>12</v>
      </c>
      <c r="F558" s="3" t="s">
        <v>12</v>
      </c>
      <c r="G558" s="1" t="s">
        <v>17</v>
      </c>
      <c r="H558" s="1"/>
      <c r="I558" s="1">
        <v>0</v>
      </c>
      <c r="J558" s="1" t="s">
        <v>12</v>
      </c>
      <c r="K558" s="1" t="s">
        <v>12</v>
      </c>
      <c r="L558" s="1" t="s">
        <v>7</v>
      </c>
      <c r="M558" s="1" t="s">
        <v>873</v>
      </c>
    </row>
    <row r="559" spans="1:13" x14ac:dyDescent="0.35">
      <c r="A559" s="1" t="s">
        <v>873</v>
      </c>
      <c r="B559" s="1" t="s">
        <v>1086</v>
      </c>
      <c r="C559" s="1" t="s">
        <v>1089</v>
      </c>
      <c r="D559" s="3" t="s">
        <v>1088</v>
      </c>
      <c r="E559" s="3" t="s">
        <v>12</v>
      </c>
      <c r="F559" s="3" t="s">
        <v>12</v>
      </c>
      <c r="G559" s="1" t="s">
        <v>17</v>
      </c>
      <c r="H559" s="1"/>
      <c r="I559" s="1">
        <v>0</v>
      </c>
      <c r="J559" s="1" t="s">
        <v>12</v>
      </c>
      <c r="K559" s="1" t="s">
        <v>12</v>
      </c>
      <c r="L559" s="1" t="s">
        <v>7</v>
      </c>
      <c r="M559" s="1" t="s">
        <v>873</v>
      </c>
    </row>
    <row r="560" spans="1:13" x14ac:dyDescent="0.35">
      <c r="A560" s="1" t="s">
        <v>873</v>
      </c>
      <c r="B560" s="1" t="s">
        <v>1086</v>
      </c>
      <c r="C560" s="1" t="s">
        <v>1090</v>
      </c>
      <c r="D560" s="3" t="s">
        <v>1088</v>
      </c>
      <c r="E560" s="3" t="s">
        <v>12</v>
      </c>
      <c r="F560" s="3" t="s">
        <v>12</v>
      </c>
      <c r="G560" s="1" t="s">
        <v>17</v>
      </c>
      <c r="H560" s="1"/>
      <c r="I560" s="1">
        <v>0</v>
      </c>
      <c r="J560" s="1" t="s">
        <v>12</v>
      </c>
      <c r="K560" s="1" t="s">
        <v>12</v>
      </c>
      <c r="L560" s="1" t="s">
        <v>7</v>
      </c>
      <c r="M560" s="1" t="s">
        <v>873</v>
      </c>
    </row>
    <row r="561" spans="1:13" x14ac:dyDescent="0.35">
      <c r="A561" s="1" t="s">
        <v>873</v>
      </c>
      <c r="B561" s="1" t="s">
        <v>1091</v>
      </c>
      <c r="C561" s="1" t="s">
        <v>1092</v>
      </c>
      <c r="D561" s="3" t="s">
        <v>1093</v>
      </c>
      <c r="E561" s="3" t="s">
        <v>12</v>
      </c>
      <c r="F561" s="3" t="s">
        <v>12</v>
      </c>
      <c r="G561" s="1" t="s">
        <v>17</v>
      </c>
      <c r="H561" s="1"/>
      <c r="I561" s="1">
        <v>0</v>
      </c>
      <c r="J561" s="1" t="s">
        <v>12</v>
      </c>
      <c r="K561" s="1" t="s">
        <v>12</v>
      </c>
      <c r="L561" s="1" t="s">
        <v>7</v>
      </c>
      <c r="M561" s="1" t="s">
        <v>873</v>
      </c>
    </row>
    <row r="562" spans="1:13" x14ac:dyDescent="0.35">
      <c r="A562" s="1" t="s">
        <v>873</v>
      </c>
      <c r="B562" s="1" t="s">
        <v>1091</v>
      </c>
      <c r="C562" s="1" t="s">
        <v>1094</v>
      </c>
      <c r="D562" s="3" t="s">
        <v>1093</v>
      </c>
      <c r="E562" s="3" t="s">
        <v>12</v>
      </c>
      <c r="F562" s="3" t="s">
        <v>12</v>
      </c>
      <c r="G562" s="1" t="s">
        <v>17</v>
      </c>
      <c r="H562" s="1"/>
      <c r="I562" s="1">
        <v>0</v>
      </c>
      <c r="J562" s="1" t="s">
        <v>12</v>
      </c>
      <c r="K562" s="1" t="s">
        <v>12</v>
      </c>
      <c r="L562" s="1" t="s">
        <v>7</v>
      </c>
      <c r="M562" s="1" t="s">
        <v>873</v>
      </c>
    </row>
    <row r="563" spans="1:13" x14ac:dyDescent="0.35">
      <c r="A563" s="1" t="s">
        <v>873</v>
      </c>
      <c r="B563" s="1" t="s">
        <v>1091</v>
      </c>
      <c r="C563" s="1" t="s">
        <v>1095</v>
      </c>
      <c r="D563" s="3" t="s">
        <v>1093</v>
      </c>
      <c r="E563" s="3" t="s">
        <v>12</v>
      </c>
      <c r="F563" s="3" t="s">
        <v>12</v>
      </c>
      <c r="G563" s="1" t="s">
        <v>17</v>
      </c>
      <c r="H563" s="1"/>
      <c r="I563" s="1" t="s">
        <v>12</v>
      </c>
      <c r="J563" s="1" t="s">
        <v>12</v>
      </c>
      <c r="K563" s="1" t="s">
        <v>12</v>
      </c>
      <c r="L563" s="1" t="s">
        <v>7</v>
      </c>
      <c r="M563" s="1" t="s">
        <v>873</v>
      </c>
    </row>
    <row r="564" spans="1:13" x14ac:dyDescent="0.35">
      <c r="A564" s="1" t="s">
        <v>873</v>
      </c>
      <c r="B564" s="1" t="s">
        <v>1096</v>
      </c>
      <c r="C564" s="1" t="s">
        <v>1097</v>
      </c>
      <c r="D564" s="3" t="s">
        <v>1098</v>
      </c>
      <c r="E564" s="3" t="s">
        <v>12</v>
      </c>
      <c r="F564" s="3" t="s">
        <v>12</v>
      </c>
      <c r="G564" s="1" t="s">
        <v>17</v>
      </c>
      <c r="H564" s="1"/>
      <c r="I564" s="1">
        <v>0</v>
      </c>
      <c r="J564" s="1" t="s">
        <v>12</v>
      </c>
      <c r="K564" s="1" t="s">
        <v>12</v>
      </c>
      <c r="L564" s="1" t="s">
        <v>7</v>
      </c>
      <c r="M564" s="1" t="s">
        <v>873</v>
      </c>
    </row>
    <row r="565" spans="1:13" x14ac:dyDescent="0.35">
      <c r="A565" s="1" t="s">
        <v>966</v>
      </c>
      <c r="B565" s="1" t="s">
        <v>1245</v>
      </c>
      <c r="C565" s="1" t="s">
        <v>1099</v>
      </c>
      <c r="D565" s="3" t="s">
        <v>1100</v>
      </c>
      <c r="E565" s="3" t="s">
        <v>12</v>
      </c>
      <c r="F565" s="3" t="s">
        <v>12</v>
      </c>
      <c r="G565" s="1" t="s">
        <v>17</v>
      </c>
      <c r="H565" s="1"/>
      <c r="I565" s="1">
        <v>0</v>
      </c>
      <c r="J565" s="1" t="s">
        <v>12</v>
      </c>
      <c r="K565" s="1" t="s">
        <v>12</v>
      </c>
      <c r="L565" s="1" t="s">
        <v>7</v>
      </c>
      <c r="M565" s="1" t="s">
        <v>966</v>
      </c>
    </row>
    <row r="566" spans="1:13" x14ac:dyDescent="0.35">
      <c r="A566" s="1" t="s">
        <v>980</v>
      </c>
      <c r="B566" s="1" t="s">
        <v>1246</v>
      </c>
      <c r="C566" s="1" t="s">
        <v>1101</v>
      </c>
      <c r="D566" s="3" t="s">
        <v>1102</v>
      </c>
      <c r="E566" s="3">
        <v>50</v>
      </c>
      <c r="F566" s="3">
        <v>50</v>
      </c>
      <c r="G566" s="1" t="s">
        <v>17</v>
      </c>
      <c r="H566" s="1"/>
      <c r="I566" s="1">
        <v>0</v>
      </c>
      <c r="J566" s="1" t="s">
        <v>12</v>
      </c>
      <c r="K566" s="1" t="s">
        <v>12</v>
      </c>
      <c r="L566" s="1" t="s">
        <v>7</v>
      </c>
      <c r="M566" s="1" t="s">
        <v>980</v>
      </c>
    </row>
    <row r="567" spans="1:13" x14ac:dyDescent="0.35">
      <c r="A567" s="1" t="s">
        <v>980</v>
      </c>
      <c r="B567" s="1" t="s">
        <v>1246</v>
      </c>
      <c r="C567" s="1" t="s">
        <v>1103</v>
      </c>
      <c r="D567" s="3" t="s">
        <v>1102</v>
      </c>
      <c r="E567" s="3">
        <v>50</v>
      </c>
      <c r="F567" s="3">
        <v>50</v>
      </c>
      <c r="G567" s="1" t="s">
        <v>17</v>
      </c>
      <c r="H567" s="1"/>
      <c r="I567" s="1">
        <v>0</v>
      </c>
      <c r="J567" s="1" t="s">
        <v>12</v>
      </c>
      <c r="K567" s="1" t="s">
        <v>12</v>
      </c>
      <c r="L567" s="1" t="s">
        <v>7</v>
      </c>
      <c r="M567" s="1" t="s">
        <v>980</v>
      </c>
    </row>
    <row r="568" spans="1:13" x14ac:dyDescent="0.35">
      <c r="A568" s="1" t="s">
        <v>8</v>
      </c>
      <c r="B568" s="1" t="s">
        <v>1104</v>
      </c>
      <c r="C568" s="1" t="s">
        <v>1105</v>
      </c>
      <c r="D568" s="3" t="s">
        <v>1106</v>
      </c>
      <c r="E568" s="3">
        <v>100</v>
      </c>
      <c r="F568" s="3">
        <v>100</v>
      </c>
      <c r="G568" s="1" t="s">
        <v>17</v>
      </c>
      <c r="H568" s="1"/>
      <c r="I568" s="1">
        <v>0</v>
      </c>
      <c r="J568" s="1" t="s">
        <v>12</v>
      </c>
      <c r="K568" s="1" t="s">
        <v>12</v>
      </c>
      <c r="L568" s="1" t="s">
        <v>7</v>
      </c>
      <c r="M568" s="1" t="s">
        <v>8</v>
      </c>
    </row>
    <row r="569" spans="1:13" x14ac:dyDescent="0.35">
      <c r="A569" s="1" t="s">
        <v>8</v>
      </c>
      <c r="B569" s="1" t="s">
        <v>1107</v>
      </c>
      <c r="C569" s="1" t="s">
        <v>1108</v>
      </c>
      <c r="D569" s="3" t="s">
        <v>1109</v>
      </c>
      <c r="E569" s="3">
        <v>100</v>
      </c>
      <c r="F569" s="3">
        <v>100</v>
      </c>
      <c r="G569" s="1" t="s">
        <v>17</v>
      </c>
      <c r="H569" s="1"/>
      <c r="I569" s="1">
        <v>0</v>
      </c>
      <c r="J569" s="1" t="s">
        <v>12</v>
      </c>
      <c r="K569" s="1" t="s">
        <v>12</v>
      </c>
      <c r="L569" s="1" t="s">
        <v>7</v>
      </c>
      <c r="M569" s="1" t="s">
        <v>8</v>
      </c>
    </row>
    <row r="570" spans="1:13" x14ac:dyDescent="0.35">
      <c r="A570" s="1" t="s">
        <v>966</v>
      </c>
      <c r="B570" s="1" t="s">
        <v>1247</v>
      </c>
      <c r="C570" s="1" t="s">
        <v>859</v>
      </c>
      <c r="D570" s="3" t="s">
        <v>1110</v>
      </c>
      <c r="E570" s="3">
        <v>100</v>
      </c>
      <c r="F570" s="3">
        <v>100</v>
      </c>
      <c r="G570" s="1" t="s">
        <v>17</v>
      </c>
      <c r="H570" s="1"/>
      <c r="I570" s="1">
        <v>0</v>
      </c>
      <c r="J570" s="1" t="s">
        <v>12</v>
      </c>
      <c r="K570" s="1" t="s">
        <v>12</v>
      </c>
      <c r="L570" s="1" t="s">
        <v>7</v>
      </c>
      <c r="M570" s="1" t="s">
        <v>966</v>
      </c>
    </row>
    <row r="571" spans="1:13" x14ac:dyDescent="0.35">
      <c r="A571" s="1" t="s">
        <v>8</v>
      </c>
      <c r="B571" s="1" t="s">
        <v>1111</v>
      </c>
      <c r="C571" s="1" t="s">
        <v>1112</v>
      </c>
      <c r="D571" s="3" t="s">
        <v>1113</v>
      </c>
      <c r="E571" s="3">
        <v>25</v>
      </c>
      <c r="F571" s="3">
        <v>25</v>
      </c>
      <c r="G571" s="1" t="s">
        <v>17</v>
      </c>
      <c r="H571" s="1"/>
      <c r="I571" s="1">
        <v>0</v>
      </c>
      <c r="J571" s="1" t="s">
        <v>12</v>
      </c>
      <c r="K571" s="1" t="s">
        <v>12</v>
      </c>
      <c r="L571" s="1" t="s">
        <v>7</v>
      </c>
      <c r="M571" s="1" t="s">
        <v>8</v>
      </c>
    </row>
    <row r="572" spans="1:13" x14ac:dyDescent="0.35">
      <c r="A572" s="1" t="s">
        <v>8</v>
      </c>
      <c r="B572" s="1" t="s">
        <v>1111</v>
      </c>
      <c r="C572" s="1" t="s">
        <v>828</v>
      </c>
      <c r="D572" s="3" t="s">
        <v>1113</v>
      </c>
      <c r="E572" s="3">
        <v>50</v>
      </c>
      <c r="F572" s="3">
        <v>50</v>
      </c>
      <c r="G572" s="1" t="s">
        <v>17</v>
      </c>
      <c r="H572" s="1"/>
      <c r="I572" s="1">
        <v>0</v>
      </c>
      <c r="J572" s="1" t="s">
        <v>12</v>
      </c>
      <c r="K572" s="1" t="s">
        <v>12</v>
      </c>
      <c r="L572" s="1" t="s">
        <v>7</v>
      </c>
      <c r="M572" s="1" t="s">
        <v>8</v>
      </c>
    </row>
    <row r="573" spans="1:13" x14ac:dyDescent="0.35">
      <c r="A573" s="1" t="s">
        <v>8</v>
      </c>
      <c r="B573" s="1" t="s">
        <v>1111</v>
      </c>
      <c r="C573" s="1" t="s">
        <v>27</v>
      </c>
      <c r="D573" s="3" t="s">
        <v>1113</v>
      </c>
      <c r="E573" s="3">
        <v>25</v>
      </c>
      <c r="F573" s="3">
        <v>25</v>
      </c>
      <c r="G573" s="1" t="s">
        <v>17</v>
      </c>
      <c r="H573" s="1"/>
      <c r="I573" s="1">
        <v>0</v>
      </c>
      <c r="J573" s="1" t="s">
        <v>12</v>
      </c>
      <c r="K573" s="1" t="s">
        <v>12</v>
      </c>
      <c r="L573" s="1" t="s">
        <v>7</v>
      </c>
      <c r="M573" s="1" t="s">
        <v>8</v>
      </c>
    </row>
    <row r="574" spans="1:13" x14ac:dyDescent="0.35">
      <c r="A574" s="1" t="s">
        <v>873</v>
      </c>
      <c r="B574" s="1" t="s">
        <v>1114</v>
      </c>
      <c r="C574" s="1" t="s">
        <v>1115</v>
      </c>
      <c r="D574" s="3" t="s">
        <v>1116</v>
      </c>
      <c r="E574" s="3" t="s">
        <v>12</v>
      </c>
      <c r="F574" s="3" t="s">
        <v>12</v>
      </c>
      <c r="G574" s="1" t="s">
        <v>17</v>
      </c>
      <c r="H574" s="1"/>
      <c r="I574" s="1">
        <v>0</v>
      </c>
      <c r="J574" s="1" t="s">
        <v>12</v>
      </c>
      <c r="K574" s="1" t="s">
        <v>12</v>
      </c>
      <c r="L574" s="1" t="s">
        <v>7</v>
      </c>
      <c r="M574" s="1" t="s">
        <v>873</v>
      </c>
    </row>
    <row r="575" spans="1:13" x14ac:dyDescent="0.35">
      <c r="A575" s="1" t="s">
        <v>873</v>
      </c>
      <c r="B575" s="1" t="s">
        <v>1114</v>
      </c>
      <c r="C575" s="1" t="s">
        <v>1117</v>
      </c>
      <c r="D575" s="3" t="s">
        <v>1116</v>
      </c>
      <c r="E575" s="3" t="s">
        <v>12</v>
      </c>
      <c r="F575" s="3" t="s">
        <v>12</v>
      </c>
      <c r="G575" s="1" t="s">
        <v>17</v>
      </c>
      <c r="H575" s="1"/>
      <c r="I575" s="1">
        <v>0</v>
      </c>
      <c r="J575" s="1" t="s">
        <v>12</v>
      </c>
      <c r="K575" s="1" t="s">
        <v>12</v>
      </c>
      <c r="L575" s="1" t="s">
        <v>7</v>
      </c>
      <c r="M575" s="1" t="s">
        <v>873</v>
      </c>
    </row>
    <row r="576" spans="1:13" x14ac:dyDescent="0.35">
      <c r="A576" s="1" t="s">
        <v>873</v>
      </c>
      <c r="B576" s="1" t="s">
        <v>1114</v>
      </c>
      <c r="C576" s="1" t="s">
        <v>1118</v>
      </c>
      <c r="D576" s="3" t="s">
        <v>1116</v>
      </c>
      <c r="E576" s="3" t="s">
        <v>12</v>
      </c>
      <c r="F576" s="3" t="s">
        <v>12</v>
      </c>
      <c r="G576" s="1" t="s">
        <v>17</v>
      </c>
      <c r="H576" s="1"/>
      <c r="I576" s="1">
        <v>0</v>
      </c>
      <c r="J576" s="1" t="s">
        <v>12</v>
      </c>
      <c r="K576" s="1" t="s">
        <v>12</v>
      </c>
      <c r="L576" s="1" t="s">
        <v>7</v>
      </c>
      <c r="M576" s="1" t="s">
        <v>873</v>
      </c>
    </row>
    <row r="577" spans="1:13" x14ac:dyDescent="0.35">
      <c r="A577" s="1" t="s">
        <v>8</v>
      </c>
      <c r="B577" s="1" t="s">
        <v>1119</v>
      </c>
      <c r="C577" s="1" t="s">
        <v>1120</v>
      </c>
      <c r="D577" s="3" t="s">
        <v>1121</v>
      </c>
      <c r="E577" s="3">
        <v>100</v>
      </c>
      <c r="F577" s="3">
        <v>100</v>
      </c>
      <c r="G577" s="1" t="s">
        <v>17</v>
      </c>
      <c r="H577" s="1"/>
      <c r="I577" s="1">
        <v>0</v>
      </c>
      <c r="J577" s="1" t="s">
        <v>12</v>
      </c>
      <c r="K577" s="1" t="s">
        <v>12</v>
      </c>
      <c r="L577" s="1" t="s">
        <v>7</v>
      </c>
      <c r="M577" s="1" t="s">
        <v>8</v>
      </c>
    </row>
    <row r="578" spans="1:13" x14ac:dyDescent="0.35">
      <c r="A578" s="1" t="s">
        <v>8</v>
      </c>
      <c r="B578" s="1" t="s">
        <v>1122</v>
      </c>
      <c r="C578" s="1" t="s">
        <v>1123</v>
      </c>
      <c r="D578" s="3" t="s">
        <v>1124</v>
      </c>
      <c r="E578" s="3" t="s">
        <v>12</v>
      </c>
      <c r="F578" s="3" t="s">
        <v>12</v>
      </c>
      <c r="G578" s="1" t="s">
        <v>17</v>
      </c>
      <c r="H578" s="1"/>
      <c r="I578" s="1">
        <v>0</v>
      </c>
      <c r="J578" s="1" t="s">
        <v>12</v>
      </c>
      <c r="K578" s="1" t="s">
        <v>12</v>
      </c>
      <c r="L578" s="1" t="s">
        <v>7</v>
      </c>
      <c r="M578" s="1" t="s">
        <v>8</v>
      </c>
    </row>
    <row r="579" spans="1:13" x14ac:dyDescent="0.35">
      <c r="A579" s="1" t="s">
        <v>8</v>
      </c>
      <c r="B579" s="1" t="s">
        <v>1125</v>
      </c>
      <c r="C579" s="1" t="s">
        <v>1126</v>
      </c>
      <c r="D579" s="3" t="s">
        <v>1127</v>
      </c>
      <c r="E579" s="3">
        <v>34</v>
      </c>
      <c r="F579" s="3">
        <v>34</v>
      </c>
      <c r="G579" s="1" t="s">
        <v>17</v>
      </c>
      <c r="H579" s="1"/>
      <c r="I579" s="1">
        <v>0</v>
      </c>
      <c r="J579" s="1" t="s">
        <v>12</v>
      </c>
      <c r="K579" s="1" t="s">
        <v>12</v>
      </c>
      <c r="L579" s="1" t="s">
        <v>7</v>
      </c>
      <c r="M579" s="1" t="s">
        <v>8</v>
      </c>
    </row>
    <row r="580" spans="1:13" x14ac:dyDescent="0.35">
      <c r="A580" s="1" t="s">
        <v>8</v>
      </c>
      <c r="B580" s="1" t="s">
        <v>1125</v>
      </c>
      <c r="C580" s="1" t="s">
        <v>1128</v>
      </c>
      <c r="D580" s="3" t="s">
        <v>1127</v>
      </c>
      <c r="E580" s="3" t="s">
        <v>12</v>
      </c>
      <c r="F580" s="3" t="s">
        <v>12</v>
      </c>
      <c r="G580" s="1" t="s">
        <v>17</v>
      </c>
      <c r="H580" s="1"/>
      <c r="I580" s="1">
        <v>0</v>
      </c>
      <c r="J580" s="1" t="s">
        <v>12</v>
      </c>
      <c r="K580" s="1" t="s">
        <v>12</v>
      </c>
      <c r="L580" s="1" t="s">
        <v>7</v>
      </c>
      <c r="M580" s="1" t="s">
        <v>8</v>
      </c>
    </row>
    <row r="581" spans="1:13" x14ac:dyDescent="0.35">
      <c r="A581" s="1" t="s">
        <v>8</v>
      </c>
      <c r="B581" s="1" t="s">
        <v>1125</v>
      </c>
      <c r="C581" s="1" t="s">
        <v>1129</v>
      </c>
      <c r="D581" s="3" t="s">
        <v>1127</v>
      </c>
      <c r="E581" s="3" t="s">
        <v>12</v>
      </c>
      <c r="F581" s="3" t="s">
        <v>12</v>
      </c>
      <c r="G581" s="1" t="s">
        <v>17</v>
      </c>
      <c r="H581" s="1"/>
      <c r="I581" s="1">
        <v>0</v>
      </c>
      <c r="J581" s="1" t="s">
        <v>12</v>
      </c>
      <c r="K581" s="1" t="s">
        <v>12</v>
      </c>
      <c r="L581" s="1" t="s">
        <v>7</v>
      </c>
      <c r="M581" s="1" t="s">
        <v>8</v>
      </c>
    </row>
    <row r="582" spans="1:13" x14ac:dyDescent="0.35">
      <c r="A582" s="1" t="s">
        <v>8</v>
      </c>
      <c r="B582" s="1" t="s">
        <v>1125</v>
      </c>
      <c r="C582" s="1" t="s">
        <v>1130</v>
      </c>
      <c r="D582" s="3" t="s">
        <v>1127</v>
      </c>
      <c r="E582" s="3">
        <v>10</v>
      </c>
      <c r="F582" s="3">
        <v>10</v>
      </c>
      <c r="G582" s="1" t="s">
        <v>17</v>
      </c>
      <c r="H582" s="1"/>
      <c r="I582" s="1">
        <v>0</v>
      </c>
      <c r="J582" s="1" t="s">
        <v>12</v>
      </c>
      <c r="K582" s="1" t="s">
        <v>12</v>
      </c>
      <c r="L582" s="1" t="s">
        <v>7</v>
      </c>
      <c r="M582" s="1" t="s">
        <v>8</v>
      </c>
    </row>
    <row r="583" spans="1:13" x14ac:dyDescent="0.35">
      <c r="A583" s="1" t="s">
        <v>8</v>
      </c>
      <c r="B583" s="1" t="s">
        <v>1131</v>
      </c>
      <c r="C583" s="1" t="s">
        <v>1132</v>
      </c>
      <c r="D583" s="3" t="s">
        <v>1133</v>
      </c>
      <c r="E583" s="3">
        <v>100</v>
      </c>
      <c r="F583" s="3">
        <v>100</v>
      </c>
      <c r="G583" s="1" t="s">
        <v>17</v>
      </c>
      <c r="H583" s="1"/>
      <c r="I583" s="1">
        <v>0</v>
      </c>
      <c r="J583" s="1" t="s">
        <v>12</v>
      </c>
      <c r="K583" s="1" t="s">
        <v>12</v>
      </c>
      <c r="L583" s="1" t="s">
        <v>7</v>
      </c>
      <c r="M583" s="1" t="s">
        <v>8</v>
      </c>
    </row>
    <row r="584" spans="1:13" x14ac:dyDescent="0.35">
      <c r="A584" s="1" t="s">
        <v>8</v>
      </c>
      <c r="B584" s="1" t="s">
        <v>1134</v>
      </c>
      <c r="C584" s="1" t="s">
        <v>1135</v>
      </c>
      <c r="D584" s="3" t="s">
        <v>1136</v>
      </c>
      <c r="E584" s="3">
        <v>100</v>
      </c>
      <c r="F584" s="3">
        <v>100</v>
      </c>
      <c r="G584" s="1" t="s">
        <v>17</v>
      </c>
      <c r="H584" s="1"/>
      <c r="I584" s="1">
        <v>0</v>
      </c>
      <c r="J584" s="1" t="s">
        <v>12</v>
      </c>
      <c r="K584" s="1" t="s">
        <v>12</v>
      </c>
      <c r="L584" s="1" t="s">
        <v>7</v>
      </c>
      <c r="M584" s="1" t="s">
        <v>8</v>
      </c>
    </row>
    <row r="585" spans="1:13" x14ac:dyDescent="0.35">
      <c r="A585" s="1" t="s">
        <v>980</v>
      </c>
      <c r="B585" s="1" t="s">
        <v>1248</v>
      </c>
      <c r="C585" s="1" t="s">
        <v>1137</v>
      </c>
      <c r="D585" s="3" t="s">
        <v>1138</v>
      </c>
      <c r="E585" s="3">
        <v>60</v>
      </c>
      <c r="F585" s="3">
        <v>60</v>
      </c>
      <c r="G585" s="1" t="s">
        <v>17</v>
      </c>
      <c r="H585" s="1"/>
      <c r="I585" s="1">
        <v>0</v>
      </c>
      <c r="J585" s="1" t="s">
        <v>12</v>
      </c>
      <c r="K585" s="1" t="s">
        <v>12</v>
      </c>
      <c r="L585" s="1" t="s">
        <v>7</v>
      </c>
      <c r="M585" s="1" t="s">
        <v>980</v>
      </c>
    </row>
    <row r="586" spans="1:13" x14ac:dyDescent="0.35">
      <c r="A586" s="1" t="s">
        <v>980</v>
      </c>
      <c r="B586" s="1" t="s">
        <v>1248</v>
      </c>
      <c r="C586" s="1" t="s">
        <v>1139</v>
      </c>
      <c r="D586" s="3" t="s">
        <v>1138</v>
      </c>
      <c r="E586" s="3">
        <v>40</v>
      </c>
      <c r="F586" s="3">
        <v>40</v>
      </c>
      <c r="G586" s="1" t="s">
        <v>17</v>
      </c>
      <c r="H586" s="1"/>
      <c r="I586" s="1">
        <v>0</v>
      </c>
      <c r="J586" s="1" t="s">
        <v>12</v>
      </c>
      <c r="K586" s="1" t="s">
        <v>12</v>
      </c>
      <c r="L586" s="1" t="s">
        <v>7</v>
      </c>
      <c r="M586" s="1" t="s">
        <v>980</v>
      </c>
    </row>
    <row r="587" spans="1:13" x14ac:dyDescent="0.35">
      <c r="A587" s="1" t="s">
        <v>980</v>
      </c>
      <c r="B587" s="1" t="s">
        <v>1249</v>
      </c>
      <c r="C587" s="1" t="s">
        <v>1140</v>
      </c>
      <c r="D587" s="3" t="s">
        <v>1141</v>
      </c>
      <c r="E587" s="3">
        <v>100</v>
      </c>
      <c r="F587" s="3">
        <v>100</v>
      </c>
      <c r="G587" s="1" t="s">
        <v>17</v>
      </c>
      <c r="H587" s="1"/>
      <c r="I587" s="1">
        <v>0</v>
      </c>
      <c r="J587" s="1" t="s">
        <v>12</v>
      </c>
      <c r="K587" s="1" t="s">
        <v>12</v>
      </c>
      <c r="L587" s="1" t="s">
        <v>7</v>
      </c>
      <c r="M587" s="1" t="s">
        <v>980</v>
      </c>
    </row>
    <row r="588" spans="1:13" x14ac:dyDescent="0.35">
      <c r="A588" s="1" t="s">
        <v>873</v>
      </c>
      <c r="B588" s="1" t="s">
        <v>1142</v>
      </c>
      <c r="C588" s="1" t="s">
        <v>1143</v>
      </c>
      <c r="D588" s="3" t="s">
        <v>1144</v>
      </c>
      <c r="E588" s="3" t="s">
        <v>12</v>
      </c>
      <c r="F588" s="3" t="s">
        <v>12</v>
      </c>
      <c r="G588" s="1" t="s">
        <v>17</v>
      </c>
      <c r="H588" s="1"/>
      <c r="I588" s="1">
        <v>0</v>
      </c>
      <c r="J588" s="1" t="s">
        <v>12</v>
      </c>
      <c r="K588" s="1" t="s">
        <v>12</v>
      </c>
      <c r="L588" s="1" t="s">
        <v>7</v>
      </c>
      <c r="M588" s="1" t="s">
        <v>873</v>
      </c>
    </row>
    <row r="589" spans="1:13" x14ac:dyDescent="0.35">
      <c r="A589" s="1" t="s">
        <v>873</v>
      </c>
      <c r="B589" s="1" t="s">
        <v>1142</v>
      </c>
      <c r="C589" s="1" t="s">
        <v>1145</v>
      </c>
      <c r="D589" s="3" t="s">
        <v>1144</v>
      </c>
      <c r="E589" s="3" t="s">
        <v>12</v>
      </c>
      <c r="F589" s="3" t="s">
        <v>12</v>
      </c>
      <c r="G589" s="1" t="s">
        <v>17</v>
      </c>
      <c r="H589" s="1"/>
      <c r="I589" s="1">
        <v>0</v>
      </c>
      <c r="J589" s="1" t="s">
        <v>12</v>
      </c>
      <c r="K589" s="1" t="s">
        <v>12</v>
      </c>
      <c r="L589" s="1" t="s">
        <v>7</v>
      </c>
      <c r="M589" s="1" t="s">
        <v>873</v>
      </c>
    </row>
    <row r="590" spans="1:13" x14ac:dyDescent="0.35">
      <c r="A590" s="1" t="s">
        <v>873</v>
      </c>
      <c r="B590" s="1" t="s">
        <v>1142</v>
      </c>
      <c r="C590" s="1" t="s">
        <v>897</v>
      </c>
      <c r="D590" s="3" t="s">
        <v>1144</v>
      </c>
      <c r="E590" s="3" t="s">
        <v>12</v>
      </c>
      <c r="F590" s="3" t="s">
        <v>12</v>
      </c>
      <c r="G590" s="1" t="s">
        <v>17</v>
      </c>
      <c r="H590" s="1"/>
      <c r="I590" s="1">
        <v>0</v>
      </c>
      <c r="J590" s="1" t="s">
        <v>12</v>
      </c>
      <c r="K590" s="1" t="s">
        <v>12</v>
      </c>
      <c r="L590" s="1" t="s">
        <v>7</v>
      </c>
      <c r="M590" s="1" t="s">
        <v>873</v>
      </c>
    </row>
    <row r="591" spans="1:13" x14ac:dyDescent="0.35">
      <c r="A591" s="1" t="s">
        <v>873</v>
      </c>
      <c r="B591" s="1" t="s">
        <v>1146</v>
      </c>
      <c r="C591" s="1" t="s">
        <v>1147</v>
      </c>
      <c r="D591" s="3" t="s">
        <v>1148</v>
      </c>
      <c r="E591" s="3" t="s">
        <v>12</v>
      </c>
      <c r="F591" s="3" t="s">
        <v>12</v>
      </c>
      <c r="G591" s="1" t="s">
        <v>17</v>
      </c>
      <c r="H591" s="1"/>
      <c r="I591" s="1">
        <v>0</v>
      </c>
      <c r="J591" s="1" t="s">
        <v>12</v>
      </c>
      <c r="K591" s="1" t="s">
        <v>12</v>
      </c>
      <c r="L591" s="1" t="s">
        <v>7</v>
      </c>
      <c r="M591" s="1" t="s">
        <v>873</v>
      </c>
    </row>
    <row r="592" spans="1:13" x14ac:dyDescent="0.35">
      <c r="A592" s="1" t="s">
        <v>873</v>
      </c>
      <c r="B592" s="1" t="s">
        <v>1146</v>
      </c>
      <c r="C592" s="1" t="s">
        <v>1149</v>
      </c>
      <c r="D592" s="3" t="s">
        <v>1148</v>
      </c>
      <c r="E592" s="3" t="s">
        <v>12</v>
      </c>
      <c r="F592" s="3" t="s">
        <v>12</v>
      </c>
      <c r="G592" s="1" t="s">
        <v>17</v>
      </c>
      <c r="H592" s="1"/>
      <c r="I592" s="1">
        <v>0</v>
      </c>
      <c r="J592" s="1" t="s">
        <v>12</v>
      </c>
      <c r="K592" s="1" t="s">
        <v>12</v>
      </c>
      <c r="L592" s="1" t="s">
        <v>7</v>
      </c>
      <c r="M592" s="1" t="s">
        <v>873</v>
      </c>
    </row>
    <row r="593" spans="1:13" x14ac:dyDescent="0.35">
      <c r="A593" s="1" t="s">
        <v>873</v>
      </c>
      <c r="B593" s="1" t="s">
        <v>1150</v>
      </c>
      <c r="C593" s="1" t="s">
        <v>1151</v>
      </c>
      <c r="D593" s="3" t="s">
        <v>1152</v>
      </c>
      <c r="E593" s="3" t="s">
        <v>12</v>
      </c>
      <c r="F593" s="3" t="s">
        <v>12</v>
      </c>
      <c r="G593" s="1" t="s">
        <v>17</v>
      </c>
      <c r="H593" s="1"/>
      <c r="I593" s="1">
        <v>0</v>
      </c>
      <c r="J593" s="1" t="s">
        <v>12</v>
      </c>
      <c r="K593" s="1" t="s">
        <v>12</v>
      </c>
      <c r="L593" s="1" t="s">
        <v>7</v>
      </c>
      <c r="M593" s="1" t="s">
        <v>873</v>
      </c>
    </row>
    <row r="594" spans="1:13" x14ac:dyDescent="0.35">
      <c r="A594" s="1" t="s">
        <v>873</v>
      </c>
      <c r="B594" s="1" t="s">
        <v>1150</v>
      </c>
      <c r="C594" s="1" t="s">
        <v>897</v>
      </c>
      <c r="D594" s="3" t="s">
        <v>1152</v>
      </c>
      <c r="E594" s="3" t="s">
        <v>12</v>
      </c>
      <c r="F594" s="3" t="s">
        <v>12</v>
      </c>
      <c r="G594" s="1" t="s">
        <v>17</v>
      </c>
      <c r="H594" s="1"/>
      <c r="I594" s="1">
        <v>0</v>
      </c>
      <c r="J594" s="1" t="s">
        <v>12</v>
      </c>
      <c r="K594" s="1" t="s">
        <v>12</v>
      </c>
      <c r="L594" s="1" t="s">
        <v>7</v>
      </c>
      <c r="M594" s="1" t="s">
        <v>873</v>
      </c>
    </row>
    <row r="595" spans="1:13" x14ac:dyDescent="0.35">
      <c r="A595" s="1" t="s">
        <v>873</v>
      </c>
      <c r="B595" s="1" t="s">
        <v>1150</v>
      </c>
      <c r="C595" s="1" t="s">
        <v>1153</v>
      </c>
      <c r="D595" s="3" t="s">
        <v>1152</v>
      </c>
      <c r="E595" s="3" t="s">
        <v>12</v>
      </c>
      <c r="F595" s="3" t="s">
        <v>12</v>
      </c>
      <c r="G595" s="1" t="s">
        <v>17</v>
      </c>
      <c r="H595" s="1"/>
      <c r="I595" s="1">
        <v>0</v>
      </c>
      <c r="J595" s="1" t="s">
        <v>12</v>
      </c>
      <c r="K595" s="1" t="s">
        <v>12</v>
      </c>
      <c r="L595" s="1" t="s">
        <v>7</v>
      </c>
      <c r="M595" s="1" t="s">
        <v>873</v>
      </c>
    </row>
    <row r="596" spans="1:13" x14ac:dyDescent="0.35">
      <c r="A596" s="1" t="s">
        <v>8</v>
      </c>
      <c r="B596" s="1" t="s">
        <v>1154</v>
      </c>
      <c r="C596" s="1" t="s">
        <v>1155</v>
      </c>
      <c r="D596" s="3" t="s">
        <v>1156</v>
      </c>
      <c r="E596" s="3">
        <v>25</v>
      </c>
      <c r="F596" s="3">
        <v>25</v>
      </c>
      <c r="G596" s="1" t="s">
        <v>17</v>
      </c>
      <c r="H596" s="1"/>
      <c r="I596" s="1">
        <v>0</v>
      </c>
      <c r="J596" s="1" t="s">
        <v>12</v>
      </c>
      <c r="K596" s="1" t="s">
        <v>12</v>
      </c>
      <c r="L596" s="1" t="s">
        <v>7</v>
      </c>
      <c r="M596" s="1" t="s">
        <v>8</v>
      </c>
    </row>
    <row r="597" spans="1:13" x14ac:dyDescent="0.35">
      <c r="A597" s="1" t="s">
        <v>8</v>
      </c>
      <c r="B597" s="1" t="s">
        <v>1154</v>
      </c>
      <c r="C597" s="1" t="s">
        <v>174</v>
      </c>
      <c r="D597" s="3" t="s">
        <v>1156</v>
      </c>
      <c r="E597" s="3">
        <v>25</v>
      </c>
      <c r="F597" s="3">
        <v>25</v>
      </c>
      <c r="G597" s="1" t="s">
        <v>17</v>
      </c>
      <c r="H597" s="1"/>
      <c r="I597" s="1">
        <v>0</v>
      </c>
      <c r="J597" s="1" t="s">
        <v>12</v>
      </c>
      <c r="K597" s="1" t="s">
        <v>12</v>
      </c>
      <c r="L597" s="1" t="s">
        <v>7</v>
      </c>
      <c r="M597" s="1" t="s">
        <v>8</v>
      </c>
    </row>
    <row r="598" spans="1:13" x14ac:dyDescent="0.35">
      <c r="A598" s="1" t="s">
        <v>8</v>
      </c>
      <c r="B598" s="1" t="s">
        <v>1154</v>
      </c>
      <c r="C598" s="1" t="s">
        <v>1157</v>
      </c>
      <c r="D598" s="3" t="s">
        <v>1156</v>
      </c>
      <c r="E598" s="3">
        <v>50</v>
      </c>
      <c r="F598" s="3">
        <v>50</v>
      </c>
      <c r="G598" s="1" t="s">
        <v>17</v>
      </c>
      <c r="H598" s="1"/>
      <c r="I598" s="1">
        <v>0</v>
      </c>
      <c r="J598" s="1" t="s">
        <v>12</v>
      </c>
      <c r="K598" s="1" t="s">
        <v>12</v>
      </c>
      <c r="L598" s="1" t="s">
        <v>7</v>
      </c>
      <c r="M598" s="1" t="s">
        <v>8</v>
      </c>
    </row>
    <row r="599" spans="1:13" x14ac:dyDescent="0.35">
      <c r="A599" s="1" t="s">
        <v>873</v>
      </c>
      <c r="B599" s="1" t="s">
        <v>1158</v>
      </c>
      <c r="C599" s="1" t="s">
        <v>1159</v>
      </c>
      <c r="D599" s="3" t="s">
        <v>1160</v>
      </c>
      <c r="E599" s="3">
        <v>50</v>
      </c>
      <c r="F599" s="3">
        <v>50</v>
      </c>
      <c r="G599" s="1" t="s">
        <v>17</v>
      </c>
      <c r="H599" s="1"/>
      <c r="I599" s="1">
        <v>0</v>
      </c>
      <c r="J599" s="1" t="s">
        <v>12</v>
      </c>
      <c r="K599" s="1" t="s">
        <v>12</v>
      </c>
      <c r="L599" s="1" t="s">
        <v>7</v>
      </c>
      <c r="M599" s="1" t="s">
        <v>873</v>
      </c>
    </row>
    <row r="600" spans="1:13" x14ac:dyDescent="0.35">
      <c r="A600" s="1" t="s">
        <v>8</v>
      </c>
      <c r="B600" s="1" t="s">
        <v>1161</v>
      </c>
      <c r="C600" s="1" t="s">
        <v>1123</v>
      </c>
      <c r="D600" s="3" t="s">
        <v>1162</v>
      </c>
      <c r="E600" s="3" t="s">
        <v>1163</v>
      </c>
      <c r="F600" s="3" t="s">
        <v>1163</v>
      </c>
      <c r="G600" s="1" t="s">
        <v>17</v>
      </c>
      <c r="H600" s="1"/>
      <c r="I600" s="1">
        <v>0</v>
      </c>
      <c r="J600" s="1" t="s">
        <v>12</v>
      </c>
      <c r="K600" s="1" t="s">
        <v>12</v>
      </c>
      <c r="L600" s="1" t="s">
        <v>7</v>
      </c>
      <c r="M600" s="1" t="s">
        <v>8</v>
      </c>
    </row>
    <row r="601" spans="1:13" x14ac:dyDescent="0.35">
      <c r="A601" s="1" t="s">
        <v>8</v>
      </c>
      <c r="B601" s="1" t="s">
        <v>1161</v>
      </c>
      <c r="C601" s="1" t="s">
        <v>1164</v>
      </c>
      <c r="D601" s="3" t="s">
        <v>1162</v>
      </c>
      <c r="E601" s="3" t="s">
        <v>1165</v>
      </c>
      <c r="F601" s="3" t="s">
        <v>1165</v>
      </c>
      <c r="G601" s="1" t="s">
        <v>17</v>
      </c>
      <c r="H601" s="1"/>
      <c r="I601" s="1">
        <v>0</v>
      </c>
      <c r="J601" s="1" t="s">
        <v>12</v>
      </c>
      <c r="K601" s="1" t="s">
        <v>12</v>
      </c>
      <c r="L601" s="1" t="s">
        <v>7</v>
      </c>
      <c r="M601" s="1" t="s">
        <v>8</v>
      </c>
    </row>
    <row r="602" spans="1:13" x14ac:dyDescent="0.35">
      <c r="A602" s="1" t="s">
        <v>8</v>
      </c>
      <c r="B602" s="1" t="s">
        <v>1161</v>
      </c>
      <c r="C602" s="1" t="s">
        <v>1166</v>
      </c>
      <c r="D602" s="3" t="s">
        <v>1162</v>
      </c>
      <c r="E602" s="3" t="s">
        <v>1167</v>
      </c>
      <c r="F602" s="3" t="s">
        <v>1167</v>
      </c>
      <c r="G602" s="1" t="s">
        <v>160</v>
      </c>
      <c r="H602" s="1"/>
      <c r="I602" s="1">
        <v>0</v>
      </c>
      <c r="J602" s="1" t="s">
        <v>12</v>
      </c>
      <c r="K602" s="1" t="s">
        <v>12</v>
      </c>
      <c r="L602" s="1" t="s">
        <v>7</v>
      </c>
      <c r="M602" s="1" t="s">
        <v>8</v>
      </c>
    </row>
    <row r="603" spans="1:13" x14ac:dyDescent="0.35">
      <c r="A603" s="1" t="s">
        <v>8</v>
      </c>
      <c r="B603" s="1" t="s">
        <v>1168</v>
      </c>
      <c r="C603" s="1" t="s">
        <v>1169</v>
      </c>
      <c r="D603" s="3" t="s">
        <v>1170</v>
      </c>
      <c r="E603" s="3">
        <v>75</v>
      </c>
      <c r="F603" s="3">
        <v>75</v>
      </c>
      <c r="G603" s="1" t="s">
        <v>17</v>
      </c>
      <c r="H603" s="1"/>
      <c r="I603" s="1">
        <v>0</v>
      </c>
      <c r="J603" s="1" t="s">
        <v>12</v>
      </c>
      <c r="K603" s="1" t="s">
        <v>12</v>
      </c>
      <c r="L603" s="1" t="s">
        <v>7</v>
      </c>
      <c r="M603" s="1" t="s">
        <v>8</v>
      </c>
    </row>
    <row r="604" spans="1:13" x14ac:dyDescent="0.35">
      <c r="A604" s="1" t="s">
        <v>8</v>
      </c>
      <c r="B604" s="1" t="s">
        <v>1168</v>
      </c>
      <c r="C604" s="1" t="s">
        <v>1171</v>
      </c>
      <c r="D604" s="3" t="s">
        <v>1170</v>
      </c>
      <c r="E604" s="3">
        <v>25</v>
      </c>
      <c r="F604" s="3">
        <v>25</v>
      </c>
      <c r="G604" s="1" t="s">
        <v>17</v>
      </c>
      <c r="H604" s="1"/>
      <c r="I604" s="1">
        <v>0</v>
      </c>
      <c r="J604" s="1" t="s">
        <v>12</v>
      </c>
      <c r="K604" s="1" t="s">
        <v>12</v>
      </c>
      <c r="L604" s="1" t="s">
        <v>7</v>
      </c>
      <c r="M604" s="1" t="s">
        <v>8</v>
      </c>
    </row>
    <row r="605" spans="1:13" x14ac:dyDescent="0.35">
      <c r="A605" s="1" t="s">
        <v>873</v>
      </c>
      <c r="B605" s="1" t="s">
        <v>1172</v>
      </c>
      <c r="C605" s="1" t="s">
        <v>1173</v>
      </c>
      <c r="D605" s="3" t="s">
        <v>1174</v>
      </c>
      <c r="E605" s="3">
        <v>40</v>
      </c>
      <c r="F605" s="3" t="s">
        <v>12</v>
      </c>
      <c r="G605" s="1" t="s">
        <v>17</v>
      </c>
      <c r="H605" s="1"/>
      <c r="I605" s="1">
        <v>0</v>
      </c>
      <c r="J605" s="1" t="s">
        <v>12</v>
      </c>
      <c r="K605" s="1" t="s">
        <v>12</v>
      </c>
      <c r="L605" s="1" t="s">
        <v>7</v>
      </c>
      <c r="M605" s="1" t="s">
        <v>873</v>
      </c>
    </row>
    <row r="606" spans="1:13" x14ac:dyDescent="0.35">
      <c r="A606" s="1" t="s">
        <v>8</v>
      </c>
      <c r="B606" s="1" t="s">
        <v>1175</v>
      </c>
      <c r="C606" s="1" t="s">
        <v>1176</v>
      </c>
      <c r="D606" s="3" t="s">
        <v>1177</v>
      </c>
      <c r="E606" s="3">
        <v>20</v>
      </c>
      <c r="F606" s="3">
        <v>20</v>
      </c>
      <c r="G606" s="1" t="s">
        <v>17</v>
      </c>
      <c r="H606" s="1"/>
      <c r="I606" s="1">
        <v>0</v>
      </c>
      <c r="J606" s="1" t="s">
        <v>12</v>
      </c>
      <c r="K606" s="1" t="s">
        <v>12</v>
      </c>
      <c r="L606" s="1" t="s">
        <v>7</v>
      </c>
      <c r="M606" s="1" t="s">
        <v>8</v>
      </c>
    </row>
    <row r="607" spans="1:13" x14ac:dyDescent="0.35">
      <c r="A607" s="1" t="s">
        <v>8</v>
      </c>
      <c r="B607" s="1" t="s">
        <v>1175</v>
      </c>
      <c r="C607" s="1" t="s">
        <v>1178</v>
      </c>
      <c r="D607" s="3" t="s">
        <v>1177</v>
      </c>
      <c r="E607" s="3">
        <v>80</v>
      </c>
      <c r="F607" s="3">
        <v>80</v>
      </c>
      <c r="G607" s="1" t="s">
        <v>17</v>
      </c>
      <c r="H607" s="1"/>
      <c r="I607" s="1">
        <v>0</v>
      </c>
      <c r="J607" s="1" t="s">
        <v>12</v>
      </c>
      <c r="K607" s="1" t="s">
        <v>12</v>
      </c>
      <c r="L607" s="1" t="s">
        <v>7</v>
      </c>
      <c r="M607" s="1" t="s">
        <v>8</v>
      </c>
    </row>
    <row r="608" spans="1:13" x14ac:dyDescent="0.35">
      <c r="A608" s="1" t="s">
        <v>8</v>
      </c>
      <c r="B608" s="1" t="s">
        <v>1179</v>
      </c>
      <c r="C608" s="1" t="s">
        <v>1180</v>
      </c>
      <c r="D608" s="3" t="s">
        <v>1181</v>
      </c>
      <c r="E608" s="3">
        <v>100</v>
      </c>
      <c r="F608" s="3">
        <v>100</v>
      </c>
      <c r="G608" s="1" t="s">
        <v>17</v>
      </c>
      <c r="H608" s="1"/>
      <c r="I608" s="1">
        <v>0</v>
      </c>
      <c r="J608" s="1" t="s">
        <v>12</v>
      </c>
      <c r="K608" s="1" t="s">
        <v>12</v>
      </c>
      <c r="L608" s="1" t="s">
        <v>7</v>
      </c>
      <c r="M608" s="1" t="s">
        <v>8</v>
      </c>
    </row>
    <row r="609" spans="1:13" x14ac:dyDescent="0.35">
      <c r="A609" s="1" t="s">
        <v>966</v>
      </c>
      <c r="B609" s="1" t="s">
        <v>1250</v>
      </c>
      <c r="C609" s="1" t="s">
        <v>1182</v>
      </c>
      <c r="D609" s="3" t="s">
        <v>1183</v>
      </c>
      <c r="E609" s="3">
        <v>51</v>
      </c>
      <c r="F609" s="3">
        <v>51</v>
      </c>
      <c r="G609" s="1" t="s">
        <v>17</v>
      </c>
      <c r="H609" s="1"/>
      <c r="I609" s="1">
        <v>0</v>
      </c>
      <c r="J609" s="1" t="s">
        <v>12</v>
      </c>
      <c r="K609" s="1" t="s">
        <v>12</v>
      </c>
      <c r="L609" s="1" t="s">
        <v>7</v>
      </c>
      <c r="M609" s="1" t="s">
        <v>966</v>
      </c>
    </row>
    <row r="610" spans="1:13" x14ac:dyDescent="0.35">
      <c r="A610" s="1" t="s">
        <v>8</v>
      </c>
      <c r="B610" s="1" t="s">
        <v>1184</v>
      </c>
      <c r="C610" s="1" t="s">
        <v>1185</v>
      </c>
      <c r="D610" s="3" t="s">
        <v>1186</v>
      </c>
      <c r="E610" s="3">
        <v>100</v>
      </c>
      <c r="F610" s="3">
        <v>100</v>
      </c>
      <c r="G610" s="1" t="s">
        <v>17</v>
      </c>
      <c r="H610" s="1"/>
      <c r="I610" s="1">
        <v>0</v>
      </c>
      <c r="J610" s="1" t="s">
        <v>12</v>
      </c>
      <c r="K610" s="1" t="s">
        <v>12</v>
      </c>
      <c r="L610" s="1" t="s">
        <v>7</v>
      </c>
      <c r="M610" s="1" t="s">
        <v>8</v>
      </c>
    </row>
    <row r="611" spans="1:13" x14ac:dyDescent="0.35">
      <c r="A611" s="1" t="s">
        <v>8</v>
      </c>
      <c r="B611" s="1" t="s">
        <v>1187</v>
      </c>
      <c r="C611" s="1" t="s">
        <v>1188</v>
      </c>
      <c r="D611" s="3" t="s">
        <v>1189</v>
      </c>
      <c r="E611" s="3">
        <v>70</v>
      </c>
      <c r="F611" s="3">
        <v>70</v>
      </c>
      <c r="G611" s="1" t="s">
        <v>17</v>
      </c>
      <c r="H611" s="1"/>
      <c r="I611" s="1">
        <v>0</v>
      </c>
      <c r="J611" s="1" t="s">
        <v>12</v>
      </c>
      <c r="K611" s="1" t="s">
        <v>12</v>
      </c>
      <c r="L611" s="1" t="s">
        <v>7</v>
      </c>
      <c r="M611" s="1" t="s">
        <v>8</v>
      </c>
    </row>
    <row r="612" spans="1:13" x14ac:dyDescent="0.35">
      <c r="A612" s="1" t="s">
        <v>8</v>
      </c>
      <c r="B612" s="1" t="s">
        <v>1187</v>
      </c>
      <c r="C612" s="1" t="s">
        <v>1190</v>
      </c>
      <c r="D612" s="3" t="s">
        <v>1189</v>
      </c>
      <c r="E612" s="3">
        <v>5</v>
      </c>
      <c r="F612" s="3">
        <v>5</v>
      </c>
      <c r="G612" s="1" t="s">
        <v>17</v>
      </c>
      <c r="H612" s="1"/>
      <c r="I612" s="1">
        <v>0</v>
      </c>
      <c r="J612" s="1" t="s">
        <v>12</v>
      </c>
      <c r="K612" s="1" t="s">
        <v>12</v>
      </c>
      <c r="L612" s="1" t="s">
        <v>7</v>
      </c>
      <c r="M612" s="1" t="s">
        <v>8</v>
      </c>
    </row>
    <row r="613" spans="1:13" x14ac:dyDescent="0.35">
      <c r="A613" s="1" t="s">
        <v>8</v>
      </c>
      <c r="B613" s="1" t="s">
        <v>1187</v>
      </c>
      <c r="C613" s="1" t="s">
        <v>1191</v>
      </c>
      <c r="D613" s="3" t="s">
        <v>1189</v>
      </c>
      <c r="E613" s="3">
        <v>5</v>
      </c>
      <c r="F613" s="3">
        <v>5</v>
      </c>
      <c r="G613" s="1" t="s">
        <v>17</v>
      </c>
      <c r="H613" s="1"/>
      <c r="I613" s="1">
        <v>0</v>
      </c>
      <c r="J613" s="1" t="s">
        <v>12</v>
      </c>
      <c r="K613" s="1" t="s">
        <v>12</v>
      </c>
      <c r="L613" s="1" t="s">
        <v>7</v>
      </c>
      <c r="M613" s="1" t="s">
        <v>8</v>
      </c>
    </row>
    <row r="614" spans="1:13" x14ac:dyDescent="0.35">
      <c r="A614" s="1" t="s">
        <v>8</v>
      </c>
      <c r="B614" s="1" t="s">
        <v>1187</v>
      </c>
      <c r="C614" s="1" t="s">
        <v>1192</v>
      </c>
      <c r="D614" s="3" t="s">
        <v>1189</v>
      </c>
      <c r="E614" s="3">
        <v>5</v>
      </c>
      <c r="F614" s="3">
        <v>5</v>
      </c>
      <c r="G614" s="1" t="s">
        <v>17</v>
      </c>
      <c r="H614" s="1"/>
      <c r="I614" s="1">
        <v>0</v>
      </c>
      <c r="J614" s="1" t="s">
        <v>12</v>
      </c>
      <c r="K614" s="1" t="s">
        <v>12</v>
      </c>
      <c r="L614" s="1" t="s">
        <v>7</v>
      </c>
      <c r="M614" s="1" t="s">
        <v>8</v>
      </c>
    </row>
    <row r="615" spans="1:13" x14ac:dyDescent="0.35">
      <c r="A615" s="1" t="s">
        <v>8</v>
      </c>
      <c r="B615" s="1" t="s">
        <v>1187</v>
      </c>
      <c r="C615" s="1" t="s">
        <v>1193</v>
      </c>
      <c r="D615" s="3" t="s">
        <v>1189</v>
      </c>
      <c r="E615" s="3">
        <v>5</v>
      </c>
      <c r="F615" s="3">
        <v>5</v>
      </c>
      <c r="G615" s="1" t="s">
        <v>17</v>
      </c>
      <c r="H615" s="1"/>
      <c r="I615" s="1">
        <v>0</v>
      </c>
      <c r="J615" s="1" t="s">
        <v>12</v>
      </c>
      <c r="K615" s="1" t="s">
        <v>12</v>
      </c>
      <c r="L615" s="1" t="s">
        <v>7</v>
      </c>
      <c r="M615" s="1" t="s">
        <v>8</v>
      </c>
    </row>
    <row r="616" spans="1:13" x14ac:dyDescent="0.35">
      <c r="A616" s="1" t="s">
        <v>8</v>
      </c>
      <c r="B616" s="1" t="s">
        <v>1187</v>
      </c>
      <c r="C616" s="1" t="s">
        <v>1194</v>
      </c>
      <c r="D616" s="3" t="s">
        <v>1189</v>
      </c>
      <c r="E616" s="3">
        <v>10</v>
      </c>
      <c r="F616" s="3">
        <v>10</v>
      </c>
      <c r="G616" s="1" t="s">
        <v>17</v>
      </c>
      <c r="H616" s="1"/>
      <c r="I616" s="1">
        <v>0</v>
      </c>
      <c r="J616" s="1" t="s">
        <v>12</v>
      </c>
      <c r="K616" s="1" t="s">
        <v>12</v>
      </c>
      <c r="L616" s="1" t="s">
        <v>7</v>
      </c>
      <c r="M616" s="1" t="s">
        <v>8</v>
      </c>
    </row>
    <row r="617" spans="1:13" x14ac:dyDescent="0.35">
      <c r="A617" s="1" t="s">
        <v>8</v>
      </c>
      <c r="B617" s="1" t="s">
        <v>1195</v>
      </c>
      <c r="C617" s="1" t="s">
        <v>1196</v>
      </c>
      <c r="D617" s="3" t="s">
        <v>1197</v>
      </c>
      <c r="E617" s="3" t="s">
        <v>12</v>
      </c>
      <c r="F617" s="3" t="s">
        <v>12</v>
      </c>
      <c r="G617" s="1" t="s">
        <v>17</v>
      </c>
      <c r="H617" s="1"/>
      <c r="I617" s="1">
        <v>1</v>
      </c>
      <c r="J617" s="1" t="s">
        <v>1221</v>
      </c>
      <c r="K617" s="1" t="s">
        <v>1222</v>
      </c>
      <c r="L617" s="1" t="s">
        <v>7</v>
      </c>
      <c r="M617" s="1" t="s">
        <v>8</v>
      </c>
    </row>
    <row r="618" spans="1:13" x14ac:dyDescent="0.35">
      <c r="A618" s="1" t="s">
        <v>8</v>
      </c>
      <c r="B618" s="1" t="s">
        <v>1195</v>
      </c>
      <c r="C618" s="1" t="s">
        <v>1196</v>
      </c>
      <c r="D618" s="3" t="s">
        <v>1197</v>
      </c>
      <c r="E618" s="3" t="s">
        <v>12</v>
      </c>
      <c r="F618" s="3" t="s">
        <v>12</v>
      </c>
      <c r="G618" s="1" t="s">
        <v>17</v>
      </c>
      <c r="H618" s="1"/>
      <c r="I618" s="1">
        <v>1</v>
      </c>
      <c r="J618" s="1" t="s">
        <v>1221</v>
      </c>
      <c r="K618" s="1" t="s">
        <v>1222</v>
      </c>
      <c r="L618" s="1" t="s">
        <v>7</v>
      </c>
      <c r="M618" s="1" t="s">
        <v>8</v>
      </c>
    </row>
    <row r="619" spans="1:13" x14ac:dyDescent="0.35">
      <c r="A619" s="1" t="s">
        <v>8</v>
      </c>
      <c r="B619" s="1" t="s">
        <v>1198</v>
      </c>
      <c r="C619" s="1" t="s">
        <v>1199</v>
      </c>
      <c r="D619" s="3" t="s">
        <v>1200</v>
      </c>
      <c r="E619" s="3">
        <v>49</v>
      </c>
      <c r="F619" s="3">
        <v>49</v>
      </c>
      <c r="G619" s="1" t="s">
        <v>17</v>
      </c>
      <c r="H619" s="1"/>
      <c r="I619" s="1">
        <v>0</v>
      </c>
      <c r="J619" s="1" t="s">
        <v>12</v>
      </c>
      <c r="K619" s="1" t="s">
        <v>12</v>
      </c>
      <c r="L619" s="1" t="s">
        <v>7</v>
      </c>
      <c r="M619" s="1" t="s">
        <v>8</v>
      </c>
    </row>
    <row r="620" spans="1:13" x14ac:dyDescent="0.35">
      <c r="A620" s="1" t="s">
        <v>8</v>
      </c>
      <c r="B620" s="1" t="s">
        <v>1198</v>
      </c>
      <c r="C620" s="1" t="s">
        <v>1201</v>
      </c>
      <c r="D620" s="3" t="s">
        <v>1200</v>
      </c>
      <c r="E620" s="3">
        <v>51</v>
      </c>
      <c r="F620" s="3">
        <v>51</v>
      </c>
      <c r="G620" s="1" t="s">
        <v>17</v>
      </c>
      <c r="H620" s="1"/>
      <c r="I620" s="1">
        <v>0</v>
      </c>
      <c r="J620" s="1" t="s">
        <v>12</v>
      </c>
      <c r="K620" s="1" t="s">
        <v>12</v>
      </c>
      <c r="L620" s="1" t="s">
        <v>7</v>
      </c>
      <c r="M620" s="1" t="s">
        <v>8</v>
      </c>
    </row>
    <row r="621" spans="1:13" x14ac:dyDescent="0.35">
      <c r="A621" s="1" t="s">
        <v>8</v>
      </c>
      <c r="B621" s="1" t="s">
        <v>1202</v>
      </c>
      <c r="C621" s="1" t="s">
        <v>1203</v>
      </c>
      <c r="D621" s="3" t="s">
        <v>1204</v>
      </c>
      <c r="E621" s="3" t="s">
        <v>12</v>
      </c>
      <c r="F621" s="3" t="s">
        <v>12</v>
      </c>
      <c r="G621" s="1" t="s">
        <v>17</v>
      </c>
      <c r="H621" s="1"/>
      <c r="I621" s="1" t="s">
        <v>12</v>
      </c>
      <c r="J621" s="1" t="s">
        <v>12</v>
      </c>
      <c r="K621" s="1" t="s">
        <v>12</v>
      </c>
      <c r="L621" s="1" t="s">
        <v>7</v>
      </c>
      <c r="M621" s="1" t="s">
        <v>8</v>
      </c>
    </row>
    <row r="622" spans="1:13" x14ac:dyDescent="0.35">
      <c r="A622" s="1" t="s">
        <v>8</v>
      </c>
      <c r="B622" s="1" t="s">
        <v>1205</v>
      </c>
      <c r="C622" s="1" t="s">
        <v>1206</v>
      </c>
      <c r="D622" s="3" t="s">
        <v>1207</v>
      </c>
      <c r="E622" s="3" t="s">
        <v>12</v>
      </c>
      <c r="F622" s="3" t="s">
        <v>12</v>
      </c>
      <c r="G622" s="1" t="s">
        <v>17</v>
      </c>
      <c r="H622" s="1"/>
      <c r="I622" s="1">
        <v>0</v>
      </c>
      <c r="J622" s="1" t="s">
        <v>12</v>
      </c>
      <c r="K622" s="1" t="s">
        <v>12</v>
      </c>
      <c r="L622" s="1" t="s">
        <v>7</v>
      </c>
      <c r="M622" s="1" t="s">
        <v>8</v>
      </c>
    </row>
    <row r="623" spans="1:13" x14ac:dyDescent="0.35">
      <c r="A623" s="1" t="s">
        <v>8</v>
      </c>
      <c r="B623" s="1" t="s">
        <v>1205</v>
      </c>
      <c r="C623" s="1" t="s">
        <v>1208</v>
      </c>
      <c r="D623" s="3" t="s">
        <v>1207</v>
      </c>
      <c r="E623" s="3" t="s">
        <v>12</v>
      </c>
      <c r="F623" s="3" t="s">
        <v>12</v>
      </c>
      <c r="G623" s="1" t="s">
        <v>17</v>
      </c>
      <c r="H623" s="1"/>
      <c r="I623" s="1">
        <v>0</v>
      </c>
      <c r="J623" s="1" t="s">
        <v>12</v>
      </c>
      <c r="K623" s="1" t="s">
        <v>12</v>
      </c>
      <c r="L623" s="1" t="s">
        <v>7</v>
      </c>
      <c r="M623" s="1" t="s">
        <v>8</v>
      </c>
    </row>
    <row r="624" spans="1:13" x14ac:dyDescent="0.35">
      <c r="A624" s="1" t="s">
        <v>873</v>
      </c>
      <c r="B624" s="1" t="s">
        <v>1209</v>
      </c>
      <c r="C624" s="1" t="s">
        <v>1210</v>
      </c>
      <c r="D624" s="3" t="s">
        <v>1211</v>
      </c>
      <c r="E624" s="3">
        <v>1</v>
      </c>
      <c r="F624" s="3" t="s">
        <v>12</v>
      </c>
      <c r="G624" s="1" t="s">
        <v>17</v>
      </c>
      <c r="H624" s="1"/>
      <c r="I624" s="1">
        <v>0</v>
      </c>
      <c r="J624" s="1" t="s">
        <v>12</v>
      </c>
      <c r="K624" s="1" t="s">
        <v>12</v>
      </c>
      <c r="L624" s="1" t="s">
        <v>7</v>
      </c>
      <c r="M624" s="1" t="s">
        <v>873</v>
      </c>
    </row>
    <row r="625" spans="1:13" x14ac:dyDescent="0.35">
      <c r="A625" s="1" t="s">
        <v>873</v>
      </c>
      <c r="B625" s="1" t="s">
        <v>1209</v>
      </c>
      <c r="C625" s="1" t="s">
        <v>1212</v>
      </c>
      <c r="D625" s="3" t="s">
        <v>1211</v>
      </c>
      <c r="E625" s="3">
        <v>10</v>
      </c>
      <c r="F625" s="3" t="s">
        <v>12</v>
      </c>
      <c r="G625" s="1" t="s">
        <v>17</v>
      </c>
      <c r="H625" s="1"/>
      <c r="I625" s="1">
        <v>0</v>
      </c>
      <c r="J625" s="1" t="s">
        <v>12</v>
      </c>
      <c r="K625" s="1" t="s">
        <v>12</v>
      </c>
      <c r="L625" s="1" t="s">
        <v>7</v>
      </c>
      <c r="M625" s="1" t="s">
        <v>873</v>
      </c>
    </row>
    <row r="626" spans="1:13" x14ac:dyDescent="0.35">
      <c r="A626" s="1" t="s">
        <v>873</v>
      </c>
      <c r="B626" s="1" t="s">
        <v>1209</v>
      </c>
      <c r="C626" s="1" t="s">
        <v>1213</v>
      </c>
      <c r="D626" s="3" t="s">
        <v>1211</v>
      </c>
      <c r="E626" s="3">
        <v>29</v>
      </c>
      <c r="F626" s="3" t="s">
        <v>12</v>
      </c>
      <c r="G626" s="1" t="s">
        <v>17</v>
      </c>
      <c r="H626" s="1"/>
      <c r="I626" s="1">
        <v>0</v>
      </c>
      <c r="J626" s="1" t="s">
        <v>12</v>
      </c>
      <c r="K626" s="1" t="s">
        <v>12</v>
      </c>
      <c r="L626" s="1" t="s">
        <v>7</v>
      </c>
      <c r="M626" s="1" t="s">
        <v>873</v>
      </c>
    </row>
    <row r="627" spans="1:13" x14ac:dyDescent="0.35">
      <c r="A627" s="1" t="s">
        <v>873</v>
      </c>
      <c r="B627" s="1" t="s">
        <v>1209</v>
      </c>
      <c r="C627" s="1" t="s">
        <v>1214</v>
      </c>
      <c r="D627" s="3" t="s">
        <v>1211</v>
      </c>
      <c r="E627" s="3">
        <v>60</v>
      </c>
      <c r="F627" s="3" t="s">
        <v>12</v>
      </c>
      <c r="G627" s="1" t="s">
        <v>17</v>
      </c>
      <c r="H627" s="1"/>
      <c r="I627" s="1">
        <v>0</v>
      </c>
      <c r="J627" s="1" t="s">
        <v>12</v>
      </c>
      <c r="K627" s="1" t="s">
        <v>12</v>
      </c>
      <c r="L627" s="1" t="s">
        <v>7</v>
      </c>
      <c r="M627" s="1" t="s">
        <v>873</v>
      </c>
    </row>
    <row r="628" spans="1:13" x14ac:dyDescent="0.35">
      <c r="A628" s="1" t="s">
        <v>8</v>
      </c>
      <c r="B628" s="1" t="s">
        <v>1215</v>
      </c>
      <c r="C628" s="1" t="s">
        <v>1216</v>
      </c>
      <c r="D628" s="3" t="s">
        <v>1217</v>
      </c>
      <c r="E628" s="3">
        <v>100</v>
      </c>
      <c r="F628" s="3" t="s">
        <v>12</v>
      </c>
      <c r="G628" s="1" t="s">
        <v>17</v>
      </c>
      <c r="H628" s="1"/>
      <c r="I628" s="1">
        <v>0</v>
      </c>
      <c r="J628" s="1" t="s">
        <v>12</v>
      </c>
      <c r="K628" s="1" t="s">
        <v>12</v>
      </c>
      <c r="L628" s="1" t="s">
        <v>7</v>
      </c>
      <c r="M628" s="1" t="s">
        <v>8</v>
      </c>
    </row>
    <row r="629" spans="1:13" x14ac:dyDescent="0.35">
      <c r="A629" s="1" t="s">
        <v>8</v>
      </c>
      <c r="B629" s="1" t="s">
        <v>1218</v>
      </c>
      <c r="C629" s="1" t="s">
        <v>1219</v>
      </c>
      <c r="D629" s="3" t="s">
        <v>1220</v>
      </c>
      <c r="E629" s="3">
        <v>100</v>
      </c>
      <c r="F629" s="3">
        <v>100</v>
      </c>
      <c r="G629" s="1" t="s">
        <v>17</v>
      </c>
      <c r="H629" s="1"/>
      <c r="I629" s="1">
        <v>0</v>
      </c>
      <c r="J629" s="1" t="s">
        <v>12</v>
      </c>
      <c r="K629" s="1" t="s">
        <v>12</v>
      </c>
      <c r="L629" s="1" t="s">
        <v>7</v>
      </c>
      <c r="M629" s="1" t="s">
        <v>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93AE-58C0-4099-9122-4B20F1AE69A2}">
  <dimension ref="A1:AD502"/>
  <sheetViews>
    <sheetView topLeftCell="A47" zoomScale="62" zoomScaleNormal="100" workbookViewId="0">
      <selection activeCell="A56" sqref="A56"/>
    </sheetView>
  </sheetViews>
  <sheetFormatPr baseColWidth="10" defaultRowHeight="16" x14ac:dyDescent="0.4"/>
  <cols>
    <col min="1" max="1" width="75.81640625" style="10" bestFit="1" customWidth="1"/>
    <col min="2" max="2" width="11.81640625" style="10" customWidth="1"/>
    <col min="3" max="4" width="24.6328125" style="22" customWidth="1"/>
    <col min="5" max="5" width="22.7265625" style="10" customWidth="1"/>
    <col min="6" max="6" width="33.6328125" style="10" customWidth="1"/>
    <col min="7" max="7" width="22.7265625" style="10" customWidth="1"/>
    <col min="8" max="8" width="66.453125" style="10" bestFit="1" customWidth="1"/>
    <col min="9" max="9" width="17.26953125" style="10" customWidth="1"/>
    <col min="10" max="11" width="10.90625" style="10"/>
    <col min="12" max="12" width="26.453125" style="10" bestFit="1" customWidth="1"/>
    <col min="13" max="13" width="22.81640625" style="10" bestFit="1" customWidth="1"/>
    <col min="14" max="14" width="21.1796875" style="10" bestFit="1" customWidth="1"/>
    <col min="15" max="15" width="51.54296875" style="10" bestFit="1" customWidth="1"/>
    <col min="16" max="16" width="22.453125" style="10" bestFit="1" customWidth="1"/>
    <col min="17" max="17" width="9.7265625" style="10" bestFit="1" customWidth="1"/>
    <col min="18" max="18" width="7.90625" style="10" bestFit="1" customWidth="1"/>
    <col min="19" max="19" width="12.81640625" style="10" customWidth="1"/>
    <col min="20" max="20" width="14.36328125" style="10" bestFit="1" customWidth="1"/>
    <col min="21" max="21" width="10.453125" style="10" bestFit="1" customWidth="1"/>
    <col min="22" max="22" width="9.7265625" style="10" bestFit="1" customWidth="1"/>
    <col min="23" max="23" width="14.08984375" style="10" bestFit="1" customWidth="1"/>
    <col min="24" max="24" width="8.90625" style="10" bestFit="1" customWidth="1"/>
    <col min="25" max="25" width="8.1796875" style="10" bestFit="1" customWidth="1"/>
    <col min="26" max="26" width="13.81640625" style="10" bestFit="1" customWidth="1"/>
    <col min="27" max="27" width="10.90625" style="10"/>
    <col min="28" max="28" width="86.453125" style="10" bestFit="1" customWidth="1"/>
    <col min="29" max="29" width="27.36328125" style="10" bestFit="1" customWidth="1"/>
    <col min="30" max="16384" width="10.90625" style="10"/>
  </cols>
  <sheetData>
    <row r="1" spans="1:15" ht="16.5" thickBot="1" x14ac:dyDescent="0.45">
      <c r="A1" s="7" t="s">
        <v>1251</v>
      </c>
      <c r="B1" s="8" t="s">
        <v>1252</v>
      </c>
      <c r="C1" s="9" t="s">
        <v>1253</v>
      </c>
      <c r="D1" s="9" t="s">
        <v>1254</v>
      </c>
      <c r="E1" s="8" t="s">
        <v>1255</v>
      </c>
      <c r="F1" s="8" t="s">
        <v>1256</v>
      </c>
      <c r="G1" s="8" t="s">
        <v>1257</v>
      </c>
      <c r="H1" s="8" t="s">
        <v>1258</v>
      </c>
    </row>
    <row r="2" spans="1:15" ht="16.5" thickTop="1" x14ac:dyDescent="0.4">
      <c r="A2" s="11" t="s">
        <v>1259</v>
      </c>
      <c r="B2" s="12" t="s">
        <v>1260</v>
      </c>
      <c r="C2" s="13">
        <v>46113</v>
      </c>
      <c r="D2" s="14">
        <v>0.64312500000000006</v>
      </c>
      <c r="E2" s="12" t="s">
        <v>1261</v>
      </c>
      <c r="F2" s="12" t="s">
        <v>1262</v>
      </c>
      <c r="G2" s="12" t="s">
        <v>1263</v>
      </c>
      <c r="H2" s="12" t="s">
        <v>1264</v>
      </c>
    </row>
    <row r="3" spans="1:15" x14ac:dyDescent="0.4">
      <c r="A3" s="15" t="s">
        <v>1265</v>
      </c>
      <c r="B3" s="16" t="s">
        <v>1260</v>
      </c>
      <c r="C3" s="13">
        <v>46113</v>
      </c>
      <c r="D3" s="17">
        <v>0.44327546296296294</v>
      </c>
      <c r="E3" s="16" t="s">
        <v>1266</v>
      </c>
      <c r="F3" s="16" t="s">
        <v>1267</v>
      </c>
      <c r="G3" s="16" t="s">
        <v>1268</v>
      </c>
      <c r="H3" s="16" t="s">
        <v>1264</v>
      </c>
    </row>
    <row r="4" spans="1:15" x14ac:dyDescent="0.4">
      <c r="A4" s="18" t="s">
        <v>1269</v>
      </c>
      <c r="B4" s="19" t="s">
        <v>1260</v>
      </c>
      <c r="C4" s="13">
        <v>46143</v>
      </c>
      <c r="D4" s="17">
        <v>0.53422453703703698</v>
      </c>
      <c r="E4" s="19" t="s">
        <v>1270</v>
      </c>
      <c r="F4" s="19" t="s">
        <v>1271</v>
      </c>
      <c r="G4" s="19" t="s">
        <v>1263</v>
      </c>
      <c r="H4" s="19" t="s">
        <v>1264</v>
      </c>
    </row>
    <row r="5" spans="1:15" x14ac:dyDescent="0.4">
      <c r="A5" s="15" t="s">
        <v>1272</v>
      </c>
      <c r="B5" s="16" t="s">
        <v>1260</v>
      </c>
      <c r="C5" s="13">
        <v>46143</v>
      </c>
      <c r="D5" s="17">
        <v>0.9868865740740741</v>
      </c>
      <c r="E5" s="16" t="s">
        <v>1273</v>
      </c>
      <c r="F5" s="16" t="s">
        <v>1274</v>
      </c>
      <c r="G5" s="16" t="s">
        <v>1275</v>
      </c>
      <c r="H5" s="16" t="s">
        <v>1264</v>
      </c>
    </row>
    <row r="6" spans="1:15" x14ac:dyDescent="0.4">
      <c r="A6" s="18" t="s">
        <v>1276</v>
      </c>
      <c r="B6" s="19" t="s">
        <v>1260</v>
      </c>
      <c r="C6" s="13">
        <v>46174</v>
      </c>
      <c r="D6" s="17">
        <v>0.60486111111111118</v>
      </c>
      <c r="E6" s="19" t="s">
        <v>1277</v>
      </c>
      <c r="F6" s="19" t="s">
        <v>1278</v>
      </c>
      <c r="G6" s="19" t="s">
        <v>1279</v>
      </c>
      <c r="H6" s="19" t="s">
        <v>1264</v>
      </c>
    </row>
    <row r="7" spans="1:15" x14ac:dyDescent="0.4">
      <c r="A7" s="15" t="s">
        <v>1280</v>
      </c>
      <c r="B7" s="16" t="s">
        <v>1260</v>
      </c>
      <c r="C7" s="13">
        <v>46174</v>
      </c>
      <c r="D7" s="17">
        <v>0.57695601851851852</v>
      </c>
      <c r="E7" s="16" t="s">
        <v>1281</v>
      </c>
      <c r="F7" s="16" t="s">
        <v>1282</v>
      </c>
      <c r="G7" s="16" t="s">
        <v>1263</v>
      </c>
      <c r="H7" s="16" t="s">
        <v>1264</v>
      </c>
    </row>
    <row r="8" spans="1:15" x14ac:dyDescent="0.4">
      <c r="A8" s="18" t="s">
        <v>1283</v>
      </c>
      <c r="B8" s="19" t="s">
        <v>1260</v>
      </c>
      <c r="C8" s="13">
        <v>46174</v>
      </c>
      <c r="D8" s="17">
        <v>0.57453703703703707</v>
      </c>
      <c r="E8" s="19" t="s">
        <v>1284</v>
      </c>
      <c r="F8" s="19" t="s">
        <v>1285</v>
      </c>
      <c r="G8" s="19" t="s">
        <v>1263</v>
      </c>
      <c r="H8" s="19" t="s">
        <v>1264</v>
      </c>
    </row>
    <row r="9" spans="1:15" x14ac:dyDescent="0.4">
      <c r="A9" s="15" t="s">
        <v>1286</v>
      </c>
      <c r="B9" s="16" t="s">
        <v>1260</v>
      </c>
      <c r="C9" s="13">
        <v>46174</v>
      </c>
      <c r="D9" s="17">
        <v>0.42442129629629632</v>
      </c>
      <c r="E9" s="16" t="s">
        <v>1287</v>
      </c>
      <c r="F9" s="16" t="s">
        <v>1288</v>
      </c>
      <c r="G9" s="16" t="s">
        <v>1263</v>
      </c>
      <c r="H9" s="16" t="s">
        <v>1264</v>
      </c>
    </row>
    <row r="10" spans="1:15" x14ac:dyDescent="0.4">
      <c r="A10" s="18" t="s">
        <v>1289</v>
      </c>
      <c r="B10" s="19" t="s">
        <v>1260</v>
      </c>
      <c r="C10" s="13">
        <v>46174</v>
      </c>
      <c r="D10" s="17">
        <v>0.55021990740740734</v>
      </c>
      <c r="E10" s="19" t="s">
        <v>1290</v>
      </c>
      <c r="F10" s="19" t="s">
        <v>1291</v>
      </c>
      <c r="G10" s="19" t="s">
        <v>1263</v>
      </c>
      <c r="H10" s="19" t="s">
        <v>1264</v>
      </c>
    </row>
    <row r="11" spans="1:15" x14ac:dyDescent="0.4">
      <c r="A11" s="15" t="s">
        <v>1292</v>
      </c>
      <c r="B11" s="16" t="s">
        <v>1260</v>
      </c>
      <c r="C11" s="13">
        <v>46174</v>
      </c>
      <c r="D11" s="17">
        <v>0.66046296296296292</v>
      </c>
      <c r="E11" s="16" t="s">
        <v>1293</v>
      </c>
      <c r="F11" s="16" t="s">
        <v>1294</v>
      </c>
      <c r="G11" s="16" t="s">
        <v>1263</v>
      </c>
      <c r="H11" s="16" t="s">
        <v>1264</v>
      </c>
    </row>
    <row r="12" spans="1:15" x14ac:dyDescent="0.4">
      <c r="A12" s="18" t="s">
        <v>1295</v>
      </c>
      <c r="B12" s="19" t="s">
        <v>1260</v>
      </c>
      <c r="C12" s="13">
        <v>46174</v>
      </c>
      <c r="D12" s="17">
        <v>0.45789351851851851</v>
      </c>
      <c r="E12" s="19" t="s">
        <v>1296</v>
      </c>
      <c r="F12" s="19" t="s">
        <v>1297</v>
      </c>
      <c r="G12" s="19" t="s">
        <v>1263</v>
      </c>
      <c r="H12" s="19" t="s">
        <v>1264</v>
      </c>
    </row>
    <row r="13" spans="1:15" x14ac:dyDescent="0.4">
      <c r="A13" s="15" t="s">
        <v>1298</v>
      </c>
      <c r="B13" s="16" t="s">
        <v>1260</v>
      </c>
      <c r="C13" s="13">
        <v>46174</v>
      </c>
      <c r="D13" s="17">
        <v>0.4147569444444445</v>
      </c>
      <c r="E13" s="16" t="s">
        <v>1299</v>
      </c>
      <c r="F13" s="16" t="s">
        <v>1300</v>
      </c>
      <c r="G13" s="16" t="s">
        <v>1263</v>
      </c>
      <c r="H13" s="16" t="s">
        <v>1264</v>
      </c>
      <c r="K13" s="10" t="s">
        <v>1301</v>
      </c>
      <c r="L13" s="10" t="s">
        <v>1302</v>
      </c>
      <c r="N13" s="10" t="s">
        <v>1253</v>
      </c>
      <c r="O13" s="10" t="s">
        <v>1303</v>
      </c>
    </row>
    <row r="14" spans="1:15" x14ac:dyDescent="0.4">
      <c r="A14" s="18" t="s">
        <v>1304</v>
      </c>
      <c r="B14" s="19" t="s">
        <v>1260</v>
      </c>
      <c r="C14" s="13">
        <v>46204</v>
      </c>
      <c r="D14" s="17">
        <v>0.36940972222222218</v>
      </c>
      <c r="E14" s="19" t="s">
        <v>1305</v>
      </c>
      <c r="F14" s="19" t="s">
        <v>1306</v>
      </c>
      <c r="G14" s="19" t="s">
        <v>1263</v>
      </c>
      <c r="H14" s="19" t="s">
        <v>1264</v>
      </c>
      <c r="K14" s="20" t="s">
        <v>1307</v>
      </c>
      <c r="L14" s="10">
        <v>15</v>
      </c>
    </row>
    <row r="15" spans="1:15" x14ac:dyDescent="0.4">
      <c r="A15" s="15" t="s">
        <v>1308</v>
      </c>
      <c r="B15" s="16" t="s">
        <v>1260</v>
      </c>
      <c r="C15" s="13">
        <v>46024</v>
      </c>
      <c r="D15" s="17">
        <v>0.67729166666666663</v>
      </c>
      <c r="E15" s="16" t="s">
        <v>1309</v>
      </c>
      <c r="F15" s="16" t="s">
        <v>1310</v>
      </c>
      <c r="G15" s="16" t="s">
        <v>1263</v>
      </c>
      <c r="H15" s="16" t="s">
        <v>1264</v>
      </c>
      <c r="K15" s="20" t="s">
        <v>1311</v>
      </c>
      <c r="L15" s="10">
        <v>48</v>
      </c>
      <c r="N15" s="10" t="s">
        <v>1301</v>
      </c>
      <c r="O15" s="10" t="s">
        <v>1302</v>
      </c>
    </row>
    <row r="16" spans="1:15" x14ac:dyDescent="0.4">
      <c r="A16" s="18" t="s">
        <v>1312</v>
      </c>
      <c r="B16" s="19" t="s">
        <v>1260</v>
      </c>
      <c r="C16" s="13">
        <v>46055</v>
      </c>
      <c r="D16" s="17">
        <v>0.41645833333333332</v>
      </c>
      <c r="E16" s="19" t="s">
        <v>1313</v>
      </c>
      <c r="F16" s="19" t="s">
        <v>1314</v>
      </c>
      <c r="G16" s="19" t="s">
        <v>1268</v>
      </c>
      <c r="H16" s="19" t="s">
        <v>1264</v>
      </c>
      <c r="K16" s="20" t="s">
        <v>1315</v>
      </c>
      <c r="L16" s="10">
        <v>422</v>
      </c>
      <c r="N16" s="20" t="s">
        <v>1316</v>
      </c>
      <c r="O16" s="10">
        <v>4</v>
      </c>
    </row>
    <row r="17" spans="1:30" x14ac:dyDescent="0.4">
      <c r="A17" s="15" t="s">
        <v>1317</v>
      </c>
      <c r="B17" s="16" t="s">
        <v>1260</v>
      </c>
      <c r="C17" s="13">
        <v>46055</v>
      </c>
      <c r="D17" s="17">
        <v>0.96289351851851857</v>
      </c>
      <c r="E17" s="16" t="s">
        <v>1318</v>
      </c>
      <c r="F17" s="16" t="s">
        <v>1319</v>
      </c>
      <c r="G17" s="16" t="s">
        <v>1263</v>
      </c>
      <c r="H17" s="16" t="s">
        <v>1264</v>
      </c>
      <c r="K17" s="20" t="s">
        <v>1320</v>
      </c>
      <c r="L17" s="10">
        <v>485</v>
      </c>
      <c r="N17" s="20" t="s">
        <v>1279</v>
      </c>
      <c r="O17" s="10">
        <v>40</v>
      </c>
    </row>
    <row r="18" spans="1:30" x14ac:dyDescent="0.4">
      <c r="A18" s="18" t="s">
        <v>1321</v>
      </c>
      <c r="B18" s="19" t="s">
        <v>1260</v>
      </c>
      <c r="C18" s="13">
        <v>46083</v>
      </c>
      <c r="D18" s="17">
        <v>0.36863425925925924</v>
      </c>
      <c r="E18" s="19" t="s">
        <v>1322</v>
      </c>
      <c r="F18" s="19" t="s">
        <v>1323</v>
      </c>
      <c r="G18" s="19" t="s">
        <v>1263</v>
      </c>
      <c r="H18" s="19" t="s">
        <v>1264</v>
      </c>
      <c r="N18" s="20" t="s">
        <v>1324</v>
      </c>
      <c r="O18" s="10">
        <v>30</v>
      </c>
      <c r="AB18" s="33" t="s">
        <v>1301</v>
      </c>
      <c r="AC18" t="s">
        <v>1302</v>
      </c>
      <c r="AD18"/>
    </row>
    <row r="19" spans="1:30" x14ac:dyDescent="0.4">
      <c r="A19" s="15" t="s">
        <v>1325</v>
      </c>
      <c r="B19" s="16" t="s">
        <v>1260</v>
      </c>
      <c r="C19" s="13">
        <v>46083</v>
      </c>
      <c r="D19" s="17">
        <v>0.41394675925925922</v>
      </c>
      <c r="E19" s="16" t="s">
        <v>1326</v>
      </c>
      <c r="F19" s="16" t="s">
        <v>1327</v>
      </c>
      <c r="G19" s="16" t="s">
        <v>1263</v>
      </c>
      <c r="H19" s="16" t="s">
        <v>1264</v>
      </c>
      <c r="N19" s="20" t="s">
        <v>1263</v>
      </c>
      <c r="O19" s="10">
        <v>369</v>
      </c>
      <c r="AB19" s="34" t="s">
        <v>1657</v>
      </c>
      <c r="AC19" s="35">
        <v>1</v>
      </c>
      <c r="AD19"/>
    </row>
    <row r="20" spans="1:30" x14ac:dyDescent="0.4">
      <c r="A20" s="18" t="s">
        <v>1328</v>
      </c>
      <c r="B20" s="19" t="s">
        <v>1260</v>
      </c>
      <c r="C20" s="13">
        <v>46083</v>
      </c>
      <c r="D20" s="17">
        <v>0.6121064814814815</v>
      </c>
      <c r="E20" s="19" t="s">
        <v>1329</v>
      </c>
      <c r="F20" s="19" t="s">
        <v>1330</v>
      </c>
      <c r="G20" s="19" t="s">
        <v>1263</v>
      </c>
      <c r="H20" s="19" t="s">
        <v>1264</v>
      </c>
      <c r="N20" s="20" t="s">
        <v>1275</v>
      </c>
      <c r="O20" s="10">
        <v>17</v>
      </c>
      <c r="AB20" s="34" t="s">
        <v>1583</v>
      </c>
      <c r="AC20" s="35">
        <v>1</v>
      </c>
      <c r="AD20"/>
    </row>
    <row r="21" spans="1:30" x14ac:dyDescent="0.4">
      <c r="A21" s="15" t="s">
        <v>1331</v>
      </c>
      <c r="B21" s="16" t="s">
        <v>1260</v>
      </c>
      <c r="C21" s="13">
        <v>46144</v>
      </c>
      <c r="D21" s="17">
        <v>0.44145833333333334</v>
      </c>
      <c r="E21" s="16" t="s">
        <v>1332</v>
      </c>
      <c r="F21" s="16" t="s">
        <v>1333</v>
      </c>
      <c r="G21" s="16" t="s">
        <v>1324</v>
      </c>
      <c r="H21" s="16" t="s">
        <v>1334</v>
      </c>
      <c r="N21" s="20" t="s">
        <v>1335</v>
      </c>
      <c r="O21" s="10">
        <v>10</v>
      </c>
      <c r="AB21" s="34" t="s">
        <v>2718</v>
      </c>
      <c r="AC21" s="35">
        <v>1</v>
      </c>
      <c r="AD21"/>
    </row>
    <row r="22" spans="1:30" x14ac:dyDescent="0.4">
      <c r="A22" s="18" t="s">
        <v>1336</v>
      </c>
      <c r="B22" s="19" t="s">
        <v>1260</v>
      </c>
      <c r="C22" s="13">
        <v>46175</v>
      </c>
      <c r="D22" s="17">
        <v>0.929224537037037</v>
      </c>
      <c r="E22" s="19" t="s">
        <v>1337</v>
      </c>
      <c r="F22" s="19" t="s">
        <v>1338</v>
      </c>
      <c r="G22" s="19" t="s">
        <v>1263</v>
      </c>
      <c r="H22" s="19" t="s">
        <v>1264</v>
      </c>
      <c r="K22" s="10" t="s">
        <v>1301</v>
      </c>
      <c r="L22" s="10" t="s">
        <v>1302</v>
      </c>
      <c r="N22" s="20" t="s">
        <v>1268</v>
      </c>
      <c r="O22" s="10">
        <v>15</v>
      </c>
      <c r="AB22" s="34" t="s">
        <v>1654</v>
      </c>
      <c r="AC22" s="35">
        <v>1</v>
      </c>
      <c r="AD22"/>
    </row>
    <row r="23" spans="1:30" x14ac:dyDescent="0.4">
      <c r="A23" s="15" t="s">
        <v>1339</v>
      </c>
      <c r="B23" s="16" t="s">
        <v>1260</v>
      </c>
      <c r="C23" s="13">
        <v>46175</v>
      </c>
      <c r="D23" s="17">
        <v>0.58046296296296296</v>
      </c>
      <c r="E23" s="16" t="s">
        <v>1340</v>
      </c>
      <c r="F23" s="16" t="s">
        <v>1341</v>
      </c>
      <c r="G23" s="16" t="s">
        <v>1263</v>
      </c>
      <c r="H23" s="16" t="s">
        <v>1264</v>
      </c>
      <c r="K23" s="20" t="s">
        <v>1342</v>
      </c>
      <c r="L23" s="10">
        <v>81</v>
      </c>
      <c r="N23" s="20" t="s">
        <v>1320</v>
      </c>
      <c r="O23" s="10">
        <v>485</v>
      </c>
      <c r="AB23" s="34" t="s">
        <v>1765</v>
      </c>
      <c r="AC23" s="35">
        <v>1</v>
      </c>
      <c r="AD23"/>
    </row>
    <row r="24" spans="1:30" x14ac:dyDescent="0.4">
      <c r="A24" s="18" t="s">
        <v>1343</v>
      </c>
      <c r="B24" s="19" t="s">
        <v>1260</v>
      </c>
      <c r="C24" s="13">
        <v>46175</v>
      </c>
      <c r="D24" s="17">
        <v>0.4490277777777778</v>
      </c>
      <c r="E24" s="19" t="s">
        <v>1344</v>
      </c>
      <c r="F24" s="19" t="s">
        <v>1345</v>
      </c>
      <c r="G24" s="19" t="s">
        <v>1279</v>
      </c>
      <c r="H24" s="19" t="s">
        <v>1264</v>
      </c>
      <c r="K24" s="20" t="s">
        <v>1346</v>
      </c>
      <c r="L24" s="10">
        <v>73</v>
      </c>
      <c r="AB24" s="34" t="s">
        <v>1977</v>
      </c>
      <c r="AC24" s="35">
        <v>1</v>
      </c>
      <c r="AD24"/>
    </row>
    <row r="25" spans="1:30" x14ac:dyDescent="0.4">
      <c r="A25" s="15" t="s">
        <v>1347</v>
      </c>
      <c r="B25" s="16" t="s">
        <v>1260</v>
      </c>
      <c r="C25" s="13">
        <v>46175</v>
      </c>
      <c r="D25" s="17">
        <v>0.41524305555555557</v>
      </c>
      <c r="E25" s="16" t="s">
        <v>1348</v>
      </c>
      <c r="F25" s="16" t="s">
        <v>1349</v>
      </c>
      <c r="G25" s="16" t="s">
        <v>1263</v>
      </c>
      <c r="H25" s="16" t="s">
        <v>1264</v>
      </c>
      <c r="K25" s="20" t="s">
        <v>1350</v>
      </c>
      <c r="L25" s="10">
        <v>67</v>
      </c>
      <c r="AB25" s="34" t="s">
        <v>1962</v>
      </c>
      <c r="AC25" s="35">
        <v>1</v>
      </c>
      <c r="AD25"/>
    </row>
    <row r="26" spans="1:30" x14ac:dyDescent="0.4">
      <c r="A26" s="18" t="s">
        <v>1351</v>
      </c>
      <c r="B26" s="19" t="s">
        <v>1260</v>
      </c>
      <c r="C26" s="13">
        <v>46205</v>
      </c>
      <c r="D26" s="17">
        <v>0.77519675925925924</v>
      </c>
      <c r="E26" s="19" t="s">
        <v>1352</v>
      </c>
      <c r="F26" s="19" t="s">
        <v>1353</v>
      </c>
      <c r="G26" s="19" t="s">
        <v>1263</v>
      </c>
      <c r="H26" s="19" t="s">
        <v>1264</v>
      </c>
      <c r="K26" s="20" t="s">
        <v>1354</v>
      </c>
      <c r="L26" s="10">
        <v>54</v>
      </c>
      <c r="AB26" s="34" t="s">
        <v>2730</v>
      </c>
      <c r="AC26" s="35">
        <v>1</v>
      </c>
      <c r="AD26"/>
    </row>
    <row r="27" spans="1:30" x14ac:dyDescent="0.4">
      <c r="A27" s="15" t="s">
        <v>1355</v>
      </c>
      <c r="B27" s="16" t="s">
        <v>1260</v>
      </c>
      <c r="C27" s="13">
        <v>46205</v>
      </c>
      <c r="D27" s="17">
        <v>4.5856481481481477E-2</v>
      </c>
      <c r="E27" s="16" t="s">
        <v>1356</v>
      </c>
      <c r="F27" s="16" t="s">
        <v>1357</v>
      </c>
      <c r="G27" s="16" t="s">
        <v>1263</v>
      </c>
      <c r="H27" s="16" t="s">
        <v>1264</v>
      </c>
      <c r="K27" s="20" t="s">
        <v>1358</v>
      </c>
      <c r="L27" s="10">
        <v>70</v>
      </c>
      <c r="AB27" s="34" t="s">
        <v>1336</v>
      </c>
      <c r="AC27" s="35">
        <v>1</v>
      </c>
      <c r="AD27"/>
    </row>
    <row r="28" spans="1:30" x14ac:dyDescent="0.4">
      <c r="A28" s="18" t="s">
        <v>1359</v>
      </c>
      <c r="B28" s="19" t="s">
        <v>1260</v>
      </c>
      <c r="C28" s="13">
        <v>45902</v>
      </c>
      <c r="D28" s="17">
        <v>0.69947916666666676</v>
      </c>
      <c r="E28" s="19" t="s">
        <v>1360</v>
      </c>
      <c r="F28" s="19" t="s">
        <v>1361</v>
      </c>
      <c r="G28" s="19" t="s">
        <v>1275</v>
      </c>
      <c r="H28" s="19" t="s">
        <v>1264</v>
      </c>
      <c r="K28" s="20" t="s">
        <v>1362</v>
      </c>
      <c r="L28" s="10">
        <v>63</v>
      </c>
      <c r="AB28" s="34" t="s">
        <v>1380</v>
      </c>
      <c r="AC28" s="35">
        <v>1</v>
      </c>
      <c r="AD28"/>
    </row>
    <row r="29" spans="1:30" x14ac:dyDescent="0.4">
      <c r="A29" s="15" t="s">
        <v>1363</v>
      </c>
      <c r="B29" s="16" t="s">
        <v>1260</v>
      </c>
      <c r="C29" s="13">
        <v>46025</v>
      </c>
      <c r="D29" s="17">
        <v>0.50143518518518515</v>
      </c>
      <c r="E29" s="16" t="s">
        <v>1364</v>
      </c>
      <c r="F29" s="16" t="s">
        <v>1365</v>
      </c>
      <c r="G29" s="16" t="s">
        <v>1263</v>
      </c>
      <c r="H29" s="16" t="s">
        <v>1264</v>
      </c>
      <c r="K29" s="20" t="s">
        <v>1366</v>
      </c>
      <c r="L29" s="10">
        <v>39</v>
      </c>
      <c r="N29" s="10" t="s">
        <v>1253</v>
      </c>
      <c r="O29" s="10" t="s">
        <v>1303</v>
      </c>
      <c r="AB29" s="34" t="s">
        <v>1423</v>
      </c>
      <c r="AC29" s="35">
        <v>1</v>
      </c>
      <c r="AD29"/>
    </row>
    <row r="30" spans="1:30" x14ac:dyDescent="0.4">
      <c r="A30" s="18" t="s">
        <v>1367</v>
      </c>
      <c r="B30" s="19" t="s">
        <v>1260</v>
      </c>
      <c r="C30" s="13">
        <v>46056</v>
      </c>
      <c r="D30" s="17">
        <v>0.56607638888888889</v>
      </c>
      <c r="E30" s="19" t="s">
        <v>1368</v>
      </c>
      <c r="F30" s="19" t="s">
        <v>1369</v>
      </c>
      <c r="G30" s="19" t="s">
        <v>1263</v>
      </c>
      <c r="H30" s="19" t="s">
        <v>1264</v>
      </c>
      <c r="K30" s="20" t="s">
        <v>1370</v>
      </c>
      <c r="L30" s="10">
        <v>1</v>
      </c>
      <c r="AB30" s="34" t="s">
        <v>2408</v>
      </c>
      <c r="AC30" s="35">
        <v>1</v>
      </c>
      <c r="AD30"/>
    </row>
    <row r="31" spans="1:30" x14ac:dyDescent="0.4">
      <c r="A31" s="15" t="s">
        <v>1371</v>
      </c>
      <c r="B31" s="16" t="s">
        <v>1260</v>
      </c>
      <c r="C31" s="13">
        <v>46084</v>
      </c>
      <c r="D31" s="17">
        <v>0.5121296296296296</v>
      </c>
      <c r="E31" s="16" t="s">
        <v>1372</v>
      </c>
      <c r="F31" s="16" t="s">
        <v>1373</v>
      </c>
      <c r="G31" s="16" t="s">
        <v>1263</v>
      </c>
      <c r="H31" s="16" t="s">
        <v>1264</v>
      </c>
      <c r="K31" s="20" t="s">
        <v>1374</v>
      </c>
      <c r="L31" s="10">
        <v>7</v>
      </c>
      <c r="N31" s="10" t="s">
        <v>1301</v>
      </c>
      <c r="O31" s="10" t="s">
        <v>1302</v>
      </c>
      <c r="AB31" s="34" t="s">
        <v>1444</v>
      </c>
      <c r="AC31" s="35">
        <v>1</v>
      </c>
      <c r="AD31"/>
    </row>
    <row r="32" spans="1:30" x14ac:dyDescent="0.4">
      <c r="A32" s="18" t="s">
        <v>1375</v>
      </c>
      <c r="B32" s="19" t="s">
        <v>1260</v>
      </c>
      <c r="C32" s="13">
        <v>46084</v>
      </c>
      <c r="D32" s="17">
        <v>0.6915162037037037</v>
      </c>
      <c r="E32" s="19" t="s">
        <v>1376</v>
      </c>
      <c r="F32" s="19" t="s">
        <v>1377</v>
      </c>
      <c r="G32" s="19" t="s">
        <v>1263</v>
      </c>
      <c r="H32" s="19" t="s">
        <v>1264</v>
      </c>
      <c r="K32" s="20" t="s">
        <v>1378</v>
      </c>
      <c r="L32" s="10">
        <v>6</v>
      </c>
      <c r="N32" s="20" t="s">
        <v>1379</v>
      </c>
      <c r="O32" s="10">
        <v>6</v>
      </c>
      <c r="AB32" s="34" t="s">
        <v>2574</v>
      </c>
      <c r="AC32" s="35">
        <v>1</v>
      </c>
      <c r="AD32"/>
    </row>
    <row r="33" spans="1:30" x14ac:dyDescent="0.4">
      <c r="A33" s="15" t="s">
        <v>1380</v>
      </c>
      <c r="B33" s="16" t="s">
        <v>1260</v>
      </c>
      <c r="C33" s="13">
        <v>46084</v>
      </c>
      <c r="D33" s="17">
        <v>0.38238425925925923</v>
      </c>
      <c r="E33" s="16" t="s">
        <v>1380</v>
      </c>
      <c r="F33" s="16" t="s">
        <v>1381</v>
      </c>
      <c r="G33" s="16" t="s">
        <v>1263</v>
      </c>
      <c r="H33" s="16" t="s">
        <v>1264</v>
      </c>
      <c r="K33" s="20" t="s">
        <v>1382</v>
      </c>
      <c r="L33" s="10">
        <v>8</v>
      </c>
      <c r="N33" s="20" t="s">
        <v>1383</v>
      </c>
      <c r="O33" s="10">
        <v>2</v>
      </c>
      <c r="AB33" s="34" t="s">
        <v>1968</v>
      </c>
      <c r="AC33" s="35">
        <v>1</v>
      </c>
      <c r="AD33"/>
    </row>
    <row r="34" spans="1:30" x14ac:dyDescent="0.4">
      <c r="A34" s="18" t="s">
        <v>1384</v>
      </c>
      <c r="B34" s="19" t="s">
        <v>1260</v>
      </c>
      <c r="C34" s="13">
        <v>46113</v>
      </c>
      <c r="D34" s="17">
        <v>0.44327546296296294</v>
      </c>
      <c r="E34" s="19" t="s">
        <v>1385</v>
      </c>
      <c r="F34" s="19" t="s">
        <v>1386</v>
      </c>
      <c r="G34" s="19" t="s">
        <v>1263</v>
      </c>
      <c r="H34" s="19" t="s">
        <v>1264</v>
      </c>
      <c r="K34" s="20" t="s">
        <v>1387</v>
      </c>
      <c r="L34" s="10">
        <v>16</v>
      </c>
      <c r="N34" s="20" t="s">
        <v>1388</v>
      </c>
      <c r="O34" s="10">
        <v>1</v>
      </c>
      <c r="AB34" s="34" t="s">
        <v>1800</v>
      </c>
      <c r="AC34" s="35">
        <v>1</v>
      </c>
      <c r="AD34"/>
    </row>
    <row r="35" spans="1:30" x14ac:dyDescent="0.4">
      <c r="A35" s="15" t="s">
        <v>1389</v>
      </c>
      <c r="B35" s="16" t="s">
        <v>1260</v>
      </c>
      <c r="C35" s="13">
        <v>46084</v>
      </c>
      <c r="D35" s="17">
        <v>0.66710648148148144</v>
      </c>
      <c r="E35" s="16" t="s">
        <v>1390</v>
      </c>
      <c r="F35" s="16" t="s">
        <v>1391</v>
      </c>
      <c r="G35" s="16" t="s">
        <v>1263</v>
      </c>
      <c r="H35" s="16" t="s">
        <v>1264</v>
      </c>
      <c r="K35" s="20" t="s">
        <v>1320</v>
      </c>
      <c r="L35" s="10">
        <v>485</v>
      </c>
      <c r="N35" s="20" t="s">
        <v>1392</v>
      </c>
      <c r="O35" s="10">
        <v>1</v>
      </c>
      <c r="AB35" s="34" t="s">
        <v>2680</v>
      </c>
      <c r="AC35" s="35">
        <v>1</v>
      </c>
      <c r="AD35"/>
    </row>
    <row r="36" spans="1:30" x14ac:dyDescent="0.4">
      <c r="A36" s="18" t="s">
        <v>199</v>
      </c>
      <c r="B36" s="19" t="s">
        <v>1260</v>
      </c>
      <c r="C36" s="13">
        <v>46084</v>
      </c>
      <c r="D36" s="17">
        <v>0.44368055555555558</v>
      </c>
      <c r="E36" s="19" t="s">
        <v>1393</v>
      </c>
      <c r="F36" s="19" t="s">
        <v>1394</v>
      </c>
      <c r="G36" s="19" t="s">
        <v>1335</v>
      </c>
      <c r="H36" s="19" t="s">
        <v>1264</v>
      </c>
      <c r="N36" s="20" t="s">
        <v>1395</v>
      </c>
      <c r="O36" s="10">
        <v>1</v>
      </c>
      <c r="AB36" s="34" t="s">
        <v>2314</v>
      </c>
      <c r="AC36" s="35">
        <v>1</v>
      </c>
    </row>
    <row r="37" spans="1:30" x14ac:dyDescent="0.4">
      <c r="A37" s="15" t="s">
        <v>1396</v>
      </c>
      <c r="B37" s="16" t="s">
        <v>1260</v>
      </c>
      <c r="C37" s="13">
        <v>46115</v>
      </c>
      <c r="D37" s="17">
        <v>0.46009259259259255</v>
      </c>
      <c r="E37" s="16" t="s">
        <v>1397</v>
      </c>
      <c r="F37" s="16" t="s">
        <v>1398</v>
      </c>
      <c r="G37" s="16" t="s">
        <v>1279</v>
      </c>
      <c r="H37" s="16" t="s">
        <v>1264</v>
      </c>
      <c r="N37" s="20" t="s">
        <v>1399</v>
      </c>
      <c r="O37" s="10">
        <v>1</v>
      </c>
      <c r="AB37" s="34" t="s">
        <v>2520</v>
      </c>
      <c r="AC37" s="35">
        <v>1</v>
      </c>
    </row>
    <row r="38" spans="1:30" x14ac:dyDescent="0.4">
      <c r="A38" s="18" t="s">
        <v>1400</v>
      </c>
      <c r="B38" s="19" t="s">
        <v>1260</v>
      </c>
      <c r="C38" s="13">
        <v>46145</v>
      </c>
      <c r="D38" s="17">
        <v>0.65168981481481481</v>
      </c>
      <c r="E38" s="19" t="s">
        <v>1401</v>
      </c>
      <c r="F38" s="19" t="s">
        <v>1402</v>
      </c>
      <c r="G38" s="19" t="s">
        <v>1263</v>
      </c>
      <c r="H38" s="19" t="s">
        <v>1264</v>
      </c>
      <c r="N38" s="20" t="s">
        <v>1403</v>
      </c>
      <c r="O38" s="10">
        <v>9</v>
      </c>
      <c r="AB38" s="34" t="s">
        <v>2490</v>
      </c>
      <c r="AC38" s="35">
        <v>1</v>
      </c>
    </row>
    <row r="39" spans="1:30" x14ac:dyDescent="0.4">
      <c r="A39" s="15" t="s">
        <v>1404</v>
      </c>
      <c r="B39" s="16" t="s">
        <v>1260</v>
      </c>
      <c r="C39" s="13">
        <v>45811</v>
      </c>
      <c r="D39" s="17">
        <v>0.43559027777777781</v>
      </c>
      <c r="E39" s="16" t="s">
        <v>1405</v>
      </c>
      <c r="F39" s="16" t="s">
        <v>1406</v>
      </c>
      <c r="G39" s="16" t="s">
        <v>1263</v>
      </c>
      <c r="H39" s="16" t="s">
        <v>1264</v>
      </c>
      <c r="K39" s="10" t="s">
        <v>1301</v>
      </c>
      <c r="L39" s="10" t="s">
        <v>1302</v>
      </c>
      <c r="N39" s="20" t="s">
        <v>1407</v>
      </c>
      <c r="O39" s="10">
        <v>1</v>
      </c>
      <c r="AB39" s="34" t="s">
        <v>2663</v>
      </c>
      <c r="AC39" s="35">
        <v>1</v>
      </c>
    </row>
    <row r="40" spans="1:30" x14ac:dyDescent="0.4">
      <c r="A40" s="18" t="s">
        <v>1408</v>
      </c>
      <c r="B40" s="19" t="s">
        <v>1260</v>
      </c>
      <c r="C40" s="13">
        <v>46176</v>
      </c>
      <c r="D40" s="17">
        <v>0.60687499999999994</v>
      </c>
      <c r="E40" s="19" t="s">
        <v>1409</v>
      </c>
      <c r="F40" s="19" t="s">
        <v>1410</v>
      </c>
      <c r="G40" s="19" t="s">
        <v>1324</v>
      </c>
      <c r="H40" s="19" t="s">
        <v>1411</v>
      </c>
      <c r="K40" s="20" t="s">
        <v>1412</v>
      </c>
      <c r="L40" s="10">
        <v>221</v>
      </c>
      <c r="N40" s="20" t="s">
        <v>1413</v>
      </c>
      <c r="O40" s="10">
        <v>1</v>
      </c>
      <c r="AB40" s="34" t="s">
        <v>1367</v>
      </c>
      <c r="AC40" s="35">
        <v>1</v>
      </c>
    </row>
    <row r="41" spans="1:30" x14ac:dyDescent="0.4">
      <c r="A41" s="15" t="s">
        <v>1414</v>
      </c>
      <c r="B41" s="16" t="s">
        <v>1260</v>
      </c>
      <c r="C41" s="13">
        <v>45841</v>
      </c>
      <c r="D41" s="17">
        <v>0.74637731481481484</v>
      </c>
      <c r="E41" s="16" t="s">
        <v>1415</v>
      </c>
      <c r="F41" s="16" t="s">
        <v>1416</v>
      </c>
      <c r="G41" s="16" t="s">
        <v>1263</v>
      </c>
      <c r="H41" s="16" t="s">
        <v>1264</v>
      </c>
      <c r="K41" s="20" t="s">
        <v>1417</v>
      </c>
      <c r="L41" s="10">
        <v>187</v>
      </c>
      <c r="N41" s="20" t="s">
        <v>1334</v>
      </c>
      <c r="O41" s="10">
        <v>3</v>
      </c>
      <c r="AB41" s="34" t="s">
        <v>1914</v>
      </c>
      <c r="AC41" s="35">
        <v>1</v>
      </c>
    </row>
    <row r="42" spans="1:30" x14ac:dyDescent="0.4">
      <c r="A42" s="18" t="s">
        <v>1418</v>
      </c>
      <c r="B42" s="19" t="s">
        <v>1260</v>
      </c>
      <c r="C42" s="13">
        <v>46206</v>
      </c>
      <c r="D42" s="17">
        <v>0.42768518518518522</v>
      </c>
      <c r="E42" s="19" t="s">
        <v>1419</v>
      </c>
      <c r="F42" s="19" t="s">
        <v>1420</v>
      </c>
      <c r="G42" s="19" t="s">
        <v>1263</v>
      </c>
      <c r="H42" s="19" t="s">
        <v>1264</v>
      </c>
      <c r="K42" s="20" t="s">
        <v>1421</v>
      </c>
      <c r="L42" s="10">
        <v>47</v>
      </c>
      <c r="N42" s="20" t="s">
        <v>1422</v>
      </c>
      <c r="O42" s="10">
        <v>1</v>
      </c>
      <c r="AB42" s="34" t="s">
        <v>1328</v>
      </c>
      <c r="AC42" s="35">
        <v>1</v>
      </c>
    </row>
    <row r="43" spans="1:30" x14ac:dyDescent="0.4">
      <c r="A43" s="15" t="s">
        <v>1423</v>
      </c>
      <c r="B43" s="16" t="s">
        <v>1260</v>
      </c>
      <c r="C43" s="13">
        <v>46206</v>
      </c>
      <c r="D43" s="17">
        <v>0.51850694444444445</v>
      </c>
      <c r="E43" s="16" t="s">
        <v>1424</v>
      </c>
      <c r="F43" s="16" t="s">
        <v>1425</v>
      </c>
      <c r="G43" s="16" t="s">
        <v>1268</v>
      </c>
      <c r="H43" s="16" t="s">
        <v>1264</v>
      </c>
      <c r="K43" s="20" t="s">
        <v>1426</v>
      </c>
      <c r="L43" s="10">
        <v>30</v>
      </c>
      <c r="N43" s="20" t="s">
        <v>1427</v>
      </c>
      <c r="O43" s="10">
        <v>1</v>
      </c>
      <c r="AB43" s="34" t="s">
        <v>1726</v>
      </c>
      <c r="AC43" s="35">
        <v>1</v>
      </c>
    </row>
    <row r="44" spans="1:30" x14ac:dyDescent="0.4">
      <c r="A44" s="18" t="s">
        <v>1428</v>
      </c>
      <c r="B44" s="19" t="s">
        <v>1260</v>
      </c>
      <c r="C44" s="13">
        <v>45933</v>
      </c>
      <c r="D44" s="17">
        <v>0.44261574074074073</v>
      </c>
      <c r="E44" s="19" t="s">
        <v>1429</v>
      </c>
      <c r="F44" s="19" t="s">
        <v>1430</v>
      </c>
      <c r="G44" s="19" t="s">
        <v>1263</v>
      </c>
      <c r="H44" s="19" t="s">
        <v>1264</v>
      </c>
      <c r="K44" s="20" t="s">
        <v>1320</v>
      </c>
      <c r="L44" s="10">
        <v>485</v>
      </c>
      <c r="N44" s="20" t="s">
        <v>1431</v>
      </c>
      <c r="O44" s="10">
        <v>2</v>
      </c>
      <c r="AB44" s="34" t="s">
        <v>1514</v>
      </c>
      <c r="AC44" s="35">
        <v>1</v>
      </c>
    </row>
    <row r="45" spans="1:30" x14ac:dyDescent="0.4">
      <c r="A45" s="15" t="s">
        <v>1432</v>
      </c>
      <c r="B45" s="16" t="s">
        <v>1260</v>
      </c>
      <c r="C45" s="13">
        <v>45994</v>
      </c>
      <c r="D45" s="17">
        <v>0.41879629629629633</v>
      </c>
      <c r="E45" s="16" t="s">
        <v>1433</v>
      </c>
      <c r="F45" s="16" t="s">
        <v>1434</v>
      </c>
      <c r="G45" s="16" t="s">
        <v>1263</v>
      </c>
      <c r="H45" s="16" t="s">
        <v>1264</v>
      </c>
      <c r="N45" s="20" t="s">
        <v>1264</v>
      </c>
      <c r="O45" s="10">
        <v>454</v>
      </c>
      <c r="AB45" s="34" t="s">
        <v>1926</v>
      </c>
      <c r="AC45" s="35">
        <v>1</v>
      </c>
    </row>
    <row r="46" spans="1:30" x14ac:dyDescent="0.4">
      <c r="A46" s="18" t="s">
        <v>1435</v>
      </c>
      <c r="B46" s="19" t="s">
        <v>1260</v>
      </c>
      <c r="C46" s="13">
        <v>46057</v>
      </c>
      <c r="D46" s="17">
        <v>0.70267361111111104</v>
      </c>
      <c r="E46" s="19" t="s">
        <v>1436</v>
      </c>
      <c r="F46" s="19" t="s">
        <v>1437</v>
      </c>
      <c r="G46" s="19" t="s">
        <v>1263</v>
      </c>
      <c r="H46" s="19" t="s">
        <v>1264</v>
      </c>
      <c r="N46" s="20" t="s">
        <v>1411</v>
      </c>
      <c r="O46" s="10">
        <v>1</v>
      </c>
      <c r="AB46" s="34" t="s">
        <v>1276</v>
      </c>
      <c r="AC46" s="35">
        <v>1</v>
      </c>
    </row>
    <row r="47" spans="1:30" x14ac:dyDescent="0.4">
      <c r="A47" s="15" t="s">
        <v>1438</v>
      </c>
      <c r="B47" s="16" t="s">
        <v>1260</v>
      </c>
      <c r="C47" s="13">
        <v>46057</v>
      </c>
      <c r="D47" s="17">
        <v>0.62420138888888888</v>
      </c>
      <c r="E47" s="16" t="s">
        <v>1439</v>
      </c>
      <c r="F47" s="16" t="s">
        <v>1440</v>
      </c>
      <c r="G47" s="16" t="s">
        <v>1263</v>
      </c>
      <c r="H47" s="16" t="s">
        <v>1264</v>
      </c>
      <c r="N47" s="20" t="s">
        <v>1320</v>
      </c>
      <c r="O47" s="10">
        <v>485</v>
      </c>
      <c r="AB47" s="34" t="s">
        <v>1609</v>
      </c>
      <c r="AC47" s="35">
        <v>1</v>
      </c>
    </row>
    <row r="48" spans="1:30" x14ac:dyDescent="0.4">
      <c r="A48" s="18" t="s">
        <v>1441</v>
      </c>
      <c r="B48" s="19" t="s">
        <v>1260</v>
      </c>
      <c r="C48" s="13">
        <v>46057</v>
      </c>
      <c r="D48" s="17">
        <v>0.49053240740740739</v>
      </c>
      <c r="E48" s="19" t="s">
        <v>1442</v>
      </c>
      <c r="F48" s="19" t="s">
        <v>1443</v>
      </c>
      <c r="G48" s="19" t="s">
        <v>1263</v>
      </c>
      <c r="H48" s="19" t="s">
        <v>1264</v>
      </c>
      <c r="AB48" s="34" t="s">
        <v>1818</v>
      </c>
      <c r="AC48" s="35">
        <v>1</v>
      </c>
    </row>
    <row r="49" spans="1:29" x14ac:dyDescent="0.4">
      <c r="A49" s="15" t="s">
        <v>1444</v>
      </c>
      <c r="B49" s="16" t="s">
        <v>1260</v>
      </c>
      <c r="C49" s="13">
        <v>46057</v>
      </c>
      <c r="D49" s="17">
        <v>0.26151620370370371</v>
      </c>
      <c r="E49" s="16" t="s">
        <v>1445</v>
      </c>
      <c r="F49" s="16" t="s">
        <v>1446</v>
      </c>
      <c r="G49" s="16" t="s">
        <v>1324</v>
      </c>
      <c r="H49" s="16" t="s">
        <v>1379</v>
      </c>
      <c r="AB49" s="34" t="s">
        <v>2606</v>
      </c>
      <c r="AC49" s="35">
        <v>1</v>
      </c>
    </row>
    <row r="50" spans="1:29" x14ac:dyDescent="0.4">
      <c r="A50" s="18" t="s">
        <v>1447</v>
      </c>
      <c r="B50" s="19" t="s">
        <v>1260</v>
      </c>
      <c r="C50" s="13">
        <v>46085</v>
      </c>
      <c r="D50" s="17">
        <v>0.82260416666666669</v>
      </c>
      <c r="E50" s="19" t="s">
        <v>1448</v>
      </c>
      <c r="F50" s="19" t="s">
        <v>1449</v>
      </c>
      <c r="G50" s="19" t="s">
        <v>1263</v>
      </c>
      <c r="H50" s="19" t="s">
        <v>1264</v>
      </c>
      <c r="AB50" s="34" t="s">
        <v>2341</v>
      </c>
      <c r="AC50" s="35">
        <v>1</v>
      </c>
    </row>
    <row r="51" spans="1:29" x14ac:dyDescent="0.4">
      <c r="A51" s="15" t="s">
        <v>1450</v>
      </c>
      <c r="B51" s="16" t="s">
        <v>1260</v>
      </c>
      <c r="C51" s="13">
        <v>46085</v>
      </c>
      <c r="D51" s="17">
        <v>0.41591435185185183</v>
      </c>
      <c r="E51" s="16" t="s">
        <v>1451</v>
      </c>
      <c r="F51" s="16" t="s">
        <v>1452</v>
      </c>
      <c r="G51" s="16" t="s">
        <v>1263</v>
      </c>
      <c r="H51" s="16" t="s">
        <v>1264</v>
      </c>
      <c r="AB51" s="34" t="s">
        <v>2320</v>
      </c>
      <c r="AC51" s="35">
        <v>1</v>
      </c>
    </row>
    <row r="52" spans="1:29" x14ac:dyDescent="0.4">
      <c r="A52" s="18" t="s">
        <v>1453</v>
      </c>
      <c r="B52" s="19" t="s">
        <v>1260</v>
      </c>
      <c r="C52" s="13">
        <v>46116</v>
      </c>
      <c r="D52" s="17">
        <v>0.36482638888888891</v>
      </c>
      <c r="E52" s="19" t="s">
        <v>1454</v>
      </c>
      <c r="F52" s="19" t="s">
        <v>1455</v>
      </c>
      <c r="G52" s="19" t="s">
        <v>1324</v>
      </c>
      <c r="H52" s="19" t="s">
        <v>1334</v>
      </c>
      <c r="AB52" s="34" t="s">
        <v>2556</v>
      </c>
      <c r="AC52" s="35">
        <v>1</v>
      </c>
    </row>
    <row r="53" spans="1:29" x14ac:dyDescent="0.4">
      <c r="A53" s="15" t="s">
        <v>1456</v>
      </c>
      <c r="B53" s="16" t="s">
        <v>1260</v>
      </c>
      <c r="C53" s="13">
        <v>46146</v>
      </c>
      <c r="D53" s="17">
        <v>0.85840277777777774</v>
      </c>
      <c r="E53" s="16" t="s">
        <v>1457</v>
      </c>
      <c r="F53" s="16" t="s">
        <v>1458</v>
      </c>
      <c r="G53" s="16" t="s">
        <v>1263</v>
      </c>
      <c r="H53" s="16" t="s">
        <v>1264</v>
      </c>
      <c r="AB53" s="34" t="s">
        <v>1450</v>
      </c>
      <c r="AC53" s="35">
        <v>1</v>
      </c>
    </row>
    <row r="54" spans="1:29" x14ac:dyDescent="0.4">
      <c r="A54" s="18" t="s">
        <v>1459</v>
      </c>
      <c r="B54" s="19" t="s">
        <v>1260</v>
      </c>
      <c r="C54" s="13">
        <v>46146</v>
      </c>
      <c r="D54" s="17">
        <v>0.30851851851851853</v>
      </c>
      <c r="E54" s="19" t="s">
        <v>1460</v>
      </c>
      <c r="F54" s="19" t="s">
        <v>1461</v>
      </c>
      <c r="G54" s="19" t="s">
        <v>1275</v>
      </c>
      <c r="H54" s="19" t="s">
        <v>1264</v>
      </c>
      <c r="AB54" s="34" t="s">
        <v>1762</v>
      </c>
      <c r="AC54" s="35">
        <v>1</v>
      </c>
    </row>
    <row r="55" spans="1:29" x14ac:dyDescent="0.4">
      <c r="A55" s="15" t="s">
        <v>1462</v>
      </c>
      <c r="B55" s="16" t="s">
        <v>1260</v>
      </c>
      <c r="C55" s="13">
        <v>46177</v>
      </c>
      <c r="D55" s="17">
        <v>0.5932291666666667</v>
      </c>
      <c r="E55" s="16" t="s">
        <v>1463</v>
      </c>
      <c r="F55" s="16" t="s">
        <v>1464</v>
      </c>
      <c r="G55" s="16" t="s">
        <v>1263</v>
      </c>
      <c r="H55" s="16" t="s">
        <v>1264</v>
      </c>
      <c r="AB55" s="34" t="s">
        <v>1806</v>
      </c>
      <c r="AC55" s="35">
        <v>1</v>
      </c>
    </row>
    <row r="56" spans="1:29" x14ac:dyDescent="0.4">
      <c r="A56" s="18" t="s">
        <v>1465</v>
      </c>
      <c r="B56" s="19" t="s">
        <v>1260</v>
      </c>
      <c r="C56" s="13">
        <v>46027</v>
      </c>
      <c r="D56" s="17">
        <v>0.22377314814814817</v>
      </c>
      <c r="E56" s="19" t="s">
        <v>1466</v>
      </c>
      <c r="F56" s="19" t="s">
        <v>1467</v>
      </c>
      <c r="G56" s="19" t="s">
        <v>1324</v>
      </c>
      <c r="H56" s="19" t="s">
        <v>1264</v>
      </c>
      <c r="AB56" s="34" t="s">
        <v>2338</v>
      </c>
      <c r="AC56" s="35">
        <v>1</v>
      </c>
    </row>
    <row r="57" spans="1:29" x14ac:dyDescent="0.4">
      <c r="A57" s="15" t="s">
        <v>1468</v>
      </c>
      <c r="B57" s="16" t="s">
        <v>1260</v>
      </c>
      <c r="C57" s="13">
        <v>46027</v>
      </c>
      <c r="D57" s="17">
        <v>0.6448842592592593</v>
      </c>
      <c r="E57" s="16" t="s">
        <v>1469</v>
      </c>
      <c r="F57" s="16" t="s">
        <v>1470</v>
      </c>
      <c r="G57" s="16" t="s">
        <v>1263</v>
      </c>
      <c r="H57" s="16" t="s">
        <v>1264</v>
      </c>
      <c r="AB57" s="34" t="s">
        <v>2180</v>
      </c>
      <c r="AC57" s="35">
        <v>1</v>
      </c>
    </row>
    <row r="58" spans="1:29" x14ac:dyDescent="0.4">
      <c r="A58" s="18" t="s">
        <v>1471</v>
      </c>
      <c r="B58" s="19" t="s">
        <v>1260</v>
      </c>
      <c r="C58" s="13">
        <v>46027</v>
      </c>
      <c r="D58" s="17">
        <v>0.42625000000000002</v>
      </c>
      <c r="E58" s="19" t="s">
        <v>1472</v>
      </c>
      <c r="F58" s="19" t="s">
        <v>1473</v>
      </c>
      <c r="G58" s="19" t="s">
        <v>1263</v>
      </c>
      <c r="H58" s="19" t="s">
        <v>1264</v>
      </c>
      <c r="AB58" s="34" t="s">
        <v>2210</v>
      </c>
      <c r="AC58" s="35">
        <v>1</v>
      </c>
    </row>
    <row r="59" spans="1:29" x14ac:dyDescent="0.4">
      <c r="A59" s="15" t="s">
        <v>1474</v>
      </c>
      <c r="B59" s="16" t="s">
        <v>1260</v>
      </c>
      <c r="C59" s="13">
        <v>46027</v>
      </c>
      <c r="D59" s="17">
        <v>0.52979166666666666</v>
      </c>
      <c r="E59" s="16" t="s">
        <v>1475</v>
      </c>
      <c r="F59" s="16" t="s">
        <v>1476</v>
      </c>
      <c r="G59" s="16" t="s">
        <v>1263</v>
      </c>
      <c r="H59" s="16" t="s">
        <v>1264</v>
      </c>
      <c r="AB59" s="34" t="s">
        <v>2621</v>
      </c>
      <c r="AC59" s="35">
        <v>1</v>
      </c>
    </row>
    <row r="60" spans="1:29" x14ac:dyDescent="0.4">
      <c r="A60" s="18" t="s">
        <v>1477</v>
      </c>
      <c r="B60" s="19" t="s">
        <v>1260</v>
      </c>
      <c r="C60" s="13">
        <v>46027</v>
      </c>
      <c r="D60" s="17">
        <v>0.41128472222222223</v>
      </c>
      <c r="E60" s="19" t="s">
        <v>1478</v>
      </c>
      <c r="F60" s="19" t="s">
        <v>1479</v>
      </c>
      <c r="G60" s="19" t="s">
        <v>1263</v>
      </c>
      <c r="H60" s="19" t="s">
        <v>1264</v>
      </c>
      <c r="L60" s="10" t="s">
        <v>1301</v>
      </c>
      <c r="M60" s="10" t="s">
        <v>1302</v>
      </c>
      <c r="AB60" s="34" t="s">
        <v>2727</v>
      </c>
      <c r="AC60" s="35">
        <v>1</v>
      </c>
    </row>
    <row r="61" spans="1:29" x14ac:dyDescent="0.4">
      <c r="A61" s="15" t="s">
        <v>1465</v>
      </c>
      <c r="B61" s="16" t="s">
        <v>1260</v>
      </c>
      <c r="C61" s="13">
        <v>46027</v>
      </c>
      <c r="D61" s="17">
        <v>0.20233796296296294</v>
      </c>
      <c r="E61" s="16" t="s">
        <v>1480</v>
      </c>
      <c r="F61" s="16" t="s">
        <v>1481</v>
      </c>
      <c r="G61" s="16" t="s">
        <v>1324</v>
      </c>
      <c r="H61" s="16" t="s">
        <v>1264</v>
      </c>
      <c r="L61" s="20" t="s">
        <v>1307</v>
      </c>
      <c r="AB61" s="34" t="s">
        <v>1717</v>
      </c>
      <c r="AC61" s="35">
        <v>1</v>
      </c>
    </row>
    <row r="62" spans="1:29" x14ac:dyDescent="0.4">
      <c r="A62" s="18" t="s">
        <v>1482</v>
      </c>
      <c r="B62" s="19" t="s">
        <v>1260</v>
      </c>
      <c r="C62" s="13">
        <v>46058</v>
      </c>
      <c r="D62" s="17">
        <v>0.37310185185185185</v>
      </c>
      <c r="E62" s="19" t="s">
        <v>1483</v>
      </c>
      <c r="F62" s="19" t="s">
        <v>1484</v>
      </c>
      <c r="G62" s="19" t="s">
        <v>1263</v>
      </c>
      <c r="H62" s="19" t="s">
        <v>1264</v>
      </c>
      <c r="L62" s="21" t="s">
        <v>1350</v>
      </c>
      <c r="M62" s="10">
        <v>1</v>
      </c>
      <c r="AB62" s="34" t="s">
        <v>2499</v>
      </c>
      <c r="AC62" s="35">
        <v>1</v>
      </c>
    </row>
    <row r="63" spans="1:29" x14ac:dyDescent="0.4">
      <c r="A63" s="15" t="s">
        <v>1485</v>
      </c>
      <c r="B63" s="16" t="s">
        <v>1260</v>
      </c>
      <c r="C63" s="13">
        <v>46058</v>
      </c>
      <c r="D63" s="17">
        <v>0.64996527777777779</v>
      </c>
      <c r="E63" s="16" t="s">
        <v>1486</v>
      </c>
      <c r="F63" s="16" t="s">
        <v>1487</v>
      </c>
      <c r="G63" s="16" t="s">
        <v>1263</v>
      </c>
      <c r="H63" s="16" t="s">
        <v>1264</v>
      </c>
      <c r="L63" s="21" t="s">
        <v>1354</v>
      </c>
      <c r="M63" s="10">
        <v>1</v>
      </c>
      <c r="AB63" s="34" t="s">
        <v>1325</v>
      </c>
      <c r="AC63" s="35">
        <v>1</v>
      </c>
    </row>
    <row r="64" spans="1:29" x14ac:dyDescent="0.4">
      <c r="A64" s="18" t="s">
        <v>1488</v>
      </c>
      <c r="B64" s="19" t="s">
        <v>1260</v>
      </c>
      <c r="C64" s="13">
        <v>46058</v>
      </c>
      <c r="D64" s="17">
        <v>0.5647106481481482</v>
      </c>
      <c r="E64" s="19" t="s">
        <v>1489</v>
      </c>
      <c r="F64" s="19" t="s">
        <v>1490</v>
      </c>
      <c r="G64" s="19" t="s">
        <v>1324</v>
      </c>
      <c r="H64" s="19" t="s">
        <v>1334</v>
      </c>
      <c r="L64" s="21" t="s">
        <v>1358</v>
      </c>
      <c r="M64" s="10">
        <v>4</v>
      </c>
      <c r="AB64" s="34" t="s">
        <v>1414</v>
      </c>
      <c r="AC64" s="35">
        <v>1</v>
      </c>
    </row>
    <row r="65" spans="1:29" x14ac:dyDescent="0.4">
      <c r="A65" s="15" t="s">
        <v>1491</v>
      </c>
      <c r="B65" s="16" t="s">
        <v>1260</v>
      </c>
      <c r="C65" s="13">
        <v>46086</v>
      </c>
      <c r="D65" s="17">
        <v>0.47546296296296298</v>
      </c>
      <c r="E65" s="16" t="s">
        <v>1492</v>
      </c>
      <c r="F65" s="16" t="s">
        <v>1493</v>
      </c>
      <c r="G65" s="16" t="s">
        <v>1263</v>
      </c>
      <c r="H65" s="16" t="s">
        <v>1264</v>
      </c>
      <c r="L65" s="21" t="s">
        <v>1366</v>
      </c>
      <c r="M65" s="10">
        <v>3</v>
      </c>
      <c r="AB65" s="34" t="s">
        <v>2141</v>
      </c>
      <c r="AC65" s="35">
        <v>1</v>
      </c>
    </row>
    <row r="66" spans="1:29" x14ac:dyDescent="0.4">
      <c r="A66" s="18" t="s">
        <v>1494</v>
      </c>
      <c r="B66" s="19" t="s">
        <v>1260</v>
      </c>
      <c r="C66" s="13">
        <v>46086</v>
      </c>
      <c r="D66" s="17">
        <v>0.65850694444444446</v>
      </c>
      <c r="E66" s="19" t="s">
        <v>1495</v>
      </c>
      <c r="F66" s="19" t="s">
        <v>1496</v>
      </c>
      <c r="G66" s="19" t="s">
        <v>1263</v>
      </c>
      <c r="H66" s="19" t="s">
        <v>1264</v>
      </c>
      <c r="L66" s="21" t="s">
        <v>1374</v>
      </c>
      <c r="M66" s="10">
        <v>1</v>
      </c>
      <c r="AB66" s="34" t="s">
        <v>1944</v>
      </c>
      <c r="AC66" s="35">
        <v>1</v>
      </c>
    </row>
    <row r="67" spans="1:29" x14ac:dyDescent="0.4">
      <c r="A67" s="15" t="s">
        <v>1497</v>
      </c>
      <c r="B67" s="16" t="s">
        <v>1260</v>
      </c>
      <c r="C67" s="13">
        <v>46086</v>
      </c>
      <c r="D67" s="17">
        <v>0.60291666666666666</v>
      </c>
      <c r="E67" s="16" t="s">
        <v>1498</v>
      </c>
      <c r="F67" s="16" t="s">
        <v>1499</v>
      </c>
      <c r="G67" s="16" t="s">
        <v>1263</v>
      </c>
      <c r="H67" s="16" t="s">
        <v>1264</v>
      </c>
      <c r="L67" s="21" t="s">
        <v>1378</v>
      </c>
      <c r="M67" s="10">
        <v>1</v>
      </c>
      <c r="AB67" s="34" t="s">
        <v>2066</v>
      </c>
      <c r="AC67" s="35">
        <v>1</v>
      </c>
    </row>
    <row r="68" spans="1:29" x14ac:dyDescent="0.4">
      <c r="A68" s="18" t="s">
        <v>1500</v>
      </c>
      <c r="B68" s="19" t="s">
        <v>1260</v>
      </c>
      <c r="C68" s="13">
        <v>46147</v>
      </c>
      <c r="D68" s="17">
        <v>0.67833333333333334</v>
      </c>
      <c r="E68" s="19" t="s">
        <v>1501</v>
      </c>
      <c r="F68" s="19" t="s">
        <v>1502</v>
      </c>
      <c r="G68" s="19" t="s">
        <v>1263</v>
      </c>
      <c r="H68" s="19" t="s">
        <v>1264</v>
      </c>
      <c r="L68" s="21" t="s">
        <v>1382</v>
      </c>
      <c r="M68" s="10">
        <v>3</v>
      </c>
      <c r="AB68" s="34" t="s">
        <v>2476</v>
      </c>
      <c r="AC68" s="35">
        <v>1</v>
      </c>
    </row>
    <row r="69" spans="1:29" x14ac:dyDescent="0.4">
      <c r="A69" s="15" t="s">
        <v>1503</v>
      </c>
      <c r="B69" s="16" t="s">
        <v>1260</v>
      </c>
      <c r="C69" s="13">
        <v>46147</v>
      </c>
      <c r="D69" s="17">
        <v>0.40803240740740737</v>
      </c>
      <c r="E69" s="16" t="s">
        <v>219</v>
      </c>
      <c r="F69" s="16" t="s">
        <v>1504</v>
      </c>
      <c r="G69" s="16" t="s">
        <v>1263</v>
      </c>
      <c r="H69" s="16" t="s">
        <v>1264</v>
      </c>
      <c r="L69" s="21" t="s">
        <v>1387</v>
      </c>
      <c r="M69" s="10">
        <v>1</v>
      </c>
      <c r="AB69" s="34" t="s">
        <v>2426</v>
      </c>
      <c r="AC69" s="35">
        <v>1</v>
      </c>
    </row>
    <row r="70" spans="1:29" x14ac:dyDescent="0.4">
      <c r="A70" s="18" t="s">
        <v>1505</v>
      </c>
      <c r="B70" s="19" t="s">
        <v>1260</v>
      </c>
      <c r="C70" s="13">
        <v>46147</v>
      </c>
      <c r="D70" s="17">
        <v>0.79392361111111109</v>
      </c>
      <c r="E70" s="19" t="s">
        <v>1506</v>
      </c>
      <c r="F70" s="19" t="s">
        <v>1507</v>
      </c>
      <c r="G70" s="19" t="s">
        <v>1263</v>
      </c>
      <c r="H70" s="19" t="s">
        <v>1264</v>
      </c>
      <c r="L70" s="20" t="s">
        <v>1311</v>
      </c>
      <c r="AB70" s="34" t="s">
        <v>1621</v>
      </c>
      <c r="AC70" s="35">
        <v>1</v>
      </c>
    </row>
    <row r="71" spans="1:29" x14ac:dyDescent="0.4">
      <c r="A71" s="15" t="s">
        <v>1508</v>
      </c>
      <c r="B71" s="16" t="s">
        <v>1260</v>
      </c>
      <c r="C71" s="13">
        <v>46147</v>
      </c>
      <c r="D71" s="17">
        <v>0.46682870370370372</v>
      </c>
      <c r="E71" s="16" t="s">
        <v>1509</v>
      </c>
      <c r="F71" s="16" t="s">
        <v>1510</v>
      </c>
      <c r="G71" s="16" t="s">
        <v>1263</v>
      </c>
      <c r="H71" s="16" t="s">
        <v>1264</v>
      </c>
      <c r="L71" s="21" t="s">
        <v>1346</v>
      </c>
      <c r="M71" s="10">
        <v>2</v>
      </c>
      <c r="AB71" s="34" t="s">
        <v>2055</v>
      </c>
      <c r="AC71" s="35">
        <v>1</v>
      </c>
    </row>
    <row r="72" spans="1:29" x14ac:dyDescent="0.4">
      <c r="A72" s="18" t="s">
        <v>1511</v>
      </c>
      <c r="B72" s="19" t="s">
        <v>1260</v>
      </c>
      <c r="C72" s="13">
        <v>46178</v>
      </c>
      <c r="D72" s="17">
        <v>0.91145833333333337</v>
      </c>
      <c r="E72" s="19" t="s">
        <v>1512</v>
      </c>
      <c r="F72" s="19" t="s">
        <v>1513</v>
      </c>
      <c r="G72" s="19" t="s">
        <v>1263</v>
      </c>
      <c r="H72" s="19" t="s">
        <v>1264</v>
      </c>
      <c r="L72" s="21" t="s">
        <v>1350</v>
      </c>
      <c r="M72" s="10">
        <v>2</v>
      </c>
      <c r="AB72" s="34" t="s">
        <v>2028</v>
      </c>
      <c r="AC72" s="35">
        <v>1</v>
      </c>
    </row>
    <row r="73" spans="1:29" x14ac:dyDescent="0.4">
      <c r="A73" s="15" t="s">
        <v>1514</v>
      </c>
      <c r="B73" s="16" t="s">
        <v>1260</v>
      </c>
      <c r="C73" s="13">
        <v>46178</v>
      </c>
      <c r="D73" s="17">
        <v>0.63791666666666669</v>
      </c>
      <c r="E73" s="16" t="s">
        <v>1515</v>
      </c>
      <c r="F73" s="16" t="s">
        <v>1516</v>
      </c>
      <c r="G73" s="16" t="s">
        <v>1263</v>
      </c>
      <c r="H73" s="16" t="s">
        <v>1264</v>
      </c>
      <c r="L73" s="21" t="s">
        <v>1354</v>
      </c>
      <c r="M73" s="10">
        <v>1</v>
      </c>
      <c r="AB73" s="34" t="s">
        <v>2096</v>
      </c>
      <c r="AC73" s="35">
        <v>1</v>
      </c>
    </row>
    <row r="74" spans="1:29" x14ac:dyDescent="0.4">
      <c r="A74" s="18" t="s">
        <v>1517</v>
      </c>
      <c r="B74" s="19" t="s">
        <v>1260</v>
      </c>
      <c r="C74" s="13">
        <v>46178</v>
      </c>
      <c r="D74" s="17">
        <v>0.43003472222222222</v>
      </c>
      <c r="E74" s="19" t="s">
        <v>1518</v>
      </c>
      <c r="F74" s="19" t="s">
        <v>1519</v>
      </c>
      <c r="G74" s="19" t="s">
        <v>1263</v>
      </c>
      <c r="H74" s="19" t="s">
        <v>1264</v>
      </c>
      <c r="L74" s="21" t="s">
        <v>1358</v>
      </c>
      <c r="M74" s="10">
        <v>2</v>
      </c>
      <c r="AB74" s="34" t="s">
        <v>2153</v>
      </c>
      <c r="AC74" s="35">
        <v>1</v>
      </c>
    </row>
    <row r="75" spans="1:29" x14ac:dyDescent="0.4">
      <c r="A75" s="15" t="s">
        <v>1520</v>
      </c>
      <c r="B75" s="16" t="s">
        <v>1260</v>
      </c>
      <c r="C75" s="13">
        <v>45996</v>
      </c>
      <c r="D75" s="17">
        <v>0.6746875</v>
      </c>
      <c r="E75" s="16" t="s">
        <v>1521</v>
      </c>
      <c r="F75" s="16" t="s">
        <v>1522</v>
      </c>
      <c r="G75" s="16" t="s">
        <v>1263</v>
      </c>
      <c r="H75" s="16" t="s">
        <v>1264</v>
      </c>
      <c r="L75" s="21" t="s">
        <v>1362</v>
      </c>
      <c r="M75" s="10">
        <v>3</v>
      </c>
      <c r="AB75" s="34" t="s">
        <v>2405</v>
      </c>
      <c r="AC75" s="35">
        <v>1</v>
      </c>
    </row>
    <row r="76" spans="1:29" x14ac:dyDescent="0.4">
      <c r="A76" s="18" t="s">
        <v>1523</v>
      </c>
      <c r="B76" s="19" t="s">
        <v>1260</v>
      </c>
      <c r="C76" s="13">
        <v>46028</v>
      </c>
      <c r="D76" s="17">
        <v>0.47287037037037033</v>
      </c>
      <c r="E76" s="19" t="s">
        <v>1524</v>
      </c>
      <c r="F76" s="19" t="s">
        <v>1525</v>
      </c>
      <c r="G76" s="19" t="s">
        <v>1263</v>
      </c>
      <c r="H76" s="19" t="s">
        <v>1264</v>
      </c>
      <c r="L76" s="21" t="s">
        <v>1366</v>
      </c>
      <c r="M76" s="10">
        <v>6</v>
      </c>
      <c r="AB76" s="34" t="s">
        <v>1289</v>
      </c>
      <c r="AC76" s="35">
        <v>1</v>
      </c>
    </row>
    <row r="77" spans="1:29" x14ac:dyDescent="0.4">
      <c r="A77" s="15" t="s">
        <v>1526</v>
      </c>
      <c r="B77" s="16" t="s">
        <v>1260</v>
      </c>
      <c r="C77" s="13">
        <v>46028</v>
      </c>
      <c r="D77" s="17">
        <v>0.44913194444444443</v>
      </c>
      <c r="E77" s="16" t="s">
        <v>1527</v>
      </c>
      <c r="F77" s="16" t="s">
        <v>1528</v>
      </c>
      <c r="G77" s="16" t="s">
        <v>1263</v>
      </c>
      <c r="H77" s="16" t="s">
        <v>1264</v>
      </c>
      <c r="L77" s="21" t="s">
        <v>1370</v>
      </c>
      <c r="M77" s="10">
        <v>1</v>
      </c>
      <c r="AB77" s="34" t="s">
        <v>2249</v>
      </c>
      <c r="AC77" s="35">
        <v>1</v>
      </c>
    </row>
    <row r="78" spans="1:29" x14ac:dyDescent="0.4">
      <c r="A78" s="18" t="s">
        <v>1529</v>
      </c>
      <c r="B78" s="19" t="s">
        <v>1260</v>
      </c>
      <c r="C78" s="13">
        <v>46028</v>
      </c>
      <c r="D78" s="17">
        <v>0.69569444444444439</v>
      </c>
      <c r="E78" s="19" t="s">
        <v>1530</v>
      </c>
      <c r="F78" s="19" t="s">
        <v>1531</v>
      </c>
      <c r="G78" s="19" t="s">
        <v>1279</v>
      </c>
      <c r="H78" s="19" t="s">
        <v>1264</v>
      </c>
      <c r="L78" s="21" t="s">
        <v>1374</v>
      </c>
      <c r="M78" s="10">
        <v>6</v>
      </c>
      <c r="AB78" s="34" t="s">
        <v>2261</v>
      </c>
      <c r="AC78" s="35">
        <v>1</v>
      </c>
    </row>
    <row r="79" spans="1:29" x14ac:dyDescent="0.4">
      <c r="A79" s="15" t="s">
        <v>1532</v>
      </c>
      <c r="B79" s="16" t="s">
        <v>1260</v>
      </c>
      <c r="C79" s="13">
        <v>46059</v>
      </c>
      <c r="D79" s="17">
        <v>0.62789351851851849</v>
      </c>
      <c r="E79" s="16" t="s">
        <v>1533</v>
      </c>
      <c r="F79" s="16" t="s">
        <v>1534</v>
      </c>
      <c r="G79" s="16" t="s">
        <v>1324</v>
      </c>
      <c r="H79" s="16" t="s">
        <v>1431</v>
      </c>
      <c r="L79" s="21" t="s">
        <v>1378</v>
      </c>
      <c r="M79" s="10">
        <v>5</v>
      </c>
      <c r="AB79" s="34" t="s">
        <v>2120</v>
      </c>
      <c r="AC79" s="35">
        <v>1</v>
      </c>
    </row>
    <row r="80" spans="1:29" x14ac:dyDescent="0.4">
      <c r="A80" s="18" t="s">
        <v>1535</v>
      </c>
      <c r="B80" s="19" t="s">
        <v>1260</v>
      </c>
      <c r="C80" s="13">
        <v>46059</v>
      </c>
      <c r="D80" s="17">
        <v>0.65652777777777771</v>
      </c>
      <c r="E80" s="19" t="s">
        <v>1536</v>
      </c>
      <c r="F80" s="19" t="s">
        <v>1537</v>
      </c>
      <c r="G80" s="19" t="s">
        <v>1263</v>
      </c>
      <c r="H80" s="19" t="s">
        <v>1264</v>
      </c>
      <c r="L80" s="21" t="s">
        <v>1382</v>
      </c>
      <c r="M80" s="10">
        <v>5</v>
      </c>
      <c r="AB80" s="34" t="s">
        <v>1491</v>
      </c>
      <c r="AC80" s="35">
        <v>1</v>
      </c>
    </row>
    <row r="81" spans="1:29" x14ac:dyDescent="0.4">
      <c r="A81" s="15" t="s">
        <v>1538</v>
      </c>
      <c r="B81" s="16" t="s">
        <v>1260</v>
      </c>
      <c r="C81" s="13">
        <v>46059</v>
      </c>
      <c r="D81" s="17">
        <v>0.36376157407407406</v>
      </c>
      <c r="E81" s="16" t="s">
        <v>1539</v>
      </c>
      <c r="F81" s="16" t="s">
        <v>1540</v>
      </c>
      <c r="G81" s="16" t="s">
        <v>1263</v>
      </c>
      <c r="H81" s="16" t="s">
        <v>1264</v>
      </c>
      <c r="L81" s="21" t="s">
        <v>1387</v>
      </c>
      <c r="M81" s="10">
        <v>15</v>
      </c>
      <c r="AB81" s="34" t="s">
        <v>2639</v>
      </c>
      <c r="AC81" s="35">
        <v>1</v>
      </c>
    </row>
    <row r="82" spans="1:29" x14ac:dyDescent="0.4">
      <c r="A82" s="18" t="s">
        <v>1541</v>
      </c>
      <c r="B82" s="19" t="s">
        <v>1260</v>
      </c>
      <c r="C82" s="13">
        <v>46059</v>
      </c>
      <c r="D82" s="17">
        <v>0.73342592592592604</v>
      </c>
      <c r="E82" s="19" t="s">
        <v>1542</v>
      </c>
      <c r="F82" s="19" t="s">
        <v>1543</v>
      </c>
      <c r="G82" s="19" t="s">
        <v>1263</v>
      </c>
      <c r="H82" s="19" t="s">
        <v>1264</v>
      </c>
      <c r="L82" s="20" t="s">
        <v>1315</v>
      </c>
      <c r="AB82" s="34" t="s">
        <v>2724</v>
      </c>
      <c r="AC82" s="35">
        <v>1</v>
      </c>
    </row>
    <row r="83" spans="1:29" x14ac:dyDescent="0.4">
      <c r="A83" s="15" t="s">
        <v>1544</v>
      </c>
      <c r="B83" s="16" t="s">
        <v>1260</v>
      </c>
      <c r="C83" s="13">
        <v>46059</v>
      </c>
      <c r="D83" s="17">
        <v>0.74800925925925921</v>
      </c>
      <c r="E83" s="16" t="s">
        <v>1545</v>
      </c>
      <c r="F83" s="16" t="s">
        <v>1546</v>
      </c>
      <c r="G83" s="16" t="s">
        <v>1263</v>
      </c>
      <c r="H83" s="16" t="s">
        <v>1264</v>
      </c>
      <c r="L83" s="21" t="s">
        <v>1342</v>
      </c>
      <c r="M83" s="10">
        <v>81</v>
      </c>
      <c r="AB83" s="34" t="s">
        <v>2078</v>
      </c>
      <c r="AC83" s="35">
        <v>1</v>
      </c>
    </row>
    <row r="84" spans="1:29" x14ac:dyDescent="0.4">
      <c r="A84" s="18" t="s">
        <v>1547</v>
      </c>
      <c r="B84" s="19" t="s">
        <v>1260</v>
      </c>
      <c r="C84" s="13">
        <v>46148</v>
      </c>
      <c r="D84" s="17">
        <v>0.78173611111111108</v>
      </c>
      <c r="E84" s="19" t="s">
        <v>1548</v>
      </c>
      <c r="F84" s="19" t="s">
        <v>1549</v>
      </c>
      <c r="G84" s="19" t="s">
        <v>1263</v>
      </c>
      <c r="H84" s="19" t="s">
        <v>1264</v>
      </c>
      <c r="L84" s="21" t="s">
        <v>1346</v>
      </c>
      <c r="M84" s="10">
        <v>71</v>
      </c>
      <c r="AB84" s="34" t="s">
        <v>1633</v>
      </c>
      <c r="AC84" s="35">
        <v>1</v>
      </c>
    </row>
    <row r="85" spans="1:29" x14ac:dyDescent="0.4">
      <c r="A85" s="15" t="s">
        <v>1550</v>
      </c>
      <c r="B85" s="16" t="s">
        <v>1260</v>
      </c>
      <c r="C85" s="13">
        <v>46148</v>
      </c>
      <c r="D85" s="17">
        <v>0.50427083333333333</v>
      </c>
      <c r="E85" s="16" t="s">
        <v>1551</v>
      </c>
      <c r="F85" s="16" t="s">
        <v>1552</v>
      </c>
      <c r="G85" s="16" t="s">
        <v>1263</v>
      </c>
      <c r="H85" s="16" t="s">
        <v>1264</v>
      </c>
      <c r="L85" s="21" t="s">
        <v>1350</v>
      </c>
      <c r="M85" s="10">
        <v>64</v>
      </c>
      <c r="AB85" s="34" t="s">
        <v>1786</v>
      </c>
      <c r="AC85" s="35">
        <v>1</v>
      </c>
    </row>
    <row r="86" spans="1:29" x14ac:dyDescent="0.4">
      <c r="A86" s="18" t="s">
        <v>1553</v>
      </c>
      <c r="B86" s="19" t="s">
        <v>1260</v>
      </c>
      <c r="C86" s="13">
        <v>46148</v>
      </c>
      <c r="D86" s="17">
        <v>0.48626157407407411</v>
      </c>
      <c r="E86" s="19" t="s">
        <v>1554</v>
      </c>
      <c r="F86" s="19" t="s">
        <v>1555</v>
      </c>
      <c r="G86" s="19" t="s">
        <v>1263</v>
      </c>
      <c r="H86" s="19" t="s">
        <v>1264</v>
      </c>
      <c r="L86" s="21" t="s">
        <v>1354</v>
      </c>
      <c r="M86" s="10">
        <v>52</v>
      </c>
      <c r="AB86" s="34" t="s">
        <v>1600</v>
      </c>
      <c r="AC86" s="35">
        <v>1</v>
      </c>
    </row>
    <row r="87" spans="1:29" x14ac:dyDescent="0.4">
      <c r="A87" s="15" t="s">
        <v>1556</v>
      </c>
      <c r="B87" s="16" t="s">
        <v>1260</v>
      </c>
      <c r="C87" s="13">
        <v>46179</v>
      </c>
      <c r="D87" s="17">
        <v>0.4055555555555555</v>
      </c>
      <c r="E87" s="16" t="s">
        <v>1557</v>
      </c>
      <c r="F87" s="16" t="s">
        <v>1558</v>
      </c>
      <c r="G87" s="16" t="s">
        <v>1263</v>
      </c>
      <c r="H87" s="16" t="s">
        <v>1264</v>
      </c>
      <c r="L87" s="21" t="s">
        <v>1358</v>
      </c>
      <c r="M87" s="10">
        <v>64</v>
      </c>
      <c r="AB87" s="34" t="s">
        <v>1989</v>
      </c>
      <c r="AC87" s="35">
        <v>1</v>
      </c>
    </row>
    <row r="88" spans="1:29" x14ac:dyDescent="0.4">
      <c r="A88" s="18" t="s">
        <v>1559</v>
      </c>
      <c r="B88" s="19" t="s">
        <v>1260</v>
      </c>
      <c r="C88" s="13">
        <v>46209</v>
      </c>
      <c r="D88" s="17">
        <v>0.53511574074074075</v>
      </c>
      <c r="E88" s="19" t="s">
        <v>1560</v>
      </c>
      <c r="F88" s="19" t="s">
        <v>1561</v>
      </c>
      <c r="G88" s="19" t="s">
        <v>1263</v>
      </c>
      <c r="H88" s="19" t="s">
        <v>1264</v>
      </c>
      <c r="L88" s="21" t="s">
        <v>1362</v>
      </c>
      <c r="M88" s="10">
        <v>60</v>
      </c>
      <c r="AB88" s="34" t="s">
        <v>1612</v>
      </c>
      <c r="AC88" s="35">
        <v>1</v>
      </c>
    </row>
    <row r="89" spans="1:29" x14ac:dyDescent="0.4">
      <c r="A89" s="15" t="s">
        <v>1562</v>
      </c>
      <c r="B89" s="16" t="s">
        <v>1260</v>
      </c>
      <c r="C89" s="13">
        <v>46029</v>
      </c>
      <c r="D89" s="17">
        <v>0.75328703703703714</v>
      </c>
      <c r="E89" s="16" t="s">
        <v>1563</v>
      </c>
      <c r="F89" s="16" t="s">
        <v>1564</v>
      </c>
      <c r="G89" s="16" t="s">
        <v>1279</v>
      </c>
      <c r="H89" s="16" t="s">
        <v>1264</v>
      </c>
      <c r="L89" s="21" t="s">
        <v>1366</v>
      </c>
      <c r="M89" s="10">
        <v>30</v>
      </c>
      <c r="AB89" s="34" t="s">
        <v>1588</v>
      </c>
      <c r="AC89" s="35">
        <v>1</v>
      </c>
    </row>
    <row r="90" spans="1:29" x14ac:dyDescent="0.4">
      <c r="A90" s="18" t="s">
        <v>1565</v>
      </c>
      <c r="B90" s="19" t="s">
        <v>1260</v>
      </c>
      <c r="C90" s="13">
        <v>46029</v>
      </c>
      <c r="D90" s="17">
        <v>0.73271990740740733</v>
      </c>
      <c r="E90" s="19" t="s">
        <v>1566</v>
      </c>
      <c r="F90" s="19" t="s">
        <v>1567</v>
      </c>
      <c r="G90" s="19" t="s">
        <v>1268</v>
      </c>
      <c r="H90" s="19" t="s">
        <v>1395</v>
      </c>
      <c r="L90" s="20" t="s">
        <v>1320</v>
      </c>
      <c r="M90" s="10">
        <v>485</v>
      </c>
      <c r="AB90" s="34" t="s">
        <v>1923</v>
      </c>
      <c r="AC90" s="35">
        <v>1</v>
      </c>
    </row>
    <row r="91" spans="1:29" x14ac:dyDescent="0.4">
      <c r="A91" s="15" t="s">
        <v>1568</v>
      </c>
      <c r="B91" s="16" t="s">
        <v>1260</v>
      </c>
      <c r="C91" s="13">
        <v>46029</v>
      </c>
      <c r="D91" s="17">
        <v>0.61643518518518514</v>
      </c>
      <c r="E91" s="16" t="s">
        <v>1569</v>
      </c>
      <c r="F91" s="16" t="s">
        <v>1570</v>
      </c>
      <c r="G91" s="16" t="s">
        <v>1268</v>
      </c>
      <c r="H91" s="16" t="s">
        <v>1264</v>
      </c>
      <c r="AB91" s="34" t="s">
        <v>1777</v>
      </c>
      <c r="AC91" s="35">
        <v>1</v>
      </c>
    </row>
    <row r="92" spans="1:29" x14ac:dyDescent="0.4">
      <c r="A92" s="18" t="s">
        <v>1571</v>
      </c>
      <c r="B92" s="19" t="s">
        <v>1260</v>
      </c>
      <c r="C92" s="13">
        <v>46029</v>
      </c>
      <c r="D92" s="17">
        <v>0.50069444444444444</v>
      </c>
      <c r="E92" s="19" t="s">
        <v>1572</v>
      </c>
      <c r="F92" s="19" t="s">
        <v>1573</v>
      </c>
      <c r="G92" s="19" t="s">
        <v>1263</v>
      </c>
      <c r="H92" s="19" t="s">
        <v>1264</v>
      </c>
      <c r="AB92" s="34" t="s">
        <v>2225</v>
      </c>
      <c r="AC92" s="35">
        <v>1</v>
      </c>
    </row>
    <row r="93" spans="1:29" x14ac:dyDescent="0.4">
      <c r="A93" s="15" t="s">
        <v>1574</v>
      </c>
      <c r="B93" s="16" t="s">
        <v>1260</v>
      </c>
      <c r="C93" s="13">
        <v>46060</v>
      </c>
      <c r="D93" s="17">
        <v>0.3868287037037037</v>
      </c>
      <c r="E93" s="16" t="s">
        <v>1575</v>
      </c>
      <c r="F93" s="16" t="s">
        <v>1576</v>
      </c>
      <c r="G93" s="16" t="s">
        <v>1263</v>
      </c>
      <c r="H93" s="16" t="s">
        <v>1264</v>
      </c>
      <c r="AB93" s="34" t="s">
        <v>2123</v>
      </c>
      <c r="AC93" s="35">
        <v>1</v>
      </c>
    </row>
    <row r="94" spans="1:29" x14ac:dyDescent="0.4">
      <c r="A94" s="18" t="s">
        <v>1577</v>
      </c>
      <c r="B94" s="19" t="s">
        <v>1260</v>
      </c>
      <c r="C94" s="13">
        <v>46088</v>
      </c>
      <c r="D94" s="17">
        <v>0.58490740740740743</v>
      </c>
      <c r="E94" s="19" t="s">
        <v>1578</v>
      </c>
      <c r="F94" s="19" t="s">
        <v>1579</v>
      </c>
      <c r="G94" s="19" t="s">
        <v>1263</v>
      </c>
      <c r="H94" s="19" t="s">
        <v>1264</v>
      </c>
      <c r="AB94" s="34" t="s">
        <v>2255</v>
      </c>
      <c r="AC94" s="35">
        <v>1</v>
      </c>
    </row>
    <row r="95" spans="1:29" x14ac:dyDescent="0.4">
      <c r="A95" s="15" t="s">
        <v>1580</v>
      </c>
      <c r="B95" s="16" t="s">
        <v>1260</v>
      </c>
      <c r="C95" s="13">
        <v>46119</v>
      </c>
      <c r="D95" s="17">
        <v>0.48344907407407406</v>
      </c>
      <c r="E95" s="16" t="s">
        <v>1581</v>
      </c>
      <c r="F95" s="16" t="s">
        <v>1582</v>
      </c>
      <c r="G95" s="16" t="s">
        <v>1324</v>
      </c>
      <c r="H95" s="16" t="s">
        <v>1379</v>
      </c>
      <c r="AB95" s="34" t="s">
        <v>1986</v>
      </c>
      <c r="AC95" s="35">
        <v>1</v>
      </c>
    </row>
    <row r="96" spans="1:29" x14ac:dyDescent="0.4">
      <c r="A96" s="18" t="s">
        <v>1583</v>
      </c>
      <c r="B96" s="19" t="s">
        <v>1260</v>
      </c>
      <c r="C96" s="13">
        <v>46119</v>
      </c>
      <c r="D96" s="17">
        <v>0.7041087962962963</v>
      </c>
      <c r="E96" s="19" t="s">
        <v>34</v>
      </c>
      <c r="F96" s="19" t="s">
        <v>1584</v>
      </c>
      <c r="G96" s="19" t="s">
        <v>1263</v>
      </c>
      <c r="H96" s="19" t="s">
        <v>1264</v>
      </c>
      <c r="AB96" s="34" t="s">
        <v>1265</v>
      </c>
      <c r="AC96" s="35">
        <v>1</v>
      </c>
    </row>
    <row r="97" spans="1:29" x14ac:dyDescent="0.4">
      <c r="A97" s="15" t="s">
        <v>1585</v>
      </c>
      <c r="B97" s="16" t="s">
        <v>1260</v>
      </c>
      <c r="C97" s="13">
        <v>46119</v>
      </c>
      <c r="D97" s="17">
        <v>0.45380787037037035</v>
      </c>
      <c r="E97" s="16" t="s">
        <v>1586</v>
      </c>
      <c r="F97" s="16" t="s">
        <v>1587</v>
      </c>
      <c r="G97" s="16" t="s">
        <v>1263</v>
      </c>
      <c r="H97" s="16" t="s">
        <v>1264</v>
      </c>
      <c r="AB97" s="34" t="s">
        <v>1272</v>
      </c>
      <c r="AC97" s="35">
        <v>1</v>
      </c>
    </row>
    <row r="98" spans="1:29" x14ac:dyDescent="0.4">
      <c r="A98" s="18" t="s">
        <v>1588</v>
      </c>
      <c r="B98" s="19" t="s">
        <v>1260</v>
      </c>
      <c r="C98" s="13">
        <v>46119</v>
      </c>
      <c r="D98" s="17">
        <v>0.51846064814814818</v>
      </c>
      <c r="E98" s="19" t="s">
        <v>1589</v>
      </c>
      <c r="F98" s="19" t="s">
        <v>1590</v>
      </c>
      <c r="G98" s="19" t="s">
        <v>1279</v>
      </c>
      <c r="H98" s="19" t="s">
        <v>1264</v>
      </c>
      <c r="AB98" s="34" t="s">
        <v>2541</v>
      </c>
      <c r="AC98" s="35">
        <v>1</v>
      </c>
    </row>
    <row r="99" spans="1:29" x14ac:dyDescent="0.4">
      <c r="A99" s="15" t="s">
        <v>1591</v>
      </c>
      <c r="B99" s="16" t="s">
        <v>1260</v>
      </c>
      <c r="C99" s="13">
        <v>45419</v>
      </c>
      <c r="D99" s="17">
        <v>0.8609606481481481</v>
      </c>
      <c r="E99" s="16" t="s">
        <v>1592</v>
      </c>
      <c r="F99" s="16" t="s">
        <v>1593</v>
      </c>
      <c r="G99" s="16" t="s">
        <v>1263</v>
      </c>
      <c r="H99" s="16" t="s">
        <v>1264</v>
      </c>
      <c r="AB99" s="34" t="s">
        <v>1577</v>
      </c>
      <c r="AC99" s="35">
        <v>1</v>
      </c>
    </row>
    <row r="100" spans="1:29" x14ac:dyDescent="0.4">
      <c r="A100" s="18" t="s">
        <v>1594</v>
      </c>
      <c r="B100" s="19" t="s">
        <v>1260</v>
      </c>
      <c r="C100" s="13">
        <v>45419</v>
      </c>
      <c r="D100" s="17">
        <v>0.69188657407407417</v>
      </c>
      <c r="E100" s="19" t="s">
        <v>1595</v>
      </c>
      <c r="F100" s="19" t="s">
        <v>1596</v>
      </c>
      <c r="G100" s="19" t="s">
        <v>1263</v>
      </c>
      <c r="H100" s="19" t="s">
        <v>1264</v>
      </c>
      <c r="AB100" s="34" t="s">
        <v>1500</v>
      </c>
      <c r="AC100" s="35">
        <v>1</v>
      </c>
    </row>
    <row r="101" spans="1:29" x14ac:dyDescent="0.4">
      <c r="A101" s="15" t="s">
        <v>1597</v>
      </c>
      <c r="B101" s="16" t="s">
        <v>1260</v>
      </c>
      <c r="C101" s="13">
        <v>46149</v>
      </c>
      <c r="D101" s="17">
        <v>0.76372685185185185</v>
      </c>
      <c r="E101" s="16" t="s">
        <v>1598</v>
      </c>
      <c r="F101" s="16" t="s">
        <v>1599</v>
      </c>
      <c r="G101" s="16" t="s">
        <v>1263</v>
      </c>
      <c r="H101" s="16" t="s">
        <v>1264</v>
      </c>
      <c r="AB101" s="34" t="s">
        <v>2453</v>
      </c>
      <c r="AC101" s="35">
        <v>1</v>
      </c>
    </row>
    <row r="102" spans="1:29" x14ac:dyDescent="0.4">
      <c r="A102" s="18" t="s">
        <v>1600</v>
      </c>
      <c r="B102" s="19" t="s">
        <v>1260</v>
      </c>
      <c r="C102" s="13">
        <v>46149</v>
      </c>
      <c r="D102" s="17">
        <v>0.74453703703703711</v>
      </c>
      <c r="E102" s="19" t="s">
        <v>1601</v>
      </c>
      <c r="F102" s="19" t="s">
        <v>1602</v>
      </c>
      <c r="G102" s="19" t="s">
        <v>1263</v>
      </c>
      <c r="H102" s="19" t="s">
        <v>1264</v>
      </c>
      <c r="AB102" s="34" t="s">
        <v>2300</v>
      </c>
      <c r="AC102" s="35">
        <v>1</v>
      </c>
    </row>
    <row r="103" spans="1:29" x14ac:dyDescent="0.4">
      <c r="A103" s="15" t="s">
        <v>1603</v>
      </c>
      <c r="B103" s="16" t="s">
        <v>1260</v>
      </c>
      <c r="C103" s="13">
        <v>46210</v>
      </c>
      <c r="D103" s="17">
        <v>0.48543981481481485</v>
      </c>
      <c r="E103" s="16" t="s">
        <v>1604</v>
      </c>
      <c r="F103" s="16" t="s">
        <v>1605</v>
      </c>
      <c r="G103" s="16" t="s">
        <v>1263</v>
      </c>
      <c r="H103" s="16" t="s">
        <v>1264</v>
      </c>
      <c r="AB103" s="34" t="s">
        <v>1920</v>
      </c>
      <c r="AC103" s="35">
        <v>1</v>
      </c>
    </row>
    <row r="104" spans="1:29" x14ac:dyDescent="0.4">
      <c r="A104" s="18" t="s">
        <v>1606</v>
      </c>
      <c r="B104" s="19" t="s">
        <v>1260</v>
      </c>
      <c r="C104" s="13">
        <v>46210</v>
      </c>
      <c r="D104" s="17">
        <v>0.4679976851851852</v>
      </c>
      <c r="E104" s="19" t="s">
        <v>1607</v>
      </c>
      <c r="F104" s="19" t="s">
        <v>1608</v>
      </c>
      <c r="G104" s="19" t="s">
        <v>1263</v>
      </c>
      <c r="H104" s="19" t="s">
        <v>1264</v>
      </c>
      <c r="AB104" s="34" t="s">
        <v>2482</v>
      </c>
      <c r="AC104" s="35">
        <v>1</v>
      </c>
    </row>
    <row r="105" spans="1:29" x14ac:dyDescent="0.4">
      <c r="A105" s="15" t="s">
        <v>1609</v>
      </c>
      <c r="B105" s="16" t="s">
        <v>1260</v>
      </c>
      <c r="C105" s="13">
        <v>46030</v>
      </c>
      <c r="D105" s="17">
        <v>0.42792824074074076</v>
      </c>
      <c r="E105" s="16" t="s">
        <v>1610</v>
      </c>
      <c r="F105" s="16" t="s">
        <v>1611</v>
      </c>
      <c r="G105" s="16" t="s">
        <v>1263</v>
      </c>
      <c r="H105" s="16" t="s">
        <v>1264</v>
      </c>
      <c r="AB105" s="34" t="s">
        <v>2633</v>
      </c>
      <c r="AC105" s="35">
        <v>1</v>
      </c>
    </row>
    <row r="106" spans="1:29" x14ac:dyDescent="0.4">
      <c r="A106" s="18" t="s">
        <v>1612</v>
      </c>
      <c r="B106" s="19" t="s">
        <v>1260</v>
      </c>
      <c r="C106" s="13">
        <v>46030</v>
      </c>
      <c r="D106" s="17">
        <v>0.49633101851851852</v>
      </c>
      <c r="E106" s="19" t="s">
        <v>1613</v>
      </c>
      <c r="F106" s="19" t="s">
        <v>1614</v>
      </c>
      <c r="G106" s="19" t="s">
        <v>1263</v>
      </c>
      <c r="H106" s="19" t="s">
        <v>1264</v>
      </c>
      <c r="AB106" s="34" t="s">
        <v>2379</v>
      </c>
      <c r="AC106" s="35">
        <v>1</v>
      </c>
    </row>
    <row r="107" spans="1:29" x14ac:dyDescent="0.4">
      <c r="A107" s="15" t="s">
        <v>1615</v>
      </c>
      <c r="B107" s="16" t="s">
        <v>1260</v>
      </c>
      <c r="C107" s="13">
        <v>46061</v>
      </c>
      <c r="D107" s="17">
        <v>0.61061342592592593</v>
      </c>
      <c r="E107" s="16" t="s">
        <v>1616</v>
      </c>
      <c r="F107" s="16" t="s">
        <v>1617</v>
      </c>
      <c r="G107" s="16" t="s">
        <v>1263</v>
      </c>
      <c r="H107" s="16" t="s">
        <v>1264</v>
      </c>
      <c r="AB107" s="34" t="s">
        <v>1789</v>
      </c>
      <c r="AC107" s="35">
        <v>1</v>
      </c>
    </row>
    <row r="108" spans="1:29" x14ac:dyDescent="0.4">
      <c r="A108" s="18" t="s">
        <v>1618</v>
      </c>
      <c r="B108" s="19" t="s">
        <v>1260</v>
      </c>
      <c r="C108" s="13">
        <v>46089</v>
      </c>
      <c r="D108" s="17">
        <v>0.88754629629629633</v>
      </c>
      <c r="E108" s="19" t="s">
        <v>1619</v>
      </c>
      <c r="F108" s="19" t="s">
        <v>1620</v>
      </c>
      <c r="G108" s="19" t="s">
        <v>1263</v>
      </c>
      <c r="H108" s="19" t="s">
        <v>1264</v>
      </c>
      <c r="AB108" s="34" t="s">
        <v>1308</v>
      </c>
      <c r="AC108" s="35">
        <v>1</v>
      </c>
    </row>
    <row r="109" spans="1:29" x14ac:dyDescent="0.4">
      <c r="A109" s="15" t="s">
        <v>1621</v>
      </c>
      <c r="B109" s="16" t="s">
        <v>1260</v>
      </c>
      <c r="C109" s="13">
        <v>46120</v>
      </c>
      <c r="D109" s="17">
        <v>0.4702662037037037</v>
      </c>
      <c r="E109" s="16" t="s">
        <v>1622</v>
      </c>
      <c r="F109" s="16" t="s">
        <v>1623</v>
      </c>
      <c r="G109" s="16" t="s">
        <v>1263</v>
      </c>
      <c r="H109" s="16" t="s">
        <v>1264</v>
      </c>
      <c r="AB109" s="34" t="s">
        <v>1756</v>
      </c>
      <c r="AC109" s="35">
        <v>1</v>
      </c>
    </row>
    <row r="110" spans="1:29" x14ac:dyDescent="0.4">
      <c r="A110" s="18" t="s">
        <v>1624</v>
      </c>
      <c r="B110" s="19" t="s">
        <v>1260</v>
      </c>
      <c r="C110" s="13">
        <v>46150</v>
      </c>
      <c r="D110" s="17">
        <v>0.43835648148148149</v>
      </c>
      <c r="E110" s="19" t="s">
        <v>1625</v>
      </c>
      <c r="F110" s="19" t="s">
        <v>1626</v>
      </c>
      <c r="G110" s="19" t="s">
        <v>1279</v>
      </c>
      <c r="H110" s="19" t="s">
        <v>1264</v>
      </c>
      <c r="AB110" s="34" t="s">
        <v>1753</v>
      </c>
      <c r="AC110" s="35">
        <v>1</v>
      </c>
    </row>
    <row r="111" spans="1:29" x14ac:dyDescent="0.4">
      <c r="A111" s="15" t="s">
        <v>1627</v>
      </c>
      <c r="B111" s="16" t="s">
        <v>1260</v>
      </c>
      <c r="C111" s="13">
        <v>46150</v>
      </c>
      <c r="D111" s="17">
        <v>0.70138888888888884</v>
      </c>
      <c r="E111" s="16" t="s">
        <v>1628</v>
      </c>
      <c r="F111" s="16" t="s">
        <v>1629</v>
      </c>
      <c r="G111" s="16" t="s">
        <v>1263</v>
      </c>
      <c r="H111" s="16" t="s">
        <v>1264</v>
      </c>
      <c r="AB111" s="34" t="s">
        <v>1971</v>
      </c>
      <c r="AC111" s="35">
        <v>1</v>
      </c>
    </row>
    <row r="112" spans="1:29" x14ac:dyDescent="0.4">
      <c r="A112" s="18" t="s">
        <v>1630</v>
      </c>
      <c r="B112" s="19" t="s">
        <v>1260</v>
      </c>
      <c r="C112" s="13">
        <v>46150</v>
      </c>
      <c r="D112" s="17">
        <v>0.48366898148148146</v>
      </c>
      <c r="E112" s="19" t="s">
        <v>1631</v>
      </c>
      <c r="F112" s="19" t="s">
        <v>1632</v>
      </c>
      <c r="G112" s="19" t="s">
        <v>1263</v>
      </c>
      <c r="H112" s="19" t="s">
        <v>1264</v>
      </c>
      <c r="AB112" s="34" t="s">
        <v>1532</v>
      </c>
      <c r="AC112" s="35">
        <v>1</v>
      </c>
    </row>
    <row r="113" spans="1:29" x14ac:dyDescent="0.4">
      <c r="A113" s="15" t="s">
        <v>1633</v>
      </c>
      <c r="B113" s="16" t="s">
        <v>1260</v>
      </c>
      <c r="C113" s="13">
        <v>46181</v>
      </c>
      <c r="D113" s="17">
        <v>0.63021990740740741</v>
      </c>
      <c r="E113" s="16" t="s">
        <v>1634</v>
      </c>
      <c r="F113" s="16" t="s">
        <v>1635</v>
      </c>
      <c r="G113" s="16" t="s">
        <v>1316</v>
      </c>
      <c r="H113" s="16" t="s">
        <v>1264</v>
      </c>
      <c r="AB113" s="34" t="s">
        <v>2198</v>
      </c>
      <c r="AC113" s="35">
        <v>1</v>
      </c>
    </row>
    <row r="114" spans="1:29" x14ac:dyDescent="0.4">
      <c r="A114" s="18" t="s">
        <v>1636</v>
      </c>
      <c r="B114" s="19" t="s">
        <v>1260</v>
      </c>
      <c r="C114" s="13">
        <v>46181</v>
      </c>
      <c r="D114" s="17">
        <v>0.34449074074074071</v>
      </c>
      <c r="E114" s="19" t="s">
        <v>1637</v>
      </c>
      <c r="F114" s="19" t="s">
        <v>1638</v>
      </c>
      <c r="G114" s="19" t="s">
        <v>1279</v>
      </c>
      <c r="H114" s="19" t="s">
        <v>1264</v>
      </c>
      <c r="AB114" s="34" t="s">
        <v>199</v>
      </c>
      <c r="AC114" s="35">
        <v>1</v>
      </c>
    </row>
    <row r="115" spans="1:29" x14ac:dyDescent="0.4">
      <c r="A115" s="15" t="s">
        <v>1639</v>
      </c>
      <c r="B115" s="16" t="s">
        <v>1260</v>
      </c>
      <c r="C115" s="13">
        <v>45481</v>
      </c>
      <c r="D115" s="17">
        <v>0.58151620370370372</v>
      </c>
      <c r="E115" s="16" t="s">
        <v>1640</v>
      </c>
      <c r="F115" s="16" t="s">
        <v>1641</v>
      </c>
      <c r="G115" s="16" t="s">
        <v>1275</v>
      </c>
      <c r="H115" s="16" t="s">
        <v>1264</v>
      </c>
      <c r="AB115" s="34" t="s">
        <v>2213</v>
      </c>
      <c r="AC115" s="35">
        <v>1</v>
      </c>
    </row>
    <row r="116" spans="1:29" x14ac:dyDescent="0.4">
      <c r="A116" s="18" t="s">
        <v>1642</v>
      </c>
      <c r="B116" s="19" t="s">
        <v>1260</v>
      </c>
      <c r="C116" s="13">
        <v>46211</v>
      </c>
      <c r="D116" s="17">
        <v>0.50778935185185181</v>
      </c>
      <c r="E116" s="19" t="s">
        <v>1643</v>
      </c>
      <c r="F116" s="19" t="s">
        <v>1644</v>
      </c>
      <c r="G116" s="19" t="s">
        <v>1263</v>
      </c>
      <c r="H116" s="19" t="s">
        <v>1264</v>
      </c>
      <c r="AB116" s="34" t="s">
        <v>1720</v>
      </c>
      <c r="AC116" s="35">
        <v>1</v>
      </c>
    </row>
    <row r="117" spans="1:29" x14ac:dyDescent="0.4">
      <c r="A117" s="15" t="s">
        <v>1645</v>
      </c>
      <c r="B117" s="16" t="s">
        <v>1260</v>
      </c>
      <c r="C117" s="13">
        <v>46211</v>
      </c>
      <c r="D117" s="17">
        <v>0.44335648148148149</v>
      </c>
      <c r="E117" s="16" t="s">
        <v>1646</v>
      </c>
      <c r="F117" s="16" t="s">
        <v>1647</v>
      </c>
      <c r="G117" s="16" t="s">
        <v>1279</v>
      </c>
      <c r="H117" s="16" t="s">
        <v>1264</v>
      </c>
      <c r="AB117" s="34" t="s">
        <v>2356</v>
      </c>
      <c r="AC117" s="35">
        <v>1</v>
      </c>
    </row>
    <row r="118" spans="1:29" x14ac:dyDescent="0.4">
      <c r="A118" s="18" t="s">
        <v>1648</v>
      </c>
      <c r="B118" s="19" t="s">
        <v>1260</v>
      </c>
      <c r="C118" s="13">
        <v>46211</v>
      </c>
      <c r="D118" s="17">
        <v>0.62746527777777772</v>
      </c>
      <c r="E118" s="19" t="s">
        <v>1649</v>
      </c>
      <c r="F118" s="19" t="s">
        <v>1650</v>
      </c>
      <c r="G118" s="19" t="s">
        <v>1263</v>
      </c>
      <c r="H118" s="19" t="s">
        <v>1264</v>
      </c>
      <c r="AB118" s="34" t="s">
        <v>2562</v>
      </c>
      <c r="AC118" s="35">
        <v>1</v>
      </c>
    </row>
    <row r="119" spans="1:29" x14ac:dyDescent="0.4">
      <c r="A119" s="15" t="s">
        <v>1651</v>
      </c>
      <c r="B119" s="16" t="s">
        <v>1260</v>
      </c>
      <c r="C119" s="13">
        <v>45604</v>
      </c>
      <c r="D119" s="17">
        <v>0.55677083333333333</v>
      </c>
      <c r="E119" s="16" t="s">
        <v>1652</v>
      </c>
      <c r="F119" s="16" t="s">
        <v>1653</v>
      </c>
      <c r="G119" s="16" t="s">
        <v>1263</v>
      </c>
      <c r="H119" s="16" t="s">
        <v>1264</v>
      </c>
      <c r="AB119" s="34" t="s">
        <v>2517</v>
      </c>
      <c r="AC119" s="35">
        <v>1</v>
      </c>
    </row>
    <row r="120" spans="1:29" x14ac:dyDescent="0.4">
      <c r="A120" s="18" t="s">
        <v>1654</v>
      </c>
      <c r="B120" s="19" t="s">
        <v>1260</v>
      </c>
      <c r="C120" s="13">
        <v>45969</v>
      </c>
      <c r="D120" s="17">
        <v>8.9004629629629625E-3</v>
      </c>
      <c r="E120" s="19" t="s">
        <v>1655</v>
      </c>
      <c r="F120" s="19" t="s">
        <v>1656</v>
      </c>
      <c r="G120" s="19" t="s">
        <v>1263</v>
      </c>
      <c r="H120" s="19" t="s">
        <v>1264</v>
      </c>
      <c r="AB120" s="34" t="s">
        <v>1447</v>
      </c>
      <c r="AC120" s="35">
        <v>1</v>
      </c>
    </row>
    <row r="121" spans="1:29" x14ac:dyDescent="0.4">
      <c r="A121" s="15" t="s">
        <v>1657</v>
      </c>
      <c r="B121" s="16" t="s">
        <v>1260</v>
      </c>
      <c r="C121" s="13">
        <v>45999</v>
      </c>
      <c r="D121" s="17">
        <v>0.36686342592592597</v>
      </c>
      <c r="E121" s="16" t="s">
        <v>1658</v>
      </c>
      <c r="F121" s="16" t="s">
        <v>1659</v>
      </c>
      <c r="G121" s="16" t="s">
        <v>1324</v>
      </c>
      <c r="H121" s="16" t="s">
        <v>1383</v>
      </c>
      <c r="AB121" s="34" t="s">
        <v>1911</v>
      </c>
      <c r="AC121" s="35">
        <v>1</v>
      </c>
    </row>
    <row r="122" spans="1:29" x14ac:dyDescent="0.4">
      <c r="A122" s="18" t="s">
        <v>1660</v>
      </c>
      <c r="B122" s="19" t="s">
        <v>1260</v>
      </c>
      <c r="C122" s="13">
        <v>45999</v>
      </c>
      <c r="D122" s="17">
        <v>0.60276620370370371</v>
      </c>
      <c r="E122" s="19" t="s">
        <v>1661</v>
      </c>
      <c r="F122" s="19" t="s">
        <v>1662</v>
      </c>
      <c r="G122" s="19" t="s">
        <v>1263</v>
      </c>
      <c r="H122" s="19" t="s">
        <v>1264</v>
      </c>
      <c r="AB122" s="34" t="s">
        <v>1836</v>
      </c>
      <c r="AC122" s="35">
        <v>1</v>
      </c>
    </row>
    <row r="123" spans="1:29" x14ac:dyDescent="0.4">
      <c r="A123" s="15" t="s">
        <v>1663</v>
      </c>
      <c r="B123" s="16" t="s">
        <v>1260</v>
      </c>
      <c r="C123" s="13">
        <v>46031</v>
      </c>
      <c r="D123" s="17">
        <v>0.40532407407407406</v>
      </c>
      <c r="E123" s="16" t="s">
        <v>1664</v>
      </c>
      <c r="F123" s="16" t="s">
        <v>1665</v>
      </c>
      <c r="G123" s="16" t="s">
        <v>1263</v>
      </c>
      <c r="H123" s="16" t="s">
        <v>1264</v>
      </c>
      <c r="AB123" s="34" t="s">
        <v>1950</v>
      </c>
      <c r="AC123" s="35">
        <v>1</v>
      </c>
    </row>
    <row r="124" spans="1:29" x14ac:dyDescent="0.4">
      <c r="A124" s="18" t="s">
        <v>1666</v>
      </c>
      <c r="B124" s="19" t="s">
        <v>1260</v>
      </c>
      <c r="C124" s="13">
        <v>46031</v>
      </c>
      <c r="D124" s="17">
        <v>0.56269675925925922</v>
      </c>
      <c r="E124" s="19" t="s">
        <v>1667</v>
      </c>
      <c r="F124" s="19" t="s">
        <v>1668</v>
      </c>
      <c r="G124" s="19" t="s">
        <v>1263</v>
      </c>
      <c r="H124" s="19" t="s">
        <v>1264</v>
      </c>
      <c r="AB124" s="34" t="s">
        <v>210</v>
      </c>
      <c r="AC124" s="35">
        <v>1</v>
      </c>
    </row>
    <row r="125" spans="1:29" x14ac:dyDescent="0.4">
      <c r="A125" s="15" t="s">
        <v>1669</v>
      </c>
      <c r="B125" s="16" t="s">
        <v>1260</v>
      </c>
      <c r="C125" s="13">
        <v>46062</v>
      </c>
      <c r="D125" s="17">
        <v>0.53003472222222225</v>
      </c>
      <c r="E125" s="16" t="s">
        <v>1670</v>
      </c>
      <c r="F125" s="16" t="s">
        <v>1671</v>
      </c>
      <c r="G125" s="16" t="s">
        <v>1263</v>
      </c>
      <c r="H125" s="16" t="s">
        <v>1264</v>
      </c>
      <c r="AB125" s="34" t="s">
        <v>2508</v>
      </c>
      <c r="AC125" s="35">
        <v>1</v>
      </c>
    </row>
    <row r="126" spans="1:29" x14ac:dyDescent="0.4">
      <c r="A126" s="18" t="s">
        <v>1672</v>
      </c>
      <c r="B126" s="19" t="s">
        <v>1260</v>
      </c>
      <c r="C126" s="13">
        <v>46062</v>
      </c>
      <c r="D126" s="17">
        <v>0.43932870370370369</v>
      </c>
      <c r="E126" s="19" t="s">
        <v>1673</v>
      </c>
      <c r="F126" s="19" t="s">
        <v>1674</v>
      </c>
      <c r="G126" s="19" t="s">
        <v>1263</v>
      </c>
      <c r="H126" s="19" t="s">
        <v>1264</v>
      </c>
      <c r="AB126" s="34" t="s">
        <v>2350</v>
      </c>
      <c r="AC126" s="35">
        <v>1</v>
      </c>
    </row>
    <row r="127" spans="1:29" x14ac:dyDescent="0.4">
      <c r="A127" s="15" t="s">
        <v>1675</v>
      </c>
      <c r="B127" s="16" t="s">
        <v>1260</v>
      </c>
      <c r="C127" s="13">
        <v>46062</v>
      </c>
      <c r="D127" s="17">
        <v>0.57054398148148155</v>
      </c>
      <c r="E127" s="16" t="s">
        <v>1676</v>
      </c>
      <c r="F127" s="16" t="s">
        <v>1677</v>
      </c>
      <c r="G127" s="16" t="s">
        <v>1324</v>
      </c>
      <c r="H127" s="16" t="s">
        <v>1413</v>
      </c>
      <c r="AB127" s="34" t="s">
        <v>2335</v>
      </c>
      <c r="AC127" s="35">
        <v>1</v>
      </c>
    </row>
    <row r="128" spans="1:29" x14ac:dyDescent="0.4">
      <c r="A128" s="18" t="s">
        <v>1678</v>
      </c>
      <c r="B128" s="19" t="s">
        <v>1260</v>
      </c>
      <c r="C128" s="13">
        <v>46062</v>
      </c>
      <c r="D128" s="17">
        <v>0.52069444444444446</v>
      </c>
      <c r="E128" s="19" t="s">
        <v>1679</v>
      </c>
      <c r="F128" s="19" t="s">
        <v>1680</v>
      </c>
      <c r="G128" s="19" t="s">
        <v>1324</v>
      </c>
      <c r="H128" s="19" t="s">
        <v>1379</v>
      </c>
      <c r="AB128" s="34" t="s">
        <v>1711</v>
      </c>
      <c r="AC128" s="35">
        <v>1</v>
      </c>
    </row>
    <row r="129" spans="1:29" x14ac:dyDescent="0.4">
      <c r="A129" s="15" t="s">
        <v>1681</v>
      </c>
      <c r="B129" s="16" t="s">
        <v>1260</v>
      </c>
      <c r="C129" s="13">
        <v>46090</v>
      </c>
      <c r="D129" s="17">
        <v>0.35730324074074077</v>
      </c>
      <c r="E129" s="16" t="s">
        <v>1682</v>
      </c>
      <c r="F129" s="16" t="s">
        <v>1683</v>
      </c>
      <c r="G129" s="16" t="s">
        <v>1263</v>
      </c>
      <c r="H129" s="16" t="s">
        <v>1264</v>
      </c>
      <c r="AB129" s="34" t="s">
        <v>1298</v>
      </c>
      <c r="AC129" s="35">
        <v>1</v>
      </c>
    </row>
    <row r="130" spans="1:29" x14ac:dyDescent="0.4">
      <c r="A130" s="18" t="s">
        <v>1684</v>
      </c>
      <c r="B130" s="19" t="s">
        <v>1260</v>
      </c>
      <c r="C130" s="13">
        <v>46090</v>
      </c>
      <c r="D130" s="17">
        <v>0.57266203703703711</v>
      </c>
      <c r="E130" s="19" t="s">
        <v>1685</v>
      </c>
      <c r="F130" s="19" t="s">
        <v>1686</v>
      </c>
      <c r="G130" s="19" t="s">
        <v>1279</v>
      </c>
      <c r="H130" s="19" t="s">
        <v>1264</v>
      </c>
      <c r="AB130" s="34" t="s">
        <v>2150</v>
      </c>
      <c r="AC130" s="35">
        <v>1</v>
      </c>
    </row>
    <row r="131" spans="1:29" x14ac:dyDescent="0.4">
      <c r="A131" s="15" t="s">
        <v>1687</v>
      </c>
      <c r="B131" s="16" t="s">
        <v>1260</v>
      </c>
      <c r="C131" s="13">
        <v>46090</v>
      </c>
      <c r="D131" s="17">
        <v>0.53238425925925925</v>
      </c>
      <c r="E131" s="16" t="s">
        <v>1688</v>
      </c>
      <c r="F131" s="16" t="s">
        <v>1689</v>
      </c>
      <c r="G131" s="16" t="s">
        <v>1263</v>
      </c>
      <c r="H131" s="16" t="s">
        <v>1264</v>
      </c>
      <c r="AB131" s="34" t="s">
        <v>2529</v>
      </c>
      <c r="AC131" s="35">
        <v>1</v>
      </c>
    </row>
    <row r="132" spans="1:29" x14ac:dyDescent="0.4">
      <c r="A132" s="18" t="s">
        <v>1690</v>
      </c>
      <c r="B132" s="19" t="s">
        <v>1260</v>
      </c>
      <c r="C132" s="13">
        <v>46121</v>
      </c>
      <c r="D132" s="17">
        <v>0.5622800925925926</v>
      </c>
      <c r="E132" s="19" t="s">
        <v>1691</v>
      </c>
      <c r="F132" s="19" t="s">
        <v>1692</v>
      </c>
      <c r="G132" s="19" t="s">
        <v>1263</v>
      </c>
      <c r="H132" s="19" t="s">
        <v>1264</v>
      </c>
      <c r="AB132" s="34" t="s">
        <v>2183</v>
      </c>
      <c r="AC132" s="35">
        <v>1</v>
      </c>
    </row>
    <row r="133" spans="1:29" x14ac:dyDescent="0.4">
      <c r="A133" s="15" t="s">
        <v>1693</v>
      </c>
      <c r="B133" s="16" t="s">
        <v>1260</v>
      </c>
      <c r="C133" s="13">
        <v>46121</v>
      </c>
      <c r="D133" s="17">
        <v>0.55974537037037042</v>
      </c>
      <c r="E133" s="16" t="s">
        <v>1694</v>
      </c>
      <c r="F133" s="16" t="s">
        <v>1695</v>
      </c>
      <c r="G133" s="16" t="s">
        <v>1324</v>
      </c>
      <c r="H133" s="16" t="s">
        <v>1403</v>
      </c>
      <c r="AB133" s="34" t="s">
        <v>1594</v>
      </c>
      <c r="AC133" s="35">
        <v>1</v>
      </c>
    </row>
    <row r="134" spans="1:29" x14ac:dyDescent="0.4">
      <c r="A134" s="18" t="s">
        <v>1696</v>
      </c>
      <c r="B134" s="19" t="s">
        <v>1260</v>
      </c>
      <c r="C134" s="13">
        <v>46182</v>
      </c>
      <c r="D134" s="17">
        <v>0.47384259259259259</v>
      </c>
      <c r="E134" s="19" t="s">
        <v>1697</v>
      </c>
      <c r="F134" s="19" t="s">
        <v>1698</v>
      </c>
      <c r="G134" s="19" t="s">
        <v>1324</v>
      </c>
      <c r="H134" s="19" t="s">
        <v>1431</v>
      </c>
      <c r="AB134" s="34" t="s">
        <v>2060</v>
      </c>
      <c r="AC134" s="35">
        <v>1</v>
      </c>
    </row>
    <row r="135" spans="1:29" x14ac:dyDescent="0.4">
      <c r="A135" s="15" t="s">
        <v>1699</v>
      </c>
      <c r="B135" s="16" t="s">
        <v>1260</v>
      </c>
      <c r="C135" s="13">
        <v>46182</v>
      </c>
      <c r="D135" s="17">
        <v>0.47292824074074075</v>
      </c>
      <c r="E135" s="16" t="s">
        <v>1700</v>
      </c>
      <c r="F135" s="16" t="s">
        <v>1701</v>
      </c>
      <c r="G135" s="16" t="s">
        <v>1263</v>
      </c>
      <c r="H135" s="16" t="s">
        <v>1264</v>
      </c>
      <c r="AB135" s="34" t="s">
        <v>2165</v>
      </c>
      <c r="AC135" s="35">
        <v>1</v>
      </c>
    </row>
    <row r="136" spans="1:29" x14ac:dyDescent="0.4">
      <c r="A136" s="18" t="s">
        <v>1702</v>
      </c>
      <c r="B136" s="19" t="s">
        <v>1260</v>
      </c>
      <c r="C136" s="13">
        <v>46182</v>
      </c>
      <c r="D136" s="17">
        <v>0.42695601851851855</v>
      </c>
      <c r="E136" s="19" t="s">
        <v>1703</v>
      </c>
      <c r="F136" s="19" t="s">
        <v>1704</v>
      </c>
      <c r="G136" s="19" t="s">
        <v>1263</v>
      </c>
      <c r="H136" s="19" t="s">
        <v>1264</v>
      </c>
      <c r="AB136" s="34" t="s">
        <v>1938</v>
      </c>
      <c r="AC136" s="35">
        <v>1</v>
      </c>
    </row>
    <row r="137" spans="1:29" x14ac:dyDescent="0.4">
      <c r="A137" s="15" t="s">
        <v>1705</v>
      </c>
      <c r="B137" s="16" t="s">
        <v>1260</v>
      </c>
      <c r="C137" s="13">
        <v>45847</v>
      </c>
      <c r="D137" s="17">
        <v>0.38856481481481481</v>
      </c>
      <c r="E137" s="16" t="s">
        <v>1706</v>
      </c>
      <c r="F137" s="16" t="s">
        <v>1707</v>
      </c>
      <c r="G137" s="16" t="s">
        <v>1324</v>
      </c>
      <c r="H137" s="16" t="s">
        <v>1379</v>
      </c>
      <c r="AB137" s="34" t="s">
        <v>1556</v>
      </c>
      <c r="AC137" s="35">
        <v>1</v>
      </c>
    </row>
    <row r="138" spans="1:29" x14ac:dyDescent="0.4">
      <c r="A138" s="18" t="s">
        <v>1708</v>
      </c>
      <c r="B138" s="19" t="s">
        <v>1260</v>
      </c>
      <c r="C138" s="13">
        <v>46212</v>
      </c>
      <c r="D138" s="17">
        <v>0.59931712962962969</v>
      </c>
      <c r="E138" s="19" t="s">
        <v>1709</v>
      </c>
      <c r="F138" s="19" t="s">
        <v>1710</v>
      </c>
      <c r="G138" s="19" t="s">
        <v>1263</v>
      </c>
      <c r="H138" s="19" t="s">
        <v>1264</v>
      </c>
      <c r="AB138" s="34" t="s">
        <v>1321</v>
      </c>
      <c r="AC138" s="35">
        <v>1</v>
      </c>
    </row>
    <row r="139" spans="1:29" x14ac:dyDescent="0.4">
      <c r="A139" s="15" t="s">
        <v>1711</v>
      </c>
      <c r="B139" s="16" t="s">
        <v>1260</v>
      </c>
      <c r="C139" s="13">
        <v>45544</v>
      </c>
      <c r="D139" s="17">
        <v>0.73181712962962964</v>
      </c>
      <c r="E139" s="16" t="s">
        <v>1712</v>
      </c>
      <c r="F139" s="16" t="s">
        <v>1713</v>
      </c>
      <c r="G139" s="16" t="s">
        <v>1263</v>
      </c>
      <c r="H139" s="16" t="s">
        <v>1264</v>
      </c>
      <c r="AB139" s="34" t="s">
        <v>2234</v>
      </c>
      <c r="AC139" s="35">
        <v>1</v>
      </c>
    </row>
    <row r="140" spans="1:29" x14ac:dyDescent="0.4">
      <c r="A140" s="18" t="s">
        <v>1714</v>
      </c>
      <c r="B140" s="19" t="s">
        <v>1260</v>
      </c>
      <c r="C140" s="13">
        <v>45909</v>
      </c>
      <c r="D140" s="17">
        <v>0.66401620370370373</v>
      </c>
      <c r="E140" s="19" t="s">
        <v>1715</v>
      </c>
      <c r="F140" s="19" t="s">
        <v>1716</v>
      </c>
      <c r="G140" s="19" t="s">
        <v>1316</v>
      </c>
      <c r="H140" s="19" t="s">
        <v>1264</v>
      </c>
      <c r="AB140" s="34" t="s">
        <v>2712</v>
      </c>
      <c r="AC140" s="35">
        <v>1</v>
      </c>
    </row>
    <row r="141" spans="1:29" x14ac:dyDescent="0.4">
      <c r="A141" s="15" t="s">
        <v>1717</v>
      </c>
      <c r="B141" s="16" t="s">
        <v>1260</v>
      </c>
      <c r="C141" s="13">
        <v>45939</v>
      </c>
      <c r="D141" s="17">
        <v>0.97834490740740743</v>
      </c>
      <c r="E141" s="16" t="s">
        <v>1718</v>
      </c>
      <c r="F141" s="16" t="s">
        <v>1719</v>
      </c>
      <c r="G141" s="16" t="s">
        <v>1263</v>
      </c>
      <c r="H141" s="16" t="s">
        <v>1264</v>
      </c>
      <c r="AB141" s="34" t="s">
        <v>2297</v>
      </c>
      <c r="AC141" s="35">
        <v>1</v>
      </c>
    </row>
    <row r="142" spans="1:29" x14ac:dyDescent="0.4">
      <c r="A142" s="18" t="s">
        <v>1720</v>
      </c>
      <c r="B142" s="19" t="s">
        <v>1260</v>
      </c>
      <c r="C142" s="13">
        <v>46000</v>
      </c>
      <c r="D142" s="17">
        <v>3.4409722222222223E-2</v>
      </c>
      <c r="E142" s="19" t="s">
        <v>1721</v>
      </c>
      <c r="F142" s="19" t="s">
        <v>1722</v>
      </c>
      <c r="G142" s="19" t="s">
        <v>1263</v>
      </c>
      <c r="H142" s="19" t="s">
        <v>1264</v>
      </c>
      <c r="AB142" s="34" t="s">
        <v>1959</v>
      </c>
      <c r="AC142" s="35">
        <v>1</v>
      </c>
    </row>
    <row r="143" spans="1:29" x14ac:dyDescent="0.4">
      <c r="A143" s="15" t="s">
        <v>1723</v>
      </c>
      <c r="B143" s="16" t="s">
        <v>1260</v>
      </c>
      <c r="C143" s="13">
        <v>46000</v>
      </c>
      <c r="D143" s="17">
        <v>0.60021990740740738</v>
      </c>
      <c r="E143" s="16" t="s">
        <v>1724</v>
      </c>
      <c r="F143" s="16" t="s">
        <v>1725</v>
      </c>
      <c r="G143" s="16" t="s">
        <v>1275</v>
      </c>
      <c r="H143" s="16" t="s">
        <v>1264</v>
      </c>
      <c r="AB143" s="34" t="s">
        <v>1642</v>
      </c>
      <c r="AC143" s="35">
        <v>1</v>
      </c>
    </row>
    <row r="144" spans="1:29" x14ac:dyDescent="0.4">
      <c r="A144" s="18" t="s">
        <v>1726</v>
      </c>
      <c r="B144" s="19" t="s">
        <v>1260</v>
      </c>
      <c r="C144" s="13">
        <v>46063</v>
      </c>
      <c r="D144" s="17">
        <v>0.39245370370370369</v>
      </c>
      <c r="E144" s="19" t="s">
        <v>1727</v>
      </c>
      <c r="F144" s="19" t="s">
        <v>1728</v>
      </c>
      <c r="G144" s="19" t="s">
        <v>1263</v>
      </c>
      <c r="H144" s="19" t="s">
        <v>1264</v>
      </c>
      <c r="AB144" s="34" t="s">
        <v>1438</v>
      </c>
      <c r="AC144" s="35">
        <v>1</v>
      </c>
    </row>
    <row r="145" spans="1:29" x14ac:dyDescent="0.4">
      <c r="A145" s="15" t="s">
        <v>1729</v>
      </c>
      <c r="B145" s="16" t="s">
        <v>1260</v>
      </c>
      <c r="C145" s="13">
        <v>46063</v>
      </c>
      <c r="D145" s="17">
        <v>0.50011574074074072</v>
      </c>
      <c r="E145" s="16" t="s">
        <v>1730</v>
      </c>
      <c r="F145" s="16" t="s">
        <v>1731</v>
      </c>
      <c r="G145" s="16" t="s">
        <v>1279</v>
      </c>
      <c r="H145" s="16" t="s">
        <v>1264</v>
      </c>
      <c r="AB145" s="34" t="s">
        <v>2382</v>
      </c>
      <c r="AC145" s="35">
        <v>1</v>
      </c>
    </row>
    <row r="146" spans="1:29" x14ac:dyDescent="0.4">
      <c r="A146" s="18" t="s">
        <v>1732</v>
      </c>
      <c r="B146" s="19" t="s">
        <v>1260</v>
      </c>
      <c r="C146" s="13">
        <v>46122</v>
      </c>
      <c r="D146" s="17">
        <v>0.73964120370370379</v>
      </c>
      <c r="E146" s="19" t="s">
        <v>1733</v>
      </c>
      <c r="F146" s="19" t="s">
        <v>1734</v>
      </c>
      <c r="G146" s="19" t="s">
        <v>1263</v>
      </c>
      <c r="H146" s="19" t="s">
        <v>1264</v>
      </c>
      <c r="AB146" s="34" t="s">
        <v>2013</v>
      </c>
      <c r="AC146" s="35">
        <v>1</v>
      </c>
    </row>
    <row r="147" spans="1:29" x14ac:dyDescent="0.4">
      <c r="A147" s="15" t="s">
        <v>1735</v>
      </c>
      <c r="B147" s="16" t="s">
        <v>1260</v>
      </c>
      <c r="C147" s="13">
        <v>46122</v>
      </c>
      <c r="D147" s="17">
        <v>0.16749999999999998</v>
      </c>
      <c r="E147" s="16" t="s">
        <v>1736</v>
      </c>
      <c r="F147" s="16" t="s">
        <v>1737</v>
      </c>
      <c r="G147" s="16" t="s">
        <v>1324</v>
      </c>
      <c r="H147" s="16" t="s">
        <v>1383</v>
      </c>
      <c r="AB147" s="34" t="s">
        <v>1441</v>
      </c>
      <c r="AC147" s="35">
        <v>1</v>
      </c>
    </row>
    <row r="148" spans="1:29" x14ac:dyDescent="0.4">
      <c r="A148" s="18" t="s">
        <v>1738</v>
      </c>
      <c r="B148" s="19" t="s">
        <v>1260</v>
      </c>
      <c r="C148" s="13">
        <v>46152</v>
      </c>
      <c r="D148" s="17">
        <v>0.94518518518518524</v>
      </c>
      <c r="E148" s="19" t="s">
        <v>1739</v>
      </c>
      <c r="F148" s="19" t="s">
        <v>1740</v>
      </c>
      <c r="G148" s="19" t="s">
        <v>1263</v>
      </c>
      <c r="H148" s="19" t="s">
        <v>1264</v>
      </c>
      <c r="AB148" s="34" t="s">
        <v>1535</v>
      </c>
      <c r="AC148" s="35">
        <v>1</v>
      </c>
    </row>
    <row r="149" spans="1:29" x14ac:dyDescent="0.4">
      <c r="A149" s="15" t="s">
        <v>1741</v>
      </c>
      <c r="B149" s="16" t="s">
        <v>1260</v>
      </c>
      <c r="C149" s="13">
        <v>46152</v>
      </c>
      <c r="D149" s="17">
        <v>0.84693287037037035</v>
      </c>
      <c r="E149" s="16" t="s">
        <v>1742</v>
      </c>
      <c r="F149" s="16" t="s">
        <v>1743</v>
      </c>
      <c r="G149" s="16" t="s">
        <v>1263</v>
      </c>
      <c r="H149" s="16" t="s">
        <v>1264</v>
      </c>
      <c r="AB149" s="34" t="s">
        <v>2040</v>
      </c>
      <c r="AC149" s="35">
        <v>1</v>
      </c>
    </row>
    <row r="150" spans="1:29" x14ac:dyDescent="0.4">
      <c r="A150" s="18" t="s">
        <v>1744</v>
      </c>
      <c r="B150" s="19" t="s">
        <v>1260</v>
      </c>
      <c r="C150" s="13">
        <v>46183</v>
      </c>
      <c r="D150" s="17">
        <v>0.63570601851851849</v>
      </c>
      <c r="E150" s="19" t="s">
        <v>1745</v>
      </c>
      <c r="F150" s="19" t="s">
        <v>1746</v>
      </c>
      <c r="G150" s="19" t="s">
        <v>1263</v>
      </c>
      <c r="H150" s="19" t="s">
        <v>1264</v>
      </c>
      <c r="AB150" s="34" t="s">
        <v>1995</v>
      </c>
      <c r="AC150" s="35">
        <v>1</v>
      </c>
    </row>
    <row r="151" spans="1:29" x14ac:dyDescent="0.4">
      <c r="A151" s="15" t="s">
        <v>1747</v>
      </c>
      <c r="B151" s="16" t="s">
        <v>1260</v>
      </c>
      <c r="C151" s="13">
        <v>46183</v>
      </c>
      <c r="D151" s="17">
        <v>0.64916666666666667</v>
      </c>
      <c r="E151" s="16" t="s">
        <v>1748</v>
      </c>
      <c r="F151" s="16" t="s">
        <v>1749</v>
      </c>
      <c r="G151" s="16" t="s">
        <v>1279</v>
      </c>
      <c r="H151" s="16" t="s">
        <v>1264</v>
      </c>
      <c r="AB151" s="34" t="s">
        <v>2052</v>
      </c>
      <c r="AC151" s="35">
        <v>1</v>
      </c>
    </row>
    <row r="152" spans="1:29" x14ac:dyDescent="0.4">
      <c r="A152" s="18" t="s">
        <v>1750</v>
      </c>
      <c r="B152" s="19" t="s">
        <v>1260</v>
      </c>
      <c r="C152" s="13">
        <v>46213</v>
      </c>
      <c r="D152" s="17">
        <v>0.45934027777777775</v>
      </c>
      <c r="E152" s="19" t="s">
        <v>1751</v>
      </c>
      <c r="F152" s="19" t="s">
        <v>1752</v>
      </c>
      <c r="G152" s="19" t="s">
        <v>1279</v>
      </c>
      <c r="H152" s="19" t="s">
        <v>1264</v>
      </c>
      <c r="AB152" s="34" t="s">
        <v>2544</v>
      </c>
      <c r="AC152" s="35">
        <v>1</v>
      </c>
    </row>
    <row r="153" spans="1:29" x14ac:dyDescent="0.4">
      <c r="A153" s="15" t="s">
        <v>1753</v>
      </c>
      <c r="B153" s="16" t="s">
        <v>1260</v>
      </c>
      <c r="C153" s="13">
        <v>46092</v>
      </c>
      <c r="D153" s="17">
        <v>0.5596875</v>
      </c>
      <c r="E153" s="16" t="s">
        <v>1754</v>
      </c>
      <c r="F153" s="16" t="s">
        <v>1755</v>
      </c>
      <c r="G153" s="16" t="s">
        <v>1263</v>
      </c>
      <c r="H153" s="16" t="s">
        <v>1264</v>
      </c>
      <c r="AB153" s="34" t="s">
        <v>1389</v>
      </c>
      <c r="AC153" s="35">
        <v>1</v>
      </c>
    </row>
    <row r="154" spans="1:29" x14ac:dyDescent="0.4">
      <c r="A154" s="18" t="s">
        <v>1756</v>
      </c>
      <c r="B154" s="19" t="s">
        <v>1260</v>
      </c>
      <c r="C154" s="13">
        <v>46092</v>
      </c>
      <c r="D154" s="17">
        <v>0.75496527777777789</v>
      </c>
      <c r="E154" s="19" t="s">
        <v>1757</v>
      </c>
      <c r="F154" s="19" t="s">
        <v>1758</v>
      </c>
      <c r="G154" s="19" t="s">
        <v>1263</v>
      </c>
      <c r="H154" s="19" t="s">
        <v>1264</v>
      </c>
      <c r="AB154" s="34" t="s">
        <v>2636</v>
      </c>
      <c r="AC154" s="35">
        <v>1</v>
      </c>
    </row>
    <row r="155" spans="1:29" x14ac:dyDescent="0.4">
      <c r="A155" s="15" t="s">
        <v>1759</v>
      </c>
      <c r="B155" s="16" t="s">
        <v>1260</v>
      </c>
      <c r="C155" s="13">
        <v>46092</v>
      </c>
      <c r="D155" s="17">
        <v>0.39168981481481485</v>
      </c>
      <c r="E155" s="16" t="s">
        <v>1760</v>
      </c>
      <c r="F155" s="16" t="s">
        <v>1761</v>
      </c>
      <c r="G155" s="16" t="s">
        <v>1263</v>
      </c>
      <c r="H155" s="16" t="s">
        <v>1264</v>
      </c>
      <c r="AB155" s="34" t="s">
        <v>2022</v>
      </c>
      <c r="AC155" s="35">
        <v>1</v>
      </c>
    </row>
    <row r="156" spans="1:29" x14ac:dyDescent="0.4">
      <c r="A156" s="18" t="s">
        <v>1762</v>
      </c>
      <c r="B156" s="19" t="s">
        <v>1260</v>
      </c>
      <c r="C156" s="13">
        <v>45423</v>
      </c>
      <c r="D156" s="17">
        <v>0.77400462962962957</v>
      </c>
      <c r="E156" s="19" t="s">
        <v>1763</v>
      </c>
      <c r="F156" s="19" t="s">
        <v>1764</v>
      </c>
      <c r="G156" s="19" t="s">
        <v>1263</v>
      </c>
      <c r="H156" s="19" t="s">
        <v>1264</v>
      </c>
      <c r="AB156" s="34" t="s">
        <v>2526</v>
      </c>
      <c r="AC156" s="35">
        <v>1</v>
      </c>
    </row>
    <row r="157" spans="1:29" x14ac:dyDescent="0.4">
      <c r="A157" s="15" t="s">
        <v>1765</v>
      </c>
      <c r="B157" s="16" t="s">
        <v>1260</v>
      </c>
      <c r="C157" s="13">
        <v>46153</v>
      </c>
      <c r="D157" s="17">
        <v>0.62635416666666666</v>
      </c>
      <c r="E157" s="16" t="s">
        <v>1766</v>
      </c>
      <c r="F157" s="16" t="s">
        <v>1767</v>
      </c>
      <c r="G157" s="16" t="s">
        <v>1263</v>
      </c>
      <c r="H157" s="16" t="s">
        <v>1264</v>
      </c>
      <c r="AB157" s="34" t="s">
        <v>1821</v>
      </c>
      <c r="AC157" s="35">
        <v>1</v>
      </c>
    </row>
    <row r="158" spans="1:29" x14ac:dyDescent="0.4">
      <c r="A158" s="18" t="s">
        <v>1768</v>
      </c>
      <c r="B158" s="19" t="s">
        <v>1260</v>
      </c>
      <c r="C158" s="13">
        <v>46153</v>
      </c>
      <c r="D158" s="17">
        <v>0.69079861111111107</v>
      </c>
      <c r="E158" s="19" t="s">
        <v>1769</v>
      </c>
      <c r="F158" s="19" t="s">
        <v>1770</v>
      </c>
      <c r="G158" s="19" t="s">
        <v>1263</v>
      </c>
      <c r="H158" s="19" t="s">
        <v>1264</v>
      </c>
      <c r="AB158" s="34" t="s">
        <v>2043</v>
      </c>
      <c r="AC158" s="35">
        <v>1</v>
      </c>
    </row>
    <row r="159" spans="1:29" x14ac:dyDescent="0.4">
      <c r="A159" s="15" t="s">
        <v>1771</v>
      </c>
      <c r="B159" s="16" t="s">
        <v>1260</v>
      </c>
      <c r="C159" s="13">
        <v>46153</v>
      </c>
      <c r="D159" s="17">
        <v>0.35665509259259259</v>
      </c>
      <c r="E159" s="16" t="s">
        <v>1772</v>
      </c>
      <c r="F159" s="16" t="s">
        <v>1773</v>
      </c>
      <c r="G159" s="16" t="s">
        <v>1263</v>
      </c>
      <c r="H159" s="16" t="s">
        <v>1264</v>
      </c>
      <c r="AB159" s="34" t="s">
        <v>2600</v>
      </c>
      <c r="AC159" s="35">
        <v>1</v>
      </c>
    </row>
    <row r="160" spans="1:29" x14ac:dyDescent="0.4">
      <c r="A160" s="18" t="s">
        <v>1774</v>
      </c>
      <c r="B160" s="19" t="s">
        <v>1260</v>
      </c>
      <c r="C160" s="13">
        <v>46153</v>
      </c>
      <c r="D160" s="17">
        <v>0.92594907407407412</v>
      </c>
      <c r="E160" s="19" t="s">
        <v>1775</v>
      </c>
      <c r="F160" s="19" t="s">
        <v>1776</v>
      </c>
      <c r="G160" s="19" t="s">
        <v>1263</v>
      </c>
      <c r="H160" s="19" t="s">
        <v>1264</v>
      </c>
      <c r="AB160" s="34" t="s">
        <v>2365</v>
      </c>
      <c r="AC160" s="35">
        <v>1</v>
      </c>
    </row>
    <row r="161" spans="1:29" x14ac:dyDescent="0.4">
      <c r="A161" s="15" t="s">
        <v>1777</v>
      </c>
      <c r="B161" s="16" t="s">
        <v>1260</v>
      </c>
      <c r="C161" s="13">
        <v>46153</v>
      </c>
      <c r="D161" s="17">
        <v>0.91172453703703704</v>
      </c>
      <c r="E161" s="16" t="s">
        <v>1778</v>
      </c>
      <c r="F161" s="16" t="s">
        <v>1779</v>
      </c>
      <c r="G161" s="16" t="s">
        <v>1263</v>
      </c>
      <c r="H161" s="16" t="s">
        <v>1264</v>
      </c>
      <c r="AB161" s="34" t="s">
        <v>1286</v>
      </c>
      <c r="AC161" s="35">
        <v>1</v>
      </c>
    </row>
    <row r="162" spans="1:29" x14ac:dyDescent="0.4">
      <c r="A162" s="18" t="s">
        <v>1780</v>
      </c>
      <c r="B162" s="19" t="s">
        <v>1260</v>
      </c>
      <c r="C162" s="13">
        <v>46153</v>
      </c>
      <c r="D162" s="17">
        <v>0.45008101851851851</v>
      </c>
      <c r="E162" s="19" t="s">
        <v>1781</v>
      </c>
      <c r="F162" s="19" t="s">
        <v>1782</v>
      </c>
      <c r="G162" s="19" t="s">
        <v>1263</v>
      </c>
      <c r="H162" s="19" t="s">
        <v>1264</v>
      </c>
      <c r="AB162" s="34" t="s">
        <v>2057</v>
      </c>
      <c r="AC162" s="35">
        <v>1</v>
      </c>
    </row>
    <row r="163" spans="1:29" x14ac:dyDescent="0.4">
      <c r="A163" s="15" t="s">
        <v>1783</v>
      </c>
      <c r="B163" s="16" t="s">
        <v>1260</v>
      </c>
      <c r="C163" s="13">
        <v>45819</v>
      </c>
      <c r="D163" s="17">
        <v>0.65938657407407408</v>
      </c>
      <c r="E163" s="16" t="s">
        <v>1784</v>
      </c>
      <c r="F163" s="16" t="s">
        <v>1785</v>
      </c>
      <c r="G163" s="16" t="s">
        <v>1263</v>
      </c>
      <c r="H163" s="16" t="s">
        <v>1264</v>
      </c>
      <c r="AB163" s="34" t="s">
        <v>1615</v>
      </c>
      <c r="AC163" s="35">
        <v>1</v>
      </c>
    </row>
    <row r="164" spans="1:29" x14ac:dyDescent="0.4">
      <c r="A164" s="18" t="s">
        <v>1786</v>
      </c>
      <c r="B164" s="19" t="s">
        <v>1260</v>
      </c>
      <c r="C164" s="13">
        <v>46184</v>
      </c>
      <c r="D164" s="17">
        <v>0.75001157407407415</v>
      </c>
      <c r="E164" s="19" t="s">
        <v>1787</v>
      </c>
      <c r="F164" s="19" t="s">
        <v>1788</v>
      </c>
      <c r="G164" s="19" t="s">
        <v>1263</v>
      </c>
      <c r="H164" s="19" t="s">
        <v>1264</v>
      </c>
      <c r="AB164" s="34" t="s">
        <v>2025</v>
      </c>
      <c r="AC164" s="35">
        <v>1</v>
      </c>
    </row>
    <row r="165" spans="1:29" x14ac:dyDescent="0.4">
      <c r="A165" s="15" t="s">
        <v>1789</v>
      </c>
      <c r="B165" s="16" t="s">
        <v>1260</v>
      </c>
      <c r="C165" s="13">
        <v>45849</v>
      </c>
      <c r="D165" s="17">
        <v>0.43539351851851849</v>
      </c>
      <c r="E165" s="16" t="s">
        <v>1099</v>
      </c>
      <c r="F165" s="16" t="s">
        <v>1790</v>
      </c>
      <c r="G165" s="16" t="s">
        <v>1263</v>
      </c>
      <c r="H165" s="16" t="s">
        <v>1264</v>
      </c>
      <c r="AB165" s="34" t="s">
        <v>1881</v>
      </c>
      <c r="AC165" s="35">
        <v>1</v>
      </c>
    </row>
    <row r="166" spans="1:29" x14ac:dyDescent="0.4">
      <c r="A166" s="18" t="s">
        <v>1791</v>
      </c>
      <c r="B166" s="19" t="s">
        <v>1260</v>
      </c>
      <c r="C166" s="13">
        <v>46034</v>
      </c>
      <c r="D166" s="17">
        <v>0.54743055555555553</v>
      </c>
      <c r="E166" s="19" t="s">
        <v>1792</v>
      </c>
      <c r="F166" s="19" t="s">
        <v>1793</v>
      </c>
      <c r="G166" s="19" t="s">
        <v>1263</v>
      </c>
      <c r="H166" s="19" t="s">
        <v>1264</v>
      </c>
      <c r="AB166" s="34" t="s">
        <v>2630</v>
      </c>
      <c r="AC166" s="35">
        <v>1</v>
      </c>
    </row>
    <row r="167" spans="1:29" x14ac:dyDescent="0.4">
      <c r="A167" s="15" t="s">
        <v>1794</v>
      </c>
      <c r="B167" s="16" t="s">
        <v>1260</v>
      </c>
      <c r="C167" s="13">
        <v>46034</v>
      </c>
      <c r="D167" s="17">
        <v>0.4707175925925926</v>
      </c>
      <c r="E167" s="16" t="s">
        <v>1795</v>
      </c>
      <c r="F167" s="16" t="s">
        <v>1796</v>
      </c>
      <c r="G167" s="16" t="s">
        <v>1275</v>
      </c>
      <c r="H167" s="16" t="s">
        <v>1264</v>
      </c>
      <c r="AB167" s="34" t="s">
        <v>2273</v>
      </c>
      <c r="AC167" s="35">
        <v>1</v>
      </c>
    </row>
    <row r="168" spans="1:29" x14ac:dyDescent="0.4">
      <c r="A168" s="18" t="s">
        <v>1797</v>
      </c>
      <c r="B168" s="19" t="s">
        <v>1260</v>
      </c>
      <c r="C168" s="13">
        <v>46034</v>
      </c>
      <c r="D168" s="17">
        <v>0.65144675925925932</v>
      </c>
      <c r="E168" s="19" t="s">
        <v>1798</v>
      </c>
      <c r="F168" s="19" t="s">
        <v>1799</v>
      </c>
      <c r="G168" s="19" t="s">
        <v>1263</v>
      </c>
      <c r="H168" s="19" t="s">
        <v>1264</v>
      </c>
      <c r="AB168" s="34" t="s">
        <v>2414</v>
      </c>
      <c r="AC168" s="35">
        <v>1</v>
      </c>
    </row>
    <row r="169" spans="1:29" x14ac:dyDescent="0.4">
      <c r="A169" s="15" t="s">
        <v>1800</v>
      </c>
      <c r="B169" s="16" t="s">
        <v>1260</v>
      </c>
      <c r="C169" s="13">
        <v>46034</v>
      </c>
      <c r="D169" s="17">
        <v>0.7106365740740741</v>
      </c>
      <c r="E169" s="16" t="s">
        <v>1801</v>
      </c>
      <c r="F169" s="16" t="s">
        <v>1802</v>
      </c>
      <c r="G169" s="16" t="s">
        <v>1263</v>
      </c>
      <c r="H169" s="16" t="s">
        <v>1264</v>
      </c>
      <c r="AB169" s="34" t="s">
        <v>1839</v>
      </c>
      <c r="AC169" s="35">
        <v>1</v>
      </c>
    </row>
    <row r="170" spans="1:29" x14ac:dyDescent="0.4">
      <c r="A170" s="18" t="s">
        <v>1803</v>
      </c>
      <c r="B170" s="19" t="s">
        <v>1260</v>
      </c>
      <c r="C170" s="13">
        <v>46065</v>
      </c>
      <c r="D170" s="17">
        <v>0.50910879629629624</v>
      </c>
      <c r="E170" s="19" t="s">
        <v>1804</v>
      </c>
      <c r="F170" s="19" t="s">
        <v>1805</v>
      </c>
      <c r="G170" s="19" t="s">
        <v>1263</v>
      </c>
      <c r="H170" s="19" t="s">
        <v>1264</v>
      </c>
      <c r="AB170" s="34" t="s">
        <v>1627</v>
      </c>
      <c r="AC170" s="35">
        <v>1</v>
      </c>
    </row>
    <row r="171" spans="1:29" x14ac:dyDescent="0.4">
      <c r="A171" s="15" t="s">
        <v>1806</v>
      </c>
      <c r="B171" s="16" t="s">
        <v>1260</v>
      </c>
      <c r="C171" s="13">
        <v>46065</v>
      </c>
      <c r="D171" s="17">
        <v>0.68761574074074072</v>
      </c>
      <c r="E171" s="16" t="s">
        <v>1807</v>
      </c>
      <c r="F171" s="16" t="s">
        <v>1808</v>
      </c>
      <c r="G171" s="16" t="s">
        <v>1263</v>
      </c>
      <c r="H171" s="16" t="s">
        <v>1264</v>
      </c>
      <c r="AB171" s="34" t="s">
        <v>2246</v>
      </c>
      <c r="AC171" s="35">
        <v>1</v>
      </c>
    </row>
    <row r="172" spans="1:29" x14ac:dyDescent="0.4">
      <c r="A172" s="18" t="s">
        <v>1809</v>
      </c>
      <c r="B172" s="19" t="s">
        <v>1260</v>
      </c>
      <c r="C172" s="13">
        <v>46065</v>
      </c>
      <c r="D172" s="17">
        <v>0.39106481481481481</v>
      </c>
      <c r="E172" s="19" t="s">
        <v>1810</v>
      </c>
      <c r="F172" s="19" t="s">
        <v>1811</v>
      </c>
      <c r="G172" s="19" t="s">
        <v>1263</v>
      </c>
      <c r="H172" s="19" t="s">
        <v>1264</v>
      </c>
      <c r="AB172" s="34" t="s">
        <v>1899</v>
      </c>
      <c r="AC172" s="35">
        <v>1</v>
      </c>
    </row>
    <row r="173" spans="1:29" x14ac:dyDescent="0.4">
      <c r="A173" s="15" t="s">
        <v>1812</v>
      </c>
      <c r="B173" s="16" t="s">
        <v>1260</v>
      </c>
      <c r="C173" s="13">
        <v>46065</v>
      </c>
      <c r="D173" s="17">
        <v>0.46424768518518517</v>
      </c>
      <c r="E173" s="16" t="s">
        <v>1813</v>
      </c>
      <c r="F173" s="16" t="s">
        <v>1814</v>
      </c>
      <c r="G173" s="16" t="s">
        <v>1279</v>
      </c>
      <c r="H173" s="16" t="s">
        <v>1264</v>
      </c>
      <c r="AB173" s="34" t="s">
        <v>2651</v>
      </c>
      <c r="AC173" s="35">
        <v>1</v>
      </c>
    </row>
    <row r="174" spans="1:29" x14ac:dyDescent="0.4">
      <c r="A174" s="18" t="s">
        <v>1815</v>
      </c>
      <c r="B174" s="19" t="s">
        <v>1260</v>
      </c>
      <c r="C174" s="13">
        <v>46093</v>
      </c>
      <c r="D174" s="17">
        <v>0.56268518518518518</v>
      </c>
      <c r="E174" s="19" t="s">
        <v>1816</v>
      </c>
      <c r="F174" s="19" t="s">
        <v>1817</v>
      </c>
      <c r="G174" s="19" t="s">
        <v>1275</v>
      </c>
      <c r="H174" s="19" t="s">
        <v>1264</v>
      </c>
      <c r="AB174" s="34" t="s">
        <v>2031</v>
      </c>
      <c r="AC174" s="35">
        <v>1</v>
      </c>
    </row>
    <row r="175" spans="1:29" x14ac:dyDescent="0.4">
      <c r="A175" s="15" t="s">
        <v>1818</v>
      </c>
      <c r="B175" s="16" t="s">
        <v>1260</v>
      </c>
      <c r="C175" s="13">
        <v>46093</v>
      </c>
      <c r="D175" s="17">
        <v>0.65929398148148144</v>
      </c>
      <c r="E175" s="16" t="s">
        <v>1819</v>
      </c>
      <c r="F175" s="16" t="s">
        <v>1820</v>
      </c>
      <c r="G175" s="16" t="s">
        <v>1263</v>
      </c>
      <c r="H175" s="16" t="s">
        <v>1264</v>
      </c>
      <c r="AB175" s="34" t="s">
        <v>2396</v>
      </c>
      <c r="AC175" s="35">
        <v>1</v>
      </c>
    </row>
    <row r="176" spans="1:29" x14ac:dyDescent="0.4">
      <c r="A176" s="18" t="s">
        <v>1821</v>
      </c>
      <c r="B176" s="19" t="s">
        <v>1260</v>
      </c>
      <c r="C176" s="13">
        <v>46093</v>
      </c>
      <c r="D176" s="17">
        <v>0.45924768518518522</v>
      </c>
      <c r="E176" s="19" t="s">
        <v>1822</v>
      </c>
      <c r="F176" s="19" t="s">
        <v>1823</v>
      </c>
      <c r="G176" s="19" t="s">
        <v>1279</v>
      </c>
      <c r="H176" s="19" t="s">
        <v>1264</v>
      </c>
      <c r="AB176" s="34" t="s">
        <v>2459</v>
      </c>
      <c r="AC176" s="35">
        <v>1</v>
      </c>
    </row>
    <row r="177" spans="1:29" x14ac:dyDescent="0.4">
      <c r="A177" s="15" t="s">
        <v>1824</v>
      </c>
      <c r="B177" s="16" t="s">
        <v>1260</v>
      </c>
      <c r="C177" s="13">
        <v>46093</v>
      </c>
      <c r="D177" s="17">
        <v>0.35075231481481484</v>
      </c>
      <c r="E177" s="16" t="s">
        <v>1825</v>
      </c>
      <c r="F177" s="16" t="s">
        <v>1826</v>
      </c>
      <c r="G177" s="16" t="s">
        <v>1263</v>
      </c>
      <c r="H177" s="16" t="s">
        <v>1264</v>
      </c>
      <c r="AB177" s="34" t="s">
        <v>2502</v>
      </c>
      <c r="AC177" s="35">
        <v>1</v>
      </c>
    </row>
    <row r="178" spans="1:29" x14ac:dyDescent="0.4">
      <c r="A178" s="18" t="s">
        <v>1827</v>
      </c>
      <c r="B178" s="19" t="s">
        <v>1260</v>
      </c>
      <c r="C178" s="13">
        <v>46093</v>
      </c>
      <c r="D178" s="17">
        <v>0.45929398148148143</v>
      </c>
      <c r="E178" s="19" t="s">
        <v>1828</v>
      </c>
      <c r="F178" s="19" t="s">
        <v>1829</v>
      </c>
      <c r="G178" s="19" t="s">
        <v>1263</v>
      </c>
      <c r="H178" s="19" t="s">
        <v>1264</v>
      </c>
      <c r="AB178" s="34" t="s">
        <v>2105</v>
      </c>
      <c r="AC178" s="35">
        <v>1</v>
      </c>
    </row>
    <row r="179" spans="1:29" x14ac:dyDescent="0.4">
      <c r="A179" s="15" t="s">
        <v>1830</v>
      </c>
      <c r="B179" s="16" t="s">
        <v>1260</v>
      </c>
      <c r="C179" s="13">
        <v>46124</v>
      </c>
      <c r="D179" s="17">
        <v>0.79696759259259264</v>
      </c>
      <c r="E179" s="16" t="s">
        <v>1831</v>
      </c>
      <c r="F179" s="16" t="s">
        <v>1832</v>
      </c>
      <c r="G179" s="16" t="s">
        <v>1263</v>
      </c>
      <c r="H179" s="16" t="s">
        <v>1264</v>
      </c>
      <c r="AB179" s="34" t="s">
        <v>1863</v>
      </c>
      <c r="AC179" s="35">
        <v>1</v>
      </c>
    </row>
    <row r="180" spans="1:29" x14ac:dyDescent="0.4">
      <c r="A180" s="18" t="s">
        <v>1833</v>
      </c>
      <c r="B180" s="19" t="s">
        <v>1260</v>
      </c>
      <c r="C180" s="13">
        <v>46154</v>
      </c>
      <c r="D180" s="17">
        <v>0.54540509259259262</v>
      </c>
      <c r="E180" s="19" t="s">
        <v>1834</v>
      </c>
      <c r="F180" s="19" t="s">
        <v>1835</v>
      </c>
      <c r="G180" s="19" t="s">
        <v>1263</v>
      </c>
      <c r="H180" s="19" t="s">
        <v>1264</v>
      </c>
      <c r="AB180" s="34" t="s">
        <v>2087</v>
      </c>
      <c r="AC180" s="35">
        <v>1</v>
      </c>
    </row>
    <row r="181" spans="1:29" x14ac:dyDescent="0.4">
      <c r="A181" s="15" t="s">
        <v>1836</v>
      </c>
      <c r="B181" s="16" t="s">
        <v>1260</v>
      </c>
      <c r="C181" s="13">
        <v>46154</v>
      </c>
      <c r="D181" s="17">
        <v>0.63065972222222222</v>
      </c>
      <c r="E181" s="16" t="s">
        <v>1837</v>
      </c>
      <c r="F181" s="16" t="s">
        <v>1838</v>
      </c>
      <c r="G181" s="16" t="s">
        <v>1263</v>
      </c>
      <c r="H181" s="16" t="s">
        <v>1264</v>
      </c>
      <c r="AB181" s="34" t="s">
        <v>2075</v>
      </c>
      <c r="AC181" s="35">
        <v>1</v>
      </c>
    </row>
    <row r="182" spans="1:29" x14ac:dyDescent="0.4">
      <c r="A182" s="18" t="s">
        <v>1839</v>
      </c>
      <c r="B182" s="19" t="s">
        <v>1260</v>
      </c>
      <c r="C182" s="13">
        <v>46154</v>
      </c>
      <c r="D182" s="17">
        <v>0.42158564814814814</v>
      </c>
      <c r="E182" s="19" t="s">
        <v>1840</v>
      </c>
      <c r="F182" s="19" t="s">
        <v>1841</v>
      </c>
      <c r="G182" s="19" t="s">
        <v>1263</v>
      </c>
      <c r="H182" s="19" t="s">
        <v>1264</v>
      </c>
      <c r="AB182" s="34" t="s">
        <v>2669</v>
      </c>
      <c r="AC182" s="35">
        <v>1</v>
      </c>
    </row>
    <row r="183" spans="1:29" x14ac:dyDescent="0.4">
      <c r="A183" s="15" t="s">
        <v>1842</v>
      </c>
      <c r="B183" s="16" t="s">
        <v>1260</v>
      </c>
      <c r="C183" s="13">
        <v>46154</v>
      </c>
      <c r="D183" s="17">
        <v>0.47498842592592588</v>
      </c>
      <c r="E183" s="16" t="s">
        <v>1843</v>
      </c>
      <c r="F183" s="16" t="s">
        <v>1844</v>
      </c>
      <c r="G183" s="16" t="s">
        <v>1263</v>
      </c>
      <c r="H183" s="16" t="s">
        <v>1264</v>
      </c>
      <c r="AB183" s="34" t="s">
        <v>1541</v>
      </c>
      <c r="AC183" s="35">
        <v>1</v>
      </c>
    </row>
    <row r="184" spans="1:29" x14ac:dyDescent="0.4">
      <c r="A184" s="18" t="s">
        <v>1845</v>
      </c>
      <c r="B184" s="19" t="s">
        <v>1260</v>
      </c>
      <c r="C184" s="13">
        <v>46185</v>
      </c>
      <c r="D184" s="17">
        <v>0.6778819444444445</v>
      </c>
      <c r="E184" s="19" t="s">
        <v>1846</v>
      </c>
      <c r="F184" s="19" t="s">
        <v>1847</v>
      </c>
      <c r="G184" s="19" t="s">
        <v>1263</v>
      </c>
      <c r="H184" s="19" t="s">
        <v>1264</v>
      </c>
      <c r="AB184" s="34" t="s">
        <v>2493</v>
      </c>
      <c r="AC184" s="35">
        <v>1</v>
      </c>
    </row>
    <row r="185" spans="1:29" x14ac:dyDescent="0.4">
      <c r="A185" s="15" t="s">
        <v>1848</v>
      </c>
      <c r="B185" s="16" t="s">
        <v>1260</v>
      </c>
      <c r="C185" s="13">
        <v>46185</v>
      </c>
      <c r="D185" s="17">
        <v>0.34443287037037035</v>
      </c>
      <c r="E185" s="16" t="s">
        <v>1849</v>
      </c>
      <c r="F185" s="16" t="s">
        <v>1850</v>
      </c>
      <c r="G185" s="16" t="s">
        <v>1263</v>
      </c>
      <c r="H185" s="16" t="s">
        <v>1264</v>
      </c>
      <c r="AB185" s="34" t="s">
        <v>1269</v>
      </c>
      <c r="AC185" s="35">
        <v>1</v>
      </c>
    </row>
    <row r="186" spans="1:29" x14ac:dyDescent="0.4">
      <c r="A186" s="18" t="s">
        <v>1851</v>
      </c>
      <c r="B186" s="19" t="s">
        <v>1260</v>
      </c>
      <c r="C186" s="13">
        <v>45912</v>
      </c>
      <c r="D186" s="17">
        <v>0.43259259259259258</v>
      </c>
      <c r="E186" s="19" t="s">
        <v>1852</v>
      </c>
      <c r="F186" s="19" t="s">
        <v>1853</v>
      </c>
      <c r="G186" s="19" t="s">
        <v>1263</v>
      </c>
      <c r="H186" s="19" t="s">
        <v>1264</v>
      </c>
      <c r="AB186" s="34" t="s">
        <v>2222</v>
      </c>
      <c r="AC186" s="35">
        <v>1</v>
      </c>
    </row>
    <row r="187" spans="1:29" x14ac:dyDescent="0.4">
      <c r="A187" s="15" t="s">
        <v>1854</v>
      </c>
      <c r="B187" s="16" t="s">
        <v>1260</v>
      </c>
      <c r="C187" s="13">
        <v>45912</v>
      </c>
      <c r="D187" s="17">
        <v>0.55622685185185183</v>
      </c>
      <c r="E187" s="16" t="s">
        <v>1855</v>
      </c>
      <c r="F187" s="16" t="s">
        <v>1856</v>
      </c>
      <c r="G187" s="16" t="s">
        <v>1263</v>
      </c>
      <c r="H187" s="16" t="s">
        <v>1264</v>
      </c>
      <c r="AB187" s="34" t="s">
        <v>2267</v>
      </c>
      <c r="AC187" s="35">
        <v>1</v>
      </c>
    </row>
    <row r="188" spans="1:29" x14ac:dyDescent="0.4">
      <c r="A188" s="18" t="s">
        <v>1857</v>
      </c>
      <c r="B188" s="19" t="s">
        <v>1260</v>
      </c>
      <c r="C188" s="13">
        <v>46003</v>
      </c>
      <c r="D188" s="17">
        <v>0.64709490740740738</v>
      </c>
      <c r="E188" s="19" t="s">
        <v>1858</v>
      </c>
      <c r="F188" s="19" t="s">
        <v>1859</v>
      </c>
      <c r="G188" s="19" t="s">
        <v>1263</v>
      </c>
      <c r="H188" s="19" t="s">
        <v>1264</v>
      </c>
      <c r="AB188" s="34" t="s">
        <v>2323</v>
      </c>
      <c r="AC188" s="35">
        <v>1</v>
      </c>
    </row>
    <row r="189" spans="1:29" x14ac:dyDescent="0.4">
      <c r="A189" s="15" t="s">
        <v>1860</v>
      </c>
      <c r="B189" s="16" t="s">
        <v>1260</v>
      </c>
      <c r="C189" s="13">
        <v>46003</v>
      </c>
      <c r="D189" s="17">
        <v>0.99281249999999999</v>
      </c>
      <c r="E189" s="16" t="s">
        <v>1861</v>
      </c>
      <c r="F189" s="16" t="s">
        <v>1862</v>
      </c>
      <c r="G189" s="16" t="s">
        <v>1263</v>
      </c>
      <c r="H189" s="16" t="s">
        <v>1264</v>
      </c>
      <c r="AB189" s="34" t="s">
        <v>2666</v>
      </c>
      <c r="AC189" s="35">
        <v>1</v>
      </c>
    </row>
    <row r="190" spans="1:29" x14ac:dyDescent="0.4">
      <c r="A190" s="18" t="s">
        <v>1863</v>
      </c>
      <c r="B190" s="19" t="s">
        <v>1260</v>
      </c>
      <c r="C190" s="13">
        <v>46035</v>
      </c>
      <c r="D190" s="17">
        <v>0.95241898148148152</v>
      </c>
      <c r="E190" s="19" t="s">
        <v>1864</v>
      </c>
      <c r="F190" s="19" t="s">
        <v>1865</v>
      </c>
      <c r="G190" s="19" t="s">
        <v>1263</v>
      </c>
      <c r="H190" s="19" t="s">
        <v>1264</v>
      </c>
      <c r="AB190" s="34" t="s">
        <v>1887</v>
      </c>
      <c r="AC190" s="35">
        <v>1</v>
      </c>
    </row>
    <row r="191" spans="1:29" x14ac:dyDescent="0.4">
      <c r="A191" s="15" t="s">
        <v>1866</v>
      </c>
      <c r="B191" s="16" t="s">
        <v>1260</v>
      </c>
      <c r="C191" s="13">
        <v>46035</v>
      </c>
      <c r="D191" s="17">
        <v>0.52704861111111112</v>
      </c>
      <c r="E191" s="16" t="s">
        <v>1867</v>
      </c>
      <c r="F191" s="16" t="s">
        <v>1868</v>
      </c>
      <c r="G191" s="16" t="s">
        <v>1263</v>
      </c>
      <c r="H191" s="16" t="s">
        <v>1264</v>
      </c>
      <c r="AB191" s="34" t="s">
        <v>2084</v>
      </c>
      <c r="AC191" s="35">
        <v>1</v>
      </c>
    </row>
    <row r="192" spans="1:29" x14ac:dyDescent="0.4">
      <c r="A192" s="18" t="s">
        <v>1869</v>
      </c>
      <c r="B192" s="19" t="s">
        <v>1260</v>
      </c>
      <c r="C192" s="13">
        <v>46035</v>
      </c>
      <c r="D192" s="17">
        <v>0.48270833333333335</v>
      </c>
      <c r="E192" s="19" t="s">
        <v>1870</v>
      </c>
      <c r="F192" s="19" t="s">
        <v>1871</v>
      </c>
      <c r="G192" s="19" t="s">
        <v>1263</v>
      </c>
      <c r="H192" s="19" t="s">
        <v>1264</v>
      </c>
      <c r="AB192" s="34" t="s">
        <v>2114</v>
      </c>
      <c r="AC192" s="35">
        <v>1</v>
      </c>
    </row>
    <row r="193" spans="1:29" x14ac:dyDescent="0.4">
      <c r="A193" s="15" t="s">
        <v>1872</v>
      </c>
      <c r="B193" s="16" t="s">
        <v>1260</v>
      </c>
      <c r="C193" s="13">
        <v>46035</v>
      </c>
      <c r="D193" s="17">
        <v>0.69392361111111101</v>
      </c>
      <c r="E193" s="16" t="s">
        <v>1873</v>
      </c>
      <c r="F193" s="16" t="s">
        <v>1874</v>
      </c>
      <c r="G193" s="16" t="s">
        <v>1263</v>
      </c>
      <c r="H193" s="16" t="s">
        <v>1264</v>
      </c>
      <c r="AB193" s="34" t="s">
        <v>2715</v>
      </c>
      <c r="AC193" s="35">
        <v>1</v>
      </c>
    </row>
    <row r="194" spans="1:29" x14ac:dyDescent="0.4">
      <c r="A194" s="18" t="s">
        <v>1875</v>
      </c>
      <c r="B194" s="19" t="s">
        <v>1260</v>
      </c>
      <c r="C194" s="13">
        <v>46035</v>
      </c>
      <c r="D194" s="17">
        <v>0.77265046296296302</v>
      </c>
      <c r="E194" s="19" t="s">
        <v>1876</v>
      </c>
      <c r="F194" s="19" t="s">
        <v>1877</v>
      </c>
      <c r="G194" s="19" t="s">
        <v>1324</v>
      </c>
      <c r="H194" s="19" t="s">
        <v>1407</v>
      </c>
      <c r="AB194" s="34" t="s">
        <v>2276</v>
      </c>
      <c r="AC194" s="35">
        <v>1</v>
      </c>
    </row>
    <row r="195" spans="1:29" x14ac:dyDescent="0.4">
      <c r="A195" s="15" t="s">
        <v>1878</v>
      </c>
      <c r="B195" s="16" t="s">
        <v>1260</v>
      </c>
      <c r="C195" s="13">
        <v>46035</v>
      </c>
      <c r="D195" s="17">
        <v>0.65153935185185186</v>
      </c>
      <c r="E195" s="16" t="s">
        <v>1879</v>
      </c>
      <c r="F195" s="16" t="s">
        <v>1880</v>
      </c>
      <c r="G195" s="16" t="s">
        <v>1324</v>
      </c>
      <c r="H195" s="16" t="s">
        <v>1403</v>
      </c>
      <c r="AB195" s="34" t="s">
        <v>2594</v>
      </c>
      <c r="AC195" s="35">
        <v>1</v>
      </c>
    </row>
    <row r="196" spans="1:29" x14ac:dyDescent="0.4">
      <c r="A196" s="18" t="s">
        <v>1881</v>
      </c>
      <c r="B196" s="19" t="s">
        <v>1260</v>
      </c>
      <c r="C196" s="13">
        <v>46066</v>
      </c>
      <c r="D196" s="17">
        <v>0.53724537037037035</v>
      </c>
      <c r="E196" s="19" t="s">
        <v>1882</v>
      </c>
      <c r="F196" s="19" t="s">
        <v>1883</v>
      </c>
      <c r="G196" s="19" t="s">
        <v>1263</v>
      </c>
      <c r="H196" s="19" t="s">
        <v>1264</v>
      </c>
      <c r="AB196" s="34" t="s">
        <v>2135</v>
      </c>
      <c r="AC196" s="35">
        <v>1</v>
      </c>
    </row>
    <row r="197" spans="1:29" x14ac:dyDescent="0.4">
      <c r="A197" s="15" t="s">
        <v>1884</v>
      </c>
      <c r="B197" s="16" t="s">
        <v>1260</v>
      </c>
      <c r="C197" s="13">
        <v>46066</v>
      </c>
      <c r="D197" s="17">
        <v>0.57665509259259262</v>
      </c>
      <c r="E197" s="16" t="s">
        <v>1885</v>
      </c>
      <c r="F197" s="16" t="s">
        <v>1886</v>
      </c>
      <c r="G197" s="16" t="s">
        <v>1263</v>
      </c>
      <c r="H197" s="16" t="s">
        <v>1264</v>
      </c>
      <c r="AB197" s="34" t="s">
        <v>1591</v>
      </c>
      <c r="AC197" s="35">
        <v>1</v>
      </c>
    </row>
    <row r="198" spans="1:29" x14ac:dyDescent="0.4">
      <c r="A198" s="18" t="s">
        <v>1887</v>
      </c>
      <c r="B198" s="19" t="s">
        <v>1260</v>
      </c>
      <c r="C198" s="13">
        <v>46066</v>
      </c>
      <c r="D198" s="17">
        <v>0.49461805555555555</v>
      </c>
      <c r="E198" s="19" t="s">
        <v>1888</v>
      </c>
      <c r="F198" s="19" t="s">
        <v>1889</v>
      </c>
      <c r="G198" s="19" t="s">
        <v>1263</v>
      </c>
      <c r="H198" s="19" t="s">
        <v>1264</v>
      </c>
      <c r="AB198" s="34" t="s">
        <v>1505</v>
      </c>
      <c r="AC198" s="35">
        <v>1</v>
      </c>
    </row>
    <row r="199" spans="1:29" x14ac:dyDescent="0.4">
      <c r="A199" s="15" t="s">
        <v>1890</v>
      </c>
      <c r="B199" s="16" t="s">
        <v>1260</v>
      </c>
      <c r="C199" s="13">
        <v>46094</v>
      </c>
      <c r="D199" s="17">
        <v>0.45436342592592593</v>
      </c>
      <c r="E199" s="16" t="s">
        <v>1891</v>
      </c>
      <c r="F199" s="16" t="s">
        <v>1892</v>
      </c>
      <c r="G199" s="16" t="s">
        <v>1263</v>
      </c>
      <c r="H199" s="16" t="s">
        <v>1264</v>
      </c>
      <c r="AB199" s="34" t="s">
        <v>2147</v>
      </c>
      <c r="AC199" s="35">
        <v>1</v>
      </c>
    </row>
    <row r="200" spans="1:29" x14ac:dyDescent="0.4">
      <c r="A200" s="18" t="s">
        <v>1893</v>
      </c>
      <c r="B200" s="19" t="s">
        <v>1260</v>
      </c>
      <c r="C200" s="13">
        <v>46094</v>
      </c>
      <c r="D200" s="17">
        <v>0.49081018518518515</v>
      </c>
      <c r="E200" s="19" t="s">
        <v>1894</v>
      </c>
      <c r="F200" s="19" t="s">
        <v>1895</v>
      </c>
      <c r="G200" s="19" t="s">
        <v>1324</v>
      </c>
      <c r="H200" s="19" t="s">
        <v>1392</v>
      </c>
      <c r="AB200" s="34" t="s">
        <v>1735</v>
      </c>
      <c r="AC200" s="35">
        <v>1</v>
      </c>
    </row>
    <row r="201" spans="1:29" x14ac:dyDescent="0.4">
      <c r="A201" s="15" t="s">
        <v>1896</v>
      </c>
      <c r="B201" s="16" t="s">
        <v>1260</v>
      </c>
      <c r="C201" s="13">
        <v>46125</v>
      </c>
      <c r="D201" s="17">
        <v>0.42752314814814812</v>
      </c>
      <c r="E201" s="16" t="s">
        <v>1897</v>
      </c>
      <c r="F201" s="16" t="s">
        <v>1898</v>
      </c>
      <c r="G201" s="16" t="s">
        <v>1263</v>
      </c>
      <c r="H201" s="16" t="s">
        <v>1264</v>
      </c>
      <c r="AB201" s="34" t="s">
        <v>2657</v>
      </c>
      <c r="AC201" s="35">
        <v>1</v>
      </c>
    </row>
    <row r="202" spans="1:29" x14ac:dyDescent="0.4">
      <c r="A202" s="18" t="s">
        <v>1899</v>
      </c>
      <c r="B202" s="19" t="s">
        <v>1260</v>
      </c>
      <c r="C202" s="13">
        <v>46125</v>
      </c>
      <c r="D202" s="17">
        <v>0.43908564814814816</v>
      </c>
      <c r="E202" s="19" t="s">
        <v>1900</v>
      </c>
      <c r="F202" s="19" t="s">
        <v>1901</v>
      </c>
      <c r="G202" s="19" t="s">
        <v>1263</v>
      </c>
      <c r="H202" s="19" t="s">
        <v>1264</v>
      </c>
      <c r="AB202" s="34" t="s">
        <v>2577</v>
      </c>
      <c r="AC202" s="35">
        <v>1</v>
      </c>
    </row>
    <row r="203" spans="1:29" x14ac:dyDescent="0.4">
      <c r="A203" s="15" t="s">
        <v>1902</v>
      </c>
      <c r="B203" s="16" t="s">
        <v>1260</v>
      </c>
      <c r="C203" s="13">
        <v>46155</v>
      </c>
      <c r="D203" s="17">
        <v>0.61255787037037035</v>
      </c>
      <c r="E203" s="16" t="s">
        <v>1903</v>
      </c>
      <c r="F203" s="16" t="s">
        <v>1904</v>
      </c>
      <c r="G203" s="16" t="s">
        <v>1263</v>
      </c>
      <c r="H203" s="16" t="s">
        <v>1264</v>
      </c>
      <c r="AB203" s="34" t="s">
        <v>2010</v>
      </c>
      <c r="AC203" s="35">
        <v>1</v>
      </c>
    </row>
    <row r="204" spans="1:29" x14ac:dyDescent="0.4">
      <c r="A204" s="18" t="s">
        <v>1905</v>
      </c>
      <c r="B204" s="19" t="s">
        <v>1260</v>
      </c>
      <c r="C204" s="13">
        <v>46155</v>
      </c>
      <c r="D204" s="17">
        <v>0.69899305555555558</v>
      </c>
      <c r="E204" s="19" t="s">
        <v>1906</v>
      </c>
      <c r="F204" s="19" t="s">
        <v>1907</v>
      </c>
      <c r="G204" s="19" t="s">
        <v>1263</v>
      </c>
      <c r="H204" s="19" t="s">
        <v>1264</v>
      </c>
      <c r="AB204" s="34" t="s">
        <v>2736</v>
      </c>
      <c r="AC204" s="35">
        <v>1</v>
      </c>
    </row>
    <row r="205" spans="1:29" x14ac:dyDescent="0.4">
      <c r="A205" s="15" t="s">
        <v>1908</v>
      </c>
      <c r="B205" s="16" t="s">
        <v>1260</v>
      </c>
      <c r="C205" s="13">
        <v>46155</v>
      </c>
      <c r="D205" s="17">
        <v>0.56796296296296289</v>
      </c>
      <c r="E205" s="16" t="s">
        <v>1909</v>
      </c>
      <c r="F205" s="16" t="s">
        <v>1910</v>
      </c>
      <c r="G205" s="16" t="s">
        <v>1263</v>
      </c>
      <c r="H205" s="16" t="s">
        <v>1264</v>
      </c>
      <c r="AB205" s="34" t="s">
        <v>2376</v>
      </c>
      <c r="AC205" s="35">
        <v>1</v>
      </c>
    </row>
    <row r="206" spans="1:29" x14ac:dyDescent="0.4">
      <c r="A206" s="18" t="s">
        <v>1911</v>
      </c>
      <c r="B206" s="19" t="s">
        <v>1260</v>
      </c>
      <c r="C206" s="13">
        <v>45821</v>
      </c>
      <c r="D206" s="17">
        <v>0.4319560185185185</v>
      </c>
      <c r="E206" s="19" t="s">
        <v>1912</v>
      </c>
      <c r="F206" s="19" t="s">
        <v>1913</v>
      </c>
      <c r="G206" s="19" t="s">
        <v>1279</v>
      </c>
      <c r="H206" s="19" t="s">
        <v>1264</v>
      </c>
      <c r="AB206" s="34" t="s">
        <v>1459</v>
      </c>
      <c r="AC206" s="35">
        <v>1</v>
      </c>
    </row>
    <row r="207" spans="1:29" x14ac:dyDescent="0.4">
      <c r="A207" s="15" t="s">
        <v>1914</v>
      </c>
      <c r="B207" s="16" t="s">
        <v>1260</v>
      </c>
      <c r="C207" s="13">
        <v>46186</v>
      </c>
      <c r="D207" s="17">
        <v>0.68939814814814815</v>
      </c>
      <c r="E207" s="16" t="s">
        <v>1915</v>
      </c>
      <c r="F207" s="16" t="s">
        <v>1916</v>
      </c>
      <c r="G207" s="16" t="s">
        <v>1263</v>
      </c>
      <c r="H207" s="16" t="s">
        <v>1264</v>
      </c>
      <c r="AB207" s="34" t="s">
        <v>2186</v>
      </c>
      <c r="AC207" s="35">
        <v>1</v>
      </c>
    </row>
    <row r="208" spans="1:29" x14ac:dyDescent="0.4">
      <c r="A208" s="18" t="s">
        <v>1917</v>
      </c>
      <c r="B208" s="19" t="s">
        <v>1260</v>
      </c>
      <c r="C208" s="13">
        <v>46216</v>
      </c>
      <c r="D208" s="17">
        <v>0.60942129629629627</v>
      </c>
      <c r="E208" s="19" t="s">
        <v>1918</v>
      </c>
      <c r="F208" s="19" t="s">
        <v>1919</v>
      </c>
      <c r="G208" s="19" t="s">
        <v>1263</v>
      </c>
      <c r="H208" s="19" t="s">
        <v>1264</v>
      </c>
      <c r="AB208" s="34" t="s">
        <v>1815</v>
      </c>
      <c r="AC208" s="35">
        <v>1</v>
      </c>
    </row>
    <row r="209" spans="1:29" x14ac:dyDescent="0.4">
      <c r="A209" s="15" t="s">
        <v>1920</v>
      </c>
      <c r="B209" s="16" t="s">
        <v>1260</v>
      </c>
      <c r="C209" s="13">
        <v>46216</v>
      </c>
      <c r="D209" s="17">
        <v>0.52812500000000007</v>
      </c>
      <c r="E209" s="16" t="s">
        <v>1921</v>
      </c>
      <c r="F209" s="16" t="s">
        <v>1922</v>
      </c>
      <c r="G209" s="16" t="s">
        <v>1263</v>
      </c>
      <c r="H209" s="16" t="s">
        <v>1264</v>
      </c>
      <c r="AB209" s="34" t="s">
        <v>2102</v>
      </c>
      <c r="AC209" s="35">
        <v>1</v>
      </c>
    </row>
    <row r="210" spans="1:29" x14ac:dyDescent="0.4">
      <c r="A210" s="18" t="s">
        <v>1923</v>
      </c>
      <c r="B210" s="19" t="s">
        <v>1260</v>
      </c>
      <c r="C210" s="13">
        <v>46216</v>
      </c>
      <c r="D210" s="17">
        <v>3.6354166666666667E-2</v>
      </c>
      <c r="E210" s="19" t="s">
        <v>1924</v>
      </c>
      <c r="F210" s="19" t="s">
        <v>1925</v>
      </c>
      <c r="G210" s="19" t="s">
        <v>1263</v>
      </c>
      <c r="H210" s="19" t="s">
        <v>1264</v>
      </c>
      <c r="AB210" s="34" t="s">
        <v>1983</v>
      </c>
      <c r="AC210" s="35">
        <v>1</v>
      </c>
    </row>
    <row r="211" spans="1:29" x14ac:dyDescent="0.4">
      <c r="A211" s="15" t="s">
        <v>1926</v>
      </c>
      <c r="B211" s="16" t="s">
        <v>1260</v>
      </c>
      <c r="C211" s="13">
        <v>45943</v>
      </c>
      <c r="D211" s="17">
        <v>0.40732638888888889</v>
      </c>
      <c r="E211" s="16" t="s">
        <v>1927</v>
      </c>
      <c r="F211" s="16" t="s">
        <v>1928</v>
      </c>
      <c r="G211" s="16" t="s">
        <v>1263</v>
      </c>
      <c r="H211" s="16" t="s">
        <v>1264</v>
      </c>
      <c r="AB211" s="34" t="s">
        <v>2706</v>
      </c>
      <c r="AC211" s="35">
        <v>1</v>
      </c>
    </row>
    <row r="212" spans="1:29" x14ac:dyDescent="0.4">
      <c r="A212" s="18" t="s">
        <v>1929</v>
      </c>
      <c r="B212" s="19" t="s">
        <v>1260</v>
      </c>
      <c r="C212" s="13">
        <v>46036</v>
      </c>
      <c r="D212" s="17">
        <v>0.55745370370370373</v>
      </c>
      <c r="E212" s="19" t="s">
        <v>1930</v>
      </c>
      <c r="F212" s="19" t="s">
        <v>1931</v>
      </c>
      <c r="G212" s="19" t="s">
        <v>1279</v>
      </c>
      <c r="H212" s="19" t="s">
        <v>1264</v>
      </c>
      <c r="AB212" s="34" t="s">
        <v>2588</v>
      </c>
      <c r="AC212" s="35">
        <v>1</v>
      </c>
    </row>
    <row r="213" spans="1:29" x14ac:dyDescent="0.4">
      <c r="A213" s="15" t="s">
        <v>1932</v>
      </c>
      <c r="B213" s="16" t="s">
        <v>1260</v>
      </c>
      <c r="C213" s="13">
        <v>46036</v>
      </c>
      <c r="D213" s="17">
        <v>0.32520833333333332</v>
      </c>
      <c r="E213" s="16" t="s">
        <v>1933</v>
      </c>
      <c r="F213" s="16" t="s">
        <v>1934</v>
      </c>
      <c r="G213" s="16" t="s">
        <v>1279</v>
      </c>
      <c r="H213" s="16" t="s">
        <v>1264</v>
      </c>
      <c r="AB213" s="34" t="s">
        <v>2093</v>
      </c>
      <c r="AC213" s="35">
        <v>1</v>
      </c>
    </row>
    <row r="214" spans="1:29" x14ac:dyDescent="0.4">
      <c r="A214" s="18" t="s">
        <v>1935</v>
      </c>
      <c r="B214" s="19" t="s">
        <v>1260</v>
      </c>
      <c r="C214" s="13">
        <v>46036</v>
      </c>
      <c r="D214" s="17">
        <v>0.38769675925925928</v>
      </c>
      <c r="E214" s="19" t="s">
        <v>1936</v>
      </c>
      <c r="F214" s="19" t="s">
        <v>1937</v>
      </c>
      <c r="G214" s="19" t="s">
        <v>1335</v>
      </c>
      <c r="H214" s="19" t="s">
        <v>1264</v>
      </c>
      <c r="AB214" s="34" t="s">
        <v>2326</v>
      </c>
      <c r="AC214" s="35">
        <v>1</v>
      </c>
    </row>
    <row r="215" spans="1:29" x14ac:dyDescent="0.4">
      <c r="A215" s="15" t="s">
        <v>1938</v>
      </c>
      <c r="B215" s="16" t="s">
        <v>1260</v>
      </c>
      <c r="C215" s="13">
        <v>46067</v>
      </c>
      <c r="D215" s="17">
        <v>0.84212962962962967</v>
      </c>
      <c r="E215" s="16" t="s">
        <v>1939</v>
      </c>
      <c r="F215" s="16" t="s">
        <v>1940</v>
      </c>
      <c r="G215" s="16" t="s">
        <v>1263</v>
      </c>
      <c r="H215" s="16" t="s">
        <v>1264</v>
      </c>
      <c r="AB215" s="34" t="s">
        <v>2228</v>
      </c>
      <c r="AC215" s="35">
        <v>1</v>
      </c>
    </row>
    <row r="216" spans="1:29" x14ac:dyDescent="0.4">
      <c r="A216" s="18" t="s">
        <v>1941</v>
      </c>
      <c r="B216" s="19" t="s">
        <v>1260</v>
      </c>
      <c r="C216" s="13">
        <v>45730</v>
      </c>
      <c r="D216" s="17">
        <v>0.49675925925925929</v>
      </c>
      <c r="E216" s="19" t="s">
        <v>1942</v>
      </c>
      <c r="F216" s="19" t="s">
        <v>1943</v>
      </c>
      <c r="G216" s="19" t="s">
        <v>1316</v>
      </c>
      <c r="H216" s="19" t="s">
        <v>1264</v>
      </c>
      <c r="AB216" s="34" t="s">
        <v>2132</v>
      </c>
      <c r="AC216" s="35">
        <v>1</v>
      </c>
    </row>
    <row r="217" spans="1:29" x14ac:dyDescent="0.4">
      <c r="A217" s="15" t="s">
        <v>1944</v>
      </c>
      <c r="B217" s="16" t="s">
        <v>1260</v>
      </c>
      <c r="C217" s="13">
        <v>46095</v>
      </c>
      <c r="D217" s="17">
        <v>0.44260416666666669</v>
      </c>
      <c r="E217" s="16" t="s">
        <v>1945</v>
      </c>
      <c r="F217" s="16" t="s">
        <v>1946</v>
      </c>
      <c r="G217" s="16" t="s">
        <v>1263</v>
      </c>
      <c r="H217" s="16" t="s">
        <v>1264</v>
      </c>
      <c r="AB217" s="34" t="s">
        <v>1974</v>
      </c>
      <c r="AC217" s="35">
        <v>1</v>
      </c>
    </row>
    <row r="218" spans="1:29" x14ac:dyDescent="0.4">
      <c r="A218" s="18" t="s">
        <v>1947</v>
      </c>
      <c r="B218" s="19" t="s">
        <v>1260</v>
      </c>
      <c r="C218" s="13">
        <v>46126</v>
      </c>
      <c r="D218" s="17">
        <v>0.44055555555555559</v>
      </c>
      <c r="E218" s="19" t="s">
        <v>1948</v>
      </c>
      <c r="F218" s="19" t="s">
        <v>1949</v>
      </c>
      <c r="G218" s="19" t="s">
        <v>1263</v>
      </c>
      <c r="H218" s="19" t="s">
        <v>1264</v>
      </c>
      <c r="AB218" s="34" t="s">
        <v>2432</v>
      </c>
      <c r="AC218" s="35">
        <v>1</v>
      </c>
    </row>
    <row r="219" spans="1:29" x14ac:dyDescent="0.4">
      <c r="A219" s="15" t="s">
        <v>1950</v>
      </c>
      <c r="B219" s="16" t="s">
        <v>1260</v>
      </c>
      <c r="C219" s="13">
        <v>46126</v>
      </c>
      <c r="D219" s="17">
        <v>0.61398148148148146</v>
      </c>
      <c r="E219" s="16" t="s">
        <v>1951</v>
      </c>
      <c r="F219" s="16" t="s">
        <v>1952</v>
      </c>
      <c r="G219" s="16" t="s">
        <v>1263</v>
      </c>
      <c r="H219" s="16" t="s">
        <v>1264</v>
      </c>
      <c r="AB219" s="34" t="s">
        <v>1803</v>
      </c>
      <c r="AC219" s="35">
        <v>1</v>
      </c>
    </row>
    <row r="220" spans="1:29" x14ac:dyDescent="0.4">
      <c r="A220" s="18" t="s">
        <v>1953</v>
      </c>
      <c r="B220" s="19" t="s">
        <v>1260</v>
      </c>
      <c r="C220" s="13">
        <v>45852</v>
      </c>
      <c r="D220" s="17">
        <v>0.54913194444444446</v>
      </c>
      <c r="E220" s="19" t="s">
        <v>1954</v>
      </c>
      <c r="F220" s="19" t="s">
        <v>1955</v>
      </c>
      <c r="G220" s="19" t="s">
        <v>1263</v>
      </c>
      <c r="H220" s="19" t="s">
        <v>1264</v>
      </c>
      <c r="AB220" s="34" t="s">
        <v>2279</v>
      </c>
      <c r="AC220" s="35">
        <v>1</v>
      </c>
    </row>
    <row r="221" spans="1:29" x14ac:dyDescent="0.4">
      <c r="A221" s="15" t="s">
        <v>1956</v>
      </c>
      <c r="B221" s="16" t="s">
        <v>1260</v>
      </c>
      <c r="C221" s="13">
        <v>46217</v>
      </c>
      <c r="D221" s="17">
        <v>0.61390046296296297</v>
      </c>
      <c r="E221" s="16" t="s">
        <v>1957</v>
      </c>
      <c r="F221" s="16" t="s">
        <v>1958</v>
      </c>
      <c r="G221" s="16" t="s">
        <v>1263</v>
      </c>
      <c r="H221" s="16" t="s">
        <v>1264</v>
      </c>
      <c r="AB221" s="34" t="s">
        <v>2019</v>
      </c>
      <c r="AC221" s="35">
        <v>1</v>
      </c>
    </row>
    <row r="222" spans="1:29" x14ac:dyDescent="0.4">
      <c r="A222" s="18" t="s">
        <v>1959</v>
      </c>
      <c r="B222" s="19" t="s">
        <v>1260</v>
      </c>
      <c r="C222" s="13">
        <v>45579</v>
      </c>
      <c r="D222" s="17">
        <v>0.87859953703703697</v>
      </c>
      <c r="E222" s="19" t="s">
        <v>1960</v>
      </c>
      <c r="F222" s="19" t="s">
        <v>1961</v>
      </c>
      <c r="G222" s="19" t="s">
        <v>1263</v>
      </c>
      <c r="H222" s="19" t="s">
        <v>1264</v>
      </c>
      <c r="AB222" s="34" t="s">
        <v>2709</v>
      </c>
      <c r="AC222" s="35">
        <v>1</v>
      </c>
    </row>
    <row r="223" spans="1:29" x14ac:dyDescent="0.4">
      <c r="A223" s="15" t="s">
        <v>1962</v>
      </c>
      <c r="B223" s="16" t="s">
        <v>1260</v>
      </c>
      <c r="C223" s="13">
        <v>46005</v>
      </c>
      <c r="D223" s="17">
        <v>0.99629629629629635</v>
      </c>
      <c r="E223" s="16" t="s">
        <v>1963</v>
      </c>
      <c r="F223" s="16" t="s">
        <v>1964</v>
      </c>
      <c r="G223" s="16" t="s">
        <v>1263</v>
      </c>
      <c r="H223" s="16" t="s">
        <v>1264</v>
      </c>
      <c r="AB223" s="34" t="s">
        <v>2488</v>
      </c>
      <c r="AC223" s="35">
        <v>1</v>
      </c>
    </row>
    <row r="224" spans="1:29" x14ac:dyDescent="0.4">
      <c r="A224" s="18" t="s">
        <v>1965</v>
      </c>
      <c r="B224" s="19" t="s">
        <v>1260</v>
      </c>
      <c r="C224" s="13">
        <v>46037</v>
      </c>
      <c r="D224" s="17">
        <v>0.68113425925925919</v>
      </c>
      <c r="E224" s="19" t="s">
        <v>1966</v>
      </c>
      <c r="F224" s="19" t="s">
        <v>1967</v>
      </c>
      <c r="G224" s="19" t="s">
        <v>1263</v>
      </c>
      <c r="H224" s="19" t="s">
        <v>1264</v>
      </c>
      <c r="AB224" s="34" t="s">
        <v>2479</v>
      </c>
      <c r="AC224" s="35">
        <v>1</v>
      </c>
    </row>
    <row r="225" spans="1:29" x14ac:dyDescent="0.4">
      <c r="A225" s="15" t="s">
        <v>1968</v>
      </c>
      <c r="B225" s="16" t="s">
        <v>1260</v>
      </c>
      <c r="C225" s="13">
        <v>46127</v>
      </c>
      <c r="D225" s="17">
        <v>0.3661342592592593</v>
      </c>
      <c r="E225" s="16" t="s">
        <v>1969</v>
      </c>
      <c r="F225" s="16" t="s">
        <v>1970</v>
      </c>
      <c r="G225" s="16" t="s">
        <v>1263</v>
      </c>
      <c r="H225" s="16" t="s">
        <v>1264</v>
      </c>
      <c r="AB225" s="34" t="s">
        <v>1687</v>
      </c>
      <c r="AC225" s="35">
        <v>1</v>
      </c>
    </row>
    <row r="226" spans="1:29" x14ac:dyDescent="0.4">
      <c r="A226" s="18" t="s">
        <v>1971</v>
      </c>
      <c r="B226" s="19" t="s">
        <v>1260</v>
      </c>
      <c r="C226" s="13">
        <v>46127</v>
      </c>
      <c r="D226" s="17">
        <v>0.43843750000000004</v>
      </c>
      <c r="E226" s="19" t="s">
        <v>1972</v>
      </c>
      <c r="F226" s="19" t="s">
        <v>1973</v>
      </c>
      <c r="G226" s="19" t="s">
        <v>1268</v>
      </c>
      <c r="H226" s="19" t="s">
        <v>1264</v>
      </c>
      <c r="AB226" s="34" t="s">
        <v>2704</v>
      </c>
      <c r="AC226" s="35">
        <v>1</v>
      </c>
    </row>
    <row r="227" spans="1:29" x14ac:dyDescent="0.4">
      <c r="A227" s="15" t="s">
        <v>1974</v>
      </c>
      <c r="B227" s="16" t="s">
        <v>1260</v>
      </c>
      <c r="C227" s="13">
        <v>46157</v>
      </c>
      <c r="D227" s="17">
        <v>0.50806712962962963</v>
      </c>
      <c r="E227" s="16" t="s">
        <v>1975</v>
      </c>
      <c r="F227" s="16" t="s">
        <v>1976</v>
      </c>
      <c r="G227" s="16" t="s">
        <v>1263</v>
      </c>
      <c r="H227" s="16" t="s">
        <v>1264</v>
      </c>
      <c r="AB227" s="34" t="s">
        <v>2642</v>
      </c>
      <c r="AC227" s="35">
        <v>1</v>
      </c>
    </row>
    <row r="228" spans="1:29" x14ac:dyDescent="0.4">
      <c r="A228" s="18" t="s">
        <v>1977</v>
      </c>
      <c r="B228" s="19" t="s">
        <v>1260</v>
      </c>
      <c r="C228" s="13">
        <v>46157</v>
      </c>
      <c r="D228" s="17">
        <v>0.72696759259259258</v>
      </c>
      <c r="E228" s="19" t="s">
        <v>1978</v>
      </c>
      <c r="F228" s="19" t="s">
        <v>1979</v>
      </c>
      <c r="G228" s="19" t="s">
        <v>1263</v>
      </c>
      <c r="H228" s="19" t="s">
        <v>1264</v>
      </c>
      <c r="AB228" s="34" t="s">
        <v>2204</v>
      </c>
      <c r="AC228" s="35">
        <v>1</v>
      </c>
    </row>
    <row r="229" spans="1:29" x14ac:dyDescent="0.4">
      <c r="A229" s="15" t="s">
        <v>1980</v>
      </c>
      <c r="B229" s="16" t="s">
        <v>1260</v>
      </c>
      <c r="C229" s="13">
        <v>46157</v>
      </c>
      <c r="D229" s="17">
        <v>0.83746527777777768</v>
      </c>
      <c r="E229" s="16" t="s">
        <v>1981</v>
      </c>
      <c r="F229" s="16" t="s">
        <v>1982</v>
      </c>
      <c r="G229" s="16" t="s">
        <v>1263</v>
      </c>
      <c r="H229" s="16" t="s">
        <v>1264</v>
      </c>
      <c r="AB229" s="34" t="s">
        <v>1929</v>
      </c>
      <c r="AC229" s="35">
        <v>1</v>
      </c>
    </row>
    <row r="230" spans="1:29" x14ac:dyDescent="0.4">
      <c r="A230" s="18" t="s">
        <v>1983</v>
      </c>
      <c r="B230" s="19" t="s">
        <v>1260</v>
      </c>
      <c r="C230" s="13">
        <v>46188</v>
      </c>
      <c r="D230" s="17">
        <v>0.78771990740740738</v>
      </c>
      <c r="E230" s="19" t="s">
        <v>1984</v>
      </c>
      <c r="F230" s="19" t="s">
        <v>1985</v>
      </c>
      <c r="G230" s="19" t="s">
        <v>1275</v>
      </c>
      <c r="H230" s="19" t="s">
        <v>1264</v>
      </c>
      <c r="AB230" s="34" t="s">
        <v>1678</v>
      </c>
      <c r="AC230" s="35">
        <v>1</v>
      </c>
    </row>
    <row r="231" spans="1:29" x14ac:dyDescent="0.4">
      <c r="A231" s="15" t="s">
        <v>1986</v>
      </c>
      <c r="B231" s="16" t="s">
        <v>1260</v>
      </c>
      <c r="C231" s="13">
        <v>46188</v>
      </c>
      <c r="D231" s="17">
        <v>0.4254398148148148</v>
      </c>
      <c r="E231" s="16" t="s">
        <v>1987</v>
      </c>
      <c r="F231" s="16" t="s">
        <v>1988</v>
      </c>
      <c r="G231" s="16" t="s">
        <v>1263</v>
      </c>
      <c r="H231" s="16" t="s">
        <v>1264</v>
      </c>
      <c r="AB231" s="34" t="s">
        <v>1675</v>
      </c>
      <c r="AC231" s="35">
        <v>1</v>
      </c>
    </row>
    <row r="232" spans="1:29" x14ac:dyDescent="0.4">
      <c r="A232" s="18" t="s">
        <v>1989</v>
      </c>
      <c r="B232" s="19" t="s">
        <v>1260</v>
      </c>
      <c r="C232" s="13">
        <v>46218</v>
      </c>
      <c r="D232" s="17">
        <v>0.73865740740740737</v>
      </c>
      <c r="E232" s="19" t="s">
        <v>1990</v>
      </c>
      <c r="F232" s="19" t="s">
        <v>1991</v>
      </c>
      <c r="G232" s="19" t="s">
        <v>1263</v>
      </c>
      <c r="H232" s="19" t="s">
        <v>1264</v>
      </c>
      <c r="AB232" s="34" t="s">
        <v>2550</v>
      </c>
      <c r="AC232" s="35">
        <v>1</v>
      </c>
    </row>
    <row r="233" spans="1:29" x14ac:dyDescent="0.4">
      <c r="A233" s="15" t="s">
        <v>1992</v>
      </c>
      <c r="B233" s="16" t="s">
        <v>1260</v>
      </c>
      <c r="C233" s="13">
        <v>46218</v>
      </c>
      <c r="D233" s="17">
        <v>0.5496875</v>
      </c>
      <c r="E233" s="16" t="s">
        <v>1993</v>
      </c>
      <c r="F233" s="16" t="s">
        <v>1994</v>
      </c>
      <c r="G233" s="16" t="s">
        <v>1263</v>
      </c>
      <c r="H233" s="16" t="s">
        <v>1264</v>
      </c>
      <c r="AB233" s="34" t="s">
        <v>2231</v>
      </c>
      <c r="AC233" s="35">
        <v>1</v>
      </c>
    </row>
    <row r="234" spans="1:29" x14ac:dyDescent="0.4">
      <c r="A234" s="18" t="s">
        <v>1995</v>
      </c>
      <c r="B234" s="19" t="s">
        <v>1260</v>
      </c>
      <c r="C234" s="13">
        <v>46218</v>
      </c>
      <c r="D234" s="17">
        <v>0.52640046296296295</v>
      </c>
      <c r="E234" s="19" t="s">
        <v>1996</v>
      </c>
      <c r="F234" s="19" t="s">
        <v>1997</v>
      </c>
      <c r="G234" s="19" t="s">
        <v>1263</v>
      </c>
      <c r="H234" s="19" t="s">
        <v>1264</v>
      </c>
      <c r="AB234" s="34" t="s">
        <v>1511</v>
      </c>
      <c r="AC234" s="35">
        <v>1</v>
      </c>
    </row>
    <row r="235" spans="1:29" x14ac:dyDescent="0.4">
      <c r="A235" s="15" t="s">
        <v>1998</v>
      </c>
      <c r="B235" s="16" t="s">
        <v>1260</v>
      </c>
      <c r="C235" s="13">
        <v>45945</v>
      </c>
      <c r="D235" s="17">
        <v>0.75743055555555561</v>
      </c>
      <c r="E235" s="16" t="s">
        <v>1999</v>
      </c>
      <c r="F235" s="16" t="s">
        <v>2000</v>
      </c>
      <c r="G235" s="16" t="s">
        <v>1263</v>
      </c>
      <c r="H235" s="16" t="s">
        <v>1264</v>
      </c>
      <c r="AB235" s="34" t="s">
        <v>1866</v>
      </c>
      <c r="AC235" s="35">
        <v>1</v>
      </c>
    </row>
    <row r="236" spans="1:29" x14ac:dyDescent="0.4">
      <c r="A236" s="18" t="s">
        <v>2001</v>
      </c>
      <c r="B236" s="19" t="s">
        <v>1260</v>
      </c>
      <c r="C236" s="13">
        <v>45976</v>
      </c>
      <c r="D236" s="17">
        <v>0.80744212962962969</v>
      </c>
      <c r="E236" s="19" t="s">
        <v>2002</v>
      </c>
      <c r="F236" s="19" t="s">
        <v>2003</v>
      </c>
      <c r="G236" s="19" t="s">
        <v>1263</v>
      </c>
      <c r="H236" s="19" t="s">
        <v>1264</v>
      </c>
      <c r="AB236" s="34" t="s">
        <v>1732</v>
      </c>
      <c r="AC236" s="35">
        <v>1</v>
      </c>
    </row>
    <row r="237" spans="1:29" x14ac:dyDescent="0.4">
      <c r="A237" s="15" t="s">
        <v>2004</v>
      </c>
      <c r="B237" s="16" t="s">
        <v>1260</v>
      </c>
      <c r="C237" s="13">
        <v>46038</v>
      </c>
      <c r="D237" s="17">
        <v>0.81767361111111114</v>
      </c>
      <c r="E237" s="16" t="s">
        <v>2005</v>
      </c>
      <c r="F237" s="16" t="s">
        <v>2006</v>
      </c>
      <c r="G237" s="16" t="s">
        <v>1263</v>
      </c>
      <c r="H237" s="16" t="s">
        <v>1264</v>
      </c>
      <c r="AB237" s="34" t="s">
        <v>2007</v>
      </c>
      <c r="AC237" s="35">
        <v>1</v>
      </c>
    </row>
    <row r="238" spans="1:29" x14ac:dyDescent="0.4">
      <c r="A238" s="18" t="s">
        <v>2007</v>
      </c>
      <c r="B238" s="19" t="s">
        <v>1260</v>
      </c>
      <c r="C238" s="13">
        <v>46038</v>
      </c>
      <c r="D238" s="17">
        <v>0.58450231481481485</v>
      </c>
      <c r="E238" s="19" t="s">
        <v>2008</v>
      </c>
      <c r="F238" s="19" t="s">
        <v>2009</v>
      </c>
      <c r="G238" s="19" t="s">
        <v>1263</v>
      </c>
      <c r="H238" s="19" t="s">
        <v>1403</v>
      </c>
      <c r="AB238" s="34" t="s">
        <v>2037</v>
      </c>
      <c r="AC238" s="35">
        <v>1</v>
      </c>
    </row>
    <row r="239" spans="1:29" x14ac:dyDescent="0.4">
      <c r="A239" s="15" t="s">
        <v>2010</v>
      </c>
      <c r="B239" s="16" t="s">
        <v>1260</v>
      </c>
      <c r="C239" s="13">
        <v>46038</v>
      </c>
      <c r="D239" s="17">
        <v>0.57967592592592598</v>
      </c>
      <c r="E239" s="16" t="s">
        <v>2011</v>
      </c>
      <c r="F239" s="16" t="s">
        <v>2012</v>
      </c>
      <c r="G239" s="16" t="s">
        <v>1263</v>
      </c>
      <c r="H239" s="16" t="s">
        <v>1264</v>
      </c>
      <c r="AB239" s="34" t="s">
        <v>1603</v>
      </c>
      <c r="AC239" s="35">
        <v>1</v>
      </c>
    </row>
    <row r="240" spans="1:29" x14ac:dyDescent="0.4">
      <c r="A240" s="18" t="s">
        <v>2013</v>
      </c>
      <c r="B240" s="19" t="s">
        <v>1260</v>
      </c>
      <c r="C240" s="13">
        <v>46038</v>
      </c>
      <c r="D240" s="17">
        <v>0.75680555555555562</v>
      </c>
      <c r="E240" s="19" t="s">
        <v>2014</v>
      </c>
      <c r="F240" s="19" t="s">
        <v>2015</v>
      </c>
      <c r="G240" s="19" t="s">
        <v>1263</v>
      </c>
      <c r="H240" s="19" t="s">
        <v>1264</v>
      </c>
      <c r="AB240" s="34" t="s">
        <v>1375</v>
      </c>
      <c r="AC240" s="35">
        <v>1</v>
      </c>
    </row>
    <row r="241" spans="1:29" x14ac:dyDescent="0.4">
      <c r="A241" s="15" t="s">
        <v>2016</v>
      </c>
      <c r="B241" s="16" t="s">
        <v>1260</v>
      </c>
      <c r="C241" s="13">
        <v>46038</v>
      </c>
      <c r="D241" s="17">
        <v>0.71188657407407396</v>
      </c>
      <c r="E241" s="16" t="s">
        <v>2017</v>
      </c>
      <c r="F241" s="16" t="s">
        <v>2018</v>
      </c>
      <c r="G241" s="16" t="s">
        <v>1263</v>
      </c>
      <c r="H241" s="16" t="s">
        <v>1264</v>
      </c>
      <c r="AB241" s="34" t="s">
        <v>2624</v>
      </c>
      <c r="AC241" s="35">
        <v>1</v>
      </c>
    </row>
    <row r="242" spans="1:29" x14ac:dyDescent="0.4">
      <c r="A242" s="18" t="s">
        <v>2019</v>
      </c>
      <c r="B242" s="19" t="s">
        <v>1260</v>
      </c>
      <c r="C242" s="13">
        <v>46069</v>
      </c>
      <c r="D242" s="17">
        <v>0.60037037037037033</v>
      </c>
      <c r="E242" s="19" t="s">
        <v>2020</v>
      </c>
      <c r="F242" s="19" t="s">
        <v>2021</v>
      </c>
      <c r="G242" s="19" t="s">
        <v>1263</v>
      </c>
      <c r="H242" s="19" t="s">
        <v>1264</v>
      </c>
      <c r="AB242" s="34" t="s">
        <v>2677</v>
      </c>
      <c r="AC242" s="35">
        <v>1</v>
      </c>
    </row>
    <row r="243" spans="1:29" x14ac:dyDescent="0.4">
      <c r="A243" s="15" t="s">
        <v>2022</v>
      </c>
      <c r="B243" s="16" t="s">
        <v>1260</v>
      </c>
      <c r="C243" s="13">
        <v>46069</v>
      </c>
      <c r="D243" s="17">
        <v>0.55001157407407408</v>
      </c>
      <c r="E243" s="16" t="s">
        <v>2023</v>
      </c>
      <c r="F243" s="16" t="s">
        <v>2024</v>
      </c>
      <c r="G243" s="16" t="s">
        <v>1263</v>
      </c>
      <c r="H243" s="16" t="s">
        <v>1264</v>
      </c>
      <c r="AB243" s="34" t="s">
        <v>2553</v>
      </c>
      <c r="AC243" s="35">
        <v>1</v>
      </c>
    </row>
    <row r="244" spans="1:29" x14ac:dyDescent="0.4">
      <c r="A244" s="18" t="s">
        <v>2025</v>
      </c>
      <c r="B244" s="19" t="s">
        <v>1260</v>
      </c>
      <c r="C244" s="13">
        <v>46069</v>
      </c>
      <c r="D244" s="17">
        <v>0.6743055555555556</v>
      </c>
      <c r="E244" s="19" t="s">
        <v>2026</v>
      </c>
      <c r="F244" s="19" t="s">
        <v>2027</v>
      </c>
      <c r="G244" s="19" t="s">
        <v>1263</v>
      </c>
      <c r="H244" s="19" t="s">
        <v>1264</v>
      </c>
      <c r="AB244" s="34" t="s">
        <v>1797</v>
      </c>
      <c r="AC244" s="35">
        <v>1</v>
      </c>
    </row>
    <row r="245" spans="1:29" x14ac:dyDescent="0.4">
      <c r="A245" s="15" t="s">
        <v>2028</v>
      </c>
      <c r="B245" s="16" t="s">
        <v>1260</v>
      </c>
      <c r="C245" s="13">
        <v>46069</v>
      </c>
      <c r="D245" s="17">
        <v>5.0682870370370371E-2</v>
      </c>
      <c r="E245" s="16" t="s">
        <v>2029</v>
      </c>
      <c r="F245" s="16" t="s">
        <v>2030</v>
      </c>
      <c r="G245" s="16" t="s">
        <v>1263</v>
      </c>
      <c r="H245" s="16" t="s">
        <v>1264</v>
      </c>
      <c r="AB245" s="34" t="s">
        <v>2464</v>
      </c>
      <c r="AC245" s="35">
        <v>1</v>
      </c>
    </row>
    <row r="246" spans="1:29" x14ac:dyDescent="0.4">
      <c r="A246" s="18" t="s">
        <v>2031</v>
      </c>
      <c r="B246" s="19" t="s">
        <v>1260</v>
      </c>
      <c r="C246" s="13">
        <v>46069</v>
      </c>
      <c r="D246" s="17">
        <v>0.40130787037037036</v>
      </c>
      <c r="E246" s="19" t="s">
        <v>2032</v>
      </c>
      <c r="F246" s="19" t="s">
        <v>2033</v>
      </c>
      <c r="G246" s="19" t="s">
        <v>1263</v>
      </c>
      <c r="H246" s="19" t="s">
        <v>1264</v>
      </c>
      <c r="AB246" s="34" t="s">
        <v>1869</v>
      </c>
      <c r="AC246" s="35">
        <v>1</v>
      </c>
    </row>
    <row r="247" spans="1:29" x14ac:dyDescent="0.4">
      <c r="A247" s="15" t="s">
        <v>2034</v>
      </c>
      <c r="B247" s="16" t="s">
        <v>1260</v>
      </c>
      <c r="C247" s="13">
        <v>46097</v>
      </c>
      <c r="D247" s="17">
        <v>0.51053240740740746</v>
      </c>
      <c r="E247" s="16" t="s">
        <v>2035</v>
      </c>
      <c r="F247" s="16" t="s">
        <v>2036</v>
      </c>
      <c r="G247" s="16" t="s">
        <v>1324</v>
      </c>
      <c r="H247" s="16" t="s">
        <v>1379</v>
      </c>
      <c r="AB247" s="34" t="s">
        <v>2362</v>
      </c>
      <c r="AC247" s="35">
        <v>1</v>
      </c>
    </row>
    <row r="248" spans="1:29" x14ac:dyDescent="0.4">
      <c r="A248" s="18" t="s">
        <v>2037</v>
      </c>
      <c r="B248" s="19" t="s">
        <v>1260</v>
      </c>
      <c r="C248" s="13">
        <v>46097</v>
      </c>
      <c r="D248" s="17">
        <v>0.66016203703703702</v>
      </c>
      <c r="E248" s="19" t="s">
        <v>2038</v>
      </c>
      <c r="F248" s="19" t="s">
        <v>2039</v>
      </c>
      <c r="G248" s="19" t="s">
        <v>1263</v>
      </c>
      <c r="H248" s="19" t="s">
        <v>1264</v>
      </c>
      <c r="AB248" s="34" t="s">
        <v>1639</v>
      </c>
      <c r="AC248" s="35">
        <v>1</v>
      </c>
    </row>
    <row r="249" spans="1:29" x14ac:dyDescent="0.4">
      <c r="A249" s="15" t="s">
        <v>2040</v>
      </c>
      <c r="B249" s="16" t="s">
        <v>1260</v>
      </c>
      <c r="C249" s="13">
        <v>46097</v>
      </c>
      <c r="D249" s="17">
        <v>0.68006944444444439</v>
      </c>
      <c r="E249" s="16" t="s">
        <v>2041</v>
      </c>
      <c r="F249" s="16" t="s">
        <v>2042</v>
      </c>
      <c r="G249" s="16" t="s">
        <v>1263</v>
      </c>
      <c r="H249" s="16" t="s">
        <v>1264</v>
      </c>
      <c r="AB249" s="34" t="s">
        <v>1890</v>
      </c>
      <c r="AC249" s="35">
        <v>1</v>
      </c>
    </row>
    <row r="250" spans="1:29" x14ac:dyDescent="0.4">
      <c r="A250" s="18" t="s">
        <v>2043</v>
      </c>
      <c r="B250" s="19" t="s">
        <v>1260</v>
      </c>
      <c r="C250" s="13">
        <v>46097</v>
      </c>
      <c r="D250" s="17">
        <v>0.71850694444444452</v>
      </c>
      <c r="E250" s="19" t="s">
        <v>2044</v>
      </c>
      <c r="F250" s="19" t="s">
        <v>2045</v>
      </c>
      <c r="G250" s="19" t="s">
        <v>1268</v>
      </c>
      <c r="H250" s="19" t="s">
        <v>1264</v>
      </c>
      <c r="AB250" s="34" t="s">
        <v>2373</v>
      </c>
      <c r="AC250" s="35">
        <v>1</v>
      </c>
    </row>
    <row r="251" spans="1:29" x14ac:dyDescent="0.4">
      <c r="A251" s="15" t="s">
        <v>2046</v>
      </c>
      <c r="B251" s="16" t="s">
        <v>1260</v>
      </c>
      <c r="C251" s="13">
        <v>46097</v>
      </c>
      <c r="D251" s="17">
        <v>0.49634259259259261</v>
      </c>
      <c r="E251" s="16" t="s">
        <v>2047</v>
      </c>
      <c r="F251" s="16" t="s">
        <v>2048</v>
      </c>
      <c r="G251" s="16" t="s">
        <v>1263</v>
      </c>
      <c r="H251" s="16" t="s">
        <v>1264</v>
      </c>
      <c r="AB251" s="34" t="s">
        <v>2420</v>
      </c>
      <c r="AC251" s="35">
        <v>1</v>
      </c>
    </row>
    <row r="252" spans="1:29" x14ac:dyDescent="0.4">
      <c r="A252" s="18" t="s">
        <v>2049</v>
      </c>
      <c r="B252" s="19" t="s">
        <v>1260</v>
      </c>
      <c r="C252" s="13">
        <v>46128</v>
      </c>
      <c r="D252" s="17">
        <v>0.56504629629629632</v>
      </c>
      <c r="E252" s="19" t="s">
        <v>2050</v>
      </c>
      <c r="F252" s="19" t="s">
        <v>2051</v>
      </c>
      <c r="G252" s="19" t="s">
        <v>1263</v>
      </c>
      <c r="H252" s="19" t="s">
        <v>1264</v>
      </c>
      <c r="AB252" s="34" t="s">
        <v>2417</v>
      </c>
      <c r="AC252" s="35">
        <v>1</v>
      </c>
    </row>
    <row r="253" spans="1:29" x14ac:dyDescent="0.4">
      <c r="A253" s="15" t="s">
        <v>2052</v>
      </c>
      <c r="B253" s="16" t="s">
        <v>1260</v>
      </c>
      <c r="C253" s="13">
        <v>46128</v>
      </c>
      <c r="D253" s="17">
        <v>0.71069444444444452</v>
      </c>
      <c r="E253" s="16" t="s">
        <v>2053</v>
      </c>
      <c r="F253" s="16" t="s">
        <v>2054</v>
      </c>
      <c r="G253" s="16" t="s">
        <v>1263</v>
      </c>
      <c r="H253" s="16" t="s">
        <v>1264</v>
      </c>
      <c r="AB253" s="34" t="s">
        <v>2450</v>
      </c>
      <c r="AC253" s="35">
        <v>1</v>
      </c>
    </row>
    <row r="254" spans="1:29" x14ac:dyDescent="0.4">
      <c r="A254" s="18" t="s">
        <v>2055</v>
      </c>
      <c r="B254" s="19" t="s">
        <v>1260</v>
      </c>
      <c r="C254" s="13">
        <v>46128</v>
      </c>
      <c r="D254" s="17">
        <v>0.69009259259259259</v>
      </c>
      <c r="E254" s="19" t="s">
        <v>1299</v>
      </c>
      <c r="F254" s="19" t="s">
        <v>2056</v>
      </c>
      <c r="G254" s="19" t="s">
        <v>1263</v>
      </c>
      <c r="H254" s="19" t="s">
        <v>1264</v>
      </c>
      <c r="AB254" s="34" t="s">
        <v>2306</v>
      </c>
      <c r="AC254" s="35">
        <v>1</v>
      </c>
    </row>
    <row r="255" spans="1:29" x14ac:dyDescent="0.4">
      <c r="A255" s="15" t="s">
        <v>2057</v>
      </c>
      <c r="B255" s="16" t="s">
        <v>1260</v>
      </c>
      <c r="C255" s="13">
        <v>46189</v>
      </c>
      <c r="D255" s="17">
        <v>0.46302083333333338</v>
      </c>
      <c r="E255" s="16" t="s">
        <v>2058</v>
      </c>
      <c r="F255" s="16" t="s">
        <v>2059</v>
      </c>
      <c r="G255" s="16" t="s">
        <v>1263</v>
      </c>
      <c r="H255" s="16" t="s">
        <v>1264</v>
      </c>
      <c r="AB255" s="34" t="s">
        <v>1857</v>
      </c>
      <c r="AC255" s="35">
        <v>1</v>
      </c>
    </row>
    <row r="256" spans="1:29" x14ac:dyDescent="0.4">
      <c r="A256" s="18" t="s">
        <v>2060</v>
      </c>
      <c r="B256" s="19" t="s">
        <v>1260</v>
      </c>
      <c r="C256" s="13">
        <v>46189</v>
      </c>
      <c r="D256" s="17">
        <v>0.61645833333333333</v>
      </c>
      <c r="E256" s="19" t="s">
        <v>2061</v>
      </c>
      <c r="F256" s="19" t="s">
        <v>2062</v>
      </c>
      <c r="G256" s="19" t="s">
        <v>1263</v>
      </c>
      <c r="H256" s="19" t="s">
        <v>1264</v>
      </c>
      <c r="AB256" s="34" t="s">
        <v>1780</v>
      </c>
      <c r="AC256" s="35">
        <v>1</v>
      </c>
    </row>
    <row r="257" spans="1:29" x14ac:dyDescent="0.4">
      <c r="A257" s="15" t="s">
        <v>2063</v>
      </c>
      <c r="B257" s="16" t="s">
        <v>1260</v>
      </c>
      <c r="C257" s="13">
        <v>46189</v>
      </c>
      <c r="D257" s="17">
        <v>0.58336805555555549</v>
      </c>
      <c r="E257" s="16" t="s">
        <v>2064</v>
      </c>
      <c r="F257" s="16" t="s">
        <v>2065</v>
      </c>
      <c r="G257" s="16" t="s">
        <v>1263</v>
      </c>
      <c r="H257" s="16" t="s">
        <v>1264</v>
      </c>
      <c r="AB257" s="34" t="s">
        <v>2099</v>
      </c>
      <c r="AC257" s="35">
        <v>1</v>
      </c>
    </row>
    <row r="258" spans="1:29" x14ac:dyDescent="0.4">
      <c r="A258" s="18" t="s">
        <v>2066</v>
      </c>
      <c r="B258" s="19" t="s">
        <v>1260</v>
      </c>
      <c r="C258" s="13">
        <v>46189</v>
      </c>
      <c r="D258" s="17">
        <v>0.33554398148148151</v>
      </c>
      <c r="E258" s="19" t="s">
        <v>2067</v>
      </c>
      <c r="F258" s="19" t="s">
        <v>2068</v>
      </c>
      <c r="G258" s="19" t="s">
        <v>1316</v>
      </c>
      <c r="H258" s="19" t="s">
        <v>1264</v>
      </c>
      <c r="AB258" s="34" t="s">
        <v>1854</v>
      </c>
      <c r="AC258" s="35">
        <v>1</v>
      </c>
    </row>
    <row r="259" spans="1:29" x14ac:dyDescent="0.4">
      <c r="A259" s="15" t="s">
        <v>2069</v>
      </c>
      <c r="B259" s="16" t="s">
        <v>1260</v>
      </c>
      <c r="C259" s="13">
        <v>45854</v>
      </c>
      <c r="D259" s="17">
        <v>0.63540509259259259</v>
      </c>
      <c r="E259" s="16" t="s">
        <v>2070</v>
      </c>
      <c r="F259" s="16" t="s">
        <v>2071</v>
      </c>
      <c r="G259" s="16" t="s">
        <v>1263</v>
      </c>
      <c r="H259" s="16" t="s">
        <v>1264</v>
      </c>
      <c r="AB259" s="34" t="s">
        <v>2317</v>
      </c>
      <c r="AC259" s="35">
        <v>1</v>
      </c>
    </row>
    <row r="260" spans="1:29" x14ac:dyDescent="0.4">
      <c r="A260" s="18" t="s">
        <v>2072</v>
      </c>
      <c r="B260" s="19" t="s">
        <v>1260</v>
      </c>
      <c r="C260" s="13">
        <v>46219</v>
      </c>
      <c r="D260" s="17">
        <v>0.68465277777777767</v>
      </c>
      <c r="E260" s="19" t="s">
        <v>2073</v>
      </c>
      <c r="F260" s="19" t="s">
        <v>2074</v>
      </c>
      <c r="G260" s="19" t="s">
        <v>1263</v>
      </c>
      <c r="H260" s="19" t="s">
        <v>1264</v>
      </c>
      <c r="AB260" s="34" t="s">
        <v>2692</v>
      </c>
      <c r="AC260" s="35">
        <v>1</v>
      </c>
    </row>
    <row r="261" spans="1:29" x14ac:dyDescent="0.4">
      <c r="A261" s="15" t="s">
        <v>2075</v>
      </c>
      <c r="B261" s="16" t="s">
        <v>1260</v>
      </c>
      <c r="C261" s="13">
        <v>46219</v>
      </c>
      <c r="D261" s="17">
        <v>0.5252430555555555</v>
      </c>
      <c r="E261" s="16" t="s">
        <v>2076</v>
      </c>
      <c r="F261" s="16" t="s">
        <v>2077</v>
      </c>
      <c r="G261" s="16" t="s">
        <v>1263</v>
      </c>
      <c r="H261" s="16" t="s">
        <v>1264</v>
      </c>
      <c r="AB261" s="34" t="s">
        <v>1768</v>
      </c>
      <c r="AC261" s="35">
        <v>1</v>
      </c>
    </row>
    <row r="262" spans="1:29" x14ac:dyDescent="0.4">
      <c r="A262" s="18" t="s">
        <v>2078</v>
      </c>
      <c r="B262" s="19" t="s">
        <v>1260</v>
      </c>
      <c r="C262" s="13">
        <v>46219</v>
      </c>
      <c r="D262" s="17">
        <v>0.42137731481481483</v>
      </c>
      <c r="E262" s="19" t="s">
        <v>2079</v>
      </c>
      <c r="F262" s="19" t="s">
        <v>2080</v>
      </c>
      <c r="G262" s="19" t="s">
        <v>1263</v>
      </c>
      <c r="H262" s="19" t="s">
        <v>1264</v>
      </c>
      <c r="AB262" s="34" t="s">
        <v>1908</v>
      </c>
      <c r="AC262" s="35">
        <v>1</v>
      </c>
    </row>
    <row r="263" spans="1:29" x14ac:dyDescent="0.4">
      <c r="A263" s="15" t="s">
        <v>2081</v>
      </c>
      <c r="B263" s="16" t="s">
        <v>1260</v>
      </c>
      <c r="C263" s="13">
        <v>46007</v>
      </c>
      <c r="D263" s="17">
        <v>0.57711805555555562</v>
      </c>
      <c r="E263" s="16" t="s">
        <v>2082</v>
      </c>
      <c r="F263" s="16" t="s">
        <v>2083</v>
      </c>
      <c r="G263" s="16" t="s">
        <v>1279</v>
      </c>
      <c r="H263" s="16" t="s">
        <v>1264</v>
      </c>
      <c r="AB263" s="34" t="s">
        <v>2444</v>
      </c>
      <c r="AC263" s="35">
        <v>1</v>
      </c>
    </row>
    <row r="264" spans="1:29" x14ac:dyDescent="0.4">
      <c r="A264" s="18" t="s">
        <v>2084</v>
      </c>
      <c r="B264" s="19" t="s">
        <v>1260</v>
      </c>
      <c r="C264" s="13">
        <v>46070</v>
      </c>
      <c r="D264" s="17">
        <v>0.35730324074074077</v>
      </c>
      <c r="E264" s="19" t="s">
        <v>2085</v>
      </c>
      <c r="F264" s="19" t="s">
        <v>2086</v>
      </c>
      <c r="G264" s="19" t="s">
        <v>1279</v>
      </c>
      <c r="H264" s="19" t="s">
        <v>1264</v>
      </c>
      <c r="AB264" s="34" t="s">
        <v>1771</v>
      </c>
      <c r="AC264" s="35">
        <v>1</v>
      </c>
    </row>
    <row r="265" spans="1:29" x14ac:dyDescent="0.4">
      <c r="A265" s="15" t="s">
        <v>2087</v>
      </c>
      <c r="B265" s="16" t="s">
        <v>1260</v>
      </c>
      <c r="C265" s="13">
        <v>46070</v>
      </c>
      <c r="D265" s="17">
        <v>0.69306712962962969</v>
      </c>
      <c r="E265" s="16" t="s">
        <v>2088</v>
      </c>
      <c r="F265" s="16" t="s">
        <v>2089</v>
      </c>
      <c r="G265" s="16" t="s">
        <v>1279</v>
      </c>
      <c r="H265" s="16" t="s">
        <v>1264</v>
      </c>
      <c r="AB265" s="34" t="s">
        <v>1396</v>
      </c>
      <c r="AC265" s="35">
        <v>1</v>
      </c>
    </row>
    <row r="266" spans="1:29" x14ac:dyDescent="0.4">
      <c r="A266" s="18" t="s">
        <v>2090</v>
      </c>
      <c r="B266" s="19" t="s">
        <v>1260</v>
      </c>
      <c r="C266" s="13">
        <v>46070</v>
      </c>
      <c r="D266" s="17">
        <v>0.66401620370370373</v>
      </c>
      <c r="E266" s="19" t="s">
        <v>2091</v>
      </c>
      <c r="F266" s="19" t="s">
        <v>2092</v>
      </c>
      <c r="G266" s="19" t="s">
        <v>1275</v>
      </c>
      <c r="H266" s="19" t="s">
        <v>1264</v>
      </c>
      <c r="AB266" s="34" t="s">
        <v>2733</v>
      </c>
      <c r="AC266" s="35">
        <v>1</v>
      </c>
    </row>
    <row r="267" spans="1:29" x14ac:dyDescent="0.4">
      <c r="A267" s="15" t="s">
        <v>2093</v>
      </c>
      <c r="B267" s="16" t="s">
        <v>1260</v>
      </c>
      <c r="C267" s="13">
        <v>46098</v>
      </c>
      <c r="D267" s="17">
        <v>0.42625000000000002</v>
      </c>
      <c r="E267" s="16" t="s">
        <v>2094</v>
      </c>
      <c r="F267" s="16" t="s">
        <v>2095</v>
      </c>
      <c r="G267" s="16" t="s">
        <v>1275</v>
      </c>
      <c r="H267" s="16" t="s">
        <v>1264</v>
      </c>
      <c r="AB267" s="34" t="s">
        <v>1860</v>
      </c>
      <c r="AC267" s="35">
        <v>1</v>
      </c>
    </row>
    <row r="268" spans="1:29" x14ac:dyDescent="0.4">
      <c r="A268" s="18" t="s">
        <v>2096</v>
      </c>
      <c r="B268" s="19" t="s">
        <v>1260</v>
      </c>
      <c r="C268" s="13">
        <v>46129</v>
      </c>
      <c r="D268" s="17">
        <v>0.36407407407407405</v>
      </c>
      <c r="E268" s="19" t="s">
        <v>2097</v>
      </c>
      <c r="F268" s="19" t="s">
        <v>2098</v>
      </c>
      <c r="G268" s="19" t="s">
        <v>1268</v>
      </c>
      <c r="H268" s="19" t="s">
        <v>1264</v>
      </c>
      <c r="AB268" s="34" t="s">
        <v>2111</v>
      </c>
      <c r="AC268" s="35">
        <v>1</v>
      </c>
    </row>
    <row r="269" spans="1:29" x14ac:dyDescent="0.4">
      <c r="A269" s="15" t="s">
        <v>2099</v>
      </c>
      <c r="B269" s="16" t="s">
        <v>1260</v>
      </c>
      <c r="C269" s="13">
        <v>46190</v>
      </c>
      <c r="D269" s="17">
        <v>0.50481481481481483</v>
      </c>
      <c r="E269" s="16" t="s">
        <v>2100</v>
      </c>
      <c r="F269" s="16" t="s">
        <v>2101</v>
      </c>
      <c r="G269" s="16" t="s">
        <v>1263</v>
      </c>
      <c r="H269" s="16" t="s">
        <v>1264</v>
      </c>
      <c r="AB269" s="34" t="s">
        <v>1497</v>
      </c>
      <c r="AC269" s="35">
        <v>1</v>
      </c>
    </row>
    <row r="270" spans="1:29" x14ac:dyDescent="0.4">
      <c r="A270" s="18" t="s">
        <v>2102</v>
      </c>
      <c r="B270" s="19" t="s">
        <v>1260</v>
      </c>
      <c r="C270" s="13">
        <v>46190</v>
      </c>
      <c r="D270" s="17">
        <v>0.73344907407407411</v>
      </c>
      <c r="E270" s="19" t="s">
        <v>2103</v>
      </c>
      <c r="F270" s="19" t="s">
        <v>2104</v>
      </c>
      <c r="G270" s="19" t="s">
        <v>1275</v>
      </c>
      <c r="H270" s="19" t="s">
        <v>1264</v>
      </c>
      <c r="AB270" s="34" t="s">
        <v>1663</v>
      </c>
      <c r="AC270" s="35">
        <v>1</v>
      </c>
    </row>
    <row r="271" spans="1:29" x14ac:dyDescent="0.4">
      <c r="A271" s="15" t="s">
        <v>2105</v>
      </c>
      <c r="B271" s="16" t="s">
        <v>1260</v>
      </c>
      <c r="C271" s="13">
        <v>46190</v>
      </c>
      <c r="D271" s="17">
        <v>0.56694444444444447</v>
      </c>
      <c r="E271" s="16" t="s">
        <v>2106</v>
      </c>
      <c r="F271" s="16" t="s">
        <v>2107</v>
      </c>
      <c r="G271" s="16" t="s">
        <v>1263</v>
      </c>
      <c r="H271" s="16" t="s">
        <v>1264</v>
      </c>
      <c r="AB271" s="34" t="s">
        <v>2505</v>
      </c>
      <c r="AC271" s="35">
        <v>1</v>
      </c>
    </row>
    <row r="272" spans="1:29" x14ac:dyDescent="0.4">
      <c r="A272" s="18" t="s">
        <v>2108</v>
      </c>
      <c r="B272" s="19" t="s">
        <v>1260</v>
      </c>
      <c r="C272" s="13">
        <v>46220</v>
      </c>
      <c r="D272" s="17">
        <v>0.85851851851851846</v>
      </c>
      <c r="E272" s="19" t="s">
        <v>2109</v>
      </c>
      <c r="F272" s="19" t="s">
        <v>2110</v>
      </c>
      <c r="G272" s="19" t="s">
        <v>1263</v>
      </c>
      <c r="H272" s="19" t="s">
        <v>1264</v>
      </c>
      <c r="AB272" s="34" t="s">
        <v>2511</v>
      </c>
      <c r="AC272" s="35">
        <v>1</v>
      </c>
    </row>
    <row r="273" spans="1:29" x14ac:dyDescent="0.4">
      <c r="A273" s="15" t="s">
        <v>2111</v>
      </c>
      <c r="B273" s="16" t="s">
        <v>1260</v>
      </c>
      <c r="C273" s="13">
        <v>46220</v>
      </c>
      <c r="D273" s="17">
        <v>0.55637731481481478</v>
      </c>
      <c r="E273" s="16" t="s">
        <v>2112</v>
      </c>
      <c r="F273" s="16" t="s">
        <v>2113</v>
      </c>
      <c r="G273" s="16" t="s">
        <v>1263</v>
      </c>
      <c r="H273" s="16" t="s">
        <v>1264</v>
      </c>
      <c r="AB273" s="34" t="s">
        <v>2739</v>
      </c>
      <c r="AC273" s="35">
        <v>1</v>
      </c>
    </row>
    <row r="274" spans="1:29" x14ac:dyDescent="0.4">
      <c r="A274" s="18" t="s">
        <v>2114</v>
      </c>
      <c r="B274" s="19" t="s">
        <v>1260</v>
      </c>
      <c r="C274" s="13">
        <v>46071</v>
      </c>
      <c r="D274" s="17">
        <v>0.66407407407407404</v>
      </c>
      <c r="E274" s="19" t="s">
        <v>2115</v>
      </c>
      <c r="F274" s="19" t="s">
        <v>2116</v>
      </c>
      <c r="G274" s="19" t="s">
        <v>1324</v>
      </c>
      <c r="H274" s="19" t="s">
        <v>1403</v>
      </c>
      <c r="AB274" s="34" t="s">
        <v>1875</v>
      </c>
      <c r="AC274" s="35">
        <v>1</v>
      </c>
    </row>
    <row r="275" spans="1:29" x14ac:dyDescent="0.4">
      <c r="A275" s="15" t="s">
        <v>2117</v>
      </c>
      <c r="B275" s="16" t="s">
        <v>1260</v>
      </c>
      <c r="C275" s="13">
        <v>46071</v>
      </c>
      <c r="D275" s="17">
        <v>0.41616898148148151</v>
      </c>
      <c r="E275" s="16" t="s">
        <v>2118</v>
      </c>
      <c r="F275" s="16" t="s">
        <v>2119</v>
      </c>
      <c r="G275" s="16" t="s">
        <v>1263</v>
      </c>
      <c r="H275" s="16" t="s">
        <v>1264</v>
      </c>
      <c r="AB275" s="34" t="s">
        <v>1585</v>
      </c>
      <c r="AC275" s="35">
        <v>1</v>
      </c>
    </row>
    <row r="276" spans="1:29" x14ac:dyDescent="0.4">
      <c r="A276" s="18" t="s">
        <v>2120</v>
      </c>
      <c r="B276" s="19" t="s">
        <v>1260</v>
      </c>
      <c r="C276" s="13">
        <v>46071</v>
      </c>
      <c r="D276" s="17">
        <v>0.7107175925925926</v>
      </c>
      <c r="E276" s="19" t="s">
        <v>2121</v>
      </c>
      <c r="F276" s="19" t="s">
        <v>2122</v>
      </c>
      <c r="G276" s="19" t="s">
        <v>1263</v>
      </c>
      <c r="H276" s="19" t="s">
        <v>1264</v>
      </c>
      <c r="AB276" s="34" t="s">
        <v>1538</v>
      </c>
      <c r="AC276" s="35">
        <v>1</v>
      </c>
    </row>
    <row r="277" spans="1:29" x14ac:dyDescent="0.4">
      <c r="A277" s="15" t="s">
        <v>2123</v>
      </c>
      <c r="B277" s="16" t="s">
        <v>1260</v>
      </c>
      <c r="C277" s="13">
        <v>46099</v>
      </c>
      <c r="D277" s="17">
        <v>0.56187500000000001</v>
      </c>
      <c r="E277" s="16" t="s">
        <v>2124</v>
      </c>
      <c r="F277" s="16" t="s">
        <v>2125</v>
      </c>
      <c r="G277" s="16" t="s">
        <v>1279</v>
      </c>
      <c r="H277" s="16" t="s">
        <v>1264</v>
      </c>
      <c r="AB277" s="34" t="s">
        <v>2126</v>
      </c>
      <c r="AC277" s="35">
        <v>1</v>
      </c>
    </row>
    <row r="278" spans="1:29" x14ac:dyDescent="0.4">
      <c r="A278" s="18" t="s">
        <v>2126</v>
      </c>
      <c r="B278" s="19" t="s">
        <v>1260</v>
      </c>
      <c r="C278" s="13">
        <v>46099</v>
      </c>
      <c r="D278" s="17">
        <v>0.47037037037037038</v>
      </c>
      <c r="E278" s="19" t="s">
        <v>2127</v>
      </c>
      <c r="F278" s="19" t="s">
        <v>2128</v>
      </c>
      <c r="G278" s="19" t="s">
        <v>1335</v>
      </c>
      <c r="H278" s="19" t="s">
        <v>1264</v>
      </c>
      <c r="AB278" s="34" t="s">
        <v>1648</v>
      </c>
      <c r="AC278" s="35">
        <v>1</v>
      </c>
    </row>
    <row r="279" spans="1:29" x14ac:dyDescent="0.4">
      <c r="A279" s="15" t="s">
        <v>2129</v>
      </c>
      <c r="B279" s="16" t="s">
        <v>1260</v>
      </c>
      <c r="C279" s="13">
        <v>46160</v>
      </c>
      <c r="D279" s="17">
        <v>0.81019675925925927</v>
      </c>
      <c r="E279" s="16" t="s">
        <v>2130</v>
      </c>
      <c r="F279" s="16" t="s">
        <v>2131</v>
      </c>
      <c r="G279" s="16" t="s">
        <v>1263</v>
      </c>
      <c r="H279" s="16" t="s">
        <v>1264</v>
      </c>
      <c r="AB279" s="34" t="s">
        <v>1568</v>
      </c>
      <c r="AC279" s="35">
        <v>1</v>
      </c>
    </row>
    <row r="280" spans="1:29" x14ac:dyDescent="0.4">
      <c r="A280" s="18" t="s">
        <v>2132</v>
      </c>
      <c r="B280" s="19" t="s">
        <v>1260</v>
      </c>
      <c r="C280" s="13">
        <v>46160</v>
      </c>
      <c r="D280" s="17">
        <v>0.64517361111111116</v>
      </c>
      <c r="E280" s="19" t="s">
        <v>2133</v>
      </c>
      <c r="F280" s="19" t="s">
        <v>2134</v>
      </c>
      <c r="G280" s="19" t="s">
        <v>1263</v>
      </c>
      <c r="H280" s="19" t="s">
        <v>1264</v>
      </c>
      <c r="AB280" s="34" t="s">
        <v>1363</v>
      </c>
      <c r="AC280" s="35">
        <v>1</v>
      </c>
    </row>
    <row r="281" spans="1:29" x14ac:dyDescent="0.4">
      <c r="A281" s="15" t="s">
        <v>2135</v>
      </c>
      <c r="B281" s="16" t="s">
        <v>1260</v>
      </c>
      <c r="C281" s="13">
        <v>46160</v>
      </c>
      <c r="D281" s="17">
        <v>0.46902777777777777</v>
      </c>
      <c r="E281" s="16" t="s">
        <v>2136</v>
      </c>
      <c r="F281" s="16" t="s">
        <v>2137</v>
      </c>
      <c r="G281" s="16" t="s">
        <v>1263</v>
      </c>
      <c r="H281" s="16" t="s">
        <v>1264</v>
      </c>
      <c r="AB281" s="34" t="s">
        <v>2568</v>
      </c>
      <c r="AC281" s="35">
        <v>1</v>
      </c>
    </row>
    <row r="282" spans="1:29" x14ac:dyDescent="0.4">
      <c r="A282" s="18" t="s">
        <v>2138</v>
      </c>
      <c r="B282" s="19" t="s">
        <v>1260</v>
      </c>
      <c r="C282" s="13">
        <v>46191</v>
      </c>
      <c r="D282" s="17">
        <v>0.56969907407407405</v>
      </c>
      <c r="E282" s="19" t="s">
        <v>2139</v>
      </c>
      <c r="F282" s="19" t="s">
        <v>2140</v>
      </c>
      <c r="G282" s="19" t="s">
        <v>1279</v>
      </c>
      <c r="H282" s="19" t="s">
        <v>1264</v>
      </c>
      <c r="AB282" s="34" t="s">
        <v>1477</v>
      </c>
      <c r="AC282" s="35">
        <v>1</v>
      </c>
    </row>
    <row r="283" spans="1:29" x14ac:dyDescent="0.4">
      <c r="A283" s="15" t="s">
        <v>2141</v>
      </c>
      <c r="B283" s="16" t="s">
        <v>1260</v>
      </c>
      <c r="C283" s="13">
        <v>46191</v>
      </c>
      <c r="D283" s="17">
        <v>0.45363425925925926</v>
      </c>
      <c r="E283" s="16" t="s">
        <v>2142</v>
      </c>
      <c r="F283" s="16" t="s">
        <v>2143</v>
      </c>
      <c r="G283" s="16" t="s">
        <v>1263</v>
      </c>
      <c r="H283" s="16" t="s">
        <v>1264</v>
      </c>
      <c r="AB283" s="34" t="s">
        <v>2423</v>
      </c>
      <c r="AC283" s="35">
        <v>1</v>
      </c>
    </row>
    <row r="284" spans="1:29" x14ac:dyDescent="0.4">
      <c r="A284" s="18" t="s">
        <v>2144</v>
      </c>
      <c r="B284" s="19" t="s">
        <v>1260</v>
      </c>
      <c r="C284" s="13">
        <v>45856</v>
      </c>
      <c r="D284" s="17">
        <v>0.95818287037037031</v>
      </c>
      <c r="E284" s="19" t="s">
        <v>2145</v>
      </c>
      <c r="F284" s="19" t="s">
        <v>2146</v>
      </c>
      <c r="G284" s="19" t="s">
        <v>1263</v>
      </c>
      <c r="H284" s="19" t="s">
        <v>1264</v>
      </c>
      <c r="AB284" s="34" t="s">
        <v>1666</v>
      </c>
      <c r="AC284" s="35">
        <v>1</v>
      </c>
    </row>
    <row r="285" spans="1:29" x14ac:dyDescent="0.4">
      <c r="A285" s="15" t="s">
        <v>2147</v>
      </c>
      <c r="B285" s="16" t="s">
        <v>1260</v>
      </c>
      <c r="C285" s="13">
        <v>46009</v>
      </c>
      <c r="D285" s="17">
        <v>0.49464120370370374</v>
      </c>
      <c r="E285" s="16" t="s">
        <v>2148</v>
      </c>
      <c r="F285" s="16" t="s">
        <v>2149</v>
      </c>
      <c r="G285" s="16" t="s">
        <v>1263</v>
      </c>
      <c r="H285" s="16" t="s">
        <v>1264</v>
      </c>
      <c r="AB285" s="34" t="s">
        <v>2049</v>
      </c>
      <c r="AC285" s="35">
        <v>1</v>
      </c>
    </row>
    <row r="286" spans="1:29" x14ac:dyDescent="0.4">
      <c r="A286" s="18" t="s">
        <v>2150</v>
      </c>
      <c r="B286" s="19" t="s">
        <v>1260</v>
      </c>
      <c r="C286" s="13">
        <v>46041</v>
      </c>
      <c r="D286" s="17">
        <v>0.53515046296296298</v>
      </c>
      <c r="E286" s="19" t="s">
        <v>2151</v>
      </c>
      <c r="F286" s="19" t="s">
        <v>2152</v>
      </c>
      <c r="G286" s="19" t="s">
        <v>1263</v>
      </c>
      <c r="H286" s="19" t="s">
        <v>1264</v>
      </c>
      <c r="AB286" s="34" t="s">
        <v>1565</v>
      </c>
      <c r="AC286" s="35">
        <v>1</v>
      </c>
    </row>
    <row r="287" spans="1:29" x14ac:dyDescent="0.4">
      <c r="A287" s="15" t="s">
        <v>2153</v>
      </c>
      <c r="B287" s="16" t="s">
        <v>1260</v>
      </c>
      <c r="C287" s="13">
        <v>46072</v>
      </c>
      <c r="D287" s="17">
        <v>0.42119212962962965</v>
      </c>
      <c r="E287" s="16" t="s">
        <v>2154</v>
      </c>
      <c r="F287" s="16" t="s">
        <v>2155</v>
      </c>
      <c r="G287" s="16" t="s">
        <v>1263</v>
      </c>
      <c r="H287" s="16" t="s">
        <v>1264</v>
      </c>
      <c r="AB287" s="34" t="s">
        <v>2580</v>
      </c>
      <c r="AC287" s="35">
        <v>1</v>
      </c>
    </row>
    <row r="288" spans="1:29" x14ac:dyDescent="0.4">
      <c r="A288" s="18" t="s">
        <v>2156</v>
      </c>
      <c r="B288" s="19" t="s">
        <v>1260</v>
      </c>
      <c r="C288" s="13">
        <v>46072</v>
      </c>
      <c r="D288" s="17">
        <v>0.71751157407407407</v>
      </c>
      <c r="E288" s="19" t="s">
        <v>2157</v>
      </c>
      <c r="F288" s="19" t="s">
        <v>2158</v>
      </c>
      <c r="G288" s="19" t="s">
        <v>1263</v>
      </c>
      <c r="H288" s="19" t="s">
        <v>1264</v>
      </c>
      <c r="AB288" s="34" t="s">
        <v>2252</v>
      </c>
      <c r="AC288" s="35">
        <v>1</v>
      </c>
    </row>
    <row r="289" spans="1:29" x14ac:dyDescent="0.4">
      <c r="A289" s="15" t="s">
        <v>2159</v>
      </c>
      <c r="B289" s="16" t="s">
        <v>1260</v>
      </c>
      <c r="C289" s="13">
        <v>46072</v>
      </c>
      <c r="D289" s="17">
        <v>0.4354513888888889</v>
      </c>
      <c r="E289" s="16" t="s">
        <v>2160</v>
      </c>
      <c r="F289" s="16" t="s">
        <v>2161</v>
      </c>
      <c r="G289" s="16" t="s">
        <v>1324</v>
      </c>
      <c r="H289" s="16" t="s">
        <v>1379</v>
      </c>
      <c r="AB289" s="34" t="s">
        <v>2523</v>
      </c>
      <c r="AC289" s="35">
        <v>1</v>
      </c>
    </row>
    <row r="290" spans="1:29" x14ac:dyDescent="0.4">
      <c r="A290" s="18" t="s">
        <v>2162</v>
      </c>
      <c r="B290" s="19" t="s">
        <v>1260</v>
      </c>
      <c r="C290" s="13">
        <v>46072</v>
      </c>
      <c r="D290" s="17">
        <v>0.58570601851851845</v>
      </c>
      <c r="E290" s="19" t="s">
        <v>2163</v>
      </c>
      <c r="F290" s="19" t="s">
        <v>2164</v>
      </c>
      <c r="G290" s="19" t="s">
        <v>1263</v>
      </c>
      <c r="H290" s="19" t="s">
        <v>1264</v>
      </c>
      <c r="AB290" s="34" t="s">
        <v>2138</v>
      </c>
      <c r="AC290" s="35">
        <v>1</v>
      </c>
    </row>
    <row r="291" spans="1:29" x14ac:dyDescent="0.4">
      <c r="A291" s="15" t="s">
        <v>2165</v>
      </c>
      <c r="B291" s="16" t="s">
        <v>1260</v>
      </c>
      <c r="C291" s="13">
        <v>46100</v>
      </c>
      <c r="D291" s="17">
        <v>0.3694675925925926</v>
      </c>
      <c r="E291" s="16" t="s">
        <v>2166</v>
      </c>
      <c r="F291" s="16" t="s">
        <v>2167</v>
      </c>
      <c r="G291" s="16" t="s">
        <v>1279</v>
      </c>
      <c r="H291" s="16" t="s">
        <v>1264</v>
      </c>
      <c r="AB291" s="34" t="s">
        <v>2240</v>
      </c>
      <c r="AC291" s="35">
        <v>1</v>
      </c>
    </row>
    <row r="292" spans="1:29" x14ac:dyDescent="0.4">
      <c r="A292" s="18" t="s">
        <v>2168</v>
      </c>
      <c r="B292" s="19" t="s">
        <v>1260</v>
      </c>
      <c r="C292" s="13">
        <v>46100</v>
      </c>
      <c r="D292" s="17">
        <v>0.87490740740740736</v>
      </c>
      <c r="E292" s="19" t="s">
        <v>2169</v>
      </c>
      <c r="F292" s="19" t="s">
        <v>2170</v>
      </c>
      <c r="G292" s="19" t="s">
        <v>1263</v>
      </c>
      <c r="H292" s="19" t="s">
        <v>1264</v>
      </c>
      <c r="AB292" s="34" t="s">
        <v>2612</v>
      </c>
      <c r="AC292" s="35">
        <v>1</v>
      </c>
    </row>
    <row r="293" spans="1:29" x14ac:dyDescent="0.4">
      <c r="A293" s="15" t="s">
        <v>2171</v>
      </c>
      <c r="B293" s="16" t="s">
        <v>1260</v>
      </c>
      <c r="C293" s="13">
        <v>46100</v>
      </c>
      <c r="D293" s="17">
        <v>0.49438657407407405</v>
      </c>
      <c r="E293" s="16" t="s">
        <v>2172</v>
      </c>
      <c r="F293" s="16" t="s">
        <v>2173</v>
      </c>
      <c r="G293" s="16" t="s">
        <v>1263</v>
      </c>
      <c r="H293" s="16" t="s">
        <v>1264</v>
      </c>
      <c r="AB293" s="34" t="s">
        <v>1744</v>
      </c>
      <c r="AC293" s="35">
        <v>1</v>
      </c>
    </row>
    <row r="294" spans="1:29" x14ac:dyDescent="0.4">
      <c r="A294" s="18" t="s">
        <v>2174</v>
      </c>
      <c r="B294" s="19" t="s">
        <v>1260</v>
      </c>
      <c r="C294" s="13">
        <v>46131</v>
      </c>
      <c r="D294" s="17">
        <v>0.79929398148148145</v>
      </c>
      <c r="E294" s="19" t="s">
        <v>2175</v>
      </c>
      <c r="F294" s="19" t="s">
        <v>2176</v>
      </c>
      <c r="G294" s="19" t="s">
        <v>1279</v>
      </c>
      <c r="H294" s="19" t="s">
        <v>1264</v>
      </c>
      <c r="AB294" s="34" t="s">
        <v>2698</v>
      </c>
      <c r="AC294" s="35">
        <v>1</v>
      </c>
    </row>
    <row r="295" spans="1:29" x14ac:dyDescent="0.4">
      <c r="A295" s="15" t="s">
        <v>2177</v>
      </c>
      <c r="B295" s="16" t="s">
        <v>1260</v>
      </c>
      <c r="C295" s="13">
        <v>45796</v>
      </c>
      <c r="D295" s="17">
        <v>0.55760416666666668</v>
      </c>
      <c r="E295" s="16" t="s">
        <v>2178</v>
      </c>
      <c r="F295" s="16" t="s">
        <v>2179</v>
      </c>
      <c r="G295" s="16" t="s">
        <v>1263</v>
      </c>
      <c r="H295" s="16" t="s">
        <v>1264</v>
      </c>
      <c r="AB295" s="34" t="s">
        <v>1872</v>
      </c>
      <c r="AC295" s="35">
        <v>1</v>
      </c>
    </row>
    <row r="296" spans="1:29" x14ac:dyDescent="0.4">
      <c r="A296" s="18" t="s">
        <v>2180</v>
      </c>
      <c r="B296" s="19" t="s">
        <v>1260</v>
      </c>
      <c r="C296" s="13">
        <v>46161</v>
      </c>
      <c r="D296" s="17">
        <v>0.54927083333333326</v>
      </c>
      <c r="E296" s="19" t="s">
        <v>2181</v>
      </c>
      <c r="F296" s="19" t="s">
        <v>2182</v>
      </c>
      <c r="G296" s="19" t="s">
        <v>1263</v>
      </c>
      <c r="H296" s="19" t="s">
        <v>1264</v>
      </c>
      <c r="AB296" s="34" t="s">
        <v>1597</v>
      </c>
      <c r="AC296" s="35">
        <v>1</v>
      </c>
    </row>
    <row r="297" spans="1:29" x14ac:dyDescent="0.4">
      <c r="A297" s="15" t="s">
        <v>2183</v>
      </c>
      <c r="B297" s="16" t="s">
        <v>1260</v>
      </c>
      <c r="C297" s="13">
        <v>46161</v>
      </c>
      <c r="D297" s="17">
        <v>0.60770833333333341</v>
      </c>
      <c r="E297" s="16" t="s">
        <v>2184</v>
      </c>
      <c r="F297" s="16" t="s">
        <v>2185</v>
      </c>
      <c r="G297" s="16" t="s">
        <v>1263</v>
      </c>
      <c r="H297" s="16" t="s">
        <v>1264</v>
      </c>
      <c r="AB297" s="34" t="s">
        <v>1347</v>
      </c>
      <c r="AC297" s="35">
        <v>1</v>
      </c>
    </row>
    <row r="298" spans="1:29" x14ac:dyDescent="0.4">
      <c r="A298" s="18" t="s">
        <v>2186</v>
      </c>
      <c r="B298" s="19" t="s">
        <v>1260</v>
      </c>
      <c r="C298" s="13">
        <v>46161</v>
      </c>
      <c r="D298" s="17">
        <v>0.47598379629629628</v>
      </c>
      <c r="E298" s="19" t="s">
        <v>2187</v>
      </c>
      <c r="F298" s="19" t="s">
        <v>2188</v>
      </c>
      <c r="G298" s="19" t="s">
        <v>1275</v>
      </c>
      <c r="H298" s="19" t="s">
        <v>1264</v>
      </c>
      <c r="AB298" s="34" t="s">
        <v>1312</v>
      </c>
      <c r="AC298" s="35">
        <v>1</v>
      </c>
    </row>
    <row r="299" spans="1:29" x14ac:dyDescent="0.4">
      <c r="A299" s="15" t="s">
        <v>2189</v>
      </c>
      <c r="B299" s="16" t="s">
        <v>1260</v>
      </c>
      <c r="C299" s="13">
        <v>46161</v>
      </c>
      <c r="D299" s="17">
        <v>0.43283564814814812</v>
      </c>
      <c r="E299" s="16" t="s">
        <v>2190</v>
      </c>
      <c r="F299" s="16" t="s">
        <v>2191</v>
      </c>
      <c r="G299" s="16" t="s">
        <v>1279</v>
      </c>
      <c r="H299" s="16" t="s">
        <v>1264</v>
      </c>
      <c r="AB299" s="34" t="s">
        <v>1723</v>
      </c>
      <c r="AC299" s="35">
        <v>1</v>
      </c>
    </row>
    <row r="300" spans="1:29" x14ac:dyDescent="0.4">
      <c r="A300" s="18" t="s">
        <v>2192</v>
      </c>
      <c r="B300" s="19" t="s">
        <v>1260</v>
      </c>
      <c r="C300" s="13">
        <v>46161</v>
      </c>
      <c r="D300" s="17">
        <v>0.63906249999999998</v>
      </c>
      <c r="E300" s="19" t="s">
        <v>2193</v>
      </c>
      <c r="F300" s="19" t="s">
        <v>2194</v>
      </c>
      <c r="G300" s="19" t="s">
        <v>1263</v>
      </c>
      <c r="H300" s="19" t="s">
        <v>1264</v>
      </c>
      <c r="AB300" s="34" t="s">
        <v>1750</v>
      </c>
      <c r="AC300" s="35">
        <v>1</v>
      </c>
    </row>
    <row r="301" spans="1:29" x14ac:dyDescent="0.4">
      <c r="A301" s="15" t="s">
        <v>2195</v>
      </c>
      <c r="B301" s="16" t="s">
        <v>1260</v>
      </c>
      <c r="C301" s="13">
        <v>46192</v>
      </c>
      <c r="D301" s="17">
        <v>0.38351851851851854</v>
      </c>
      <c r="E301" s="16" t="s">
        <v>2196</v>
      </c>
      <c r="F301" s="16" t="s">
        <v>2197</v>
      </c>
      <c r="G301" s="16" t="s">
        <v>1263</v>
      </c>
      <c r="H301" s="16" t="s">
        <v>1264</v>
      </c>
      <c r="AB301" s="34" t="s">
        <v>2034</v>
      </c>
      <c r="AC301" s="35">
        <v>1</v>
      </c>
    </row>
    <row r="302" spans="1:29" x14ac:dyDescent="0.4">
      <c r="A302" s="18" t="s">
        <v>2198</v>
      </c>
      <c r="B302" s="19" t="s">
        <v>1260</v>
      </c>
      <c r="C302" s="13">
        <v>46222</v>
      </c>
      <c r="D302" s="17">
        <v>0.69612268518518527</v>
      </c>
      <c r="E302" s="19" t="s">
        <v>2199</v>
      </c>
      <c r="F302" s="19" t="s">
        <v>2200</v>
      </c>
      <c r="G302" s="19" t="s">
        <v>1263</v>
      </c>
      <c r="H302" s="19" t="s">
        <v>1264</v>
      </c>
      <c r="AB302" s="34" t="s">
        <v>2721</v>
      </c>
      <c r="AC302" s="35">
        <v>1</v>
      </c>
    </row>
    <row r="303" spans="1:29" x14ac:dyDescent="0.4">
      <c r="A303" s="15" t="s">
        <v>2201</v>
      </c>
      <c r="B303" s="16" t="s">
        <v>1260</v>
      </c>
      <c r="C303" s="13">
        <v>45888</v>
      </c>
      <c r="D303" s="17">
        <v>0.62123842592592593</v>
      </c>
      <c r="E303" s="16" t="s">
        <v>2202</v>
      </c>
      <c r="F303" s="16" t="s">
        <v>2203</v>
      </c>
      <c r="G303" s="16" t="s">
        <v>1279</v>
      </c>
      <c r="H303" s="16" t="s">
        <v>1264</v>
      </c>
      <c r="AB303" s="34" t="s">
        <v>1684</v>
      </c>
      <c r="AC303" s="35">
        <v>1</v>
      </c>
    </row>
    <row r="304" spans="1:29" x14ac:dyDescent="0.4">
      <c r="A304" s="18" t="s">
        <v>2204</v>
      </c>
      <c r="B304" s="19" t="s">
        <v>1260</v>
      </c>
      <c r="C304" s="13">
        <v>45919</v>
      </c>
      <c r="D304" s="17">
        <v>0.67586805555555562</v>
      </c>
      <c r="E304" s="19" t="s">
        <v>2205</v>
      </c>
      <c r="F304" s="19" t="s">
        <v>2206</v>
      </c>
      <c r="G304" s="19" t="s">
        <v>1263</v>
      </c>
      <c r="H304" s="19" t="s">
        <v>1264</v>
      </c>
      <c r="AB304" s="34" t="s">
        <v>2591</v>
      </c>
      <c r="AC304" s="35">
        <v>1</v>
      </c>
    </row>
    <row r="305" spans="1:29" x14ac:dyDescent="0.4">
      <c r="A305" s="15" t="s">
        <v>2207</v>
      </c>
      <c r="B305" s="16" t="s">
        <v>1260</v>
      </c>
      <c r="C305" s="13">
        <v>45615</v>
      </c>
      <c r="D305" s="17">
        <v>0.69983796296296286</v>
      </c>
      <c r="E305" s="16" t="s">
        <v>2208</v>
      </c>
      <c r="F305" s="16" t="s">
        <v>2209</v>
      </c>
      <c r="G305" s="16" t="s">
        <v>1263</v>
      </c>
      <c r="H305" s="16" t="s">
        <v>1264</v>
      </c>
      <c r="AB305" s="34" t="s">
        <v>1280</v>
      </c>
      <c r="AC305" s="35">
        <v>1</v>
      </c>
    </row>
    <row r="306" spans="1:29" x14ac:dyDescent="0.4">
      <c r="A306" s="18" t="s">
        <v>2210</v>
      </c>
      <c r="B306" s="19" t="s">
        <v>1260</v>
      </c>
      <c r="C306" s="13">
        <v>46010</v>
      </c>
      <c r="D306" s="17">
        <v>0.80309027777777775</v>
      </c>
      <c r="E306" s="19" t="s">
        <v>2211</v>
      </c>
      <c r="F306" s="19" t="s">
        <v>2212</v>
      </c>
      <c r="G306" s="19" t="s">
        <v>1263</v>
      </c>
      <c r="H306" s="19" t="s">
        <v>1264</v>
      </c>
      <c r="AB306" s="34" t="s">
        <v>1520</v>
      </c>
      <c r="AC306" s="35">
        <v>1</v>
      </c>
    </row>
    <row r="307" spans="1:29" x14ac:dyDescent="0.4">
      <c r="A307" s="15" t="s">
        <v>2213</v>
      </c>
      <c r="B307" s="16" t="s">
        <v>1260</v>
      </c>
      <c r="C307" s="13">
        <v>46042</v>
      </c>
      <c r="D307" s="17">
        <v>0.70251157407407405</v>
      </c>
      <c r="E307" s="16" t="s">
        <v>2214</v>
      </c>
      <c r="F307" s="16" t="s">
        <v>2215</v>
      </c>
      <c r="G307" s="16" t="s">
        <v>1279</v>
      </c>
      <c r="H307" s="16" t="s">
        <v>1264</v>
      </c>
      <c r="AB307" s="34" t="s">
        <v>1932</v>
      </c>
      <c r="AC307" s="35">
        <v>1</v>
      </c>
    </row>
    <row r="308" spans="1:29" x14ac:dyDescent="0.4">
      <c r="A308" s="18" t="s">
        <v>2216</v>
      </c>
      <c r="B308" s="19" t="s">
        <v>1260</v>
      </c>
      <c r="C308" s="13">
        <v>46042</v>
      </c>
      <c r="D308" s="17">
        <v>0.74064814814814817</v>
      </c>
      <c r="E308" s="19" t="s">
        <v>2217</v>
      </c>
      <c r="F308" s="19" t="s">
        <v>2218</v>
      </c>
      <c r="G308" s="19" t="s">
        <v>1263</v>
      </c>
      <c r="H308" s="19" t="s">
        <v>1264</v>
      </c>
      <c r="AB308" s="34" t="s">
        <v>2282</v>
      </c>
      <c r="AC308" s="35">
        <v>1</v>
      </c>
    </row>
    <row r="309" spans="1:29" x14ac:dyDescent="0.4">
      <c r="A309" s="15" t="s">
        <v>2219</v>
      </c>
      <c r="B309" s="16" t="s">
        <v>1260</v>
      </c>
      <c r="C309" s="13">
        <v>46042</v>
      </c>
      <c r="D309" s="17">
        <v>0.73166666666666658</v>
      </c>
      <c r="E309" s="16" t="s">
        <v>2220</v>
      </c>
      <c r="F309" s="16" t="s">
        <v>2221</v>
      </c>
      <c r="G309" s="16" t="s">
        <v>1263</v>
      </c>
      <c r="H309" s="16" t="s">
        <v>1264</v>
      </c>
      <c r="AB309" s="34" t="s">
        <v>2674</v>
      </c>
      <c r="AC309" s="35">
        <v>1</v>
      </c>
    </row>
    <row r="310" spans="1:29" x14ac:dyDescent="0.4">
      <c r="A310" s="18" t="s">
        <v>2222</v>
      </c>
      <c r="B310" s="19" t="s">
        <v>1260</v>
      </c>
      <c r="C310" s="13">
        <v>46042</v>
      </c>
      <c r="D310" s="17">
        <v>0.55420138888888892</v>
      </c>
      <c r="E310" s="19" t="s">
        <v>2223</v>
      </c>
      <c r="F310" s="19" t="s">
        <v>2224</v>
      </c>
      <c r="G310" s="19" t="s">
        <v>1263</v>
      </c>
      <c r="H310" s="19" t="s">
        <v>1264</v>
      </c>
      <c r="AB310" s="34" t="s">
        <v>1714</v>
      </c>
      <c r="AC310" s="35">
        <v>1</v>
      </c>
    </row>
    <row r="311" spans="1:29" x14ac:dyDescent="0.4">
      <c r="A311" s="15" t="s">
        <v>2225</v>
      </c>
      <c r="B311" s="16" t="s">
        <v>1260</v>
      </c>
      <c r="C311" s="13">
        <v>46042</v>
      </c>
      <c r="D311" s="17">
        <v>0.43684027777777779</v>
      </c>
      <c r="E311" s="16" t="s">
        <v>2226</v>
      </c>
      <c r="F311" s="16" t="s">
        <v>2227</v>
      </c>
      <c r="G311" s="16" t="s">
        <v>1263</v>
      </c>
      <c r="H311" s="16" t="s">
        <v>1264</v>
      </c>
      <c r="AB311" s="34" t="s">
        <v>2156</v>
      </c>
      <c r="AC311" s="35">
        <v>1</v>
      </c>
    </row>
    <row r="312" spans="1:29" x14ac:dyDescent="0.4">
      <c r="A312" s="18" t="s">
        <v>2228</v>
      </c>
      <c r="B312" s="19" t="s">
        <v>1260</v>
      </c>
      <c r="C312" s="13">
        <v>46073</v>
      </c>
      <c r="D312" s="17">
        <v>0.52008101851851851</v>
      </c>
      <c r="E312" s="19" t="s">
        <v>2229</v>
      </c>
      <c r="F312" s="19" t="s">
        <v>2230</v>
      </c>
      <c r="G312" s="19" t="s">
        <v>1268</v>
      </c>
      <c r="H312" s="19" t="s">
        <v>1264</v>
      </c>
      <c r="AB312" s="34" t="s">
        <v>1259</v>
      </c>
      <c r="AC312" s="35">
        <v>1</v>
      </c>
    </row>
    <row r="313" spans="1:29" x14ac:dyDescent="0.4">
      <c r="A313" s="15" t="s">
        <v>2231</v>
      </c>
      <c r="B313" s="16" t="s">
        <v>1260</v>
      </c>
      <c r="C313" s="13">
        <v>46073</v>
      </c>
      <c r="D313" s="17">
        <v>0.89763888888888888</v>
      </c>
      <c r="E313" s="16" t="s">
        <v>2232</v>
      </c>
      <c r="F313" s="16" t="s">
        <v>2233</v>
      </c>
      <c r="G313" s="16" t="s">
        <v>1263</v>
      </c>
      <c r="H313" s="16" t="s">
        <v>1264</v>
      </c>
      <c r="AB313" s="34" t="s">
        <v>2129</v>
      </c>
      <c r="AC313" s="35">
        <v>1</v>
      </c>
    </row>
    <row r="314" spans="1:29" x14ac:dyDescent="0.4">
      <c r="A314" s="18" t="s">
        <v>2234</v>
      </c>
      <c r="B314" s="19" t="s">
        <v>1260</v>
      </c>
      <c r="C314" s="13">
        <v>46101</v>
      </c>
      <c r="D314" s="17">
        <v>0.64362268518518517</v>
      </c>
      <c r="E314" s="19" t="s">
        <v>2235</v>
      </c>
      <c r="F314" s="19" t="s">
        <v>2236</v>
      </c>
      <c r="G314" s="19" t="s">
        <v>1279</v>
      </c>
      <c r="H314" s="19" t="s">
        <v>1264</v>
      </c>
      <c r="AB314" s="34" t="s">
        <v>2470</v>
      </c>
      <c r="AC314" s="35">
        <v>1</v>
      </c>
    </row>
    <row r="315" spans="1:29" x14ac:dyDescent="0.4">
      <c r="A315" s="15" t="s">
        <v>2237</v>
      </c>
      <c r="B315" s="16" t="s">
        <v>1260</v>
      </c>
      <c r="C315" s="13">
        <v>46101</v>
      </c>
      <c r="D315" s="17">
        <v>0.99657407407407417</v>
      </c>
      <c r="E315" s="16" t="s">
        <v>2238</v>
      </c>
      <c r="F315" s="16" t="s">
        <v>2239</v>
      </c>
      <c r="G315" s="16" t="s">
        <v>1275</v>
      </c>
      <c r="H315" s="16" t="s">
        <v>1264</v>
      </c>
      <c r="AB315" s="34" t="s">
        <v>1917</v>
      </c>
      <c r="AC315" s="35">
        <v>1</v>
      </c>
    </row>
    <row r="316" spans="1:29" x14ac:dyDescent="0.4">
      <c r="A316" s="18" t="s">
        <v>2240</v>
      </c>
      <c r="B316" s="19" t="s">
        <v>1260</v>
      </c>
      <c r="C316" s="13">
        <v>46132</v>
      </c>
      <c r="D316" s="17">
        <v>0.65262731481481484</v>
      </c>
      <c r="E316" s="19" t="s">
        <v>2241</v>
      </c>
      <c r="F316" s="19" t="s">
        <v>2242</v>
      </c>
      <c r="G316" s="19" t="s">
        <v>1263</v>
      </c>
      <c r="H316" s="19" t="s">
        <v>1264</v>
      </c>
      <c r="AB316" s="34" t="s">
        <v>2168</v>
      </c>
      <c r="AC316" s="35">
        <v>1</v>
      </c>
    </row>
    <row r="317" spans="1:29" x14ac:dyDescent="0.4">
      <c r="A317" s="15" t="s">
        <v>2243</v>
      </c>
      <c r="B317" s="16" t="s">
        <v>1260</v>
      </c>
      <c r="C317" s="13">
        <v>46132</v>
      </c>
      <c r="D317" s="17">
        <v>0.31363425925925925</v>
      </c>
      <c r="E317" s="16" t="s">
        <v>2244</v>
      </c>
      <c r="F317" s="16" t="s">
        <v>2245</v>
      </c>
      <c r="G317" s="16" t="s">
        <v>1263</v>
      </c>
      <c r="H317" s="16" t="s">
        <v>1264</v>
      </c>
      <c r="AB317" s="34" t="s">
        <v>1794</v>
      </c>
      <c r="AC317" s="35">
        <v>1</v>
      </c>
    </row>
    <row r="318" spans="1:29" x14ac:dyDescent="0.4">
      <c r="A318" s="18" t="s">
        <v>2246</v>
      </c>
      <c r="B318" s="19" t="s">
        <v>1260</v>
      </c>
      <c r="C318" s="13">
        <v>46162</v>
      </c>
      <c r="D318" s="17">
        <v>0.45447916666666671</v>
      </c>
      <c r="E318" s="19" t="s">
        <v>2247</v>
      </c>
      <c r="F318" s="19" t="s">
        <v>2248</v>
      </c>
      <c r="G318" s="19" t="s">
        <v>1263</v>
      </c>
      <c r="H318" s="19" t="s">
        <v>1264</v>
      </c>
      <c r="AB318" s="34" t="s">
        <v>2438</v>
      </c>
      <c r="AC318" s="35">
        <v>1</v>
      </c>
    </row>
    <row r="319" spans="1:29" x14ac:dyDescent="0.4">
      <c r="A319" s="15" t="s">
        <v>2249</v>
      </c>
      <c r="B319" s="16" t="s">
        <v>1260</v>
      </c>
      <c r="C319" s="13">
        <v>46162</v>
      </c>
      <c r="D319" s="17">
        <v>0.55846064814814811</v>
      </c>
      <c r="E319" s="16" t="s">
        <v>2250</v>
      </c>
      <c r="F319" s="16" t="s">
        <v>2251</v>
      </c>
      <c r="G319" s="16" t="s">
        <v>1279</v>
      </c>
      <c r="H319" s="16" t="s">
        <v>1264</v>
      </c>
      <c r="AB319" s="34" t="s">
        <v>2514</v>
      </c>
      <c r="AC319" s="35">
        <v>1</v>
      </c>
    </row>
    <row r="320" spans="1:29" x14ac:dyDescent="0.4">
      <c r="A320" s="18" t="s">
        <v>2252</v>
      </c>
      <c r="B320" s="19" t="s">
        <v>1260</v>
      </c>
      <c r="C320" s="13">
        <v>46162</v>
      </c>
      <c r="D320" s="17">
        <v>0.44296296296296295</v>
      </c>
      <c r="E320" s="19" t="s">
        <v>2253</v>
      </c>
      <c r="F320" s="19" t="s">
        <v>2254</v>
      </c>
      <c r="G320" s="19" t="s">
        <v>1335</v>
      </c>
      <c r="H320" s="19" t="s">
        <v>1264</v>
      </c>
      <c r="AB320" s="34" t="s">
        <v>1878</v>
      </c>
      <c r="AC320" s="35">
        <v>1</v>
      </c>
    </row>
    <row r="321" spans="1:29" x14ac:dyDescent="0.4">
      <c r="A321" s="15" t="s">
        <v>2255</v>
      </c>
      <c r="B321" s="16" t="s">
        <v>1260</v>
      </c>
      <c r="C321" s="13">
        <v>46162</v>
      </c>
      <c r="D321" s="17">
        <v>0.53553240740740737</v>
      </c>
      <c r="E321" s="16" t="s">
        <v>2256</v>
      </c>
      <c r="F321" s="16" t="s">
        <v>2257</v>
      </c>
      <c r="G321" s="16" t="s">
        <v>1263</v>
      </c>
      <c r="H321" s="16" t="s">
        <v>1264</v>
      </c>
      <c r="AB321" s="34" t="s">
        <v>1359</v>
      </c>
      <c r="AC321" s="35">
        <v>1</v>
      </c>
    </row>
    <row r="322" spans="1:29" x14ac:dyDescent="0.4">
      <c r="A322" s="18" t="s">
        <v>2258</v>
      </c>
      <c r="B322" s="19" t="s">
        <v>1260</v>
      </c>
      <c r="C322" s="13">
        <v>46162</v>
      </c>
      <c r="D322" s="17">
        <v>0.44395833333333329</v>
      </c>
      <c r="E322" s="19" t="s">
        <v>2259</v>
      </c>
      <c r="F322" s="19" t="s">
        <v>2260</v>
      </c>
      <c r="G322" s="19" t="s">
        <v>1279</v>
      </c>
      <c r="H322" s="19" t="s">
        <v>1264</v>
      </c>
      <c r="AB322" s="34" t="s">
        <v>1812</v>
      </c>
      <c r="AC322" s="35">
        <v>1</v>
      </c>
    </row>
    <row r="323" spans="1:29" x14ac:dyDescent="0.4">
      <c r="A323" s="15" t="s">
        <v>2261</v>
      </c>
      <c r="B323" s="16" t="s">
        <v>1260</v>
      </c>
      <c r="C323" s="13">
        <v>46162</v>
      </c>
      <c r="D323" s="17">
        <v>0.35523148148148148</v>
      </c>
      <c r="E323" s="16" t="s">
        <v>2262</v>
      </c>
      <c r="F323" s="16" t="s">
        <v>2263</v>
      </c>
      <c r="G323" s="16" t="s">
        <v>1263</v>
      </c>
      <c r="H323" s="16" t="s">
        <v>1264</v>
      </c>
      <c r="AB323" s="34" t="s">
        <v>2016</v>
      </c>
      <c r="AC323" s="35">
        <v>1</v>
      </c>
    </row>
    <row r="324" spans="1:29" x14ac:dyDescent="0.4">
      <c r="A324" s="18" t="s">
        <v>2264</v>
      </c>
      <c r="B324" s="19" t="s">
        <v>1260</v>
      </c>
      <c r="C324" s="13">
        <v>46193</v>
      </c>
      <c r="D324" s="17">
        <v>0.67596064814814805</v>
      </c>
      <c r="E324" s="19" t="s">
        <v>2265</v>
      </c>
      <c r="F324" s="19" t="s">
        <v>2266</v>
      </c>
      <c r="G324" s="19" t="s">
        <v>1263</v>
      </c>
      <c r="H324" s="19" t="s">
        <v>1264</v>
      </c>
      <c r="AB324" s="34" t="s">
        <v>2565</v>
      </c>
      <c r="AC324" s="35">
        <v>1</v>
      </c>
    </row>
    <row r="325" spans="1:29" x14ac:dyDescent="0.4">
      <c r="A325" s="15" t="s">
        <v>2267</v>
      </c>
      <c r="B325" s="16" t="s">
        <v>1260</v>
      </c>
      <c r="C325" s="13">
        <v>46193</v>
      </c>
      <c r="D325" s="17">
        <v>0.66533564814814816</v>
      </c>
      <c r="E325" s="16" t="s">
        <v>2268</v>
      </c>
      <c r="F325" s="16" t="s">
        <v>2269</v>
      </c>
      <c r="G325" s="16" t="s">
        <v>1263</v>
      </c>
      <c r="H325" s="16" t="s">
        <v>1264</v>
      </c>
      <c r="AB325" s="34" t="s">
        <v>1947</v>
      </c>
      <c r="AC325" s="35">
        <v>1</v>
      </c>
    </row>
    <row r="326" spans="1:29" x14ac:dyDescent="0.4">
      <c r="A326" s="18" t="s">
        <v>2270</v>
      </c>
      <c r="B326" s="19" t="s">
        <v>1260</v>
      </c>
      <c r="C326" s="13">
        <v>46223</v>
      </c>
      <c r="D326" s="17">
        <v>0.3901041666666667</v>
      </c>
      <c r="E326" s="19" t="s">
        <v>2271</v>
      </c>
      <c r="F326" s="19" t="s">
        <v>2272</v>
      </c>
      <c r="G326" s="19" t="s">
        <v>1263</v>
      </c>
      <c r="H326" s="19" t="s">
        <v>1264</v>
      </c>
      <c r="AB326" s="34" t="s">
        <v>1624</v>
      </c>
      <c r="AC326" s="35">
        <v>1</v>
      </c>
    </row>
    <row r="327" spans="1:29" x14ac:dyDescent="0.4">
      <c r="A327" s="15" t="s">
        <v>2273</v>
      </c>
      <c r="B327" s="16" t="s">
        <v>1260</v>
      </c>
      <c r="C327" s="13">
        <v>46223</v>
      </c>
      <c r="D327" s="17">
        <v>0.49449074074074079</v>
      </c>
      <c r="E327" s="16" t="s">
        <v>2274</v>
      </c>
      <c r="F327" s="16" t="s">
        <v>2275</v>
      </c>
      <c r="G327" s="16" t="s">
        <v>1268</v>
      </c>
      <c r="H327" s="16" t="s">
        <v>1264</v>
      </c>
      <c r="AB327" s="34" t="s">
        <v>1893</v>
      </c>
      <c r="AC327" s="35">
        <v>1</v>
      </c>
    </row>
    <row r="328" spans="1:29" x14ac:dyDescent="0.4">
      <c r="A328" s="18" t="s">
        <v>2276</v>
      </c>
      <c r="B328" s="19" t="s">
        <v>1260</v>
      </c>
      <c r="C328" s="13">
        <v>46223</v>
      </c>
      <c r="D328" s="17">
        <v>0.11726851851851851</v>
      </c>
      <c r="E328" s="19" t="s">
        <v>2277</v>
      </c>
      <c r="F328" s="19" t="s">
        <v>2278</v>
      </c>
      <c r="G328" s="19" t="s">
        <v>1263</v>
      </c>
      <c r="H328" s="19" t="s">
        <v>1264</v>
      </c>
      <c r="AB328" s="34" t="s">
        <v>2004</v>
      </c>
      <c r="AC328" s="35">
        <v>1</v>
      </c>
    </row>
    <row r="329" spans="1:29" x14ac:dyDescent="0.4">
      <c r="A329" s="15" t="s">
        <v>2279</v>
      </c>
      <c r="B329" s="16" t="s">
        <v>1260</v>
      </c>
      <c r="C329" s="13">
        <v>45646</v>
      </c>
      <c r="D329" s="17">
        <v>0.42531249999999998</v>
      </c>
      <c r="E329" s="16" t="s">
        <v>2280</v>
      </c>
      <c r="F329" s="16" t="s">
        <v>2281</v>
      </c>
      <c r="G329" s="16" t="s">
        <v>1263</v>
      </c>
      <c r="H329" s="16" t="s">
        <v>1264</v>
      </c>
      <c r="AB329" s="34" t="s">
        <v>2742</v>
      </c>
      <c r="AC329" s="35">
        <v>1</v>
      </c>
    </row>
    <row r="330" spans="1:29" x14ac:dyDescent="0.4">
      <c r="A330" s="18" t="s">
        <v>2282</v>
      </c>
      <c r="B330" s="19" t="s">
        <v>1260</v>
      </c>
      <c r="C330" s="13">
        <v>46043</v>
      </c>
      <c r="D330" s="17">
        <v>0.46565972222222224</v>
      </c>
      <c r="E330" s="19" t="s">
        <v>2283</v>
      </c>
      <c r="F330" s="19" t="s">
        <v>2284</v>
      </c>
      <c r="G330" s="19" t="s">
        <v>1263</v>
      </c>
      <c r="H330" s="19" t="s">
        <v>1264</v>
      </c>
      <c r="AB330" s="34" t="s">
        <v>1956</v>
      </c>
      <c r="AC330" s="35">
        <v>1</v>
      </c>
    </row>
    <row r="331" spans="1:29" x14ac:dyDescent="0.4">
      <c r="A331" s="15" t="s">
        <v>2285</v>
      </c>
      <c r="B331" s="16" t="s">
        <v>1260</v>
      </c>
      <c r="C331" s="13">
        <v>46043</v>
      </c>
      <c r="D331" s="17">
        <v>0.74190972222222218</v>
      </c>
      <c r="E331" s="16" t="s">
        <v>2286</v>
      </c>
      <c r="F331" s="16" t="s">
        <v>2287</v>
      </c>
      <c r="G331" s="16" t="s">
        <v>1263</v>
      </c>
      <c r="H331" s="16" t="s">
        <v>1264</v>
      </c>
      <c r="AB331" s="34" t="s">
        <v>2291</v>
      </c>
      <c r="AC331" s="35">
        <v>1</v>
      </c>
    </row>
    <row r="332" spans="1:29" x14ac:dyDescent="0.4">
      <c r="A332" s="18" t="s">
        <v>2288</v>
      </c>
      <c r="B332" s="19" t="s">
        <v>1260</v>
      </c>
      <c r="C332" s="13">
        <v>46043</v>
      </c>
      <c r="D332" s="17">
        <v>0.96224537037037028</v>
      </c>
      <c r="E332" s="19" t="s">
        <v>2289</v>
      </c>
      <c r="F332" s="19" t="s">
        <v>2290</v>
      </c>
      <c r="G332" s="19" t="s">
        <v>1263</v>
      </c>
      <c r="H332" s="19" t="s">
        <v>1264</v>
      </c>
      <c r="AB332" s="34" t="s">
        <v>2429</v>
      </c>
      <c r="AC332" s="35">
        <v>1</v>
      </c>
    </row>
    <row r="333" spans="1:29" x14ac:dyDescent="0.4">
      <c r="A333" s="15" t="s">
        <v>2291</v>
      </c>
      <c r="B333" s="16" t="s">
        <v>1260</v>
      </c>
      <c r="C333" s="13">
        <v>46043</v>
      </c>
      <c r="D333" s="17">
        <v>0.49486111111111114</v>
      </c>
      <c r="E333" s="16" t="s">
        <v>2292</v>
      </c>
      <c r="F333" s="16" t="s">
        <v>2293</v>
      </c>
      <c r="G333" s="16" t="s">
        <v>1263</v>
      </c>
      <c r="H333" s="16" t="s">
        <v>1264</v>
      </c>
      <c r="AB333" s="34" t="s">
        <v>1404</v>
      </c>
      <c r="AC333" s="35">
        <v>1</v>
      </c>
    </row>
    <row r="334" spans="1:29" x14ac:dyDescent="0.4">
      <c r="A334" s="18" t="s">
        <v>2294</v>
      </c>
      <c r="B334" s="19" t="s">
        <v>1260</v>
      </c>
      <c r="C334" s="13">
        <v>46074</v>
      </c>
      <c r="D334" s="17">
        <v>0.62689814814814815</v>
      </c>
      <c r="E334" s="19" t="s">
        <v>2295</v>
      </c>
      <c r="F334" s="19" t="s">
        <v>2296</v>
      </c>
      <c r="G334" s="19" t="s">
        <v>1263</v>
      </c>
      <c r="H334" s="19" t="s">
        <v>1264</v>
      </c>
      <c r="AB334" s="34" t="s">
        <v>2615</v>
      </c>
      <c r="AC334" s="35">
        <v>1</v>
      </c>
    </row>
    <row r="335" spans="1:29" x14ac:dyDescent="0.4">
      <c r="A335" s="15" t="s">
        <v>2297</v>
      </c>
      <c r="B335" s="16" t="s">
        <v>1260</v>
      </c>
      <c r="C335" s="13">
        <v>46133</v>
      </c>
      <c r="D335" s="17">
        <v>0.54902777777777778</v>
      </c>
      <c r="E335" s="16" t="s">
        <v>2298</v>
      </c>
      <c r="F335" s="16" t="s">
        <v>2299</v>
      </c>
      <c r="G335" s="16" t="s">
        <v>1263</v>
      </c>
      <c r="H335" s="16" t="s">
        <v>1264</v>
      </c>
      <c r="AB335" s="34" t="s">
        <v>1544</v>
      </c>
      <c r="AC335" s="35">
        <v>1</v>
      </c>
    </row>
    <row r="336" spans="1:29" x14ac:dyDescent="0.4">
      <c r="A336" s="18" t="s">
        <v>2300</v>
      </c>
      <c r="B336" s="19" t="s">
        <v>1260</v>
      </c>
      <c r="C336" s="13">
        <v>45433</v>
      </c>
      <c r="D336" s="17">
        <v>0.55062500000000003</v>
      </c>
      <c r="E336" s="19" t="s">
        <v>2301</v>
      </c>
      <c r="F336" s="19" t="s">
        <v>2302</v>
      </c>
      <c r="G336" s="19" t="s">
        <v>1263</v>
      </c>
      <c r="H336" s="19" t="s">
        <v>1264</v>
      </c>
      <c r="AB336" s="34" t="s">
        <v>1485</v>
      </c>
      <c r="AC336" s="35">
        <v>1</v>
      </c>
    </row>
    <row r="337" spans="1:29" x14ac:dyDescent="0.4">
      <c r="A337" s="15" t="s">
        <v>2303</v>
      </c>
      <c r="B337" s="16" t="s">
        <v>1260</v>
      </c>
      <c r="C337" s="13">
        <v>46163</v>
      </c>
      <c r="D337" s="17">
        <v>0.53015046296296298</v>
      </c>
      <c r="E337" s="16" t="s">
        <v>2304</v>
      </c>
      <c r="F337" s="16" t="s">
        <v>2305</v>
      </c>
      <c r="G337" s="16" t="s">
        <v>1263</v>
      </c>
      <c r="H337" s="16" t="s">
        <v>1264</v>
      </c>
      <c r="AB337" s="34" t="s">
        <v>2648</v>
      </c>
      <c r="AC337" s="35">
        <v>1</v>
      </c>
    </row>
    <row r="338" spans="1:29" x14ac:dyDescent="0.4">
      <c r="A338" s="18" t="s">
        <v>2306</v>
      </c>
      <c r="B338" s="19" t="s">
        <v>1260</v>
      </c>
      <c r="C338" s="13">
        <v>46163</v>
      </c>
      <c r="D338" s="17">
        <v>0.94234953703703705</v>
      </c>
      <c r="E338" s="19" t="s">
        <v>2307</v>
      </c>
      <c r="F338" s="19" t="s">
        <v>2308</v>
      </c>
      <c r="G338" s="19" t="s">
        <v>1263</v>
      </c>
      <c r="H338" s="19" t="s">
        <v>1264</v>
      </c>
      <c r="AB338" s="34" t="s">
        <v>1884</v>
      </c>
      <c r="AC338" s="35">
        <v>1</v>
      </c>
    </row>
    <row r="339" spans="1:29" x14ac:dyDescent="0.4">
      <c r="A339" s="15" t="s">
        <v>1905</v>
      </c>
      <c r="B339" s="16" t="s">
        <v>1260</v>
      </c>
      <c r="C339" s="13">
        <v>46163</v>
      </c>
      <c r="D339" s="17">
        <v>0.44894675925925925</v>
      </c>
      <c r="E339" s="16" t="s">
        <v>2309</v>
      </c>
      <c r="F339" s="16" t="s">
        <v>2310</v>
      </c>
      <c r="G339" s="16" t="s">
        <v>1263</v>
      </c>
      <c r="H339" s="16" t="s">
        <v>1264</v>
      </c>
      <c r="AB339" s="34" t="s">
        <v>2447</v>
      </c>
      <c r="AC339" s="35">
        <v>1</v>
      </c>
    </row>
    <row r="340" spans="1:29" x14ac:dyDescent="0.4">
      <c r="A340" s="18" t="s">
        <v>2311</v>
      </c>
      <c r="B340" s="19" t="s">
        <v>1260</v>
      </c>
      <c r="C340" s="13">
        <v>46163</v>
      </c>
      <c r="D340" s="17">
        <v>0.58343749999999994</v>
      </c>
      <c r="E340" s="19" t="s">
        <v>2312</v>
      </c>
      <c r="F340" s="19" t="s">
        <v>2313</v>
      </c>
      <c r="G340" s="19" t="s">
        <v>1263</v>
      </c>
      <c r="H340" s="19" t="s">
        <v>1264</v>
      </c>
      <c r="AB340" s="34" t="s">
        <v>2538</v>
      </c>
      <c r="AC340" s="35">
        <v>1</v>
      </c>
    </row>
    <row r="341" spans="1:29" x14ac:dyDescent="0.4">
      <c r="A341" s="15" t="s">
        <v>2314</v>
      </c>
      <c r="B341" s="16" t="s">
        <v>1260</v>
      </c>
      <c r="C341" s="13">
        <v>46163</v>
      </c>
      <c r="D341" s="17">
        <v>0.43528935185185186</v>
      </c>
      <c r="E341" s="16" t="s">
        <v>2315</v>
      </c>
      <c r="F341" s="16" t="s">
        <v>2316</v>
      </c>
      <c r="G341" s="16" t="s">
        <v>1324</v>
      </c>
      <c r="H341" s="16" t="s">
        <v>1403</v>
      </c>
      <c r="AB341" s="34" t="s">
        <v>1759</v>
      </c>
      <c r="AC341" s="35">
        <v>1</v>
      </c>
    </row>
    <row r="342" spans="1:29" x14ac:dyDescent="0.4">
      <c r="A342" s="18" t="s">
        <v>2317</v>
      </c>
      <c r="B342" s="19" t="s">
        <v>1260</v>
      </c>
      <c r="C342" s="13">
        <v>46224</v>
      </c>
      <c r="D342" s="17">
        <v>3.6863425925925931E-2</v>
      </c>
      <c r="E342" s="19" t="s">
        <v>2318</v>
      </c>
      <c r="F342" s="19" t="s">
        <v>2319</v>
      </c>
      <c r="G342" s="19" t="s">
        <v>1279</v>
      </c>
      <c r="H342" s="19" t="s">
        <v>1264</v>
      </c>
      <c r="AB342" s="34" t="s">
        <v>1618</v>
      </c>
      <c r="AC342" s="35">
        <v>1</v>
      </c>
    </row>
    <row r="343" spans="1:29" x14ac:dyDescent="0.4">
      <c r="A343" s="15" t="s">
        <v>2320</v>
      </c>
      <c r="B343" s="16" t="s">
        <v>1260</v>
      </c>
      <c r="C343" s="13">
        <v>45982</v>
      </c>
      <c r="D343" s="17">
        <v>0.52994212962962961</v>
      </c>
      <c r="E343" s="16" t="s">
        <v>2321</v>
      </c>
      <c r="F343" s="16" t="s">
        <v>2322</v>
      </c>
      <c r="G343" s="16" t="s">
        <v>1263</v>
      </c>
      <c r="H343" s="16" t="s">
        <v>1264</v>
      </c>
      <c r="AB343" s="34" t="s">
        <v>1462</v>
      </c>
      <c r="AC343" s="35">
        <v>1</v>
      </c>
    </row>
    <row r="344" spans="1:29" x14ac:dyDescent="0.4">
      <c r="A344" s="18" t="s">
        <v>2323</v>
      </c>
      <c r="B344" s="19" t="s">
        <v>1260</v>
      </c>
      <c r="C344" s="13">
        <v>46044</v>
      </c>
      <c r="D344" s="17">
        <v>0.47439814814814812</v>
      </c>
      <c r="E344" s="19" t="s">
        <v>2324</v>
      </c>
      <c r="F344" s="19" t="s">
        <v>2325</v>
      </c>
      <c r="G344" s="19" t="s">
        <v>1263</v>
      </c>
      <c r="H344" s="19" t="s">
        <v>1264</v>
      </c>
      <c r="AB344" s="34" t="s">
        <v>1550</v>
      </c>
      <c r="AC344" s="35">
        <v>1</v>
      </c>
    </row>
    <row r="345" spans="1:29" x14ac:dyDescent="0.4">
      <c r="A345" s="15" t="s">
        <v>2326</v>
      </c>
      <c r="B345" s="16" t="s">
        <v>1260</v>
      </c>
      <c r="C345" s="13">
        <v>46044</v>
      </c>
      <c r="D345" s="17">
        <v>0.48553240740740744</v>
      </c>
      <c r="E345" s="16" t="s">
        <v>2327</v>
      </c>
      <c r="F345" s="16" t="s">
        <v>2328</v>
      </c>
      <c r="G345" s="16" t="s">
        <v>1275</v>
      </c>
      <c r="H345" s="16" t="s">
        <v>1264</v>
      </c>
      <c r="AB345" s="34" t="s">
        <v>2686</v>
      </c>
      <c r="AC345" s="35">
        <v>1</v>
      </c>
    </row>
    <row r="346" spans="1:29" x14ac:dyDescent="0.4">
      <c r="A346" s="18" t="s">
        <v>2329</v>
      </c>
      <c r="B346" s="19" t="s">
        <v>1260</v>
      </c>
      <c r="C346" s="13">
        <v>46044</v>
      </c>
      <c r="D346" s="17">
        <v>0.59239583333333334</v>
      </c>
      <c r="E346" s="19" t="s">
        <v>2330</v>
      </c>
      <c r="F346" s="19" t="s">
        <v>2331</v>
      </c>
      <c r="G346" s="19" t="s">
        <v>1263</v>
      </c>
      <c r="H346" s="19" t="s">
        <v>1264</v>
      </c>
      <c r="AB346" s="34" t="s">
        <v>1905</v>
      </c>
      <c r="AC346" s="35">
        <v>2</v>
      </c>
    </row>
    <row r="347" spans="1:29" x14ac:dyDescent="0.4">
      <c r="A347" s="15" t="s">
        <v>2332</v>
      </c>
      <c r="B347" s="16" t="s">
        <v>1260</v>
      </c>
      <c r="C347" s="13">
        <v>46044</v>
      </c>
      <c r="D347" s="17">
        <v>0.63365740740740739</v>
      </c>
      <c r="E347" s="16" t="s">
        <v>2333</v>
      </c>
      <c r="F347" s="16" t="s">
        <v>2334</v>
      </c>
      <c r="G347" s="16" t="s">
        <v>1263</v>
      </c>
      <c r="H347" s="16" t="s">
        <v>1264</v>
      </c>
      <c r="AB347" s="34" t="s">
        <v>1432</v>
      </c>
      <c r="AC347" s="35">
        <v>1</v>
      </c>
    </row>
    <row r="348" spans="1:29" x14ac:dyDescent="0.4">
      <c r="A348" s="18" t="s">
        <v>2335</v>
      </c>
      <c r="B348" s="19" t="s">
        <v>1260</v>
      </c>
      <c r="C348" s="13">
        <v>46044</v>
      </c>
      <c r="D348" s="17">
        <v>0.63649305555555558</v>
      </c>
      <c r="E348" s="19" t="s">
        <v>2336</v>
      </c>
      <c r="F348" s="19" t="s">
        <v>2337</v>
      </c>
      <c r="G348" s="19" t="s">
        <v>1263</v>
      </c>
      <c r="H348" s="19" t="s">
        <v>1264</v>
      </c>
      <c r="AB348" s="34" t="s">
        <v>1830</v>
      </c>
      <c r="AC348" s="35">
        <v>1</v>
      </c>
    </row>
    <row r="349" spans="1:29" x14ac:dyDescent="0.4">
      <c r="A349" s="15" t="s">
        <v>2338</v>
      </c>
      <c r="B349" s="16" t="s">
        <v>1260</v>
      </c>
      <c r="C349" s="13">
        <v>46044</v>
      </c>
      <c r="D349" s="17">
        <v>0.68033564814814806</v>
      </c>
      <c r="E349" s="16" t="s">
        <v>2339</v>
      </c>
      <c r="F349" s="16" t="s">
        <v>2340</v>
      </c>
      <c r="G349" s="16" t="s">
        <v>1324</v>
      </c>
      <c r="H349" s="16" t="s">
        <v>1403</v>
      </c>
      <c r="AB349" s="34" t="s">
        <v>1827</v>
      </c>
      <c r="AC349" s="35">
        <v>1</v>
      </c>
    </row>
    <row r="350" spans="1:29" x14ac:dyDescent="0.4">
      <c r="A350" s="18" t="s">
        <v>2341</v>
      </c>
      <c r="B350" s="19" t="s">
        <v>1260</v>
      </c>
      <c r="C350" s="13">
        <v>46044</v>
      </c>
      <c r="D350" s="17">
        <v>0.54416666666666669</v>
      </c>
      <c r="E350" s="19" t="s">
        <v>2342</v>
      </c>
      <c r="F350" s="19" t="s">
        <v>2343</v>
      </c>
      <c r="G350" s="19" t="s">
        <v>1263</v>
      </c>
      <c r="H350" s="19" t="s">
        <v>1264</v>
      </c>
      <c r="AB350" s="34" t="s">
        <v>1580</v>
      </c>
      <c r="AC350" s="35">
        <v>1</v>
      </c>
    </row>
    <row r="351" spans="1:29" x14ac:dyDescent="0.4">
      <c r="A351" s="15" t="s">
        <v>2344</v>
      </c>
      <c r="B351" s="16" t="s">
        <v>1260</v>
      </c>
      <c r="C351" s="13">
        <v>45404</v>
      </c>
      <c r="D351" s="17">
        <v>0.77728009259259256</v>
      </c>
      <c r="E351" s="16" t="s">
        <v>2345</v>
      </c>
      <c r="F351" s="16" t="s">
        <v>2346</v>
      </c>
      <c r="G351" s="16" t="s">
        <v>1263</v>
      </c>
      <c r="H351" s="16" t="s">
        <v>1264</v>
      </c>
      <c r="AB351" s="34" t="s">
        <v>1304</v>
      </c>
      <c r="AC351" s="35">
        <v>1</v>
      </c>
    </row>
    <row r="352" spans="1:29" x14ac:dyDescent="0.4">
      <c r="A352" s="18" t="s">
        <v>2347</v>
      </c>
      <c r="B352" s="19" t="s">
        <v>1260</v>
      </c>
      <c r="C352" s="13">
        <v>46134</v>
      </c>
      <c r="D352" s="17">
        <v>1.3391203703703704E-2</v>
      </c>
      <c r="E352" s="19" t="s">
        <v>2348</v>
      </c>
      <c r="F352" s="19" t="s">
        <v>2349</v>
      </c>
      <c r="G352" s="19" t="s">
        <v>1263</v>
      </c>
      <c r="H352" s="19" t="s">
        <v>1264</v>
      </c>
      <c r="AB352" s="34" t="s">
        <v>2344</v>
      </c>
      <c r="AC352" s="35">
        <v>1</v>
      </c>
    </row>
    <row r="353" spans="1:29" x14ac:dyDescent="0.4">
      <c r="A353" s="15" t="s">
        <v>2350</v>
      </c>
      <c r="B353" s="16" t="s">
        <v>1260</v>
      </c>
      <c r="C353" s="13">
        <v>46134</v>
      </c>
      <c r="D353" s="17">
        <v>1.9733796296296298E-2</v>
      </c>
      <c r="E353" s="16" t="s">
        <v>2351</v>
      </c>
      <c r="F353" s="16" t="s">
        <v>2352</v>
      </c>
      <c r="G353" s="16" t="s">
        <v>1263</v>
      </c>
      <c r="H353" s="16" t="s">
        <v>1264</v>
      </c>
      <c r="AB353" s="34" t="s">
        <v>1696</v>
      </c>
      <c r="AC353" s="35">
        <v>1</v>
      </c>
    </row>
    <row r="354" spans="1:29" x14ac:dyDescent="0.4">
      <c r="A354" s="18" t="s">
        <v>2353</v>
      </c>
      <c r="B354" s="19" t="s">
        <v>1260</v>
      </c>
      <c r="C354" s="13">
        <v>46164</v>
      </c>
      <c r="D354" s="17">
        <v>0.45598379629629626</v>
      </c>
      <c r="E354" s="19" t="s">
        <v>2354</v>
      </c>
      <c r="F354" s="19" t="s">
        <v>2355</v>
      </c>
      <c r="G354" s="19" t="s">
        <v>1263</v>
      </c>
      <c r="H354" s="19" t="s">
        <v>1264</v>
      </c>
      <c r="AB354" s="34" t="s">
        <v>1774</v>
      </c>
      <c r="AC354" s="35">
        <v>1</v>
      </c>
    </row>
    <row r="355" spans="1:29" x14ac:dyDescent="0.4">
      <c r="A355" s="15" t="s">
        <v>2356</v>
      </c>
      <c r="B355" s="16" t="s">
        <v>1260</v>
      </c>
      <c r="C355" s="13">
        <v>46164</v>
      </c>
      <c r="D355" s="17">
        <v>0.55096064814814816</v>
      </c>
      <c r="E355" s="16" t="s">
        <v>2357</v>
      </c>
      <c r="F355" s="16" t="s">
        <v>2358</v>
      </c>
      <c r="G355" s="16" t="s">
        <v>1263</v>
      </c>
      <c r="H355" s="16" t="s">
        <v>1264</v>
      </c>
      <c r="AB355" s="34" t="s">
        <v>2456</v>
      </c>
      <c r="AC355" s="35">
        <v>1</v>
      </c>
    </row>
    <row r="356" spans="1:29" x14ac:dyDescent="0.4">
      <c r="A356" s="18" t="s">
        <v>2359</v>
      </c>
      <c r="B356" s="19" t="s">
        <v>1260</v>
      </c>
      <c r="C356" s="13">
        <v>46195</v>
      </c>
      <c r="D356" s="17">
        <v>0.56239583333333332</v>
      </c>
      <c r="E356" s="19" t="s">
        <v>2360</v>
      </c>
      <c r="F356" s="19" t="s">
        <v>2361</v>
      </c>
      <c r="G356" s="19" t="s">
        <v>1263</v>
      </c>
      <c r="H356" s="19" t="s">
        <v>1264</v>
      </c>
      <c r="AB356" s="34" t="s">
        <v>2485</v>
      </c>
      <c r="AC356" s="35">
        <v>1</v>
      </c>
    </row>
    <row r="357" spans="1:29" x14ac:dyDescent="0.4">
      <c r="A357" s="15" t="s">
        <v>2362</v>
      </c>
      <c r="B357" s="16" t="s">
        <v>1260</v>
      </c>
      <c r="C357" s="13">
        <v>46195</v>
      </c>
      <c r="D357" s="17">
        <v>0.61273148148148149</v>
      </c>
      <c r="E357" s="16" t="s">
        <v>2363</v>
      </c>
      <c r="F357" s="16" t="s">
        <v>2364</v>
      </c>
      <c r="G357" s="16" t="s">
        <v>1263</v>
      </c>
      <c r="H357" s="16" t="s">
        <v>1264</v>
      </c>
      <c r="AB357" s="34" t="s">
        <v>2072</v>
      </c>
      <c r="AC357" s="35">
        <v>1</v>
      </c>
    </row>
    <row r="358" spans="1:29" x14ac:dyDescent="0.4">
      <c r="A358" s="18" t="s">
        <v>2365</v>
      </c>
      <c r="B358" s="19" t="s">
        <v>1260</v>
      </c>
      <c r="C358" s="13">
        <v>46013</v>
      </c>
      <c r="D358" s="17">
        <v>0.69437499999999996</v>
      </c>
      <c r="E358" s="19" t="s">
        <v>989</v>
      </c>
      <c r="F358" s="19" t="s">
        <v>2366</v>
      </c>
      <c r="G358" s="19" t="s">
        <v>1263</v>
      </c>
      <c r="H358" s="19" t="s">
        <v>1264</v>
      </c>
      <c r="AB358" s="34" t="s">
        <v>1339</v>
      </c>
      <c r="AC358" s="35">
        <v>1</v>
      </c>
    </row>
    <row r="359" spans="1:29" x14ac:dyDescent="0.4">
      <c r="A359" s="15" t="s">
        <v>2367</v>
      </c>
      <c r="B359" s="16" t="s">
        <v>1260</v>
      </c>
      <c r="C359" s="13">
        <v>46045</v>
      </c>
      <c r="D359" s="17">
        <v>0.56559027777777782</v>
      </c>
      <c r="E359" s="16" t="s">
        <v>2368</v>
      </c>
      <c r="F359" s="16" t="s">
        <v>2369</v>
      </c>
      <c r="G359" s="16" t="s">
        <v>1263</v>
      </c>
      <c r="H359" s="16" t="s">
        <v>1264</v>
      </c>
      <c r="AB359" s="34" t="s">
        <v>1651</v>
      </c>
      <c r="AC359" s="35">
        <v>1</v>
      </c>
    </row>
    <row r="360" spans="1:29" x14ac:dyDescent="0.4">
      <c r="A360" s="18" t="s">
        <v>2370</v>
      </c>
      <c r="B360" s="19" t="s">
        <v>1260</v>
      </c>
      <c r="C360" s="13">
        <v>46076</v>
      </c>
      <c r="D360" s="17">
        <v>0.54040509259259262</v>
      </c>
      <c r="E360" s="19" t="s">
        <v>2371</v>
      </c>
      <c r="F360" s="19" t="s">
        <v>2372</v>
      </c>
      <c r="G360" s="19" t="s">
        <v>1263</v>
      </c>
      <c r="H360" s="19" t="s">
        <v>1264</v>
      </c>
      <c r="AB360" s="34" t="s">
        <v>1418</v>
      </c>
      <c r="AC360" s="35">
        <v>1</v>
      </c>
    </row>
    <row r="361" spans="1:29" x14ac:dyDescent="0.4">
      <c r="A361" s="15" t="s">
        <v>2373</v>
      </c>
      <c r="B361" s="16" t="s">
        <v>1260</v>
      </c>
      <c r="C361" s="13">
        <v>46076</v>
      </c>
      <c r="D361" s="17">
        <v>0.39130787037037035</v>
      </c>
      <c r="E361" s="16" t="s">
        <v>2374</v>
      </c>
      <c r="F361" s="16" t="s">
        <v>2375</v>
      </c>
      <c r="G361" s="16" t="s">
        <v>1263</v>
      </c>
      <c r="H361" s="16" t="s">
        <v>1264</v>
      </c>
      <c r="AB361" s="34" t="s">
        <v>2117</v>
      </c>
      <c r="AC361" s="35">
        <v>1</v>
      </c>
    </row>
    <row r="362" spans="1:29" x14ac:dyDescent="0.4">
      <c r="A362" s="18" t="s">
        <v>2376</v>
      </c>
      <c r="B362" s="19" t="s">
        <v>1260</v>
      </c>
      <c r="C362" s="13">
        <v>46076</v>
      </c>
      <c r="D362" s="17">
        <v>0.7469675925925926</v>
      </c>
      <c r="E362" s="19" t="s">
        <v>2377</v>
      </c>
      <c r="F362" s="19" t="s">
        <v>2378</v>
      </c>
      <c r="G362" s="19" t="s">
        <v>1263</v>
      </c>
      <c r="H362" s="19" t="s">
        <v>1264</v>
      </c>
      <c r="AB362" s="34" t="s">
        <v>2195</v>
      </c>
      <c r="AC362" s="35">
        <v>1</v>
      </c>
    </row>
    <row r="363" spans="1:29" x14ac:dyDescent="0.4">
      <c r="A363" s="15" t="s">
        <v>2379</v>
      </c>
      <c r="B363" s="16" t="s">
        <v>1260</v>
      </c>
      <c r="C363" s="13">
        <v>46076</v>
      </c>
      <c r="D363" s="17">
        <v>0.74420138888888887</v>
      </c>
      <c r="E363" s="16" t="s">
        <v>2380</v>
      </c>
      <c r="F363" s="16" t="s">
        <v>2381</v>
      </c>
      <c r="G363" s="16" t="s">
        <v>1263</v>
      </c>
      <c r="H363" s="16" t="s">
        <v>1264</v>
      </c>
      <c r="AB363" s="34" t="s">
        <v>2001</v>
      </c>
      <c r="AC363" s="35">
        <v>1</v>
      </c>
    </row>
    <row r="364" spans="1:29" x14ac:dyDescent="0.4">
      <c r="A364" s="18" t="s">
        <v>2382</v>
      </c>
      <c r="B364" s="19" t="s">
        <v>1260</v>
      </c>
      <c r="C364" s="13">
        <v>46076</v>
      </c>
      <c r="D364" s="17">
        <v>0.47825231481481478</v>
      </c>
      <c r="E364" s="19" t="s">
        <v>2383</v>
      </c>
      <c r="F364" s="19" t="s">
        <v>2384</v>
      </c>
      <c r="G364" s="19" t="s">
        <v>1263</v>
      </c>
      <c r="H364" s="19" t="s">
        <v>1264</v>
      </c>
      <c r="AB364" s="34" t="s">
        <v>2367</v>
      </c>
      <c r="AC364" s="35">
        <v>1</v>
      </c>
    </row>
    <row r="365" spans="1:29" x14ac:dyDescent="0.4">
      <c r="A365" s="15" t="s">
        <v>2385</v>
      </c>
      <c r="B365" s="16" t="s">
        <v>1260</v>
      </c>
      <c r="C365" s="13">
        <v>45374</v>
      </c>
      <c r="D365" s="17">
        <v>0.6383564814814815</v>
      </c>
      <c r="E365" s="16" t="s">
        <v>2386</v>
      </c>
      <c r="F365" s="16" t="s">
        <v>2387</v>
      </c>
      <c r="G365" s="16" t="s">
        <v>1263</v>
      </c>
      <c r="H365" s="16" t="s">
        <v>1264</v>
      </c>
      <c r="AB365" s="34" t="s">
        <v>1384</v>
      </c>
      <c r="AC365" s="35">
        <v>1</v>
      </c>
    </row>
    <row r="366" spans="1:29" x14ac:dyDescent="0.4">
      <c r="A366" s="18" t="s">
        <v>2388</v>
      </c>
      <c r="B366" s="19" t="s">
        <v>1260</v>
      </c>
      <c r="C366" s="13">
        <v>46104</v>
      </c>
      <c r="D366" s="17">
        <v>0.66652777777777772</v>
      </c>
      <c r="E366" s="19" t="s">
        <v>2389</v>
      </c>
      <c r="F366" s="19" t="s">
        <v>2390</v>
      </c>
      <c r="G366" s="19" t="s">
        <v>1279</v>
      </c>
      <c r="H366" s="19" t="s">
        <v>1264</v>
      </c>
      <c r="AB366" s="34" t="s">
        <v>1435</v>
      </c>
      <c r="AC366" s="35">
        <v>1</v>
      </c>
    </row>
    <row r="367" spans="1:29" x14ac:dyDescent="0.4">
      <c r="A367" s="15" t="s">
        <v>2391</v>
      </c>
      <c r="B367" s="16" t="s">
        <v>1260</v>
      </c>
      <c r="C367" s="13">
        <v>46104</v>
      </c>
      <c r="D367" s="17">
        <v>0.89329861111111108</v>
      </c>
      <c r="E367" s="16" t="s">
        <v>1634</v>
      </c>
      <c r="F367" s="16" t="s">
        <v>2392</v>
      </c>
      <c r="G367" s="16" t="s">
        <v>1263</v>
      </c>
      <c r="H367" s="16" t="s">
        <v>1264</v>
      </c>
      <c r="AB367" s="34" t="s">
        <v>2353</v>
      </c>
      <c r="AC367" s="35">
        <v>1</v>
      </c>
    </row>
    <row r="368" spans="1:29" x14ac:dyDescent="0.4">
      <c r="A368" s="18" t="s">
        <v>2393</v>
      </c>
      <c r="B368" s="19" t="s">
        <v>1260</v>
      </c>
      <c r="C368" s="13">
        <v>46135</v>
      </c>
      <c r="D368" s="17">
        <v>0.5370138888888889</v>
      </c>
      <c r="E368" s="19" t="s">
        <v>2394</v>
      </c>
      <c r="F368" s="19" t="s">
        <v>2395</v>
      </c>
      <c r="G368" s="19" t="s">
        <v>1279</v>
      </c>
      <c r="H368" s="19" t="s">
        <v>1264</v>
      </c>
      <c r="AB368" s="34" t="s">
        <v>1503</v>
      </c>
      <c r="AC368" s="35">
        <v>1</v>
      </c>
    </row>
    <row r="369" spans="1:29" x14ac:dyDescent="0.4">
      <c r="A369" s="15" t="s">
        <v>2396</v>
      </c>
      <c r="B369" s="16" t="s">
        <v>1260</v>
      </c>
      <c r="C369" s="13">
        <v>46135</v>
      </c>
      <c r="D369" s="17">
        <v>0.54245370370370372</v>
      </c>
      <c r="E369" s="16" t="s">
        <v>2397</v>
      </c>
      <c r="F369" s="16" t="s">
        <v>2398</v>
      </c>
      <c r="G369" s="16" t="s">
        <v>1263</v>
      </c>
      <c r="H369" s="16" t="s">
        <v>1264</v>
      </c>
      <c r="AB369" s="34" t="s">
        <v>2189</v>
      </c>
      <c r="AC369" s="35">
        <v>1</v>
      </c>
    </row>
    <row r="370" spans="1:29" x14ac:dyDescent="0.4">
      <c r="A370" s="18" t="s">
        <v>2399</v>
      </c>
      <c r="B370" s="19" t="s">
        <v>1260</v>
      </c>
      <c r="C370" s="13">
        <v>45800</v>
      </c>
      <c r="D370" s="17">
        <v>0.67106481481481473</v>
      </c>
      <c r="E370" s="19" t="s">
        <v>2400</v>
      </c>
      <c r="F370" s="19" t="s">
        <v>2401</v>
      </c>
      <c r="G370" s="19" t="s">
        <v>1263</v>
      </c>
      <c r="H370" s="19" t="s">
        <v>1264</v>
      </c>
      <c r="AB370" s="34" t="s">
        <v>2081</v>
      </c>
      <c r="AC370" s="35">
        <v>1</v>
      </c>
    </row>
    <row r="371" spans="1:29" x14ac:dyDescent="0.4">
      <c r="A371" s="15" t="s">
        <v>2402</v>
      </c>
      <c r="B371" s="16" t="s">
        <v>1260</v>
      </c>
      <c r="C371" s="13">
        <v>46165</v>
      </c>
      <c r="D371" s="17">
        <v>0.73684027777777772</v>
      </c>
      <c r="E371" s="16" t="s">
        <v>2403</v>
      </c>
      <c r="F371" s="16" t="s">
        <v>2404</v>
      </c>
      <c r="G371" s="16" t="s">
        <v>1263</v>
      </c>
      <c r="H371" s="16" t="s">
        <v>1264</v>
      </c>
      <c r="AB371" s="34" t="s">
        <v>1343</v>
      </c>
      <c r="AC371" s="35">
        <v>1</v>
      </c>
    </row>
    <row r="372" spans="1:29" x14ac:dyDescent="0.4">
      <c r="A372" s="18" t="s">
        <v>2405</v>
      </c>
      <c r="B372" s="19" t="s">
        <v>1260</v>
      </c>
      <c r="C372" s="13">
        <v>46196</v>
      </c>
      <c r="D372" s="17">
        <v>0.42825231481481479</v>
      </c>
      <c r="E372" s="19" t="s">
        <v>2406</v>
      </c>
      <c r="F372" s="19" t="s">
        <v>2407</v>
      </c>
      <c r="G372" s="19" t="s">
        <v>1263</v>
      </c>
      <c r="H372" s="19" t="s">
        <v>1264</v>
      </c>
      <c r="AB372" s="34" t="s">
        <v>2461</v>
      </c>
      <c r="AC372" s="35">
        <v>1</v>
      </c>
    </row>
    <row r="373" spans="1:29" x14ac:dyDescent="0.4">
      <c r="A373" s="15" t="s">
        <v>2408</v>
      </c>
      <c r="B373" s="16" t="s">
        <v>1260</v>
      </c>
      <c r="C373" s="13">
        <v>45923</v>
      </c>
      <c r="D373" s="17">
        <v>0.92519675925925926</v>
      </c>
      <c r="E373" s="16" t="s">
        <v>2409</v>
      </c>
      <c r="F373" s="16" t="s">
        <v>2410</v>
      </c>
      <c r="G373" s="16" t="s">
        <v>1263</v>
      </c>
      <c r="H373" s="16" t="s">
        <v>1264</v>
      </c>
      <c r="AB373" s="34" t="s">
        <v>2069</v>
      </c>
      <c r="AC373" s="35">
        <v>1</v>
      </c>
    </row>
    <row r="374" spans="1:29" x14ac:dyDescent="0.4">
      <c r="A374" s="18" t="s">
        <v>2411</v>
      </c>
      <c r="B374" s="19" t="s">
        <v>1260</v>
      </c>
      <c r="C374" s="13">
        <v>46046</v>
      </c>
      <c r="D374" s="17">
        <v>0.70697916666666671</v>
      </c>
      <c r="E374" s="19" t="s">
        <v>2412</v>
      </c>
      <c r="F374" s="19" t="s">
        <v>2413</v>
      </c>
      <c r="G374" s="19" t="s">
        <v>1263</v>
      </c>
      <c r="H374" s="19" t="s">
        <v>1264</v>
      </c>
      <c r="AB374" s="34" t="s">
        <v>2207</v>
      </c>
      <c r="AC374" s="35">
        <v>1</v>
      </c>
    </row>
    <row r="375" spans="1:29" x14ac:dyDescent="0.4">
      <c r="A375" s="15" t="s">
        <v>2414</v>
      </c>
      <c r="B375" s="16" t="s">
        <v>1260</v>
      </c>
      <c r="C375" s="13">
        <v>46046</v>
      </c>
      <c r="D375" s="17">
        <v>0.65546296296296302</v>
      </c>
      <c r="E375" s="16" t="s">
        <v>2415</v>
      </c>
      <c r="F375" s="16" t="s">
        <v>2416</v>
      </c>
      <c r="G375" s="16" t="s">
        <v>1263</v>
      </c>
      <c r="H375" s="16" t="s">
        <v>1264</v>
      </c>
      <c r="AB375" s="34" t="s">
        <v>2597</v>
      </c>
      <c r="AC375" s="35">
        <v>1</v>
      </c>
    </row>
    <row r="376" spans="1:29" x14ac:dyDescent="0.4">
      <c r="A376" s="18" t="s">
        <v>2417</v>
      </c>
      <c r="B376" s="19" t="s">
        <v>1260</v>
      </c>
      <c r="C376" s="13">
        <v>46077</v>
      </c>
      <c r="D376" s="17">
        <v>0.57090277777777776</v>
      </c>
      <c r="E376" s="19" t="s">
        <v>2418</v>
      </c>
      <c r="F376" s="19" t="s">
        <v>2419</v>
      </c>
      <c r="G376" s="19" t="s">
        <v>1263</v>
      </c>
      <c r="H376" s="19" t="s">
        <v>1264</v>
      </c>
      <c r="AB376" s="34" t="s">
        <v>2171</v>
      </c>
      <c r="AC376" s="35">
        <v>1</v>
      </c>
    </row>
    <row r="377" spans="1:29" x14ac:dyDescent="0.4">
      <c r="A377" s="15" t="s">
        <v>2420</v>
      </c>
      <c r="B377" s="16" t="s">
        <v>1260</v>
      </c>
      <c r="C377" s="13">
        <v>46077</v>
      </c>
      <c r="D377" s="17">
        <v>0.45535879629629633</v>
      </c>
      <c r="E377" s="16" t="s">
        <v>2421</v>
      </c>
      <c r="F377" s="16" t="s">
        <v>2422</v>
      </c>
      <c r="G377" s="16" t="s">
        <v>1263</v>
      </c>
      <c r="H377" s="16" t="s">
        <v>1264</v>
      </c>
      <c r="AB377" s="34" t="s">
        <v>2243</v>
      </c>
      <c r="AC377" s="35">
        <v>1</v>
      </c>
    </row>
    <row r="378" spans="1:29" x14ac:dyDescent="0.4">
      <c r="A378" s="18" t="s">
        <v>2423</v>
      </c>
      <c r="B378" s="19" t="s">
        <v>1260</v>
      </c>
      <c r="C378" s="13">
        <v>46077</v>
      </c>
      <c r="D378" s="17">
        <v>0.4379513888888889</v>
      </c>
      <c r="E378" s="19" t="s">
        <v>2424</v>
      </c>
      <c r="F378" s="19" t="s">
        <v>2425</v>
      </c>
      <c r="G378" s="19" t="s">
        <v>1263</v>
      </c>
      <c r="H378" s="19" t="s">
        <v>1264</v>
      </c>
      <c r="AB378" s="34" t="s">
        <v>2216</v>
      </c>
      <c r="AC378" s="35">
        <v>1</v>
      </c>
    </row>
    <row r="379" spans="1:29" x14ac:dyDescent="0.4">
      <c r="A379" s="15" t="s">
        <v>2426</v>
      </c>
      <c r="B379" s="16" t="s">
        <v>1260</v>
      </c>
      <c r="C379" s="13">
        <v>45740</v>
      </c>
      <c r="D379" s="17">
        <v>0.4957523148148148</v>
      </c>
      <c r="E379" s="16" t="s">
        <v>2427</v>
      </c>
      <c r="F379" s="16" t="s">
        <v>2428</v>
      </c>
      <c r="G379" s="16" t="s">
        <v>1263</v>
      </c>
      <c r="H379" s="16" t="s">
        <v>1264</v>
      </c>
      <c r="AB379" s="34" t="s">
        <v>2402</v>
      </c>
      <c r="AC379" s="35">
        <v>1</v>
      </c>
    </row>
    <row r="380" spans="1:29" x14ac:dyDescent="0.4">
      <c r="A380" s="18" t="s">
        <v>2429</v>
      </c>
      <c r="B380" s="19" t="s">
        <v>1260</v>
      </c>
      <c r="C380" s="13">
        <v>46105</v>
      </c>
      <c r="D380" s="17">
        <v>0.47403935185185181</v>
      </c>
      <c r="E380" s="19" t="s">
        <v>2430</v>
      </c>
      <c r="F380" s="19" t="s">
        <v>2431</v>
      </c>
      <c r="G380" s="19" t="s">
        <v>1263</v>
      </c>
      <c r="H380" s="19" t="s">
        <v>1264</v>
      </c>
      <c r="AB380" s="34" t="s">
        <v>1400</v>
      </c>
      <c r="AC380" s="35">
        <v>1</v>
      </c>
    </row>
    <row r="381" spans="1:29" x14ac:dyDescent="0.4">
      <c r="A381" s="15" t="s">
        <v>2432</v>
      </c>
      <c r="B381" s="16" t="s">
        <v>1260</v>
      </c>
      <c r="C381" s="13">
        <v>46105</v>
      </c>
      <c r="D381" s="17">
        <v>0.67857638888888883</v>
      </c>
      <c r="E381" s="16" t="s">
        <v>2433</v>
      </c>
      <c r="F381" s="16" t="s">
        <v>2434</v>
      </c>
      <c r="G381" s="16" t="s">
        <v>1263</v>
      </c>
      <c r="H381" s="16" t="s">
        <v>1264</v>
      </c>
      <c r="AB381" s="34" t="s">
        <v>1833</v>
      </c>
      <c r="AC381" s="35">
        <v>1</v>
      </c>
    </row>
    <row r="382" spans="1:29" x14ac:dyDescent="0.4">
      <c r="A382" s="18" t="s">
        <v>2435</v>
      </c>
      <c r="B382" s="19" t="s">
        <v>1260</v>
      </c>
      <c r="C382" s="13">
        <v>46136</v>
      </c>
      <c r="D382" s="17">
        <v>0.53947916666666662</v>
      </c>
      <c r="E382" s="19" t="s">
        <v>2436</v>
      </c>
      <c r="F382" s="19" t="s">
        <v>2437</v>
      </c>
      <c r="G382" s="19" t="s">
        <v>1263</v>
      </c>
      <c r="H382" s="19" t="s">
        <v>1264</v>
      </c>
      <c r="AB382" s="34" t="s">
        <v>1690</v>
      </c>
      <c r="AC382" s="35">
        <v>1</v>
      </c>
    </row>
    <row r="383" spans="1:29" x14ac:dyDescent="0.4">
      <c r="A383" s="15" t="s">
        <v>2438</v>
      </c>
      <c r="B383" s="16" t="s">
        <v>1260</v>
      </c>
      <c r="C383" s="13">
        <v>46136</v>
      </c>
      <c r="D383" s="17">
        <v>0.6912962962962963</v>
      </c>
      <c r="E383" s="16" t="s">
        <v>2439</v>
      </c>
      <c r="F383" s="16" t="s">
        <v>2440</v>
      </c>
      <c r="G383" s="16" t="s">
        <v>1263</v>
      </c>
      <c r="H383" s="16" t="s">
        <v>1264</v>
      </c>
      <c r="AB383" s="34" t="s">
        <v>1953</v>
      </c>
      <c r="AC383" s="35">
        <v>1</v>
      </c>
    </row>
    <row r="384" spans="1:29" x14ac:dyDescent="0.4">
      <c r="A384" s="18" t="s">
        <v>2441</v>
      </c>
      <c r="B384" s="19" t="s">
        <v>1260</v>
      </c>
      <c r="C384" s="13">
        <v>46136</v>
      </c>
      <c r="D384" s="17">
        <v>0.49945601851851856</v>
      </c>
      <c r="E384" s="19" t="s">
        <v>2442</v>
      </c>
      <c r="F384" s="19" t="s">
        <v>2443</v>
      </c>
      <c r="G384" s="19" t="s">
        <v>1263</v>
      </c>
      <c r="H384" s="19" t="s">
        <v>1264</v>
      </c>
      <c r="AB384" s="34" t="s">
        <v>2411</v>
      </c>
      <c r="AC384" s="35">
        <v>1</v>
      </c>
    </row>
    <row r="385" spans="1:29" x14ac:dyDescent="0.4">
      <c r="A385" s="15" t="s">
        <v>2444</v>
      </c>
      <c r="B385" s="16" t="s">
        <v>1260</v>
      </c>
      <c r="C385" s="13">
        <v>46166</v>
      </c>
      <c r="D385" s="17">
        <v>0.7079050925925926</v>
      </c>
      <c r="E385" s="16" t="s">
        <v>2445</v>
      </c>
      <c r="F385" s="16" t="s">
        <v>2446</v>
      </c>
      <c r="G385" s="16" t="s">
        <v>1263</v>
      </c>
      <c r="H385" s="16" t="s">
        <v>1264</v>
      </c>
      <c r="AB385" s="34" t="s">
        <v>2689</v>
      </c>
      <c r="AC385" s="35">
        <v>1</v>
      </c>
    </row>
    <row r="386" spans="1:29" x14ac:dyDescent="0.4">
      <c r="A386" s="18" t="s">
        <v>2447</v>
      </c>
      <c r="B386" s="19" t="s">
        <v>1260</v>
      </c>
      <c r="C386" s="13">
        <v>46197</v>
      </c>
      <c r="D386" s="17">
        <v>0.40216435185185184</v>
      </c>
      <c r="E386" s="19" t="s">
        <v>2448</v>
      </c>
      <c r="F386" s="19" t="s">
        <v>2449</v>
      </c>
      <c r="G386" s="19" t="s">
        <v>1263</v>
      </c>
      <c r="H386" s="19" t="s">
        <v>1264</v>
      </c>
      <c r="AB386" s="34" t="s">
        <v>1672</v>
      </c>
      <c r="AC386" s="35">
        <v>1</v>
      </c>
    </row>
    <row r="387" spans="1:29" x14ac:dyDescent="0.4">
      <c r="A387" s="15" t="s">
        <v>2450</v>
      </c>
      <c r="B387" s="16" t="s">
        <v>1260</v>
      </c>
      <c r="C387" s="13">
        <v>46197</v>
      </c>
      <c r="D387" s="17">
        <v>0.43714120370370368</v>
      </c>
      <c r="E387" s="16" t="s">
        <v>2451</v>
      </c>
      <c r="F387" s="16" t="s">
        <v>2452</v>
      </c>
      <c r="G387" s="16" t="s">
        <v>1263</v>
      </c>
      <c r="H387" s="16" t="s">
        <v>1264</v>
      </c>
      <c r="AB387" s="34" t="s">
        <v>2219</v>
      </c>
      <c r="AC387" s="35">
        <v>1</v>
      </c>
    </row>
    <row r="388" spans="1:29" x14ac:dyDescent="0.4">
      <c r="A388" s="18" t="s">
        <v>2453</v>
      </c>
      <c r="B388" s="19" t="s">
        <v>1260</v>
      </c>
      <c r="C388" s="13">
        <v>46197</v>
      </c>
      <c r="D388" s="17">
        <v>0.66792824074074064</v>
      </c>
      <c r="E388" s="19" t="s">
        <v>2454</v>
      </c>
      <c r="F388" s="19" t="s">
        <v>2455</v>
      </c>
      <c r="G388" s="19" t="s">
        <v>1263</v>
      </c>
      <c r="H388" s="19" t="s">
        <v>1264</v>
      </c>
      <c r="AB388" s="34" t="s">
        <v>1468</v>
      </c>
      <c r="AC388" s="35">
        <v>1</v>
      </c>
    </row>
    <row r="389" spans="1:29" x14ac:dyDescent="0.4">
      <c r="A389" s="15" t="s">
        <v>2456</v>
      </c>
      <c r="B389" s="16" t="s">
        <v>1260</v>
      </c>
      <c r="C389" s="13">
        <v>46197</v>
      </c>
      <c r="D389" s="17">
        <v>0.4667824074074074</v>
      </c>
      <c r="E389" s="16" t="s">
        <v>2457</v>
      </c>
      <c r="F389" s="16" t="s">
        <v>2458</v>
      </c>
      <c r="G389" s="16" t="s">
        <v>1263</v>
      </c>
      <c r="H389" s="16" t="s">
        <v>1264</v>
      </c>
      <c r="AB389" s="34" t="s">
        <v>2270</v>
      </c>
      <c r="AC389" s="35">
        <v>1</v>
      </c>
    </row>
    <row r="390" spans="1:29" x14ac:dyDescent="0.4">
      <c r="A390" s="18" t="s">
        <v>2459</v>
      </c>
      <c r="B390" s="19" t="s">
        <v>1260</v>
      </c>
      <c r="C390" s="13">
        <v>46047</v>
      </c>
      <c r="D390" s="17">
        <v>0.79802083333333329</v>
      </c>
      <c r="E390" s="19" t="s">
        <v>1360</v>
      </c>
      <c r="F390" s="19" t="s">
        <v>2460</v>
      </c>
      <c r="G390" s="19" t="s">
        <v>1263</v>
      </c>
      <c r="H390" s="19" t="s">
        <v>1264</v>
      </c>
      <c r="AB390" s="34" t="s">
        <v>1738</v>
      </c>
      <c r="AC390" s="35">
        <v>1</v>
      </c>
    </row>
    <row r="391" spans="1:29" x14ac:dyDescent="0.4">
      <c r="A391" s="15" t="s">
        <v>2461</v>
      </c>
      <c r="B391" s="16" t="s">
        <v>1260</v>
      </c>
      <c r="C391" s="13">
        <v>46047</v>
      </c>
      <c r="D391" s="17">
        <v>0.68388888888888888</v>
      </c>
      <c r="E391" s="16" t="s">
        <v>2462</v>
      </c>
      <c r="F391" s="16" t="s">
        <v>2463</v>
      </c>
      <c r="G391" s="16" t="s">
        <v>1263</v>
      </c>
      <c r="H391" s="16" t="s">
        <v>1264</v>
      </c>
      <c r="AB391" s="34" t="s">
        <v>1482</v>
      </c>
      <c r="AC391" s="35">
        <v>1</v>
      </c>
    </row>
    <row r="392" spans="1:29" x14ac:dyDescent="0.4">
      <c r="A392" s="18" t="s">
        <v>2464</v>
      </c>
      <c r="B392" s="19" t="s">
        <v>1260</v>
      </c>
      <c r="C392" s="13">
        <v>46047</v>
      </c>
      <c r="D392" s="17">
        <v>0.75509259259259265</v>
      </c>
      <c r="E392" s="19" t="s">
        <v>2465</v>
      </c>
      <c r="F392" s="19" t="s">
        <v>2466</v>
      </c>
      <c r="G392" s="19" t="s">
        <v>1263</v>
      </c>
      <c r="H392" s="19" t="s">
        <v>1264</v>
      </c>
      <c r="AB392" s="34" t="s">
        <v>1809</v>
      </c>
      <c r="AC392" s="35">
        <v>1</v>
      </c>
    </row>
    <row r="393" spans="1:29" x14ac:dyDescent="0.4">
      <c r="A393" s="15" t="s">
        <v>2467</v>
      </c>
      <c r="B393" s="16" t="s">
        <v>1260</v>
      </c>
      <c r="C393" s="13">
        <v>46078</v>
      </c>
      <c r="D393" s="17">
        <v>0.55273148148148155</v>
      </c>
      <c r="E393" s="16" t="s">
        <v>2468</v>
      </c>
      <c r="F393" s="16" t="s">
        <v>2469</v>
      </c>
      <c r="G393" s="16" t="s">
        <v>1263</v>
      </c>
      <c r="H393" s="16" t="s">
        <v>1264</v>
      </c>
      <c r="AB393" s="34" t="s">
        <v>2347</v>
      </c>
      <c r="AC393" s="35">
        <v>1</v>
      </c>
    </row>
    <row r="394" spans="1:29" x14ac:dyDescent="0.4">
      <c r="A394" s="18" t="s">
        <v>2470</v>
      </c>
      <c r="B394" s="19" t="s">
        <v>1260</v>
      </c>
      <c r="C394" s="13">
        <v>46078</v>
      </c>
      <c r="D394" s="17">
        <v>0.51337962962962969</v>
      </c>
      <c r="E394" s="19" t="s">
        <v>2471</v>
      </c>
      <c r="F394" s="19" t="s">
        <v>2472</v>
      </c>
      <c r="G394" s="19" t="s">
        <v>1263</v>
      </c>
      <c r="H394" s="19" t="s">
        <v>1264</v>
      </c>
      <c r="AB394" s="34" t="s">
        <v>2237</v>
      </c>
      <c r="AC394" s="35">
        <v>1</v>
      </c>
    </row>
    <row r="395" spans="1:29" x14ac:dyDescent="0.4">
      <c r="A395" s="15" t="s">
        <v>2473</v>
      </c>
      <c r="B395" s="16" t="s">
        <v>1260</v>
      </c>
      <c r="C395" s="13">
        <v>46078</v>
      </c>
      <c r="D395" s="17">
        <v>0.56481481481481477</v>
      </c>
      <c r="E395" s="16" t="s">
        <v>2474</v>
      </c>
      <c r="F395" s="16" t="s">
        <v>2475</v>
      </c>
      <c r="G395" s="16" t="s">
        <v>1263</v>
      </c>
      <c r="H395" s="16" t="s">
        <v>1264</v>
      </c>
      <c r="AB395" s="34" t="s">
        <v>2063</v>
      </c>
      <c r="AC395" s="35">
        <v>1</v>
      </c>
    </row>
    <row r="396" spans="1:29" x14ac:dyDescent="0.4">
      <c r="A396" s="18" t="s">
        <v>2476</v>
      </c>
      <c r="B396" s="19" t="s">
        <v>1260</v>
      </c>
      <c r="C396" s="13">
        <v>46078</v>
      </c>
      <c r="D396" s="17">
        <v>0.59296296296296302</v>
      </c>
      <c r="E396" s="19" t="s">
        <v>2477</v>
      </c>
      <c r="F396" s="19" t="s">
        <v>2478</v>
      </c>
      <c r="G396" s="19" t="s">
        <v>1335</v>
      </c>
      <c r="H396" s="19" t="s">
        <v>1264</v>
      </c>
      <c r="AB396" s="34" t="s">
        <v>2294</v>
      </c>
      <c r="AC396" s="35">
        <v>1</v>
      </c>
    </row>
    <row r="397" spans="1:29" x14ac:dyDescent="0.4">
      <c r="A397" s="15" t="s">
        <v>2479</v>
      </c>
      <c r="B397" s="16" t="s">
        <v>1260</v>
      </c>
      <c r="C397" s="13">
        <v>46078</v>
      </c>
      <c r="D397" s="17">
        <v>0.35726851851851849</v>
      </c>
      <c r="E397" s="16" t="s">
        <v>2480</v>
      </c>
      <c r="F397" s="16" t="s">
        <v>2481</v>
      </c>
      <c r="G397" s="16" t="s">
        <v>1263</v>
      </c>
      <c r="H397" s="16" t="s">
        <v>1264</v>
      </c>
      <c r="AB397" s="34" t="s">
        <v>2399</v>
      </c>
      <c r="AC397" s="35">
        <v>1</v>
      </c>
    </row>
    <row r="398" spans="1:29" x14ac:dyDescent="0.4">
      <c r="A398" s="18" t="s">
        <v>2482</v>
      </c>
      <c r="B398" s="19" t="s">
        <v>1260</v>
      </c>
      <c r="C398" s="13">
        <v>46078</v>
      </c>
      <c r="D398" s="17">
        <v>0.52268518518518514</v>
      </c>
      <c r="E398" s="19" t="s">
        <v>2483</v>
      </c>
      <c r="F398" s="19" t="s">
        <v>2484</v>
      </c>
      <c r="G398" s="19" t="s">
        <v>1263</v>
      </c>
      <c r="H398" s="19" t="s">
        <v>1264</v>
      </c>
      <c r="AB398" s="34" t="s">
        <v>2654</v>
      </c>
      <c r="AC398" s="35">
        <v>1</v>
      </c>
    </row>
    <row r="399" spans="1:29" x14ac:dyDescent="0.4">
      <c r="A399" s="15" t="s">
        <v>2485</v>
      </c>
      <c r="B399" s="16" t="s">
        <v>1260</v>
      </c>
      <c r="C399" s="13">
        <v>46106</v>
      </c>
      <c r="D399" s="17">
        <v>0.48085648148148147</v>
      </c>
      <c r="E399" s="16" t="s">
        <v>2486</v>
      </c>
      <c r="F399" s="16" t="s">
        <v>2487</v>
      </c>
      <c r="G399" s="16" t="s">
        <v>1263</v>
      </c>
      <c r="H399" s="16" t="s">
        <v>1264</v>
      </c>
      <c r="AB399" s="34" t="s">
        <v>1606</v>
      </c>
      <c r="AC399" s="35">
        <v>1</v>
      </c>
    </row>
    <row r="400" spans="1:29" x14ac:dyDescent="0.4">
      <c r="A400" s="18" t="s">
        <v>2488</v>
      </c>
      <c r="B400" s="19" t="s">
        <v>1260</v>
      </c>
      <c r="C400" s="13">
        <v>46106</v>
      </c>
      <c r="D400" s="17">
        <v>0.5524189814814815</v>
      </c>
      <c r="E400" s="19" t="s">
        <v>1101</v>
      </c>
      <c r="F400" s="19" t="s">
        <v>2489</v>
      </c>
      <c r="G400" s="19" t="s">
        <v>1263</v>
      </c>
      <c r="H400" s="19" t="s">
        <v>1264</v>
      </c>
      <c r="AB400" s="34" t="s">
        <v>1980</v>
      </c>
      <c r="AC400" s="35">
        <v>1</v>
      </c>
    </row>
    <row r="401" spans="1:29" x14ac:dyDescent="0.4">
      <c r="A401" s="15" t="s">
        <v>2490</v>
      </c>
      <c r="B401" s="16" t="s">
        <v>1260</v>
      </c>
      <c r="C401" s="13">
        <v>46106</v>
      </c>
      <c r="D401" s="17">
        <v>0.71057870370370368</v>
      </c>
      <c r="E401" s="16" t="s">
        <v>2491</v>
      </c>
      <c r="F401" s="16" t="s">
        <v>2492</v>
      </c>
      <c r="G401" s="16" t="s">
        <v>1263</v>
      </c>
      <c r="H401" s="16" t="s">
        <v>1264</v>
      </c>
      <c r="AB401" s="34" t="s">
        <v>2264</v>
      </c>
      <c r="AC401" s="35">
        <v>1</v>
      </c>
    </row>
    <row r="402" spans="1:29" x14ac:dyDescent="0.4">
      <c r="A402" s="18" t="s">
        <v>2493</v>
      </c>
      <c r="B402" s="19" t="s">
        <v>1260</v>
      </c>
      <c r="C402" s="13">
        <v>46137</v>
      </c>
      <c r="D402" s="17">
        <v>0.88023148148148145</v>
      </c>
      <c r="E402" s="19" t="s">
        <v>2494</v>
      </c>
      <c r="F402" s="19" t="s">
        <v>2495</v>
      </c>
      <c r="G402" s="19" t="s">
        <v>1263</v>
      </c>
      <c r="H402" s="19" t="s">
        <v>1264</v>
      </c>
      <c r="AB402" s="34" t="s">
        <v>1292</v>
      </c>
      <c r="AC402" s="35">
        <v>1</v>
      </c>
    </row>
    <row r="403" spans="1:29" x14ac:dyDescent="0.4">
      <c r="A403" s="15" t="s">
        <v>2496</v>
      </c>
      <c r="B403" s="16" t="s">
        <v>1260</v>
      </c>
      <c r="C403" s="13">
        <v>46198</v>
      </c>
      <c r="D403" s="17">
        <v>0.49523148148148149</v>
      </c>
      <c r="E403" s="16" t="s">
        <v>2497</v>
      </c>
      <c r="F403" s="16" t="s">
        <v>2498</v>
      </c>
      <c r="G403" s="16" t="s">
        <v>1263</v>
      </c>
      <c r="H403" s="16" t="s">
        <v>1264</v>
      </c>
      <c r="AB403" s="34" t="s">
        <v>1283</v>
      </c>
      <c r="AC403" s="35">
        <v>1</v>
      </c>
    </row>
    <row r="404" spans="1:29" x14ac:dyDescent="0.4">
      <c r="A404" s="18" t="s">
        <v>2499</v>
      </c>
      <c r="B404" s="19" t="s">
        <v>1260</v>
      </c>
      <c r="C404" s="13">
        <v>46198</v>
      </c>
      <c r="D404" s="17">
        <v>0.58293981481481483</v>
      </c>
      <c r="E404" s="19" t="s">
        <v>2500</v>
      </c>
      <c r="F404" s="19" t="s">
        <v>2501</v>
      </c>
      <c r="G404" s="19" t="s">
        <v>1263</v>
      </c>
      <c r="H404" s="19" t="s">
        <v>1264</v>
      </c>
      <c r="AB404" s="34" t="s">
        <v>1553</v>
      </c>
      <c r="AC404" s="35">
        <v>1</v>
      </c>
    </row>
    <row r="405" spans="1:29" x14ac:dyDescent="0.4">
      <c r="A405" s="15" t="s">
        <v>2502</v>
      </c>
      <c r="B405" s="16" t="s">
        <v>1260</v>
      </c>
      <c r="C405" s="13">
        <v>46198</v>
      </c>
      <c r="D405" s="17">
        <v>0.42086805555555556</v>
      </c>
      <c r="E405" s="16" t="s">
        <v>2503</v>
      </c>
      <c r="F405" s="16" t="s">
        <v>2504</v>
      </c>
      <c r="G405" s="16" t="s">
        <v>1268</v>
      </c>
      <c r="H405" s="16" t="s">
        <v>1264</v>
      </c>
      <c r="AB405" s="34" t="s">
        <v>1845</v>
      </c>
      <c r="AC405" s="35">
        <v>1</v>
      </c>
    </row>
    <row r="406" spans="1:29" x14ac:dyDescent="0.4">
      <c r="A406" s="18" t="s">
        <v>2505</v>
      </c>
      <c r="B406" s="19" t="s">
        <v>1260</v>
      </c>
      <c r="C406" s="13">
        <v>46198</v>
      </c>
      <c r="D406" s="17">
        <v>0.54859953703703701</v>
      </c>
      <c r="E406" s="19" t="s">
        <v>2506</v>
      </c>
      <c r="F406" s="19" t="s">
        <v>2507</v>
      </c>
      <c r="G406" s="19" t="s">
        <v>1263</v>
      </c>
      <c r="H406" s="19" t="s">
        <v>1264</v>
      </c>
      <c r="AB406" s="34" t="s">
        <v>2496</v>
      </c>
      <c r="AC406" s="35">
        <v>1</v>
      </c>
    </row>
    <row r="407" spans="1:29" x14ac:dyDescent="0.4">
      <c r="A407" s="15" t="s">
        <v>2508</v>
      </c>
      <c r="B407" s="16" t="s">
        <v>1260</v>
      </c>
      <c r="C407" s="13">
        <v>46198</v>
      </c>
      <c r="D407" s="17">
        <v>0.51666666666666672</v>
      </c>
      <c r="E407" s="16" t="s">
        <v>2509</v>
      </c>
      <c r="F407" s="16" t="s">
        <v>2510</v>
      </c>
      <c r="G407" s="16" t="s">
        <v>1263</v>
      </c>
      <c r="H407" s="16" t="s">
        <v>1264</v>
      </c>
      <c r="AB407" s="34" t="s">
        <v>1842</v>
      </c>
      <c r="AC407" s="35">
        <v>1</v>
      </c>
    </row>
    <row r="408" spans="1:29" x14ac:dyDescent="0.4">
      <c r="A408" s="18" t="s">
        <v>2511</v>
      </c>
      <c r="B408" s="19" t="s">
        <v>1260</v>
      </c>
      <c r="C408" s="13">
        <v>45498</v>
      </c>
      <c r="D408" s="17">
        <v>0.55751157407407403</v>
      </c>
      <c r="E408" s="19" t="s">
        <v>2512</v>
      </c>
      <c r="F408" s="19" t="s">
        <v>2513</v>
      </c>
      <c r="G408" s="19" t="s">
        <v>1263</v>
      </c>
      <c r="H408" s="19" t="s">
        <v>1264</v>
      </c>
      <c r="AB408" s="34" t="s">
        <v>1351</v>
      </c>
      <c r="AC408" s="35">
        <v>1</v>
      </c>
    </row>
    <row r="409" spans="1:29" x14ac:dyDescent="0.4">
      <c r="A409" s="15" t="s">
        <v>2514</v>
      </c>
      <c r="B409" s="16" t="s">
        <v>1260</v>
      </c>
      <c r="C409" s="13">
        <v>45498</v>
      </c>
      <c r="D409" s="17">
        <v>0.63641203703703708</v>
      </c>
      <c r="E409" s="16" t="s">
        <v>2515</v>
      </c>
      <c r="F409" s="16" t="s">
        <v>2516</v>
      </c>
      <c r="G409" s="16" t="s">
        <v>1263</v>
      </c>
      <c r="H409" s="16" t="s">
        <v>1264</v>
      </c>
      <c r="AB409" s="34" t="s">
        <v>2177</v>
      </c>
      <c r="AC409" s="35">
        <v>1</v>
      </c>
    </row>
    <row r="410" spans="1:29" x14ac:dyDescent="0.4">
      <c r="A410" s="18" t="s">
        <v>2517</v>
      </c>
      <c r="B410" s="19" t="s">
        <v>1260</v>
      </c>
      <c r="C410" s="13">
        <v>46016</v>
      </c>
      <c r="D410" s="17">
        <v>0.64484953703703707</v>
      </c>
      <c r="E410" s="19" t="s">
        <v>2518</v>
      </c>
      <c r="F410" s="19" t="s">
        <v>2519</v>
      </c>
      <c r="G410" s="19" t="s">
        <v>1263</v>
      </c>
      <c r="H410" s="19" t="s">
        <v>1264</v>
      </c>
      <c r="AB410" s="34" t="s">
        <v>2645</v>
      </c>
      <c r="AC410" s="35">
        <v>1</v>
      </c>
    </row>
    <row r="411" spans="1:29" x14ac:dyDescent="0.4">
      <c r="A411" s="15" t="s">
        <v>2520</v>
      </c>
      <c r="B411" s="16" t="s">
        <v>1260</v>
      </c>
      <c r="C411" s="13">
        <v>46048</v>
      </c>
      <c r="D411" s="17">
        <v>0.45678240740740739</v>
      </c>
      <c r="E411" s="16" t="s">
        <v>2521</v>
      </c>
      <c r="F411" s="16" t="s">
        <v>2522</v>
      </c>
      <c r="G411" s="16" t="s">
        <v>1268</v>
      </c>
      <c r="H411" s="16" t="s">
        <v>1264</v>
      </c>
      <c r="AB411" s="34" t="s">
        <v>1317</v>
      </c>
      <c r="AC411" s="35">
        <v>1</v>
      </c>
    </row>
    <row r="412" spans="1:29" x14ac:dyDescent="0.4">
      <c r="A412" s="18" t="s">
        <v>2523</v>
      </c>
      <c r="B412" s="19" t="s">
        <v>1260</v>
      </c>
      <c r="C412" s="13">
        <v>46048</v>
      </c>
      <c r="D412" s="17">
        <v>0.4283912037037037</v>
      </c>
      <c r="E412" s="19" t="s">
        <v>2524</v>
      </c>
      <c r="F412" s="19" t="s">
        <v>2525</v>
      </c>
      <c r="G412" s="19" t="s">
        <v>1263</v>
      </c>
      <c r="H412" s="19" t="s">
        <v>1264</v>
      </c>
      <c r="AB412" s="34" t="s">
        <v>1992</v>
      </c>
      <c r="AC412" s="35">
        <v>1</v>
      </c>
    </row>
    <row r="413" spans="1:29" x14ac:dyDescent="0.4">
      <c r="A413" s="15" t="s">
        <v>2526</v>
      </c>
      <c r="B413" s="16" t="s">
        <v>1260</v>
      </c>
      <c r="C413" s="13">
        <v>45714</v>
      </c>
      <c r="D413" s="17">
        <v>0.81130787037037033</v>
      </c>
      <c r="E413" s="16" t="s">
        <v>2527</v>
      </c>
      <c r="F413" s="16" t="s">
        <v>2528</v>
      </c>
      <c r="G413" s="16" t="s">
        <v>1263</v>
      </c>
      <c r="H413" s="16" t="s">
        <v>1264</v>
      </c>
      <c r="AB413" s="34" t="s">
        <v>1660</v>
      </c>
      <c r="AC413" s="35">
        <v>1</v>
      </c>
    </row>
    <row r="414" spans="1:29" x14ac:dyDescent="0.4">
      <c r="A414" s="18" t="s">
        <v>2529</v>
      </c>
      <c r="B414" s="19" t="s">
        <v>1260</v>
      </c>
      <c r="C414" s="13">
        <v>45714</v>
      </c>
      <c r="D414" s="17">
        <v>0.32998842592592592</v>
      </c>
      <c r="E414" s="19" t="s">
        <v>2530</v>
      </c>
      <c r="F414" s="19" t="s">
        <v>2531</v>
      </c>
      <c r="G414" s="19" t="s">
        <v>1263</v>
      </c>
      <c r="H414" s="19" t="s">
        <v>1264</v>
      </c>
      <c r="AB414" s="34" t="s">
        <v>1998</v>
      </c>
      <c r="AC414" s="35">
        <v>1</v>
      </c>
    </row>
    <row r="415" spans="1:29" x14ac:dyDescent="0.4">
      <c r="A415" s="15" t="s">
        <v>2532</v>
      </c>
      <c r="B415" s="16" t="s">
        <v>1260</v>
      </c>
      <c r="C415" s="13">
        <v>46079</v>
      </c>
      <c r="D415" s="17">
        <v>0.62487268518518524</v>
      </c>
      <c r="E415" s="16" t="s">
        <v>2533</v>
      </c>
      <c r="F415" s="16" t="s">
        <v>2534</v>
      </c>
      <c r="G415" s="16" t="s">
        <v>1263</v>
      </c>
      <c r="H415" s="16" t="s">
        <v>1264</v>
      </c>
      <c r="AB415" s="34" t="s">
        <v>2603</v>
      </c>
      <c r="AC415" s="35">
        <v>1</v>
      </c>
    </row>
    <row r="416" spans="1:29" x14ac:dyDescent="0.4">
      <c r="A416" s="18" t="s">
        <v>2535</v>
      </c>
      <c r="B416" s="19" t="s">
        <v>1260</v>
      </c>
      <c r="C416" s="13">
        <v>46079</v>
      </c>
      <c r="D416" s="17">
        <v>0.4437962962962963</v>
      </c>
      <c r="E416" s="19" t="s">
        <v>2536</v>
      </c>
      <c r="F416" s="19" t="s">
        <v>2537</v>
      </c>
      <c r="G416" s="19" t="s">
        <v>1263</v>
      </c>
      <c r="H416" s="19" t="s">
        <v>1264</v>
      </c>
      <c r="AB416" s="34" t="s">
        <v>2359</v>
      </c>
      <c r="AC416" s="35">
        <v>1</v>
      </c>
    </row>
    <row r="417" spans="1:29" x14ac:dyDescent="0.4">
      <c r="A417" s="15" t="s">
        <v>2538</v>
      </c>
      <c r="B417" s="16" t="s">
        <v>1260</v>
      </c>
      <c r="C417" s="13">
        <v>46079</v>
      </c>
      <c r="D417" s="17">
        <v>0.28380787037037036</v>
      </c>
      <c r="E417" s="16" t="s">
        <v>2539</v>
      </c>
      <c r="F417" s="16" t="s">
        <v>2540</v>
      </c>
      <c r="G417" s="16" t="s">
        <v>1263</v>
      </c>
      <c r="H417" s="16" t="s">
        <v>1264</v>
      </c>
      <c r="AB417" s="34" t="s">
        <v>1371</v>
      </c>
      <c r="AC417" s="35">
        <v>1</v>
      </c>
    </row>
    <row r="418" spans="1:29" x14ac:dyDescent="0.4">
      <c r="A418" s="18" t="s">
        <v>2541</v>
      </c>
      <c r="B418" s="19" t="s">
        <v>1260</v>
      </c>
      <c r="C418" s="13">
        <v>46079</v>
      </c>
      <c r="D418" s="17">
        <v>0.51932870370370365</v>
      </c>
      <c r="E418" s="19" t="s">
        <v>2542</v>
      </c>
      <c r="F418" s="19" t="s">
        <v>2543</v>
      </c>
      <c r="G418" s="19" t="s">
        <v>1263</v>
      </c>
      <c r="H418" s="19" t="s">
        <v>1264</v>
      </c>
      <c r="AB418" s="34" t="s">
        <v>1636</v>
      </c>
      <c r="AC418" s="35">
        <v>1</v>
      </c>
    </row>
    <row r="419" spans="1:29" x14ac:dyDescent="0.4">
      <c r="A419" s="15" t="s">
        <v>2544</v>
      </c>
      <c r="B419" s="16" t="s">
        <v>1260</v>
      </c>
      <c r="C419" s="13">
        <v>46079</v>
      </c>
      <c r="D419" s="17">
        <v>0.34863425925925928</v>
      </c>
      <c r="E419" s="16" t="s">
        <v>2545</v>
      </c>
      <c r="F419" s="16" t="s">
        <v>2546</v>
      </c>
      <c r="G419" s="16" t="s">
        <v>1263</v>
      </c>
      <c r="H419" s="16" t="s">
        <v>1264</v>
      </c>
      <c r="AB419" s="34" t="s">
        <v>1681</v>
      </c>
      <c r="AC419" s="35">
        <v>1</v>
      </c>
    </row>
    <row r="420" spans="1:29" x14ac:dyDescent="0.4">
      <c r="A420" s="18" t="s">
        <v>2547</v>
      </c>
      <c r="B420" s="19" t="s">
        <v>1260</v>
      </c>
      <c r="C420" s="13">
        <v>46107</v>
      </c>
      <c r="D420" s="17">
        <v>0.42001157407407402</v>
      </c>
      <c r="E420" s="19" t="s">
        <v>2548</v>
      </c>
      <c r="F420" s="19" t="s">
        <v>2549</v>
      </c>
      <c r="G420" s="19" t="s">
        <v>1324</v>
      </c>
      <c r="H420" s="19" t="s">
        <v>1388</v>
      </c>
      <c r="AB420" s="34" t="s">
        <v>1295</v>
      </c>
      <c r="AC420" s="35">
        <v>1</v>
      </c>
    </row>
    <row r="421" spans="1:29" x14ac:dyDescent="0.4">
      <c r="A421" s="15" t="s">
        <v>2550</v>
      </c>
      <c r="B421" s="16" t="s">
        <v>1260</v>
      </c>
      <c r="C421" s="13">
        <v>46107</v>
      </c>
      <c r="D421" s="17">
        <v>0.42745370370370367</v>
      </c>
      <c r="E421" s="16" t="s">
        <v>2551</v>
      </c>
      <c r="F421" s="16" t="s">
        <v>2552</v>
      </c>
      <c r="G421" s="16" t="s">
        <v>1263</v>
      </c>
      <c r="H421" s="16" t="s">
        <v>1264</v>
      </c>
      <c r="AB421" s="34" t="s">
        <v>2609</v>
      </c>
      <c r="AC421" s="35">
        <v>1</v>
      </c>
    </row>
    <row r="422" spans="1:29" x14ac:dyDescent="0.4">
      <c r="A422" s="18" t="s">
        <v>2553</v>
      </c>
      <c r="B422" s="19" t="s">
        <v>1260</v>
      </c>
      <c r="C422" s="13">
        <v>46107</v>
      </c>
      <c r="D422" s="17">
        <v>0.55501157407407409</v>
      </c>
      <c r="E422" s="19" t="s">
        <v>2554</v>
      </c>
      <c r="F422" s="19" t="s">
        <v>2555</v>
      </c>
      <c r="G422" s="19" t="s">
        <v>1263</v>
      </c>
      <c r="H422" s="19" t="s">
        <v>1264</v>
      </c>
      <c r="AB422" s="34" t="s">
        <v>2108</v>
      </c>
      <c r="AC422" s="35">
        <v>1</v>
      </c>
    </row>
    <row r="423" spans="1:29" x14ac:dyDescent="0.4">
      <c r="A423" s="15" t="s">
        <v>2556</v>
      </c>
      <c r="B423" s="16" t="s">
        <v>1260</v>
      </c>
      <c r="C423" s="13">
        <v>46138</v>
      </c>
      <c r="D423" s="17">
        <v>0.55987268518518518</v>
      </c>
      <c r="E423" s="16" t="s">
        <v>2557</v>
      </c>
      <c r="F423" s="16" t="s">
        <v>2558</v>
      </c>
      <c r="G423" s="16" t="s">
        <v>1263</v>
      </c>
      <c r="H423" s="16" t="s">
        <v>1264</v>
      </c>
      <c r="AB423" s="34" t="s">
        <v>1693</v>
      </c>
      <c r="AC423" s="35">
        <v>1</v>
      </c>
    </row>
    <row r="424" spans="1:29" x14ac:dyDescent="0.4">
      <c r="A424" s="18" t="s">
        <v>2559</v>
      </c>
      <c r="B424" s="19" t="s">
        <v>1260</v>
      </c>
      <c r="C424" s="13">
        <v>46168</v>
      </c>
      <c r="D424" s="17">
        <v>0.43134259259259261</v>
      </c>
      <c r="E424" s="19" t="s">
        <v>2560</v>
      </c>
      <c r="F424" s="19" t="s">
        <v>2561</v>
      </c>
      <c r="G424" s="19" t="s">
        <v>1263</v>
      </c>
      <c r="H424" s="19" t="s">
        <v>1264</v>
      </c>
      <c r="AB424" s="34" t="s">
        <v>2467</v>
      </c>
      <c r="AC424" s="35">
        <v>1</v>
      </c>
    </row>
    <row r="425" spans="1:29" x14ac:dyDescent="0.4">
      <c r="A425" s="15" t="s">
        <v>2562</v>
      </c>
      <c r="B425" s="16" t="s">
        <v>1260</v>
      </c>
      <c r="C425" s="13">
        <v>46168</v>
      </c>
      <c r="D425" s="17">
        <v>0.6775578703703703</v>
      </c>
      <c r="E425" s="16" t="s">
        <v>2563</v>
      </c>
      <c r="F425" s="16" t="s">
        <v>2564</v>
      </c>
      <c r="G425" s="16" t="s">
        <v>1275</v>
      </c>
      <c r="H425" s="16" t="s">
        <v>1264</v>
      </c>
      <c r="AB425" s="34" t="s">
        <v>1471</v>
      </c>
      <c r="AC425" s="35">
        <v>1</v>
      </c>
    </row>
    <row r="426" spans="1:29" x14ac:dyDescent="0.4">
      <c r="A426" s="18" t="s">
        <v>2565</v>
      </c>
      <c r="B426" s="19" t="s">
        <v>1260</v>
      </c>
      <c r="C426" s="13">
        <v>46199</v>
      </c>
      <c r="D426" s="17">
        <v>0.7740393518518518</v>
      </c>
      <c r="E426" s="19" t="s">
        <v>2566</v>
      </c>
      <c r="F426" s="19" t="s">
        <v>2567</v>
      </c>
      <c r="G426" s="19" t="s">
        <v>1263</v>
      </c>
      <c r="H426" s="19" t="s">
        <v>1264</v>
      </c>
      <c r="AB426" s="34" t="s">
        <v>2660</v>
      </c>
      <c r="AC426" s="35">
        <v>1</v>
      </c>
    </row>
    <row r="427" spans="1:29" x14ac:dyDescent="0.4">
      <c r="A427" s="15" t="s">
        <v>2568</v>
      </c>
      <c r="B427" s="16" t="s">
        <v>1260</v>
      </c>
      <c r="C427" s="13">
        <v>45622</v>
      </c>
      <c r="D427" s="17">
        <v>0.78836805555555556</v>
      </c>
      <c r="E427" s="16" t="s">
        <v>2569</v>
      </c>
      <c r="F427" s="16" t="s">
        <v>2570</v>
      </c>
      <c r="G427" s="16" t="s">
        <v>1263</v>
      </c>
      <c r="H427" s="16" t="s">
        <v>1264</v>
      </c>
      <c r="AB427" s="34" t="s">
        <v>1941</v>
      </c>
      <c r="AC427" s="35">
        <v>1</v>
      </c>
    </row>
    <row r="428" spans="1:29" x14ac:dyDescent="0.4">
      <c r="A428" s="18" t="s">
        <v>2571</v>
      </c>
      <c r="B428" s="19" t="s">
        <v>1260</v>
      </c>
      <c r="C428" s="13">
        <v>45987</v>
      </c>
      <c r="D428" s="17">
        <v>0.90811342592592592</v>
      </c>
      <c r="E428" s="19" t="s">
        <v>2572</v>
      </c>
      <c r="F428" s="19" t="s">
        <v>2573</v>
      </c>
      <c r="G428" s="19" t="s">
        <v>1263</v>
      </c>
      <c r="H428" s="19" t="s">
        <v>1264</v>
      </c>
      <c r="AB428" s="34" t="s">
        <v>1428</v>
      </c>
      <c r="AC428" s="35">
        <v>1</v>
      </c>
    </row>
    <row r="429" spans="1:29" x14ac:dyDescent="0.4">
      <c r="A429" s="15" t="s">
        <v>2574</v>
      </c>
      <c r="B429" s="16" t="s">
        <v>1260</v>
      </c>
      <c r="C429" s="13">
        <v>46049</v>
      </c>
      <c r="D429" s="17">
        <v>0.45489583333333333</v>
      </c>
      <c r="E429" s="16" t="s">
        <v>2575</v>
      </c>
      <c r="F429" s="16" t="s">
        <v>2576</v>
      </c>
      <c r="G429" s="16" t="s">
        <v>1263</v>
      </c>
      <c r="H429" s="16" t="s">
        <v>1264</v>
      </c>
      <c r="AB429" s="34" t="s">
        <v>1517</v>
      </c>
      <c r="AC429" s="35">
        <v>1</v>
      </c>
    </row>
    <row r="430" spans="1:29" x14ac:dyDescent="0.4">
      <c r="A430" s="18" t="s">
        <v>2577</v>
      </c>
      <c r="B430" s="19" t="s">
        <v>1260</v>
      </c>
      <c r="C430" s="13">
        <v>46049</v>
      </c>
      <c r="D430" s="17">
        <v>0.71275462962962965</v>
      </c>
      <c r="E430" s="19" t="s">
        <v>2578</v>
      </c>
      <c r="F430" s="19" t="s">
        <v>2579</v>
      </c>
      <c r="G430" s="19" t="s">
        <v>1263</v>
      </c>
      <c r="H430" s="19" t="s">
        <v>1264</v>
      </c>
      <c r="AB430" s="34" t="s">
        <v>2695</v>
      </c>
      <c r="AC430" s="35">
        <v>1</v>
      </c>
    </row>
    <row r="431" spans="1:29" x14ac:dyDescent="0.4">
      <c r="A431" s="15" t="s">
        <v>2580</v>
      </c>
      <c r="B431" s="16" t="s">
        <v>1260</v>
      </c>
      <c r="C431" s="13">
        <v>46049</v>
      </c>
      <c r="D431" s="17">
        <v>0.65843750000000001</v>
      </c>
      <c r="E431" s="16" t="s">
        <v>2581</v>
      </c>
      <c r="F431" s="16" t="s">
        <v>2582</v>
      </c>
      <c r="G431" s="16" t="s">
        <v>1263</v>
      </c>
      <c r="H431" s="16" t="s">
        <v>1264</v>
      </c>
      <c r="AB431" s="34" t="s">
        <v>1355</v>
      </c>
      <c r="AC431" s="35">
        <v>1</v>
      </c>
    </row>
    <row r="432" spans="1:29" x14ac:dyDescent="0.4">
      <c r="A432" s="18" t="s">
        <v>2583</v>
      </c>
      <c r="B432" s="19" t="s">
        <v>1260</v>
      </c>
      <c r="C432" s="13">
        <v>46049</v>
      </c>
      <c r="D432" s="17">
        <v>0.487337962962963</v>
      </c>
      <c r="E432" s="19" t="s">
        <v>2584</v>
      </c>
      <c r="F432" s="19" t="s">
        <v>2585</v>
      </c>
      <c r="G432" s="19" t="s">
        <v>1263</v>
      </c>
      <c r="H432" s="19" t="s">
        <v>1264</v>
      </c>
      <c r="AB432" s="34" t="s">
        <v>1529</v>
      </c>
      <c r="AC432" s="35">
        <v>1</v>
      </c>
    </row>
    <row r="433" spans="1:29" x14ac:dyDescent="0.4">
      <c r="A433" s="15" t="s">
        <v>713</v>
      </c>
      <c r="B433" s="16" t="s">
        <v>1260</v>
      </c>
      <c r="C433" s="13">
        <v>46049</v>
      </c>
      <c r="D433" s="17">
        <v>0.6929050925925927</v>
      </c>
      <c r="E433" s="16" t="s">
        <v>2586</v>
      </c>
      <c r="F433" s="16" t="s">
        <v>2587</v>
      </c>
      <c r="G433" s="16" t="s">
        <v>1335</v>
      </c>
      <c r="H433" s="16" t="s">
        <v>1399</v>
      </c>
      <c r="AB433" s="34" t="s">
        <v>713</v>
      </c>
      <c r="AC433" s="35">
        <v>1</v>
      </c>
    </row>
    <row r="434" spans="1:29" x14ac:dyDescent="0.4">
      <c r="A434" s="18" t="s">
        <v>2588</v>
      </c>
      <c r="B434" s="19" t="s">
        <v>1260</v>
      </c>
      <c r="C434" s="13">
        <v>46080</v>
      </c>
      <c r="D434" s="17">
        <v>0.99843749999999998</v>
      </c>
      <c r="E434" s="19" t="s">
        <v>2589</v>
      </c>
      <c r="F434" s="19" t="s">
        <v>2590</v>
      </c>
      <c r="G434" s="19" t="s">
        <v>1275</v>
      </c>
      <c r="H434" s="19" t="s">
        <v>1264</v>
      </c>
      <c r="AB434" s="34" t="s">
        <v>2583</v>
      </c>
      <c r="AC434" s="35">
        <v>1</v>
      </c>
    </row>
    <row r="435" spans="1:29" x14ac:dyDescent="0.4">
      <c r="A435" s="15" t="s">
        <v>2591</v>
      </c>
      <c r="B435" s="16" t="s">
        <v>1260</v>
      </c>
      <c r="C435" s="13">
        <v>46080</v>
      </c>
      <c r="D435" s="17">
        <v>0.64133101851851848</v>
      </c>
      <c r="E435" s="16" t="s">
        <v>2592</v>
      </c>
      <c r="F435" s="16" t="s">
        <v>2593</v>
      </c>
      <c r="G435" s="16" t="s">
        <v>1263</v>
      </c>
      <c r="H435" s="16" t="s">
        <v>1264</v>
      </c>
      <c r="AB435" s="34" t="s">
        <v>2618</v>
      </c>
      <c r="AC435" s="35">
        <v>1</v>
      </c>
    </row>
    <row r="436" spans="1:29" x14ac:dyDescent="0.4">
      <c r="A436" s="18" t="s">
        <v>2594</v>
      </c>
      <c r="B436" s="19" t="s">
        <v>1260</v>
      </c>
      <c r="C436" s="13">
        <v>46108</v>
      </c>
      <c r="D436" s="17">
        <v>0.48278935185185184</v>
      </c>
      <c r="E436" s="19" t="s">
        <v>2595</v>
      </c>
      <c r="F436" s="19" t="s">
        <v>2596</v>
      </c>
      <c r="G436" s="19" t="s">
        <v>1263</v>
      </c>
      <c r="H436" s="19" t="s">
        <v>1264</v>
      </c>
      <c r="AB436" s="34" t="s">
        <v>2441</v>
      </c>
      <c r="AC436" s="35">
        <v>1</v>
      </c>
    </row>
    <row r="437" spans="1:29" x14ac:dyDescent="0.4">
      <c r="A437" s="15" t="s">
        <v>2597</v>
      </c>
      <c r="B437" s="16" t="s">
        <v>1260</v>
      </c>
      <c r="C437" s="13">
        <v>46108</v>
      </c>
      <c r="D437" s="17">
        <v>0.49523148148148149</v>
      </c>
      <c r="E437" s="16" t="s">
        <v>2598</v>
      </c>
      <c r="F437" s="16" t="s">
        <v>2599</v>
      </c>
      <c r="G437" s="16" t="s">
        <v>1263</v>
      </c>
      <c r="H437" s="16" t="s">
        <v>1264</v>
      </c>
      <c r="AB437" s="34" t="s">
        <v>2535</v>
      </c>
      <c r="AC437" s="35">
        <v>1</v>
      </c>
    </row>
    <row r="438" spans="1:29" x14ac:dyDescent="0.4">
      <c r="A438" s="18" t="s">
        <v>2600</v>
      </c>
      <c r="B438" s="19" t="s">
        <v>1260</v>
      </c>
      <c r="C438" s="13">
        <v>46108</v>
      </c>
      <c r="D438" s="17">
        <v>0.54032407407407412</v>
      </c>
      <c r="E438" s="19" t="s">
        <v>2601</v>
      </c>
      <c r="F438" s="19" t="s">
        <v>2602</v>
      </c>
      <c r="G438" s="19" t="s">
        <v>1279</v>
      </c>
      <c r="H438" s="19" t="s">
        <v>1264</v>
      </c>
      <c r="AB438" s="34" t="s">
        <v>2201</v>
      </c>
      <c r="AC438" s="35">
        <v>1</v>
      </c>
    </row>
    <row r="439" spans="1:29" x14ac:dyDescent="0.4">
      <c r="A439" s="15" t="s">
        <v>2603</v>
      </c>
      <c r="B439" s="16" t="s">
        <v>1260</v>
      </c>
      <c r="C439" s="13">
        <v>46108</v>
      </c>
      <c r="D439" s="17">
        <v>0.48780092592592594</v>
      </c>
      <c r="E439" s="16" t="s">
        <v>2604</v>
      </c>
      <c r="F439" s="16" t="s">
        <v>2605</v>
      </c>
      <c r="G439" s="16" t="s">
        <v>1263</v>
      </c>
      <c r="H439" s="16" t="s">
        <v>1264</v>
      </c>
      <c r="AB439" s="34" t="s">
        <v>1562</v>
      </c>
      <c r="AC439" s="35">
        <v>1</v>
      </c>
    </row>
    <row r="440" spans="1:29" x14ac:dyDescent="0.4">
      <c r="A440" s="18" t="s">
        <v>2606</v>
      </c>
      <c r="B440" s="19" t="s">
        <v>1260</v>
      </c>
      <c r="C440" s="13">
        <v>46108</v>
      </c>
      <c r="D440" s="17">
        <v>0.43839120370370371</v>
      </c>
      <c r="E440" s="19" t="s">
        <v>2607</v>
      </c>
      <c r="F440" s="19" t="s">
        <v>2608</v>
      </c>
      <c r="G440" s="19" t="s">
        <v>1324</v>
      </c>
      <c r="H440" s="19" t="s">
        <v>1403</v>
      </c>
      <c r="AB440" s="34" t="s">
        <v>1523</v>
      </c>
      <c r="AC440" s="35">
        <v>1</v>
      </c>
    </row>
    <row r="441" spans="1:29" x14ac:dyDescent="0.4">
      <c r="A441" s="15" t="s">
        <v>2609</v>
      </c>
      <c r="B441" s="16" t="s">
        <v>1260</v>
      </c>
      <c r="C441" s="13">
        <v>46108</v>
      </c>
      <c r="D441" s="17">
        <v>0.38689814814814816</v>
      </c>
      <c r="E441" s="16" t="s">
        <v>2610</v>
      </c>
      <c r="F441" s="16" t="s">
        <v>2611</v>
      </c>
      <c r="G441" s="16" t="s">
        <v>1279</v>
      </c>
      <c r="H441" s="16" t="s">
        <v>1264</v>
      </c>
      <c r="AB441" s="34" t="s">
        <v>2090</v>
      </c>
      <c r="AC441" s="35">
        <v>1</v>
      </c>
    </row>
    <row r="442" spans="1:29" x14ac:dyDescent="0.4">
      <c r="A442" s="18" t="s">
        <v>2612</v>
      </c>
      <c r="B442" s="19" t="s">
        <v>1260</v>
      </c>
      <c r="C442" s="13">
        <v>46139</v>
      </c>
      <c r="D442" s="17">
        <v>0.33155092592592594</v>
      </c>
      <c r="E442" s="19" t="s">
        <v>2613</v>
      </c>
      <c r="F442" s="19" t="s">
        <v>2614</v>
      </c>
      <c r="G442" s="19" t="s">
        <v>1263</v>
      </c>
      <c r="H442" s="19" t="s">
        <v>1264</v>
      </c>
      <c r="AB442" s="34" t="s">
        <v>1902</v>
      </c>
      <c r="AC442" s="35">
        <v>1</v>
      </c>
    </row>
    <row r="443" spans="1:29" x14ac:dyDescent="0.4">
      <c r="A443" s="15" t="s">
        <v>2615</v>
      </c>
      <c r="B443" s="16" t="s">
        <v>1260</v>
      </c>
      <c r="C443" s="13">
        <v>46139</v>
      </c>
      <c r="D443" s="17">
        <v>0.68306712962962957</v>
      </c>
      <c r="E443" s="16" t="s">
        <v>2616</v>
      </c>
      <c r="F443" s="16" t="s">
        <v>2617</v>
      </c>
      <c r="G443" s="16" t="s">
        <v>1263</v>
      </c>
      <c r="H443" s="16" t="s">
        <v>1264</v>
      </c>
      <c r="AB443" s="34" t="s">
        <v>2388</v>
      </c>
      <c r="AC443" s="35">
        <v>1</v>
      </c>
    </row>
    <row r="444" spans="1:29" x14ac:dyDescent="0.4">
      <c r="A444" s="18" t="s">
        <v>2618</v>
      </c>
      <c r="B444" s="19" t="s">
        <v>1260</v>
      </c>
      <c r="C444" s="13">
        <v>46169</v>
      </c>
      <c r="D444" s="17">
        <v>0.50695601851851857</v>
      </c>
      <c r="E444" s="19" t="s">
        <v>2619</v>
      </c>
      <c r="F444" s="19" t="s">
        <v>2620</v>
      </c>
      <c r="G444" s="19" t="s">
        <v>1263</v>
      </c>
      <c r="H444" s="19" t="s">
        <v>1264</v>
      </c>
      <c r="AB444" s="34" t="s">
        <v>1708</v>
      </c>
      <c r="AC444" s="35">
        <v>1</v>
      </c>
    </row>
    <row r="445" spans="1:29" x14ac:dyDescent="0.4">
      <c r="A445" s="15" t="s">
        <v>2621</v>
      </c>
      <c r="B445" s="16" t="s">
        <v>1260</v>
      </c>
      <c r="C445" s="13">
        <v>46169</v>
      </c>
      <c r="D445" s="17">
        <v>0.36712962962962964</v>
      </c>
      <c r="E445" s="16" t="s">
        <v>2622</v>
      </c>
      <c r="F445" s="16" t="s">
        <v>2623</v>
      </c>
      <c r="G445" s="16" t="s">
        <v>1263</v>
      </c>
      <c r="H445" s="16" t="s">
        <v>1264</v>
      </c>
      <c r="AB445" s="34" t="s">
        <v>2046</v>
      </c>
      <c r="AC445" s="35">
        <v>1</v>
      </c>
    </row>
    <row r="446" spans="1:29" x14ac:dyDescent="0.4">
      <c r="A446" s="18" t="s">
        <v>2624</v>
      </c>
      <c r="B446" s="19" t="s">
        <v>1260</v>
      </c>
      <c r="C446" s="13">
        <v>45988</v>
      </c>
      <c r="D446" s="17">
        <v>0.84719907407407413</v>
      </c>
      <c r="E446" s="19" t="s">
        <v>2625</v>
      </c>
      <c r="F446" s="19" t="s">
        <v>2626</v>
      </c>
      <c r="G446" s="19" t="s">
        <v>1279</v>
      </c>
      <c r="H446" s="19" t="s">
        <v>1264</v>
      </c>
      <c r="AB446" s="34" t="s">
        <v>2258</v>
      </c>
      <c r="AC446" s="35">
        <v>1</v>
      </c>
    </row>
    <row r="447" spans="1:29" x14ac:dyDescent="0.4">
      <c r="A447" s="15" t="s">
        <v>2627</v>
      </c>
      <c r="B447" s="16" t="s">
        <v>1260</v>
      </c>
      <c r="C447" s="13">
        <v>46050</v>
      </c>
      <c r="D447" s="17">
        <v>0.5146412037037037</v>
      </c>
      <c r="E447" s="16" t="s">
        <v>2628</v>
      </c>
      <c r="F447" s="16" t="s">
        <v>2629</v>
      </c>
      <c r="G447" s="16" t="s">
        <v>1263</v>
      </c>
      <c r="H447" s="16" t="s">
        <v>1264</v>
      </c>
      <c r="AB447" s="34" t="s">
        <v>2473</v>
      </c>
      <c r="AC447" s="35">
        <v>1</v>
      </c>
    </row>
    <row r="448" spans="1:29" x14ac:dyDescent="0.4">
      <c r="A448" s="18" t="s">
        <v>2630</v>
      </c>
      <c r="B448" s="19" t="s">
        <v>1260</v>
      </c>
      <c r="C448" s="13">
        <v>46050</v>
      </c>
      <c r="D448" s="17">
        <v>0.85084490740740737</v>
      </c>
      <c r="E448" s="19" t="s">
        <v>2631</v>
      </c>
      <c r="F448" s="19" t="s">
        <v>2632</v>
      </c>
      <c r="G448" s="19" t="s">
        <v>1263</v>
      </c>
      <c r="H448" s="19" t="s">
        <v>1264</v>
      </c>
      <c r="AB448" s="34" t="s">
        <v>1331</v>
      </c>
      <c r="AC448" s="35">
        <v>1</v>
      </c>
    </row>
    <row r="449" spans="1:29" x14ac:dyDescent="0.4">
      <c r="A449" s="15" t="s">
        <v>2633</v>
      </c>
      <c r="B449" s="16" t="s">
        <v>1260</v>
      </c>
      <c r="C449" s="13">
        <v>46050</v>
      </c>
      <c r="D449" s="17">
        <v>0.53099537037037037</v>
      </c>
      <c r="E449" s="16" t="s">
        <v>2634</v>
      </c>
      <c r="F449" s="16" t="s">
        <v>2635</v>
      </c>
      <c r="G449" s="16" t="s">
        <v>1263</v>
      </c>
      <c r="H449" s="16" t="s">
        <v>1264</v>
      </c>
      <c r="AB449" s="34" t="s">
        <v>1488</v>
      </c>
      <c r="AC449" s="35">
        <v>1</v>
      </c>
    </row>
    <row r="450" spans="1:29" x14ac:dyDescent="0.4">
      <c r="A450" s="18" t="s">
        <v>2636</v>
      </c>
      <c r="B450" s="19" t="s">
        <v>1260</v>
      </c>
      <c r="C450" s="13">
        <v>46050</v>
      </c>
      <c r="D450" s="17">
        <v>0.40864583333333332</v>
      </c>
      <c r="E450" s="19" t="s">
        <v>2637</v>
      </c>
      <c r="F450" s="19" t="s">
        <v>2638</v>
      </c>
      <c r="G450" s="19" t="s">
        <v>1263</v>
      </c>
      <c r="H450" s="19" t="s">
        <v>1264</v>
      </c>
      <c r="AB450" s="34" t="s">
        <v>1783</v>
      </c>
      <c r="AC450" s="35">
        <v>1</v>
      </c>
    </row>
    <row r="451" spans="1:29" x14ac:dyDescent="0.4">
      <c r="A451" s="15" t="s">
        <v>2639</v>
      </c>
      <c r="B451" s="16" t="s">
        <v>1260</v>
      </c>
      <c r="C451" s="13">
        <v>46050</v>
      </c>
      <c r="D451" s="17">
        <v>0.65748842592592593</v>
      </c>
      <c r="E451" s="16" t="s">
        <v>2640</v>
      </c>
      <c r="F451" s="16" t="s">
        <v>2641</v>
      </c>
      <c r="G451" s="16" t="s">
        <v>1263</v>
      </c>
      <c r="H451" s="16" t="s">
        <v>1264</v>
      </c>
      <c r="AB451" s="34" t="s">
        <v>1935</v>
      </c>
      <c r="AC451" s="35">
        <v>1</v>
      </c>
    </row>
    <row r="452" spans="1:29" x14ac:dyDescent="0.4">
      <c r="A452" s="18" t="s">
        <v>2642</v>
      </c>
      <c r="B452" s="19" t="s">
        <v>1260</v>
      </c>
      <c r="C452" s="13">
        <v>46050</v>
      </c>
      <c r="D452" s="17">
        <v>0.66326388888888888</v>
      </c>
      <c r="E452" s="19" t="s">
        <v>2643</v>
      </c>
      <c r="F452" s="19" t="s">
        <v>2644</v>
      </c>
      <c r="G452" s="19" t="s">
        <v>1263</v>
      </c>
      <c r="H452" s="19" t="s">
        <v>1264</v>
      </c>
      <c r="AB452" s="34" t="s">
        <v>1547</v>
      </c>
      <c r="AC452" s="35">
        <v>1</v>
      </c>
    </row>
    <row r="453" spans="1:29" x14ac:dyDescent="0.4">
      <c r="A453" s="15" t="s">
        <v>2645</v>
      </c>
      <c r="B453" s="16" t="s">
        <v>1260</v>
      </c>
      <c r="C453" s="13">
        <v>46050</v>
      </c>
      <c r="D453" s="17">
        <v>0.61623842592592593</v>
      </c>
      <c r="E453" s="16" t="s">
        <v>2646</v>
      </c>
      <c r="F453" s="16" t="s">
        <v>2647</v>
      </c>
      <c r="G453" s="16" t="s">
        <v>1263</v>
      </c>
      <c r="H453" s="16" t="s">
        <v>1264</v>
      </c>
      <c r="AB453" s="34" t="s">
        <v>2162</v>
      </c>
      <c r="AC453" s="35">
        <v>1</v>
      </c>
    </row>
    <row r="454" spans="1:29" x14ac:dyDescent="0.4">
      <c r="A454" s="18" t="s">
        <v>2648</v>
      </c>
      <c r="B454" s="19" t="s">
        <v>1260</v>
      </c>
      <c r="C454" s="13">
        <v>46050</v>
      </c>
      <c r="D454" s="17">
        <v>0.43951388888888893</v>
      </c>
      <c r="E454" s="19" t="s">
        <v>2649</v>
      </c>
      <c r="F454" s="19" t="s">
        <v>2650</v>
      </c>
      <c r="G454" s="19" t="s">
        <v>1335</v>
      </c>
      <c r="H454" s="19" t="s">
        <v>1264</v>
      </c>
      <c r="AB454" s="34" t="s">
        <v>1559</v>
      </c>
      <c r="AC454" s="35">
        <v>1</v>
      </c>
    </row>
    <row r="455" spans="1:29" x14ac:dyDescent="0.4">
      <c r="A455" s="15" t="s">
        <v>2651</v>
      </c>
      <c r="B455" s="16" t="s">
        <v>1260</v>
      </c>
      <c r="C455" s="13">
        <v>46081</v>
      </c>
      <c r="D455" s="17">
        <v>0.86591435185185184</v>
      </c>
      <c r="E455" s="16" t="s">
        <v>2652</v>
      </c>
      <c r="F455" s="16" t="s">
        <v>2653</v>
      </c>
      <c r="G455" s="16" t="s">
        <v>1263</v>
      </c>
      <c r="H455" s="16" t="s">
        <v>1264</v>
      </c>
      <c r="AB455" s="34" t="s">
        <v>1574</v>
      </c>
      <c r="AC455" s="35">
        <v>1</v>
      </c>
    </row>
    <row r="456" spans="1:29" x14ac:dyDescent="0.4">
      <c r="A456" s="18" t="s">
        <v>2654</v>
      </c>
      <c r="B456" s="19" t="s">
        <v>1260</v>
      </c>
      <c r="C456" s="13">
        <v>46109</v>
      </c>
      <c r="D456" s="17">
        <v>0.8986574074074074</v>
      </c>
      <c r="E456" s="19" t="s">
        <v>2655</v>
      </c>
      <c r="F456" s="19" t="s">
        <v>2656</v>
      </c>
      <c r="G456" s="19" t="s">
        <v>1263</v>
      </c>
      <c r="H456" s="19" t="s">
        <v>1264</v>
      </c>
      <c r="AB456" s="34" t="s">
        <v>2559</v>
      </c>
      <c r="AC456" s="35">
        <v>1</v>
      </c>
    </row>
    <row r="457" spans="1:29" x14ac:dyDescent="0.4">
      <c r="A457" s="15" t="s">
        <v>2657</v>
      </c>
      <c r="B457" s="16" t="s">
        <v>1260</v>
      </c>
      <c r="C457" s="13">
        <v>45775</v>
      </c>
      <c r="D457" s="17">
        <v>0.7112384259259259</v>
      </c>
      <c r="E457" s="16" t="s">
        <v>2658</v>
      </c>
      <c r="F457" s="16" t="s">
        <v>2659</v>
      </c>
      <c r="G457" s="16" t="s">
        <v>1263</v>
      </c>
      <c r="H457" s="16" t="s">
        <v>1264</v>
      </c>
      <c r="AB457" s="34" t="s">
        <v>2159</v>
      </c>
      <c r="AC457" s="35">
        <v>1</v>
      </c>
    </row>
    <row r="458" spans="1:29" x14ac:dyDescent="0.4">
      <c r="A458" s="18" t="s">
        <v>2660</v>
      </c>
      <c r="B458" s="19" t="s">
        <v>1260</v>
      </c>
      <c r="C458" s="13">
        <v>46140</v>
      </c>
      <c r="D458" s="17">
        <v>0.63024305555555549</v>
      </c>
      <c r="E458" s="19" t="s">
        <v>2661</v>
      </c>
      <c r="F458" s="19" t="s">
        <v>2662</v>
      </c>
      <c r="G458" s="19" t="s">
        <v>1324</v>
      </c>
      <c r="H458" s="19" t="s">
        <v>1422</v>
      </c>
      <c r="AB458" s="34" t="s">
        <v>1729</v>
      </c>
      <c r="AC458" s="35">
        <v>1</v>
      </c>
    </row>
    <row r="459" spans="1:29" x14ac:dyDescent="0.4">
      <c r="A459" s="15" t="s">
        <v>2663</v>
      </c>
      <c r="B459" s="16" t="s">
        <v>1260</v>
      </c>
      <c r="C459" s="13">
        <v>46140</v>
      </c>
      <c r="D459" s="17">
        <v>0.29475694444444445</v>
      </c>
      <c r="E459" s="16" t="s">
        <v>2664</v>
      </c>
      <c r="F459" s="16" t="s">
        <v>2665</v>
      </c>
      <c r="G459" s="16" t="s">
        <v>1268</v>
      </c>
      <c r="H459" s="16" t="s">
        <v>1264</v>
      </c>
      <c r="AB459" s="34" t="s">
        <v>2192</v>
      </c>
      <c r="AC459" s="35">
        <v>1</v>
      </c>
    </row>
    <row r="460" spans="1:29" x14ac:dyDescent="0.4">
      <c r="A460" s="18" t="s">
        <v>2666</v>
      </c>
      <c r="B460" s="19" t="s">
        <v>1260</v>
      </c>
      <c r="C460" s="13">
        <v>46140</v>
      </c>
      <c r="D460" s="17">
        <v>0.72285879629629635</v>
      </c>
      <c r="E460" s="19" t="s">
        <v>2667</v>
      </c>
      <c r="F460" s="19" t="s">
        <v>2668</v>
      </c>
      <c r="G460" s="19" t="s">
        <v>1263</v>
      </c>
      <c r="H460" s="19" t="s">
        <v>1264</v>
      </c>
      <c r="AB460" s="34" t="s">
        <v>2144</v>
      </c>
      <c r="AC460" s="35">
        <v>1</v>
      </c>
    </row>
    <row r="461" spans="1:29" x14ac:dyDescent="0.4">
      <c r="A461" s="15" t="s">
        <v>2669</v>
      </c>
      <c r="B461" s="16" t="s">
        <v>1260</v>
      </c>
      <c r="C461" s="13">
        <v>46140</v>
      </c>
      <c r="D461" s="17">
        <v>0.65879629629629632</v>
      </c>
      <c r="E461" s="16" t="s">
        <v>2670</v>
      </c>
      <c r="F461" s="16" t="s">
        <v>2671</v>
      </c>
      <c r="G461" s="16" t="s">
        <v>1279</v>
      </c>
      <c r="H461" s="16" t="s">
        <v>1264</v>
      </c>
      <c r="AB461" s="34" t="s">
        <v>2332</v>
      </c>
      <c r="AC461" s="35">
        <v>1</v>
      </c>
    </row>
    <row r="462" spans="1:29" x14ac:dyDescent="0.4">
      <c r="A462" s="18" t="s">
        <v>210</v>
      </c>
      <c r="B462" s="19" t="s">
        <v>1260</v>
      </c>
      <c r="C462" s="13">
        <v>46140</v>
      </c>
      <c r="D462" s="17">
        <v>0.45446759259259256</v>
      </c>
      <c r="E462" s="19" t="s">
        <v>2672</v>
      </c>
      <c r="F462" s="19" t="s">
        <v>2673</v>
      </c>
      <c r="G462" s="19" t="s">
        <v>1335</v>
      </c>
      <c r="H462" s="19" t="s">
        <v>1264</v>
      </c>
      <c r="AB462" s="34" t="s">
        <v>1456</v>
      </c>
      <c r="AC462" s="35">
        <v>1</v>
      </c>
    </row>
    <row r="463" spans="1:29" x14ac:dyDescent="0.4">
      <c r="A463" s="15" t="s">
        <v>2674</v>
      </c>
      <c r="B463" s="16" t="s">
        <v>1260</v>
      </c>
      <c r="C463" s="13">
        <v>45958</v>
      </c>
      <c r="D463" s="17">
        <v>0.4488078703703704</v>
      </c>
      <c r="E463" s="16" t="s">
        <v>2675</v>
      </c>
      <c r="F463" s="16" t="s">
        <v>2676</v>
      </c>
      <c r="G463" s="16" t="s">
        <v>1263</v>
      </c>
      <c r="H463" s="16" t="s">
        <v>1264</v>
      </c>
      <c r="AB463" s="34" t="s">
        <v>1824</v>
      </c>
      <c r="AC463" s="35">
        <v>1</v>
      </c>
    </row>
    <row r="464" spans="1:29" x14ac:dyDescent="0.4">
      <c r="A464" s="18" t="s">
        <v>2677</v>
      </c>
      <c r="B464" s="19" t="s">
        <v>1260</v>
      </c>
      <c r="C464" s="13">
        <v>46051</v>
      </c>
      <c r="D464" s="17">
        <v>0.32629629629629631</v>
      </c>
      <c r="E464" s="19" t="s">
        <v>2678</v>
      </c>
      <c r="F464" s="19" t="s">
        <v>2679</v>
      </c>
      <c r="G464" s="19" t="s">
        <v>1263</v>
      </c>
      <c r="H464" s="19" t="s">
        <v>1264</v>
      </c>
      <c r="AB464" s="34" t="s">
        <v>1965</v>
      </c>
      <c r="AC464" s="35">
        <v>1</v>
      </c>
    </row>
    <row r="465" spans="1:29" x14ac:dyDescent="0.4">
      <c r="A465" s="15" t="s">
        <v>2680</v>
      </c>
      <c r="B465" s="16" t="s">
        <v>1260</v>
      </c>
      <c r="C465" s="13">
        <v>46051</v>
      </c>
      <c r="D465" s="17">
        <v>0.64620370370370372</v>
      </c>
      <c r="E465" s="16" t="s">
        <v>2681</v>
      </c>
      <c r="F465" s="16" t="s">
        <v>2682</v>
      </c>
      <c r="G465" s="16" t="s">
        <v>1263</v>
      </c>
      <c r="H465" s="16" t="s">
        <v>1264</v>
      </c>
      <c r="AB465" s="34" t="s">
        <v>1851</v>
      </c>
      <c r="AC465" s="35">
        <v>1</v>
      </c>
    </row>
    <row r="466" spans="1:29" x14ac:dyDescent="0.4">
      <c r="A466" s="18" t="s">
        <v>2683</v>
      </c>
      <c r="B466" s="19" t="s">
        <v>1260</v>
      </c>
      <c r="C466" s="13">
        <v>46051</v>
      </c>
      <c r="D466" s="17">
        <v>0.49422453703703706</v>
      </c>
      <c r="E466" s="19" t="s">
        <v>2684</v>
      </c>
      <c r="F466" s="19" t="s">
        <v>2685</v>
      </c>
      <c r="G466" s="19" t="s">
        <v>1263</v>
      </c>
      <c r="H466" s="19" t="s">
        <v>1264</v>
      </c>
      <c r="AB466" s="34" t="s">
        <v>1702</v>
      </c>
      <c r="AC466" s="35">
        <v>1</v>
      </c>
    </row>
    <row r="467" spans="1:29" x14ac:dyDescent="0.4">
      <c r="A467" s="15" t="s">
        <v>2686</v>
      </c>
      <c r="B467" s="16" t="s">
        <v>1260</v>
      </c>
      <c r="C467" s="13">
        <v>46051</v>
      </c>
      <c r="D467" s="17">
        <v>0.71020833333333344</v>
      </c>
      <c r="E467" s="16" t="s">
        <v>2687</v>
      </c>
      <c r="F467" s="16" t="s">
        <v>2688</v>
      </c>
      <c r="G467" s="16" t="s">
        <v>1263</v>
      </c>
      <c r="H467" s="16" t="s">
        <v>1264</v>
      </c>
      <c r="AB467" s="34" t="s">
        <v>1630</v>
      </c>
      <c r="AC467" s="35">
        <v>1</v>
      </c>
    </row>
    <row r="468" spans="1:29" x14ac:dyDescent="0.4">
      <c r="A468" s="18" t="s">
        <v>2689</v>
      </c>
      <c r="B468" s="19" t="s">
        <v>1260</v>
      </c>
      <c r="C468" s="13">
        <v>46141</v>
      </c>
      <c r="D468" s="17">
        <v>0.56640046296296298</v>
      </c>
      <c r="E468" s="19" t="s">
        <v>2690</v>
      </c>
      <c r="F468" s="19" t="s">
        <v>2691</v>
      </c>
      <c r="G468" s="19" t="s">
        <v>1324</v>
      </c>
      <c r="H468" s="19" t="s">
        <v>1403</v>
      </c>
      <c r="AB468" s="34" t="s">
        <v>2571</v>
      </c>
      <c r="AC468" s="35">
        <v>1</v>
      </c>
    </row>
    <row r="469" spans="1:29" x14ac:dyDescent="0.4">
      <c r="A469" s="15" t="s">
        <v>2692</v>
      </c>
      <c r="B469" s="16" t="s">
        <v>1260</v>
      </c>
      <c r="C469" s="13">
        <v>46141</v>
      </c>
      <c r="D469" s="17">
        <v>0.69201388888888893</v>
      </c>
      <c r="E469" s="16" t="s">
        <v>2693</v>
      </c>
      <c r="F469" s="16" t="s">
        <v>2694</v>
      </c>
      <c r="G469" s="16" t="s">
        <v>1268</v>
      </c>
      <c r="H469" s="16" t="s">
        <v>1264</v>
      </c>
      <c r="AB469" s="34" t="s">
        <v>1526</v>
      </c>
      <c r="AC469" s="35">
        <v>1</v>
      </c>
    </row>
    <row r="470" spans="1:29" x14ac:dyDescent="0.4">
      <c r="A470" s="18" t="s">
        <v>2695</v>
      </c>
      <c r="B470" s="19" t="s">
        <v>1260</v>
      </c>
      <c r="C470" s="13">
        <v>46141</v>
      </c>
      <c r="D470" s="17">
        <v>0.56756944444444446</v>
      </c>
      <c r="E470" s="19" t="s">
        <v>2696</v>
      </c>
      <c r="F470" s="19" t="s">
        <v>2697</v>
      </c>
      <c r="G470" s="19" t="s">
        <v>1335</v>
      </c>
      <c r="H470" s="19" t="s">
        <v>1264</v>
      </c>
      <c r="AB470" s="34" t="s">
        <v>2435</v>
      </c>
      <c r="AC470" s="35">
        <v>1</v>
      </c>
    </row>
    <row r="471" spans="1:29" x14ac:dyDescent="0.4">
      <c r="A471" s="15" t="s">
        <v>2698</v>
      </c>
      <c r="B471" s="16" t="s">
        <v>1260</v>
      </c>
      <c r="C471" s="13">
        <v>46202</v>
      </c>
      <c r="D471" s="17">
        <v>0.78615740740740747</v>
      </c>
      <c r="E471" s="16" t="s">
        <v>2699</v>
      </c>
      <c r="F471" s="16" t="s">
        <v>2700</v>
      </c>
      <c r="G471" s="16" t="s">
        <v>1279</v>
      </c>
      <c r="H471" s="16" t="s">
        <v>1264</v>
      </c>
      <c r="AB471" s="34" t="s">
        <v>1747</v>
      </c>
      <c r="AC471" s="35">
        <v>1</v>
      </c>
    </row>
    <row r="472" spans="1:29" x14ac:dyDescent="0.4">
      <c r="A472" s="18" t="s">
        <v>2701</v>
      </c>
      <c r="B472" s="19" t="s">
        <v>1260</v>
      </c>
      <c r="C472" s="13">
        <v>46202</v>
      </c>
      <c r="D472" s="17">
        <v>0.76065972222222211</v>
      </c>
      <c r="E472" s="19" t="s">
        <v>2702</v>
      </c>
      <c r="F472" s="19" t="s">
        <v>2703</v>
      </c>
      <c r="G472" s="19" t="s">
        <v>1279</v>
      </c>
      <c r="H472" s="19" t="s">
        <v>1264</v>
      </c>
      <c r="AB472" s="34" t="s">
        <v>1791</v>
      </c>
      <c r="AC472" s="35">
        <v>1</v>
      </c>
    </row>
    <row r="473" spans="1:29" x14ac:dyDescent="0.4">
      <c r="A473" s="15" t="s">
        <v>2704</v>
      </c>
      <c r="B473" s="16" t="s">
        <v>1260</v>
      </c>
      <c r="C473" s="13">
        <v>46202</v>
      </c>
      <c r="D473" s="17">
        <v>0.41041666666666665</v>
      </c>
      <c r="E473" s="16" t="s">
        <v>2268</v>
      </c>
      <c r="F473" s="16" t="s">
        <v>2705</v>
      </c>
      <c r="G473" s="16" t="s">
        <v>1263</v>
      </c>
      <c r="H473" s="16" t="s">
        <v>1264</v>
      </c>
      <c r="AB473" s="34" t="s">
        <v>2311</v>
      </c>
      <c r="AC473" s="35">
        <v>1</v>
      </c>
    </row>
    <row r="474" spans="1:29" x14ac:dyDescent="0.4">
      <c r="A474" s="18" t="s">
        <v>2706</v>
      </c>
      <c r="B474" s="19" t="s">
        <v>1260</v>
      </c>
      <c r="C474" s="13">
        <v>46020</v>
      </c>
      <c r="D474" s="17">
        <v>0.44015046296296295</v>
      </c>
      <c r="E474" s="19" t="s">
        <v>2707</v>
      </c>
      <c r="F474" s="19" t="s">
        <v>2708</v>
      </c>
      <c r="G474" s="19" t="s">
        <v>1275</v>
      </c>
      <c r="H474" s="19" t="s">
        <v>1264</v>
      </c>
      <c r="AB474" s="34" t="s">
        <v>2285</v>
      </c>
      <c r="AC474" s="35">
        <v>1</v>
      </c>
    </row>
    <row r="475" spans="1:29" x14ac:dyDescent="0.4">
      <c r="A475" s="15" t="s">
        <v>2709</v>
      </c>
      <c r="B475" s="16" t="s">
        <v>1260</v>
      </c>
      <c r="C475" s="13">
        <v>46052</v>
      </c>
      <c r="D475" s="17">
        <v>0.50747685185185187</v>
      </c>
      <c r="E475" s="16" t="s">
        <v>2710</v>
      </c>
      <c r="F475" s="16" t="s">
        <v>2711</v>
      </c>
      <c r="G475" s="16" t="s">
        <v>1263</v>
      </c>
      <c r="H475" s="16" t="s">
        <v>1264</v>
      </c>
      <c r="AB475" s="34" t="s">
        <v>2701</v>
      </c>
      <c r="AC475" s="35">
        <v>1</v>
      </c>
    </row>
    <row r="476" spans="1:29" x14ac:dyDescent="0.4">
      <c r="A476" s="18" t="s">
        <v>2712</v>
      </c>
      <c r="B476" s="19" t="s">
        <v>1260</v>
      </c>
      <c r="C476" s="13">
        <v>46111</v>
      </c>
      <c r="D476" s="17">
        <v>0.67548611111111112</v>
      </c>
      <c r="E476" s="19" t="s">
        <v>2713</v>
      </c>
      <c r="F476" s="19" t="s">
        <v>2714</v>
      </c>
      <c r="G476" s="19" t="s">
        <v>1324</v>
      </c>
      <c r="H476" s="19" t="s">
        <v>1403</v>
      </c>
      <c r="AB476" s="34" t="s">
        <v>2288</v>
      </c>
      <c r="AC476" s="35">
        <v>1</v>
      </c>
    </row>
    <row r="477" spans="1:29" x14ac:dyDescent="0.4">
      <c r="A477" s="15" t="s">
        <v>2715</v>
      </c>
      <c r="B477" s="16" t="s">
        <v>1260</v>
      </c>
      <c r="C477" s="13">
        <v>46111</v>
      </c>
      <c r="D477" s="17">
        <v>0.38530092592592591</v>
      </c>
      <c r="E477" s="16" t="s">
        <v>2716</v>
      </c>
      <c r="F477" s="16" t="s">
        <v>2717</v>
      </c>
      <c r="G477" s="16" t="s">
        <v>1263</v>
      </c>
      <c r="H477" s="16" t="s">
        <v>1264</v>
      </c>
      <c r="AB477" s="34" t="s">
        <v>2683</v>
      </c>
      <c r="AC477" s="35">
        <v>1</v>
      </c>
    </row>
    <row r="478" spans="1:29" x14ac:dyDescent="0.4">
      <c r="A478" s="18" t="s">
        <v>2718</v>
      </c>
      <c r="B478" s="19" t="s">
        <v>1260</v>
      </c>
      <c r="C478" s="13">
        <v>46111</v>
      </c>
      <c r="D478" s="17">
        <v>0.54199074074074072</v>
      </c>
      <c r="E478" s="19" t="s">
        <v>2719</v>
      </c>
      <c r="F478" s="19" t="s">
        <v>2720</v>
      </c>
      <c r="G478" s="19" t="s">
        <v>1263</v>
      </c>
      <c r="H478" s="19" t="s">
        <v>1264</v>
      </c>
      <c r="AB478" s="34" t="s">
        <v>2370</v>
      </c>
      <c r="AC478" s="35">
        <v>1</v>
      </c>
    </row>
    <row r="479" spans="1:29" x14ac:dyDescent="0.4">
      <c r="A479" s="15" t="s">
        <v>2721</v>
      </c>
      <c r="B479" s="16" t="s">
        <v>1260</v>
      </c>
      <c r="C479" s="13">
        <v>46142</v>
      </c>
      <c r="D479" s="17">
        <v>0.5095601851851852</v>
      </c>
      <c r="E479" s="16" t="s">
        <v>2722</v>
      </c>
      <c r="F479" s="16" t="s">
        <v>2723</v>
      </c>
      <c r="G479" s="16" t="s">
        <v>1263</v>
      </c>
      <c r="H479" s="16" t="s">
        <v>1264</v>
      </c>
      <c r="AB479" s="34" t="s">
        <v>2532</v>
      </c>
      <c r="AC479" s="35">
        <v>1</v>
      </c>
    </row>
    <row r="480" spans="1:29" x14ac:dyDescent="0.4">
      <c r="A480" s="18" t="s">
        <v>2724</v>
      </c>
      <c r="B480" s="19" t="s">
        <v>1260</v>
      </c>
      <c r="C480" s="13">
        <v>46142</v>
      </c>
      <c r="D480" s="17">
        <v>0.6626967592592593</v>
      </c>
      <c r="E480" s="19" t="s">
        <v>2725</v>
      </c>
      <c r="F480" s="19" t="s">
        <v>2726</v>
      </c>
      <c r="G480" s="19" t="s">
        <v>1263</v>
      </c>
      <c r="H480" s="19" t="s">
        <v>1264</v>
      </c>
      <c r="AB480" s="34" t="s">
        <v>1645</v>
      </c>
      <c r="AC480" s="35">
        <v>1</v>
      </c>
    </row>
    <row r="481" spans="1:29" x14ac:dyDescent="0.4">
      <c r="A481" s="15" t="s">
        <v>2727</v>
      </c>
      <c r="B481" s="16" t="s">
        <v>1260</v>
      </c>
      <c r="C481" s="13">
        <v>46142</v>
      </c>
      <c r="D481" s="17">
        <v>0.77991898148148142</v>
      </c>
      <c r="E481" s="16" t="s">
        <v>2728</v>
      </c>
      <c r="F481" s="16" t="s">
        <v>2729</v>
      </c>
      <c r="G481" s="16" t="s">
        <v>1335</v>
      </c>
      <c r="H481" s="16" t="s">
        <v>1264</v>
      </c>
      <c r="AB481" s="34" t="s">
        <v>1408</v>
      </c>
      <c r="AC481" s="35">
        <v>1</v>
      </c>
    </row>
    <row r="482" spans="1:29" x14ac:dyDescent="0.4">
      <c r="A482" s="18" t="s">
        <v>2730</v>
      </c>
      <c r="B482" s="19" t="s">
        <v>1260</v>
      </c>
      <c r="C482" s="13">
        <v>46142</v>
      </c>
      <c r="D482" s="17">
        <v>0.47819444444444442</v>
      </c>
      <c r="E482" s="19" t="s">
        <v>2731</v>
      </c>
      <c r="F482" s="19" t="s">
        <v>2732</v>
      </c>
      <c r="G482" s="19" t="s">
        <v>1263</v>
      </c>
      <c r="H482" s="19" t="s">
        <v>1264</v>
      </c>
      <c r="AB482" s="34" t="s">
        <v>1494</v>
      </c>
      <c r="AC482" s="35">
        <v>1</v>
      </c>
    </row>
    <row r="483" spans="1:29" x14ac:dyDescent="0.4">
      <c r="A483" s="15" t="s">
        <v>2733</v>
      </c>
      <c r="B483" s="16" t="s">
        <v>1260</v>
      </c>
      <c r="C483" s="13">
        <v>46172</v>
      </c>
      <c r="D483" s="17">
        <v>0.44556712962962958</v>
      </c>
      <c r="E483" s="16" t="s">
        <v>2734</v>
      </c>
      <c r="F483" s="16" t="s">
        <v>2735</v>
      </c>
      <c r="G483" s="16" t="s">
        <v>1263</v>
      </c>
      <c r="H483" s="16" t="s">
        <v>1264</v>
      </c>
      <c r="AB483" s="34" t="s">
        <v>1474</v>
      </c>
      <c r="AC483" s="35">
        <v>1</v>
      </c>
    </row>
    <row r="484" spans="1:29" x14ac:dyDescent="0.4">
      <c r="A484" s="18" t="s">
        <v>2736</v>
      </c>
      <c r="B484" s="19" t="s">
        <v>1260</v>
      </c>
      <c r="C484" s="13">
        <v>46203</v>
      </c>
      <c r="D484" s="17">
        <v>0.42594907407407406</v>
      </c>
      <c r="E484" s="19" t="s">
        <v>2737</v>
      </c>
      <c r="F484" s="19" t="s">
        <v>2738</v>
      </c>
      <c r="G484" s="19" t="s">
        <v>1268</v>
      </c>
      <c r="H484" s="19" t="s">
        <v>1264</v>
      </c>
      <c r="AB484" s="34" t="s">
        <v>1896</v>
      </c>
      <c r="AC484" s="35">
        <v>1</v>
      </c>
    </row>
    <row r="485" spans="1:29" x14ac:dyDescent="0.4">
      <c r="A485" s="15" t="s">
        <v>2739</v>
      </c>
      <c r="B485" s="16" t="s">
        <v>1260</v>
      </c>
      <c r="C485" s="13">
        <v>46112</v>
      </c>
      <c r="D485" s="17">
        <v>0.55803240740740734</v>
      </c>
      <c r="E485" s="16" t="s">
        <v>2740</v>
      </c>
      <c r="F485" s="16" t="s">
        <v>2741</v>
      </c>
      <c r="G485" s="16" t="s">
        <v>1324</v>
      </c>
      <c r="H485" s="16" t="s">
        <v>1427</v>
      </c>
      <c r="AB485" s="34" t="s">
        <v>2627</v>
      </c>
      <c r="AC485" s="35">
        <v>1</v>
      </c>
    </row>
    <row r="486" spans="1:29" x14ac:dyDescent="0.4">
      <c r="A486" s="18" t="s">
        <v>2742</v>
      </c>
      <c r="B486" s="19" t="s">
        <v>1260</v>
      </c>
      <c r="C486" s="13">
        <v>46112</v>
      </c>
      <c r="D486" s="17">
        <v>0.51709490740740738</v>
      </c>
      <c r="E486" s="19" t="s">
        <v>2743</v>
      </c>
      <c r="F486" s="19" t="s">
        <v>2744</v>
      </c>
      <c r="G486" s="19" t="s">
        <v>1263</v>
      </c>
      <c r="H486" s="19" t="s">
        <v>1264</v>
      </c>
      <c r="AB486" s="34" t="s">
        <v>2385</v>
      </c>
      <c r="AC486" s="35">
        <v>1</v>
      </c>
    </row>
    <row r="487" spans="1:29" x14ac:dyDescent="0.4">
      <c r="AB487" s="34" t="s">
        <v>1669</v>
      </c>
      <c r="AC487" s="35">
        <v>1</v>
      </c>
    </row>
    <row r="488" spans="1:29" x14ac:dyDescent="0.4">
      <c r="AB488" s="34" t="s">
        <v>2391</v>
      </c>
      <c r="AC488" s="35">
        <v>1</v>
      </c>
    </row>
    <row r="489" spans="1:29" x14ac:dyDescent="0.4">
      <c r="AB489" s="34" t="s">
        <v>2393</v>
      </c>
      <c r="AC489" s="35">
        <v>1</v>
      </c>
    </row>
    <row r="490" spans="1:29" x14ac:dyDescent="0.4">
      <c r="AB490" s="34" t="s">
        <v>1508</v>
      </c>
      <c r="AC490" s="35">
        <v>1</v>
      </c>
    </row>
    <row r="491" spans="1:29" x14ac:dyDescent="0.4">
      <c r="AB491" s="34" t="s">
        <v>2547</v>
      </c>
      <c r="AC491" s="35">
        <v>1</v>
      </c>
    </row>
    <row r="492" spans="1:29" x14ac:dyDescent="0.4">
      <c r="AB492" s="34" t="s">
        <v>1453</v>
      </c>
      <c r="AC492" s="35">
        <v>1</v>
      </c>
    </row>
    <row r="493" spans="1:29" x14ac:dyDescent="0.4">
      <c r="AB493" s="34" t="s">
        <v>1699</v>
      </c>
      <c r="AC493" s="35">
        <v>1</v>
      </c>
    </row>
    <row r="494" spans="1:29" x14ac:dyDescent="0.4">
      <c r="AB494" s="34" t="s">
        <v>1848</v>
      </c>
      <c r="AC494" s="35">
        <v>1</v>
      </c>
    </row>
    <row r="495" spans="1:29" x14ac:dyDescent="0.4">
      <c r="AB495" s="34" t="s">
        <v>1571</v>
      </c>
      <c r="AC495" s="35">
        <v>1</v>
      </c>
    </row>
    <row r="496" spans="1:29" x14ac:dyDescent="0.4">
      <c r="AB496" s="34" t="s">
        <v>2174</v>
      </c>
      <c r="AC496" s="35">
        <v>1</v>
      </c>
    </row>
    <row r="497" spans="28:29" x14ac:dyDescent="0.4">
      <c r="AB497" s="34" t="s">
        <v>2303</v>
      </c>
      <c r="AC497" s="35">
        <v>1</v>
      </c>
    </row>
    <row r="498" spans="28:29" x14ac:dyDescent="0.4">
      <c r="AB498" s="34" t="s">
        <v>1465</v>
      </c>
      <c r="AC498" s="35">
        <v>2</v>
      </c>
    </row>
    <row r="499" spans="28:29" x14ac:dyDescent="0.4">
      <c r="AB499" s="34" t="s">
        <v>2329</v>
      </c>
      <c r="AC499" s="35">
        <v>1</v>
      </c>
    </row>
    <row r="500" spans="28:29" x14ac:dyDescent="0.4">
      <c r="AB500" s="34" t="s">
        <v>1741</v>
      </c>
      <c r="AC500" s="35">
        <v>1</v>
      </c>
    </row>
    <row r="501" spans="28:29" x14ac:dyDescent="0.4">
      <c r="AB501" s="34" t="s">
        <v>1705</v>
      </c>
      <c r="AC501" s="35">
        <v>1</v>
      </c>
    </row>
    <row r="502" spans="28:29" x14ac:dyDescent="0.4">
      <c r="AB502" s="34" t="s">
        <v>1320</v>
      </c>
      <c r="AC502" s="35">
        <v>485</v>
      </c>
    </row>
  </sheetData>
  <conditionalFormatting sqref="A1:A1048576">
    <cfRule type="duplicateValues" dxfId="12" priority="1"/>
    <cfRule type="duplicateValues" dxfId="11" priority="2"/>
  </conditionalFormatting>
  <pageMargins left="0.7" right="0.7" top="0.75" bottom="0.75" header="0.3" footer="0.3"/>
  <drawing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B8D9-2557-4D0D-870C-5A5F54FFC4EA}">
  <dimension ref="A1:AD500"/>
  <sheetViews>
    <sheetView topLeftCell="A348" zoomScale="57" zoomScaleNormal="100" workbookViewId="0">
      <selection activeCell="A370" sqref="A370"/>
    </sheetView>
  </sheetViews>
  <sheetFormatPr baseColWidth="10" defaultRowHeight="16" x14ac:dyDescent="0.4"/>
  <cols>
    <col min="1" max="1" width="75.81640625" style="10" bestFit="1" customWidth="1"/>
    <col min="2" max="2" width="11.81640625" style="10" customWidth="1"/>
    <col min="3" max="4" width="24.6328125" style="22" customWidth="1"/>
    <col min="5" max="5" width="22.7265625" style="10" customWidth="1"/>
    <col min="6" max="6" width="33.6328125" style="10" customWidth="1"/>
    <col min="7" max="7" width="22.7265625" style="10" customWidth="1"/>
    <col min="8" max="8" width="66.453125" style="10" bestFit="1" customWidth="1"/>
    <col min="9" max="9" width="17.26953125" style="10" customWidth="1"/>
    <col min="10" max="11" width="10.90625" style="10"/>
    <col min="12" max="12" width="26.453125" style="10" bestFit="1" customWidth="1"/>
    <col min="13" max="13" width="22.81640625" style="10" bestFit="1" customWidth="1"/>
    <col min="14" max="14" width="21.1796875" style="10" bestFit="1" customWidth="1"/>
    <col min="15" max="15" width="51.54296875" style="10" bestFit="1" customWidth="1"/>
    <col min="16" max="16" width="22.453125" style="10" bestFit="1" customWidth="1"/>
    <col min="17" max="17" width="9.7265625" style="10" bestFit="1" customWidth="1"/>
    <col min="18" max="18" width="7.90625" style="10" bestFit="1" customWidth="1"/>
    <col min="19" max="19" width="12.81640625" style="10" customWidth="1"/>
    <col min="20" max="20" width="14.36328125" style="10" bestFit="1" customWidth="1"/>
    <col min="21" max="21" width="10.453125" style="10" bestFit="1" customWidth="1"/>
    <col min="22" max="22" width="9.7265625" style="10" bestFit="1" customWidth="1"/>
    <col min="23" max="23" width="14.08984375" style="10" bestFit="1" customWidth="1"/>
    <col min="24" max="24" width="8.90625" style="10" bestFit="1" customWidth="1"/>
    <col min="25" max="25" width="8.1796875" style="10" bestFit="1" customWidth="1"/>
    <col min="26" max="26" width="13.81640625" style="10" bestFit="1" customWidth="1"/>
    <col min="27" max="27" width="10.90625" style="10"/>
    <col min="28" max="28" width="86.453125" style="10" bestFit="1" customWidth="1"/>
    <col min="29" max="29" width="27.36328125" style="10" bestFit="1" customWidth="1"/>
    <col min="30" max="16384" width="10.90625" style="10"/>
  </cols>
  <sheetData>
    <row r="1" spans="1:15" ht="16.5" thickBot="1" x14ac:dyDescent="0.45">
      <c r="A1" s="36" t="s">
        <v>1251</v>
      </c>
      <c r="B1" s="37" t="s">
        <v>1252</v>
      </c>
      <c r="C1" s="38" t="s">
        <v>1253</v>
      </c>
      <c r="D1" s="38" t="s">
        <v>1254</v>
      </c>
      <c r="E1" s="37" t="s">
        <v>1255</v>
      </c>
      <c r="F1" s="37" t="s">
        <v>1256</v>
      </c>
      <c r="G1" s="37" t="s">
        <v>1257</v>
      </c>
      <c r="H1" s="37" t="s">
        <v>1258</v>
      </c>
    </row>
    <row r="2" spans="1:15" ht="16.5" thickTop="1" x14ac:dyDescent="0.4">
      <c r="A2" s="39" t="s">
        <v>1657</v>
      </c>
      <c r="B2" s="40" t="s">
        <v>1260</v>
      </c>
      <c r="C2" s="41">
        <v>45999</v>
      </c>
      <c r="D2" s="42">
        <v>0.36686342592592597</v>
      </c>
      <c r="E2" s="40" t="s">
        <v>1658</v>
      </c>
      <c r="F2" s="40" t="s">
        <v>1659</v>
      </c>
      <c r="G2" s="40" t="s">
        <v>1324</v>
      </c>
      <c r="H2" s="40" t="s">
        <v>1383</v>
      </c>
    </row>
    <row r="3" spans="1:15" x14ac:dyDescent="0.4">
      <c r="A3" s="43" t="s">
        <v>1583</v>
      </c>
      <c r="B3" s="44" t="s">
        <v>1260</v>
      </c>
      <c r="C3" s="41">
        <v>46119</v>
      </c>
      <c r="D3" s="45">
        <v>0.7041087962962963</v>
      </c>
      <c r="E3" s="44" t="s">
        <v>34</v>
      </c>
      <c r="F3" s="44" t="s">
        <v>1584</v>
      </c>
      <c r="G3" s="44" t="s">
        <v>1263</v>
      </c>
      <c r="H3" s="44" t="s">
        <v>1264</v>
      </c>
    </row>
    <row r="4" spans="1:15" x14ac:dyDescent="0.4">
      <c r="A4" s="43" t="s">
        <v>2718</v>
      </c>
      <c r="B4" s="44" t="s">
        <v>1260</v>
      </c>
      <c r="C4" s="41">
        <v>46111</v>
      </c>
      <c r="D4" s="45">
        <v>0.54199074074074072</v>
      </c>
      <c r="E4" s="44" t="s">
        <v>2719</v>
      </c>
      <c r="F4" s="44" t="s">
        <v>2720</v>
      </c>
      <c r="G4" s="44" t="s">
        <v>1263</v>
      </c>
      <c r="H4" s="44" t="s">
        <v>1264</v>
      </c>
    </row>
    <row r="5" spans="1:15" x14ac:dyDescent="0.4">
      <c r="A5" s="43" t="s">
        <v>1654</v>
      </c>
      <c r="B5" s="44" t="s">
        <v>1260</v>
      </c>
      <c r="C5" s="41">
        <v>45969</v>
      </c>
      <c r="D5" s="45">
        <v>8.9004629629629625E-3</v>
      </c>
      <c r="E5" s="44" t="s">
        <v>1655</v>
      </c>
      <c r="F5" s="44" t="s">
        <v>1656</v>
      </c>
      <c r="G5" s="44" t="s">
        <v>1263</v>
      </c>
      <c r="H5" s="44" t="s">
        <v>1264</v>
      </c>
    </row>
    <row r="6" spans="1:15" x14ac:dyDescent="0.4">
      <c r="A6" s="46" t="s">
        <v>1765</v>
      </c>
      <c r="B6" s="47" t="s">
        <v>1260</v>
      </c>
      <c r="C6" s="41">
        <v>46153</v>
      </c>
      <c r="D6" s="45">
        <v>0.62635416666666666</v>
      </c>
      <c r="E6" s="47" t="s">
        <v>1766</v>
      </c>
      <c r="F6" s="47" t="s">
        <v>1767</v>
      </c>
      <c r="G6" s="47" t="s">
        <v>1263</v>
      </c>
      <c r="H6" s="47" t="s">
        <v>1264</v>
      </c>
    </row>
    <row r="7" spans="1:15" x14ac:dyDescent="0.4">
      <c r="A7" s="43" t="s">
        <v>1977</v>
      </c>
      <c r="B7" s="44" t="s">
        <v>1260</v>
      </c>
      <c r="C7" s="41">
        <v>46157</v>
      </c>
      <c r="D7" s="45">
        <v>0.72696759259259258</v>
      </c>
      <c r="E7" s="44" t="s">
        <v>1978</v>
      </c>
      <c r="F7" s="44" t="s">
        <v>1979</v>
      </c>
      <c r="G7" s="44" t="s">
        <v>1263</v>
      </c>
      <c r="H7" s="44" t="s">
        <v>1264</v>
      </c>
    </row>
    <row r="8" spans="1:15" x14ac:dyDescent="0.4">
      <c r="A8" s="46" t="s">
        <v>1962</v>
      </c>
      <c r="B8" s="47" t="s">
        <v>1260</v>
      </c>
      <c r="C8" s="41">
        <v>46005</v>
      </c>
      <c r="D8" s="45">
        <v>0.99629629629629635</v>
      </c>
      <c r="E8" s="47" t="s">
        <v>1963</v>
      </c>
      <c r="F8" s="47" t="s">
        <v>1964</v>
      </c>
      <c r="G8" s="47" t="s">
        <v>1263</v>
      </c>
      <c r="H8" s="47" t="s">
        <v>1264</v>
      </c>
    </row>
    <row r="9" spans="1:15" x14ac:dyDescent="0.4">
      <c r="A9" s="43" t="s">
        <v>2730</v>
      </c>
      <c r="B9" s="44" t="s">
        <v>1260</v>
      </c>
      <c r="C9" s="41">
        <v>46142</v>
      </c>
      <c r="D9" s="45">
        <v>0.47819444444444442</v>
      </c>
      <c r="E9" s="44" t="s">
        <v>2731</v>
      </c>
      <c r="F9" s="44" t="s">
        <v>2732</v>
      </c>
      <c r="G9" s="44" t="s">
        <v>1263</v>
      </c>
      <c r="H9" s="44" t="s">
        <v>1264</v>
      </c>
    </row>
    <row r="10" spans="1:15" x14ac:dyDescent="0.4">
      <c r="A10" s="43" t="s">
        <v>15251</v>
      </c>
      <c r="B10" s="44" t="s">
        <v>1260</v>
      </c>
      <c r="C10" s="41">
        <v>46175</v>
      </c>
      <c r="D10" s="45">
        <v>0.929224537037037</v>
      </c>
      <c r="E10" s="44" t="s">
        <v>1337</v>
      </c>
      <c r="F10" s="44" t="s">
        <v>1338</v>
      </c>
      <c r="G10" s="44" t="s">
        <v>1263</v>
      </c>
      <c r="H10" s="44" t="s">
        <v>1264</v>
      </c>
    </row>
    <row r="11" spans="1:15" x14ac:dyDescent="0.4">
      <c r="A11" s="46" t="s">
        <v>1380</v>
      </c>
      <c r="B11" s="47" t="s">
        <v>1260</v>
      </c>
      <c r="C11" s="41">
        <v>46084</v>
      </c>
      <c r="D11" s="45">
        <v>0.38238425925925923</v>
      </c>
      <c r="E11" s="47" t="s">
        <v>1380</v>
      </c>
      <c r="F11" s="47" t="s">
        <v>1381</v>
      </c>
      <c r="G11" s="47" t="s">
        <v>1263</v>
      </c>
      <c r="H11" s="47" t="s">
        <v>1264</v>
      </c>
    </row>
    <row r="12" spans="1:15" x14ac:dyDescent="0.4">
      <c r="A12" s="46" t="s">
        <v>1423</v>
      </c>
      <c r="B12" s="47" t="s">
        <v>1260</v>
      </c>
      <c r="C12" s="41">
        <v>46206</v>
      </c>
      <c r="D12" s="45">
        <v>0.51850694444444445</v>
      </c>
      <c r="E12" s="47" t="s">
        <v>1424</v>
      </c>
      <c r="F12" s="47" t="s">
        <v>1425</v>
      </c>
      <c r="G12" s="47" t="s">
        <v>1268</v>
      </c>
      <c r="H12" s="47" t="s">
        <v>1264</v>
      </c>
    </row>
    <row r="13" spans="1:15" x14ac:dyDescent="0.4">
      <c r="A13" s="46" t="s">
        <v>2408</v>
      </c>
      <c r="B13" s="47" t="s">
        <v>1260</v>
      </c>
      <c r="C13" s="41">
        <v>45923</v>
      </c>
      <c r="D13" s="45">
        <v>0.92519675925925926</v>
      </c>
      <c r="E13" s="47" t="s">
        <v>2409</v>
      </c>
      <c r="F13" s="47" t="s">
        <v>2410</v>
      </c>
      <c r="G13" s="47" t="s">
        <v>1263</v>
      </c>
      <c r="H13" s="47" t="s">
        <v>1264</v>
      </c>
      <c r="K13"/>
      <c r="L13"/>
    </row>
    <row r="14" spans="1:15" x14ac:dyDescent="0.4">
      <c r="A14" s="46" t="s">
        <v>1444</v>
      </c>
      <c r="B14" s="47" t="s">
        <v>1260</v>
      </c>
      <c r="C14" s="41">
        <v>46057</v>
      </c>
      <c r="D14" s="45">
        <v>0.26151620370370371</v>
      </c>
      <c r="E14" s="47" t="s">
        <v>1445</v>
      </c>
      <c r="F14" s="47" t="s">
        <v>1446</v>
      </c>
      <c r="G14" s="47" t="s">
        <v>1324</v>
      </c>
      <c r="H14" s="47" t="s">
        <v>1379</v>
      </c>
      <c r="K14"/>
      <c r="L14"/>
    </row>
    <row r="15" spans="1:15" x14ac:dyDescent="0.4">
      <c r="A15" s="46" t="s">
        <v>2574</v>
      </c>
      <c r="B15" s="47" t="s">
        <v>1260</v>
      </c>
      <c r="C15" s="41">
        <v>46049</v>
      </c>
      <c r="D15" s="45">
        <v>0.45489583333333333</v>
      </c>
      <c r="E15" s="47" t="s">
        <v>2575</v>
      </c>
      <c r="F15" s="47" t="s">
        <v>2576</v>
      </c>
      <c r="G15" s="47" t="s">
        <v>1263</v>
      </c>
      <c r="H15" s="47" t="s">
        <v>1264</v>
      </c>
      <c r="K15"/>
      <c r="L15"/>
      <c r="N15"/>
      <c r="O15"/>
    </row>
    <row r="16" spans="1:15" x14ac:dyDescent="0.4">
      <c r="A16" s="46" t="s">
        <v>15560</v>
      </c>
      <c r="B16" s="47" t="s">
        <v>1260</v>
      </c>
      <c r="C16" s="41">
        <v>46127</v>
      </c>
      <c r="D16" s="45">
        <v>0.3661342592592593</v>
      </c>
      <c r="E16" s="47" t="s">
        <v>1969</v>
      </c>
      <c r="F16" s="47" t="s">
        <v>1970</v>
      </c>
      <c r="G16" s="47" t="s">
        <v>1263</v>
      </c>
      <c r="H16" s="47" t="s">
        <v>1264</v>
      </c>
      <c r="K16"/>
      <c r="L16"/>
      <c r="N16"/>
      <c r="O16"/>
    </row>
    <row r="17" spans="1:30" x14ac:dyDescent="0.4">
      <c r="A17" s="46" t="s">
        <v>1800</v>
      </c>
      <c r="B17" s="47" t="s">
        <v>1260</v>
      </c>
      <c r="C17" s="41">
        <v>46034</v>
      </c>
      <c r="D17" s="45">
        <v>0.7106365740740741</v>
      </c>
      <c r="E17" s="47" t="s">
        <v>1801</v>
      </c>
      <c r="F17" s="47" t="s">
        <v>1802</v>
      </c>
      <c r="G17" s="47" t="s">
        <v>1263</v>
      </c>
      <c r="H17" s="47" t="s">
        <v>1264</v>
      </c>
      <c r="K17"/>
      <c r="L17"/>
      <c r="N17"/>
      <c r="O17"/>
    </row>
    <row r="18" spans="1:30" x14ac:dyDescent="0.4">
      <c r="A18" s="46" t="s">
        <v>15561</v>
      </c>
      <c r="B18" s="47" t="s">
        <v>1260</v>
      </c>
      <c r="C18" s="41">
        <v>46051</v>
      </c>
      <c r="D18" s="45">
        <v>0.64620370370370372</v>
      </c>
      <c r="E18" s="47" t="s">
        <v>2681</v>
      </c>
      <c r="F18" s="47" t="s">
        <v>2682</v>
      </c>
      <c r="G18" s="47" t="s">
        <v>1263</v>
      </c>
      <c r="H18" s="47" t="s">
        <v>1264</v>
      </c>
      <c r="N18"/>
      <c r="O18"/>
      <c r="AB18"/>
      <c r="AC18"/>
      <c r="AD18"/>
    </row>
    <row r="19" spans="1:30" x14ac:dyDescent="0.4">
      <c r="A19" s="46" t="s">
        <v>2314</v>
      </c>
      <c r="B19" s="47" t="s">
        <v>1260</v>
      </c>
      <c r="C19" s="41">
        <v>46163</v>
      </c>
      <c r="D19" s="45">
        <v>0.43528935185185186</v>
      </c>
      <c r="E19" s="47" t="s">
        <v>2315</v>
      </c>
      <c r="F19" s="47" t="s">
        <v>2316</v>
      </c>
      <c r="G19" s="47" t="s">
        <v>1324</v>
      </c>
      <c r="H19" s="47" t="s">
        <v>1403</v>
      </c>
      <c r="N19"/>
      <c r="O19"/>
      <c r="AB19"/>
      <c r="AC19"/>
      <c r="AD19"/>
    </row>
    <row r="20" spans="1:30" x14ac:dyDescent="0.4">
      <c r="A20" s="46" t="s">
        <v>2520</v>
      </c>
      <c r="B20" s="47" t="s">
        <v>1260</v>
      </c>
      <c r="C20" s="41">
        <v>46048</v>
      </c>
      <c r="D20" s="45">
        <v>0.45678240740740739</v>
      </c>
      <c r="E20" s="47" t="s">
        <v>2521</v>
      </c>
      <c r="F20" s="47" t="s">
        <v>2522</v>
      </c>
      <c r="G20" s="47" t="s">
        <v>1268</v>
      </c>
      <c r="H20" s="47" t="s">
        <v>1264</v>
      </c>
      <c r="N20"/>
      <c r="O20"/>
      <c r="AB20"/>
      <c r="AC20"/>
      <c r="AD20"/>
    </row>
    <row r="21" spans="1:30" x14ac:dyDescent="0.4">
      <c r="A21" s="46" t="s">
        <v>2490</v>
      </c>
      <c r="B21" s="47" t="s">
        <v>1260</v>
      </c>
      <c r="C21" s="41">
        <v>46106</v>
      </c>
      <c r="D21" s="45">
        <v>0.71057870370370368</v>
      </c>
      <c r="E21" s="47" t="s">
        <v>2491</v>
      </c>
      <c r="F21" s="47" t="s">
        <v>2492</v>
      </c>
      <c r="G21" s="47" t="s">
        <v>1263</v>
      </c>
      <c r="H21" s="47" t="s">
        <v>1264</v>
      </c>
      <c r="N21"/>
      <c r="O21"/>
      <c r="AB21"/>
      <c r="AC21"/>
      <c r="AD21"/>
    </row>
    <row r="22" spans="1:30" x14ac:dyDescent="0.4">
      <c r="A22" s="46" t="s">
        <v>15252</v>
      </c>
      <c r="B22" s="47" t="s">
        <v>1260</v>
      </c>
      <c r="C22" s="41">
        <v>46140</v>
      </c>
      <c r="D22" s="45">
        <v>0.29475694444444445</v>
      </c>
      <c r="E22" s="47" t="s">
        <v>2664</v>
      </c>
      <c r="F22" s="47" t="s">
        <v>2665</v>
      </c>
      <c r="G22" s="47" t="s">
        <v>1268</v>
      </c>
      <c r="H22" s="47" t="s">
        <v>1264</v>
      </c>
      <c r="K22"/>
      <c r="L22"/>
      <c r="N22"/>
      <c r="O22"/>
      <c r="AB22"/>
      <c r="AC22"/>
      <c r="AD22"/>
    </row>
    <row r="23" spans="1:30" x14ac:dyDescent="0.4">
      <c r="A23" s="43" t="s">
        <v>1367</v>
      </c>
      <c r="B23" s="44" t="s">
        <v>1260</v>
      </c>
      <c r="C23" s="41">
        <v>46056</v>
      </c>
      <c r="D23" s="45">
        <v>0.56607638888888889</v>
      </c>
      <c r="E23" s="44" t="s">
        <v>1368</v>
      </c>
      <c r="F23" s="44" t="s">
        <v>1369</v>
      </c>
      <c r="G23" s="44" t="s">
        <v>1263</v>
      </c>
      <c r="H23" s="44" t="s">
        <v>1264</v>
      </c>
      <c r="K23"/>
      <c r="L23"/>
      <c r="N23"/>
      <c r="O23"/>
      <c r="AB23"/>
      <c r="AC23"/>
      <c r="AD23"/>
    </row>
    <row r="24" spans="1:30" x14ac:dyDescent="0.4">
      <c r="A24" s="46" t="s">
        <v>1914</v>
      </c>
      <c r="B24" s="47" t="s">
        <v>1260</v>
      </c>
      <c r="C24" s="41">
        <v>46186</v>
      </c>
      <c r="D24" s="45">
        <v>0.68939814814814815</v>
      </c>
      <c r="E24" s="47" t="s">
        <v>1915</v>
      </c>
      <c r="F24" s="47" t="s">
        <v>1916</v>
      </c>
      <c r="G24" s="47" t="s">
        <v>1263</v>
      </c>
      <c r="H24" s="47" t="s">
        <v>1264</v>
      </c>
      <c r="K24"/>
      <c r="L24"/>
      <c r="AB24"/>
      <c r="AC24"/>
      <c r="AD24"/>
    </row>
    <row r="25" spans="1:30" x14ac:dyDescent="0.4">
      <c r="A25" s="43" t="s">
        <v>15562</v>
      </c>
      <c r="B25" s="44" t="s">
        <v>1260</v>
      </c>
      <c r="C25" s="41">
        <v>46083</v>
      </c>
      <c r="D25" s="45">
        <v>0.6121064814814815</v>
      </c>
      <c r="E25" s="44" t="s">
        <v>1329</v>
      </c>
      <c r="F25" s="44" t="s">
        <v>1330</v>
      </c>
      <c r="G25" s="44" t="s">
        <v>1263</v>
      </c>
      <c r="H25" s="44" t="s">
        <v>1264</v>
      </c>
      <c r="K25"/>
      <c r="L25"/>
      <c r="AB25"/>
      <c r="AC25"/>
      <c r="AD25"/>
    </row>
    <row r="26" spans="1:30" x14ac:dyDescent="0.4">
      <c r="A26" s="43" t="s">
        <v>1726</v>
      </c>
      <c r="B26" s="44" t="s">
        <v>1260</v>
      </c>
      <c r="C26" s="41">
        <v>46063</v>
      </c>
      <c r="D26" s="45">
        <v>0.39245370370370369</v>
      </c>
      <c r="E26" s="44" t="s">
        <v>1727</v>
      </c>
      <c r="F26" s="44" t="s">
        <v>1728</v>
      </c>
      <c r="G26" s="44" t="s">
        <v>1263</v>
      </c>
      <c r="H26" s="44" t="s">
        <v>1264</v>
      </c>
      <c r="K26"/>
      <c r="L26"/>
      <c r="AB26"/>
      <c r="AC26"/>
      <c r="AD26"/>
    </row>
    <row r="27" spans="1:30" x14ac:dyDescent="0.4">
      <c r="A27" s="46" t="s">
        <v>1514</v>
      </c>
      <c r="B27" s="47" t="s">
        <v>1260</v>
      </c>
      <c r="C27" s="41">
        <v>46178</v>
      </c>
      <c r="D27" s="45">
        <v>0.63791666666666669</v>
      </c>
      <c r="E27" s="47" t="s">
        <v>1515</v>
      </c>
      <c r="F27" s="47" t="s">
        <v>1516</v>
      </c>
      <c r="G27" s="47" t="s">
        <v>1263</v>
      </c>
      <c r="H27" s="47" t="s">
        <v>1264</v>
      </c>
      <c r="K27"/>
      <c r="L27"/>
      <c r="AB27"/>
      <c r="AC27"/>
      <c r="AD27"/>
    </row>
    <row r="28" spans="1:30" x14ac:dyDescent="0.4">
      <c r="A28" s="46" t="s">
        <v>2753</v>
      </c>
      <c r="B28" s="47" t="s">
        <v>1260</v>
      </c>
      <c r="C28" s="41">
        <v>45943</v>
      </c>
      <c r="D28" s="45">
        <v>0.40732638888888889</v>
      </c>
      <c r="E28" s="47" t="s">
        <v>1927</v>
      </c>
      <c r="F28" s="47" t="s">
        <v>1928</v>
      </c>
      <c r="G28" s="47" t="s">
        <v>1263</v>
      </c>
      <c r="H28" s="47" t="s">
        <v>1264</v>
      </c>
      <c r="K28"/>
      <c r="L28"/>
      <c r="AB28"/>
      <c r="AC28"/>
      <c r="AD28"/>
    </row>
    <row r="29" spans="1:30" x14ac:dyDescent="0.4">
      <c r="A29" s="43" t="s">
        <v>15563</v>
      </c>
      <c r="B29" s="44" t="s">
        <v>1260</v>
      </c>
      <c r="C29" s="41">
        <v>46174</v>
      </c>
      <c r="D29" s="45">
        <v>0.60486111111111118</v>
      </c>
      <c r="E29" s="44" t="s">
        <v>1277</v>
      </c>
      <c r="F29" s="44" t="s">
        <v>1278</v>
      </c>
      <c r="G29" s="44" t="s">
        <v>1279</v>
      </c>
      <c r="H29" s="44" t="s">
        <v>1264</v>
      </c>
      <c r="K29"/>
      <c r="L29"/>
      <c r="AB29"/>
      <c r="AC29"/>
      <c r="AD29"/>
    </row>
    <row r="30" spans="1:30" x14ac:dyDescent="0.4">
      <c r="A30" s="46" t="s">
        <v>1609</v>
      </c>
      <c r="B30" s="47" t="s">
        <v>1260</v>
      </c>
      <c r="C30" s="41">
        <v>46030</v>
      </c>
      <c r="D30" s="45">
        <v>0.42792824074074076</v>
      </c>
      <c r="E30" s="47" t="s">
        <v>1610</v>
      </c>
      <c r="F30" s="47" t="s">
        <v>1611</v>
      </c>
      <c r="G30" s="47" t="s">
        <v>1263</v>
      </c>
      <c r="H30" s="47" t="s">
        <v>1264</v>
      </c>
      <c r="K30"/>
      <c r="L30"/>
      <c r="AB30"/>
      <c r="AC30"/>
      <c r="AD30"/>
    </row>
    <row r="31" spans="1:30" x14ac:dyDescent="0.4">
      <c r="A31" s="46" t="s">
        <v>1818</v>
      </c>
      <c r="B31" s="47" t="s">
        <v>1260</v>
      </c>
      <c r="C31" s="41">
        <v>46093</v>
      </c>
      <c r="D31" s="45">
        <v>0.65929398148148144</v>
      </c>
      <c r="E31" s="47" t="s">
        <v>1819</v>
      </c>
      <c r="F31" s="47" t="s">
        <v>1820</v>
      </c>
      <c r="G31" s="47" t="s">
        <v>1263</v>
      </c>
      <c r="H31" s="47" t="s">
        <v>1264</v>
      </c>
      <c r="K31"/>
      <c r="L31"/>
      <c r="N31"/>
      <c r="O31"/>
      <c r="AB31"/>
      <c r="AC31"/>
      <c r="AD31"/>
    </row>
    <row r="32" spans="1:30" x14ac:dyDescent="0.4">
      <c r="A32" s="43" t="s">
        <v>2606</v>
      </c>
      <c r="B32" s="44" t="s">
        <v>1260</v>
      </c>
      <c r="C32" s="41">
        <v>46108</v>
      </c>
      <c r="D32" s="45">
        <v>0.43839120370370371</v>
      </c>
      <c r="E32" s="44" t="s">
        <v>2607</v>
      </c>
      <c r="F32" s="44" t="s">
        <v>2608</v>
      </c>
      <c r="G32" s="44" t="s">
        <v>1324</v>
      </c>
      <c r="H32" s="44" t="s">
        <v>1403</v>
      </c>
      <c r="K32"/>
      <c r="L32"/>
      <c r="N32"/>
      <c r="O32"/>
      <c r="AB32"/>
      <c r="AC32"/>
      <c r="AD32"/>
    </row>
    <row r="33" spans="1:30" x14ac:dyDescent="0.4">
      <c r="A33" s="43" t="s">
        <v>15564</v>
      </c>
      <c r="B33" s="44" t="s">
        <v>1260</v>
      </c>
      <c r="C33" s="41">
        <v>46044</v>
      </c>
      <c r="D33" s="45">
        <v>0.54416666666666669</v>
      </c>
      <c r="E33" s="44" t="s">
        <v>2342</v>
      </c>
      <c r="F33" s="44" t="s">
        <v>2343</v>
      </c>
      <c r="G33" s="44" t="s">
        <v>1263</v>
      </c>
      <c r="H33" s="44" t="s">
        <v>1264</v>
      </c>
      <c r="K33"/>
      <c r="L33"/>
      <c r="N33"/>
      <c r="O33"/>
      <c r="AB33"/>
      <c r="AC33"/>
      <c r="AD33"/>
    </row>
    <row r="34" spans="1:30" x14ac:dyDescent="0.4">
      <c r="A34" s="46" t="s">
        <v>2320</v>
      </c>
      <c r="B34" s="47" t="s">
        <v>1260</v>
      </c>
      <c r="C34" s="41">
        <v>45982</v>
      </c>
      <c r="D34" s="45">
        <v>0.52994212962962961</v>
      </c>
      <c r="E34" s="47" t="s">
        <v>2321</v>
      </c>
      <c r="F34" s="47" t="s">
        <v>2322</v>
      </c>
      <c r="G34" s="47" t="s">
        <v>1263</v>
      </c>
      <c r="H34" s="47" t="s">
        <v>1264</v>
      </c>
      <c r="K34"/>
      <c r="L34"/>
      <c r="N34"/>
      <c r="O34"/>
      <c r="AB34"/>
      <c r="AC34"/>
      <c r="AD34"/>
    </row>
    <row r="35" spans="1:30" x14ac:dyDescent="0.4">
      <c r="A35" s="46" t="s">
        <v>2556</v>
      </c>
      <c r="B35" s="47" t="s">
        <v>1260</v>
      </c>
      <c r="C35" s="41">
        <v>46138</v>
      </c>
      <c r="D35" s="45">
        <v>0.55987268518518518</v>
      </c>
      <c r="E35" s="47" t="s">
        <v>2557</v>
      </c>
      <c r="F35" s="47" t="s">
        <v>2558</v>
      </c>
      <c r="G35" s="47" t="s">
        <v>1263</v>
      </c>
      <c r="H35" s="47" t="s">
        <v>1264</v>
      </c>
      <c r="K35"/>
      <c r="L35"/>
      <c r="N35"/>
      <c r="O35"/>
      <c r="AB35"/>
      <c r="AC35"/>
      <c r="AD35"/>
    </row>
    <row r="36" spans="1:30" x14ac:dyDescent="0.4">
      <c r="A36" s="46" t="s">
        <v>1450</v>
      </c>
      <c r="B36" s="47" t="s">
        <v>1260</v>
      </c>
      <c r="C36" s="41">
        <v>46085</v>
      </c>
      <c r="D36" s="45">
        <v>0.41591435185185183</v>
      </c>
      <c r="E36" s="47" t="s">
        <v>1451</v>
      </c>
      <c r="F36" s="47" t="s">
        <v>1452</v>
      </c>
      <c r="G36" s="47" t="s">
        <v>1263</v>
      </c>
      <c r="H36" s="47" t="s">
        <v>1264</v>
      </c>
      <c r="N36"/>
      <c r="O36"/>
      <c r="AB36"/>
      <c r="AC36"/>
    </row>
    <row r="37" spans="1:30" x14ac:dyDescent="0.4">
      <c r="A37" s="43" t="s">
        <v>15253</v>
      </c>
      <c r="B37" s="44" t="s">
        <v>1260</v>
      </c>
      <c r="C37" s="41">
        <v>45423</v>
      </c>
      <c r="D37" s="45">
        <v>0.77400462962962957</v>
      </c>
      <c r="E37" s="44" t="s">
        <v>1763</v>
      </c>
      <c r="F37" s="44" t="s">
        <v>1764</v>
      </c>
      <c r="G37" s="44" t="s">
        <v>1263</v>
      </c>
      <c r="H37" s="44" t="s">
        <v>1264</v>
      </c>
      <c r="N37"/>
      <c r="O37"/>
      <c r="AB37"/>
      <c r="AC37"/>
    </row>
    <row r="38" spans="1:30" x14ac:dyDescent="0.4">
      <c r="A38" s="46" t="s">
        <v>2754</v>
      </c>
      <c r="B38" s="47" t="s">
        <v>1260</v>
      </c>
      <c r="C38" s="41">
        <v>46065</v>
      </c>
      <c r="D38" s="45">
        <v>0.68761574074074072</v>
      </c>
      <c r="E38" s="47" t="s">
        <v>1807</v>
      </c>
      <c r="F38" s="47" t="s">
        <v>1808</v>
      </c>
      <c r="G38" s="47" t="s">
        <v>1263</v>
      </c>
      <c r="H38" s="47" t="s">
        <v>1264</v>
      </c>
      <c r="N38"/>
      <c r="O38"/>
      <c r="AB38"/>
      <c r="AC38"/>
    </row>
    <row r="39" spans="1:30" x14ac:dyDescent="0.4">
      <c r="A39" s="46" t="s">
        <v>2338</v>
      </c>
      <c r="B39" s="47" t="s">
        <v>1260</v>
      </c>
      <c r="C39" s="41">
        <v>46044</v>
      </c>
      <c r="D39" s="45">
        <v>0.68033564814814806</v>
      </c>
      <c r="E39" s="47" t="s">
        <v>2339</v>
      </c>
      <c r="F39" s="47" t="s">
        <v>2340</v>
      </c>
      <c r="G39" s="47" t="s">
        <v>1324</v>
      </c>
      <c r="H39" s="47" t="s">
        <v>1403</v>
      </c>
      <c r="K39"/>
      <c r="L39"/>
      <c r="N39"/>
      <c r="O39"/>
      <c r="AB39"/>
      <c r="AC39"/>
    </row>
    <row r="40" spans="1:30" x14ac:dyDescent="0.4">
      <c r="A40" s="43" t="s">
        <v>2180</v>
      </c>
      <c r="B40" s="44" t="s">
        <v>1260</v>
      </c>
      <c r="C40" s="41">
        <v>46161</v>
      </c>
      <c r="D40" s="45">
        <v>0.54927083333333326</v>
      </c>
      <c r="E40" s="44" t="s">
        <v>2181</v>
      </c>
      <c r="F40" s="44" t="s">
        <v>2182</v>
      </c>
      <c r="G40" s="44" t="s">
        <v>1263</v>
      </c>
      <c r="H40" s="44" t="s">
        <v>1264</v>
      </c>
      <c r="K40"/>
      <c r="L40"/>
      <c r="N40"/>
      <c r="O40"/>
      <c r="AB40"/>
      <c r="AC40"/>
    </row>
    <row r="41" spans="1:30" x14ac:dyDescent="0.4">
      <c r="A41" s="43" t="s">
        <v>2210</v>
      </c>
      <c r="B41" s="44" t="s">
        <v>1260</v>
      </c>
      <c r="C41" s="41">
        <v>46010</v>
      </c>
      <c r="D41" s="45">
        <v>0.80309027777777775</v>
      </c>
      <c r="E41" s="44" t="s">
        <v>2211</v>
      </c>
      <c r="F41" s="44" t="s">
        <v>2212</v>
      </c>
      <c r="G41" s="44" t="s">
        <v>1263</v>
      </c>
      <c r="H41" s="44" t="s">
        <v>1264</v>
      </c>
      <c r="K41"/>
      <c r="L41"/>
      <c r="N41"/>
      <c r="O41"/>
      <c r="AB41"/>
      <c r="AC41"/>
    </row>
    <row r="42" spans="1:30" x14ac:dyDescent="0.4">
      <c r="A42" s="46" t="s">
        <v>2621</v>
      </c>
      <c r="B42" s="47" t="s">
        <v>1260</v>
      </c>
      <c r="C42" s="41">
        <v>46169</v>
      </c>
      <c r="D42" s="45">
        <v>0.36712962962962964</v>
      </c>
      <c r="E42" s="47" t="s">
        <v>2622</v>
      </c>
      <c r="F42" s="47" t="s">
        <v>2623</v>
      </c>
      <c r="G42" s="47" t="s">
        <v>1263</v>
      </c>
      <c r="H42" s="47" t="s">
        <v>1264</v>
      </c>
      <c r="K42"/>
      <c r="L42"/>
      <c r="N42"/>
      <c r="O42"/>
      <c r="AB42"/>
      <c r="AC42"/>
    </row>
    <row r="43" spans="1:30" x14ac:dyDescent="0.4">
      <c r="A43" s="46" t="s">
        <v>15302</v>
      </c>
      <c r="B43" s="47" t="s">
        <v>1260</v>
      </c>
      <c r="C43" s="41">
        <v>46142</v>
      </c>
      <c r="D43" s="45">
        <v>0.77991898148148142</v>
      </c>
      <c r="E43" s="47" t="s">
        <v>2728</v>
      </c>
      <c r="F43" s="47" t="s">
        <v>2729</v>
      </c>
      <c r="G43" s="47" t="s">
        <v>1335</v>
      </c>
      <c r="H43" s="47" t="s">
        <v>1264</v>
      </c>
      <c r="K43"/>
      <c r="L43"/>
      <c r="N43"/>
      <c r="O43"/>
      <c r="AB43"/>
      <c r="AC43"/>
    </row>
    <row r="44" spans="1:30" x14ac:dyDescent="0.4">
      <c r="A44" s="46" t="s">
        <v>1717</v>
      </c>
      <c r="B44" s="47" t="s">
        <v>1260</v>
      </c>
      <c r="C44" s="41">
        <v>45939</v>
      </c>
      <c r="D44" s="45">
        <v>0.97834490740740743</v>
      </c>
      <c r="E44" s="47" t="s">
        <v>1718</v>
      </c>
      <c r="F44" s="47" t="s">
        <v>1719</v>
      </c>
      <c r="G44" s="47" t="s">
        <v>1263</v>
      </c>
      <c r="H44" s="47" t="s">
        <v>1264</v>
      </c>
      <c r="K44"/>
      <c r="L44"/>
      <c r="N44"/>
      <c r="O44"/>
      <c r="AB44"/>
      <c r="AC44"/>
    </row>
    <row r="45" spans="1:30" x14ac:dyDescent="0.4">
      <c r="A45" s="43" t="s">
        <v>15565</v>
      </c>
      <c r="B45" s="44" t="s">
        <v>1260</v>
      </c>
      <c r="C45" s="41">
        <v>46198</v>
      </c>
      <c r="D45" s="45">
        <v>0.58293981481481483</v>
      </c>
      <c r="E45" s="44" t="s">
        <v>2500</v>
      </c>
      <c r="F45" s="44" t="s">
        <v>2501</v>
      </c>
      <c r="G45" s="44" t="s">
        <v>1263</v>
      </c>
      <c r="H45" s="44" t="s">
        <v>1264</v>
      </c>
      <c r="N45"/>
      <c r="O45"/>
      <c r="AB45"/>
      <c r="AC45"/>
    </row>
    <row r="46" spans="1:30" x14ac:dyDescent="0.4">
      <c r="A46" s="46" t="s">
        <v>1325</v>
      </c>
      <c r="B46" s="47" t="s">
        <v>1260</v>
      </c>
      <c r="C46" s="41">
        <v>46083</v>
      </c>
      <c r="D46" s="45">
        <v>0.41394675925925922</v>
      </c>
      <c r="E46" s="47" t="s">
        <v>1326</v>
      </c>
      <c r="F46" s="47" t="s">
        <v>1327</v>
      </c>
      <c r="G46" s="47" t="s">
        <v>1263</v>
      </c>
      <c r="H46" s="47" t="s">
        <v>1264</v>
      </c>
      <c r="N46"/>
      <c r="O46"/>
      <c r="AB46"/>
      <c r="AC46"/>
    </row>
    <row r="47" spans="1:30" x14ac:dyDescent="0.4">
      <c r="A47" s="46" t="s">
        <v>15566</v>
      </c>
      <c r="B47" s="47" t="s">
        <v>1260</v>
      </c>
      <c r="C47" s="41">
        <v>45841</v>
      </c>
      <c r="D47" s="45">
        <v>0.74637731481481484</v>
      </c>
      <c r="E47" s="47" t="s">
        <v>1415</v>
      </c>
      <c r="F47" s="47" t="s">
        <v>1416</v>
      </c>
      <c r="G47" s="47" t="s">
        <v>1263</v>
      </c>
      <c r="H47" s="47" t="s">
        <v>1264</v>
      </c>
      <c r="N47"/>
      <c r="O47"/>
      <c r="AB47"/>
      <c r="AC47"/>
    </row>
    <row r="48" spans="1:30" x14ac:dyDescent="0.4">
      <c r="A48" s="46" t="s">
        <v>15567</v>
      </c>
      <c r="B48" s="47" t="s">
        <v>1260</v>
      </c>
      <c r="C48" s="41">
        <v>46191</v>
      </c>
      <c r="D48" s="45">
        <v>0.45363425925925926</v>
      </c>
      <c r="E48" s="47" t="s">
        <v>2142</v>
      </c>
      <c r="F48" s="47" t="s">
        <v>2143</v>
      </c>
      <c r="G48" s="47" t="s">
        <v>1263</v>
      </c>
      <c r="H48" s="47" t="s">
        <v>1264</v>
      </c>
      <c r="AB48"/>
      <c r="AC48"/>
    </row>
    <row r="49" spans="1:29" x14ac:dyDescent="0.4">
      <c r="A49" s="46" t="s">
        <v>1944</v>
      </c>
      <c r="B49" s="47" t="s">
        <v>1260</v>
      </c>
      <c r="C49" s="41">
        <v>46095</v>
      </c>
      <c r="D49" s="45">
        <v>0.44260416666666669</v>
      </c>
      <c r="E49" s="47" t="s">
        <v>1945</v>
      </c>
      <c r="F49" s="47" t="s">
        <v>1946</v>
      </c>
      <c r="G49" s="47" t="s">
        <v>1263</v>
      </c>
      <c r="H49" s="47" t="s">
        <v>1264</v>
      </c>
      <c r="AB49"/>
      <c r="AC49"/>
    </row>
    <row r="50" spans="1:29" x14ac:dyDescent="0.4">
      <c r="A50" s="43" t="s">
        <v>2066</v>
      </c>
      <c r="B50" s="44" t="s">
        <v>1260</v>
      </c>
      <c r="C50" s="41">
        <v>46189</v>
      </c>
      <c r="D50" s="45">
        <v>0.33554398148148151</v>
      </c>
      <c r="E50" s="44" t="s">
        <v>2067</v>
      </c>
      <c r="F50" s="44" t="s">
        <v>2068</v>
      </c>
      <c r="G50" s="44" t="s">
        <v>1316</v>
      </c>
      <c r="H50" s="44" t="s">
        <v>1264</v>
      </c>
      <c r="AB50"/>
      <c r="AC50"/>
    </row>
    <row r="51" spans="1:29" x14ac:dyDescent="0.4">
      <c r="A51" s="43" t="s">
        <v>2476</v>
      </c>
      <c r="B51" s="44" t="s">
        <v>1260</v>
      </c>
      <c r="C51" s="41">
        <v>46078</v>
      </c>
      <c r="D51" s="45">
        <v>0.59296296296296302</v>
      </c>
      <c r="E51" s="44" t="s">
        <v>2477</v>
      </c>
      <c r="F51" s="44" t="s">
        <v>2478</v>
      </c>
      <c r="G51" s="44" t="s">
        <v>1335</v>
      </c>
      <c r="H51" s="44" t="s">
        <v>1264</v>
      </c>
      <c r="AB51"/>
      <c r="AC51"/>
    </row>
    <row r="52" spans="1:29" x14ac:dyDescent="0.4">
      <c r="A52" s="46" t="s">
        <v>2426</v>
      </c>
      <c r="B52" s="47" t="s">
        <v>1260</v>
      </c>
      <c r="C52" s="41">
        <v>45740</v>
      </c>
      <c r="D52" s="45">
        <v>0.4957523148148148</v>
      </c>
      <c r="E52" s="47" t="s">
        <v>2427</v>
      </c>
      <c r="F52" s="47" t="s">
        <v>2428</v>
      </c>
      <c r="G52" s="47" t="s">
        <v>1263</v>
      </c>
      <c r="H52" s="47" t="s">
        <v>1264</v>
      </c>
      <c r="AB52"/>
      <c r="AC52"/>
    </row>
    <row r="53" spans="1:29" x14ac:dyDescent="0.4">
      <c r="A53" s="46" t="s">
        <v>1621</v>
      </c>
      <c r="B53" s="47" t="s">
        <v>1260</v>
      </c>
      <c r="C53" s="41">
        <v>46120</v>
      </c>
      <c r="D53" s="45">
        <v>0.4702662037037037</v>
      </c>
      <c r="E53" s="47" t="s">
        <v>1622</v>
      </c>
      <c r="F53" s="47" t="s">
        <v>1623</v>
      </c>
      <c r="G53" s="47" t="s">
        <v>1263</v>
      </c>
      <c r="H53" s="47" t="s">
        <v>1264</v>
      </c>
      <c r="AB53"/>
      <c r="AC53"/>
    </row>
    <row r="54" spans="1:29" x14ac:dyDescent="0.4">
      <c r="A54" s="43" t="s">
        <v>15568</v>
      </c>
      <c r="B54" s="44" t="s">
        <v>1260</v>
      </c>
      <c r="C54" s="41">
        <v>46128</v>
      </c>
      <c r="D54" s="45">
        <v>0.69009259259259259</v>
      </c>
      <c r="E54" s="44" t="s">
        <v>1299</v>
      </c>
      <c r="F54" s="44" t="s">
        <v>2056</v>
      </c>
      <c r="G54" s="44" t="s">
        <v>1263</v>
      </c>
      <c r="H54" s="44" t="s">
        <v>1264</v>
      </c>
      <c r="AB54"/>
      <c r="AC54"/>
    </row>
    <row r="55" spans="1:29" x14ac:dyDescent="0.4">
      <c r="A55" s="46" t="s">
        <v>2028</v>
      </c>
      <c r="B55" s="47" t="s">
        <v>1260</v>
      </c>
      <c r="C55" s="41">
        <v>46069</v>
      </c>
      <c r="D55" s="45">
        <v>5.0682870370370371E-2</v>
      </c>
      <c r="E55" s="47" t="s">
        <v>2029</v>
      </c>
      <c r="F55" s="47" t="s">
        <v>2030</v>
      </c>
      <c r="G55" s="47" t="s">
        <v>1263</v>
      </c>
      <c r="H55" s="47" t="s">
        <v>1264</v>
      </c>
      <c r="AB55"/>
      <c r="AC55"/>
    </row>
    <row r="56" spans="1:29" x14ac:dyDescent="0.4">
      <c r="A56" s="43" t="s">
        <v>2096</v>
      </c>
      <c r="B56" s="44" t="s">
        <v>1260</v>
      </c>
      <c r="C56" s="41">
        <v>46129</v>
      </c>
      <c r="D56" s="45">
        <v>0.36407407407407405</v>
      </c>
      <c r="E56" s="44" t="s">
        <v>2097</v>
      </c>
      <c r="F56" s="44" t="s">
        <v>2098</v>
      </c>
      <c r="G56" s="44" t="s">
        <v>1268</v>
      </c>
      <c r="H56" s="44" t="s">
        <v>1264</v>
      </c>
      <c r="AB56"/>
      <c r="AC56"/>
    </row>
    <row r="57" spans="1:29" x14ac:dyDescent="0.4">
      <c r="A57" s="46" t="s">
        <v>2153</v>
      </c>
      <c r="B57" s="47" t="s">
        <v>1260</v>
      </c>
      <c r="C57" s="41">
        <v>46072</v>
      </c>
      <c r="D57" s="45">
        <v>0.42119212962962965</v>
      </c>
      <c r="E57" s="47" t="s">
        <v>2154</v>
      </c>
      <c r="F57" s="47" t="s">
        <v>2155</v>
      </c>
      <c r="G57" s="47" t="s">
        <v>1263</v>
      </c>
      <c r="H57" s="47" t="s">
        <v>1264</v>
      </c>
      <c r="AB57"/>
      <c r="AC57"/>
    </row>
    <row r="58" spans="1:29" x14ac:dyDescent="0.4">
      <c r="A58" s="43" t="s">
        <v>2405</v>
      </c>
      <c r="B58" s="44" t="s">
        <v>1260</v>
      </c>
      <c r="C58" s="41">
        <v>46196</v>
      </c>
      <c r="D58" s="45">
        <v>0.42825231481481479</v>
      </c>
      <c r="E58" s="44" t="s">
        <v>2406</v>
      </c>
      <c r="F58" s="44" t="s">
        <v>2407</v>
      </c>
      <c r="G58" s="44" t="s">
        <v>1263</v>
      </c>
      <c r="H58" s="44" t="s">
        <v>1264</v>
      </c>
      <c r="AB58"/>
      <c r="AC58"/>
    </row>
    <row r="59" spans="1:29" x14ac:dyDescent="0.4">
      <c r="A59" s="43" t="s">
        <v>15254</v>
      </c>
      <c r="B59" s="44" t="s">
        <v>1260</v>
      </c>
      <c r="C59" s="41">
        <v>46174</v>
      </c>
      <c r="D59" s="45">
        <v>0.55021990740740734</v>
      </c>
      <c r="E59" s="44" t="s">
        <v>1290</v>
      </c>
      <c r="F59" s="44" t="s">
        <v>1291</v>
      </c>
      <c r="G59" s="44" t="s">
        <v>1263</v>
      </c>
      <c r="H59" s="44" t="s">
        <v>1264</v>
      </c>
      <c r="AB59"/>
      <c r="AC59"/>
    </row>
    <row r="60" spans="1:29" x14ac:dyDescent="0.4">
      <c r="A60" s="46" t="s">
        <v>2249</v>
      </c>
      <c r="B60" s="47" t="s">
        <v>1260</v>
      </c>
      <c r="C60" s="41">
        <v>46162</v>
      </c>
      <c r="D60" s="45">
        <v>0.55846064814814811</v>
      </c>
      <c r="E60" s="47" t="s">
        <v>2250</v>
      </c>
      <c r="F60" s="47" t="s">
        <v>2251</v>
      </c>
      <c r="G60" s="47" t="s">
        <v>1279</v>
      </c>
      <c r="H60" s="47" t="s">
        <v>1264</v>
      </c>
      <c r="L60"/>
      <c r="M60"/>
      <c r="AB60"/>
      <c r="AC60"/>
    </row>
    <row r="61" spans="1:29" x14ac:dyDescent="0.4">
      <c r="A61" s="46" t="s">
        <v>2261</v>
      </c>
      <c r="B61" s="47" t="s">
        <v>1260</v>
      </c>
      <c r="C61" s="41">
        <v>46162</v>
      </c>
      <c r="D61" s="45">
        <v>0.35523148148148148</v>
      </c>
      <c r="E61" s="47" t="s">
        <v>2262</v>
      </c>
      <c r="F61" s="47" t="s">
        <v>2263</v>
      </c>
      <c r="G61" s="47" t="s">
        <v>1263</v>
      </c>
      <c r="H61" s="47" t="s">
        <v>1264</v>
      </c>
      <c r="L61"/>
      <c r="M61"/>
      <c r="AB61"/>
      <c r="AC61"/>
    </row>
    <row r="62" spans="1:29" x14ac:dyDescent="0.4">
      <c r="A62" s="43" t="s">
        <v>2120</v>
      </c>
      <c r="B62" s="44" t="s">
        <v>1260</v>
      </c>
      <c r="C62" s="41">
        <v>46071</v>
      </c>
      <c r="D62" s="45">
        <v>0.7107175925925926</v>
      </c>
      <c r="E62" s="44" t="s">
        <v>2121</v>
      </c>
      <c r="F62" s="44" t="s">
        <v>2122</v>
      </c>
      <c r="G62" s="44" t="s">
        <v>1263</v>
      </c>
      <c r="H62" s="44" t="s">
        <v>1264</v>
      </c>
      <c r="L62"/>
      <c r="M62"/>
      <c r="AB62"/>
      <c r="AC62"/>
    </row>
    <row r="63" spans="1:29" x14ac:dyDescent="0.4">
      <c r="A63" s="46" t="s">
        <v>15569</v>
      </c>
      <c r="B63" s="47" t="s">
        <v>1260</v>
      </c>
      <c r="C63" s="41">
        <v>46086</v>
      </c>
      <c r="D63" s="45">
        <v>0.47546296296296298</v>
      </c>
      <c r="E63" s="47" t="s">
        <v>1492</v>
      </c>
      <c r="F63" s="47" t="s">
        <v>1493</v>
      </c>
      <c r="G63" s="47" t="s">
        <v>1263</v>
      </c>
      <c r="H63" s="47" t="s">
        <v>1264</v>
      </c>
      <c r="L63"/>
      <c r="M63"/>
      <c r="AB63"/>
      <c r="AC63"/>
    </row>
    <row r="64" spans="1:29" x14ac:dyDescent="0.4">
      <c r="A64" s="46" t="s">
        <v>2755</v>
      </c>
      <c r="B64" s="47" t="s">
        <v>1260</v>
      </c>
      <c r="C64" s="41">
        <v>46050</v>
      </c>
      <c r="D64" s="45">
        <v>0.65748842592592593</v>
      </c>
      <c r="E64" s="47" t="s">
        <v>2640</v>
      </c>
      <c r="F64" s="47" t="s">
        <v>2641</v>
      </c>
      <c r="G64" s="47" t="s">
        <v>1263</v>
      </c>
      <c r="H64" s="47" t="s">
        <v>1264</v>
      </c>
      <c r="L64"/>
      <c r="M64"/>
      <c r="AB64"/>
      <c r="AC64"/>
    </row>
    <row r="65" spans="1:29" x14ac:dyDescent="0.4">
      <c r="A65" s="43" t="s">
        <v>15570</v>
      </c>
      <c r="B65" s="44" t="s">
        <v>1260</v>
      </c>
      <c r="C65" s="41">
        <v>46142</v>
      </c>
      <c r="D65" s="45">
        <v>0.6626967592592593</v>
      </c>
      <c r="E65" s="44" t="s">
        <v>2725</v>
      </c>
      <c r="F65" s="44" t="s">
        <v>2726</v>
      </c>
      <c r="G65" s="44" t="s">
        <v>1263</v>
      </c>
      <c r="H65" s="44" t="s">
        <v>1264</v>
      </c>
      <c r="L65"/>
      <c r="M65"/>
      <c r="AB65"/>
      <c r="AC65"/>
    </row>
    <row r="66" spans="1:29" x14ac:dyDescent="0.4">
      <c r="A66" s="43" t="s">
        <v>2078</v>
      </c>
      <c r="B66" s="44" t="s">
        <v>1260</v>
      </c>
      <c r="C66" s="41">
        <v>46219</v>
      </c>
      <c r="D66" s="45">
        <v>0.42137731481481483</v>
      </c>
      <c r="E66" s="44" t="s">
        <v>2079</v>
      </c>
      <c r="F66" s="44" t="s">
        <v>2080</v>
      </c>
      <c r="G66" s="44" t="s">
        <v>1263</v>
      </c>
      <c r="H66" s="44" t="s">
        <v>1264</v>
      </c>
      <c r="L66"/>
      <c r="M66"/>
      <c r="AB66"/>
      <c r="AC66"/>
    </row>
    <row r="67" spans="1:29" x14ac:dyDescent="0.4">
      <c r="A67" s="46" t="s">
        <v>1633</v>
      </c>
      <c r="B67" s="47" t="s">
        <v>1260</v>
      </c>
      <c r="C67" s="41">
        <v>46181</v>
      </c>
      <c r="D67" s="45">
        <v>0.63021990740740741</v>
      </c>
      <c r="E67" s="47" t="s">
        <v>1634</v>
      </c>
      <c r="F67" s="47" t="s">
        <v>1635</v>
      </c>
      <c r="G67" s="47" t="s">
        <v>1316</v>
      </c>
      <c r="H67" s="47" t="s">
        <v>1264</v>
      </c>
      <c r="L67"/>
      <c r="M67"/>
      <c r="AB67"/>
      <c r="AC67"/>
    </row>
    <row r="68" spans="1:29" x14ac:dyDescent="0.4">
      <c r="A68" s="43" t="s">
        <v>1786</v>
      </c>
      <c r="B68" s="44" t="s">
        <v>1260</v>
      </c>
      <c r="C68" s="41">
        <v>46184</v>
      </c>
      <c r="D68" s="45">
        <v>0.75001157407407415</v>
      </c>
      <c r="E68" s="44" t="s">
        <v>1787</v>
      </c>
      <c r="F68" s="44" t="s">
        <v>1788</v>
      </c>
      <c r="G68" s="44" t="s">
        <v>1263</v>
      </c>
      <c r="H68" s="44" t="s">
        <v>1264</v>
      </c>
      <c r="L68"/>
      <c r="M68"/>
      <c r="AB68"/>
      <c r="AC68"/>
    </row>
    <row r="69" spans="1:29" x14ac:dyDescent="0.4">
      <c r="A69" s="43" t="s">
        <v>1600</v>
      </c>
      <c r="B69" s="44" t="s">
        <v>1260</v>
      </c>
      <c r="C69" s="41">
        <v>46149</v>
      </c>
      <c r="D69" s="45">
        <v>0.74453703703703711</v>
      </c>
      <c r="E69" s="44" t="s">
        <v>1601</v>
      </c>
      <c r="F69" s="44" t="s">
        <v>1602</v>
      </c>
      <c r="G69" s="44" t="s">
        <v>1263</v>
      </c>
      <c r="H69" s="44" t="s">
        <v>1264</v>
      </c>
      <c r="L69"/>
      <c r="M69"/>
      <c r="AB69"/>
      <c r="AC69"/>
    </row>
    <row r="70" spans="1:29" x14ac:dyDescent="0.4">
      <c r="A70" s="43" t="s">
        <v>1989</v>
      </c>
      <c r="B70" s="44" t="s">
        <v>1260</v>
      </c>
      <c r="C70" s="41">
        <v>46218</v>
      </c>
      <c r="D70" s="45">
        <v>0.73865740740740737</v>
      </c>
      <c r="E70" s="44" t="s">
        <v>1990</v>
      </c>
      <c r="F70" s="44" t="s">
        <v>1991</v>
      </c>
      <c r="G70" s="44" t="s">
        <v>1263</v>
      </c>
      <c r="H70" s="44" t="s">
        <v>1264</v>
      </c>
      <c r="L70"/>
      <c r="M70"/>
      <c r="AB70"/>
      <c r="AC70"/>
    </row>
    <row r="71" spans="1:29" x14ac:dyDescent="0.4">
      <c r="A71" s="43" t="s">
        <v>1612</v>
      </c>
      <c r="B71" s="44" t="s">
        <v>1260</v>
      </c>
      <c r="C71" s="41">
        <v>46030</v>
      </c>
      <c r="D71" s="45">
        <v>0.49633101851851852</v>
      </c>
      <c r="E71" s="44" t="s">
        <v>1613</v>
      </c>
      <c r="F71" s="44" t="s">
        <v>1614</v>
      </c>
      <c r="G71" s="44" t="s">
        <v>1263</v>
      </c>
      <c r="H71" s="44" t="s">
        <v>1264</v>
      </c>
      <c r="L71"/>
      <c r="M71"/>
      <c r="AB71"/>
      <c r="AC71"/>
    </row>
    <row r="72" spans="1:29" x14ac:dyDescent="0.4">
      <c r="A72" s="43" t="s">
        <v>1588</v>
      </c>
      <c r="B72" s="44" t="s">
        <v>1260</v>
      </c>
      <c r="C72" s="41">
        <v>46119</v>
      </c>
      <c r="D72" s="45">
        <v>0.51846064814814818</v>
      </c>
      <c r="E72" s="44" t="s">
        <v>1589</v>
      </c>
      <c r="F72" s="44" t="s">
        <v>1590</v>
      </c>
      <c r="G72" s="44" t="s">
        <v>1279</v>
      </c>
      <c r="H72" s="44" t="s">
        <v>1264</v>
      </c>
      <c r="L72"/>
      <c r="M72"/>
      <c r="AB72"/>
      <c r="AC72"/>
    </row>
    <row r="73" spans="1:29" x14ac:dyDescent="0.4">
      <c r="A73" s="43" t="s">
        <v>1923</v>
      </c>
      <c r="B73" s="44" t="s">
        <v>1260</v>
      </c>
      <c r="C73" s="41">
        <v>46216</v>
      </c>
      <c r="D73" s="45">
        <v>3.6354166666666667E-2</v>
      </c>
      <c r="E73" s="44" t="s">
        <v>1924</v>
      </c>
      <c r="F73" s="44" t="s">
        <v>1925</v>
      </c>
      <c r="G73" s="44" t="s">
        <v>1263</v>
      </c>
      <c r="H73" s="44" t="s">
        <v>1264</v>
      </c>
      <c r="L73"/>
      <c r="M73"/>
      <c r="AB73"/>
      <c r="AC73"/>
    </row>
    <row r="74" spans="1:29" x14ac:dyDescent="0.4">
      <c r="A74" s="46" t="s">
        <v>15571</v>
      </c>
      <c r="B74" s="47" t="s">
        <v>1260</v>
      </c>
      <c r="C74" s="41">
        <v>46153</v>
      </c>
      <c r="D74" s="45">
        <v>0.91172453703703704</v>
      </c>
      <c r="E74" s="47" t="s">
        <v>1778</v>
      </c>
      <c r="F74" s="47" t="s">
        <v>1779</v>
      </c>
      <c r="G74" s="47" t="s">
        <v>1263</v>
      </c>
      <c r="H74" s="47" t="s">
        <v>1264</v>
      </c>
      <c r="L74"/>
      <c r="M74"/>
      <c r="AB74"/>
      <c r="AC74"/>
    </row>
    <row r="75" spans="1:29" x14ac:dyDescent="0.4">
      <c r="A75" s="46" t="s">
        <v>2225</v>
      </c>
      <c r="B75" s="47" t="s">
        <v>1260</v>
      </c>
      <c r="C75" s="41">
        <v>46042</v>
      </c>
      <c r="D75" s="45">
        <v>0.43684027777777779</v>
      </c>
      <c r="E75" s="47" t="s">
        <v>2226</v>
      </c>
      <c r="F75" s="47" t="s">
        <v>2227</v>
      </c>
      <c r="G75" s="47" t="s">
        <v>1263</v>
      </c>
      <c r="H75" s="47" t="s">
        <v>1264</v>
      </c>
      <c r="L75"/>
      <c r="M75"/>
      <c r="AB75"/>
      <c r="AC75"/>
    </row>
    <row r="76" spans="1:29" x14ac:dyDescent="0.4">
      <c r="A76" s="46" t="s">
        <v>2123</v>
      </c>
      <c r="B76" s="47" t="s">
        <v>1260</v>
      </c>
      <c r="C76" s="41">
        <v>46099</v>
      </c>
      <c r="D76" s="45">
        <v>0.56187500000000001</v>
      </c>
      <c r="E76" s="47" t="s">
        <v>2124</v>
      </c>
      <c r="F76" s="47" t="s">
        <v>2125</v>
      </c>
      <c r="G76" s="47" t="s">
        <v>1279</v>
      </c>
      <c r="H76" s="47" t="s">
        <v>1264</v>
      </c>
      <c r="L76"/>
      <c r="M76"/>
      <c r="AB76"/>
      <c r="AC76"/>
    </row>
    <row r="77" spans="1:29" x14ac:dyDescent="0.4">
      <c r="A77" s="46" t="s">
        <v>2255</v>
      </c>
      <c r="B77" s="47" t="s">
        <v>1260</v>
      </c>
      <c r="C77" s="41">
        <v>46162</v>
      </c>
      <c r="D77" s="45">
        <v>0.53553240740740737</v>
      </c>
      <c r="E77" s="47" t="s">
        <v>2256</v>
      </c>
      <c r="F77" s="47" t="s">
        <v>2257</v>
      </c>
      <c r="G77" s="47" t="s">
        <v>1263</v>
      </c>
      <c r="H77" s="47" t="s">
        <v>1264</v>
      </c>
      <c r="L77"/>
      <c r="M77"/>
      <c r="AB77"/>
      <c r="AC77"/>
    </row>
    <row r="78" spans="1:29" x14ac:dyDescent="0.4">
      <c r="A78" s="46" t="s">
        <v>2756</v>
      </c>
      <c r="B78" s="47" t="s">
        <v>1260</v>
      </c>
      <c r="C78" s="41">
        <v>46188</v>
      </c>
      <c r="D78" s="45">
        <v>0.4254398148148148</v>
      </c>
      <c r="E78" s="47" t="s">
        <v>1987</v>
      </c>
      <c r="F78" s="47" t="s">
        <v>1988</v>
      </c>
      <c r="G78" s="47" t="s">
        <v>1263</v>
      </c>
      <c r="H78" s="47" t="s">
        <v>1264</v>
      </c>
      <c r="L78"/>
      <c r="M78"/>
      <c r="AB78"/>
      <c r="AC78"/>
    </row>
    <row r="79" spans="1:29" x14ac:dyDescent="0.4">
      <c r="A79" s="46" t="s">
        <v>15572</v>
      </c>
      <c r="B79" s="47" t="s">
        <v>1260</v>
      </c>
      <c r="C79" s="41">
        <v>46113</v>
      </c>
      <c r="D79" s="45">
        <v>0.44327546296296294</v>
      </c>
      <c r="E79" s="47" t="s">
        <v>1266</v>
      </c>
      <c r="F79" s="47" t="s">
        <v>1267</v>
      </c>
      <c r="G79" s="47" t="s">
        <v>1268</v>
      </c>
      <c r="H79" s="47" t="s">
        <v>1264</v>
      </c>
      <c r="L79"/>
      <c r="M79"/>
      <c r="AB79"/>
      <c r="AC79"/>
    </row>
    <row r="80" spans="1:29" x14ac:dyDescent="0.4">
      <c r="A80" s="46" t="s">
        <v>1272</v>
      </c>
      <c r="B80" s="47" t="s">
        <v>1260</v>
      </c>
      <c r="C80" s="41">
        <v>46143</v>
      </c>
      <c r="D80" s="45">
        <v>0.9868865740740741</v>
      </c>
      <c r="E80" s="47" t="s">
        <v>1273</v>
      </c>
      <c r="F80" s="47" t="s">
        <v>1274</v>
      </c>
      <c r="G80" s="47" t="s">
        <v>1275</v>
      </c>
      <c r="H80" s="47" t="s">
        <v>1264</v>
      </c>
      <c r="L80"/>
      <c r="M80"/>
      <c r="AB80"/>
      <c r="AC80"/>
    </row>
    <row r="81" spans="1:29" x14ac:dyDescent="0.4">
      <c r="A81" s="43" t="s">
        <v>2541</v>
      </c>
      <c r="B81" s="44" t="s">
        <v>1260</v>
      </c>
      <c r="C81" s="41">
        <v>46079</v>
      </c>
      <c r="D81" s="45">
        <v>0.51932870370370365</v>
      </c>
      <c r="E81" s="44" t="s">
        <v>2542</v>
      </c>
      <c r="F81" s="44" t="s">
        <v>2543</v>
      </c>
      <c r="G81" s="44" t="s">
        <v>1263</v>
      </c>
      <c r="H81" s="44" t="s">
        <v>1264</v>
      </c>
      <c r="L81"/>
      <c r="M81"/>
      <c r="AB81"/>
      <c r="AC81"/>
    </row>
    <row r="82" spans="1:29" x14ac:dyDescent="0.4">
      <c r="A82" s="43" t="s">
        <v>1577</v>
      </c>
      <c r="B82" s="44" t="s">
        <v>1260</v>
      </c>
      <c r="C82" s="41">
        <v>46088</v>
      </c>
      <c r="D82" s="45">
        <v>0.58490740740740743</v>
      </c>
      <c r="E82" s="44" t="s">
        <v>1578</v>
      </c>
      <c r="F82" s="44" t="s">
        <v>1579</v>
      </c>
      <c r="G82" s="44" t="s">
        <v>1263</v>
      </c>
      <c r="H82" s="44" t="s">
        <v>1264</v>
      </c>
      <c r="L82"/>
      <c r="M82"/>
      <c r="AB82"/>
      <c r="AC82"/>
    </row>
    <row r="83" spans="1:29" x14ac:dyDescent="0.4">
      <c r="A83" s="43" t="s">
        <v>1500</v>
      </c>
      <c r="B83" s="44" t="s">
        <v>1260</v>
      </c>
      <c r="C83" s="41">
        <v>46147</v>
      </c>
      <c r="D83" s="45">
        <v>0.67833333333333334</v>
      </c>
      <c r="E83" s="44" t="s">
        <v>1501</v>
      </c>
      <c r="F83" s="44" t="s">
        <v>1502</v>
      </c>
      <c r="G83" s="44" t="s">
        <v>1263</v>
      </c>
      <c r="H83" s="44" t="s">
        <v>1264</v>
      </c>
      <c r="L83"/>
      <c r="M83"/>
      <c r="AB83"/>
      <c r="AC83"/>
    </row>
    <row r="84" spans="1:29" x14ac:dyDescent="0.4">
      <c r="A84" s="43" t="s">
        <v>2453</v>
      </c>
      <c r="B84" s="44" t="s">
        <v>1260</v>
      </c>
      <c r="C84" s="41">
        <v>46197</v>
      </c>
      <c r="D84" s="45">
        <v>0.66792824074074064</v>
      </c>
      <c r="E84" s="44" t="s">
        <v>2454</v>
      </c>
      <c r="F84" s="44" t="s">
        <v>2455</v>
      </c>
      <c r="G84" s="44" t="s">
        <v>1263</v>
      </c>
      <c r="H84" s="44" t="s">
        <v>1264</v>
      </c>
      <c r="L84"/>
      <c r="M84"/>
      <c r="AB84"/>
      <c r="AC84"/>
    </row>
    <row r="85" spans="1:29" x14ac:dyDescent="0.4">
      <c r="A85" s="43" t="s">
        <v>2300</v>
      </c>
      <c r="B85" s="44" t="s">
        <v>1260</v>
      </c>
      <c r="C85" s="41">
        <v>45433</v>
      </c>
      <c r="D85" s="45">
        <v>0.55062500000000003</v>
      </c>
      <c r="E85" s="44" t="s">
        <v>2301</v>
      </c>
      <c r="F85" s="44" t="s">
        <v>2302</v>
      </c>
      <c r="G85" s="44" t="s">
        <v>1263</v>
      </c>
      <c r="H85" s="44" t="s">
        <v>1264</v>
      </c>
      <c r="L85"/>
      <c r="M85"/>
      <c r="AB85"/>
      <c r="AC85"/>
    </row>
    <row r="86" spans="1:29" x14ac:dyDescent="0.4">
      <c r="A86" s="46" t="s">
        <v>15573</v>
      </c>
      <c r="B86" s="47" t="s">
        <v>1260</v>
      </c>
      <c r="C86" s="41">
        <v>46216</v>
      </c>
      <c r="D86" s="45">
        <v>0.52812500000000007</v>
      </c>
      <c r="E86" s="47" t="s">
        <v>1921</v>
      </c>
      <c r="F86" s="47" t="s">
        <v>1922</v>
      </c>
      <c r="G86" s="47" t="s">
        <v>1263</v>
      </c>
      <c r="H86" s="47" t="s">
        <v>1264</v>
      </c>
      <c r="L86"/>
      <c r="M86"/>
      <c r="AB86"/>
      <c r="AC86"/>
    </row>
    <row r="87" spans="1:29" x14ac:dyDescent="0.4">
      <c r="A87" s="43" t="s">
        <v>2482</v>
      </c>
      <c r="B87" s="44" t="s">
        <v>1260</v>
      </c>
      <c r="C87" s="41">
        <v>46078</v>
      </c>
      <c r="D87" s="45">
        <v>0.52268518518518514</v>
      </c>
      <c r="E87" s="44" t="s">
        <v>2483</v>
      </c>
      <c r="F87" s="44" t="s">
        <v>2484</v>
      </c>
      <c r="G87" s="44" t="s">
        <v>1263</v>
      </c>
      <c r="H87" s="44" t="s">
        <v>1264</v>
      </c>
      <c r="L87"/>
      <c r="M87"/>
      <c r="AB87"/>
      <c r="AC87"/>
    </row>
    <row r="88" spans="1:29" x14ac:dyDescent="0.4">
      <c r="A88" s="46" t="s">
        <v>2633</v>
      </c>
      <c r="B88" s="47" t="s">
        <v>1260</v>
      </c>
      <c r="C88" s="41">
        <v>46050</v>
      </c>
      <c r="D88" s="45">
        <v>0.53099537037037037</v>
      </c>
      <c r="E88" s="47" t="s">
        <v>2634</v>
      </c>
      <c r="F88" s="47" t="s">
        <v>2635</v>
      </c>
      <c r="G88" s="47" t="s">
        <v>1263</v>
      </c>
      <c r="H88" s="47" t="s">
        <v>1264</v>
      </c>
      <c r="L88"/>
      <c r="M88"/>
      <c r="AB88"/>
      <c r="AC88"/>
    </row>
    <row r="89" spans="1:29" x14ac:dyDescent="0.4">
      <c r="A89" s="46" t="s">
        <v>15255</v>
      </c>
      <c r="B89" s="47" t="s">
        <v>1260</v>
      </c>
      <c r="C89" s="41">
        <v>46076</v>
      </c>
      <c r="D89" s="45">
        <v>0.74420138888888887</v>
      </c>
      <c r="E89" s="47" t="s">
        <v>2380</v>
      </c>
      <c r="F89" s="47" t="s">
        <v>2381</v>
      </c>
      <c r="G89" s="47" t="s">
        <v>1263</v>
      </c>
      <c r="H89" s="47" t="s">
        <v>1264</v>
      </c>
      <c r="L89"/>
      <c r="M89"/>
      <c r="AB89"/>
      <c r="AC89"/>
    </row>
    <row r="90" spans="1:29" x14ac:dyDescent="0.4">
      <c r="A90" s="46" t="s">
        <v>1789</v>
      </c>
      <c r="B90" s="47" t="s">
        <v>1260</v>
      </c>
      <c r="C90" s="41">
        <v>45849</v>
      </c>
      <c r="D90" s="45">
        <v>0.43539351851851849</v>
      </c>
      <c r="E90" s="47" t="s">
        <v>1099</v>
      </c>
      <c r="F90" s="47" t="s">
        <v>1790</v>
      </c>
      <c r="G90" s="47" t="s">
        <v>1263</v>
      </c>
      <c r="H90" s="47" t="s">
        <v>1264</v>
      </c>
      <c r="L90"/>
      <c r="M90"/>
      <c r="AB90"/>
      <c r="AC90"/>
    </row>
    <row r="91" spans="1:29" x14ac:dyDescent="0.4">
      <c r="A91" s="46" t="s">
        <v>1308</v>
      </c>
      <c r="B91" s="47" t="s">
        <v>1260</v>
      </c>
      <c r="C91" s="41">
        <v>46024</v>
      </c>
      <c r="D91" s="45">
        <v>0.67729166666666663</v>
      </c>
      <c r="E91" s="47" t="s">
        <v>1309</v>
      </c>
      <c r="F91" s="47" t="s">
        <v>1310</v>
      </c>
      <c r="G91" s="47" t="s">
        <v>1263</v>
      </c>
      <c r="H91" s="47" t="s">
        <v>1264</v>
      </c>
      <c r="AB91"/>
      <c r="AC91"/>
    </row>
    <row r="92" spans="1:29" x14ac:dyDescent="0.4">
      <c r="A92" s="43" t="s">
        <v>15574</v>
      </c>
      <c r="B92" s="44" t="s">
        <v>1260</v>
      </c>
      <c r="C92" s="41">
        <v>46092</v>
      </c>
      <c r="D92" s="45">
        <v>0.75496527777777789</v>
      </c>
      <c r="E92" s="44" t="s">
        <v>1757</v>
      </c>
      <c r="F92" s="44" t="s">
        <v>1758</v>
      </c>
      <c r="G92" s="44" t="s">
        <v>1263</v>
      </c>
      <c r="H92" s="44" t="s">
        <v>1264</v>
      </c>
      <c r="AB92"/>
      <c r="AC92"/>
    </row>
    <row r="93" spans="1:29" x14ac:dyDescent="0.4">
      <c r="A93" s="46" t="s">
        <v>15575</v>
      </c>
      <c r="B93" s="47" t="s">
        <v>1260</v>
      </c>
      <c r="C93" s="41">
        <v>46092</v>
      </c>
      <c r="D93" s="45">
        <v>0.5596875</v>
      </c>
      <c r="E93" s="47" t="s">
        <v>1754</v>
      </c>
      <c r="F93" s="47" t="s">
        <v>1755</v>
      </c>
      <c r="G93" s="47" t="s">
        <v>1263</v>
      </c>
      <c r="H93" s="47" t="s">
        <v>1264</v>
      </c>
      <c r="AB93"/>
      <c r="AC93"/>
    </row>
    <row r="94" spans="1:29" x14ac:dyDescent="0.4">
      <c r="A94" s="43" t="s">
        <v>15576</v>
      </c>
      <c r="B94" s="44" t="s">
        <v>1260</v>
      </c>
      <c r="C94" s="41">
        <v>46127</v>
      </c>
      <c r="D94" s="45">
        <v>0.43843750000000004</v>
      </c>
      <c r="E94" s="44" t="s">
        <v>1972</v>
      </c>
      <c r="F94" s="44" t="s">
        <v>1973</v>
      </c>
      <c r="G94" s="44" t="s">
        <v>1268</v>
      </c>
      <c r="H94" s="44" t="s">
        <v>1264</v>
      </c>
      <c r="AB94"/>
      <c r="AC94"/>
    </row>
    <row r="95" spans="1:29" x14ac:dyDescent="0.4">
      <c r="A95" s="46" t="s">
        <v>1532</v>
      </c>
      <c r="B95" s="47" t="s">
        <v>1260</v>
      </c>
      <c r="C95" s="41">
        <v>46059</v>
      </c>
      <c r="D95" s="45">
        <v>0.62789351851851849</v>
      </c>
      <c r="E95" s="47" t="s">
        <v>1533</v>
      </c>
      <c r="F95" s="47" t="s">
        <v>1534</v>
      </c>
      <c r="G95" s="47" t="s">
        <v>1324</v>
      </c>
      <c r="H95" s="47" t="s">
        <v>1431</v>
      </c>
      <c r="AB95"/>
      <c r="AC95"/>
    </row>
    <row r="96" spans="1:29" x14ac:dyDescent="0.4">
      <c r="A96" s="43" t="s">
        <v>2198</v>
      </c>
      <c r="B96" s="44" t="s">
        <v>1260</v>
      </c>
      <c r="C96" s="41">
        <v>46222</v>
      </c>
      <c r="D96" s="45">
        <v>0.69612268518518527</v>
      </c>
      <c r="E96" s="44" t="s">
        <v>2199</v>
      </c>
      <c r="F96" s="44" t="s">
        <v>2200</v>
      </c>
      <c r="G96" s="44" t="s">
        <v>1263</v>
      </c>
      <c r="H96" s="44" t="s">
        <v>1264</v>
      </c>
      <c r="AB96"/>
      <c r="AC96"/>
    </row>
    <row r="97" spans="1:29" x14ac:dyDescent="0.4">
      <c r="A97" s="43" t="s">
        <v>199</v>
      </c>
      <c r="B97" s="44" t="s">
        <v>1260</v>
      </c>
      <c r="C97" s="41">
        <v>46084</v>
      </c>
      <c r="D97" s="45">
        <v>0.44368055555555558</v>
      </c>
      <c r="E97" s="44" t="s">
        <v>1393</v>
      </c>
      <c r="F97" s="44" t="s">
        <v>1394</v>
      </c>
      <c r="G97" s="44" t="s">
        <v>1335</v>
      </c>
      <c r="H97" s="44" t="s">
        <v>1264</v>
      </c>
      <c r="AB97"/>
      <c r="AC97"/>
    </row>
    <row r="98" spans="1:29" x14ac:dyDescent="0.4">
      <c r="A98" s="46" t="s">
        <v>2213</v>
      </c>
      <c r="B98" s="47" t="s">
        <v>1260</v>
      </c>
      <c r="C98" s="41">
        <v>46042</v>
      </c>
      <c r="D98" s="45">
        <v>0.70251157407407405</v>
      </c>
      <c r="E98" s="47" t="s">
        <v>2214</v>
      </c>
      <c r="F98" s="47" t="s">
        <v>2215</v>
      </c>
      <c r="G98" s="47" t="s">
        <v>1279</v>
      </c>
      <c r="H98" s="47" t="s">
        <v>1264</v>
      </c>
      <c r="AB98"/>
      <c r="AC98"/>
    </row>
    <row r="99" spans="1:29" x14ac:dyDescent="0.4">
      <c r="A99" s="43" t="s">
        <v>1720</v>
      </c>
      <c r="B99" s="44" t="s">
        <v>1260</v>
      </c>
      <c r="C99" s="41">
        <v>46000</v>
      </c>
      <c r="D99" s="45">
        <v>3.4409722222222223E-2</v>
      </c>
      <c r="E99" s="44" t="s">
        <v>1721</v>
      </c>
      <c r="F99" s="44" t="s">
        <v>1722</v>
      </c>
      <c r="G99" s="44" t="s">
        <v>1263</v>
      </c>
      <c r="H99" s="44" t="s">
        <v>1264</v>
      </c>
      <c r="AB99"/>
      <c r="AC99"/>
    </row>
    <row r="100" spans="1:29" x14ac:dyDescent="0.4">
      <c r="A100" s="46" t="s">
        <v>15256</v>
      </c>
      <c r="B100" s="47" t="s">
        <v>1260</v>
      </c>
      <c r="C100" s="41">
        <v>46164</v>
      </c>
      <c r="D100" s="45">
        <v>0.55096064814814816</v>
      </c>
      <c r="E100" s="47" t="s">
        <v>2357</v>
      </c>
      <c r="F100" s="47" t="s">
        <v>2358</v>
      </c>
      <c r="G100" s="47" t="s">
        <v>1263</v>
      </c>
      <c r="H100" s="47" t="s">
        <v>1264</v>
      </c>
      <c r="AB100"/>
      <c r="AC100"/>
    </row>
    <row r="101" spans="1:29" x14ac:dyDescent="0.4">
      <c r="A101" s="46" t="s">
        <v>2562</v>
      </c>
      <c r="B101" s="47" t="s">
        <v>1260</v>
      </c>
      <c r="C101" s="41">
        <v>46168</v>
      </c>
      <c r="D101" s="45">
        <v>0.6775578703703703</v>
      </c>
      <c r="E101" s="47" t="s">
        <v>2563</v>
      </c>
      <c r="F101" s="47" t="s">
        <v>2564</v>
      </c>
      <c r="G101" s="47" t="s">
        <v>1275</v>
      </c>
      <c r="H101" s="47" t="s">
        <v>1264</v>
      </c>
      <c r="AB101"/>
      <c r="AC101"/>
    </row>
    <row r="102" spans="1:29" x14ac:dyDescent="0.4">
      <c r="A102" s="43" t="s">
        <v>2517</v>
      </c>
      <c r="B102" s="44" t="s">
        <v>1260</v>
      </c>
      <c r="C102" s="41">
        <v>46016</v>
      </c>
      <c r="D102" s="45">
        <v>0.64484953703703707</v>
      </c>
      <c r="E102" s="44" t="s">
        <v>2518</v>
      </c>
      <c r="F102" s="44" t="s">
        <v>2519</v>
      </c>
      <c r="G102" s="44" t="s">
        <v>1263</v>
      </c>
      <c r="H102" s="44" t="s">
        <v>1264</v>
      </c>
      <c r="AB102"/>
      <c r="AC102"/>
    </row>
    <row r="103" spans="1:29" x14ac:dyDescent="0.4">
      <c r="A103" s="43" t="s">
        <v>1447</v>
      </c>
      <c r="B103" s="44" t="s">
        <v>1260</v>
      </c>
      <c r="C103" s="41">
        <v>46085</v>
      </c>
      <c r="D103" s="45">
        <v>0.82260416666666669</v>
      </c>
      <c r="E103" s="44" t="s">
        <v>1448</v>
      </c>
      <c r="F103" s="44" t="s">
        <v>1449</v>
      </c>
      <c r="G103" s="44" t="s">
        <v>1263</v>
      </c>
      <c r="H103" s="44" t="s">
        <v>1264</v>
      </c>
      <c r="AB103"/>
      <c r="AC103"/>
    </row>
    <row r="104" spans="1:29" x14ac:dyDescent="0.4">
      <c r="A104" s="43" t="s">
        <v>1911</v>
      </c>
      <c r="B104" s="44" t="s">
        <v>1260</v>
      </c>
      <c r="C104" s="41">
        <v>45821</v>
      </c>
      <c r="D104" s="45">
        <v>0.4319560185185185</v>
      </c>
      <c r="E104" s="44" t="s">
        <v>1912</v>
      </c>
      <c r="F104" s="44" t="s">
        <v>1913</v>
      </c>
      <c r="G104" s="44" t="s">
        <v>1279</v>
      </c>
      <c r="H104" s="44" t="s">
        <v>1264</v>
      </c>
      <c r="AB104"/>
      <c r="AC104"/>
    </row>
    <row r="105" spans="1:29" x14ac:dyDescent="0.4">
      <c r="A105" s="46" t="s">
        <v>1836</v>
      </c>
      <c r="B105" s="47" t="s">
        <v>1260</v>
      </c>
      <c r="C105" s="41">
        <v>46154</v>
      </c>
      <c r="D105" s="45">
        <v>0.63065972222222222</v>
      </c>
      <c r="E105" s="47" t="s">
        <v>1837</v>
      </c>
      <c r="F105" s="47" t="s">
        <v>1838</v>
      </c>
      <c r="G105" s="47" t="s">
        <v>1263</v>
      </c>
      <c r="H105" s="47" t="s">
        <v>1264</v>
      </c>
      <c r="AB105"/>
      <c r="AC105"/>
    </row>
    <row r="106" spans="1:29" x14ac:dyDescent="0.4">
      <c r="A106" s="46" t="s">
        <v>1950</v>
      </c>
      <c r="B106" s="47" t="s">
        <v>1260</v>
      </c>
      <c r="C106" s="41">
        <v>46126</v>
      </c>
      <c r="D106" s="45">
        <v>0.61398148148148146</v>
      </c>
      <c r="E106" s="47" t="s">
        <v>1951</v>
      </c>
      <c r="F106" s="47" t="s">
        <v>1952</v>
      </c>
      <c r="G106" s="47" t="s">
        <v>1263</v>
      </c>
      <c r="H106" s="47" t="s">
        <v>1264</v>
      </c>
      <c r="AB106"/>
      <c r="AC106"/>
    </row>
    <row r="107" spans="1:29" x14ac:dyDescent="0.4">
      <c r="A107" s="43" t="s">
        <v>210</v>
      </c>
      <c r="B107" s="44" t="s">
        <v>1260</v>
      </c>
      <c r="C107" s="41">
        <v>46140</v>
      </c>
      <c r="D107" s="45">
        <v>0.45446759259259256</v>
      </c>
      <c r="E107" s="44" t="s">
        <v>2672</v>
      </c>
      <c r="F107" s="44" t="s">
        <v>2673</v>
      </c>
      <c r="G107" s="44" t="s">
        <v>1335</v>
      </c>
      <c r="H107" s="44" t="s">
        <v>1264</v>
      </c>
      <c r="AB107"/>
      <c r="AC107"/>
    </row>
    <row r="108" spans="1:29" x14ac:dyDescent="0.4">
      <c r="A108" s="46" t="s">
        <v>2508</v>
      </c>
      <c r="B108" s="47" t="s">
        <v>1260</v>
      </c>
      <c r="C108" s="41">
        <v>46198</v>
      </c>
      <c r="D108" s="45">
        <v>0.51666666666666672</v>
      </c>
      <c r="E108" s="47" t="s">
        <v>2509</v>
      </c>
      <c r="F108" s="47" t="s">
        <v>2510</v>
      </c>
      <c r="G108" s="47" t="s">
        <v>1263</v>
      </c>
      <c r="H108" s="47" t="s">
        <v>1264</v>
      </c>
      <c r="AB108"/>
      <c r="AC108"/>
    </row>
    <row r="109" spans="1:29" x14ac:dyDescent="0.4">
      <c r="A109" s="46" t="s">
        <v>15257</v>
      </c>
      <c r="B109" s="47" t="s">
        <v>1260</v>
      </c>
      <c r="C109" s="41">
        <v>46134</v>
      </c>
      <c r="D109" s="45">
        <v>1.9733796296296298E-2</v>
      </c>
      <c r="E109" s="47" t="s">
        <v>2351</v>
      </c>
      <c r="F109" s="47" t="s">
        <v>2352</v>
      </c>
      <c r="G109" s="47" t="s">
        <v>1263</v>
      </c>
      <c r="H109" s="47" t="s">
        <v>1264</v>
      </c>
      <c r="AB109"/>
      <c r="AC109"/>
    </row>
    <row r="110" spans="1:29" x14ac:dyDescent="0.4">
      <c r="A110" s="43" t="s">
        <v>15577</v>
      </c>
      <c r="B110" s="44" t="s">
        <v>1260</v>
      </c>
      <c r="C110" s="41">
        <v>46044</v>
      </c>
      <c r="D110" s="45">
        <v>0.63649305555555558</v>
      </c>
      <c r="E110" s="44" t="s">
        <v>2336</v>
      </c>
      <c r="F110" s="44" t="s">
        <v>2337</v>
      </c>
      <c r="G110" s="44" t="s">
        <v>1263</v>
      </c>
      <c r="H110" s="44" t="s">
        <v>1264</v>
      </c>
      <c r="AB110"/>
      <c r="AC110"/>
    </row>
    <row r="111" spans="1:29" x14ac:dyDescent="0.4">
      <c r="A111" s="46" t="s">
        <v>1711</v>
      </c>
      <c r="B111" s="47" t="s">
        <v>1260</v>
      </c>
      <c r="C111" s="41">
        <v>45544</v>
      </c>
      <c r="D111" s="45">
        <v>0.73181712962962964</v>
      </c>
      <c r="E111" s="47" t="s">
        <v>1712</v>
      </c>
      <c r="F111" s="47" t="s">
        <v>1713</v>
      </c>
      <c r="G111" s="47" t="s">
        <v>1263</v>
      </c>
      <c r="H111" s="47" t="s">
        <v>1264</v>
      </c>
      <c r="AB111"/>
      <c r="AC111"/>
    </row>
    <row r="112" spans="1:29" x14ac:dyDescent="0.4">
      <c r="A112" s="46" t="s">
        <v>1298</v>
      </c>
      <c r="B112" s="47" t="s">
        <v>1260</v>
      </c>
      <c r="C112" s="41">
        <v>46174</v>
      </c>
      <c r="D112" s="45">
        <v>0.4147569444444445</v>
      </c>
      <c r="E112" s="47" t="s">
        <v>1299</v>
      </c>
      <c r="F112" s="47" t="s">
        <v>1300</v>
      </c>
      <c r="G112" s="47" t="s">
        <v>1263</v>
      </c>
      <c r="H112" s="47" t="s">
        <v>1264</v>
      </c>
      <c r="AB112"/>
      <c r="AC112"/>
    </row>
    <row r="113" spans="1:29" x14ac:dyDescent="0.4">
      <c r="A113" s="43" t="s">
        <v>15578</v>
      </c>
      <c r="B113" s="44" t="s">
        <v>1260</v>
      </c>
      <c r="C113" s="41">
        <v>46041</v>
      </c>
      <c r="D113" s="45">
        <v>0.53515046296296298</v>
      </c>
      <c r="E113" s="44" t="s">
        <v>2151</v>
      </c>
      <c r="F113" s="44" t="s">
        <v>2152</v>
      </c>
      <c r="G113" s="44" t="s">
        <v>1263</v>
      </c>
      <c r="H113" s="44" t="s">
        <v>1264</v>
      </c>
      <c r="AB113"/>
      <c r="AC113"/>
    </row>
    <row r="114" spans="1:29" x14ac:dyDescent="0.4">
      <c r="A114" s="43" t="s">
        <v>15579</v>
      </c>
      <c r="B114" s="44" t="s">
        <v>1260</v>
      </c>
      <c r="C114" s="41">
        <v>45714</v>
      </c>
      <c r="D114" s="45">
        <v>0.32998842592592592</v>
      </c>
      <c r="E114" s="44" t="s">
        <v>2530</v>
      </c>
      <c r="F114" s="44" t="s">
        <v>2531</v>
      </c>
      <c r="G114" s="44" t="s">
        <v>1263</v>
      </c>
      <c r="H114" s="44" t="s">
        <v>1264</v>
      </c>
      <c r="AB114"/>
      <c r="AC114"/>
    </row>
    <row r="115" spans="1:29" x14ac:dyDescent="0.4">
      <c r="A115" s="46" t="s">
        <v>2183</v>
      </c>
      <c r="B115" s="47" t="s">
        <v>1260</v>
      </c>
      <c r="C115" s="41">
        <v>46161</v>
      </c>
      <c r="D115" s="45">
        <v>0.60770833333333341</v>
      </c>
      <c r="E115" s="47" t="s">
        <v>2184</v>
      </c>
      <c r="F115" s="47" t="s">
        <v>2185</v>
      </c>
      <c r="G115" s="47" t="s">
        <v>1263</v>
      </c>
      <c r="H115" s="47" t="s">
        <v>1264</v>
      </c>
      <c r="AB115"/>
      <c r="AC115"/>
    </row>
    <row r="116" spans="1:29" x14ac:dyDescent="0.4">
      <c r="A116" s="43" t="s">
        <v>15258</v>
      </c>
      <c r="B116" s="44" t="s">
        <v>1260</v>
      </c>
      <c r="C116" s="41">
        <v>45419</v>
      </c>
      <c r="D116" s="45">
        <v>0.69188657407407417</v>
      </c>
      <c r="E116" s="44" t="s">
        <v>1595</v>
      </c>
      <c r="F116" s="44" t="s">
        <v>1596</v>
      </c>
      <c r="G116" s="44" t="s">
        <v>1263</v>
      </c>
      <c r="H116" s="44" t="s">
        <v>1264</v>
      </c>
      <c r="AB116"/>
      <c r="AC116"/>
    </row>
    <row r="117" spans="1:29" x14ac:dyDescent="0.4">
      <c r="A117" s="43" t="s">
        <v>2060</v>
      </c>
      <c r="B117" s="44" t="s">
        <v>1260</v>
      </c>
      <c r="C117" s="41">
        <v>46189</v>
      </c>
      <c r="D117" s="45">
        <v>0.61645833333333333</v>
      </c>
      <c r="E117" s="44" t="s">
        <v>2061</v>
      </c>
      <c r="F117" s="44" t="s">
        <v>2062</v>
      </c>
      <c r="G117" s="44" t="s">
        <v>1263</v>
      </c>
      <c r="H117" s="44" t="s">
        <v>1264</v>
      </c>
      <c r="AB117"/>
      <c r="AC117"/>
    </row>
    <row r="118" spans="1:29" x14ac:dyDescent="0.4">
      <c r="A118" s="46" t="s">
        <v>2165</v>
      </c>
      <c r="B118" s="47" t="s">
        <v>1260</v>
      </c>
      <c r="C118" s="41">
        <v>46100</v>
      </c>
      <c r="D118" s="45">
        <v>0.3694675925925926</v>
      </c>
      <c r="E118" s="47" t="s">
        <v>2166</v>
      </c>
      <c r="F118" s="47" t="s">
        <v>2167</v>
      </c>
      <c r="G118" s="47" t="s">
        <v>1279</v>
      </c>
      <c r="H118" s="47" t="s">
        <v>1264</v>
      </c>
      <c r="AB118"/>
      <c r="AC118"/>
    </row>
    <row r="119" spans="1:29" x14ac:dyDescent="0.4">
      <c r="A119" s="46" t="s">
        <v>1938</v>
      </c>
      <c r="B119" s="47" t="s">
        <v>1260</v>
      </c>
      <c r="C119" s="41">
        <v>46067</v>
      </c>
      <c r="D119" s="45">
        <v>0.84212962962962967</v>
      </c>
      <c r="E119" s="47" t="s">
        <v>1939</v>
      </c>
      <c r="F119" s="47" t="s">
        <v>1940</v>
      </c>
      <c r="G119" s="47" t="s">
        <v>1263</v>
      </c>
      <c r="H119" s="47" t="s">
        <v>1264</v>
      </c>
      <c r="AB119"/>
      <c r="AC119"/>
    </row>
    <row r="120" spans="1:29" x14ac:dyDescent="0.4">
      <c r="A120" s="46" t="s">
        <v>1556</v>
      </c>
      <c r="B120" s="47" t="s">
        <v>1260</v>
      </c>
      <c r="C120" s="41">
        <v>46179</v>
      </c>
      <c r="D120" s="45">
        <v>0.4055555555555555</v>
      </c>
      <c r="E120" s="47" t="s">
        <v>1557</v>
      </c>
      <c r="F120" s="47" t="s">
        <v>1558</v>
      </c>
      <c r="G120" s="47" t="s">
        <v>1263</v>
      </c>
      <c r="H120" s="47" t="s">
        <v>1264</v>
      </c>
      <c r="AB120"/>
      <c r="AC120"/>
    </row>
    <row r="121" spans="1:29" x14ac:dyDescent="0.4">
      <c r="A121" s="43" t="s">
        <v>1321</v>
      </c>
      <c r="B121" s="44" t="s">
        <v>1260</v>
      </c>
      <c r="C121" s="41">
        <v>46083</v>
      </c>
      <c r="D121" s="45">
        <v>0.36863425925925924</v>
      </c>
      <c r="E121" s="44" t="s">
        <v>1322</v>
      </c>
      <c r="F121" s="44" t="s">
        <v>1323</v>
      </c>
      <c r="G121" s="44" t="s">
        <v>1263</v>
      </c>
      <c r="H121" s="44" t="s">
        <v>1264</v>
      </c>
      <c r="AB121"/>
      <c r="AC121"/>
    </row>
    <row r="122" spans="1:29" x14ac:dyDescent="0.4">
      <c r="A122" s="43" t="s">
        <v>2234</v>
      </c>
      <c r="B122" s="44" t="s">
        <v>1260</v>
      </c>
      <c r="C122" s="41">
        <v>46101</v>
      </c>
      <c r="D122" s="45">
        <v>0.64362268518518517</v>
      </c>
      <c r="E122" s="44" t="s">
        <v>2235</v>
      </c>
      <c r="F122" s="44" t="s">
        <v>2236</v>
      </c>
      <c r="G122" s="44" t="s">
        <v>1279</v>
      </c>
      <c r="H122" s="44" t="s">
        <v>1264</v>
      </c>
      <c r="AB122"/>
      <c r="AC122"/>
    </row>
    <row r="123" spans="1:29" x14ac:dyDescent="0.4">
      <c r="A123" s="43" t="s">
        <v>2712</v>
      </c>
      <c r="B123" s="44" t="s">
        <v>1260</v>
      </c>
      <c r="C123" s="41">
        <v>46111</v>
      </c>
      <c r="D123" s="45">
        <v>0.67548611111111112</v>
      </c>
      <c r="E123" s="44" t="s">
        <v>2713</v>
      </c>
      <c r="F123" s="44" t="s">
        <v>2714</v>
      </c>
      <c r="G123" s="44" t="s">
        <v>1324</v>
      </c>
      <c r="H123" s="44" t="s">
        <v>1403</v>
      </c>
      <c r="AB123"/>
      <c r="AC123"/>
    </row>
    <row r="124" spans="1:29" x14ac:dyDescent="0.4">
      <c r="A124" s="46" t="s">
        <v>2297</v>
      </c>
      <c r="B124" s="47" t="s">
        <v>1260</v>
      </c>
      <c r="C124" s="41">
        <v>46133</v>
      </c>
      <c r="D124" s="45">
        <v>0.54902777777777778</v>
      </c>
      <c r="E124" s="47" t="s">
        <v>2298</v>
      </c>
      <c r="F124" s="47" t="s">
        <v>2299</v>
      </c>
      <c r="G124" s="47" t="s">
        <v>1263</v>
      </c>
      <c r="H124" s="47" t="s">
        <v>1264</v>
      </c>
      <c r="AB124"/>
      <c r="AC124"/>
    </row>
    <row r="125" spans="1:29" x14ac:dyDescent="0.4">
      <c r="A125" s="43" t="s">
        <v>1959</v>
      </c>
      <c r="B125" s="44" t="s">
        <v>1260</v>
      </c>
      <c r="C125" s="41">
        <v>45579</v>
      </c>
      <c r="D125" s="45">
        <v>0.87859953703703697</v>
      </c>
      <c r="E125" s="44" t="s">
        <v>1960</v>
      </c>
      <c r="F125" s="44" t="s">
        <v>1961</v>
      </c>
      <c r="G125" s="44" t="s">
        <v>1263</v>
      </c>
      <c r="H125" s="44" t="s">
        <v>1264</v>
      </c>
      <c r="AB125"/>
      <c r="AC125"/>
    </row>
    <row r="126" spans="1:29" x14ac:dyDescent="0.4">
      <c r="A126" s="43" t="s">
        <v>1642</v>
      </c>
      <c r="B126" s="44" t="s">
        <v>1260</v>
      </c>
      <c r="C126" s="41">
        <v>46211</v>
      </c>
      <c r="D126" s="45">
        <v>0.50778935185185181</v>
      </c>
      <c r="E126" s="44" t="s">
        <v>1643</v>
      </c>
      <c r="F126" s="44" t="s">
        <v>1644</v>
      </c>
      <c r="G126" s="44" t="s">
        <v>1263</v>
      </c>
      <c r="H126" s="44" t="s">
        <v>1264</v>
      </c>
      <c r="AB126"/>
      <c r="AC126"/>
    </row>
    <row r="127" spans="1:29" x14ac:dyDescent="0.4">
      <c r="A127" s="46" t="s">
        <v>1438</v>
      </c>
      <c r="B127" s="47" t="s">
        <v>1260</v>
      </c>
      <c r="C127" s="41">
        <v>46057</v>
      </c>
      <c r="D127" s="45">
        <v>0.62420138888888888</v>
      </c>
      <c r="E127" s="47" t="s">
        <v>1439</v>
      </c>
      <c r="F127" s="47" t="s">
        <v>1440</v>
      </c>
      <c r="G127" s="47" t="s">
        <v>1263</v>
      </c>
      <c r="H127" s="47" t="s">
        <v>1264</v>
      </c>
      <c r="AB127"/>
      <c r="AC127"/>
    </row>
    <row r="128" spans="1:29" x14ac:dyDescent="0.4">
      <c r="A128" s="43" t="s">
        <v>2382</v>
      </c>
      <c r="B128" s="44" t="s">
        <v>1260</v>
      </c>
      <c r="C128" s="41">
        <v>46076</v>
      </c>
      <c r="D128" s="45">
        <v>0.47825231481481478</v>
      </c>
      <c r="E128" s="44" t="s">
        <v>2383</v>
      </c>
      <c r="F128" s="44" t="s">
        <v>2384</v>
      </c>
      <c r="G128" s="44" t="s">
        <v>1263</v>
      </c>
      <c r="H128" s="44" t="s">
        <v>1264</v>
      </c>
      <c r="AB128"/>
      <c r="AC128"/>
    </row>
    <row r="129" spans="1:29" x14ac:dyDescent="0.4">
      <c r="A129" s="43" t="s">
        <v>2013</v>
      </c>
      <c r="B129" s="44" t="s">
        <v>1260</v>
      </c>
      <c r="C129" s="41">
        <v>46038</v>
      </c>
      <c r="D129" s="45">
        <v>0.75680555555555562</v>
      </c>
      <c r="E129" s="44" t="s">
        <v>2014</v>
      </c>
      <c r="F129" s="44" t="s">
        <v>2015</v>
      </c>
      <c r="G129" s="44" t="s">
        <v>1263</v>
      </c>
      <c r="H129" s="44" t="s">
        <v>1264</v>
      </c>
      <c r="AB129"/>
      <c r="AC129"/>
    </row>
    <row r="130" spans="1:29" x14ac:dyDescent="0.4">
      <c r="A130" s="43" t="s">
        <v>1441</v>
      </c>
      <c r="B130" s="44" t="s">
        <v>1260</v>
      </c>
      <c r="C130" s="41">
        <v>46057</v>
      </c>
      <c r="D130" s="45">
        <v>0.49053240740740739</v>
      </c>
      <c r="E130" s="44" t="s">
        <v>1442</v>
      </c>
      <c r="F130" s="44" t="s">
        <v>1443</v>
      </c>
      <c r="G130" s="44" t="s">
        <v>1263</v>
      </c>
      <c r="H130" s="44" t="s">
        <v>1264</v>
      </c>
      <c r="AB130"/>
      <c r="AC130"/>
    </row>
    <row r="131" spans="1:29" x14ac:dyDescent="0.4">
      <c r="A131" s="43" t="s">
        <v>15580</v>
      </c>
      <c r="B131" s="44" t="s">
        <v>1260</v>
      </c>
      <c r="C131" s="41">
        <v>46059</v>
      </c>
      <c r="D131" s="45">
        <v>0.65652777777777771</v>
      </c>
      <c r="E131" s="44" t="s">
        <v>1536</v>
      </c>
      <c r="F131" s="44" t="s">
        <v>1537</v>
      </c>
      <c r="G131" s="44" t="s">
        <v>1263</v>
      </c>
      <c r="H131" s="44" t="s">
        <v>1264</v>
      </c>
      <c r="AB131"/>
      <c r="AC131"/>
    </row>
    <row r="132" spans="1:29" x14ac:dyDescent="0.4">
      <c r="A132" s="46" t="s">
        <v>15581</v>
      </c>
      <c r="B132" s="47" t="s">
        <v>1260</v>
      </c>
      <c r="C132" s="41">
        <v>46097</v>
      </c>
      <c r="D132" s="45">
        <v>0.68006944444444439</v>
      </c>
      <c r="E132" s="47" t="s">
        <v>2041</v>
      </c>
      <c r="F132" s="47" t="s">
        <v>2042</v>
      </c>
      <c r="G132" s="47" t="s">
        <v>1263</v>
      </c>
      <c r="H132" s="47" t="s">
        <v>1264</v>
      </c>
      <c r="AB132"/>
      <c r="AC132"/>
    </row>
    <row r="133" spans="1:29" x14ac:dyDescent="0.4">
      <c r="A133" s="43" t="s">
        <v>1995</v>
      </c>
      <c r="B133" s="44" t="s">
        <v>1260</v>
      </c>
      <c r="C133" s="41">
        <v>46218</v>
      </c>
      <c r="D133" s="45">
        <v>0.52640046296296295</v>
      </c>
      <c r="E133" s="44" t="s">
        <v>1996</v>
      </c>
      <c r="F133" s="44" t="s">
        <v>1997</v>
      </c>
      <c r="G133" s="44" t="s">
        <v>1263</v>
      </c>
      <c r="H133" s="44" t="s">
        <v>1264</v>
      </c>
      <c r="AB133"/>
      <c r="AC133"/>
    </row>
    <row r="134" spans="1:29" x14ac:dyDescent="0.4">
      <c r="A134" s="46" t="s">
        <v>2052</v>
      </c>
      <c r="B134" s="47" t="s">
        <v>1260</v>
      </c>
      <c r="C134" s="41">
        <v>46128</v>
      </c>
      <c r="D134" s="45">
        <v>0.71069444444444452</v>
      </c>
      <c r="E134" s="47" t="s">
        <v>2053</v>
      </c>
      <c r="F134" s="47" t="s">
        <v>2054</v>
      </c>
      <c r="G134" s="47" t="s">
        <v>1263</v>
      </c>
      <c r="H134" s="47" t="s">
        <v>1264</v>
      </c>
      <c r="AB134"/>
      <c r="AC134"/>
    </row>
    <row r="135" spans="1:29" x14ac:dyDescent="0.4">
      <c r="A135" s="46" t="s">
        <v>2544</v>
      </c>
      <c r="B135" s="47" t="s">
        <v>1260</v>
      </c>
      <c r="C135" s="41">
        <v>46079</v>
      </c>
      <c r="D135" s="45">
        <v>0.34863425925925928</v>
      </c>
      <c r="E135" s="47" t="s">
        <v>2545</v>
      </c>
      <c r="F135" s="47" t="s">
        <v>2546</v>
      </c>
      <c r="G135" s="47" t="s">
        <v>1263</v>
      </c>
      <c r="H135" s="47" t="s">
        <v>1264</v>
      </c>
      <c r="AB135"/>
      <c r="AC135"/>
    </row>
    <row r="136" spans="1:29" x14ac:dyDescent="0.4">
      <c r="A136" s="46" t="s">
        <v>1389</v>
      </c>
      <c r="B136" s="47" t="s">
        <v>1260</v>
      </c>
      <c r="C136" s="41">
        <v>46084</v>
      </c>
      <c r="D136" s="45">
        <v>0.66710648148148144</v>
      </c>
      <c r="E136" s="47" t="s">
        <v>1390</v>
      </c>
      <c r="F136" s="47" t="s">
        <v>1391</v>
      </c>
      <c r="G136" s="47" t="s">
        <v>1263</v>
      </c>
      <c r="H136" s="47" t="s">
        <v>1264</v>
      </c>
      <c r="AB136"/>
      <c r="AC136"/>
    </row>
    <row r="137" spans="1:29" x14ac:dyDescent="0.4">
      <c r="A137" s="43" t="s">
        <v>2636</v>
      </c>
      <c r="B137" s="44" t="s">
        <v>1260</v>
      </c>
      <c r="C137" s="41">
        <v>46050</v>
      </c>
      <c r="D137" s="45">
        <v>0.40864583333333332</v>
      </c>
      <c r="E137" s="44" t="s">
        <v>2637</v>
      </c>
      <c r="F137" s="44" t="s">
        <v>2638</v>
      </c>
      <c r="G137" s="44" t="s">
        <v>1263</v>
      </c>
      <c r="H137" s="44" t="s">
        <v>1264</v>
      </c>
      <c r="AB137"/>
      <c r="AC137"/>
    </row>
    <row r="138" spans="1:29" x14ac:dyDescent="0.4">
      <c r="A138" s="46" t="s">
        <v>2022</v>
      </c>
      <c r="B138" s="47" t="s">
        <v>1260</v>
      </c>
      <c r="C138" s="41">
        <v>46069</v>
      </c>
      <c r="D138" s="45">
        <v>0.55001157407407408</v>
      </c>
      <c r="E138" s="47" t="s">
        <v>2023</v>
      </c>
      <c r="F138" s="47" t="s">
        <v>2024</v>
      </c>
      <c r="G138" s="47" t="s">
        <v>1263</v>
      </c>
      <c r="H138" s="47" t="s">
        <v>1264</v>
      </c>
      <c r="AB138"/>
      <c r="AC138"/>
    </row>
    <row r="139" spans="1:29" x14ac:dyDescent="0.4">
      <c r="A139" s="46" t="s">
        <v>2526</v>
      </c>
      <c r="B139" s="47" t="s">
        <v>1260</v>
      </c>
      <c r="C139" s="41">
        <v>45714</v>
      </c>
      <c r="D139" s="45">
        <v>0.81130787037037033</v>
      </c>
      <c r="E139" s="47" t="s">
        <v>2527</v>
      </c>
      <c r="F139" s="47" t="s">
        <v>2528</v>
      </c>
      <c r="G139" s="47" t="s">
        <v>1263</v>
      </c>
      <c r="H139" s="47" t="s">
        <v>1264</v>
      </c>
      <c r="AB139"/>
      <c r="AC139"/>
    </row>
    <row r="140" spans="1:29" x14ac:dyDescent="0.4">
      <c r="A140" s="43" t="s">
        <v>1821</v>
      </c>
      <c r="B140" s="44" t="s">
        <v>1260</v>
      </c>
      <c r="C140" s="41">
        <v>46093</v>
      </c>
      <c r="D140" s="45">
        <v>0.45924768518518522</v>
      </c>
      <c r="E140" s="44" t="s">
        <v>1822</v>
      </c>
      <c r="F140" s="44" t="s">
        <v>1823</v>
      </c>
      <c r="G140" s="44" t="s">
        <v>1279</v>
      </c>
      <c r="H140" s="44" t="s">
        <v>1264</v>
      </c>
      <c r="AB140"/>
      <c r="AC140"/>
    </row>
    <row r="141" spans="1:29" x14ac:dyDescent="0.4">
      <c r="A141" s="43" t="s">
        <v>2043</v>
      </c>
      <c r="B141" s="44" t="s">
        <v>1260</v>
      </c>
      <c r="C141" s="41">
        <v>46097</v>
      </c>
      <c r="D141" s="45">
        <v>0.71850694444444452</v>
      </c>
      <c r="E141" s="44" t="s">
        <v>2044</v>
      </c>
      <c r="F141" s="44" t="s">
        <v>2045</v>
      </c>
      <c r="G141" s="44" t="s">
        <v>1268</v>
      </c>
      <c r="H141" s="44" t="s">
        <v>1264</v>
      </c>
      <c r="AB141"/>
      <c r="AC141"/>
    </row>
    <row r="142" spans="1:29" x14ac:dyDescent="0.4">
      <c r="A142" s="43" t="s">
        <v>2600</v>
      </c>
      <c r="B142" s="44" t="s">
        <v>1260</v>
      </c>
      <c r="C142" s="41">
        <v>46108</v>
      </c>
      <c r="D142" s="45">
        <v>0.54032407407407412</v>
      </c>
      <c r="E142" s="44" t="s">
        <v>2601</v>
      </c>
      <c r="F142" s="44" t="s">
        <v>2602</v>
      </c>
      <c r="G142" s="44" t="s">
        <v>1279</v>
      </c>
      <c r="H142" s="44" t="s">
        <v>1264</v>
      </c>
      <c r="AB142"/>
      <c r="AC142"/>
    </row>
    <row r="143" spans="1:29" x14ac:dyDescent="0.4">
      <c r="A143" s="43" t="s">
        <v>2365</v>
      </c>
      <c r="B143" s="44" t="s">
        <v>1260</v>
      </c>
      <c r="C143" s="41">
        <v>46013</v>
      </c>
      <c r="D143" s="45">
        <v>0.69437499999999996</v>
      </c>
      <c r="E143" s="44" t="s">
        <v>989</v>
      </c>
      <c r="F143" s="44" t="s">
        <v>2366</v>
      </c>
      <c r="G143" s="44" t="s">
        <v>1263</v>
      </c>
      <c r="H143" s="44" t="s">
        <v>1264</v>
      </c>
      <c r="AB143"/>
      <c r="AC143"/>
    </row>
    <row r="144" spans="1:29" x14ac:dyDescent="0.4">
      <c r="A144" s="46" t="s">
        <v>15582</v>
      </c>
      <c r="B144" s="47" t="s">
        <v>1260</v>
      </c>
      <c r="C144" s="41">
        <v>46174</v>
      </c>
      <c r="D144" s="45">
        <v>0.42442129629629632</v>
      </c>
      <c r="E144" s="47" t="s">
        <v>1287</v>
      </c>
      <c r="F144" s="47" t="s">
        <v>1288</v>
      </c>
      <c r="G144" s="47" t="s">
        <v>1263</v>
      </c>
      <c r="H144" s="47" t="s">
        <v>1264</v>
      </c>
      <c r="AB144"/>
      <c r="AC144"/>
    </row>
    <row r="145" spans="1:29" x14ac:dyDescent="0.4">
      <c r="A145" s="46" t="s">
        <v>2057</v>
      </c>
      <c r="B145" s="47" t="s">
        <v>1260</v>
      </c>
      <c r="C145" s="41">
        <v>46189</v>
      </c>
      <c r="D145" s="45">
        <v>0.46302083333333338</v>
      </c>
      <c r="E145" s="47" t="s">
        <v>2058</v>
      </c>
      <c r="F145" s="47" t="s">
        <v>2059</v>
      </c>
      <c r="G145" s="47" t="s">
        <v>1263</v>
      </c>
      <c r="H145" s="47" t="s">
        <v>1264</v>
      </c>
      <c r="AB145"/>
      <c r="AC145"/>
    </row>
    <row r="146" spans="1:29" x14ac:dyDescent="0.4">
      <c r="A146" s="46" t="s">
        <v>1615</v>
      </c>
      <c r="B146" s="47" t="s">
        <v>1260</v>
      </c>
      <c r="C146" s="41">
        <v>46061</v>
      </c>
      <c r="D146" s="45">
        <v>0.61061342592592593</v>
      </c>
      <c r="E146" s="47" t="s">
        <v>1616</v>
      </c>
      <c r="F146" s="47" t="s">
        <v>1617</v>
      </c>
      <c r="G146" s="47" t="s">
        <v>1263</v>
      </c>
      <c r="H146" s="47" t="s">
        <v>1264</v>
      </c>
      <c r="AB146"/>
      <c r="AC146"/>
    </row>
    <row r="147" spans="1:29" x14ac:dyDescent="0.4">
      <c r="A147" s="43" t="s">
        <v>2025</v>
      </c>
      <c r="B147" s="44" t="s">
        <v>1260</v>
      </c>
      <c r="C147" s="41">
        <v>46069</v>
      </c>
      <c r="D147" s="45">
        <v>0.6743055555555556</v>
      </c>
      <c r="E147" s="44" t="s">
        <v>2026</v>
      </c>
      <c r="F147" s="44" t="s">
        <v>2027</v>
      </c>
      <c r="G147" s="44" t="s">
        <v>1263</v>
      </c>
      <c r="H147" s="44" t="s">
        <v>1264</v>
      </c>
      <c r="AB147"/>
      <c r="AC147"/>
    </row>
    <row r="148" spans="1:29" x14ac:dyDescent="0.4">
      <c r="A148" s="43" t="s">
        <v>1881</v>
      </c>
      <c r="B148" s="44" t="s">
        <v>1260</v>
      </c>
      <c r="C148" s="41">
        <v>46066</v>
      </c>
      <c r="D148" s="45">
        <v>0.53724537037037035</v>
      </c>
      <c r="E148" s="44" t="s">
        <v>1882</v>
      </c>
      <c r="F148" s="44" t="s">
        <v>1883</v>
      </c>
      <c r="G148" s="44" t="s">
        <v>1263</v>
      </c>
      <c r="H148" s="44" t="s">
        <v>1264</v>
      </c>
      <c r="AB148"/>
      <c r="AC148"/>
    </row>
    <row r="149" spans="1:29" x14ac:dyDescent="0.4">
      <c r="A149" s="43" t="s">
        <v>2630</v>
      </c>
      <c r="B149" s="44" t="s">
        <v>1260</v>
      </c>
      <c r="C149" s="41">
        <v>46050</v>
      </c>
      <c r="D149" s="45">
        <v>0.85084490740740737</v>
      </c>
      <c r="E149" s="44" t="s">
        <v>2631</v>
      </c>
      <c r="F149" s="44" t="s">
        <v>2632</v>
      </c>
      <c r="G149" s="44" t="s">
        <v>1263</v>
      </c>
      <c r="H149" s="44" t="s">
        <v>1264</v>
      </c>
      <c r="AB149"/>
      <c r="AC149"/>
    </row>
    <row r="150" spans="1:29" x14ac:dyDescent="0.4">
      <c r="A150" s="46" t="s">
        <v>15583</v>
      </c>
      <c r="B150" s="47" t="s">
        <v>1260</v>
      </c>
      <c r="C150" s="41">
        <v>46223</v>
      </c>
      <c r="D150" s="45">
        <v>0.49449074074074079</v>
      </c>
      <c r="E150" s="47" t="s">
        <v>2274</v>
      </c>
      <c r="F150" s="47" t="s">
        <v>2275</v>
      </c>
      <c r="G150" s="47" t="s">
        <v>1268</v>
      </c>
      <c r="H150" s="47" t="s">
        <v>1264</v>
      </c>
      <c r="AB150"/>
      <c r="AC150"/>
    </row>
    <row r="151" spans="1:29" x14ac:dyDescent="0.4">
      <c r="A151" s="46" t="s">
        <v>15086</v>
      </c>
      <c r="B151" s="47" t="s">
        <v>1260</v>
      </c>
      <c r="C151" s="41">
        <v>46046</v>
      </c>
      <c r="D151" s="45">
        <v>0.65546296296296302</v>
      </c>
      <c r="E151" s="47" t="s">
        <v>2415</v>
      </c>
      <c r="F151" s="47" t="s">
        <v>2416</v>
      </c>
      <c r="G151" s="47" t="s">
        <v>1263</v>
      </c>
      <c r="H151" s="47" t="s">
        <v>1264</v>
      </c>
      <c r="AB151"/>
      <c r="AC151"/>
    </row>
    <row r="152" spans="1:29" x14ac:dyDescent="0.4">
      <c r="A152" s="43" t="s">
        <v>15087</v>
      </c>
      <c r="B152" s="44" t="s">
        <v>1260</v>
      </c>
      <c r="C152" s="41">
        <v>46154</v>
      </c>
      <c r="D152" s="45">
        <v>0.42158564814814814</v>
      </c>
      <c r="E152" s="44" t="s">
        <v>1840</v>
      </c>
      <c r="F152" s="44" t="s">
        <v>1841</v>
      </c>
      <c r="G152" s="44" t="s">
        <v>1263</v>
      </c>
      <c r="H152" s="44" t="s">
        <v>1264</v>
      </c>
      <c r="AB152"/>
      <c r="AC152"/>
    </row>
    <row r="153" spans="1:29" x14ac:dyDescent="0.4">
      <c r="A153" s="46" t="s">
        <v>15088</v>
      </c>
      <c r="B153" s="47" t="s">
        <v>1260</v>
      </c>
      <c r="C153" s="41">
        <v>46150</v>
      </c>
      <c r="D153" s="45">
        <v>0.70138888888888884</v>
      </c>
      <c r="E153" s="47" t="s">
        <v>1628</v>
      </c>
      <c r="F153" s="47" t="s">
        <v>1629</v>
      </c>
      <c r="G153" s="47" t="s">
        <v>1263</v>
      </c>
      <c r="H153" s="47" t="s">
        <v>1264</v>
      </c>
      <c r="AB153"/>
      <c r="AC153"/>
    </row>
    <row r="154" spans="1:29" x14ac:dyDescent="0.4">
      <c r="A154" s="43" t="s">
        <v>15089</v>
      </c>
      <c r="B154" s="44" t="s">
        <v>1260</v>
      </c>
      <c r="C154" s="41">
        <v>46162</v>
      </c>
      <c r="D154" s="45">
        <v>0.45447916666666671</v>
      </c>
      <c r="E154" s="44" t="s">
        <v>2247</v>
      </c>
      <c r="F154" s="44" t="s">
        <v>2248</v>
      </c>
      <c r="G154" s="44" t="s">
        <v>1263</v>
      </c>
      <c r="H154" s="44" t="s">
        <v>1264</v>
      </c>
      <c r="AB154"/>
      <c r="AC154"/>
    </row>
    <row r="155" spans="1:29" x14ac:dyDescent="0.4">
      <c r="A155" s="43" t="s">
        <v>15090</v>
      </c>
      <c r="B155" s="44" t="s">
        <v>1260</v>
      </c>
      <c r="C155" s="41">
        <v>46125</v>
      </c>
      <c r="D155" s="45">
        <v>0.43908564814814816</v>
      </c>
      <c r="E155" s="44" t="s">
        <v>1900</v>
      </c>
      <c r="F155" s="44" t="s">
        <v>1901</v>
      </c>
      <c r="G155" s="44" t="s">
        <v>1263</v>
      </c>
      <c r="H155" s="44" t="s">
        <v>1264</v>
      </c>
      <c r="AB155"/>
      <c r="AC155"/>
    </row>
    <row r="156" spans="1:29" x14ac:dyDescent="0.4">
      <c r="A156" s="46" t="s">
        <v>15091</v>
      </c>
      <c r="B156" s="47" t="s">
        <v>1260</v>
      </c>
      <c r="C156" s="41">
        <v>46081</v>
      </c>
      <c r="D156" s="45">
        <v>0.86591435185185184</v>
      </c>
      <c r="E156" s="47" t="s">
        <v>2652</v>
      </c>
      <c r="F156" s="47" t="s">
        <v>2653</v>
      </c>
      <c r="G156" s="47" t="s">
        <v>1263</v>
      </c>
      <c r="H156" s="47" t="s">
        <v>1264</v>
      </c>
      <c r="AB156"/>
      <c r="AC156"/>
    </row>
    <row r="157" spans="1:29" x14ac:dyDescent="0.4">
      <c r="A157" s="43" t="s">
        <v>2031</v>
      </c>
      <c r="B157" s="44" t="s">
        <v>1260</v>
      </c>
      <c r="C157" s="41">
        <v>46069</v>
      </c>
      <c r="D157" s="45">
        <v>0.40130787037037036</v>
      </c>
      <c r="E157" s="44" t="s">
        <v>2032</v>
      </c>
      <c r="F157" s="44" t="s">
        <v>2033</v>
      </c>
      <c r="G157" s="44" t="s">
        <v>1263</v>
      </c>
      <c r="H157" s="44" t="s">
        <v>1264</v>
      </c>
      <c r="AB157"/>
      <c r="AC157"/>
    </row>
    <row r="158" spans="1:29" x14ac:dyDescent="0.4">
      <c r="A158" s="46" t="s">
        <v>2396</v>
      </c>
      <c r="B158" s="47" t="s">
        <v>1260</v>
      </c>
      <c r="C158" s="41">
        <v>46135</v>
      </c>
      <c r="D158" s="45">
        <v>0.54245370370370372</v>
      </c>
      <c r="E158" s="47" t="s">
        <v>2397</v>
      </c>
      <c r="F158" s="47" t="s">
        <v>2398</v>
      </c>
      <c r="G158" s="47" t="s">
        <v>1263</v>
      </c>
      <c r="H158" s="47" t="s">
        <v>1264</v>
      </c>
      <c r="AB158"/>
      <c r="AC158"/>
    </row>
    <row r="159" spans="1:29" x14ac:dyDescent="0.4">
      <c r="A159" s="43" t="s">
        <v>15092</v>
      </c>
      <c r="B159" s="44" t="s">
        <v>1260</v>
      </c>
      <c r="C159" s="41">
        <v>46047</v>
      </c>
      <c r="D159" s="45">
        <v>0.79802083333333329</v>
      </c>
      <c r="E159" s="44" t="s">
        <v>1360</v>
      </c>
      <c r="F159" s="44" t="s">
        <v>2460</v>
      </c>
      <c r="G159" s="44" t="s">
        <v>1263</v>
      </c>
      <c r="H159" s="44" t="s">
        <v>1264</v>
      </c>
      <c r="AB159"/>
      <c r="AC159"/>
    </row>
    <row r="160" spans="1:29" x14ac:dyDescent="0.4">
      <c r="A160" s="46" t="s">
        <v>2502</v>
      </c>
      <c r="B160" s="47" t="s">
        <v>1260</v>
      </c>
      <c r="C160" s="41">
        <v>46198</v>
      </c>
      <c r="D160" s="45">
        <v>0.42086805555555556</v>
      </c>
      <c r="E160" s="47" t="s">
        <v>2503</v>
      </c>
      <c r="F160" s="47" t="s">
        <v>2504</v>
      </c>
      <c r="G160" s="47" t="s">
        <v>1268</v>
      </c>
      <c r="H160" s="47" t="s">
        <v>1264</v>
      </c>
      <c r="AB160"/>
      <c r="AC160"/>
    </row>
    <row r="161" spans="1:29" x14ac:dyDescent="0.4">
      <c r="A161" s="46" t="s">
        <v>2105</v>
      </c>
      <c r="B161" s="47" t="s">
        <v>1260</v>
      </c>
      <c r="C161" s="41">
        <v>46190</v>
      </c>
      <c r="D161" s="45">
        <v>0.56694444444444447</v>
      </c>
      <c r="E161" s="47" t="s">
        <v>2106</v>
      </c>
      <c r="F161" s="47" t="s">
        <v>2107</v>
      </c>
      <c r="G161" s="47" t="s">
        <v>1263</v>
      </c>
      <c r="H161" s="47" t="s">
        <v>1264</v>
      </c>
      <c r="AB161"/>
      <c r="AC161"/>
    </row>
    <row r="162" spans="1:29" x14ac:dyDescent="0.4">
      <c r="A162" s="43" t="s">
        <v>1863</v>
      </c>
      <c r="B162" s="44" t="s">
        <v>1260</v>
      </c>
      <c r="C162" s="41">
        <v>46035</v>
      </c>
      <c r="D162" s="45">
        <v>0.95241898148148152</v>
      </c>
      <c r="E162" s="44" t="s">
        <v>1864</v>
      </c>
      <c r="F162" s="44" t="s">
        <v>1865</v>
      </c>
      <c r="G162" s="44" t="s">
        <v>1263</v>
      </c>
      <c r="H162" s="44" t="s">
        <v>1264</v>
      </c>
      <c r="AB162"/>
      <c r="AC162"/>
    </row>
    <row r="163" spans="1:29" x14ac:dyDescent="0.4">
      <c r="A163" s="46" t="s">
        <v>2087</v>
      </c>
      <c r="B163" s="47" t="s">
        <v>1260</v>
      </c>
      <c r="C163" s="41">
        <v>46070</v>
      </c>
      <c r="D163" s="45">
        <v>0.69306712962962969</v>
      </c>
      <c r="E163" s="47" t="s">
        <v>2088</v>
      </c>
      <c r="F163" s="47" t="s">
        <v>2089</v>
      </c>
      <c r="G163" s="47" t="s">
        <v>1279</v>
      </c>
      <c r="H163" s="47" t="s">
        <v>1264</v>
      </c>
      <c r="AB163"/>
      <c r="AC163"/>
    </row>
    <row r="164" spans="1:29" x14ac:dyDescent="0.4">
      <c r="A164" s="46" t="s">
        <v>2075</v>
      </c>
      <c r="B164" s="47" t="s">
        <v>1260</v>
      </c>
      <c r="C164" s="41">
        <v>46219</v>
      </c>
      <c r="D164" s="45">
        <v>0.5252430555555555</v>
      </c>
      <c r="E164" s="47" t="s">
        <v>2076</v>
      </c>
      <c r="F164" s="47" t="s">
        <v>2077</v>
      </c>
      <c r="G164" s="47" t="s">
        <v>1263</v>
      </c>
      <c r="H164" s="47" t="s">
        <v>1264</v>
      </c>
      <c r="AB164"/>
      <c r="AC164"/>
    </row>
    <row r="165" spans="1:29" x14ac:dyDescent="0.4">
      <c r="A165" s="46" t="s">
        <v>2669</v>
      </c>
      <c r="B165" s="47" t="s">
        <v>1260</v>
      </c>
      <c r="C165" s="41">
        <v>46140</v>
      </c>
      <c r="D165" s="45">
        <v>0.65879629629629632</v>
      </c>
      <c r="E165" s="47" t="s">
        <v>2670</v>
      </c>
      <c r="F165" s="47" t="s">
        <v>2671</v>
      </c>
      <c r="G165" s="47" t="s">
        <v>1279</v>
      </c>
      <c r="H165" s="47" t="s">
        <v>1264</v>
      </c>
      <c r="AB165"/>
      <c r="AC165"/>
    </row>
    <row r="166" spans="1:29" x14ac:dyDescent="0.4">
      <c r="A166" s="43" t="s">
        <v>1541</v>
      </c>
      <c r="B166" s="44" t="s">
        <v>1260</v>
      </c>
      <c r="C166" s="41">
        <v>46059</v>
      </c>
      <c r="D166" s="45">
        <v>0.73342592592592604</v>
      </c>
      <c r="E166" s="44" t="s">
        <v>1542</v>
      </c>
      <c r="F166" s="44" t="s">
        <v>1543</v>
      </c>
      <c r="G166" s="44" t="s">
        <v>1263</v>
      </c>
      <c r="H166" s="44" t="s">
        <v>1264</v>
      </c>
      <c r="AB166"/>
      <c r="AC166"/>
    </row>
    <row r="167" spans="1:29" x14ac:dyDescent="0.4">
      <c r="A167" s="43" t="s">
        <v>2493</v>
      </c>
      <c r="B167" s="44" t="s">
        <v>1260</v>
      </c>
      <c r="C167" s="41">
        <v>46137</v>
      </c>
      <c r="D167" s="45">
        <v>0.88023148148148145</v>
      </c>
      <c r="E167" s="44" t="s">
        <v>2494</v>
      </c>
      <c r="F167" s="44" t="s">
        <v>2495</v>
      </c>
      <c r="G167" s="44" t="s">
        <v>1263</v>
      </c>
      <c r="H167" s="44" t="s">
        <v>1264</v>
      </c>
      <c r="AB167"/>
      <c r="AC167"/>
    </row>
    <row r="168" spans="1:29" x14ac:dyDescent="0.4">
      <c r="A168" s="43" t="s">
        <v>15584</v>
      </c>
      <c r="B168" s="44" t="s">
        <v>1260</v>
      </c>
      <c r="C168" s="41">
        <v>46143</v>
      </c>
      <c r="D168" s="45">
        <v>0.53422453703703698</v>
      </c>
      <c r="E168" s="44" t="s">
        <v>1270</v>
      </c>
      <c r="F168" s="44" t="s">
        <v>1271</v>
      </c>
      <c r="G168" s="44" t="s">
        <v>1263</v>
      </c>
      <c r="H168" s="44" t="s">
        <v>1264</v>
      </c>
      <c r="AB168"/>
      <c r="AC168"/>
    </row>
    <row r="169" spans="1:29" x14ac:dyDescent="0.4">
      <c r="A169" s="43" t="s">
        <v>15701</v>
      </c>
      <c r="B169" s="44" t="s">
        <v>1260</v>
      </c>
      <c r="C169" s="41">
        <v>46042</v>
      </c>
      <c r="D169" s="45">
        <v>0.55420138888888892</v>
      </c>
      <c r="E169" s="44" t="s">
        <v>2223</v>
      </c>
      <c r="F169" s="44" t="s">
        <v>2224</v>
      </c>
      <c r="G169" s="44" t="s">
        <v>1263</v>
      </c>
      <c r="H169" s="44" t="s">
        <v>1264</v>
      </c>
      <c r="AB169"/>
      <c r="AC169"/>
    </row>
    <row r="170" spans="1:29" x14ac:dyDescent="0.4">
      <c r="A170" s="46" t="s">
        <v>15702</v>
      </c>
      <c r="B170" s="47" t="s">
        <v>1260</v>
      </c>
      <c r="C170" s="41">
        <v>46193</v>
      </c>
      <c r="D170" s="45">
        <v>0.66533564814814816</v>
      </c>
      <c r="E170" s="47" t="s">
        <v>2268</v>
      </c>
      <c r="F170" s="47" t="s">
        <v>2269</v>
      </c>
      <c r="G170" s="47" t="s">
        <v>1263</v>
      </c>
      <c r="H170" s="47" t="s">
        <v>1264</v>
      </c>
      <c r="AB170"/>
      <c r="AC170"/>
    </row>
    <row r="171" spans="1:29" x14ac:dyDescent="0.4">
      <c r="A171" s="43" t="s">
        <v>2323</v>
      </c>
      <c r="B171" s="44" t="s">
        <v>1260</v>
      </c>
      <c r="C171" s="41">
        <v>46044</v>
      </c>
      <c r="D171" s="45">
        <v>0.47439814814814812</v>
      </c>
      <c r="E171" s="44" t="s">
        <v>2324</v>
      </c>
      <c r="F171" s="44" t="s">
        <v>2325</v>
      </c>
      <c r="G171" s="44" t="s">
        <v>1263</v>
      </c>
      <c r="H171" s="44" t="s">
        <v>1264</v>
      </c>
      <c r="AB171"/>
      <c r="AC171"/>
    </row>
    <row r="172" spans="1:29" x14ac:dyDescent="0.4">
      <c r="A172" s="43" t="s">
        <v>2666</v>
      </c>
      <c r="B172" s="44" t="s">
        <v>1260</v>
      </c>
      <c r="C172" s="41">
        <v>46140</v>
      </c>
      <c r="D172" s="45">
        <v>0.72285879629629635</v>
      </c>
      <c r="E172" s="44" t="s">
        <v>2667</v>
      </c>
      <c r="F172" s="44" t="s">
        <v>2668</v>
      </c>
      <c r="G172" s="44" t="s">
        <v>1263</v>
      </c>
      <c r="H172" s="44" t="s">
        <v>1264</v>
      </c>
      <c r="AB172"/>
      <c r="AC172"/>
    </row>
    <row r="173" spans="1:29" x14ac:dyDescent="0.4">
      <c r="A173" s="43" t="s">
        <v>15259</v>
      </c>
      <c r="B173" s="44" t="s">
        <v>1260</v>
      </c>
      <c r="C173" s="41">
        <v>46066</v>
      </c>
      <c r="D173" s="45">
        <v>0.49461805555555555</v>
      </c>
      <c r="E173" s="44" t="s">
        <v>1888</v>
      </c>
      <c r="F173" s="44" t="s">
        <v>1889</v>
      </c>
      <c r="G173" s="44" t="s">
        <v>1263</v>
      </c>
      <c r="H173" s="44" t="s">
        <v>1264</v>
      </c>
      <c r="AB173"/>
      <c r="AC173"/>
    </row>
    <row r="174" spans="1:29" x14ac:dyDescent="0.4">
      <c r="A174" s="43" t="s">
        <v>2084</v>
      </c>
      <c r="B174" s="44" t="s">
        <v>1260</v>
      </c>
      <c r="C174" s="41">
        <v>46070</v>
      </c>
      <c r="D174" s="45">
        <v>0.35730324074074077</v>
      </c>
      <c r="E174" s="44" t="s">
        <v>2085</v>
      </c>
      <c r="F174" s="44" t="s">
        <v>2086</v>
      </c>
      <c r="G174" s="44" t="s">
        <v>1279</v>
      </c>
      <c r="H174" s="44" t="s">
        <v>1264</v>
      </c>
      <c r="AB174"/>
      <c r="AC174"/>
    </row>
    <row r="175" spans="1:29" x14ac:dyDescent="0.4">
      <c r="A175" s="43" t="s">
        <v>2114</v>
      </c>
      <c r="B175" s="44" t="s">
        <v>1260</v>
      </c>
      <c r="C175" s="41">
        <v>46071</v>
      </c>
      <c r="D175" s="45">
        <v>0.66407407407407404</v>
      </c>
      <c r="E175" s="44" t="s">
        <v>2115</v>
      </c>
      <c r="F175" s="44" t="s">
        <v>2116</v>
      </c>
      <c r="G175" s="44" t="s">
        <v>1324</v>
      </c>
      <c r="H175" s="44" t="s">
        <v>1403</v>
      </c>
      <c r="AB175"/>
      <c r="AC175"/>
    </row>
    <row r="176" spans="1:29" x14ac:dyDescent="0.4">
      <c r="A176" s="46" t="s">
        <v>2715</v>
      </c>
      <c r="B176" s="47" t="s">
        <v>1260</v>
      </c>
      <c r="C176" s="41">
        <v>46111</v>
      </c>
      <c r="D176" s="45">
        <v>0.38530092592592591</v>
      </c>
      <c r="E176" s="47" t="s">
        <v>2716</v>
      </c>
      <c r="F176" s="47" t="s">
        <v>2717</v>
      </c>
      <c r="G176" s="47" t="s">
        <v>1263</v>
      </c>
      <c r="H176" s="47" t="s">
        <v>1264</v>
      </c>
      <c r="AB176"/>
      <c r="AC176"/>
    </row>
    <row r="177" spans="1:29" x14ac:dyDescent="0.4">
      <c r="A177" s="43" t="s">
        <v>2276</v>
      </c>
      <c r="B177" s="44" t="s">
        <v>1260</v>
      </c>
      <c r="C177" s="41">
        <v>46223</v>
      </c>
      <c r="D177" s="45">
        <v>0.11726851851851851</v>
      </c>
      <c r="E177" s="44" t="s">
        <v>2277</v>
      </c>
      <c r="F177" s="44" t="s">
        <v>2278</v>
      </c>
      <c r="G177" s="44" t="s">
        <v>1263</v>
      </c>
      <c r="H177" s="44" t="s">
        <v>1264</v>
      </c>
      <c r="AB177"/>
      <c r="AC177"/>
    </row>
    <row r="178" spans="1:29" x14ac:dyDescent="0.4">
      <c r="A178" s="43" t="s">
        <v>2594</v>
      </c>
      <c r="B178" s="44" t="s">
        <v>1260</v>
      </c>
      <c r="C178" s="41">
        <v>46108</v>
      </c>
      <c r="D178" s="45">
        <v>0.48278935185185184</v>
      </c>
      <c r="E178" s="44" t="s">
        <v>2595</v>
      </c>
      <c r="F178" s="44" t="s">
        <v>2596</v>
      </c>
      <c r="G178" s="44" t="s">
        <v>1263</v>
      </c>
      <c r="H178" s="44" t="s">
        <v>1264</v>
      </c>
      <c r="AB178"/>
      <c r="AC178"/>
    </row>
    <row r="179" spans="1:29" x14ac:dyDescent="0.4">
      <c r="A179" s="46" t="s">
        <v>2135</v>
      </c>
      <c r="B179" s="47" t="s">
        <v>1260</v>
      </c>
      <c r="C179" s="41">
        <v>46160</v>
      </c>
      <c r="D179" s="45">
        <v>0.46902777777777777</v>
      </c>
      <c r="E179" s="47" t="s">
        <v>2136</v>
      </c>
      <c r="F179" s="47" t="s">
        <v>2137</v>
      </c>
      <c r="G179" s="47" t="s">
        <v>1263</v>
      </c>
      <c r="H179" s="47" t="s">
        <v>1264</v>
      </c>
      <c r="AB179"/>
      <c r="AC179"/>
    </row>
    <row r="180" spans="1:29" x14ac:dyDescent="0.4">
      <c r="A180" s="46" t="s">
        <v>1591</v>
      </c>
      <c r="B180" s="47" t="s">
        <v>1260</v>
      </c>
      <c r="C180" s="41">
        <v>45419</v>
      </c>
      <c r="D180" s="45">
        <v>0.8609606481481481</v>
      </c>
      <c r="E180" s="47" t="s">
        <v>1592</v>
      </c>
      <c r="F180" s="47" t="s">
        <v>1593</v>
      </c>
      <c r="G180" s="47" t="s">
        <v>1263</v>
      </c>
      <c r="H180" s="47" t="s">
        <v>1264</v>
      </c>
      <c r="AB180"/>
      <c r="AC180"/>
    </row>
    <row r="181" spans="1:29" x14ac:dyDescent="0.4">
      <c r="A181" s="43" t="s">
        <v>1505</v>
      </c>
      <c r="B181" s="44" t="s">
        <v>1260</v>
      </c>
      <c r="C181" s="41">
        <v>46147</v>
      </c>
      <c r="D181" s="45">
        <v>0.79392361111111109</v>
      </c>
      <c r="E181" s="44" t="s">
        <v>1506</v>
      </c>
      <c r="F181" s="44" t="s">
        <v>1507</v>
      </c>
      <c r="G181" s="44" t="s">
        <v>1263</v>
      </c>
      <c r="H181" s="44" t="s">
        <v>1264</v>
      </c>
      <c r="AB181"/>
      <c r="AC181"/>
    </row>
    <row r="182" spans="1:29" x14ac:dyDescent="0.4">
      <c r="A182" s="46" t="s">
        <v>2147</v>
      </c>
      <c r="B182" s="47" t="s">
        <v>1260</v>
      </c>
      <c r="C182" s="41">
        <v>46009</v>
      </c>
      <c r="D182" s="45">
        <v>0.49464120370370374</v>
      </c>
      <c r="E182" s="47" t="s">
        <v>2148</v>
      </c>
      <c r="F182" s="47" t="s">
        <v>2149</v>
      </c>
      <c r="G182" s="47" t="s">
        <v>1263</v>
      </c>
      <c r="H182" s="47" t="s">
        <v>1264</v>
      </c>
      <c r="AB182"/>
      <c r="AC182"/>
    </row>
    <row r="183" spans="1:29" x14ac:dyDescent="0.4">
      <c r="A183" s="46" t="s">
        <v>1735</v>
      </c>
      <c r="B183" s="47" t="s">
        <v>1260</v>
      </c>
      <c r="C183" s="41">
        <v>46122</v>
      </c>
      <c r="D183" s="45">
        <v>0.16749999999999998</v>
      </c>
      <c r="E183" s="47" t="s">
        <v>1736</v>
      </c>
      <c r="F183" s="47" t="s">
        <v>1737</v>
      </c>
      <c r="G183" s="47" t="s">
        <v>1324</v>
      </c>
      <c r="H183" s="47" t="s">
        <v>1383</v>
      </c>
      <c r="AB183"/>
      <c r="AC183"/>
    </row>
    <row r="184" spans="1:29" x14ac:dyDescent="0.4">
      <c r="A184" s="46" t="s">
        <v>2746</v>
      </c>
      <c r="B184" s="47" t="s">
        <v>1260</v>
      </c>
      <c r="C184" s="41">
        <v>45775</v>
      </c>
      <c r="D184" s="45">
        <v>0.7112384259259259</v>
      </c>
      <c r="E184" s="47" t="s">
        <v>2658</v>
      </c>
      <c r="F184" s="47" t="s">
        <v>2659</v>
      </c>
      <c r="G184" s="47" t="s">
        <v>1263</v>
      </c>
      <c r="H184" s="47" t="s">
        <v>1264</v>
      </c>
      <c r="AB184"/>
      <c r="AC184"/>
    </row>
    <row r="185" spans="1:29" x14ac:dyDescent="0.4">
      <c r="A185" s="43" t="s">
        <v>2577</v>
      </c>
      <c r="B185" s="44" t="s">
        <v>1260</v>
      </c>
      <c r="C185" s="41">
        <v>46049</v>
      </c>
      <c r="D185" s="45">
        <v>0.71275462962962965</v>
      </c>
      <c r="E185" s="44" t="s">
        <v>2578</v>
      </c>
      <c r="F185" s="44" t="s">
        <v>2579</v>
      </c>
      <c r="G185" s="44" t="s">
        <v>1263</v>
      </c>
      <c r="H185" s="44" t="s">
        <v>1264</v>
      </c>
      <c r="AB185"/>
      <c r="AC185"/>
    </row>
    <row r="186" spans="1:29" x14ac:dyDescent="0.4">
      <c r="A186" s="46" t="s">
        <v>2010</v>
      </c>
      <c r="B186" s="47" t="s">
        <v>1260</v>
      </c>
      <c r="C186" s="41">
        <v>46038</v>
      </c>
      <c r="D186" s="45">
        <v>0.57967592592592598</v>
      </c>
      <c r="E186" s="47" t="s">
        <v>2011</v>
      </c>
      <c r="F186" s="47" t="s">
        <v>2012</v>
      </c>
      <c r="G186" s="47" t="s">
        <v>1263</v>
      </c>
      <c r="H186" s="47" t="s">
        <v>1264</v>
      </c>
      <c r="AB186"/>
      <c r="AC186"/>
    </row>
    <row r="187" spans="1:29" x14ac:dyDescent="0.4">
      <c r="A187" s="43" t="s">
        <v>2736</v>
      </c>
      <c r="B187" s="44" t="s">
        <v>1260</v>
      </c>
      <c r="C187" s="41">
        <v>46203</v>
      </c>
      <c r="D187" s="45">
        <v>0.42594907407407406</v>
      </c>
      <c r="E187" s="44" t="s">
        <v>2737</v>
      </c>
      <c r="F187" s="44" t="s">
        <v>2738</v>
      </c>
      <c r="G187" s="44" t="s">
        <v>1268</v>
      </c>
      <c r="H187" s="44" t="s">
        <v>1264</v>
      </c>
      <c r="AB187"/>
      <c r="AC187"/>
    </row>
    <row r="188" spans="1:29" x14ac:dyDescent="0.4">
      <c r="A188" s="43" t="s">
        <v>2376</v>
      </c>
      <c r="B188" s="44" t="s">
        <v>1260</v>
      </c>
      <c r="C188" s="41">
        <v>46076</v>
      </c>
      <c r="D188" s="45">
        <v>0.7469675925925926</v>
      </c>
      <c r="E188" s="44" t="s">
        <v>2377</v>
      </c>
      <c r="F188" s="44" t="s">
        <v>2378</v>
      </c>
      <c r="G188" s="44" t="s">
        <v>1263</v>
      </c>
      <c r="H188" s="44" t="s">
        <v>1264</v>
      </c>
      <c r="AB188"/>
      <c r="AC188"/>
    </row>
    <row r="189" spans="1:29" x14ac:dyDescent="0.4">
      <c r="A189" s="43" t="s">
        <v>15094</v>
      </c>
      <c r="B189" s="44" t="s">
        <v>1260</v>
      </c>
      <c r="C189" s="41">
        <v>46146</v>
      </c>
      <c r="D189" s="45">
        <v>0.30851851851851853</v>
      </c>
      <c r="E189" s="44" t="s">
        <v>1460</v>
      </c>
      <c r="F189" s="44" t="s">
        <v>1461</v>
      </c>
      <c r="G189" s="44" t="s">
        <v>1275</v>
      </c>
      <c r="H189" s="44" t="s">
        <v>1264</v>
      </c>
      <c r="AB189"/>
      <c r="AC189"/>
    </row>
    <row r="190" spans="1:29" x14ac:dyDescent="0.4">
      <c r="A190" s="43" t="s">
        <v>15095</v>
      </c>
      <c r="B190" s="44" t="s">
        <v>1260</v>
      </c>
      <c r="C190" s="41">
        <v>46161</v>
      </c>
      <c r="D190" s="45">
        <v>0.47598379629629628</v>
      </c>
      <c r="E190" s="44" t="s">
        <v>2187</v>
      </c>
      <c r="F190" s="44" t="s">
        <v>2188</v>
      </c>
      <c r="G190" s="44" t="s">
        <v>1275</v>
      </c>
      <c r="H190" s="44" t="s">
        <v>1264</v>
      </c>
      <c r="AB190"/>
      <c r="AC190"/>
    </row>
    <row r="191" spans="1:29" x14ac:dyDescent="0.4">
      <c r="A191" s="43" t="s">
        <v>15096</v>
      </c>
      <c r="B191" s="44" t="s">
        <v>1260</v>
      </c>
      <c r="C191" s="41">
        <v>46093</v>
      </c>
      <c r="D191" s="45">
        <v>0.56268518518518518</v>
      </c>
      <c r="E191" s="44" t="s">
        <v>1816</v>
      </c>
      <c r="F191" s="44" t="s">
        <v>1817</v>
      </c>
      <c r="G191" s="44" t="s">
        <v>1275</v>
      </c>
      <c r="H191" s="44" t="s">
        <v>1264</v>
      </c>
      <c r="AB191"/>
      <c r="AC191"/>
    </row>
    <row r="192" spans="1:29" x14ac:dyDescent="0.4">
      <c r="A192" s="43" t="s">
        <v>15097</v>
      </c>
      <c r="B192" s="44" t="s">
        <v>1260</v>
      </c>
      <c r="C192" s="41">
        <v>46190</v>
      </c>
      <c r="D192" s="45">
        <v>0.73344907407407411</v>
      </c>
      <c r="E192" s="44" t="s">
        <v>2103</v>
      </c>
      <c r="F192" s="44" t="s">
        <v>2104</v>
      </c>
      <c r="G192" s="44" t="s">
        <v>1275</v>
      </c>
      <c r="H192" s="44" t="s">
        <v>1264</v>
      </c>
      <c r="AB192"/>
      <c r="AC192"/>
    </row>
    <row r="193" spans="1:29" x14ac:dyDescent="0.4">
      <c r="A193" s="43" t="s">
        <v>15098</v>
      </c>
      <c r="B193" s="44" t="s">
        <v>1260</v>
      </c>
      <c r="C193" s="41">
        <v>46188</v>
      </c>
      <c r="D193" s="45">
        <v>0.78771990740740738</v>
      </c>
      <c r="E193" s="44" t="s">
        <v>1984</v>
      </c>
      <c r="F193" s="44" t="s">
        <v>1985</v>
      </c>
      <c r="G193" s="44" t="s">
        <v>1275</v>
      </c>
      <c r="H193" s="44" t="s">
        <v>1264</v>
      </c>
      <c r="AB193"/>
      <c r="AC193"/>
    </row>
    <row r="194" spans="1:29" x14ac:dyDescent="0.4">
      <c r="A194" s="43" t="s">
        <v>15099</v>
      </c>
      <c r="B194" s="44" t="s">
        <v>1260</v>
      </c>
      <c r="C194" s="41">
        <v>46020</v>
      </c>
      <c r="D194" s="45">
        <v>0.44015046296296295</v>
      </c>
      <c r="E194" s="44" t="s">
        <v>2707</v>
      </c>
      <c r="F194" s="44" t="s">
        <v>2708</v>
      </c>
      <c r="G194" s="44" t="s">
        <v>1275</v>
      </c>
      <c r="H194" s="44" t="s">
        <v>1264</v>
      </c>
      <c r="AB194"/>
      <c r="AC194"/>
    </row>
    <row r="195" spans="1:29" x14ac:dyDescent="0.4">
      <c r="A195" s="43" t="s">
        <v>15100</v>
      </c>
      <c r="B195" s="44" t="s">
        <v>1260</v>
      </c>
      <c r="C195" s="41">
        <v>46080</v>
      </c>
      <c r="D195" s="45">
        <v>0.99843749999999998</v>
      </c>
      <c r="E195" s="44" t="s">
        <v>2589</v>
      </c>
      <c r="F195" s="44" t="s">
        <v>2590</v>
      </c>
      <c r="G195" s="44" t="s">
        <v>1275</v>
      </c>
      <c r="H195" s="44" t="s">
        <v>1264</v>
      </c>
      <c r="AB195"/>
      <c r="AC195"/>
    </row>
    <row r="196" spans="1:29" x14ac:dyDescent="0.4">
      <c r="A196" s="46" t="s">
        <v>15101</v>
      </c>
      <c r="B196" s="47" t="s">
        <v>1260</v>
      </c>
      <c r="C196" s="41">
        <v>46098</v>
      </c>
      <c r="D196" s="45">
        <v>0.42625000000000002</v>
      </c>
      <c r="E196" s="47" t="s">
        <v>2094</v>
      </c>
      <c r="F196" s="47" t="s">
        <v>2095</v>
      </c>
      <c r="G196" s="47" t="s">
        <v>1275</v>
      </c>
      <c r="H196" s="47" t="s">
        <v>1264</v>
      </c>
      <c r="AB196"/>
      <c r="AC196"/>
    </row>
    <row r="197" spans="1:29" x14ac:dyDescent="0.4">
      <c r="A197" s="46" t="s">
        <v>15102</v>
      </c>
      <c r="B197" s="47" t="s">
        <v>1260</v>
      </c>
      <c r="C197" s="41">
        <v>46044</v>
      </c>
      <c r="D197" s="45">
        <v>0.48553240740740744</v>
      </c>
      <c r="E197" s="47" t="s">
        <v>2327</v>
      </c>
      <c r="F197" s="47" t="s">
        <v>2328</v>
      </c>
      <c r="G197" s="47" t="s">
        <v>1275</v>
      </c>
      <c r="H197" s="47" t="s">
        <v>1264</v>
      </c>
      <c r="AB197"/>
      <c r="AC197"/>
    </row>
    <row r="198" spans="1:29" x14ac:dyDescent="0.4">
      <c r="A198" s="43" t="s">
        <v>2228</v>
      </c>
      <c r="B198" s="44" t="s">
        <v>1260</v>
      </c>
      <c r="C198" s="41">
        <v>46073</v>
      </c>
      <c r="D198" s="45">
        <v>0.52008101851851851</v>
      </c>
      <c r="E198" s="44" t="s">
        <v>2229</v>
      </c>
      <c r="F198" s="44" t="s">
        <v>2230</v>
      </c>
      <c r="G198" s="44" t="s">
        <v>1268</v>
      </c>
      <c r="H198" s="44" t="s">
        <v>1264</v>
      </c>
      <c r="AB198"/>
      <c r="AC198"/>
    </row>
    <row r="199" spans="1:29" x14ac:dyDescent="0.4">
      <c r="A199" s="43" t="s">
        <v>2132</v>
      </c>
      <c r="B199" s="44" t="s">
        <v>1260</v>
      </c>
      <c r="C199" s="41">
        <v>46160</v>
      </c>
      <c r="D199" s="45">
        <v>0.64517361111111116</v>
      </c>
      <c r="E199" s="44" t="s">
        <v>2133</v>
      </c>
      <c r="F199" s="44" t="s">
        <v>2134</v>
      </c>
      <c r="G199" s="44" t="s">
        <v>1263</v>
      </c>
      <c r="H199" s="44" t="s">
        <v>1264</v>
      </c>
      <c r="AB199"/>
      <c r="AC199"/>
    </row>
    <row r="200" spans="1:29" x14ac:dyDescent="0.4">
      <c r="A200" s="46" t="s">
        <v>1974</v>
      </c>
      <c r="B200" s="47" t="s">
        <v>1260</v>
      </c>
      <c r="C200" s="41">
        <v>46157</v>
      </c>
      <c r="D200" s="45">
        <v>0.50806712962962963</v>
      </c>
      <c r="E200" s="47" t="s">
        <v>1975</v>
      </c>
      <c r="F200" s="47" t="s">
        <v>1976</v>
      </c>
      <c r="G200" s="47" t="s">
        <v>1263</v>
      </c>
      <c r="H200" s="47" t="s">
        <v>1264</v>
      </c>
      <c r="AB200"/>
      <c r="AC200"/>
    </row>
    <row r="201" spans="1:29" x14ac:dyDescent="0.4">
      <c r="A201" s="46" t="s">
        <v>2432</v>
      </c>
      <c r="B201" s="47" t="s">
        <v>1260</v>
      </c>
      <c r="C201" s="41">
        <v>46105</v>
      </c>
      <c r="D201" s="45">
        <v>0.67857638888888883</v>
      </c>
      <c r="E201" s="47" t="s">
        <v>2433</v>
      </c>
      <c r="F201" s="47" t="s">
        <v>2434</v>
      </c>
      <c r="G201" s="47" t="s">
        <v>1263</v>
      </c>
      <c r="H201" s="47" t="s">
        <v>1264</v>
      </c>
      <c r="AB201"/>
      <c r="AC201"/>
    </row>
    <row r="202" spans="1:29" x14ac:dyDescent="0.4">
      <c r="A202" s="43" t="s">
        <v>15585</v>
      </c>
      <c r="B202" s="44" t="s">
        <v>1260</v>
      </c>
      <c r="C202" s="41">
        <v>46065</v>
      </c>
      <c r="D202" s="45">
        <v>0.50910879629629624</v>
      </c>
      <c r="E202" s="44" t="s">
        <v>1804</v>
      </c>
      <c r="F202" s="44" t="s">
        <v>1805</v>
      </c>
      <c r="G202" s="44" t="s">
        <v>1263</v>
      </c>
      <c r="H202" s="44" t="s">
        <v>1264</v>
      </c>
      <c r="AB202"/>
      <c r="AC202"/>
    </row>
    <row r="203" spans="1:29" x14ac:dyDescent="0.4">
      <c r="A203" s="46" t="s">
        <v>2279</v>
      </c>
      <c r="B203" s="47" t="s">
        <v>1260</v>
      </c>
      <c r="C203" s="41">
        <v>45646</v>
      </c>
      <c r="D203" s="45">
        <v>0.42531249999999998</v>
      </c>
      <c r="E203" s="47" t="s">
        <v>2280</v>
      </c>
      <c r="F203" s="47" t="s">
        <v>2281</v>
      </c>
      <c r="G203" s="47" t="s">
        <v>1263</v>
      </c>
      <c r="H203" s="47" t="s">
        <v>1264</v>
      </c>
      <c r="AB203"/>
      <c r="AC203"/>
    </row>
    <row r="204" spans="1:29" x14ac:dyDescent="0.4">
      <c r="A204" s="43" t="s">
        <v>2019</v>
      </c>
      <c r="B204" s="44" t="s">
        <v>1260</v>
      </c>
      <c r="C204" s="41">
        <v>46069</v>
      </c>
      <c r="D204" s="45">
        <v>0.60037037037037033</v>
      </c>
      <c r="E204" s="44" t="s">
        <v>2020</v>
      </c>
      <c r="F204" s="44" t="s">
        <v>2021</v>
      </c>
      <c r="G204" s="44" t="s">
        <v>1263</v>
      </c>
      <c r="H204" s="44" t="s">
        <v>1264</v>
      </c>
      <c r="AB204"/>
      <c r="AC204"/>
    </row>
    <row r="205" spans="1:29" x14ac:dyDescent="0.4">
      <c r="A205" s="46" t="s">
        <v>2709</v>
      </c>
      <c r="B205" s="47" t="s">
        <v>1260</v>
      </c>
      <c r="C205" s="41">
        <v>46052</v>
      </c>
      <c r="D205" s="45">
        <v>0.50747685185185187</v>
      </c>
      <c r="E205" s="47" t="s">
        <v>2710</v>
      </c>
      <c r="F205" s="47" t="s">
        <v>2711</v>
      </c>
      <c r="G205" s="47" t="s">
        <v>1263</v>
      </c>
      <c r="H205" s="47" t="s">
        <v>1264</v>
      </c>
      <c r="AB205"/>
      <c r="AC205"/>
    </row>
    <row r="206" spans="1:29" x14ac:dyDescent="0.4">
      <c r="A206" s="43" t="s">
        <v>15586</v>
      </c>
      <c r="B206" s="44" t="s">
        <v>1260</v>
      </c>
      <c r="C206" s="41">
        <v>46106</v>
      </c>
      <c r="D206" s="45">
        <v>0.5524189814814815</v>
      </c>
      <c r="E206" s="44" t="s">
        <v>1101</v>
      </c>
      <c r="F206" s="44" t="s">
        <v>2489</v>
      </c>
      <c r="G206" s="44" t="s">
        <v>1263</v>
      </c>
      <c r="H206" s="44" t="s">
        <v>1264</v>
      </c>
      <c r="AB206"/>
      <c r="AC206"/>
    </row>
    <row r="207" spans="1:29" x14ac:dyDescent="0.4">
      <c r="A207" s="46" t="s">
        <v>2479</v>
      </c>
      <c r="B207" s="47" t="s">
        <v>1260</v>
      </c>
      <c r="C207" s="41">
        <v>46078</v>
      </c>
      <c r="D207" s="45">
        <v>0.35726851851851849</v>
      </c>
      <c r="E207" s="47" t="s">
        <v>2480</v>
      </c>
      <c r="F207" s="47" t="s">
        <v>2481</v>
      </c>
      <c r="G207" s="47" t="s">
        <v>1263</v>
      </c>
      <c r="H207" s="47" t="s">
        <v>1264</v>
      </c>
      <c r="AB207"/>
      <c r="AC207"/>
    </row>
    <row r="208" spans="1:29" x14ac:dyDescent="0.4">
      <c r="A208" s="46" t="s">
        <v>1687</v>
      </c>
      <c r="B208" s="47" t="s">
        <v>1260</v>
      </c>
      <c r="C208" s="41">
        <v>46090</v>
      </c>
      <c r="D208" s="45">
        <v>0.53238425925925925</v>
      </c>
      <c r="E208" s="47" t="s">
        <v>1688</v>
      </c>
      <c r="F208" s="47" t="s">
        <v>1689</v>
      </c>
      <c r="G208" s="47" t="s">
        <v>1263</v>
      </c>
      <c r="H208" s="47" t="s">
        <v>1264</v>
      </c>
      <c r="AB208"/>
      <c r="AC208"/>
    </row>
    <row r="209" spans="1:29" x14ac:dyDescent="0.4">
      <c r="A209" s="46" t="s">
        <v>2704</v>
      </c>
      <c r="B209" s="47" t="s">
        <v>1260</v>
      </c>
      <c r="C209" s="41">
        <v>46202</v>
      </c>
      <c r="D209" s="45">
        <v>0.41041666666666665</v>
      </c>
      <c r="E209" s="47" t="s">
        <v>2268</v>
      </c>
      <c r="F209" s="47" t="s">
        <v>2705</v>
      </c>
      <c r="G209" s="47" t="s">
        <v>1263</v>
      </c>
      <c r="H209" s="47" t="s">
        <v>1264</v>
      </c>
      <c r="AB209"/>
      <c r="AC209"/>
    </row>
    <row r="210" spans="1:29" x14ac:dyDescent="0.4">
      <c r="A210" s="43" t="s">
        <v>2642</v>
      </c>
      <c r="B210" s="44" t="s">
        <v>1260</v>
      </c>
      <c r="C210" s="41">
        <v>46050</v>
      </c>
      <c r="D210" s="45">
        <v>0.66326388888888888</v>
      </c>
      <c r="E210" s="44" t="s">
        <v>2643</v>
      </c>
      <c r="F210" s="44" t="s">
        <v>2644</v>
      </c>
      <c r="G210" s="44" t="s">
        <v>1263</v>
      </c>
      <c r="H210" s="44" t="s">
        <v>1264</v>
      </c>
      <c r="AB210"/>
      <c r="AC210"/>
    </row>
    <row r="211" spans="1:29" x14ac:dyDescent="0.4">
      <c r="A211" s="43" t="s">
        <v>15587</v>
      </c>
      <c r="B211" s="44" t="s">
        <v>1260</v>
      </c>
      <c r="C211" s="41">
        <v>45919</v>
      </c>
      <c r="D211" s="45">
        <v>0.67586805555555562</v>
      </c>
      <c r="E211" s="44" t="s">
        <v>2205</v>
      </c>
      <c r="F211" s="44" t="s">
        <v>2206</v>
      </c>
      <c r="G211" s="44" t="s">
        <v>1263</v>
      </c>
      <c r="H211" s="44" t="s">
        <v>1264</v>
      </c>
      <c r="AB211"/>
      <c r="AC211"/>
    </row>
    <row r="212" spans="1:29" x14ac:dyDescent="0.4">
      <c r="A212" s="43" t="s">
        <v>15260</v>
      </c>
      <c r="B212" s="44" t="s">
        <v>1260</v>
      </c>
      <c r="C212" s="41">
        <v>46036</v>
      </c>
      <c r="D212" s="45">
        <v>0.55745370370370373</v>
      </c>
      <c r="E212" s="44" t="s">
        <v>1930</v>
      </c>
      <c r="F212" s="44" t="s">
        <v>1931</v>
      </c>
      <c r="G212" s="44" t="s">
        <v>1279</v>
      </c>
      <c r="H212" s="44" t="s">
        <v>1264</v>
      </c>
      <c r="AB212"/>
      <c r="AC212"/>
    </row>
    <row r="213" spans="1:29" x14ac:dyDescent="0.4">
      <c r="A213" s="43" t="s">
        <v>1678</v>
      </c>
      <c r="B213" s="44" t="s">
        <v>1260</v>
      </c>
      <c r="C213" s="41">
        <v>46062</v>
      </c>
      <c r="D213" s="45">
        <v>0.52069444444444446</v>
      </c>
      <c r="E213" s="44" t="s">
        <v>1679</v>
      </c>
      <c r="F213" s="44" t="s">
        <v>1680</v>
      </c>
      <c r="G213" s="44" t="s">
        <v>1324</v>
      </c>
      <c r="H213" s="44" t="s">
        <v>1379</v>
      </c>
      <c r="AB213"/>
      <c r="AC213"/>
    </row>
    <row r="214" spans="1:29" x14ac:dyDescent="0.4">
      <c r="A214" s="46" t="s">
        <v>1675</v>
      </c>
      <c r="B214" s="47" t="s">
        <v>1260</v>
      </c>
      <c r="C214" s="41">
        <v>46062</v>
      </c>
      <c r="D214" s="45">
        <v>0.57054398148148155</v>
      </c>
      <c r="E214" s="47" t="s">
        <v>1676</v>
      </c>
      <c r="F214" s="47" t="s">
        <v>1677</v>
      </c>
      <c r="G214" s="47" t="s">
        <v>1324</v>
      </c>
      <c r="H214" s="47" t="s">
        <v>1413</v>
      </c>
      <c r="AB214"/>
      <c r="AC214"/>
    </row>
    <row r="215" spans="1:29" x14ac:dyDescent="0.4">
      <c r="A215" s="46" t="s">
        <v>2550</v>
      </c>
      <c r="B215" s="47" t="s">
        <v>1260</v>
      </c>
      <c r="C215" s="41">
        <v>46107</v>
      </c>
      <c r="D215" s="45">
        <v>0.42745370370370367</v>
      </c>
      <c r="E215" s="47" t="s">
        <v>2551</v>
      </c>
      <c r="F215" s="47" t="s">
        <v>2552</v>
      </c>
      <c r="G215" s="47" t="s">
        <v>1263</v>
      </c>
      <c r="H215" s="47" t="s">
        <v>1264</v>
      </c>
      <c r="AB215"/>
      <c r="AC215"/>
    </row>
    <row r="216" spans="1:29" x14ac:dyDescent="0.4">
      <c r="A216" s="46" t="s">
        <v>2231</v>
      </c>
      <c r="B216" s="47" t="s">
        <v>1260</v>
      </c>
      <c r="C216" s="41">
        <v>46073</v>
      </c>
      <c r="D216" s="45">
        <v>0.89763888888888888</v>
      </c>
      <c r="E216" s="47" t="s">
        <v>2232</v>
      </c>
      <c r="F216" s="47" t="s">
        <v>2233</v>
      </c>
      <c r="G216" s="47" t="s">
        <v>1263</v>
      </c>
      <c r="H216" s="47" t="s">
        <v>1264</v>
      </c>
      <c r="AB216"/>
      <c r="AC216"/>
    </row>
    <row r="217" spans="1:29" x14ac:dyDescent="0.4">
      <c r="A217" s="43" t="s">
        <v>15588</v>
      </c>
      <c r="B217" s="44" t="s">
        <v>1260</v>
      </c>
      <c r="C217" s="41">
        <v>46178</v>
      </c>
      <c r="D217" s="45">
        <v>0.91145833333333337</v>
      </c>
      <c r="E217" s="44" t="s">
        <v>1512</v>
      </c>
      <c r="F217" s="44" t="s">
        <v>1513</v>
      </c>
      <c r="G217" s="44" t="s">
        <v>1263</v>
      </c>
      <c r="H217" s="44" t="s">
        <v>1264</v>
      </c>
      <c r="AB217"/>
      <c r="AC217"/>
    </row>
    <row r="218" spans="1:29" x14ac:dyDescent="0.4">
      <c r="A218" s="46" t="s">
        <v>1866</v>
      </c>
      <c r="B218" s="47" t="s">
        <v>1260</v>
      </c>
      <c r="C218" s="41">
        <v>46035</v>
      </c>
      <c r="D218" s="45">
        <v>0.52704861111111112</v>
      </c>
      <c r="E218" s="47" t="s">
        <v>1867</v>
      </c>
      <c r="F218" s="47" t="s">
        <v>1868</v>
      </c>
      <c r="G218" s="47" t="s">
        <v>1263</v>
      </c>
      <c r="H218" s="47" t="s">
        <v>1264</v>
      </c>
      <c r="AB218"/>
      <c r="AC218"/>
    </row>
    <row r="219" spans="1:29" x14ac:dyDescent="0.4">
      <c r="A219" s="43" t="s">
        <v>1732</v>
      </c>
      <c r="B219" s="44" t="s">
        <v>1260</v>
      </c>
      <c r="C219" s="41">
        <v>46122</v>
      </c>
      <c r="D219" s="45">
        <v>0.73964120370370379</v>
      </c>
      <c r="E219" s="44" t="s">
        <v>1733</v>
      </c>
      <c r="F219" s="44" t="s">
        <v>1734</v>
      </c>
      <c r="G219" s="44" t="s">
        <v>1263</v>
      </c>
      <c r="H219" s="44" t="s">
        <v>1264</v>
      </c>
      <c r="AB219"/>
      <c r="AC219"/>
    </row>
    <row r="220" spans="1:29" x14ac:dyDescent="0.4">
      <c r="A220" s="43" t="s">
        <v>2747</v>
      </c>
      <c r="B220" s="44" t="s">
        <v>1260</v>
      </c>
      <c r="C220" s="41">
        <v>46038</v>
      </c>
      <c r="D220" s="45">
        <v>0.58450231481481485</v>
      </c>
      <c r="E220" s="44" t="s">
        <v>2008</v>
      </c>
      <c r="F220" s="44" t="s">
        <v>2009</v>
      </c>
      <c r="G220" s="44" t="s">
        <v>1263</v>
      </c>
      <c r="H220" s="44" t="s">
        <v>1403</v>
      </c>
      <c r="AB220"/>
      <c r="AC220"/>
    </row>
    <row r="221" spans="1:29" x14ac:dyDescent="0.4">
      <c r="A221" s="43" t="s">
        <v>2037</v>
      </c>
      <c r="B221" s="44" t="s">
        <v>1260</v>
      </c>
      <c r="C221" s="41">
        <v>46097</v>
      </c>
      <c r="D221" s="45">
        <v>0.66016203703703702</v>
      </c>
      <c r="E221" s="44" t="s">
        <v>2038</v>
      </c>
      <c r="F221" s="44" t="s">
        <v>2039</v>
      </c>
      <c r="G221" s="44" t="s">
        <v>1263</v>
      </c>
      <c r="H221" s="44" t="s">
        <v>1264</v>
      </c>
      <c r="AB221"/>
      <c r="AC221"/>
    </row>
    <row r="222" spans="1:29" x14ac:dyDescent="0.4">
      <c r="A222" s="46" t="s">
        <v>15589</v>
      </c>
      <c r="B222" s="47" t="s">
        <v>1260</v>
      </c>
      <c r="C222" s="41">
        <v>46210</v>
      </c>
      <c r="D222" s="45">
        <v>0.48543981481481485</v>
      </c>
      <c r="E222" s="47" t="s">
        <v>1604</v>
      </c>
      <c r="F222" s="47" t="s">
        <v>1605</v>
      </c>
      <c r="G222" s="47" t="s">
        <v>1263</v>
      </c>
      <c r="H222" s="47" t="s">
        <v>1264</v>
      </c>
      <c r="AB222"/>
      <c r="AC222"/>
    </row>
    <row r="223" spans="1:29" x14ac:dyDescent="0.4">
      <c r="A223" s="43" t="s">
        <v>15590</v>
      </c>
      <c r="B223" s="44" t="s">
        <v>1260</v>
      </c>
      <c r="C223" s="41">
        <v>46084</v>
      </c>
      <c r="D223" s="45">
        <v>0.6915162037037037</v>
      </c>
      <c r="E223" s="44" t="s">
        <v>1376</v>
      </c>
      <c r="F223" s="44" t="s">
        <v>1377</v>
      </c>
      <c r="G223" s="44" t="s">
        <v>1263</v>
      </c>
      <c r="H223" s="44" t="s">
        <v>1264</v>
      </c>
      <c r="AB223"/>
      <c r="AC223"/>
    </row>
    <row r="224" spans="1:29" x14ac:dyDescent="0.4">
      <c r="A224" s="43" t="s">
        <v>2624</v>
      </c>
      <c r="B224" s="44" t="s">
        <v>1260</v>
      </c>
      <c r="C224" s="41">
        <v>45988</v>
      </c>
      <c r="D224" s="45">
        <v>0.84719907407407413</v>
      </c>
      <c r="E224" s="44" t="s">
        <v>2625</v>
      </c>
      <c r="F224" s="44" t="s">
        <v>2626</v>
      </c>
      <c r="G224" s="44" t="s">
        <v>1279</v>
      </c>
      <c r="H224" s="44" t="s">
        <v>1264</v>
      </c>
      <c r="AB224"/>
      <c r="AC224"/>
    </row>
    <row r="225" spans="1:29" x14ac:dyDescent="0.4">
      <c r="A225" s="43" t="s">
        <v>2677</v>
      </c>
      <c r="B225" s="44" t="s">
        <v>1260</v>
      </c>
      <c r="C225" s="41">
        <v>46051</v>
      </c>
      <c r="D225" s="45">
        <v>0.32629629629629631</v>
      </c>
      <c r="E225" s="44" t="s">
        <v>2678</v>
      </c>
      <c r="F225" s="44" t="s">
        <v>2679</v>
      </c>
      <c r="G225" s="44" t="s">
        <v>1263</v>
      </c>
      <c r="H225" s="44" t="s">
        <v>1264</v>
      </c>
      <c r="AB225"/>
      <c r="AC225"/>
    </row>
    <row r="226" spans="1:29" x14ac:dyDescent="0.4">
      <c r="A226" s="43" t="s">
        <v>2553</v>
      </c>
      <c r="B226" s="44" t="s">
        <v>1260</v>
      </c>
      <c r="C226" s="41">
        <v>46107</v>
      </c>
      <c r="D226" s="45">
        <v>0.55501157407407409</v>
      </c>
      <c r="E226" s="44" t="s">
        <v>2554</v>
      </c>
      <c r="F226" s="44" t="s">
        <v>2555</v>
      </c>
      <c r="G226" s="44" t="s">
        <v>1263</v>
      </c>
      <c r="H226" s="44" t="s">
        <v>1264</v>
      </c>
      <c r="AB226"/>
      <c r="AC226"/>
    </row>
    <row r="227" spans="1:29" x14ac:dyDescent="0.4">
      <c r="A227" s="43" t="s">
        <v>15591</v>
      </c>
      <c r="B227" s="44" t="s">
        <v>1260</v>
      </c>
      <c r="C227" s="41">
        <v>46034</v>
      </c>
      <c r="D227" s="45">
        <v>0.65144675925925932</v>
      </c>
      <c r="E227" s="44" t="s">
        <v>1798</v>
      </c>
      <c r="F227" s="44" t="s">
        <v>1799</v>
      </c>
      <c r="G227" s="44" t="s">
        <v>1263</v>
      </c>
      <c r="H227" s="44" t="s">
        <v>1264</v>
      </c>
      <c r="AB227"/>
      <c r="AC227"/>
    </row>
    <row r="228" spans="1:29" x14ac:dyDescent="0.4">
      <c r="A228" s="43" t="s">
        <v>2464</v>
      </c>
      <c r="B228" s="44" t="s">
        <v>1260</v>
      </c>
      <c r="C228" s="41">
        <v>46047</v>
      </c>
      <c r="D228" s="45">
        <v>0.75509259259259265</v>
      </c>
      <c r="E228" s="44" t="s">
        <v>2465</v>
      </c>
      <c r="F228" s="44" t="s">
        <v>2466</v>
      </c>
      <c r="G228" s="44" t="s">
        <v>1263</v>
      </c>
      <c r="H228" s="44" t="s">
        <v>1264</v>
      </c>
      <c r="AB228"/>
      <c r="AC228"/>
    </row>
    <row r="229" spans="1:29" x14ac:dyDescent="0.4">
      <c r="A229" s="43" t="s">
        <v>15592</v>
      </c>
      <c r="B229" s="44" t="s">
        <v>1260</v>
      </c>
      <c r="C229" s="41">
        <v>46035</v>
      </c>
      <c r="D229" s="45">
        <v>0.48270833333333335</v>
      </c>
      <c r="E229" s="44" t="s">
        <v>1870</v>
      </c>
      <c r="F229" s="44" t="s">
        <v>1871</v>
      </c>
      <c r="G229" s="44" t="s">
        <v>1263</v>
      </c>
      <c r="H229" s="44" t="s">
        <v>1264</v>
      </c>
      <c r="AB229"/>
      <c r="AC229"/>
    </row>
    <row r="230" spans="1:29" x14ac:dyDescent="0.4">
      <c r="A230" s="46" t="s">
        <v>2362</v>
      </c>
      <c r="B230" s="47" t="s">
        <v>1260</v>
      </c>
      <c r="C230" s="41">
        <v>46195</v>
      </c>
      <c r="D230" s="45">
        <v>0.61273148148148149</v>
      </c>
      <c r="E230" s="47" t="s">
        <v>2363</v>
      </c>
      <c r="F230" s="47" t="s">
        <v>2364</v>
      </c>
      <c r="G230" s="47" t="s">
        <v>1263</v>
      </c>
      <c r="H230" s="47" t="s">
        <v>1264</v>
      </c>
      <c r="AB230"/>
      <c r="AC230"/>
    </row>
    <row r="231" spans="1:29" x14ac:dyDescent="0.4">
      <c r="A231" s="46" t="s">
        <v>1639</v>
      </c>
      <c r="B231" s="47" t="s">
        <v>1260</v>
      </c>
      <c r="C231" s="41">
        <v>45481</v>
      </c>
      <c r="D231" s="45">
        <v>0.58151620370370372</v>
      </c>
      <c r="E231" s="47" t="s">
        <v>1640</v>
      </c>
      <c r="F231" s="47" t="s">
        <v>1641</v>
      </c>
      <c r="G231" s="47" t="s">
        <v>1275</v>
      </c>
      <c r="H231" s="47" t="s">
        <v>1264</v>
      </c>
      <c r="AB231"/>
      <c r="AC231"/>
    </row>
    <row r="232" spans="1:29" x14ac:dyDescent="0.4">
      <c r="A232" s="46" t="s">
        <v>1890</v>
      </c>
      <c r="B232" s="47" t="s">
        <v>1260</v>
      </c>
      <c r="C232" s="41">
        <v>46094</v>
      </c>
      <c r="D232" s="45">
        <v>0.45436342592592593</v>
      </c>
      <c r="E232" s="47" t="s">
        <v>1891</v>
      </c>
      <c r="F232" s="47" t="s">
        <v>1892</v>
      </c>
      <c r="G232" s="47" t="s">
        <v>1263</v>
      </c>
      <c r="H232" s="47" t="s">
        <v>1264</v>
      </c>
      <c r="AB232"/>
      <c r="AC232"/>
    </row>
    <row r="233" spans="1:29" x14ac:dyDescent="0.4">
      <c r="A233" s="46" t="s">
        <v>15593</v>
      </c>
      <c r="B233" s="47" t="s">
        <v>1260</v>
      </c>
      <c r="C233" s="41">
        <v>46076</v>
      </c>
      <c r="D233" s="45">
        <v>0.39130787037037035</v>
      </c>
      <c r="E233" s="47" t="s">
        <v>2374</v>
      </c>
      <c r="F233" s="47" t="s">
        <v>2375</v>
      </c>
      <c r="G233" s="47" t="s">
        <v>1263</v>
      </c>
      <c r="H233" s="47" t="s">
        <v>1264</v>
      </c>
      <c r="AB233"/>
      <c r="AC233"/>
    </row>
    <row r="234" spans="1:29" x14ac:dyDescent="0.4">
      <c r="A234" s="46" t="s">
        <v>2420</v>
      </c>
      <c r="B234" s="47" t="s">
        <v>1260</v>
      </c>
      <c r="C234" s="41">
        <v>46077</v>
      </c>
      <c r="D234" s="45">
        <v>0.45535879629629633</v>
      </c>
      <c r="E234" s="47" t="s">
        <v>2421</v>
      </c>
      <c r="F234" s="47" t="s">
        <v>2422</v>
      </c>
      <c r="G234" s="47" t="s">
        <v>1263</v>
      </c>
      <c r="H234" s="47" t="s">
        <v>1264</v>
      </c>
      <c r="AB234"/>
      <c r="AC234"/>
    </row>
    <row r="235" spans="1:29" x14ac:dyDescent="0.4">
      <c r="A235" s="43" t="s">
        <v>2417</v>
      </c>
      <c r="B235" s="44" t="s">
        <v>1260</v>
      </c>
      <c r="C235" s="41">
        <v>46077</v>
      </c>
      <c r="D235" s="45">
        <v>0.57090277777777776</v>
      </c>
      <c r="E235" s="44" t="s">
        <v>2418</v>
      </c>
      <c r="F235" s="44" t="s">
        <v>2419</v>
      </c>
      <c r="G235" s="44" t="s">
        <v>1263</v>
      </c>
      <c r="H235" s="44" t="s">
        <v>1264</v>
      </c>
      <c r="AB235"/>
      <c r="AC235"/>
    </row>
    <row r="236" spans="1:29" x14ac:dyDescent="0.4">
      <c r="A236" s="46" t="s">
        <v>15261</v>
      </c>
      <c r="B236" s="47" t="s">
        <v>1260</v>
      </c>
      <c r="C236" s="41">
        <v>46197</v>
      </c>
      <c r="D236" s="45">
        <v>0.43714120370370368</v>
      </c>
      <c r="E236" s="47" t="s">
        <v>2451</v>
      </c>
      <c r="F236" s="47" t="s">
        <v>2452</v>
      </c>
      <c r="G236" s="47" t="s">
        <v>1263</v>
      </c>
      <c r="H236" s="47" t="s">
        <v>1264</v>
      </c>
      <c r="AB236"/>
      <c r="AC236"/>
    </row>
    <row r="237" spans="1:29" x14ac:dyDescent="0.4">
      <c r="A237" s="43" t="s">
        <v>15594</v>
      </c>
      <c r="B237" s="44" t="s">
        <v>1260</v>
      </c>
      <c r="C237" s="41">
        <v>46163</v>
      </c>
      <c r="D237" s="45">
        <v>0.94234953703703705</v>
      </c>
      <c r="E237" s="44" t="s">
        <v>2307</v>
      </c>
      <c r="F237" s="44" t="s">
        <v>2308</v>
      </c>
      <c r="G237" s="44" t="s">
        <v>1263</v>
      </c>
      <c r="H237" s="44" t="s">
        <v>1264</v>
      </c>
      <c r="AB237"/>
      <c r="AC237"/>
    </row>
    <row r="238" spans="1:29" x14ac:dyDescent="0.4">
      <c r="A238" s="43" t="s">
        <v>15595</v>
      </c>
      <c r="B238" s="44" t="s">
        <v>1260</v>
      </c>
      <c r="C238" s="41">
        <v>46003</v>
      </c>
      <c r="D238" s="45">
        <v>0.64709490740740738</v>
      </c>
      <c r="E238" s="44" t="s">
        <v>1858</v>
      </c>
      <c r="F238" s="44" t="s">
        <v>1859</v>
      </c>
      <c r="G238" s="44" t="s">
        <v>1263</v>
      </c>
      <c r="H238" s="44" t="s">
        <v>1264</v>
      </c>
      <c r="AB238"/>
      <c r="AC238"/>
    </row>
    <row r="239" spans="1:29" x14ac:dyDescent="0.4">
      <c r="A239" s="43" t="s">
        <v>1780</v>
      </c>
      <c r="B239" s="44" t="s">
        <v>1260</v>
      </c>
      <c r="C239" s="41">
        <v>46153</v>
      </c>
      <c r="D239" s="45">
        <v>0.45008101851851851</v>
      </c>
      <c r="E239" s="44" t="s">
        <v>1781</v>
      </c>
      <c r="F239" s="44" t="s">
        <v>1782</v>
      </c>
      <c r="G239" s="44" t="s">
        <v>1263</v>
      </c>
      <c r="H239" s="44" t="s">
        <v>1264</v>
      </c>
      <c r="AB239"/>
      <c r="AC239"/>
    </row>
    <row r="240" spans="1:29" x14ac:dyDescent="0.4">
      <c r="A240" s="46" t="s">
        <v>15262</v>
      </c>
      <c r="B240" s="47" t="s">
        <v>1260</v>
      </c>
      <c r="C240" s="41">
        <v>46190</v>
      </c>
      <c r="D240" s="45">
        <v>0.50481481481481483</v>
      </c>
      <c r="E240" s="47" t="s">
        <v>2100</v>
      </c>
      <c r="F240" s="47" t="s">
        <v>2101</v>
      </c>
      <c r="G240" s="47" t="s">
        <v>1263</v>
      </c>
      <c r="H240" s="47" t="s">
        <v>1264</v>
      </c>
      <c r="AB240"/>
      <c r="AC240"/>
    </row>
    <row r="241" spans="1:29" x14ac:dyDescent="0.4">
      <c r="A241" s="46" t="s">
        <v>1854</v>
      </c>
      <c r="B241" s="47" t="s">
        <v>1260</v>
      </c>
      <c r="C241" s="41">
        <v>45912</v>
      </c>
      <c r="D241" s="45">
        <v>0.55622685185185183</v>
      </c>
      <c r="E241" s="47" t="s">
        <v>1855</v>
      </c>
      <c r="F241" s="47" t="s">
        <v>1856</v>
      </c>
      <c r="G241" s="47" t="s">
        <v>1263</v>
      </c>
      <c r="H241" s="47" t="s">
        <v>1264</v>
      </c>
      <c r="AB241"/>
      <c r="AC241"/>
    </row>
    <row r="242" spans="1:29" x14ac:dyDescent="0.4">
      <c r="A242" s="43" t="s">
        <v>15263</v>
      </c>
      <c r="B242" s="44" t="s">
        <v>1260</v>
      </c>
      <c r="C242" s="41">
        <v>46224</v>
      </c>
      <c r="D242" s="45">
        <v>3.6863425925925931E-2</v>
      </c>
      <c r="E242" s="44" t="s">
        <v>2318</v>
      </c>
      <c r="F242" s="44" t="s">
        <v>2319</v>
      </c>
      <c r="G242" s="44" t="s">
        <v>1279</v>
      </c>
      <c r="H242" s="44" t="s">
        <v>1264</v>
      </c>
      <c r="AB242"/>
      <c r="AC242"/>
    </row>
    <row r="243" spans="1:29" x14ac:dyDescent="0.4">
      <c r="A243" s="46" t="s">
        <v>2692</v>
      </c>
      <c r="B243" s="47" t="s">
        <v>1260</v>
      </c>
      <c r="C243" s="41">
        <v>46141</v>
      </c>
      <c r="D243" s="45">
        <v>0.69201388888888893</v>
      </c>
      <c r="E243" s="47" t="s">
        <v>2693</v>
      </c>
      <c r="F243" s="47" t="s">
        <v>2694</v>
      </c>
      <c r="G243" s="47" t="s">
        <v>1268</v>
      </c>
      <c r="H243" s="47" t="s">
        <v>1264</v>
      </c>
      <c r="AB243"/>
      <c r="AC243"/>
    </row>
    <row r="244" spans="1:29" x14ac:dyDescent="0.4">
      <c r="A244" s="43" t="s">
        <v>2748</v>
      </c>
      <c r="B244" s="44" t="s">
        <v>1260</v>
      </c>
      <c r="C244" s="41">
        <v>46153</v>
      </c>
      <c r="D244" s="45">
        <v>0.69079861111111107</v>
      </c>
      <c r="E244" s="44" t="s">
        <v>1769</v>
      </c>
      <c r="F244" s="44" t="s">
        <v>1770</v>
      </c>
      <c r="G244" s="44" t="s">
        <v>1263</v>
      </c>
      <c r="H244" s="44" t="s">
        <v>1264</v>
      </c>
      <c r="AB244"/>
      <c r="AC244"/>
    </row>
    <row r="245" spans="1:29" x14ac:dyDescent="0.4">
      <c r="A245" s="46" t="s">
        <v>1908</v>
      </c>
      <c r="B245" s="47" t="s">
        <v>1260</v>
      </c>
      <c r="C245" s="41">
        <v>46155</v>
      </c>
      <c r="D245" s="45">
        <v>0.56796296296296289</v>
      </c>
      <c r="E245" s="47" t="s">
        <v>1909</v>
      </c>
      <c r="F245" s="47" t="s">
        <v>1910</v>
      </c>
      <c r="G245" s="47" t="s">
        <v>1263</v>
      </c>
      <c r="H245" s="47" t="s">
        <v>1264</v>
      </c>
      <c r="AB245"/>
      <c r="AC245"/>
    </row>
    <row r="246" spans="1:29" x14ac:dyDescent="0.4">
      <c r="A246" s="46" t="s">
        <v>2444</v>
      </c>
      <c r="B246" s="47" t="s">
        <v>1260</v>
      </c>
      <c r="C246" s="41">
        <v>46166</v>
      </c>
      <c r="D246" s="45">
        <v>0.7079050925925926</v>
      </c>
      <c r="E246" s="47" t="s">
        <v>2445</v>
      </c>
      <c r="F246" s="47" t="s">
        <v>2446</v>
      </c>
      <c r="G246" s="47" t="s">
        <v>1263</v>
      </c>
      <c r="H246" s="47" t="s">
        <v>1264</v>
      </c>
      <c r="AB246"/>
      <c r="AC246"/>
    </row>
    <row r="247" spans="1:29" x14ac:dyDescent="0.4">
      <c r="A247" s="46" t="s">
        <v>1771</v>
      </c>
      <c r="B247" s="47" t="s">
        <v>1260</v>
      </c>
      <c r="C247" s="41">
        <v>46153</v>
      </c>
      <c r="D247" s="45">
        <v>0.35665509259259259</v>
      </c>
      <c r="E247" s="47" t="s">
        <v>1772</v>
      </c>
      <c r="F247" s="47" t="s">
        <v>1773</v>
      </c>
      <c r="G247" s="47" t="s">
        <v>1263</v>
      </c>
      <c r="H247" s="47" t="s">
        <v>1264</v>
      </c>
      <c r="AB247"/>
      <c r="AC247"/>
    </row>
    <row r="248" spans="1:29" x14ac:dyDescent="0.4">
      <c r="A248" s="46" t="s">
        <v>1396</v>
      </c>
      <c r="B248" s="47" t="s">
        <v>1260</v>
      </c>
      <c r="C248" s="41">
        <v>46115</v>
      </c>
      <c r="D248" s="45">
        <v>0.46009259259259255</v>
      </c>
      <c r="E248" s="47" t="s">
        <v>1397</v>
      </c>
      <c r="F248" s="47" t="s">
        <v>1398</v>
      </c>
      <c r="G248" s="47" t="s">
        <v>1279</v>
      </c>
      <c r="H248" s="47" t="s">
        <v>1264</v>
      </c>
      <c r="AB248"/>
      <c r="AC248"/>
    </row>
    <row r="249" spans="1:29" x14ac:dyDescent="0.4">
      <c r="A249" s="46" t="s">
        <v>2733</v>
      </c>
      <c r="B249" s="47" t="s">
        <v>1260</v>
      </c>
      <c r="C249" s="41">
        <v>46172</v>
      </c>
      <c r="D249" s="45">
        <v>0.44556712962962958</v>
      </c>
      <c r="E249" s="47" t="s">
        <v>2734</v>
      </c>
      <c r="F249" s="47" t="s">
        <v>2735</v>
      </c>
      <c r="G249" s="47" t="s">
        <v>1263</v>
      </c>
      <c r="H249" s="47" t="s">
        <v>1264</v>
      </c>
      <c r="AB249"/>
      <c r="AC249"/>
    </row>
    <row r="250" spans="1:29" x14ac:dyDescent="0.4">
      <c r="A250" s="46" t="s">
        <v>1860</v>
      </c>
      <c r="B250" s="47" t="s">
        <v>1260</v>
      </c>
      <c r="C250" s="41">
        <v>46003</v>
      </c>
      <c r="D250" s="45">
        <v>0.99281249999999999</v>
      </c>
      <c r="E250" s="47" t="s">
        <v>1861</v>
      </c>
      <c r="F250" s="47" t="s">
        <v>1862</v>
      </c>
      <c r="G250" s="47" t="s">
        <v>1263</v>
      </c>
      <c r="H250" s="47" t="s">
        <v>1264</v>
      </c>
      <c r="AB250"/>
      <c r="AC250"/>
    </row>
    <row r="251" spans="1:29" x14ac:dyDescent="0.4">
      <c r="A251" s="46" t="s">
        <v>2111</v>
      </c>
      <c r="B251" s="47" t="s">
        <v>1260</v>
      </c>
      <c r="C251" s="41">
        <v>46220</v>
      </c>
      <c r="D251" s="45">
        <v>0.55637731481481478</v>
      </c>
      <c r="E251" s="47" t="s">
        <v>2112</v>
      </c>
      <c r="F251" s="47" t="s">
        <v>2113</v>
      </c>
      <c r="G251" s="47" t="s">
        <v>1263</v>
      </c>
      <c r="H251" s="47" t="s">
        <v>1264</v>
      </c>
      <c r="AB251"/>
      <c r="AC251"/>
    </row>
    <row r="252" spans="1:29" x14ac:dyDescent="0.4">
      <c r="A252" s="46" t="s">
        <v>1497</v>
      </c>
      <c r="B252" s="47" t="s">
        <v>1260</v>
      </c>
      <c r="C252" s="41">
        <v>46086</v>
      </c>
      <c r="D252" s="45">
        <v>0.60291666666666666</v>
      </c>
      <c r="E252" s="47" t="s">
        <v>1498</v>
      </c>
      <c r="F252" s="47" t="s">
        <v>1499</v>
      </c>
      <c r="G252" s="47" t="s">
        <v>1263</v>
      </c>
      <c r="H252" s="47" t="s">
        <v>1264</v>
      </c>
      <c r="AB252"/>
      <c r="AC252"/>
    </row>
    <row r="253" spans="1:29" x14ac:dyDescent="0.4">
      <c r="A253" s="46" t="s">
        <v>1663</v>
      </c>
      <c r="B253" s="47" t="s">
        <v>1260</v>
      </c>
      <c r="C253" s="41">
        <v>46031</v>
      </c>
      <c r="D253" s="45">
        <v>0.40532407407407406</v>
      </c>
      <c r="E253" s="47" t="s">
        <v>1664</v>
      </c>
      <c r="F253" s="47" t="s">
        <v>1665</v>
      </c>
      <c r="G253" s="47" t="s">
        <v>1263</v>
      </c>
      <c r="H253" s="47" t="s">
        <v>1264</v>
      </c>
      <c r="AB253"/>
      <c r="AC253"/>
    </row>
    <row r="254" spans="1:29" x14ac:dyDescent="0.4">
      <c r="A254" s="43" t="s">
        <v>2505</v>
      </c>
      <c r="B254" s="44" t="s">
        <v>1260</v>
      </c>
      <c r="C254" s="41">
        <v>46198</v>
      </c>
      <c r="D254" s="45">
        <v>0.54859953703703701</v>
      </c>
      <c r="E254" s="44" t="s">
        <v>2506</v>
      </c>
      <c r="F254" s="44" t="s">
        <v>2507</v>
      </c>
      <c r="G254" s="44" t="s">
        <v>1263</v>
      </c>
      <c r="H254" s="44" t="s">
        <v>1264</v>
      </c>
      <c r="AB254"/>
      <c r="AC254"/>
    </row>
    <row r="255" spans="1:29" x14ac:dyDescent="0.4">
      <c r="A255" s="43" t="s">
        <v>15596</v>
      </c>
      <c r="B255" s="44" t="s">
        <v>1260</v>
      </c>
      <c r="C255" s="41">
        <v>45498</v>
      </c>
      <c r="D255" s="45">
        <v>0.55751157407407403</v>
      </c>
      <c r="E255" s="44" t="s">
        <v>2512</v>
      </c>
      <c r="F255" s="44" t="s">
        <v>2513</v>
      </c>
      <c r="G255" s="44" t="s">
        <v>1263</v>
      </c>
      <c r="H255" s="44" t="s">
        <v>1264</v>
      </c>
      <c r="AB255"/>
      <c r="AC255"/>
    </row>
    <row r="256" spans="1:29" x14ac:dyDescent="0.4">
      <c r="A256" s="46" t="s">
        <v>2739</v>
      </c>
      <c r="B256" s="47" t="s">
        <v>1260</v>
      </c>
      <c r="C256" s="41">
        <v>46112</v>
      </c>
      <c r="D256" s="45">
        <v>0.55803240740740734</v>
      </c>
      <c r="E256" s="47" t="s">
        <v>2740</v>
      </c>
      <c r="F256" s="47" t="s">
        <v>2741</v>
      </c>
      <c r="G256" s="47" t="s">
        <v>1324</v>
      </c>
      <c r="H256" s="47" t="s">
        <v>1427</v>
      </c>
      <c r="AB256"/>
      <c r="AC256"/>
    </row>
    <row r="257" spans="1:29" x14ac:dyDescent="0.4">
      <c r="A257" s="43" t="s">
        <v>1875</v>
      </c>
      <c r="B257" s="44" t="s">
        <v>1260</v>
      </c>
      <c r="C257" s="41">
        <v>46035</v>
      </c>
      <c r="D257" s="45">
        <v>0.77265046296296302</v>
      </c>
      <c r="E257" s="44" t="s">
        <v>1876</v>
      </c>
      <c r="F257" s="44" t="s">
        <v>1877</v>
      </c>
      <c r="G257" s="44" t="s">
        <v>1324</v>
      </c>
      <c r="H257" s="44" t="s">
        <v>1407</v>
      </c>
      <c r="AB257"/>
      <c r="AC257"/>
    </row>
    <row r="258" spans="1:29" x14ac:dyDescent="0.4">
      <c r="A258" s="46" t="s">
        <v>15264</v>
      </c>
      <c r="B258" s="47" t="s">
        <v>1260</v>
      </c>
      <c r="C258" s="41">
        <v>46119</v>
      </c>
      <c r="D258" s="45">
        <v>0.45380787037037035</v>
      </c>
      <c r="E258" s="47" t="s">
        <v>1586</v>
      </c>
      <c r="F258" s="47" t="s">
        <v>1587</v>
      </c>
      <c r="G258" s="47" t="s">
        <v>1263</v>
      </c>
      <c r="H258" s="47" t="s">
        <v>1264</v>
      </c>
      <c r="AB258"/>
      <c r="AC258"/>
    </row>
    <row r="259" spans="1:29" x14ac:dyDescent="0.4">
      <c r="A259" s="46" t="s">
        <v>1538</v>
      </c>
      <c r="B259" s="47" t="s">
        <v>1260</v>
      </c>
      <c r="C259" s="41">
        <v>46059</v>
      </c>
      <c r="D259" s="45">
        <v>0.36376157407407406</v>
      </c>
      <c r="E259" s="47" t="s">
        <v>1539</v>
      </c>
      <c r="F259" s="47" t="s">
        <v>1540</v>
      </c>
      <c r="G259" s="47" t="s">
        <v>1263</v>
      </c>
      <c r="H259" s="47" t="s">
        <v>1264</v>
      </c>
      <c r="AB259"/>
      <c r="AC259"/>
    </row>
    <row r="260" spans="1:29" x14ac:dyDescent="0.4">
      <c r="A260" s="43" t="s">
        <v>2126</v>
      </c>
      <c r="B260" s="44" t="s">
        <v>1260</v>
      </c>
      <c r="C260" s="41">
        <v>46099</v>
      </c>
      <c r="D260" s="45">
        <v>0.47037037037037038</v>
      </c>
      <c r="E260" s="44" t="s">
        <v>2127</v>
      </c>
      <c r="F260" s="44" t="s">
        <v>2128</v>
      </c>
      <c r="G260" s="44" t="s">
        <v>1335</v>
      </c>
      <c r="H260" s="44" t="s">
        <v>1264</v>
      </c>
      <c r="AB260"/>
      <c r="AC260"/>
    </row>
    <row r="261" spans="1:29" x14ac:dyDescent="0.4">
      <c r="A261" s="43" t="s">
        <v>1648</v>
      </c>
      <c r="B261" s="44" t="s">
        <v>1260</v>
      </c>
      <c r="C261" s="41">
        <v>46211</v>
      </c>
      <c r="D261" s="45">
        <v>0.62746527777777772</v>
      </c>
      <c r="E261" s="44" t="s">
        <v>1649</v>
      </c>
      <c r="F261" s="44" t="s">
        <v>1650</v>
      </c>
      <c r="G261" s="44" t="s">
        <v>1263</v>
      </c>
      <c r="H261" s="44" t="s">
        <v>1264</v>
      </c>
      <c r="AB261"/>
      <c r="AC261"/>
    </row>
    <row r="262" spans="1:29" x14ac:dyDescent="0.4">
      <c r="A262" s="46" t="s">
        <v>1568</v>
      </c>
      <c r="B262" s="47" t="s">
        <v>1260</v>
      </c>
      <c r="C262" s="41">
        <v>46029</v>
      </c>
      <c r="D262" s="45">
        <v>0.61643518518518514</v>
      </c>
      <c r="E262" s="47" t="s">
        <v>1569</v>
      </c>
      <c r="F262" s="47" t="s">
        <v>1570</v>
      </c>
      <c r="G262" s="47" t="s">
        <v>1268</v>
      </c>
      <c r="H262" s="47" t="s">
        <v>1264</v>
      </c>
      <c r="AB262"/>
      <c r="AC262"/>
    </row>
    <row r="263" spans="1:29" x14ac:dyDescent="0.4">
      <c r="A263" s="46" t="s">
        <v>1363</v>
      </c>
      <c r="B263" s="47" t="s">
        <v>1260</v>
      </c>
      <c r="C263" s="41">
        <v>46025</v>
      </c>
      <c r="D263" s="45">
        <v>0.50143518518518515</v>
      </c>
      <c r="E263" s="47" t="s">
        <v>1364</v>
      </c>
      <c r="F263" s="47" t="s">
        <v>1365</v>
      </c>
      <c r="G263" s="47" t="s">
        <v>1263</v>
      </c>
      <c r="H263" s="47" t="s">
        <v>1264</v>
      </c>
      <c r="AB263"/>
      <c r="AC263"/>
    </row>
    <row r="264" spans="1:29" x14ac:dyDescent="0.4">
      <c r="A264" s="46" t="s">
        <v>2568</v>
      </c>
      <c r="B264" s="47" t="s">
        <v>1260</v>
      </c>
      <c r="C264" s="41">
        <v>45622</v>
      </c>
      <c r="D264" s="45">
        <v>0.78836805555555556</v>
      </c>
      <c r="E264" s="47" t="s">
        <v>2569</v>
      </c>
      <c r="F264" s="47" t="s">
        <v>2570</v>
      </c>
      <c r="G264" s="47" t="s">
        <v>1263</v>
      </c>
      <c r="H264" s="47" t="s">
        <v>1264</v>
      </c>
      <c r="AB264"/>
      <c r="AC264"/>
    </row>
    <row r="265" spans="1:29" x14ac:dyDescent="0.4">
      <c r="A265" s="43" t="s">
        <v>1477</v>
      </c>
      <c r="B265" s="44" t="s">
        <v>1260</v>
      </c>
      <c r="C265" s="41">
        <v>46027</v>
      </c>
      <c r="D265" s="45">
        <v>0.41128472222222223</v>
      </c>
      <c r="E265" s="44" t="s">
        <v>1478</v>
      </c>
      <c r="F265" s="44" t="s">
        <v>1479</v>
      </c>
      <c r="G265" s="44" t="s">
        <v>1263</v>
      </c>
      <c r="H265" s="44" t="s">
        <v>1264</v>
      </c>
      <c r="AB265"/>
      <c r="AC265"/>
    </row>
    <row r="266" spans="1:29" x14ac:dyDescent="0.4">
      <c r="A266" s="43" t="s">
        <v>15265</v>
      </c>
      <c r="B266" s="44" t="s">
        <v>1260</v>
      </c>
      <c r="C266" s="41">
        <v>46077</v>
      </c>
      <c r="D266" s="45">
        <v>0.4379513888888889</v>
      </c>
      <c r="E266" s="44" t="s">
        <v>2424</v>
      </c>
      <c r="F266" s="44" t="s">
        <v>2425</v>
      </c>
      <c r="G266" s="44" t="s">
        <v>1263</v>
      </c>
      <c r="H266" s="44" t="s">
        <v>1264</v>
      </c>
      <c r="AB266"/>
      <c r="AC266"/>
    </row>
    <row r="267" spans="1:29" x14ac:dyDescent="0.4">
      <c r="A267" s="43" t="s">
        <v>1666</v>
      </c>
      <c r="B267" s="44" t="s">
        <v>1260</v>
      </c>
      <c r="C267" s="41">
        <v>46031</v>
      </c>
      <c r="D267" s="45">
        <v>0.56269675925925922</v>
      </c>
      <c r="E267" s="44" t="s">
        <v>1667</v>
      </c>
      <c r="F267" s="44" t="s">
        <v>1668</v>
      </c>
      <c r="G267" s="44" t="s">
        <v>1263</v>
      </c>
      <c r="H267" s="44" t="s">
        <v>1264</v>
      </c>
      <c r="AB267"/>
      <c r="AC267"/>
    </row>
    <row r="268" spans="1:29" x14ac:dyDescent="0.4">
      <c r="A268" s="43" t="s">
        <v>15597</v>
      </c>
      <c r="B268" s="44" t="s">
        <v>1260</v>
      </c>
      <c r="C268" s="41">
        <v>46128</v>
      </c>
      <c r="D268" s="45">
        <v>0.56504629629629632</v>
      </c>
      <c r="E268" s="44" t="s">
        <v>2050</v>
      </c>
      <c r="F268" s="44" t="s">
        <v>2051</v>
      </c>
      <c r="G268" s="44" t="s">
        <v>1263</v>
      </c>
      <c r="H268" s="44" t="s">
        <v>1264</v>
      </c>
      <c r="AB268"/>
      <c r="AC268"/>
    </row>
    <row r="269" spans="1:29" x14ac:dyDescent="0.4">
      <c r="A269" s="43" t="s">
        <v>1565</v>
      </c>
      <c r="B269" s="44" t="s">
        <v>1260</v>
      </c>
      <c r="C269" s="41">
        <v>46029</v>
      </c>
      <c r="D269" s="45">
        <v>0.73271990740740733</v>
      </c>
      <c r="E269" s="44" t="s">
        <v>1566</v>
      </c>
      <c r="F269" s="44" t="s">
        <v>1567</v>
      </c>
      <c r="G269" s="44" t="s">
        <v>1268</v>
      </c>
      <c r="H269" s="44" t="s">
        <v>1395</v>
      </c>
      <c r="AB269"/>
      <c r="AC269"/>
    </row>
    <row r="270" spans="1:29" x14ac:dyDescent="0.4">
      <c r="A270" s="46" t="s">
        <v>2580</v>
      </c>
      <c r="B270" s="47" t="s">
        <v>1260</v>
      </c>
      <c r="C270" s="41">
        <v>46049</v>
      </c>
      <c r="D270" s="45">
        <v>0.65843750000000001</v>
      </c>
      <c r="E270" s="47" t="s">
        <v>2581</v>
      </c>
      <c r="F270" s="47" t="s">
        <v>2582</v>
      </c>
      <c r="G270" s="47" t="s">
        <v>1263</v>
      </c>
      <c r="H270" s="47" t="s">
        <v>1264</v>
      </c>
      <c r="AB270"/>
      <c r="AC270"/>
    </row>
    <row r="271" spans="1:29" x14ac:dyDescent="0.4">
      <c r="A271" s="43" t="s">
        <v>2252</v>
      </c>
      <c r="B271" s="44" t="s">
        <v>1260</v>
      </c>
      <c r="C271" s="41">
        <v>46162</v>
      </c>
      <c r="D271" s="45">
        <v>0.44296296296296295</v>
      </c>
      <c r="E271" s="44" t="s">
        <v>2253</v>
      </c>
      <c r="F271" s="44" t="s">
        <v>2254</v>
      </c>
      <c r="G271" s="44" t="s">
        <v>1335</v>
      </c>
      <c r="H271" s="44" t="s">
        <v>1264</v>
      </c>
      <c r="AB271"/>
      <c r="AC271"/>
    </row>
    <row r="272" spans="1:29" x14ac:dyDescent="0.4">
      <c r="A272" s="43" t="s">
        <v>2523</v>
      </c>
      <c r="B272" s="44" t="s">
        <v>1260</v>
      </c>
      <c r="C272" s="41">
        <v>46048</v>
      </c>
      <c r="D272" s="45">
        <v>0.4283912037037037</v>
      </c>
      <c r="E272" s="44" t="s">
        <v>2524</v>
      </c>
      <c r="F272" s="44" t="s">
        <v>2525</v>
      </c>
      <c r="G272" s="44" t="s">
        <v>1263</v>
      </c>
      <c r="H272" s="44" t="s">
        <v>1264</v>
      </c>
      <c r="AB272"/>
      <c r="AC272"/>
    </row>
    <row r="273" spans="1:29" x14ac:dyDescent="0.4">
      <c r="A273" s="43" t="s">
        <v>2138</v>
      </c>
      <c r="B273" s="44" t="s">
        <v>1260</v>
      </c>
      <c r="C273" s="41">
        <v>46191</v>
      </c>
      <c r="D273" s="45">
        <v>0.56969907407407405</v>
      </c>
      <c r="E273" s="44" t="s">
        <v>2139</v>
      </c>
      <c r="F273" s="44" t="s">
        <v>2140</v>
      </c>
      <c r="G273" s="44" t="s">
        <v>1279</v>
      </c>
      <c r="H273" s="44" t="s">
        <v>1264</v>
      </c>
      <c r="AB273"/>
      <c r="AC273"/>
    </row>
    <row r="274" spans="1:29" x14ac:dyDescent="0.4">
      <c r="A274" s="43" t="s">
        <v>2240</v>
      </c>
      <c r="B274" s="44" t="s">
        <v>1260</v>
      </c>
      <c r="C274" s="41">
        <v>46132</v>
      </c>
      <c r="D274" s="45">
        <v>0.65262731481481484</v>
      </c>
      <c r="E274" s="44" t="s">
        <v>2241</v>
      </c>
      <c r="F274" s="44" t="s">
        <v>2242</v>
      </c>
      <c r="G274" s="44" t="s">
        <v>1263</v>
      </c>
      <c r="H274" s="44" t="s">
        <v>1264</v>
      </c>
      <c r="AB274"/>
      <c r="AC274"/>
    </row>
    <row r="275" spans="1:29" x14ac:dyDescent="0.4">
      <c r="A275" s="43" t="s">
        <v>15266</v>
      </c>
      <c r="B275" s="44" t="s">
        <v>1260</v>
      </c>
      <c r="C275" s="41">
        <v>46139</v>
      </c>
      <c r="D275" s="45">
        <v>0.33155092592592594</v>
      </c>
      <c r="E275" s="44" t="s">
        <v>2613</v>
      </c>
      <c r="F275" s="44" t="s">
        <v>2614</v>
      </c>
      <c r="G275" s="44" t="s">
        <v>1263</v>
      </c>
      <c r="H275" s="44" t="s">
        <v>1264</v>
      </c>
      <c r="AB275"/>
      <c r="AC275"/>
    </row>
    <row r="276" spans="1:29" x14ac:dyDescent="0.4">
      <c r="A276" s="43" t="s">
        <v>15267</v>
      </c>
      <c r="B276" s="44" t="s">
        <v>1260</v>
      </c>
      <c r="C276" s="41">
        <v>46183</v>
      </c>
      <c r="D276" s="45">
        <v>0.63570601851851849</v>
      </c>
      <c r="E276" s="44" t="s">
        <v>1745</v>
      </c>
      <c r="F276" s="44" t="s">
        <v>1746</v>
      </c>
      <c r="G276" s="44" t="s">
        <v>1263</v>
      </c>
      <c r="H276" s="44" t="s">
        <v>1264</v>
      </c>
      <c r="AB276"/>
      <c r="AC276"/>
    </row>
    <row r="277" spans="1:29" x14ac:dyDescent="0.4">
      <c r="A277" s="46" t="s">
        <v>2698</v>
      </c>
      <c r="B277" s="47" t="s">
        <v>1260</v>
      </c>
      <c r="C277" s="41">
        <v>46202</v>
      </c>
      <c r="D277" s="45">
        <v>0.78615740740740747</v>
      </c>
      <c r="E277" s="47" t="s">
        <v>2699</v>
      </c>
      <c r="F277" s="47" t="s">
        <v>2700</v>
      </c>
      <c r="G277" s="47" t="s">
        <v>1279</v>
      </c>
      <c r="H277" s="47" t="s">
        <v>1264</v>
      </c>
      <c r="AB277"/>
      <c r="AC277"/>
    </row>
    <row r="278" spans="1:29" x14ac:dyDescent="0.4">
      <c r="A278" s="46" t="s">
        <v>1872</v>
      </c>
      <c r="B278" s="47" t="s">
        <v>1260</v>
      </c>
      <c r="C278" s="41">
        <v>46035</v>
      </c>
      <c r="D278" s="45">
        <v>0.69392361111111101</v>
      </c>
      <c r="E278" s="47" t="s">
        <v>1873</v>
      </c>
      <c r="F278" s="47" t="s">
        <v>1874</v>
      </c>
      <c r="G278" s="47" t="s">
        <v>1263</v>
      </c>
      <c r="H278" s="47" t="s">
        <v>1264</v>
      </c>
      <c r="AB278"/>
      <c r="AC278"/>
    </row>
    <row r="279" spans="1:29" x14ac:dyDescent="0.4">
      <c r="A279" s="46" t="s">
        <v>1597</v>
      </c>
      <c r="B279" s="47" t="s">
        <v>1260</v>
      </c>
      <c r="C279" s="41">
        <v>46149</v>
      </c>
      <c r="D279" s="45">
        <v>0.76372685185185185</v>
      </c>
      <c r="E279" s="47" t="s">
        <v>1598</v>
      </c>
      <c r="F279" s="47" t="s">
        <v>1599</v>
      </c>
      <c r="G279" s="47" t="s">
        <v>1263</v>
      </c>
      <c r="H279" s="47" t="s">
        <v>1264</v>
      </c>
      <c r="AB279"/>
      <c r="AC279"/>
    </row>
    <row r="280" spans="1:29" x14ac:dyDescent="0.4">
      <c r="A280" s="46" t="s">
        <v>1347</v>
      </c>
      <c r="B280" s="47" t="s">
        <v>1260</v>
      </c>
      <c r="C280" s="41">
        <v>46175</v>
      </c>
      <c r="D280" s="45">
        <v>0.41524305555555557</v>
      </c>
      <c r="E280" s="47" t="s">
        <v>1348</v>
      </c>
      <c r="F280" s="47" t="s">
        <v>1349</v>
      </c>
      <c r="G280" s="47" t="s">
        <v>1263</v>
      </c>
      <c r="H280" s="47" t="s">
        <v>1264</v>
      </c>
      <c r="AB280"/>
      <c r="AC280"/>
    </row>
    <row r="281" spans="1:29" x14ac:dyDescent="0.4">
      <c r="A281" s="43" t="s">
        <v>1312</v>
      </c>
      <c r="B281" s="44" t="s">
        <v>1260</v>
      </c>
      <c r="C281" s="41">
        <v>46055</v>
      </c>
      <c r="D281" s="45">
        <v>0.41645833333333332</v>
      </c>
      <c r="E281" s="44" t="s">
        <v>1313</v>
      </c>
      <c r="F281" s="44" t="s">
        <v>1314</v>
      </c>
      <c r="G281" s="44" t="s">
        <v>1268</v>
      </c>
      <c r="H281" s="44" t="s">
        <v>1264</v>
      </c>
      <c r="AB281"/>
      <c r="AC281"/>
    </row>
    <row r="282" spans="1:29" x14ac:dyDescent="0.4">
      <c r="A282" s="46" t="s">
        <v>1723</v>
      </c>
      <c r="B282" s="47" t="s">
        <v>1260</v>
      </c>
      <c r="C282" s="41">
        <v>46000</v>
      </c>
      <c r="D282" s="45">
        <v>0.60021990740740738</v>
      </c>
      <c r="E282" s="47" t="s">
        <v>1724</v>
      </c>
      <c r="F282" s="47" t="s">
        <v>1725</v>
      </c>
      <c r="G282" s="47" t="s">
        <v>1275</v>
      </c>
      <c r="H282" s="47" t="s">
        <v>1264</v>
      </c>
      <c r="AB282"/>
      <c r="AC282"/>
    </row>
    <row r="283" spans="1:29" x14ac:dyDescent="0.4">
      <c r="A283" s="43" t="s">
        <v>1750</v>
      </c>
      <c r="B283" s="44" t="s">
        <v>1260</v>
      </c>
      <c r="C283" s="41">
        <v>46213</v>
      </c>
      <c r="D283" s="45">
        <v>0.45934027777777775</v>
      </c>
      <c r="E283" s="44" t="s">
        <v>1751</v>
      </c>
      <c r="F283" s="44" t="s">
        <v>1752</v>
      </c>
      <c r="G283" s="44" t="s">
        <v>1279</v>
      </c>
      <c r="H283" s="44" t="s">
        <v>1264</v>
      </c>
      <c r="AB283"/>
      <c r="AC283"/>
    </row>
    <row r="284" spans="1:29" x14ac:dyDescent="0.4">
      <c r="A284" s="46" t="s">
        <v>2034</v>
      </c>
      <c r="B284" s="47" t="s">
        <v>1260</v>
      </c>
      <c r="C284" s="41">
        <v>46097</v>
      </c>
      <c r="D284" s="45">
        <v>0.51053240740740746</v>
      </c>
      <c r="E284" s="47" t="s">
        <v>2035</v>
      </c>
      <c r="F284" s="47" t="s">
        <v>2036</v>
      </c>
      <c r="G284" s="47" t="s">
        <v>1324</v>
      </c>
      <c r="H284" s="47" t="s">
        <v>1379</v>
      </c>
      <c r="AB284"/>
      <c r="AC284"/>
    </row>
    <row r="285" spans="1:29" x14ac:dyDescent="0.4">
      <c r="A285" s="46" t="s">
        <v>2721</v>
      </c>
      <c r="B285" s="47" t="s">
        <v>1260</v>
      </c>
      <c r="C285" s="41">
        <v>46142</v>
      </c>
      <c r="D285" s="45">
        <v>0.5095601851851852</v>
      </c>
      <c r="E285" s="47" t="s">
        <v>2722</v>
      </c>
      <c r="F285" s="47" t="s">
        <v>2723</v>
      </c>
      <c r="G285" s="47" t="s">
        <v>1263</v>
      </c>
      <c r="H285" s="47" t="s">
        <v>1264</v>
      </c>
      <c r="AB285"/>
      <c r="AC285"/>
    </row>
    <row r="286" spans="1:29" x14ac:dyDescent="0.4">
      <c r="A286" s="43" t="s">
        <v>1684</v>
      </c>
      <c r="B286" s="44" t="s">
        <v>1260</v>
      </c>
      <c r="C286" s="41">
        <v>46090</v>
      </c>
      <c r="D286" s="45">
        <v>0.57266203703703711</v>
      </c>
      <c r="E286" s="44" t="s">
        <v>1685</v>
      </c>
      <c r="F286" s="44" t="s">
        <v>1686</v>
      </c>
      <c r="G286" s="44" t="s">
        <v>1279</v>
      </c>
      <c r="H286" s="44" t="s">
        <v>1264</v>
      </c>
      <c r="AB286"/>
      <c r="AC286"/>
    </row>
    <row r="287" spans="1:29" x14ac:dyDescent="0.4">
      <c r="A287" s="46" t="s">
        <v>2757</v>
      </c>
      <c r="B287" s="47" t="s">
        <v>1260</v>
      </c>
      <c r="C287" s="41">
        <v>46080</v>
      </c>
      <c r="D287" s="45">
        <v>0.64133101851851848</v>
      </c>
      <c r="E287" s="47" t="s">
        <v>2592</v>
      </c>
      <c r="F287" s="47" t="s">
        <v>2593</v>
      </c>
      <c r="G287" s="47" t="s">
        <v>1263</v>
      </c>
      <c r="H287" s="47" t="s">
        <v>1264</v>
      </c>
      <c r="AB287"/>
      <c r="AC287"/>
    </row>
    <row r="288" spans="1:29" x14ac:dyDescent="0.4">
      <c r="A288" s="46" t="s">
        <v>1280</v>
      </c>
      <c r="B288" s="47" t="s">
        <v>1260</v>
      </c>
      <c r="C288" s="41">
        <v>46174</v>
      </c>
      <c r="D288" s="45">
        <v>0.57695601851851852</v>
      </c>
      <c r="E288" s="47" t="s">
        <v>1281</v>
      </c>
      <c r="F288" s="47" t="s">
        <v>1282</v>
      </c>
      <c r="G288" s="47" t="s">
        <v>1263</v>
      </c>
      <c r="H288" s="47" t="s">
        <v>1264</v>
      </c>
      <c r="AB288"/>
      <c r="AC288"/>
    </row>
    <row r="289" spans="1:29" x14ac:dyDescent="0.4">
      <c r="A289" s="46" t="s">
        <v>1520</v>
      </c>
      <c r="B289" s="47" t="s">
        <v>1260</v>
      </c>
      <c r="C289" s="41">
        <v>45996</v>
      </c>
      <c r="D289" s="45">
        <v>0.6746875</v>
      </c>
      <c r="E289" s="47" t="s">
        <v>1521</v>
      </c>
      <c r="F289" s="47" t="s">
        <v>1522</v>
      </c>
      <c r="G289" s="47" t="s">
        <v>1263</v>
      </c>
      <c r="H289" s="47" t="s">
        <v>1264</v>
      </c>
      <c r="AB289"/>
      <c r="AC289"/>
    </row>
    <row r="290" spans="1:29" x14ac:dyDescent="0.4">
      <c r="A290" s="46" t="s">
        <v>15268</v>
      </c>
      <c r="B290" s="47" t="s">
        <v>1260</v>
      </c>
      <c r="C290" s="41">
        <v>46036</v>
      </c>
      <c r="D290" s="45">
        <v>0.32520833333333332</v>
      </c>
      <c r="E290" s="47" t="s">
        <v>1933</v>
      </c>
      <c r="F290" s="47" t="s">
        <v>1934</v>
      </c>
      <c r="G290" s="47" t="s">
        <v>1279</v>
      </c>
      <c r="H290" s="47" t="s">
        <v>1264</v>
      </c>
      <c r="AB290"/>
      <c r="AC290"/>
    </row>
    <row r="291" spans="1:29" x14ac:dyDescent="0.4">
      <c r="A291" s="43" t="s">
        <v>2282</v>
      </c>
      <c r="B291" s="44" t="s">
        <v>1260</v>
      </c>
      <c r="C291" s="41">
        <v>46043</v>
      </c>
      <c r="D291" s="45">
        <v>0.46565972222222224</v>
      </c>
      <c r="E291" s="44" t="s">
        <v>2283</v>
      </c>
      <c r="F291" s="44" t="s">
        <v>2284</v>
      </c>
      <c r="G291" s="44" t="s">
        <v>1263</v>
      </c>
      <c r="H291" s="44" t="s">
        <v>1264</v>
      </c>
      <c r="AB291"/>
      <c r="AC291"/>
    </row>
    <row r="292" spans="1:29" x14ac:dyDescent="0.4">
      <c r="A292" s="46" t="s">
        <v>2674</v>
      </c>
      <c r="B292" s="47" t="s">
        <v>1260</v>
      </c>
      <c r="C292" s="41">
        <v>45958</v>
      </c>
      <c r="D292" s="45">
        <v>0.4488078703703704</v>
      </c>
      <c r="E292" s="47" t="s">
        <v>2675</v>
      </c>
      <c r="F292" s="47" t="s">
        <v>2676</v>
      </c>
      <c r="G292" s="47" t="s">
        <v>1263</v>
      </c>
      <c r="H292" s="47" t="s">
        <v>1264</v>
      </c>
      <c r="AB292"/>
      <c r="AC292"/>
    </row>
    <row r="293" spans="1:29" x14ac:dyDescent="0.4">
      <c r="A293" s="43" t="s">
        <v>1714</v>
      </c>
      <c r="B293" s="44" t="s">
        <v>1260</v>
      </c>
      <c r="C293" s="41">
        <v>45909</v>
      </c>
      <c r="D293" s="45">
        <v>0.66401620370370373</v>
      </c>
      <c r="E293" s="44" t="s">
        <v>1715</v>
      </c>
      <c r="F293" s="44" t="s">
        <v>1716</v>
      </c>
      <c r="G293" s="44" t="s">
        <v>1316</v>
      </c>
      <c r="H293" s="44" t="s">
        <v>1264</v>
      </c>
      <c r="AB293"/>
      <c r="AC293"/>
    </row>
    <row r="294" spans="1:29" x14ac:dyDescent="0.4">
      <c r="A294" s="43" t="s">
        <v>2156</v>
      </c>
      <c r="B294" s="44" t="s">
        <v>1260</v>
      </c>
      <c r="C294" s="41">
        <v>46072</v>
      </c>
      <c r="D294" s="45">
        <v>0.71751157407407407</v>
      </c>
      <c r="E294" s="44" t="s">
        <v>2157</v>
      </c>
      <c r="F294" s="44" t="s">
        <v>2158</v>
      </c>
      <c r="G294" s="44" t="s">
        <v>1263</v>
      </c>
      <c r="H294" s="44" t="s">
        <v>1264</v>
      </c>
      <c r="AB294"/>
      <c r="AC294"/>
    </row>
    <row r="295" spans="1:29" x14ac:dyDescent="0.4">
      <c r="A295" s="43" t="s">
        <v>2758</v>
      </c>
      <c r="B295" s="44" t="s">
        <v>1260</v>
      </c>
      <c r="C295" s="41">
        <v>46113</v>
      </c>
      <c r="D295" s="45">
        <v>0.64312500000000006</v>
      </c>
      <c r="E295" s="44" t="s">
        <v>1261</v>
      </c>
      <c r="F295" s="44" t="s">
        <v>1262</v>
      </c>
      <c r="G295" s="44" t="s">
        <v>1263</v>
      </c>
      <c r="H295" s="44" t="s">
        <v>1264</v>
      </c>
      <c r="AB295"/>
      <c r="AC295"/>
    </row>
    <row r="296" spans="1:29" x14ac:dyDescent="0.4">
      <c r="A296" s="46" t="s">
        <v>15598</v>
      </c>
      <c r="B296" s="47" t="s">
        <v>1260</v>
      </c>
      <c r="C296" s="41">
        <v>46160</v>
      </c>
      <c r="D296" s="45">
        <v>0.81019675925925927</v>
      </c>
      <c r="E296" s="47" t="s">
        <v>2130</v>
      </c>
      <c r="F296" s="47" t="s">
        <v>2131</v>
      </c>
      <c r="G296" s="47" t="s">
        <v>1263</v>
      </c>
      <c r="H296" s="47" t="s">
        <v>1264</v>
      </c>
      <c r="AB296"/>
      <c r="AC296"/>
    </row>
    <row r="297" spans="1:29" x14ac:dyDescent="0.4">
      <c r="A297" s="43" t="s">
        <v>2470</v>
      </c>
      <c r="B297" s="44" t="s">
        <v>1260</v>
      </c>
      <c r="C297" s="41">
        <v>46078</v>
      </c>
      <c r="D297" s="45">
        <v>0.51337962962962969</v>
      </c>
      <c r="E297" s="44" t="s">
        <v>2471</v>
      </c>
      <c r="F297" s="44" t="s">
        <v>2472</v>
      </c>
      <c r="G297" s="44" t="s">
        <v>1263</v>
      </c>
      <c r="H297" s="44" t="s">
        <v>1264</v>
      </c>
      <c r="AB297"/>
      <c r="AC297"/>
    </row>
    <row r="298" spans="1:29" x14ac:dyDescent="0.4">
      <c r="A298" s="43" t="s">
        <v>1917</v>
      </c>
      <c r="B298" s="44" t="s">
        <v>1260</v>
      </c>
      <c r="C298" s="41">
        <v>46216</v>
      </c>
      <c r="D298" s="45">
        <v>0.60942129629629627</v>
      </c>
      <c r="E298" s="44" t="s">
        <v>1918</v>
      </c>
      <c r="F298" s="44" t="s">
        <v>1919</v>
      </c>
      <c r="G298" s="44" t="s">
        <v>1263</v>
      </c>
      <c r="H298" s="44" t="s">
        <v>1264</v>
      </c>
      <c r="AB298"/>
      <c r="AC298"/>
    </row>
    <row r="299" spans="1:29" x14ac:dyDescent="0.4">
      <c r="A299" s="43" t="s">
        <v>2168</v>
      </c>
      <c r="B299" s="44" t="s">
        <v>1260</v>
      </c>
      <c r="C299" s="41">
        <v>46100</v>
      </c>
      <c r="D299" s="45">
        <v>0.87490740740740736</v>
      </c>
      <c r="E299" s="44" t="s">
        <v>2169</v>
      </c>
      <c r="F299" s="44" t="s">
        <v>2170</v>
      </c>
      <c r="G299" s="44" t="s">
        <v>1263</v>
      </c>
      <c r="H299" s="44" t="s">
        <v>1264</v>
      </c>
      <c r="AB299"/>
      <c r="AC299"/>
    </row>
    <row r="300" spans="1:29" x14ac:dyDescent="0.4">
      <c r="A300" s="46" t="s">
        <v>1794</v>
      </c>
      <c r="B300" s="47" t="s">
        <v>1260</v>
      </c>
      <c r="C300" s="41">
        <v>46034</v>
      </c>
      <c r="D300" s="45">
        <v>0.4707175925925926</v>
      </c>
      <c r="E300" s="47" t="s">
        <v>1795</v>
      </c>
      <c r="F300" s="47" t="s">
        <v>1796</v>
      </c>
      <c r="G300" s="47" t="s">
        <v>1275</v>
      </c>
      <c r="H300" s="47" t="s">
        <v>1264</v>
      </c>
      <c r="AB300"/>
      <c r="AC300"/>
    </row>
    <row r="301" spans="1:29" x14ac:dyDescent="0.4">
      <c r="A301" s="46" t="s">
        <v>15599</v>
      </c>
      <c r="B301" s="47" t="s">
        <v>1260</v>
      </c>
      <c r="C301" s="41">
        <v>46136</v>
      </c>
      <c r="D301" s="45">
        <v>0.6912962962962963</v>
      </c>
      <c r="E301" s="47" t="s">
        <v>2439</v>
      </c>
      <c r="F301" s="47" t="s">
        <v>2440</v>
      </c>
      <c r="G301" s="47" t="s">
        <v>1263</v>
      </c>
      <c r="H301" s="47" t="s">
        <v>1264</v>
      </c>
      <c r="AB301"/>
      <c r="AC301"/>
    </row>
    <row r="302" spans="1:29" x14ac:dyDescent="0.4">
      <c r="A302" s="46" t="s">
        <v>2514</v>
      </c>
      <c r="B302" s="47" t="s">
        <v>1260</v>
      </c>
      <c r="C302" s="41">
        <v>45498</v>
      </c>
      <c r="D302" s="45">
        <v>0.63641203703703708</v>
      </c>
      <c r="E302" s="47" t="s">
        <v>2515</v>
      </c>
      <c r="F302" s="47" t="s">
        <v>2516</v>
      </c>
      <c r="G302" s="47" t="s">
        <v>1263</v>
      </c>
      <c r="H302" s="47" t="s">
        <v>1264</v>
      </c>
      <c r="AB302"/>
      <c r="AC302"/>
    </row>
    <row r="303" spans="1:29" x14ac:dyDescent="0.4">
      <c r="A303" s="46" t="s">
        <v>1878</v>
      </c>
      <c r="B303" s="47" t="s">
        <v>1260</v>
      </c>
      <c r="C303" s="41">
        <v>46035</v>
      </c>
      <c r="D303" s="45">
        <v>0.65153935185185186</v>
      </c>
      <c r="E303" s="47" t="s">
        <v>1879</v>
      </c>
      <c r="F303" s="47" t="s">
        <v>1880</v>
      </c>
      <c r="G303" s="47" t="s">
        <v>1324</v>
      </c>
      <c r="H303" s="47" t="s">
        <v>1403</v>
      </c>
      <c r="AB303"/>
      <c r="AC303"/>
    </row>
    <row r="304" spans="1:29" x14ac:dyDescent="0.4">
      <c r="A304" s="43" t="s">
        <v>1359</v>
      </c>
      <c r="B304" s="44" t="s">
        <v>1260</v>
      </c>
      <c r="C304" s="41">
        <v>45902</v>
      </c>
      <c r="D304" s="45">
        <v>0.69947916666666676</v>
      </c>
      <c r="E304" s="44" t="s">
        <v>1360</v>
      </c>
      <c r="F304" s="44" t="s">
        <v>1361</v>
      </c>
      <c r="G304" s="44" t="s">
        <v>1275</v>
      </c>
      <c r="H304" s="44" t="s">
        <v>1264</v>
      </c>
      <c r="AB304"/>
      <c r="AC304"/>
    </row>
    <row r="305" spans="1:29" x14ac:dyDescent="0.4">
      <c r="A305" s="46" t="s">
        <v>1812</v>
      </c>
      <c r="B305" s="47" t="s">
        <v>1260</v>
      </c>
      <c r="C305" s="41">
        <v>46065</v>
      </c>
      <c r="D305" s="45">
        <v>0.46424768518518517</v>
      </c>
      <c r="E305" s="47" t="s">
        <v>1813</v>
      </c>
      <c r="F305" s="47" t="s">
        <v>1814</v>
      </c>
      <c r="G305" s="47" t="s">
        <v>1279</v>
      </c>
      <c r="H305" s="47" t="s">
        <v>1264</v>
      </c>
      <c r="AB305"/>
      <c r="AC305"/>
    </row>
    <row r="306" spans="1:29" x14ac:dyDescent="0.4">
      <c r="A306" s="46" t="s">
        <v>15600</v>
      </c>
      <c r="B306" s="47" t="s">
        <v>1260</v>
      </c>
      <c r="C306" s="41">
        <v>46038</v>
      </c>
      <c r="D306" s="45">
        <v>0.71188657407407396</v>
      </c>
      <c r="E306" s="47" t="s">
        <v>2017</v>
      </c>
      <c r="F306" s="47" t="s">
        <v>2018</v>
      </c>
      <c r="G306" s="47" t="s">
        <v>1263</v>
      </c>
      <c r="H306" s="47" t="s">
        <v>1264</v>
      </c>
      <c r="AB306"/>
      <c r="AC306"/>
    </row>
    <row r="307" spans="1:29" x14ac:dyDescent="0.4">
      <c r="A307" s="43" t="s">
        <v>2565</v>
      </c>
      <c r="B307" s="44" t="s">
        <v>1260</v>
      </c>
      <c r="C307" s="41">
        <v>46199</v>
      </c>
      <c r="D307" s="45">
        <v>0.7740393518518518</v>
      </c>
      <c r="E307" s="44" t="s">
        <v>2566</v>
      </c>
      <c r="F307" s="44" t="s">
        <v>2567</v>
      </c>
      <c r="G307" s="44" t="s">
        <v>1263</v>
      </c>
      <c r="H307" s="44" t="s">
        <v>1264</v>
      </c>
      <c r="AB307"/>
      <c r="AC307"/>
    </row>
    <row r="308" spans="1:29" x14ac:dyDescent="0.4">
      <c r="A308" s="43" t="s">
        <v>1947</v>
      </c>
      <c r="B308" s="44" t="s">
        <v>1260</v>
      </c>
      <c r="C308" s="41">
        <v>46126</v>
      </c>
      <c r="D308" s="45">
        <v>0.44055555555555559</v>
      </c>
      <c r="E308" s="44" t="s">
        <v>1948</v>
      </c>
      <c r="F308" s="44" t="s">
        <v>1949</v>
      </c>
      <c r="G308" s="44" t="s">
        <v>1263</v>
      </c>
      <c r="H308" s="44" t="s">
        <v>1264</v>
      </c>
      <c r="AB308"/>
      <c r="AC308"/>
    </row>
    <row r="309" spans="1:29" x14ac:dyDescent="0.4">
      <c r="A309" s="43" t="s">
        <v>1624</v>
      </c>
      <c r="B309" s="44" t="s">
        <v>1260</v>
      </c>
      <c r="C309" s="41">
        <v>46150</v>
      </c>
      <c r="D309" s="45">
        <v>0.43835648148148149</v>
      </c>
      <c r="E309" s="44" t="s">
        <v>1625</v>
      </c>
      <c r="F309" s="44" t="s">
        <v>1626</v>
      </c>
      <c r="G309" s="44" t="s">
        <v>1279</v>
      </c>
      <c r="H309" s="44" t="s">
        <v>1264</v>
      </c>
      <c r="AB309"/>
      <c r="AC309"/>
    </row>
    <row r="310" spans="1:29" x14ac:dyDescent="0.4">
      <c r="A310" s="43" t="s">
        <v>1893</v>
      </c>
      <c r="B310" s="44" t="s">
        <v>1260</v>
      </c>
      <c r="C310" s="41">
        <v>46094</v>
      </c>
      <c r="D310" s="45">
        <v>0.49081018518518515</v>
      </c>
      <c r="E310" s="44" t="s">
        <v>1894</v>
      </c>
      <c r="F310" s="44" t="s">
        <v>1895</v>
      </c>
      <c r="G310" s="44" t="s">
        <v>1324</v>
      </c>
      <c r="H310" s="44" t="s">
        <v>1392</v>
      </c>
      <c r="AB310"/>
      <c r="AC310"/>
    </row>
    <row r="311" spans="1:29" x14ac:dyDescent="0.4">
      <c r="A311" s="46" t="s">
        <v>2004</v>
      </c>
      <c r="B311" s="47" t="s">
        <v>1260</v>
      </c>
      <c r="C311" s="41">
        <v>46038</v>
      </c>
      <c r="D311" s="45">
        <v>0.81767361111111114</v>
      </c>
      <c r="E311" s="47" t="s">
        <v>2005</v>
      </c>
      <c r="F311" s="47" t="s">
        <v>2006</v>
      </c>
      <c r="G311" s="47" t="s">
        <v>1263</v>
      </c>
      <c r="H311" s="47" t="s">
        <v>1264</v>
      </c>
      <c r="AB311"/>
      <c r="AC311"/>
    </row>
    <row r="312" spans="1:29" x14ac:dyDescent="0.4">
      <c r="A312" s="43" t="s">
        <v>2742</v>
      </c>
      <c r="B312" s="44" t="s">
        <v>1260</v>
      </c>
      <c r="C312" s="41">
        <v>46112</v>
      </c>
      <c r="D312" s="45">
        <v>0.51709490740740738</v>
      </c>
      <c r="E312" s="44" t="s">
        <v>2743</v>
      </c>
      <c r="F312" s="44" t="s">
        <v>2744</v>
      </c>
      <c r="G312" s="44" t="s">
        <v>1263</v>
      </c>
      <c r="H312" s="44" t="s">
        <v>1264</v>
      </c>
      <c r="AB312"/>
      <c r="AC312"/>
    </row>
    <row r="313" spans="1:29" x14ac:dyDescent="0.4">
      <c r="A313" s="46" t="s">
        <v>15601</v>
      </c>
      <c r="B313" s="47" t="s">
        <v>1260</v>
      </c>
      <c r="C313" s="41">
        <v>46217</v>
      </c>
      <c r="D313" s="45">
        <v>0.61390046296296297</v>
      </c>
      <c r="E313" s="47" t="s">
        <v>1957</v>
      </c>
      <c r="F313" s="47" t="s">
        <v>1958</v>
      </c>
      <c r="G313" s="47" t="s">
        <v>1263</v>
      </c>
      <c r="H313" s="47" t="s">
        <v>1264</v>
      </c>
      <c r="AB313"/>
      <c r="AC313"/>
    </row>
    <row r="314" spans="1:29" x14ac:dyDescent="0.4">
      <c r="A314" s="46" t="s">
        <v>2291</v>
      </c>
      <c r="B314" s="47" t="s">
        <v>1260</v>
      </c>
      <c r="C314" s="41">
        <v>46043</v>
      </c>
      <c r="D314" s="45">
        <v>0.49486111111111114</v>
      </c>
      <c r="E314" s="47" t="s">
        <v>2292</v>
      </c>
      <c r="F314" s="47" t="s">
        <v>2293</v>
      </c>
      <c r="G314" s="47" t="s">
        <v>1263</v>
      </c>
      <c r="H314" s="47" t="s">
        <v>1264</v>
      </c>
      <c r="AB314"/>
      <c r="AC314"/>
    </row>
    <row r="315" spans="1:29" x14ac:dyDescent="0.4">
      <c r="A315" s="43" t="s">
        <v>2429</v>
      </c>
      <c r="B315" s="44" t="s">
        <v>1260</v>
      </c>
      <c r="C315" s="41">
        <v>46105</v>
      </c>
      <c r="D315" s="45">
        <v>0.47403935185185181</v>
      </c>
      <c r="E315" s="44" t="s">
        <v>2430</v>
      </c>
      <c r="F315" s="44" t="s">
        <v>2431</v>
      </c>
      <c r="G315" s="44" t="s">
        <v>1263</v>
      </c>
      <c r="H315" s="44" t="s">
        <v>1264</v>
      </c>
      <c r="AB315"/>
      <c r="AC315"/>
    </row>
    <row r="316" spans="1:29" x14ac:dyDescent="0.4">
      <c r="A316" s="46" t="s">
        <v>1404</v>
      </c>
      <c r="B316" s="47" t="s">
        <v>1260</v>
      </c>
      <c r="C316" s="41">
        <v>45811</v>
      </c>
      <c r="D316" s="45">
        <v>0.43559027777777781</v>
      </c>
      <c r="E316" s="47" t="s">
        <v>1405</v>
      </c>
      <c r="F316" s="47" t="s">
        <v>1406</v>
      </c>
      <c r="G316" s="47" t="s">
        <v>1263</v>
      </c>
      <c r="H316" s="47" t="s">
        <v>1264</v>
      </c>
      <c r="AB316"/>
      <c r="AC316"/>
    </row>
    <row r="317" spans="1:29" x14ac:dyDescent="0.4">
      <c r="A317" s="46" t="s">
        <v>15269</v>
      </c>
      <c r="B317" s="47" t="s">
        <v>1260</v>
      </c>
      <c r="C317" s="41">
        <v>46139</v>
      </c>
      <c r="D317" s="45">
        <v>0.68306712962962957</v>
      </c>
      <c r="E317" s="47" t="s">
        <v>2616</v>
      </c>
      <c r="F317" s="47" t="s">
        <v>2617</v>
      </c>
      <c r="G317" s="47" t="s">
        <v>1263</v>
      </c>
      <c r="H317" s="47" t="s">
        <v>1264</v>
      </c>
      <c r="AB317"/>
      <c r="AC317"/>
    </row>
    <row r="318" spans="1:29" x14ac:dyDescent="0.4">
      <c r="A318" s="46" t="s">
        <v>1544</v>
      </c>
      <c r="B318" s="47" t="s">
        <v>1260</v>
      </c>
      <c r="C318" s="41">
        <v>46059</v>
      </c>
      <c r="D318" s="45">
        <v>0.74800925925925921</v>
      </c>
      <c r="E318" s="47" t="s">
        <v>1545</v>
      </c>
      <c r="F318" s="47" t="s">
        <v>1546</v>
      </c>
      <c r="G318" s="47" t="s">
        <v>1263</v>
      </c>
      <c r="H318" s="47" t="s">
        <v>1264</v>
      </c>
      <c r="AB318"/>
      <c r="AC318"/>
    </row>
    <row r="319" spans="1:29" x14ac:dyDescent="0.4">
      <c r="A319" s="46" t="s">
        <v>1485</v>
      </c>
      <c r="B319" s="47" t="s">
        <v>1260</v>
      </c>
      <c r="C319" s="41">
        <v>46058</v>
      </c>
      <c r="D319" s="45">
        <v>0.64996527777777779</v>
      </c>
      <c r="E319" s="47" t="s">
        <v>1486</v>
      </c>
      <c r="F319" s="47" t="s">
        <v>1487</v>
      </c>
      <c r="G319" s="47" t="s">
        <v>1263</v>
      </c>
      <c r="H319" s="47" t="s">
        <v>1264</v>
      </c>
      <c r="AB319"/>
      <c r="AC319"/>
    </row>
    <row r="320" spans="1:29" x14ac:dyDescent="0.4">
      <c r="A320" s="43" t="s">
        <v>2648</v>
      </c>
      <c r="B320" s="44" t="s">
        <v>1260</v>
      </c>
      <c r="C320" s="41">
        <v>46050</v>
      </c>
      <c r="D320" s="45">
        <v>0.43951388888888893</v>
      </c>
      <c r="E320" s="44" t="s">
        <v>2649</v>
      </c>
      <c r="F320" s="44" t="s">
        <v>2650</v>
      </c>
      <c r="G320" s="44" t="s">
        <v>1335</v>
      </c>
      <c r="H320" s="44" t="s">
        <v>1264</v>
      </c>
      <c r="AB320"/>
      <c r="AC320"/>
    </row>
    <row r="321" spans="1:29" x14ac:dyDescent="0.4">
      <c r="A321" s="46" t="s">
        <v>1884</v>
      </c>
      <c r="B321" s="47" t="s">
        <v>1260</v>
      </c>
      <c r="C321" s="41">
        <v>46066</v>
      </c>
      <c r="D321" s="45">
        <v>0.57665509259259262</v>
      </c>
      <c r="E321" s="47" t="s">
        <v>1885</v>
      </c>
      <c r="F321" s="47" t="s">
        <v>1886</v>
      </c>
      <c r="G321" s="47" t="s">
        <v>1263</v>
      </c>
      <c r="H321" s="47" t="s">
        <v>1264</v>
      </c>
      <c r="AB321"/>
      <c r="AC321"/>
    </row>
    <row r="322" spans="1:29" x14ac:dyDescent="0.4">
      <c r="A322" s="43" t="s">
        <v>2447</v>
      </c>
      <c r="B322" s="44" t="s">
        <v>1260</v>
      </c>
      <c r="C322" s="41">
        <v>46197</v>
      </c>
      <c r="D322" s="45">
        <v>0.40216435185185184</v>
      </c>
      <c r="E322" s="44" t="s">
        <v>2448</v>
      </c>
      <c r="F322" s="44" t="s">
        <v>2449</v>
      </c>
      <c r="G322" s="44" t="s">
        <v>1263</v>
      </c>
      <c r="H322" s="44" t="s">
        <v>1264</v>
      </c>
      <c r="AB322"/>
      <c r="AC322"/>
    </row>
    <row r="323" spans="1:29" x14ac:dyDescent="0.4">
      <c r="A323" s="46" t="s">
        <v>2538</v>
      </c>
      <c r="B323" s="47" t="s">
        <v>1260</v>
      </c>
      <c r="C323" s="41">
        <v>46079</v>
      </c>
      <c r="D323" s="45">
        <v>0.28380787037037036</v>
      </c>
      <c r="E323" s="47" t="s">
        <v>2539</v>
      </c>
      <c r="F323" s="47" t="s">
        <v>2540</v>
      </c>
      <c r="G323" s="47" t="s">
        <v>1263</v>
      </c>
      <c r="H323" s="47" t="s">
        <v>1264</v>
      </c>
      <c r="AB323"/>
      <c r="AC323"/>
    </row>
    <row r="324" spans="1:29" x14ac:dyDescent="0.4">
      <c r="A324" s="46" t="s">
        <v>15270</v>
      </c>
      <c r="B324" s="47" t="s">
        <v>1260</v>
      </c>
      <c r="C324" s="41">
        <v>46092</v>
      </c>
      <c r="D324" s="45">
        <v>0.39168981481481485</v>
      </c>
      <c r="E324" s="47" t="s">
        <v>1760</v>
      </c>
      <c r="F324" s="47" t="s">
        <v>1761</v>
      </c>
      <c r="G324" s="47" t="s">
        <v>1263</v>
      </c>
      <c r="H324" s="47" t="s">
        <v>1264</v>
      </c>
      <c r="AB324"/>
      <c r="AC324"/>
    </row>
    <row r="325" spans="1:29" x14ac:dyDescent="0.4">
      <c r="A325" s="43" t="s">
        <v>15602</v>
      </c>
      <c r="B325" s="44" t="s">
        <v>1260</v>
      </c>
      <c r="C325" s="41">
        <v>46089</v>
      </c>
      <c r="D325" s="45">
        <v>0.88754629629629633</v>
      </c>
      <c r="E325" s="44" t="s">
        <v>1619</v>
      </c>
      <c r="F325" s="44" t="s">
        <v>1620</v>
      </c>
      <c r="G325" s="44" t="s">
        <v>1263</v>
      </c>
      <c r="H325" s="44" t="s">
        <v>1264</v>
      </c>
      <c r="AB325"/>
      <c r="AC325"/>
    </row>
    <row r="326" spans="1:29" x14ac:dyDescent="0.4">
      <c r="A326" s="46" t="s">
        <v>1462</v>
      </c>
      <c r="B326" s="47" t="s">
        <v>1260</v>
      </c>
      <c r="C326" s="41">
        <v>46177</v>
      </c>
      <c r="D326" s="45">
        <v>0.5932291666666667</v>
      </c>
      <c r="E326" s="47" t="s">
        <v>1463</v>
      </c>
      <c r="F326" s="47" t="s">
        <v>1464</v>
      </c>
      <c r="G326" s="47" t="s">
        <v>1263</v>
      </c>
      <c r="H326" s="47" t="s">
        <v>1264</v>
      </c>
      <c r="AB326"/>
      <c r="AC326"/>
    </row>
    <row r="327" spans="1:29" x14ac:dyDescent="0.4">
      <c r="A327" s="46" t="s">
        <v>1550</v>
      </c>
      <c r="B327" s="47" t="s">
        <v>1260</v>
      </c>
      <c r="C327" s="41">
        <v>46148</v>
      </c>
      <c r="D327" s="45">
        <v>0.50427083333333333</v>
      </c>
      <c r="E327" s="47" t="s">
        <v>1551</v>
      </c>
      <c r="F327" s="47" t="s">
        <v>1552</v>
      </c>
      <c r="G327" s="47" t="s">
        <v>1263</v>
      </c>
      <c r="H327" s="47" t="s">
        <v>1264</v>
      </c>
      <c r="AB327"/>
      <c r="AC327"/>
    </row>
    <row r="328" spans="1:29" x14ac:dyDescent="0.4">
      <c r="A328" s="46" t="s">
        <v>2686</v>
      </c>
      <c r="B328" s="47" t="s">
        <v>1260</v>
      </c>
      <c r="C328" s="41">
        <v>46051</v>
      </c>
      <c r="D328" s="45">
        <v>0.71020833333333344</v>
      </c>
      <c r="E328" s="47" t="s">
        <v>2687</v>
      </c>
      <c r="F328" s="47" t="s">
        <v>2688</v>
      </c>
      <c r="G328" s="47" t="s">
        <v>1263</v>
      </c>
      <c r="H328" s="47" t="s">
        <v>1264</v>
      </c>
      <c r="AB328"/>
      <c r="AC328"/>
    </row>
    <row r="329" spans="1:29" x14ac:dyDescent="0.4">
      <c r="A329" s="46" t="s">
        <v>15603</v>
      </c>
      <c r="B329" s="47" t="s">
        <v>1260</v>
      </c>
      <c r="C329" s="41">
        <v>46163</v>
      </c>
      <c r="D329" s="45">
        <v>0.44894675925925925</v>
      </c>
      <c r="E329" s="47" t="s">
        <v>2309</v>
      </c>
      <c r="F329" s="47" t="s">
        <v>2310</v>
      </c>
      <c r="G329" s="47" t="s">
        <v>1263</v>
      </c>
      <c r="H329" s="47" t="s">
        <v>1264</v>
      </c>
      <c r="AB329"/>
      <c r="AC329"/>
    </row>
    <row r="330" spans="1:29" x14ac:dyDescent="0.4">
      <c r="A330" s="46" t="s">
        <v>1432</v>
      </c>
      <c r="B330" s="47" t="s">
        <v>1260</v>
      </c>
      <c r="C330" s="41">
        <v>45994</v>
      </c>
      <c r="D330" s="45">
        <v>0.41879629629629633</v>
      </c>
      <c r="E330" s="47" t="s">
        <v>1433</v>
      </c>
      <c r="F330" s="47" t="s">
        <v>1434</v>
      </c>
      <c r="G330" s="47" t="s">
        <v>1263</v>
      </c>
      <c r="H330" s="47" t="s">
        <v>1264</v>
      </c>
      <c r="AB330"/>
      <c r="AC330"/>
    </row>
    <row r="331" spans="1:29" x14ac:dyDescent="0.4">
      <c r="A331" s="46" t="s">
        <v>1830</v>
      </c>
      <c r="B331" s="47" t="s">
        <v>1260</v>
      </c>
      <c r="C331" s="41">
        <v>46124</v>
      </c>
      <c r="D331" s="45">
        <v>0.79696759259259264</v>
      </c>
      <c r="E331" s="47" t="s">
        <v>1831</v>
      </c>
      <c r="F331" s="47" t="s">
        <v>1832</v>
      </c>
      <c r="G331" s="47" t="s">
        <v>1263</v>
      </c>
      <c r="H331" s="47" t="s">
        <v>1264</v>
      </c>
      <c r="AB331"/>
      <c r="AC331"/>
    </row>
    <row r="332" spans="1:29" x14ac:dyDescent="0.4">
      <c r="A332" s="43" t="s">
        <v>1827</v>
      </c>
      <c r="B332" s="44" t="s">
        <v>1260</v>
      </c>
      <c r="C332" s="41">
        <v>46093</v>
      </c>
      <c r="D332" s="45">
        <v>0.45929398148148143</v>
      </c>
      <c r="E332" s="44" t="s">
        <v>1828</v>
      </c>
      <c r="F332" s="44" t="s">
        <v>1829</v>
      </c>
      <c r="G332" s="44" t="s">
        <v>1263</v>
      </c>
      <c r="H332" s="44" t="s">
        <v>1264</v>
      </c>
      <c r="AB332"/>
      <c r="AC332"/>
    </row>
    <row r="333" spans="1:29" x14ac:dyDescent="0.4">
      <c r="A333" s="46" t="s">
        <v>1580</v>
      </c>
      <c r="B333" s="47" t="s">
        <v>1260</v>
      </c>
      <c r="C333" s="41">
        <v>46119</v>
      </c>
      <c r="D333" s="45">
        <v>0.48344907407407406</v>
      </c>
      <c r="E333" s="47" t="s">
        <v>1581</v>
      </c>
      <c r="F333" s="47" t="s">
        <v>1582</v>
      </c>
      <c r="G333" s="47" t="s">
        <v>1324</v>
      </c>
      <c r="H333" s="47" t="s">
        <v>1379</v>
      </c>
      <c r="AB333"/>
      <c r="AC333"/>
    </row>
    <row r="334" spans="1:29" x14ac:dyDescent="0.4">
      <c r="A334" s="43" t="s">
        <v>1304</v>
      </c>
      <c r="B334" s="44" t="s">
        <v>1260</v>
      </c>
      <c r="C334" s="41">
        <v>46204</v>
      </c>
      <c r="D334" s="45">
        <v>0.36940972222222218</v>
      </c>
      <c r="E334" s="44" t="s">
        <v>1305</v>
      </c>
      <c r="F334" s="44" t="s">
        <v>1306</v>
      </c>
      <c r="G334" s="44" t="s">
        <v>1263</v>
      </c>
      <c r="H334" s="44" t="s">
        <v>1264</v>
      </c>
      <c r="AB334"/>
      <c r="AC334"/>
    </row>
    <row r="335" spans="1:29" x14ac:dyDescent="0.4">
      <c r="A335" s="46" t="s">
        <v>2344</v>
      </c>
      <c r="B335" s="47" t="s">
        <v>1260</v>
      </c>
      <c r="C335" s="41">
        <v>45404</v>
      </c>
      <c r="D335" s="45">
        <v>0.77728009259259256</v>
      </c>
      <c r="E335" s="47" t="s">
        <v>2345</v>
      </c>
      <c r="F335" s="47" t="s">
        <v>2346</v>
      </c>
      <c r="G335" s="47" t="s">
        <v>1263</v>
      </c>
      <c r="H335" s="47" t="s">
        <v>1264</v>
      </c>
      <c r="AB335"/>
      <c r="AC335"/>
    </row>
    <row r="336" spans="1:29" x14ac:dyDescent="0.4">
      <c r="A336" s="43" t="s">
        <v>1696</v>
      </c>
      <c r="B336" s="44" t="s">
        <v>1260</v>
      </c>
      <c r="C336" s="41">
        <v>46182</v>
      </c>
      <c r="D336" s="45">
        <v>0.47384259259259259</v>
      </c>
      <c r="E336" s="44" t="s">
        <v>1697</v>
      </c>
      <c r="F336" s="44" t="s">
        <v>1698</v>
      </c>
      <c r="G336" s="44" t="s">
        <v>1324</v>
      </c>
      <c r="H336" s="44" t="s">
        <v>1431</v>
      </c>
      <c r="AB336"/>
      <c r="AC336"/>
    </row>
    <row r="337" spans="1:29" x14ac:dyDescent="0.4">
      <c r="A337" s="43" t="s">
        <v>15271</v>
      </c>
      <c r="B337" s="44" t="s">
        <v>1260</v>
      </c>
      <c r="C337" s="41">
        <v>46153</v>
      </c>
      <c r="D337" s="45">
        <v>0.92594907407407412</v>
      </c>
      <c r="E337" s="44" t="s">
        <v>1775</v>
      </c>
      <c r="F337" s="44" t="s">
        <v>1776</v>
      </c>
      <c r="G337" s="44" t="s">
        <v>1263</v>
      </c>
      <c r="H337" s="44" t="s">
        <v>1264</v>
      </c>
      <c r="AB337"/>
      <c r="AC337"/>
    </row>
    <row r="338" spans="1:29" x14ac:dyDescent="0.4">
      <c r="A338" s="46" t="s">
        <v>15272</v>
      </c>
      <c r="B338" s="47" t="s">
        <v>1260</v>
      </c>
      <c r="C338" s="41">
        <v>46197</v>
      </c>
      <c r="D338" s="45">
        <v>0.4667824074074074</v>
      </c>
      <c r="E338" s="47" t="s">
        <v>2457</v>
      </c>
      <c r="F338" s="47" t="s">
        <v>2458</v>
      </c>
      <c r="G338" s="47" t="s">
        <v>1263</v>
      </c>
      <c r="H338" s="47" t="s">
        <v>1264</v>
      </c>
      <c r="AB338"/>
      <c r="AC338"/>
    </row>
    <row r="339" spans="1:29" x14ac:dyDescent="0.4">
      <c r="A339" s="46" t="s">
        <v>2485</v>
      </c>
      <c r="B339" s="47" t="s">
        <v>1260</v>
      </c>
      <c r="C339" s="41">
        <v>46106</v>
      </c>
      <c r="D339" s="45">
        <v>0.48085648148148147</v>
      </c>
      <c r="E339" s="47" t="s">
        <v>2486</v>
      </c>
      <c r="F339" s="47" t="s">
        <v>2487</v>
      </c>
      <c r="G339" s="47" t="s">
        <v>1263</v>
      </c>
      <c r="H339" s="47" t="s">
        <v>1264</v>
      </c>
      <c r="AB339"/>
      <c r="AC339"/>
    </row>
    <row r="340" spans="1:29" x14ac:dyDescent="0.4">
      <c r="A340" s="43" t="s">
        <v>2072</v>
      </c>
      <c r="B340" s="44" t="s">
        <v>1260</v>
      </c>
      <c r="C340" s="41">
        <v>46219</v>
      </c>
      <c r="D340" s="45">
        <v>0.68465277777777767</v>
      </c>
      <c r="E340" s="44" t="s">
        <v>2073</v>
      </c>
      <c r="F340" s="44" t="s">
        <v>2074</v>
      </c>
      <c r="G340" s="44" t="s">
        <v>1263</v>
      </c>
      <c r="H340" s="44" t="s">
        <v>1264</v>
      </c>
      <c r="AB340"/>
      <c r="AC340"/>
    </row>
    <row r="341" spans="1:29" x14ac:dyDescent="0.4">
      <c r="A341" s="46" t="s">
        <v>1339</v>
      </c>
      <c r="B341" s="47" t="s">
        <v>1260</v>
      </c>
      <c r="C341" s="41">
        <v>46175</v>
      </c>
      <c r="D341" s="45">
        <v>0.58046296296296296</v>
      </c>
      <c r="E341" s="47" t="s">
        <v>1340</v>
      </c>
      <c r="F341" s="47" t="s">
        <v>1341</v>
      </c>
      <c r="G341" s="47" t="s">
        <v>1263</v>
      </c>
      <c r="H341" s="47" t="s">
        <v>1264</v>
      </c>
      <c r="AB341"/>
      <c r="AC341"/>
    </row>
    <row r="342" spans="1:29" x14ac:dyDescent="0.4">
      <c r="A342" s="46" t="s">
        <v>1651</v>
      </c>
      <c r="B342" s="47" t="s">
        <v>1260</v>
      </c>
      <c r="C342" s="41">
        <v>45604</v>
      </c>
      <c r="D342" s="45">
        <v>0.55677083333333333</v>
      </c>
      <c r="E342" s="47" t="s">
        <v>1652</v>
      </c>
      <c r="F342" s="47" t="s">
        <v>1653</v>
      </c>
      <c r="G342" s="47" t="s">
        <v>1263</v>
      </c>
      <c r="H342" s="47" t="s">
        <v>1264</v>
      </c>
      <c r="AB342"/>
      <c r="AC342"/>
    </row>
    <row r="343" spans="1:29" x14ac:dyDescent="0.4">
      <c r="A343" s="43" t="s">
        <v>1418</v>
      </c>
      <c r="B343" s="44" t="s">
        <v>1260</v>
      </c>
      <c r="C343" s="41">
        <v>46206</v>
      </c>
      <c r="D343" s="45">
        <v>0.42768518518518522</v>
      </c>
      <c r="E343" s="44" t="s">
        <v>1419</v>
      </c>
      <c r="F343" s="44" t="s">
        <v>1420</v>
      </c>
      <c r="G343" s="44" t="s">
        <v>1263</v>
      </c>
      <c r="H343" s="44" t="s">
        <v>1264</v>
      </c>
      <c r="AB343"/>
      <c r="AC343"/>
    </row>
    <row r="344" spans="1:29" x14ac:dyDescent="0.4">
      <c r="A344" s="46" t="s">
        <v>2117</v>
      </c>
      <c r="B344" s="47" t="s">
        <v>1260</v>
      </c>
      <c r="C344" s="41">
        <v>46071</v>
      </c>
      <c r="D344" s="45">
        <v>0.41616898148148151</v>
      </c>
      <c r="E344" s="47" t="s">
        <v>2118</v>
      </c>
      <c r="F344" s="47" t="s">
        <v>2119</v>
      </c>
      <c r="G344" s="47" t="s">
        <v>1263</v>
      </c>
      <c r="H344" s="47" t="s">
        <v>1264</v>
      </c>
      <c r="AB344"/>
      <c r="AC344"/>
    </row>
    <row r="345" spans="1:29" x14ac:dyDescent="0.4">
      <c r="A345" s="46" t="s">
        <v>2749</v>
      </c>
      <c r="B345" s="47" t="s">
        <v>1260</v>
      </c>
      <c r="C345" s="41">
        <v>46192</v>
      </c>
      <c r="D345" s="45">
        <v>0.38351851851851854</v>
      </c>
      <c r="E345" s="47" t="s">
        <v>2196</v>
      </c>
      <c r="F345" s="47" t="s">
        <v>2197</v>
      </c>
      <c r="G345" s="47" t="s">
        <v>1263</v>
      </c>
      <c r="H345" s="47" t="s">
        <v>1264</v>
      </c>
      <c r="AB345"/>
      <c r="AC345"/>
    </row>
    <row r="346" spans="1:29" x14ac:dyDescent="0.4">
      <c r="A346" s="43" t="s">
        <v>2001</v>
      </c>
      <c r="B346" s="44" t="s">
        <v>1260</v>
      </c>
      <c r="C346" s="41">
        <v>45976</v>
      </c>
      <c r="D346" s="45">
        <v>0.80744212962962969</v>
      </c>
      <c r="E346" s="44" t="s">
        <v>2002</v>
      </c>
      <c r="F346" s="44" t="s">
        <v>2003</v>
      </c>
      <c r="G346" s="44" t="s">
        <v>1263</v>
      </c>
      <c r="H346" s="44" t="s">
        <v>1264</v>
      </c>
      <c r="AB346"/>
      <c r="AC346"/>
    </row>
    <row r="347" spans="1:29" x14ac:dyDescent="0.4">
      <c r="A347" s="46" t="s">
        <v>2367</v>
      </c>
      <c r="B347" s="47" t="s">
        <v>1260</v>
      </c>
      <c r="C347" s="41">
        <v>46045</v>
      </c>
      <c r="D347" s="45">
        <v>0.56559027777777782</v>
      </c>
      <c r="E347" s="47" t="s">
        <v>2368</v>
      </c>
      <c r="F347" s="47" t="s">
        <v>2369</v>
      </c>
      <c r="G347" s="47" t="s">
        <v>1263</v>
      </c>
      <c r="H347" s="47" t="s">
        <v>1264</v>
      </c>
      <c r="AB347"/>
      <c r="AC347"/>
    </row>
    <row r="348" spans="1:29" x14ac:dyDescent="0.4">
      <c r="A348" s="43" t="s">
        <v>1384</v>
      </c>
      <c r="B348" s="44" t="s">
        <v>1260</v>
      </c>
      <c r="C348" s="41">
        <v>46113</v>
      </c>
      <c r="D348" s="45">
        <v>0.44327546296296294</v>
      </c>
      <c r="E348" s="44" t="s">
        <v>1385</v>
      </c>
      <c r="F348" s="44" t="s">
        <v>1386</v>
      </c>
      <c r="G348" s="44" t="s">
        <v>1263</v>
      </c>
      <c r="H348" s="44" t="s">
        <v>1264</v>
      </c>
      <c r="AB348"/>
      <c r="AC348"/>
    </row>
    <row r="349" spans="1:29" x14ac:dyDescent="0.4">
      <c r="A349" s="43" t="s">
        <v>1435</v>
      </c>
      <c r="B349" s="44" t="s">
        <v>1260</v>
      </c>
      <c r="C349" s="41">
        <v>46057</v>
      </c>
      <c r="D349" s="45">
        <v>0.70267361111111104</v>
      </c>
      <c r="E349" s="44" t="s">
        <v>1436</v>
      </c>
      <c r="F349" s="44" t="s">
        <v>1437</v>
      </c>
      <c r="G349" s="44" t="s">
        <v>1263</v>
      </c>
      <c r="H349" s="44" t="s">
        <v>1264</v>
      </c>
      <c r="AB349"/>
      <c r="AC349"/>
    </row>
    <row r="350" spans="1:29" x14ac:dyDescent="0.4">
      <c r="A350" s="43" t="s">
        <v>2353</v>
      </c>
      <c r="B350" s="44" t="s">
        <v>1260</v>
      </c>
      <c r="C350" s="41">
        <v>46164</v>
      </c>
      <c r="D350" s="45">
        <v>0.45598379629629626</v>
      </c>
      <c r="E350" s="44" t="s">
        <v>2354</v>
      </c>
      <c r="F350" s="44" t="s">
        <v>2355</v>
      </c>
      <c r="G350" s="44" t="s">
        <v>1263</v>
      </c>
      <c r="H350" s="44" t="s">
        <v>1264</v>
      </c>
      <c r="AB350"/>
      <c r="AC350"/>
    </row>
    <row r="351" spans="1:29" x14ac:dyDescent="0.4">
      <c r="A351" s="46" t="s">
        <v>15604</v>
      </c>
      <c r="B351" s="47" t="s">
        <v>1260</v>
      </c>
      <c r="C351" s="41">
        <v>46147</v>
      </c>
      <c r="D351" s="45">
        <v>0.40803240740740737</v>
      </c>
      <c r="E351" s="47" t="s">
        <v>219</v>
      </c>
      <c r="F351" s="47" t="s">
        <v>1504</v>
      </c>
      <c r="G351" s="47" t="s">
        <v>1263</v>
      </c>
      <c r="H351" s="47" t="s">
        <v>1264</v>
      </c>
      <c r="AB351"/>
      <c r="AC351"/>
    </row>
    <row r="352" spans="1:29" x14ac:dyDescent="0.4">
      <c r="A352" s="46" t="s">
        <v>15273</v>
      </c>
      <c r="B352" s="47" t="s">
        <v>1260</v>
      </c>
      <c r="C352" s="41">
        <v>46161</v>
      </c>
      <c r="D352" s="45">
        <v>0.43283564814814812</v>
      </c>
      <c r="E352" s="47" t="s">
        <v>2190</v>
      </c>
      <c r="F352" s="47" t="s">
        <v>2191</v>
      </c>
      <c r="G352" s="47" t="s">
        <v>1279</v>
      </c>
      <c r="H352" s="47" t="s">
        <v>1264</v>
      </c>
      <c r="AB352"/>
      <c r="AC352"/>
    </row>
    <row r="353" spans="1:29" x14ac:dyDescent="0.4">
      <c r="A353" s="46" t="s">
        <v>2081</v>
      </c>
      <c r="B353" s="47" t="s">
        <v>1260</v>
      </c>
      <c r="C353" s="41">
        <v>46007</v>
      </c>
      <c r="D353" s="45">
        <v>0.57711805555555562</v>
      </c>
      <c r="E353" s="47" t="s">
        <v>2082</v>
      </c>
      <c r="F353" s="47" t="s">
        <v>2083</v>
      </c>
      <c r="G353" s="47" t="s">
        <v>1279</v>
      </c>
      <c r="H353" s="47" t="s">
        <v>1264</v>
      </c>
      <c r="AB353"/>
      <c r="AC353"/>
    </row>
    <row r="354" spans="1:29" x14ac:dyDescent="0.4">
      <c r="A354" s="43" t="s">
        <v>1343</v>
      </c>
      <c r="B354" s="44" t="s">
        <v>1260</v>
      </c>
      <c r="C354" s="41">
        <v>46175</v>
      </c>
      <c r="D354" s="45">
        <v>0.4490277777777778</v>
      </c>
      <c r="E354" s="44" t="s">
        <v>1344</v>
      </c>
      <c r="F354" s="44" t="s">
        <v>1345</v>
      </c>
      <c r="G354" s="44" t="s">
        <v>1279</v>
      </c>
      <c r="H354" s="44" t="s">
        <v>1264</v>
      </c>
      <c r="AB354"/>
      <c r="AC354"/>
    </row>
    <row r="355" spans="1:29" x14ac:dyDescent="0.4">
      <c r="A355" s="46" t="s">
        <v>2461</v>
      </c>
      <c r="B355" s="47" t="s">
        <v>1260</v>
      </c>
      <c r="C355" s="41">
        <v>46047</v>
      </c>
      <c r="D355" s="45">
        <v>0.68388888888888888</v>
      </c>
      <c r="E355" s="47" t="s">
        <v>2462</v>
      </c>
      <c r="F355" s="47" t="s">
        <v>2463</v>
      </c>
      <c r="G355" s="47" t="s">
        <v>1263</v>
      </c>
      <c r="H355" s="47" t="s">
        <v>1264</v>
      </c>
      <c r="AB355"/>
      <c r="AC355"/>
    </row>
    <row r="356" spans="1:29" x14ac:dyDescent="0.4">
      <c r="A356" s="46" t="s">
        <v>15605</v>
      </c>
      <c r="B356" s="47" t="s">
        <v>1260</v>
      </c>
      <c r="C356" s="41">
        <v>45854</v>
      </c>
      <c r="D356" s="45">
        <v>0.63540509259259259</v>
      </c>
      <c r="E356" s="47" t="s">
        <v>2070</v>
      </c>
      <c r="F356" s="47" t="s">
        <v>2071</v>
      </c>
      <c r="G356" s="47" t="s">
        <v>1263</v>
      </c>
      <c r="H356" s="47" t="s">
        <v>1264</v>
      </c>
      <c r="AB356"/>
      <c r="AC356"/>
    </row>
    <row r="357" spans="1:29" x14ac:dyDescent="0.4">
      <c r="A357" s="46" t="s">
        <v>2207</v>
      </c>
      <c r="B357" s="47" t="s">
        <v>1260</v>
      </c>
      <c r="C357" s="41">
        <v>45615</v>
      </c>
      <c r="D357" s="45">
        <v>0.69983796296296286</v>
      </c>
      <c r="E357" s="47" t="s">
        <v>2208</v>
      </c>
      <c r="F357" s="47" t="s">
        <v>2209</v>
      </c>
      <c r="G357" s="47" t="s">
        <v>1263</v>
      </c>
      <c r="H357" s="47" t="s">
        <v>1264</v>
      </c>
      <c r="AB357"/>
      <c r="AC357"/>
    </row>
    <row r="358" spans="1:29" x14ac:dyDescent="0.4">
      <c r="A358" s="46" t="s">
        <v>2597</v>
      </c>
      <c r="B358" s="47" t="s">
        <v>1260</v>
      </c>
      <c r="C358" s="41">
        <v>46108</v>
      </c>
      <c r="D358" s="45">
        <v>0.49523148148148149</v>
      </c>
      <c r="E358" s="47" t="s">
        <v>2598</v>
      </c>
      <c r="F358" s="47" t="s">
        <v>2599</v>
      </c>
      <c r="G358" s="47" t="s">
        <v>1263</v>
      </c>
      <c r="H358" s="47" t="s">
        <v>1264</v>
      </c>
      <c r="AB358"/>
      <c r="AC358"/>
    </row>
    <row r="359" spans="1:29" x14ac:dyDescent="0.4">
      <c r="A359" s="46" t="s">
        <v>15606</v>
      </c>
      <c r="B359" s="47" t="s">
        <v>1260</v>
      </c>
      <c r="C359" s="41">
        <v>46100</v>
      </c>
      <c r="D359" s="45">
        <v>0.49438657407407405</v>
      </c>
      <c r="E359" s="47" t="s">
        <v>2172</v>
      </c>
      <c r="F359" s="47" t="s">
        <v>2173</v>
      </c>
      <c r="G359" s="47" t="s">
        <v>1263</v>
      </c>
      <c r="H359" s="47" t="s">
        <v>1264</v>
      </c>
      <c r="AB359"/>
      <c r="AC359"/>
    </row>
    <row r="360" spans="1:29" x14ac:dyDescent="0.4">
      <c r="A360" s="46" t="s">
        <v>2243</v>
      </c>
      <c r="B360" s="47" t="s">
        <v>1260</v>
      </c>
      <c r="C360" s="41">
        <v>46132</v>
      </c>
      <c r="D360" s="45">
        <v>0.31363425925925925</v>
      </c>
      <c r="E360" s="47" t="s">
        <v>2244</v>
      </c>
      <c r="F360" s="47" t="s">
        <v>2245</v>
      </c>
      <c r="G360" s="47" t="s">
        <v>1263</v>
      </c>
      <c r="H360" s="47" t="s">
        <v>1264</v>
      </c>
      <c r="AB360"/>
      <c r="AC360"/>
    </row>
    <row r="361" spans="1:29" x14ac:dyDescent="0.4">
      <c r="A361" s="43" t="s">
        <v>2216</v>
      </c>
      <c r="B361" s="44" t="s">
        <v>1260</v>
      </c>
      <c r="C361" s="41">
        <v>46042</v>
      </c>
      <c r="D361" s="45">
        <v>0.74064814814814817</v>
      </c>
      <c r="E361" s="44" t="s">
        <v>2217</v>
      </c>
      <c r="F361" s="44" t="s">
        <v>2218</v>
      </c>
      <c r="G361" s="44" t="s">
        <v>1263</v>
      </c>
      <c r="H361" s="44" t="s">
        <v>1264</v>
      </c>
      <c r="AB361"/>
      <c r="AC361"/>
    </row>
    <row r="362" spans="1:29" x14ac:dyDescent="0.4">
      <c r="A362" s="46" t="s">
        <v>2402</v>
      </c>
      <c r="B362" s="47" t="s">
        <v>1260</v>
      </c>
      <c r="C362" s="41">
        <v>46165</v>
      </c>
      <c r="D362" s="45">
        <v>0.73684027777777772</v>
      </c>
      <c r="E362" s="47" t="s">
        <v>2403</v>
      </c>
      <c r="F362" s="47" t="s">
        <v>2404</v>
      </c>
      <c r="G362" s="47" t="s">
        <v>1263</v>
      </c>
      <c r="H362" s="47" t="s">
        <v>1264</v>
      </c>
      <c r="AB362"/>
      <c r="AC362"/>
    </row>
    <row r="363" spans="1:29" x14ac:dyDescent="0.4">
      <c r="A363" s="43" t="s">
        <v>15274</v>
      </c>
      <c r="B363" s="44" t="s">
        <v>1260</v>
      </c>
      <c r="C363" s="41">
        <v>46145</v>
      </c>
      <c r="D363" s="45">
        <v>0.65168981481481481</v>
      </c>
      <c r="E363" s="44" t="s">
        <v>1401</v>
      </c>
      <c r="F363" s="44" t="s">
        <v>1402</v>
      </c>
      <c r="G363" s="44" t="s">
        <v>1263</v>
      </c>
      <c r="H363" s="44" t="s">
        <v>1264</v>
      </c>
      <c r="AB363"/>
      <c r="AC363"/>
    </row>
    <row r="364" spans="1:29" x14ac:dyDescent="0.4">
      <c r="A364" s="43" t="s">
        <v>2759</v>
      </c>
      <c r="B364" s="44" t="s">
        <v>1260</v>
      </c>
      <c r="C364" s="41">
        <v>46154</v>
      </c>
      <c r="D364" s="45">
        <v>0.54540509259259262</v>
      </c>
      <c r="E364" s="44" t="s">
        <v>1834</v>
      </c>
      <c r="F364" s="44" t="s">
        <v>1835</v>
      </c>
      <c r="G364" s="44" t="s">
        <v>1263</v>
      </c>
      <c r="H364" s="44" t="s">
        <v>1264</v>
      </c>
      <c r="AB364"/>
      <c r="AC364"/>
    </row>
    <row r="365" spans="1:29" x14ac:dyDescent="0.4">
      <c r="A365" s="43" t="s">
        <v>1690</v>
      </c>
      <c r="B365" s="44" t="s">
        <v>1260</v>
      </c>
      <c r="C365" s="41">
        <v>46121</v>
      </c>
      <c r="D365" s="45">
        <v>0.5622800925925926</v>
      </c>
      <c r="E365" s="44" t="s">
        <v>1691</v>
      </c>
      <c r="F365" s="44" t="s">
        <v>1692</v>
      </c>
      <c r="G365" s="44" t="s">
        <v>1263</v>
      </c>
      <c r="H365" s="44" t="s">
        <v>1264</v>
      </c>
      <c r="AB365"/>
      <c r="AC365"/>
    </row>
    <row r="366" spans="1:29" x14ac:dyDescent="0.4">
      <c r="A366" s="43" t="s">
        <v>1953</v>
      </c>
      <c r="B366" s="44" t="s">
        <v>1260</v>
      </c>
      <c r="C366" s="41">
        <v>45852</v>
      </c>
      <c r="D366" s="45">
        <v>0.54913194444444446</v>
      </c>
      <c r="E366" s="44" t="s">
        <v>1954</v>
      </c>
      <c r="F366" s="44" t="s">
        <v>1955</v>
      </c>
      <c r="G366" s="44" t="s">
        <v>1263</v>
      </c>
      <c r="H366" s="44" t="s">
        <v>1264</v>
      </c>
      <c r="AB366"/>
      <c r="AC366"/>
    </row>
    <row r="367" spans="1:29" x14ac:dyDescent="0.4">
      <c r="A367" s="43" t="s">
        <v>2411</v>
      </c>
      <c r="B367" s="44" t="s">
        <v>1260</v>
      </c>
      <c r="C367" s="41">
        <v>46046</v>
      </c>
      <c r="D367" s="45">
        <v>0.70697916666666671</v>
      </c>
      <c r="E367" s="44" t="s">
        <v>2412</v>
      </c>
      <c r="F367" s="44" t="s">
        <v>2413</v>
      </c>
      <c r="G367" s="44" t="s">
        <v>1263</v>
      </c>
      <c r="H367" s="44" t="s">
        <v>1264</v>
      </c>
      <c r="AB367"/>
      <c r="AC367"/>
    </row>
    <row r="368" spans="1:29" x14ac:dyDescent="0.4">
      <c r="A368" s="43" t="s">
        <v>2689</v>
      </c>
      <c r="B368" s="44" t="s">
        <v>1260</v>
      </c>
      <c r="C368" s="41">
        <v>46141</v>
      </c>
      <c r="D368" s="45">
        <v>0.56640046296296298</v>
      </c>
      <c r="E368" s="44" t="s">
        <v>2690</v>
      </c>
      <c r="F368" s="44" t="s">
        <v>2691</v>
      </c>
      <c r="G368" s="44" t="s">
        <v>1324</v>
      </c>
      <c r="H368" s="44" t="s">
        <v>1403</v>
      </c>
      <c r="AB368"/>
      <c r="AC368"/>
    </row>
    <row r="369" spans="1:29" x14ac:dyDescent="0.4">
      <c r="A369" s="43" t="s">
        <v>15607</v>
      </c>
      <c r="B369" s="44" t="s">
        <v>1260</v>
      </c>
      <c r="C369" s="41">
        <v>46062</v>
      </c>
      <c r="D369" s="45">
        <v>0.43932870370370369</v>
      </c>
      <c r="E369" s="44" t="s">
        <v>1673</v>
      </c>
      <c r="F369" s="44" t="s">
        <v>1674</v>
      </c>
      <c r="G369" s="44" t="s">
        <v>1263</v>
      </c>
      <c r="H369" s="44" t="s">
        <v>1264</v>
      </c>
      <c r="AB369"/>
      <c r="AC369"/>
    </row>
    <row r="370" spans="1:29" x14ac:dyDescent="0.4">
      <c r="A370" s="46" t="s">
        <v>15608</v>
      </c>
      <c r="B370" s="47" t="s">
        <v>1260</v>
      </c>
      <c r="C370" s="41">
        <v>46042</v>
      </c>
      <c r="D370" s="45">
        <v>0.73166666666666658</v>
      </c>
      <c r="E370" s="47" t="s">
        <v>2220</v>
      </c>
      <c r="F370" s="47" t="s">
        <v>2221</v>
      </c>
      <c r="G370" s="47" t="s">
        <v>1263</v>
      </c>
      <c r="H370" s="47" t="s">
        <v>1264</v>
      </c>
      <c r="AB370"/>
      <c r="AC370"/>
    </row>
    <row r="371" spans="1:29" x14ac:dyDescent="0.4">
      <c r="A371" s="46" t="s">
        <v>15609</v>
      </c>
      <c r="B371" s="47" t="s">
        <v>1260</v>
      </c>
      <c r="C371" s="41">
        <v>46027</v>
      </c>
      <c r="D371" s="45">
        <v>0.6448842592592593</v>
      </c>
      <c r="E371" s="47" t="s">
        <v>1469</v>
      </c>
      <c r="F371" s="47" t="s">
        <v>1470</v>
      </c>
      <c r="G371" s="47" t="s">
        <v>1263</v>
      </c>
      <c r="H371" s="47" t="s">
        <v>1264</v>
      </c>
      <c r="AB371"/>
      <c r="AC371"/>
    </row>
    <row r="372" spans="1:29" x14ac:dyDescent="0.4">
      <c r="A372" s="43" t="s">
        <v>2270</v>
      </c>
      <c r="B372" s="44" t="s">
        <v>1260</v>
      </c>
      <c r="C372" s="41">
        <v>46223</v>
      </c>
      <c r="D372" s="45">
        <v>0.3901041666666667</v>
      </c>
      <c r="E372" s="44" t="s">
        <v>2271</v>
      </c>
      <c r="F372" s="44" t="s">
        <v>2272</v>
      </c>
      <c r="G372" s="44" t="s">
        <v>1263</v>
      </c>
      <c r="H372" s="44" t="s">
        <v>1264</v>
      </c>
      <c r="AB372"/>
      <c r="AC372"/>
    </row>
    <row r="373" spans="1:29" x14ac:dyDescent="0.4">
      <c r="A373" s="43" t="s">
        <v>1738</v>
      </c>
      <c r="B373" s="44" t="s">
        <v>1260</v>
      </c>
      <c r="C373" s="41">
        <v>46152</v>
      </c>
      <c r="D373" s="45">
        <v>0.94518518518518524</v>
      </c>
      <c r="E373" s="44" t="s">
        <v>1739</v>
      </c>
      <c r="F373" s="44" t="s">
        <v>1740</v>
      </c>
      <c r="G373" s="44" t="s">
        <v>1263</v>
      </c>
      <c r="H373" s="44" t="s">
        <v>1264</v>
      </c>
      <c r="AB373"/>
      <c r="AC373"/>
    </row>
    <row r="374" spans="1:29" x14ac:dyDescent="0.4">
      <c r="A374" s="43" t="s">
        <v>1482</v>
      </c>
      <c r="B374" s="44" t="s">
        <v>1260</v>
      </c>
      <c r="C374" s="41">
        <v>46058</v>
      </c>
      <c r="D374" s="45">
        <v>0.37310185185185185</v>
      </c>
      <c r="E374" s="44" t="s">
        <v>1483</v>
      </c>
      <c r="F374" s="44" t="s">
        <v>1484</v>
      </c>
      <c r="G374" s="44" t="s">
        <v>1263</v>
      </c>
      <c r="H374" s="44" t="s">
        <v>1264</v>
      </c>
      <c r="AB374"/>
      <c r="AC374"/>
    </row>
    <row r="375" spans="1:29" x14ac:dyDescent="0.4">
      <c r="A375" s="43" t="s">
        <v>1809</v>
      </c>
      <c r="B375" s="44" t="s">
        <v>1260</v>
      </c>
      <c r="C375" s="41">
        <v>46065</v>
      </c>
      <c r="D375" s="45">
        <v>0.39106481481481481</v>
      </c>
      <c r="E375" s="44" t="s">
        <v>1810</v>
      </c>
      <c r="F375" s="44" t="s">
        <v>1811</v>
      </c>
      <c r="G375" s="44" t="s">
        <v>1263</v>
      </c>
      <c r="H375" s="44" t="s">
        <v>1264</v>
      </c>
      <c r="AB375"/>
      <c r="AC375"/>
    </row>
    <row r="376" spans="1:29" x14ac:dyDescent="0.4">
      <c r="A376" s="43" t="s">
        <v>2347</v>
      </c>
      <c r="B376" s="44" t="s">
        <v>1260</v>
      </c>
      <c r="C376" s="41">
        <v>46134</v>
      </c>
      <c r="D376" s="45">
        <v>1.3391203703703704E-2</v>
      </c>
      <c r="E376" s="44" t="s">
        <v>2348</v>
      </c>
      <c r="F376" s="44" t="s">
        <v>2349</v>
      </c>
      <c r="G376" s="44" t="s">
        <v>1263</v>
      </c>
      <c r="H376" s="44" t="s">
        <v>1264</v>
      </c>
      <c r="AB376"/>
      <c r="AC376"/>
    </row>
    <row r="377" spans="1:29" x14ac:dyDescent="0.4">
      <c r="A377" s="46" t="s">
        <v>2750</v>
      </c>
      <c r="B377" s="47" t="s">
        <v>1260</v>
      </c>
      <c r="C377" s="41">
        <v>46101</v>
      </c>
      <c r="D377" s="45">
        <v>0.99657407407407417</v>
      </c>
      <c r="E377" s="47" t="s">
        <v>2238</v>
      </c>
      <c r="F377" s="47" t="s">
        <v>2239</v>
      </c>
      <c r="G377" s="47" t="s">
        <v>1275</v>
      </c>
      <c r="H377" s="47" t="s">
        <v>1264</v>
      </c>
      <c r="AB377"/>
      <c r="AC377"/>
    </row>
    <row r="378" spans="1:29" x14ac:dyDescent="0.4">
      <c r="A378" s="46" t="s">
        <v>15275</v>
      </c>
      <c r="B378" s="47" t="s">
        <v>1260</v>
      </c>
      <c r="C378" s="41">
        <v>46189</v>
      </c>
      <c r="D378" s="45">
        <v>0.58336805555555549</v>
      </c>
      <c r="E378" s="47" t="s">
        <v>2064</v>
      </c>
      <c r="F378" s="47" t="s">
        <v>2065</v>
      </c>
      <c r="G378" s="47" t="s">
        <v>1263</v>
      </c>
      <c r="H378" s="47" t="s">
        <v>1264</v>
      </c>
      <c r="AB378"/>
      <c r="AC378"/>
    </row>
    <row r="379" spans="1:29" x14ac:dyDescent="0.4">
      <c r="A379" s="43" t="s">
        <v>2294</v>
      </c>
      <c r="B379" s="44" t="s">
        <v>1260</v>
      </c>
      <c r="C379" s="41">
        <v>46074</v>
      </c>
      <c r="D379" s="45">
        <v>0.62689814814814815</v>
      </c>
      <c r="E379" s="44" t="s">
        <v>2295</v>
      </c>
      <c r="F379" s="44" t="s">
        <v>2296</v>
      </c>
      <c r="G379" s="44" t="s">
        <v>1263</v>
      </c>
      <c r="H379" s="44" t="s">
        <v>1264</v>
      </c>
      <c r="AB379"/>
      <c r="AC379"/>
    </row>
    <row r="380" spans="1:29" x14ac:dyDescent="0.4">
      <c r="A380" s="43" t="s">
        <v>2399</v>
      </c>
      <c r="B380" s="44" t="s">
        <v>1260</v>
      </c>
      <c r="C380" s="41">
        <v>45800</v>
      </c>
      <c r="D380" s="45">
        <v>0.67106481481481473</v>
      </c>
      <c r="E380" s="44" t="s">
        <v>2400</v>
      </c>
      <c r="F380" s="44" t="s">
        <v>2401</v>
      </c>
      <c r="G380" s="44" t="s">
        <v>1263</v>
      </c>
      <c r="H380" s="44" t="s">
        <v>1264</v>
      </c>
      <c r="AB380"/>
      <c r="AC380"/>
    </row>
    <row r="381" spans="1:29" x14ac:dyDescent="0.4">
      <c r="A381" s="43" t="s">
        <v>15610</v>
      </c>
      <c r="B381" s="44" t="s">
        <v>1260</v>
      </c>
      <c r="C381" s="41">
        <v>46109</v>
      </c>
      <c r="D381" s="45">
        <v>0.8986574074074074</v>
      </c>
      <c r="E381" s="44" t="s">
        <v>2655</v>
      </c>
      <c r="F381" s="44" t="s">
        <v>2656</v>
      </c>
      <c r="G381" s="44" t="s">
        <v>1263</v>
      </c>
      <c r="H381" s="44" t="s">
        <v>1264</v>
      </c>
      <c r="AB381"/>
      <c r="AC381"/>
    </row>
    <row r="382" spans="1:29" x14ac:dyDescent="0.4">
      <c r="A382" s="43" t="s">
        <v>1606</v>
      </c>
      <c r="B382" s="44" t="s">
        <v>1260</v>
      </c>
      <c r="C382" s="41">
        <v>46210</v>
      </c>
      <c r="D382" s="45">
        <v>0.4679976851851852</v>
      </c>
      <c r="E382" s="44" t="s">
        <v>1607</v>
      </c>
      <c r="F382" s="44" t="s">
        <v>1608</v>
      </c>
      <c r="G382" s="44" t="s">
        <v>1263</v>
      </c>
      <c r="H382" s="44" t="s">
        <v>1264</v>
      </c>
      <c r="AB382"/>
      <c r="AC382"/>
    </row>
    <row r="383" spans="1:29" x14ac:dyDescent="0.4">
      <c r="A383" s="46" t="s">
        <v>1980</v>
      </c>
      <c r="B383" s="47" t="s">
        <v>1260</v>
      </c>
      <c r="C383" s="41">
        <v>46157</v>
      </c>
      <c r="D383" s="45">
        <v>0.83746527777777768</v>
      </c>
      <c r="E383" s="47" t="s">
        <v>1981</v>
      </c>
      <c r="F383" s="47" t="s">
        <v>1982</v>
      </c>
      <c r="G383" s="47" t="s">
        <v>1263</v>
      </c>
      <c r="H383" s="47" t="s">
        <v>1264</v>
      </c>
      <c r="AB383"/>
      <c r="AC383"/>
    </row>
    <row r="384" spans="1:29" x14ac:dyDescent="0.4">
      <c r="A384" s="43" t="s">
        <v>15611</v>
      </c>
      <c r="B384" s="44" t="s">
        <v>1260</v>
      </c>
      <c r="C384" s="41">
        <v>46193</v>
      </c>
      <c r="D384" s="45">
        <v>0.67596064814814805</v>
      </c>
      <c r="E384" s="44" t="s">
        <v>2265</v>
      </c>
      <c r="F384" s="44" t="s">
        <v>2266</v>
      </c>
      <c r="G384" s="44" t="s">
        <v>1263</v>
      </c>
      <c r="H384" s="44" t="s">
        <v>1264</v>
      </c>
      <c r="AB384"/>
      <c r="AC384"/>
    </row>
    <row r="385" spans="1:29" x14ac:dyDescent="0.4">
      <c r="A385" s="46" t="s">
        <v>1292</v>
      </c>
      <c r="B385" s="47" t="s">
        <v>1260</v>
      </c>
      <c r="C385" s="41">
        <v>46174</v>
      </c>
      <c r="D385" s="45">
        <v>0.66046296296296292</v>
      </c>
      <c r="E385" s="47" t="s">
        <v>1293</v>
      </c>
      <c r="F385" s="47" t="s">
        <v>1294</v>
      </c>
      <c r="G385" s="47" t="s">
        <v>1263</v>
      </c>
      <c r="H385" s="47" t="s">
        <v>1264</v>
      </c>
      <c r="AB385"/>
      <c r="AC385"/>
    </row>
    <row r="386" spans="1:29" x14ac:dyDescent="0.4">
      <c r="A386" s="43" t="s">
        <v>1283</v>
      </c>
      <c r="B386" s="44" t="s">
        <v>1260</v>
      </c>
      <c r="C386" s="41">
        <v>46174</v>
      </c>
      <c r="D386" s="45">
        <v>0.57453703703703707</v>
      </c>
      <c r="E386" s="44" t="s">
        <v>1284</v>
      </c>
      <c r="F386" s="44" t="s">
        <v>1285</v>
      </c>
      <c r="G386" s="44" t="s">
        <v>1263</v>
      </c>
      <c r="H386" s="44" t="s">
        <v>1264</v>
      </c>
      <c r="AB386"/>
      <c r="AC386"/>
    </row>
    <row r="387" spans="1:29" x14ac:dyDescent="0.4">
      <c r="A387" s="43" t="s">
        <v>1553</v>
      </c>
      <c r="B387" s="44" t="s">
        <v>1260</v>
      </c>
      <c r="C387" s="41">
        <v>46148</v>
      </c>
      <c r="D387" s="45">
        <v>0.48626157407407411</v>
      </c>
      <c r="E387" s="44" t="s">
        <v>1554</v>
      </c>
      <c r="F387" s="44" t="s">
        <v>1555</v>
      </c>
      <c r="G387" s="44" t="s">
        <v>1263</v>
      </c>
      <c r="H387" s="44" t="s">
        <v>1264</v>
      </c>
      <c r="AB387"/>
      <c r="AC387"/>
    </row>
    <row r="388" spans="1:29" x14ac:dyDescent="0.4">
      <c r="A388" s="43" t="s">
        <v>1845</v>
      </c>
      <c r="B388" s="44" t="s">
        <v>1260</v>
      </c>
      <c r="C388" s="41">
        <v>46185</v>
      </c>
      <c r="D388" s="45">
        <v>0.6778819444444445</v>
      </c>
      <c r="E388" s="44" t="s">
        <v>1846</v>
      </c>
      <c r="F388" s="44" t="s">
        <v>1847</v>
      </c>
      <c r="G388" s="44" t="s">
        <v>1263</v>
      </c>
      <c r="H388" s="44" t="s">
        <v>1264</v>
      </c>
      <c r="AB388"/>
      <c r="AC388"/>
    </row>
    <row r="389" spans="1:29" x14ac:dyDescent="0.4">
      <c r="A389" s="46" t="s">
        <v>15612</v>
      </c>
      <c r="B389" s="47" t="s">
        <v>1260</v>
      </c>
      <c r="C389" s="41">
        <v>46198</v>
      </c>
      <c r="D389" s="45">
        <v>0.49523148148148149</v>
      </c>
      <c r="E389" s="47" t="s">
        <v>2497</v>
      </c>
      <c r="F389" s="47" t="s">
        <v>2498</v>
      </c>
      <c r="G389" s="47" t="s">
        <v>1263</v>
      </c>
      <c r="H389" s="47" t="s">
        <v>1264</v>
      </c>
      <c r="AB389"/>
      <c r="AC389"/>
    </row>
    <row r="390" spans="1:29" x14ac:dyDescent="0.4">
      <c r="A390" s="46" t="s">
        <v>1842</v>
      </c>
      <c r="B390" s="47" t="s">
        <v>1260</v>
      </c>
      <c r="C390" s="41">
        <v>46154</v>
      </c>
      <c r="D390" s="45">
        <v>0.47498842592592588</v>
      </c>
      <c r="E390" s="47" t="s">
        <v>1843</v>
      </c>
      <c r="F390" s="47" t="s">
        <v>1844</v>
      </c>
      <c r="G390" s="47" t="s">
        <v>1263</v>
      </c>
      <c r="H390" s="47" t="s">
        <v>1264</v>
      </c>
      <c r="AB390"/>
      <c r="AC390"/>
    </row>
    <row r="391" spans="1:29" x14ac:dyDescent="0.4">
      <c r="A391" s="43" t="s">
        <v>1351</v>
      </c>
      <c r="B391" s="44" t="s">
        <v>1260</v>
      </c>
      <c r="C391" s="41">
        <v>46205</v>
      </c>
      <c r="D391" s="45">
        <v>0.77519675925925924</v>
      </c>
      <c r="E391" s="44" t="s">
        <v>1352</v>
      </c>
      <c r="F391" s="44" t="s">
        <v>1353</v>
      </c>
      <c r="G391" s="44" t="s">
        <v>1263</v>
      </c>
      <c r="H391" s="44" t="s">
        <v>1264</v>
      </c>
      <c r="AB391"/>
      <c r="AC391"/>
    </row>
    <row r="392" spans="1:29" x14ac:dyDescent="0.4">
      <c r="A392" s="46" t="s">
        <v>2177</v>
      </c>
      <c r="B392" s="47" t="s">
        <v>1260</v>
      </c>
      <c r="C392" s="41">
        <v>45796</v>
      </c>
      <c r="D392" s="45">
        <v>0.55760416666666668</v>
      </c>
      <c r="E392" s="47" t="s">
        <v>2178</v>
      </c>
      <c r="F392" s="47" t="s">
        <v>2179</v>
      </c>
      <c r="G392" s="47" t="s">
        <v>1263</v>
      </c>
      <c r="H392" s="47" t="s">
        <v>1264</v>
      </c>
      <c r="AB392"/>
      <c r="AC392"/>
    </row>
    <row r="393" spans="1:29" x14ac:dyDescent="0.4">
      <c r="A393" s="46" t="s">
        <v>2645</v>
      </c>
      <c r="B393" s="47" t="s">
        <v>1260</v>
      </c>
      <c r="C393" s="41">
        <v>46050</v>
      </c>
      <c r="D393" s="45">
        <v>0.61623842592592593</v>
      </c>
      <c r="E393" s="47" t="s">
        <v>2646</v>
      </c>
      <c r="F393" s="47" t="s">
        <v>2647</v>
      </c>
      <c r="G393" s="47" t="s">
        <v>1263</v>
      </c>
      <c r="H393" s="47" t="s">
        <v>1264</v>
      </c>
      <c r="AB393"/>
      <c r="AC393"/>
    </row>
    <row r="394" spans="1:29" x14ac:dyDescent="0.4">
      <c r="A394" s="46" t="s">
        <v>1317</v>
      </c>
      <c r="B394" s="47" t="s">
        <v>1260</v>
      </c>
      <c r="C394" s="41">
        <v>46055</v>
      </c>
      <c r="D394" s="45">
        <v>0.96289351851851857</v>
      </c>
      <c r="E394" s="47" t="s">
        <v>1318</v>
      </c>
      <c r="F394" s="47" t="s">
        <v>1319</v>
      </c>
      <c r="G394" s="47" t="s">
        <v>1263</v>
      </c>
      <c r="H394" s="47" t="s">
        <v>1264</v>
      </c>
      <c r="AB394"/>
      <c r="AC394"/>
    </row>
    <row r="395" spans="1:29" x14ac:dyDescent="0.4">
      <c r="A395" s="46" t="s">
        <v>1992</v>
      </c>
      <c r="B395" s="47" t="s">
        <v>1260</v>
      </c>
      <c r="C395" s="41">
        <v>46218</v>
      </c>
      <c r="D395" s="45">
        <v>0.5496875</v>
      </c>
      <c r="E395" s="47" t="s">
        <v>1993</v>
      </c>
      <c r="F395" s="47" t="s">
        <v>1994</v>
      </c>
      <c r="G395" s="47" t="s">
        <v>1263</v>
      </c>
      <c r="H395" s="47" t="s">
        <v>1264</v>
      </c>
      <c r="AB395"/>
      <c r="AC395"/>
    </row>
    <row r="396" spans="1:29" x14ac:dyDescent="0.4">
      <c r="A396" s="43" t="s">
        <v>2751</v>
      </c>
      <c r="B396" s="44" t="s">
        <v>1260</v>
      </c>
      <c r="C396" s="41">
        <v>45999</v>
      </c>
      <c r="D396" s="45">
        <v>0.60276620370370371</v>
      </c>
      <c r="E396" s="44" t="s">
        <v>1661</v>
      </c>
      <c r="F396" s="44" t="s">
        <v>1662</v>
      </c>
      <c r="G396" s="44" t="s">
        <v>1263</v>
      </c>
      <c r="H396" s="44" t="s">
        <v>1264</v>
      </c>
      <c r="AB396"/>
      <c r="AC396"/>
    </row>
    <row r="397" spans="1:29" x14ac:dyDescent="0.4">
      <c r="A397" s="46" t="s">
        <v>1998</v>
      </c>
      <c r="B397" s="47" t="s">
        <v>1260</v>
      </c>
      <c r="C397" s="41">
        <v>45945</v>
      </c>
      <c r="D397" s="45">
        <v>0.75743055555555561</v>
      </c>
      <c r="E397" s="47" t="s">
        <v>1999</v>
      </c>
      <c r="F397" s="47" t="s">
        <v>2000</v>
      </c>
      <c r="G397" s="47" t="s">
        <v>1263</v>
      </c>
      <c r="H397" s="47" t="s">
        <v>1264</v>
      </c>
      <c r="AB397"/>
      <c r="AC397"/>
    </row>
    <row r="398" spans="1:29" x14ac:dyDescent="0.4">
      <c r="A398" s="46" t="s">
        <v>2603</v>
      </c>
      <c r="B398" s="47" t="s">
        <v>1260</v>
      </c>
      <c r="C398" s="41">
        <v>46108</v>
      </c>
      <c r="D398" s="45">
        <v>0.48780092592592594</v>
      </c>
      <c r="E398" s="47" t="s">
        <v>2604</v>
      </c>
      <c r="F398" s="47" t="s">
        <v>2605</v>
      </c>
      <c r="G398" s="47" t="s">
        <v>1263</v>
      </c>
      <c r="H398" s="47" t="s">
        <v>1264</v>
      </c>
      <c r="AB398"/>
      <c r="AC398"/>
    </row>
    <row r="399" spans="1:29" x14ac:dyDescent="0.4">
      <c r="A399" s="43" t="s">
        <v>15613</v>
      </c>
      <c r="B399" s="44" t="s">
        <v>1260</v>
      </c>
      <c r="C399" s="41">
        <v>46195</v>
      </c>
      <c r="D399" s="45">
        <v>0.56239583333333332</v>
      </c>
      <c r="E399" s="44" t="s">
        <v>2360</v>
      </c>
      <c r="F399" s="44" t="s">
        <v>2361</v>
      </c>
      <c r="G399" s="44" t="s">
        <v>1263</v>
      </c>
      <c r="H399" s="44" t="s">
        <v>1264</v>
      </c>
      <c r="AB399"/>
      <c r="AC399"/>
    </row>
    <row r="400" spans="1:29" x14ac:dyDescent="0.4">
      <c r="A400" s="46" t="s">
        <v>1371</v>
      </c>
      <c r="B400" s="47" t="s">
        <v>1260</v>
      </c>
      <c r="C400" s="41">
        <v>46084</v>
      </c>
      <c r="D400" s="45">
        <v>0.5121296296296296</v>
      </c>
      <c r="E400" s="47" t="s">
        <v>1372</v>
      </c>
      <c r="F400" s="47" t="s">
        <v>1373</v>
      </c>
      <c r="G400" s="47" t="s">
        <v>1263</v>
      </c>
      <c r="H400" s="47" t="s">
        <v>1264</v>
      </c>
      <c r="AB400"/>
      <c r="AC400"/>
    </row>
    <row r="401" spans="1:29" x14ac:dyDescent="0.4">
      <c r="A401" s="43" t="s">
        <v>1636</v>
      </c>
      <c r="B401" s="44" t="s">
        <v>1260</v>
      </c>
      <c r="C401" s="41">
        <v>46181</v>
      </c>
      <c r="D401" s="45">
        <v>0.34449074074074071</v>
      </c>
      <c r="E401" s="44" t="s">
        <v>1637</v>
      </c>
      <c r="F401" s="44" t="s">
        <v>1638</v>
      </c>
      <c r="G401" s="44" t="s">
        <v>1279</v>
      </c>
      <c r="H401" s="44" t="s">
        <v>1264</v>
      </c>
      <c r="AB401"/>
      <c r="AC401"/>
    </row>
    <row r="402" spans="1:29" x14ac:dyDescent="0.4">
      <c r="A402" s="46" t="s">
        <v>1681</v>
      </c>
      <c r="B402" s="47" t="s">
        <v>1260</v>
      </c>
      <c r="C402" s="41">
        <v>46090</v>
      </c>
      <c r="D402" s="45">
        <v>0.35730324074074077</v>
      </c>
      <c r="E402" s="47" t="s">
        <v>1682</v>
      </c>
      <c r="F402" s="47" t="s">
        <v>1683</v>
      </c>
      <c r="G402" s="47" t="s">
        <v>1263</v>
      </c>
      <c r="H402" s="47" t="s">
        <v>1264</v>
      </c>
      <c r="AB402"/>
      <c r="AC402"/>
    </row>
    <row r="403" spans="1:29" x14ac:dyDescent="0.4">
      <c r="A403" s="43" t="s">
        <v>1295</v>
      </c>
      <c r="B403" s="44" t="s">
        <v>1260</v>
      </c>
      <c r="C403" s="41">
        <v>46174</v>
      </c>
      <c r="D403" s="45">
        <v>0.45789351851851851</v>
      </c>
      <c r="E403" s="44" t="s">
        <v>1296</v>
      </c>
      <c r="F403" s="44" t="s">
        <v>1297</v>
      </c>
      <c r="G403" s="44" t="s">
        <v>1263</v>
      </c>
      <c r="H403" s="44" t="s">
        <v>1264</v>
      </c>
      <c r="AB403"/>
      <c r="AC403"/>
    </row>
    <row r="404" spans="1:29" x14ac:dyDescent="0.4">
      <c r="A404" s="46" t="s">
        <v>15614</v>
      </c>
      <c r="B404" s="47" t="s">
        <v>1260</v>
      </c>
      <c r="C404" s="41">
        <v>46108</v>
      </c>
      <c r="D404" s="45">
        <v>0.38689814814814816</v>
      </c>
      <c r="E404" s="47" t="s">
        <v>2610</v>
      </c>
      <c r="F404" s="47" t="s">
        <v>2611</v>
      </c>
      <c r="G404" s="47" t="s">
        <v>1279</v>
      </c>
      <c r="H404" s="47" t="s">
        <v>1264</v>
      </c>
      <c r="AB404"/>
      <c r="AC404"/>
    </row>
    <row r="405" spans="1:29" x14ac:dyDescent="0.4">
      <c r="A405" s="43" t="s">
        <v>15615</v>
      </c>
      <c r="B405" s="44" t="s">
        <v>1260</v>
      </c>
      <c r="C405" s="41">
        <v>46220</v>
      </c>
      <c r="D405" s="45">
        <v>0.85851851851851846</v>
      </c>
      <c r="E405" s="44" t="s">
        <v>2109</v>
      </c>
      <c r="F405" s="44" t="s">
        <v>2110</v>
      </c>
      <c r="G405" s="44" t="s">
        <v>1263</v>
      </c>
      <c r="H405" s="44" t="s">
        <v>1264</v>
      </c>
      <c r="AB405"/>
      <c r="AC405"/>
    </row>
    <row r="406" spans="1:29" x14ac:dyDescent="0.4">
      <c r="A406" s="46" t="s">
        <v>1693</v>
      </c>
      <c r="B406" s="47" t="s">
        <v>1260</v>
      </c>
      <c r="C406" s="41">
        <v>46121</v>
      </c>
      <c r="D406" s="45">
        <v>0.55974537037037042</v>
      </c>
      <c r="E406" s="47" t="s">
        <v>1694</v>
      </c>
      <c r="F406" s="47" t="s">
        <v>1695</v>
      </c>
      <c r="G406" s="47" t="s">
        <v>1324</v>
      </c>
      <c r="H406" s="47" t="s">
        <v>1403</v>
      </c>
      <c r="AB406"/>
      <c r="AC406"/>
    </row>
    <row r="407" spans="1:29" x14ac:dyDescent="0.4">
      <c r="A407" s="46" t="s">
        <v>2467</v>
      </c>
      <c r="B407" s="47" t="s">
        <v>1260</v>
      </c>
      <c r="C407" s="41">
        <v>46078</v>
      </c>
      <c r="D407" s="45">
        <v>0.55273148148148155</v>
      </c>
      <c r="E407" s="47" t="s">
        <v>2468</v>
      </c>
      <c r="F407" s="47" t="s">
        <v>2469</v>
      </c>
      <c r="G407" s="47" t="s">
        <v>1263</v>
      </c>
      <c r="H407" s="47" t="s">
        <v>1264</v>
      </c>
      <c r="AB407"/>
      <c r="AC407"/>
    </row>
    <row r="408" spans="1:29" x14ac:dyDescent="0.4">
      <c r="A408" s="43" t="s">
        <v>1471</v>
      </c>
      <c r="B408" s="44" t="s">
        <v>1260</v>
      </c>
      <c r="C408" s="41">
        <v>46027</v>
      </c>
      <c r="D408" s="45">
        <v>0.42625000000000002</v>
      </c>
      <c r="E408" s="44" t="s">
        <v>1472</v>
      </c>
      <c r="F408" s="44" t="s">
        <v>1473</v>
      </c>
      <c r="G408" s="44" t="s">
        <v>1263</v>
      </c>
      <c r="H408" s="44" t="s">
        <v>1264</v>
      </c>
      <c r="AB408"/>
      <c r="AC408"/>
    </row>
    <row r="409" spans="1:29" x14ac:dyDescent="0.4">
      <c r="A409" s="43" t="s">
        <v>2660</v>
      </c>
      <c r="B409" s="44" t="s">
        <v>1260</v>
      </c>
      <c r="C409" s="41">
        <v>46140</v>
      </c>
      <c r="D409" s="45">
        <v>0.63024305555555549</v>
      </c>
      <c r="E409" s="44" t="s">
        <v>2661</v>
      </c>
      <c r="F409" s="44" t="s">
        <v>2662</v>
      </c>
      <c r="G409" s="44" t="s">
        <v>1324</v>
      </c>
      <c r="H409" s="44" t="s">
        <v>1422</v>
      </c>
      <c r="AB409"/>
      <c r="AC409"/>
    </row>
    <row r="410" spans="1:29" x14ac:dyDescent="0.4">
      <c r="A410" s="43" t="s">
        <v>1941</v>
      </c>
      <c r="B410" s="44" t="s">
        <v>1260</v>
      </c>
      <c r="C410" s="41">
        <v>45730</v>
      </c>
      <c r="D410" s="45">
        <v>0.49675925925925929</v>
      </c>
      <c r="E410" s="44" t="s">
        <v>1942</v>
      </c>
      <c r="F410" s="44" t="s">
        <v>1943</v>
      </c>
      <c r="G410" s="44" t="s">
        <v>1316</v>
      </c>
      <c r="H410" s="44" t="s">
        <v>1264</v>
      </c>
      <c r="AB410"/>
      <c r="AC410"/>
    </row>
    <row r="411" spans="1:29" x14ac:dyDescent="0.4">
      <c r="A411" s="43" t="s">
        <v>1428</v>
      </c>
      <c r="B411" s="44" t="s">
        <v>1260</v>
      </c>
      <c r="C411" s="41">
        <v>45933</v>
      </c>
      <c r="D411" s="45">
        <v>0.44261574074074073</v>
      </c>
      <c r="E411" s="44" t="s">
        <v>1429</v>
      </c>
      <c r="F411" s="44" t="s">
        <v>1430</v>
      </c>
      <c r="G411" s="44" t="s">
        <v>1263</v>
      </c>
      <c r="H411" s="44" t="s">
        <v>1264</v>
      </c>
      <c r="AB411"/>
      <c r="AC411"/>
    </row>
    <row r="412" spans="1:29" x14ac:dyDescent="0.4">
      <c r="A412" s="43" t="s">
        <v>1517</v>
      </c>
      <c r="B412" s="44" t="s">
        <v>1260</v>
      </c>
      <c r="C412" s="41">
        <v>46178</v>
      </c>
      <c r="D412" s="45">
        <v>0.43003472222222222</v>
      </c>
      <c r="E412" s="44" t="s">
        <v>1518</v>
      </c>
      <c r="F412" s="44" t="s">
        <v>1519</v>
      </c>
      <c r="G412" s="44" t="s">
        <v>1263</v>
      </c>
      <c r="H412" s="44" t="s">
        <v>1264</v>
      </c>
      <c r="AB412"/>
      <c r="AC412"/>
    </row>
    <row r="413" spans="1:29" x14ac:dyDescent="0.4">
      <c r="A413" s="43" t="s">
        <v>2695</v>
      </c>
      <c r="B413" s="44" t="s">
        <v>1260</v>
      </c>
      <c r="C413" s="41">
        <v>46141</v>
      </c>
      <c r="D413" s="45">
        <v>0.56756944444444446</v>
      </c>
      <c r="E413" s="44" t="s">
        <v>2696</v>
      </c>
      <c r="F413" s="44" t="s">
        <v>2697</v>
      </c>
      <c r="G413" s="44" t="s">
        <v>1335</v>
      </c>
      <c r="H413" s="44" t="s">
        <v>1264</v>
      </c>
      <c r="AB413"/>
      <c r="AC413"/>
    </row>
    <row r="414" spans="1:29" x14ac:dyDescent="0.4">
      <c r="A414" s="46" t="s">
        <v>15626</v>
      </c>
      <c r="B414" s="47" t="s">
        <v>1260</v>
      </c>
      <c r="C414" s="41">
        <v>46205</v>
      </c>
      <c r="D414" s="45">
        <v>4.5856481481481477E-2</v>
      </c>
      <c r="E414" s="47" t="s">
        <v>1356</v>
      </c>
      <c r="F414" s="47" t="s">
        <v>1357</v>
      </c>
      <c r="G414" s="47" t="s">
        <v>1263</v>
      </c>
      <c r="H414" s="47" t="s">
        <v>1264</v>
      </c>
      <c r="AB414"/>
      <c r="AC414"/>
    </row>
    <row r="415" spans="1:29" x14ac:dyDescent="0.4">
      <c r="A415" s="43" t="s">
        <v>15276</v>
      </c>
      <c r="B415" s="44" t="s">
        <v>1260</v>
      </c>
      <c r="C415" s="41">
        <v>46028</v>
      </c>
      <c r="D415" s="45">
        <v>0.69569444444444439</v>
      </c>
      <c r="E415" s="44" t="s">
        <v>1530</v>
      </c>
      <c r="F415" s="44" t="s">
        <v>1531</v>
      </c>
      <c r="G415" s="44" t="s">
        <v>1279</v>
      </c>
      <c r="H415" s="44" t="s">
        <v>1264</v>
      </c>
      <c r="AB415"/>
      <c r="AC415"/>
    </row>
    <row r="416" spans="1:29" x14ac:dyDescent="0.4">
      <c r="A416" s="46" t="s">
        <v>713</v>
      </c>
      <c r="B416" s="47" t="s">
        <v>1260</v>
      </c>
      <c r="C416" s="41">
        <v>46049</v>
      </c>
      <c r="D416" s="45">
        <v>0.6929050925925927</v>
      </c>
      <c r="E416" s="47" t="s">
        <v>2586</v>
      </c>
      <c r="F416" s="47" t="s">
        <v>2587</v>
      </c>
      <c r="G416" s="47" t="s">
        <v>1335</v>
      </c>
      <c r="H416" s="47" t="s">
        <v>1399</v>
      </c>
      <c r="AB416"/>
      <c r="AC416"/>
    </row>
    <row r="417" spans="1:29" x14ac:dyDescent="0.4">
      <c r="A417" s="43" t="s">
        <v>2583</v>
      </c>
      <c r="B417" s="44" t="s">
        <v>1260</v>
      </c>
      <c r="C417" s="41">
        <v>46049</v>
      </c>
      <c r="D417" s="45">
        <v>0.487337962962963</v>
      </c>
      <c r="E417" s="44" t="s">
        <v>2584</v>
      </c>
      <c r="F417" s="44" t="s">
        <v>2585</v>
      </c>
      <c r="G417" s="44" t="s">
        <v>1263</v>
      </c>
      <c r="H417" s="44" t="s">
        <v>1264</v>
      </c>
      <c r="AB417"/>
      <c r="AC417"/>
    </row>
    <row r="418" spans="1:29" x14ac:dyDescent="0.4">
      <c r="A418" s="43" t="s">
        <v>2618</v>
      </c>
      <c r="B418" s="44" t="s">
        <v>1260</v>
      </c>
      <c r="C418" s="41">
        <v>46169</v>
      </c>
      <c r="D418" s="45">
        <v>0.50695601851851857</v>
      </c>
      <c r="E418" s="44" t="s">
        <v>2619</v>
      </c>
      <c r="F418" s="44" t="s">
        <v>2620</v>
      </c>
      <c r="G418" s="44" t="s">
        <v>1263</v>
      </c>
      <c r="H418" s="44" t="s">
        <v>1264</v>
      </c>
      <c r="AB418"/>
      <c r="AC418"/>
    </row>
    <row r="419" spans="1:29" x14ac:dyDescent="0.4">
      <c r="A419" s="43" t="s">
        <v>2441</v>
      </c>
      <c r="B419" s="44" t="s">
        <v>1260</v>
      </c>
      <c r="C419" s="41">
        <v>46136</v>
      </c>
      <c r="D419" s="45">
        <v>0.49945601851851856</v>
      </c>
      <c r="E419" s="44" t="s">
        <v>2442</v>
      </c>
      <c r="F419" s="44" t="s">
        <v>2443</v>
      </c>
      <c r="G419" s="44" t="s">
        <v>1263</v>
      </c>
      <c r="H419" s="44" t="s">
        <v>1264</v>
      </c>
      <c r="AB419"/>
      <c r="AC419"/>
    </row>
    <row r="420" spans="1:29" x14ac:dyDescent="0.4">
      <c r="A420" s="43" t="s">
        <v>2535</v>
      </c>
      <c r="B420" s="44" t="s">
        <v>1260</v>
      </c>
      <c r="C420" s="41">
        <v>46079</v>
      </c>
      <c r="D420" s="45">
        <v>0.4437962962962963</v>
      </c>
      <c r="E420" s="44" t="s">
        <v>2536</v>
      </c>
      <c r="F420" s="44" t="s">
        <v>2537</v>
      </c>
      <c r="G420" s="44" t="s">
        <v>1263</v>
      </c>
      <c r="H420" s="44" t="s">
        <v>1264</v>
      </c>
      <c r="AB420"/>
      <c r="AC420"/>
    </row>
    <row r="421" spans="1:29" x14ac:dyDescent="0.4">
      <c r="A421" s="46" t="s">
        <v>2201</v>
      </c>
      <c r="B421" s="47" t="s">
        <v>1260</v>
      </c>
      <c r="C421" s="41">
        <v>45888</v>
      </c>
      <c r="D421" s="45">
        <v>0.62123842592592593</v>
      </c>
      <c r="E421" s="47" t="s">
        <v>2202</v>
      </c>
      <c r="F421" s="47" t="s">
        <v>2203</v>
      </c>
      <c r="G421" s="47" t="s">
        <v>1279</v>
      </c>
      <c r="H421" s="47" t="s">
        <v>1264</v>
      </c>
      <c r="AB421"/>
      <c r="AC421"/>
    </row>
    <row r="422" spans="1:29" x14ac:dyDescent="0.4">
      <c r="A422" s="46" t="s">
        <v>1562</v>
      </c>
      <c r="B422" s="47" t="s">
        <v>1260</v>
      </c>
      <c r="C422" s="41">
        <v>46029</v>
      </c>
      <c r="D422" s="45">
        <v>0.75328703703703714</v>
      </c>
      <c r="E422" s="47" t="s">
        <v>1563</v>
      </c>
      <c r="F422" s="47" t="s">
        <v>1564</v>
      </c>
      <c r="G422" s="47" t="s">
        <v>1279</v>
      </c>
      <c r="H422" s="47" t="s">
        <v>1264</v>
      </c>
      <c r="AB422"/>
      <c r="AC422"/>
    </row>
    <row r="423" spans="1:29" x14ac:dyDescent="0.4">
      <c r="A423" s="43" t="s">
        <v>1523</v>
      </c>
      <c r="B423" s="44" t="s">
        <v>1260</v>
      </c>
      <c r="C423" s="41">
        <v>46028</v>
      </c>
      <c r="D423" s="45">
        <v>0.47287037037037033</v>
      </c>
      <c r="E423" s="44" t="s">
        <v>1524</v>
      </c>
      <c r="F423" s="44" t="s">
        <v>1525</v>
      </c>
      <c r="G423" s="44" t="s">
        <v>1263</v>
      </c>
      <c r="H423" s="44" t="s">
        <v>1264</v>
      </c>
      <c r="AB423"/>
      <c r="AC423"/>
    </row>
    <row r="424" spans="1:29" x14ac:dyDescent="0.4">
      <c r="A424" s="43" t="s">
        <v>2090</v>
      </c>
      <c r="B424" s="44" t="s">
        <v>1260</v>
      </c>
      <c r="C424" s="41">
        <v>46070</v>
      </c>
      <c r="D424" s="45">
        <v>0.66401620370370373</v>
      </c>
      <c r="E424" s="44" t="s">
        <v>2091</v>
      </c>
      <c r="F424" s="44" t="s">
        <v>2092</v>
      </c>
      <c r="G424" s="44" t="s">
        <v>1275</v>
      </c>
      <c r="H424" s="44" t="s">
        <v>1264</v>
      </c>
      <c r="AB424"/>
      <c r="AC424"/>
    </row>
    <row r="425" spans="1:29" x14ac:dyDescent="0.4">
      <c r="A425" s="46" t="s">
        <v>15616</v>
      </c>
      <c r="B425" s="47" t="s">
        <v>1260</v>
      </c>
      <c r="C425" s="41">
        <v>46155</v>
      </c>
      <c r="D425" s="45">
        <v>0.61255787037037035</v>
      </c>
      <c r="E425" s="47" t="s">
        <v>1903</v>
      </c>
      <c r="F425" s="47" t="s">
        <v>1904</v>
      </c>
      <c r="G425" s="47" t="s">
        <v>1263</v>
      </c>
      <c r="H425" s="47" t="s">
        <v>1264</v>
      </c>
      <c r="AB425"/>
      <c r="AC425"/>
    </row>
    <row r="426" spans="1:29" x14ac:dyDescent="0.4">
      <c r="A426" s="43" t="s">
        <v>2388</v>
      </c>
      <c r="B426" s="44" t="s">
        <v>1260</v>
      </c>
      <c r="C426" s="41">
        <v>46104</v>
      </c>
      <c r="D426" s="45">
        <v>0.66652777777777772</v>
      </c>
      <c r="E426" s="44" t="s">
        <v>2389</v>
      </c>
      <c r="F426" s="44" t="s">
        <v>2390</v>
      </c>
      <c r="G426" s="44" t="s">
        <v>1279</v>
      </c>
      <c r="H426" s="44" t="s">
        <v>1264</v>
      </c>
      <c r="AB426"/>
      <c r="AC426"/>
    </row>
    <row r="427" spans="1:29" x14ac:dyDescent="0.4">
      <c r="A427" s="43" t="s">
        <v>1708</v>
      </c>
      <c r="B427" s="44" t="s">
        <v>1260</v>
      </c>
      <c r="C427" s="41">
        <v>46212</v>
      </c>
      <c r="D427" s="45">
        <v>0.59931712962962969</v>
      </c>
      <c r="E427" s="44" t="s">
        <v>1709</v>
      </c>
      <c r="F427" s="44" t="s">
        <v>1710</v>
      </c>
      <c r="G427" s="44" t="s">
        <v>1263</v>
      </c>
      <c r="H427" s="44" t="s">
        <v>1264</v>
      </c>
      <c r="AB427"/>
      <c r="AC427"/>
    </row>
    <row r="428" spans="1:29" x14ac:dyDescent="0.4">
      <c r="A428" s="46" t="s">
        <v>2046</v>
      </c>
      <c r="B428" s="47" t="s">
        <v>1260</v>
      </c>
      <c r="C428" s="41">
        <v>46097</v>
      </c>
      <c r="D428" s="45">
        <v>0.49634259259259261</v>
      </c>
      <c r="E428" s="47" t="s">
        <v>2047</v>
      </c>
      <c r="F428" s="47" t="s">
        <v>2048</v>
      </c>
      <c r="G428" s="47" t="s">
        <v>1263</v>
      </c>
      <c r="H428" s="47" t="s">
        <v>1264</v>
      </c>
      <c r="AB428"/>
      <c r="AC428"/>
    </row>
    <row r="429" spans="1:29" x14ac:dyDescent="0.4">
      <c r="A429" s="43" t="s">
        <v>15617</v>
      </c>
      <c r="B429" s="44" t="s">
        <v>1260</v>
      </c>
      <c r="C429" s="41">
        <v>46162</v>
      </c>
      <c r="D429" s="45">
        <v>0.44395833333333329</v>
      </c>
      <c r="E429" s="44" t="s">
        <v>2259</v>
      </c>
      <c r="F429" s="44" t="s">
        <v>2260</v>
      </c>
      <c r="G429" s="44" t="s">
        <v>1279</v>
      </c>
      <c r="H429" s="44" t="s">
        <v>1264</v>
      </c>
      <c r="AB429"/>
      <c r="AC429"/>
    </row>
    <row r="430" spans="1:29" x14ac:dyDescent="0.4">
      <c r="A430" s="46" t="s">
        <v>15618</v>
      </c>
      <c r="B430" s="47" t="s">
        <v>1260</v>
      </c>
      <c r="C430" s="41">
        <v>46078</v>
      </c>
      <c r="D430" s="45">
        <v>0.56481481481481477</v>
      </c>
      <c r="E430" s="47" t="s">
        <v>2474</v>
      </c>
      <c r="F430" s="47" t="s">
        <v>2475</v>
      </c>
      <c r="G430" s="47" t="s">
        <v>1263</v>
      </c>
      <c r="H430" s="47" t="s">
        <v>1264</v>
      </c>
      <c r="AB430"/>
      <c r="AC430"/>
    </row>
    <row r="431" spans="1:29" x14ac:dyDescent="0.4">
      <c r="A431" s="46" t="s">
        <v>1331</v>
      </c>
      <c r="B431" s="47" t="s">
        <v>1260</v>
      </c>
      <c r="C431" s="41">
        <v>46144</v>
      </c>
      <c r="D431" s="45">
        <v>0.44145833333333334</v>
      </c>
      <c r="E431" s="47" t="s">
        <v>1332</v>
      </c>
      <c r="F431" s="47" t="s">
        <v>1333</v>
      </c>
      <c r="G431" s="47" t="s">
        <v>1324</v>
      </c>
      <c r="H431" s="47" t="s">
        <v>1334</v>
      </c>
      <c r="AB431"/>
      <c r="AC431"/>
    </row>
    <row r="432" spans="1:29" x14ac:dyDescent="0.4">
      <c r="A432" s="43" t="s">
        <v>1488</v>
      </c>
      <c r="B432" s="44" t="s">
        <v>1260</v>
      </c>
      <c r="C432" s="41">
        <v>46058</v>
      </c>
      <c r="D432" s="45">
        <v>0.5647106481481482</v>
      </c>
      <c r="E432" s="44" t="s">
        <v>1489</v>
      </c>
      <c r="F432" s="44" t="s">
        <v>1490</v>
      </c>
      <c r="G432" s="44" t="s">
        <v>1324</v>
      </c>
      <c r="H432" s="44" t="s">
        <v>1334</v>
      </c>
      <c r="AB432"/>
      <c r="AC432"/>
    </row>
    <row r="433" spans="1:29" x14ac:dyDescent="0.4">
      <c r="A433" s="46" t="s">
        <v>1783</v>
      </c>
      <c r="B433" s="47" t="s">
        <v>1260</v>
      </c>
      <c r="C433" s="41">
        <v>45819</v>
      </c>
      <c r="D433" s="45">
        <v>0.65938657407407408</v>
      </c>
      <c r="E433" s="47" t="s">
        <v>1784</v>
      </c>
      <c r="F433" s="47" t="s">
        <v>1785</v>
      </c>
      <c r="G433" s="47" t="s">
        <v>1263</v>
      </c>
      <c r="H433" s="47" t="s">
        <v>1264</v>
      </c>
      <c r="AB433"/>
      <c r="AC433"/>
    </row>
    <row r="434" spans="1:29" x14ac:dyDescent="0.4">
      <c r="A434" s="43" t="s">
        <v>1935</v>
      </c>
      <c r="B434" s="44" t="s">
        <v>1260</v>
      </c>
      <c r="C434" s="41">
        <v>46036</v>
      </c>
      <c r="D434" s="45">
        <v>0.38769675925925928</v>
      </c>
      <c r="E434" s="44" t="s">
        <v>1936</v>
      </c>
      <c r="F434" s="44" t="s">
        <v>1937</v>
      </c>
      <c r="G434" s="44" t="s">
        <v>1335</v>
      </c>
      <c r="H434" s="44" t="s">
        <v>1264</v>
      </c>
      <c r="AB434"/>
      <c r="AC434"/>
    </row>
    <row r="435" spans="1:29" x14ac:dyDescent="0.4">
      <c r="A435" s="43" t="s">
        <v>1547</v>
      </c>
      <c r="B435" s="44" t="s">
        <v>1260</v>
      </c>
      <c r="C435" s="41">
        <v>46148</v>
      </c>
      <c r="D435" s="45">
        <v>0.78173611111111108</v>
      </c>
      <c r="E435" s="44" t="s">
        <v>1548</v>
      </c>
      <c r="F435" s="44" t="s">
        <v>1549</v>
      </c>
      <c r="G435" s="44" t="s">
        <v>1263</v>
      </c>
      <c r="H435" s="44" t="s">
        <v>1264</v>
      </c>
      <c r="AB435"/>
      <c r="AC435"/>
    </row>
    <row r="436" spans="1:29" x14ac:dyDescent="0.4">
      <c r="A436" s="43" t="s">
        <v>2162</v>
      </c>
      <c r="B436" s="44" t="s">
        <v>1260</v>
      </c>
      <c r="C436" s="41">
        <v>46072</v>
      </c>
      <c r="D436" s="45">
        <v>0.58570601851851845</v>
      </c>
      <c r="E436" s="44" t="s">
        <v>2163</v>
      </c>
      <c r="F436" s="44" t="s">
        <v>2164</v>
      </c>
      <c r="G436" s="44" t="s">
        <v>1263</v>
      </c>
      <c r="H436" s="44" t="s">
        <v>1264</v>
      </c>
      <c r="AB436"/>
      <c r="AC436"/>
    </row>
    <row r="437" spans="1:29" x14ac:dyDescent="0.4">
      <c r="A437" s="43" t="s">
        <v>1559</v>
      </c>
      <c r="B437" s="44" t="s">
        <v>1260</v>
      </c>
      <c r="C437" s="41">
        <v>46209</v>
      </c>
      <c r="D437" s="45">
        <v>0.53511574074074075</v>
      </c>
      <c r="E437" s="44" t="s">
        <v>1560</v>
      </c>
      <c r="F437" s="44" t="s">
        <v>1561</v>
      </c>
      <c r="G437" s="44" t="s">
        <v>1263</v>
      </c>
      <c r="H437" s="44" t="s">
        <v>1264</v>
      </c>
      <c r="AB437"/>
      <c r="AC437"/>
    </row>
    <row r="438" spans="1:29" x14ac:dyDescent="0.4">
      <c r="A438" s="46" t="s">
        <v>1574</v>
      </c>
      <c r="B438" s="47" t="s">
        <v>1260</v>
      </c>
      <c r="C438" s="41">
        <v>46060</v>
      </c>
      <c r="D438" s="45">
        <v>0.3868287037037037</v>
      </c>
      <c r="E438" s="47" t="s">
        <v>1575</v>
      </c>
      <c r="F438" s="47" t="s">
        <v>1576</v>
      </c>
      <c r="G438" s="47" t="s">
        <v>1263</v>
      </c>
      <c r="H438" s="47" t="s">
        <v>1264</v>
      </c>
      <c r="AB438"/>
      <c r="AC438"/>
    </row>
    <row r="439" spans="1:29" x14ac:dyDescent="0.4">
      <c r="A439" s="43" t="s">
        <v>2559</v>
      </c>
      <c r="B439" s="44" t="s">
        <v>1260</v>
      </c>
      <c r="C439" s="41">
        <v>46168</v>
      </c>
      <c r="D439" s="45">
        <v>0.43134259259259261</v>
      </c>
      <c r="E439" s="44" t="s">
        <v>2560</v>
      </c>
      <c r="F439" s="44" t="s">
        <v>2561</v>
      </c>
      <c r="G439" s="44" t="s">
        <v>1263</v>
      </c>
      <c r="H439" s="44" t="s">
        <v>1264</v>
      </c>
      <c r="AB439"/>
      <c r="AC439"/>
    </row>
    <row r="440" spans="1:29" x14ac:dyDescent="0.4">
      <c r="A440" s="46" t="s">
        <v>2159</v>
      </c>
      <c r="B440" s="47" t="s">
        <v>1260</v>
      </c>
      <c r="C440" s="41">
        <v>46072</v>
      </c>
      <c r="D440" s="45">
        <v>0.4354513888888889</v>
      </c>
      <c r="E440" s="47" t="s">
        <v>2160</v>
      </c>
      <c r="F440" s="47" t="s">
        <v>2161</v>
      </c>
      <c r="G440" s="47" t="s">
        <v>1324</v>
      </c>
      <c r="H440" s="47" t="s">
        <v>1379</v>
      </c>
      <c r="AB440"/>
      <c r="AC440"/>
    </row>
    <row r="441" spans="1:29" x14ac:dyDescent="0.4">
      <c r="A441" s="46" t="s">
        <v>1729</v>
      </c>
      <c r="B441" s="47" t="s">
        <v>1260</v>
      </c>
      <c r="C441" s="41">
        <v>46063</v>
      </c>
      <c r="D441" s="45">
        <v>0.50011574074074072</v>
      </c>
      <c r="E441" s="47" t="s">
        <v>1730</v>
      </c>
      <c r="F441" s="47" t="s">
        <v>1731</v>
      </c>
      <c r="G441" s="47" t="s">
        <v>1279</v>
      </c>
      <c r="H441" s="47" t="s">
        <v>1264</v>
      </c>
      <c r="AB441"/>
      <c r="AC441"/>
    </row>
    <row r="442" spans="1:29" x14ac:dyDescent="0.4">
      <c r="A442" s="43" t="s">
        <v>2192</v>
      </c>
      <c r="B442" s="44" t="s">
        <v>1260</v>
      </c>
      <c r="C442" s="41">
        <v>46161</v>
      </c>
      <c r="D442" s="45">
        <v>0.63906249999999998</v>
      </c>
      <c r="E442" s="44" t="s">
        <v>2193</v>
      </c>
      <c r="F442" s="44" t="s">
        <v>2194</v>
      </c>
      <c r="G442" s="44" t="s">
        <v>1263</v>
      </c>
      <c r="H442" s="44" t="s">
        <v>1264</v>
      </c>
      <c r="AB442"/>
      <c r="AC442"/>
    </row>
    <row r="443" spans="1:29" x14ac:dyDescent="0.4">
      <c r="A443" s="43" t="s">
        <v>2144</v>
      </c>
      <c r="B443" s="44" t="s">
        <v>1260</v>
      </c>
      <c r="C443" s="41">
        <v>45856</v>
      </c>
      <c r="D443" s="45">
        <v>0.95818287037037031</v>
      </c>
      <c r="E443" s="44" t="s">
        <v>2145</v>
      </c>
      <c r="F443" s="44" t="s">
        <v>2146</v>
      </c>
      <c r="G443" s="44" t="s">
        <v>1263</v>
      </c>
      <c r="H443" s="44" t="s">
        <v>1264</v>
      </c>
      <c r="AB443"/>
      <c r="AC443"/>
    </row>
    <row r="444" spans="1:29" x14ac:dyDescent="0.4">
      <c r="A444" s="46" t="s">
        <v>2332</v>
      </c>
      <c r="B444" s="47" t="s">
        <v>1260</v>
      </c>
      <c r="C444" s="41">
        <v>46044</v>
      </c>
      <c r="D444" s="45">
        <v>0.63365740740740739</v>
      </c>
      <c r="E444" s="47" t="s">
        <v>2333</v>
      </c>
      <c r="F444" s="47" t="s">
        <v>2334</v>
      </c>
      <c r="G444" s="47" t="s">
        <v>1263</v>
      </c>
      <c r="H444" s="47" t="s">
        <v>1264</v>
      </c>
      <c r="AB444"/>
      <c r="AC444"/>
    </row>
    <row r="445" spans="1:29" x14ac:dyDescent="0.4">
      <c r="A445" s="46" t="s">
        <v>1456</v>
      </c>
      <c r="B445" s="47" t="s">
        <v>1260</v>
      </c>
      <c r="C445" s="41">
        <v>46146</v>
      </c>
      <c r="D445" s="45">
        <v>0.85840277777777774</v>
      </c>
      <c r="E445" s="47" t="s">
        <v>1457</v>
      </c>
      <c r="F445" s="47" t="s">
        <v>1458</v>
      </c>
      <c r="G445" s="47" t="s">
        <v>1263</v>
      </c>
      <c r="H445" s="47" t="s">
        <v>1264</v>
      </c>
      <c r="AB445"/>
      <c r="AC445"/>
    </row>
    <row r="446" spans="1:29" x14ac:dyDescent="0.4">
      <c r="A446" s="46" t="s">
        <v>1824</v>
      </c>
      <c r="B446" s="47" t="s">
        <v>1260</v>
      </c>
      <c r="C446" s="41">
        <v>46093</v>
      </c>
      <c r="D446" s="45">
        <v>0.35075231481481484</v>
      </c>
      <c r="E446" s="47" t="s">
        <v>1825</v>
      </c>
      <c r="F446" s="47" t="s">
        <v>1826</v>
      </c>
      <c r="G446" s="47" t="s">
        <v>1263</v>
      </c>
      <c r="H446" s="47" t="s">
        <v>1264</v>
      </c>
      <c r="AB446"/>
      <c r="AC446"/>
    </row>
    <row r="447" spans="1:29" x14ac:dyDescent="0.4">
      <c r="A447" s="43" t="s">
        <v>1965</v>
      </c>
      <c r="B447" s="44" t="s">
        <v>1260</v>
      </c>
      <c r="C447" s="41">
        <v>46037</v>
      </c>
      <c r="D447" s="45">
        <v>0.68113425925925919</v>
      </c>
      <c r="E447" s="44" t="s">
        <v>1966</v>
      </c>
      <c r="F447" s="44" t="s">
        <v>1967</v>
      </c>
      <c r="G447" s="44" t="s">
        <v>1263</v>
      </c>
      <c r="H447" s="44" t="s">
        <v>1264</v>
      </c>
      <c r="AB447"/>
      <c r="AC447"/>
    </row>
    <row r="448" spans="1:29" x14ac:dyDescent="0.4">
      <c r="A448" s="43" t="s">
        <v>1851</v>
      </c>
      <c r="B448" s="44" t="s">
        <v>1260</v>
      </c>
      <c r="C448" s="41">
        <v>45912</v>
      </c>
      <c r="D448" s="45">
        <v>0.43259259259259258</v>
      </c>
      <c r="E448" s="44" t="s">
        <v>1852</v>
      </c>
      <c r="F448" s="44" t="s">
        <v>1853</v>
      </c>
      <c r="G448" s="44" t="s">
        <v>1263</v>
      </c>
      <c r="H448" s="44" t="s">
        <v>1264</v>
      </c>
      <c r="AB448"/>
      <c r="AC448"/>
    </row>
    <row r="449" spans="1:29" x14ac:dyDescent="0.4">
      <c r="A449" s="43" t="s">
        <v>1702</v>
      </c>
      <c r="B449" s="44" t="s">
        <v>1260</v>
      </c>
      <c r="C449" s="41">
        <v>46182</v>
      </c>
      <c r="D449" s="45">
        <v>0.42695601851851855</v>
      </c>
      <c r="E449" s="44" t="s">
        <v>1703</v>
      </c>
      <c r="F449" s="44" t="s">
        <v>1704</v>
      </c>
      <c r="G449" s="44" t="s">
        <v>1263</v>
      </c>
      <c r="H449" s="44" t="s">
        <v>1264</v>
      </c>
      <c r="AB449"/>
      <c r="AC449"/>
    </row>
    <row r="450" spans="1:29" x14ac:dyDescent="0.4">
      <c r="A450" s="43" t="s">
        <v>1630</v>
      </c>
      <c r="B450" s="44" t="s">
        <v>1260</v>
      </c>
      <c r="C450" s="41">
        <v>46150</v>
      </c>
      <c r="D450" s="45">
        <v>0.48366898148148146</v>
      </c>
      <c r="E450" s="44" t="s">
        <v>1631</v>
      </c>
      <c r="F450" s="44" t="s">
        <v>1632</v>
      </c>
      <c r="G450" s="44" t="s">
        <v>1263</v>
      </c>
      <c r="H450" s="44" t="s">
        <v>1264</v>
      </c>
      <c r="AB450"/>
      <c r="AC450"/>
    </row>
    <row r="451" spans="1:29" x14ac:dyDescent="0.4">
      <c r="A451" s="43" t="s">
        <v>2571</v>
      </c>
      <c r="B451" s="44" t="s">
        <v>1260</v>
      </c>
      <c r="C451" s="41">
        <v>45987</v>
      </c>
      <c r="D451" s="45">
        <v>0.90811342592592592</v>
      </c>
      <c r="E451" s="44" t="s">
        <v>2572</v>
      </c>
      <c r="F451" s="44" t="s">
        <v>2573</v>
      </c>
      <c r="G451" s="44" t="s">
        <v>1263</v>
      </c>
      <c r="H451" s="44" t="s">
        <v>1264</v>
      </c>
      <c r="AB451"/>
      <c r="AC451"/>
    </row>
    <row r="452" spans="1:29" x14ac:dyDescent="0.4">
      <c r="A452" s="46" t="s">
        <v>15619</v>
      </c>
      <c r="B452" s="47" t="s">
        <v>1260</v>
      </c>
      <c r="C452" s="41">
        <v>46028</v>
      </c>
      <c r="D452" s="45">
        <v>0.44913194444444443</v>
      </c>
      <c r="E452" s="47" t="s">
        <v>1527</v>
      </c>
      <c r="F452" s="47" t="s">
        <v>1528</v>
      </c>
      <c r="G452" s="47" t="s">
        <v>1263</v>
      </c>
      <c r="H452" s="47" t="s">
        <v>1264</v>
      </c>
      <c r="AB452"/>
      <c r="AC452"/>
    </row>
    <row r="453" spans="1:29" x14ac:dyDescent="0.4">
      <c r="A453" s="43" t="s">
        <v>2435</v>
      </c>
      <c r="B453" s="44" t="s">
        <v>1260</v>
      </c>
      <c r="C453" s="41">
        <v>46136</v>
      </c>
      <c r="D453" s="45">
        <v>0.53947916666666662</v>
      </c>
      <c r="E453" s="44" t="s">
        <v>2436</v>
      </c>
      <c r="F453" s="44" t="s">
        <v>2437</v>
      </c>
      <c r="G453" s="44" t="s">
        <v>1263</v>
      </c>
      <c r="H453" s="44" t="s">
        <v>1264</v>
      </c>
      <c r="AB453"/>
      <c r="AC453"/>
    </row>
    <row r="454" spans="1:29" x14ac:dyDescent="0.4">
      <c r="A454" s="46" t="s">
        <v>1747</v>
      </c>
      <c r="B454" s="47" t="s">
        <v>1260</v>
      </c>
      <c r="C454" s="41">
        <v>46183</v>
      </c>
      <c r="D454" s="45">
        <v>0.64916666666666667</v>
      </c>
      <c r="E454" s="47" t="s">
        <v>1748</v>
      </c>
      <c r="F454" s="47" t="s">
        <v>1749</v>
      </c>
      <c r="G454" s="47" t="s">
        <v>1279</v>
      </c>
      <c r="H454" s="47" t="s">
        <v>1264</v>
      </c>
      <c r="AB454"/>
      <c r="AC454"/>
    </row>
    <row r="455" spans="1:29" x14ac:dyDescent="0.4">
      <c r="A455" s="43" t="s">
        <v>1791</v>
      </c>
      <c r="B455" s="44" t="s">
        <v>1260</v>
      </c>
      <c r="C455" s="41">
        <v>46034</v>
      </c>
      <c r="D455" s="45">
        <v>0.54743055555555553</v>
      </c>
      <c r="E455" s="44" t="s">
        <v>1792</v>
      </c>
      <c r="F455" s="44" t="s">
        <v>1793</v>
      </c>
      <c r="G455" s="44" t="s">
        <v>1263</v>
      </c>
      <c r="H455" s="44" t="s">
        <v>1264</v>
      </c>
      <c r="AB455"/>
      <c r="AC455"/>
    </row>
    <row r="456" spans="1:29" x14ac:dyDescent="0.4">
      <c r="A456" s="43" t="s">
        <v>2311</v>
      </c>
      <c r="B456" s="44" t="s">
        <v>1260</v>
      </c>
      <c r="C456" s="41">
        <v>46163</v>
      </c>
      <c r="D456" s="45">
        <v>0.58343749999999994</v>
      </c>
      <c r="E456" s="44" t="s">
        <v>2312</v>
      </c>
      <c r="F456" s="44" t="s">
        <v>2313</v>
      </c>
      <c r="G456" s="44" t="s">
        <v>1263</v>
      </c>
      <c r="H456" s="44" t="s">
        <v>1264</v>
      </c>
      <c r="AB456"/>
      <c r="AC456"/>
    </row>
    <row r="457" spans="1:29" x14ac:dyDescent="0.4">
      <c r="A457" s="46" t="s">
        <v>2285</v>
      </c>
      <c r="B457" s="47" t="s">
        <v>1260</v>
      </c>
      <c r="C457" s="41">
        <v>46043</v>
      </c>
      <c r="D457" s="45">
        <v>0.74190972222222218</v>
      </c>
      <c r="E457" s="47" t="s">
        <v>2286</v>
      </c>
      <c r="F457" s="47" t="s">
        <v>2287</v>
      </c>
      <c r="G457" s="47" t="s">
        <v>1263</v>
      </c>
      <c r="H457" s="47" t="s">
        <v>1264</v>
      </c>
      <c r="AB457"/>
      <c r="AC457"/>
    </row>
    <row r="458" spans="1:29" x14ac:dyDescent="0.4">
      <c r="A458" s="43" t="s">
        <v>2701</v>
      </c>
      <c r="B458" s="44" t="s">
        <v>1260</v>
      </c>
      <c r="C458" s="41">
        <v>46202</v>
      </c>
      <c r="D458" s="45">
        <v>0.76065972222222211</v>
      </c>
      <c r="E458" s="44" t="s">
        <v>2702</v>
      </c>
      <c r="F458" s="44" t="s">
        <v>2703</v>
      </c>
      <c r="G458" s="44" t="s">
        <v>1279</v>
      </c>
      <c r="H458" s="44" t="s">
        <v>1264</v>
      </c>
      <c r="AB458"/>
      <c r="AC458"/>
    </row>
    <row r="459" spans="1:29" x14ac:dyDescent="0.4">
      <c r="A459" s="43" t="s">
        <v>2288</v>
      </c>
      <c r="B459" s="44" t="s">
        <v>1260</v>
      </c>
      <c r="C459" s="41">
        <v>46043</v>
      </c>
      <c r="D459" s="45">
        <v>0.96224537037037028</v>
      </c>
      <c r="E459" s="44" t="s">
        <v>2289</v>
      </c>
      <c r="F459" s="44" t="s">
        <v>2290</v>
      </c>
      <c r="G459" s="44" t="s">
        <v>1263</v>
      </c>
      <c r="H459" s="44" t="s">
        <v>1264</v>
      </c>
      <c r="AB459"/>
      <c r="AC459"/>
    </row>
    <row r="460" spans="1:29" x14ac:dyDescent="0.4">
      <c r="A460" s="43" t="s">
        <v>15277</v>
      </c>
      <c r="B460" s="44" t="s">
        <v>1260</v>
      </c>
      <c r="C460" s="41">
        <v>46051</v>
      </c>
      <c r="D460" s="45">
        <v>0.49422453703703706</v>
      </c>
      <c r="E460" s="44" t="s">
        <v>2684</v>
      </c>
      <c r="F460" s="44" t="s">
        <v>2685</v>
      </c>
      <c r="G460" s="44" t="s">
        <v>1263</v>
      </c>
      <c r="H460" s="44" t="s">
        <v>1264</v>
      </c>
      <c r="AB460"/>
      <c r="AC460"/>
    </row>
    <row r="461" spans="1:29" x14ac:dyDescent="0.4">
      <c r="A461" s="43" t="s">
        <v>15620</v>
      </c>
      <c r="B461" s="44" t="s">
        <v>1260</v>
      </c>
      <c r="C461" s="41">
        <v>46076</v>
      </c>
      <c r="D461" s="45">
        <v>0.54040509259259262</v>
      </c>
      <c r="E461" s="44" t="s">
        <v>2371</v>
      </c>
      <c r="F461" s="44" t="s">
        <v>2372</v>
      </c>
      <c r="G461" s="44" t="s">
        <v>1263</v>
      </c>
      <c r="H461" s="44" t="s">
        <v>1264</v>
      </c>
      <c r="AB461"/>
      <c r="AC461"/>
    </row>
    <row r="462" spans="1:29" x14ac:dyDescent="0.4">
      <c r="A462" s="46" t="s">
        <v>15621</v>
      </c>
      <c r="B462" s="47" t="s">
        <v>1260</v>
      </c>
      <c r="C462" s="41">
        <v>46079</v>
      </c>
      <c r="D462" s="45">
        <v>0.62487268518518524</v>
      </c>
      <c r="E462" s="47" t="s">
        <v>2533</v>
      </c>
      <c r="F462" s="47" t="s">
        <v>2534</v>
      </c>
      <c r="G462" s="47" t="s">
        <v>1263</v>
      </c>
      <c r="H462" s="47" t="s">
        <v>1264</v>
      </c>
      <c r="AB462"/>
      <c r="AC462"/>
    </row>
    <row r="463" spans="1:29" x14ac:dyDescent="0.4">
      <c r="A463" s="46" t="s">
        <v>1645</v>
      </c>
      <c r="B463" s="47" t="s">
        <v>1260</v>
      </c>
      <c r="C463" s="41">
        <v>46211</v>
      </c>
      <c r="D463" s="45">
        <v>0.44335648148148149</v>
      </c>
      <c r="E463" s="47" t="s">
        <v>1646</v>
      </c>
      <c r="F463" s="47" t="s">
        <v>1647</v>
      </c>
      <c r="G463" s="47" t="s">
        <v>1279</v>
      </c>
      <c r="H463" s="47" t="s">
        <v>1264</v>
      </c>
      <c r="AB463"/>
      <c r="AC463"/>
    </row>
    <row r="464" spans="1:29" x14ac:dyDescent="0.4">
      <c r="A464" s="43" t="s">
        <v>1408</v>
      </c>
      <c r="B464" s="44" t="s">
        <v>1260</v>
      </c>
      <c r="C464" s="41">
        <v>46176</v>
      </c>
      <c r="D464" s="45">
        <v>0.60687499999999994</v>
      </c>
      <c r="E464" s="44" t="s">
        <v>1409</v>
      </c>
      <c r="F464" s="44" t="s">
        <v>1410</v>
      </c>
      <c r="G464" s="44" t="s">
        <v>1324</v>
      </c>
      <c r="H464" s="44" t="s">
        <v>1411</v>
      </c>
      <c r="AB464"/>
      <c r="AC464"/>
    </row>
    <row r="465" spans="1:29" x14ac:dyDescent="0.4">
      <c r="A465" s="43" t="s">
        <v>1494</v>
      </c>
      <c r="B465" s="44" t="s">
        <v>1260</v>
      </c>
      <c r="C465" s="41">
        <v>46086</v>
      </c>
      <c r="D465" s="45">
        <v>0.65850694444444446</v>
      </c>
      <c r="E465" s="44" t="s">
        <v>1495</v>
      </c>
      <c r="F465" s="44" t="s">
        <v>1496</v>
      </c>
      <c r="G465" s="44" t="s">
        <v>1263</v>
      </c>
      <c r="H465" s="44" t="s">
        <v>1264</v>
      </c>
      <c r="AB465"/>
      <c r="AC465"/>
    </row>
    <row r="466" spans="1:29" x14ac:dyDescent="0.4">
      <c r="A466" s="46" t="s">
        <v>1474</v>
      </c>
      <c r="B466" s="47" t="s">
        <v>1260</v>
      </c>
      <c r="C466" s="41">
        <v>46027</v>
      </c>
      <c r="D466" s="45">
        <v>0.52979166666666666</v>
      </c>
      <c r="E466" s="47" t="s">
        <v>1475</v>
      </c>
      <c r="F466" s="47" t="s">
        <v>1476</v>
      </c>
      <c r="G466" s="47" t="s">
        <v>1263</v>
      </c>
      <c r="H466" s="47" t="s">
        <v>1264</v>
      </c>
      <c r="AB466"/>
      <c r="AC466"/>
    </row>
    <row r="467" spans="1:29" x14ac:dyDescent="0.4">
      <c r="A467" s="46" t="s">
        <v>1896</v>
      </c>
      <c r="B467" s="47" t="s">
        <v>1260</v>
      </c>
      <c r="C467" s="41">
        <v>46125</v>
      </c>
      <c r="D467" s="45">
        <v>0.42752314814814812</v>
      </c>
      <c r="E467" s="47" t="s">
        <v>1897</v>
      </c>
      <c r="F467" s="47" t="s">
        <v>1898</v>
      </c>
      <c r="G467" s="47" t="s">
        <v>1263</v>
      </c>
      <c r="H467" s="47" t="s">
        <v>1264</v>
      </c>
      <c r="AB467"/>
      <c r="AC467"/>
    </row>
    <row r="468" spans="1:29" x14ac:dyDescent="0.4">
      <c r="A468" s="46" t="s">
        <v>2627</v>
      </c>
      <c r="B468" s="47" t="s">
        <v>1260</v>
      </c>
      <c r="C468" s="41">
        <v>46050</v>
      </c>
      <c r="D468" s="45">
        <v>0.5146412037037037</v>
      </c>
      <c r="E468" s="47" t="s">
        <v>2628</v>
      </c>
      <c r="F468" s="47" t="s">
        <v>2629</v>
      </c>
      <c r="G468" s="47" t="s">
        <v>1263</v>
      </c>
      <c r="H468" s="47" t="s">
        <v>1264</v>
      </c>
      <c r="AB468"/>
      <c r="AC468"/>
    </row>
    <row r="469" spans="1:29" x14ac:dyDescent="0.4">
      <c r="A469" s="46" t="s">
        <v>2385</v>
      </c>
      <c r="B469" s="47" t="s">
        <v>1260</v>
      </c>
      <c r="C469" s="41">
        <v>45374</v>
      </c>
      <c r="D469" s="45">
        <v>0.6383564814814815</v>
      </c>
      <c r="E469" s="47" t="s">
        <v>2386</v>
      </c>
      <c r="F469" s="47" t="s">
        <v>2387</v>
      </c>
      <c r="G469" s="47" t="s">
        <v>1263</v>
      </c>
      <c r="H469" s="47" t="s">
        <v>1264</v>
      </c>
      <c r="AB469"/>
      <c r="AC469"/>
    </row>
    <row r="470" spans="1:29" x14ac:dyDescent="0.4">
      <c r="A470" s="46" t="s">
        <v>1669</v>
      </c>
      <c r="B470" s="47" t="s">
        <v>1260</v>
      </c>
      <c r="C470" s="41">
        <v>46062</v>
      </c>
      <c r="D470" s="45">
        <v>0.53003472222222225</v>
      </c>
      <c r="E470" s="47" t="s">
        <v>1670</v>
      </c>
      <c r="F470" s="47" t="s">
        <v>1671</v>
      </c>
      <c r="G470" s="47" t="s">
        <v>1263</v>
      </c>
      <c r="H470" s="47" t="s">
        <v>1264</v>
      </c>
      <c r="AB470"/>
      <c r="AC470"/>
    </row>
    <row r="471" spans="1:29" x14ac:dyDescent="0.4">
      <c r="A471" s="46" t="s">
        <v>2391</v>
      </c>
      <c r="B471" s="47" t="s">
        <v>1260</v>
      </c>
      <c r="C471" s="41">
        <v>46104</v>
      </c>
      <c r="D471" s="45">
        <v>0.89329861111111108</v>
      </c>
      <c r="E471" s="47" t="s">
        <v>1634</v>
      </c>
      <c r="F471" s="47" t="s">
        <v>2392</v>
      </c>
      <c r="G471" s="47" t="s">
        <v>1263</v>
      </c>
      <c r="H471" s="47" t="s">
        <v>1264</v>
      </c>
      <c r="AB471"/>
      <c r="AC471"/>
    </row>
    <row r="472" spans="1:29" x14ac:dyDescent="0.4">
      <c r="A472" s="43" t="s">
        <v>2393</v>
      </c>
      <c r="B472" s="44" t="s">
        <v>1260</v>
      </c>
      <c r="C472" s="41">
        <v>46135</v>
      </c>
      <c r="D472" s="45">
        <v>0.5370138888888889</v>
      </c>
      <c r="E472" s="44" t="s">
        <v>2394</v>
      </c>
      <c r="F472" s="44" t="s">
        <v>2395</v>
      </c>
      <c r="G472" s="44" t="s">
        <v>1279</v>
      </c>
      <c r="H472" s="44" t="s">
        <v>1264</v>
      </c>
      <c r="AB472"/>
      <c r="AC472"/>
    </row>
    <row r="473" spans="1:29" x14ac:dyDescent="0.4">
      <c r="A473" s="46" t="s">
        <v>1508</v>
      </c>
      <c r="B473" s="47" t="s">
        <v>1260</v>
      </c>
      <c r="C473" s="41">
        <v>46147</v>
      </c>
      <c r="D473" s="45">
        <v>0.46682870370370372</v>
      </c>
      <c r="E473" s="47" t="s">
        <v>1509</v>
      </c>
      <c r="F473" s="47" t="s">
        <v>1510</v>
      </c>
      <c r="G473" s="47" t="s">
        <v>1263</v>
      </c>
      <c r="H473" s="47" t="s">
        <v>1264</v>
      </c>
      <c r="AB473"/>
      <c r="AC473"/>
    </row>
    <row r="474" spans="1:29" x14ac:dyDescent="0.4">
      <c r="A474" s="43" t="s">
        <v>2547</v>
      </c>
      <c r="B474" s="44" t="s">
        <v>1260</v>
      </c>
      <c r="C474" s="41">
        <v>46107</v>
      </c>
      <c r="D474" s="45">
        <v>0.42001157407407402</v>
      </c>
      <c r="E474" s="44" t="s">
        <v>2548</v>
      </c>
      <c r="F474" s="44" t="s">
        <v>2549</v>
      </c>
      <c r="G474" s="44" t="s">
        <v>1324</v>
      </c>
      <c r="H474" s="44" t="s">
        <v>1388</v>
      </c>
      <c r="AB474"/>
      <c r="AC474"/>
    </row>
    <row r="475" spans="1:29" x14ac:dyDescent="0.4">
      <c r="A475" s="43" t="s">
        <v>1453</v>
      </c>
      <c r="B475" s="44" t="s">
        <v>1260</v>
      </c>
      <c r="C475" s="41">
        <v>46116</v>
      </c>
      <c r="D475" s="45">
        <v>0.36482638888888891</v>
      </c>
      <c r="E475" s="44" t="s">
        <v>1454</v>
      </c>
      <c r="F475" s="44" t="s">
        <v>1455</v>
      </c>
      <c r="G475" s="44" t="s">
        <v>1324</v>
      </c>
      <c r="H475" s="44" t="s">
        <v>1334</v>
      </c>
      <c r="AB475"/>
      <c r="AC475"/>
    </row>
    <row r="476" spans="1:29" x14ac:dyDescent="0.4">
      <c r="A476" s="46" t="s">
        <v>1699</v>
      </c>
      <c r="B476" s="47" t="s">
        <v>1260</v>
      </c>
      <c r="C476" s="41">
        <v>46182</v>
      </c>
      <c r="D476" s="45">
        <v>0.47292824074074075</v>
      </c>
      <c r="E476" s="47" t="s">
        <v>1700</v>
      </c>
      <c r="F476" s="47" t="s">
        <v>1701</v>
      </c>
      <c r="G476" s="47" t="s">
        <v>1263</v>
      </c>
      <c r="H476" s="47" t="s">
        <v>1264</v>
      </c>
      <c r="AB476"/>
      <c r="AC476"/>
    </row>
    <row r="477" spans="1:29" x14ac:dyDescent="0.4">
      <c r="A477" s="46" t="s">
        <v>1848</v>
      </c>
      <c r="B477" s="47" t="s">
        <v>1260</v>
      </c>
      <c r="C477" s="41">
        <v>46185</v>
      </c>
      <c r="D477" s="45">
        <v>0.34443287037037035</v>
      </c>
      <c r="E477" s="47" t="s">
        <v>1849</v>
      </c>
      <c r="F477" s="47" t="s">
        <v>1850</v>
      </c>
      <c r="G477" s="47" t="s">
        <v>1263</v>
      </c>
      <c r="H477" s="47" t="s">
        <v>1264</v>
      </c>
      <c r="AB477"/>
      <c r="AC477"/>
    </row>
    <row r="478" spans="1:29" x14ac:dyDescent="0.4">
      <c r="A478" s="43" t="s">
        <v>2752</v>
      </c>
      <c r="B478" s="44" t="s">
        <v>1260</v>
      </c>
      <c r="C478" s="41">
        <v>46029</v>
      </c>
      <c r="D478" s="45">
        <v>0.50069444444444444</v>
      </c>
      <c r="E478" s="44" t="s">
        <v>1572</v>
      </c>
      <c r="F478" s="44" t="s">
        <v>1573</v>
      </c>
      <c r="G478" s="44" t="s">
        <v>1263</v>
      </c>
      <c r="H478" s="44" t="s">
        <v>1264</v>
      </c>
      <c r="AB478"/>
      <c r="AC478"/>
    </row>
    <row r="479" spans="1:29" x14ac:dyDescent="0.4">
      <c r="A479" s="43" t="s">
        <v>2174</v>
      </c>
      <c r="B479" s="44" t="s">
        <v>1260</v>
      </c>
      <c r="C479" s="41">
        <v>46131</v>
      </c>
      <c r="D479" s="45">
        <v>0.79929398148148145</v>
      </c>
      <c r="E479" s="44" t="s">
        <v>2175</v>
      </c>
      <c r="F479" s="44" t="s">
        <v>2176</v>
      </c>
      <c r="G479" s="44" t="s">
        <v>1279</v>
      </c>
      <c r="H479" s="44" t="s">
        <v>1264</v>
      </c>
      <c r="AB479"/>
      <c r="AC479"/>
    </row>
    <row r="480" spans="1:29" x14ac:dyDescent="0.4">
      <c r="A480" s="46" t="s">
        <v>2303</v>
      </c>
      <c r="B480" s="47" t="s">
        <v>1260</v>
      </c>
      <c r="C480" s="41">
        <v>46163</v>
      </c>
      <c r="D480" s="45">
        <v>0.53015046296296298</v>
      </c>
      <c r="E480" s="47" t="s">
        <v>2304</v>
      </c>
      <c r="F480" s="47" t="s">
        <v>2305</v>
      </c>
      <c r="G480" s="47" t="s">
        <v>1263</v>
      </c>
      <c r="H480" s="47" t="s">
        <v>1264</v>
      </c>
      <c r="AB480"/>
      <c r="AC480"/>
    </row>
    <row r="481" spans="1:29" x14ac:dyDescent="0.4">
      <c r="A481" s="46" t="s">
        <v>1465</v>
      </c>
      <c r="B481" s="47" t="s">
        <v>1260</v>
      </c>
      <c r="C481" s="41">
        <v>46027</v>
      </c>
      <c r="D481" s="45">
        <v>0.20233796296296294</v>
      </c>
      <c r="E481" s="47" t="s">
        <v>1480</v>
      </c>
      <c r="F481" s="47" t="s">
        <v>1481</v>
      </c>
      <c r="G481" s="47" t="s">
        <v>1324</v>
      </c>
      <c r="H481" s="47" t="s">
        <v>1264</v>
      </c>
      <c r="AB481"/>
      <c r="AC481"/>
    </row>
    <row r="482" spans="1:29" x14ac:dyDescent="0.4">
      <c r="A482" s="43" t="s">
        <v>2329</v>
      </c>
      <c r="B482" s="44" t="s">
        <v>1260</v>
      </c>
      <c r="C482" s="41">
        <v>46044</v>
      </c>
      <c r="D482" s="45">
        <v>0.59239583333333334</v>
      </c>
      <c r="E482" s="44" t="s">
        <v>2330</v>
      </c>
      <c r="F482" s="44" t="s">
        <v>2331</v>
      </c>
      <c r="G482" s="44" t="s">
        <v>1263</v>
      </c>
      <c r="H482" s="44" t="s">
        <v>1264</v>
      </c>
      <c r="AB482"/>
      <c r="AC482"/>
    </row>
    <row r="483" spans="1:29" x14ac:dyDescent="0.4">
      <c r="A483" s="46" t="s">
        <v>1741</v>
      </c>
      <c r="B483" s="47" t="s">
        <v>1260</v>
      </c>
      <c r="C483" s="41">
        <v>46152</v>
      </c>
      <c r="D483" s="45">
        <v>0.84693287037037035</v>
      </c>
      <c r="E483" s="47" t="s">
        <v>1742</v>
      </c>
      <c r="F483" s="47" t="s">
        <v>1743</v>
      </c>
      <c r="G483" s="47" t="s">
        <v>1263</v>
      </c>
      <c r="H483" s="47" t="s">
        <v>1264</v>
      </c>
      <c r="AB483"/>
      <c r="AC483"/>
    </row>
    <row r="484" spans="1:29" x14ac:dyDescent="0.4">
      <c r="A484" s="46" t="s">
        <v>1705</v>
      </c>
      <c r="B484" s="47" t="s">
        <v>1260</v>
      </c>
      <c r="C484" s="41">
        <v>45847</v>
      </c>
      <c r="D484" s="45">
        <v>0.38856481481481481</v>
      </c>
      <c r="E484" s="47" t="s">
        <v>1706</v>
      </c>
      <c r="F484" s="47" t="s">
        <v>1707</v>
      </c>
      <c r="G484" s="47" t="s">
        <v>1324</v>
      </c>
      <c r="H484" s="47" t="s">
        <v>1379</v>
      </c>
      <c r="AB484"/>
      <c r="AC484"/>
    </row>
    <row r="485" spans="1:29" x14ac:dyDescent="0.4">
      <c r="AB485"/>
      <c r="AC485"/>
    </row>
    <row r="486" spans="1:29" x14ac:dyDescent="0.4">
      <c r="AB486"/>
      <c r="AC486"/>
    </row>
    <row r="487" spans="1:29" x14ac:dyDescent="0.4">
      <c r="AB487"/>
      <c r="AC487"/>
    </row>
    <row r="488" spans="1:29" x14ac:dyDescent="0.4">
      <c r="AB488"/>
      <c r="AC488"/>
    </row>
    <row r="489" spans="1:29" x14ac:dyDescent="0.4">
      <c r="AB489"/>
      <c r="AC489"/>
    </row>
    <row r="490" spans="1:29" x14ac:dyDescent="0.4">
      <c r="AB490"/>
      <c r="AC490"/>
    </row>
    <row r="491" spans="1:29" x14ac:dyDescent="0.4">
      <c r="AB491"/>
      <c r="AC491"/>
    </row>
    <row r="492" spans="1:29" x14ac:dyDescent="0.4">
      <c r="AB492"/>
      <c r="AC492"/>
    </row>
    <row r="493" spans="1:29" x14ac:dyDescent="0.4">
      <c r="AB493"/>
      <c r="AC493"/>
    </row>
    <row r="494" spans="1:29" x14ac:dyDescent="0.4">
      <c r="AB494"/>
      <c r="AC494"/>
    </row>
    <row r="495" spans="1:29" x14ac:dyDescent="0.4">
      <c r="AB495"/>
      <c r="AC495"/>
    </row>
    <row r="496" spans="1:29" x14ac:dyDescent="0.4">
      <c r="AB496"/>
      <c r="AC496"/>
    </row>
    <row r="497" spans="28:29" x14ac:dyDescent="0.4">
      <c r="AB497"/>
      <c r="AC497"/>
    </row>
    <row r="498" spans="28:29" x14ac:dyDescent="0.4">
      <c r="AB498"/>
      <c r="AC498"/>
    </row>
    <row r="499" spans="28:29" x14ac:dyDescent="0.4">
      <c r="AB499"/>
      <c r="AC499"/>
    </row>
    <row r="500" spans="28:29" x14ac:dyDescent="0.4">
      <c r="AB500"/>
      <c r="AC500"/>
    </row>
  </sheetData>
  <conditionalFormatting sqref="A1:A1048576">
    <cfRule type="duplicateValues" dxfId="10" priority="1"/>
    <cfRule type="duplicateValues" dxfId="9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21D9-D173-4A33-82E4-C705E3A5D4B4}">
  <dimension ref="A1:M4111"/>
  <sheetViews>
    <sheetView workbookViewId="0">
      <selection activeCell="B16" sqref="B16"/>
    </sheetView>
  </sheetViews>
  <sheetFormatPr baseColWidth="10" defaultColWidth="8.7265625" defaultRowHeight="14.5" x14ac:dyDescent="0.35"/>
  <cols>
    <col min="1" max="1" width="42.7265625" style="49" customWidth="1"/>
    <col min="2" max="2" width="63.453125" style="49" customWidth="1"/>
    <col min="3" max="3" width="100.26953125" style="49" customWidth="1"/>
    <col min="4" max="4" width="13.6328125" style="49" customWidth="1"/>
    <col min="5" max="5" width="8.7265625" style="49" customWidth="1"/>
    <col min="6" max="6" width="80.54296875" style="49" customWidth="1"/>
    <col min="7" max="7" width="28.6328125" style="49" customWidth="1"/>
    <col min="8" max="8" width="13.90625" style="49" customWidth="1"/>
    <col min="9" max="9" width="17.453125" style="49" customWidth="1"/>
    <col min="10" max="10" width="11.453125" style="49" customWidth="1"/>
    <col min="11" max="11" width="12" style="49" customWidth="1"/>
    <col min="12" max="12" width="13.7265625" style="49" customWidth="1"/>
    <col min="13" max="13" width="16.26953125" style="49" customWidth="1"/>
    <col min="14" max="16384" width="8.7265625" style="49"/>
  </cols>
  <sheetData>
    <row r="1" spans="1:13" s="48" customFormat="1" x14ac:dyDescent="0.35">
      <c r="A1" s="48" t="s">
        <v>2760</v>
      </c>
      <c r="B1" s="48" t="s">
        <v>2761</v>
      </c>
      <c r="C1" s="48" t="s">
        <v>2762</v>
      </c>
      <c r="D1" s="48" t="s">
        <v>2763</v>
      </c>
      <c r="E1" s="48" t="s">
        <v>2764</v>
      </c>
      <c r="F1" s="48" t="s">
        <v>2765</v>
      </c>
      <c r="G1" s="48" t="s">
        <v>1252</v>
      </c>
      <c r="H1" s="48" t="s">
        <v>0</v>
      </c>
      <c r="I1" s="48" t="s">
        <v>2766</v>
      </c>
      <c r="J1" s="48" t="s">
        <v>2767</v>
      </c>
      <c r="K1" s="48" t="s">
        <v>2768</v>
      </c>
      <c r="L1" s="48" t="s">
        <v>2769</v>
      </c>
      <c r="M1" s="48" t="s">
        <v>2770</v>
      </c>
    </row>
    <row r="2" spans="1:13" x14ac:dyDescent="0.35">
      <c r="A2" s="49" t="s">
        <v>2771</v>
      </c>
      <c r="B2" s="49" t="s">
        <v>2772</v>
      </c>
      <c r="C2" s="49" t="s">
        <v>2773</v>
      </c>
      <c r="D2" s="49" t="s">
        <v>1264</v>
      </c>
      <c r="E2" s="49" t="s">
        <v>2774</v>
      </c>
      <c r="F2" s="49" t="s">
        <v>2775</v>
      </c>
      <c r="G2" s="49" t="s">
        <v>2776</v>
      </c>
      <c r="H2" s="49" t="s">
        <v>980</v>
      </c>
      <c r="I2" s="50">
        <v>40913</v>
      </c>
      <c r="M2" s="49" t="s">
        <v>2777</v>
      </c>
    </row>
    <row r="3" spans="1:13" x14ac:dyDescent="0.35">
      <c r="A3" s="49" t="s">
        <v>2778</v>
      </c>
      <c r="C3" s="49" t="s">
        <v>2779</v>
      </c>
      <c r="D3" s="49" t="s">
        <v>1264</v>
      </c>
      <c r="E3" s="49" t="s">
        <v>2774</v>
      </c>
      <c r="F3" s="49" t="s">
        <v>2780</v>
      </c>
      <c r="G3" s="49" t="s">
        <v>2776</v>
      </c>
      <c r="H3" s="49" t="s">
        <v>1062</v>
      </c>
      <c r="I3" s="50">
        <v>40918</v>
      </c>
      <c r="M3" s="49" t="s">
        <v>2781</v>
      </c>
    </row>
    <row r="4" spans="1:13" x14ac:dyDescent="0.35">
      <c r="A4" s="49" t="s">
        <v>2782</v>
      </c>
      <c r="B4" s="49" t="s">
        <v>2783</v>
      </c>
      <c r="C4" s="49" t="s">
        <v>2784</v>
      </c>
      <c r="D4" s="49" t="s">
        <v>1264</v>
      </c>
      <c r="E4" s="49" t="s">
        <v>2785</v>
      </c>
      <c r="F4" s="49" t="s">
        <v>2786</v>
      </c>
      <c r="G4" s="49" t="s">
        <v>2787</v>
      </c>
      <c r="H4" s="49" t="s">
        <v>973</v>
      </c>
      <c r="I4" s="50">
        <v>43756</v>
      </c>
      <c r="J4" s="50">
        <v>43843</v>
      </c>
      <c r="K4" s="50">
        <v>44208</v>
      </c>
      <c r="M4" s="49" t="s">
        <v>2788</v>
      </c>
    </row>
    <row r="5" spans="1:13" x14ac:dyDescent="0.35">
      <c r="A5" s="49" t="s">
        <v>2789</v>
      </c>
      <c r="B5" s="49" t="s">
        <v>2790</v>
      </c>
      <c r="C5" s="49" t="s">
        <v>2791</v>
      </c>
      <c r="D5" s="49" t="s">
        <v>1264</v>
      </c>
      <c r="E5" s="49" t="s">
        <v>2785</v>
      </c>
      <c r="F5" s="49" t="s">
        <v>2792</v>
      </c>
      <c r="G5" s="49" t="s">
        <v>2787</v>
      </c>
      <c r="H5" s="49" t="s">
        <v>980</v>
      </c>
      <c r="I5" s="50">
        <v>43815</v>
      </c>
      <c r="J5" s="50">
        <v>43859</v>
      </c>
      <c r="K5" s="50">
        <v>44224</v>
      </c>
      <c r="M5" s="49" t="s">
        <v>2793</v>
      </c>
    </row>
    <row r="6" spans="1:13" x14ac:dyDescent="0.35">
      <c r="A6" s="49" t="s">
        <v>2794</v>
      </c>
      <c r="B6" s="49" t="s">
        <v>2795</v>
      </c>
      <c r="C6" s="49" t="s">
        <v>2796</v>
      </c>
      <c r="D6" s="49" t="s">
        <v>1264</v>
      </c>
      <c r="E6" s="49" t="s">
        <v>2785</v>
      </c>
      <c r="F6" s="49" t="s">
        <v>2786</v>
      </c>
      <c r="G6" s="49" t="s">
        <v>2787</v>
      </c>
      <c r="H6" s="49" t="s">
        <v>8</v>
      </c>
      <c r="I6" s="50">
        <v>43817</v>
      </c>
      <c r="J6" s="50">
        <v>43861</v>
      </c>
      <c r="K6" s="50">
        <v>44226</v>
      </c>
      <c r="M6" s="49" t="s">
        <v>2797</v>
      </c>
    </row>
    <row r="7" spans="1:13" x14ac:dyDescent="0.35">
      <c r="A7" s="49" t="s">
        <v>2798</v>
      </c>
      <c r="B7" s="49" t="s">
        <v>2799</v>
      </c>
      <c r="C7" s="49" t="s">
        <v>2800</v>
      </c>
      <c r="D7" s="49" t="s">
        <v>1264</v>
      </c>
      <c r="E7" s="49" t="s">
        <v>2785</v>
      </c>
      <c r="F7" s="49" t="s">
        <v>2792</v>
      </c>
      <c r="G7" s="49" t="s">
        <v>2787</v>
      </c>
      <c r="H7" s="49" t="s">
        <v>980</v>
      </c>
      <c r="I7" s="50">
        <v>43678</v>
      </c>
      <c r="J7" s="50">
        <v>43864</v>
      </c>
      <c r="K7" s="50">
        <v>44229</v>
      </c>
      <c r="M7" s="49" t="s">
        <v>2801</v>
      </c>
    </row>
    <row r="8" spans="1:13" x14ac:dyDescent="0.35">
      <c r="A8" s="49" t="s">
        <v>2802</v>
      </c>
      <c r="B8" s="49" t="s">
        <v>2803</v>
      </c>
      <c r="C8" s="49" t="s">
        <v>2804</v>
      </c>
      <c r="D8" s="49" t="s">
        <v>1264</v>
      </c>
      <c r="E8" s="49" t="s">
        <v>2785</v>
      </c>
      <c r="F8" s="49" t="s">
        <v>2805</v>
      </c>
      <c r="G8" s="49" t="s">
        <v>2787</v>
      </c>
      <c r="H8" s="49" t="s">
        <v>2806</v>
      </c>
      <c r="I8" s="50">
        <v>43775</v>
      </c>
      <c r="J8" s="50">
        <v>43871</v>
      </c>
      <c r="K8" s="50">
        <v>44237</v>
      </c>
      <c r="M8" s="49" t="s">
        <v>2807</v>
      </c>
    </row>
    <row r="9" spans="1:13" x14ac:dyDescent="0.35">
      <c r="A9" s="49" t="s">
        <v>2808</v>
      </c>
      <c r="B9" s="49" t="s">
        <v>2809</v>
      </c>
      <c r="C9" s="49" t="s">
        <v>2810</v>
      </c>
      <c r="D9" s="49" t="s">
        <v>1264</v>
      </c>
      <c r="E9" s="49" t="s">
        <v>2785</v>
      </c>
      <c r="F9" s="49" t="s">
        <v>2792</v>
      </c>
      <c r="G9" s="49" t="s">
        <v>2787</v>
      </c>
      <c r="H9" s="49" t="s">
        <v>980</v>
      </c>
      <c r="I9" s="50">
        <v>43865</v>
      </c>
      <c r="J9" s="50">
        <v>43871</v>
      </c>
      <c r="K9" s="50">
        <v>44237</v>
      </c>
      <c r="M9" s="49" t="s">
        <v>2811</v>
      </c>
    </row>
    <row r="10" spans="1:13" x14ac:dyDescent="0.35">
      <c r="A10" s="49" t="s">
        <v>2812</v>
      </c>
      <c r="C10" s="49" t="s">
        <v>2813</v>
      </c>
      <c r="D10" s="49" t="s">
        <v>1264</v>
      </c>
      <c r="E10" s="49" t="s">
        <v>2814</v>
      </c>
      <c r="F10" s="49" t="s">
        <v>2815</v>
      </c>
      <c r="G10" s="49" t="s">
        <v>2787</v>
      </c>
      <c r="H10" s="49" t="s">
        <v>980</v>
      </c>
      <c r="I10" s="50">
        <v>41492</v>
      </c>
      <c r="J10" s="50">
        <v>41513</v>
      </c>
      <c r="K10" s="50">
        <v>41696</v>
      </c>
      <c r="M10" s="49" t="s">
        <v>2816</v>
      </c>
    </row>
    <row r="11" spans="1:13" x14ac:dyDescent="0.35">
      <c r="A11" s="49" t="s">
        <v>2817</v>
      </c>
      <c r="B11" s="49" t="s">
        <v>2818</v>
      </c>
      <c r="C11" s="49" t="s">
        <v>2819</v>
      </c>
      <c r="D11" s="49" t="s">
        <v>1264</v>
      </c>
      <c r="E11" s="49" t="s">
        <v>2785</v>
      </c>
      <c r="F11" s="49" t="s">
        <v>2792</v>
      </c>
      <c r="G11" s="49" t="s">
        <v>2820</v>
      </c>
      <c r="H11" s="49" t="s">
        <v>8</v>
      </c>
      <c r="I11" s="50">
        <v>43369</v>
      </c>
      <c r="J11" s="50">
        <v>43494</v>
      </c>
      <c r="K11" s="50">
        <v>43858</v>
      </c>
      <c r="M11" s="49" t="s">
        <v>2821</v>
      </c>
    </row>
    <row r="12" spans="1:13" x14ac:dyDescent="0.35">
      <c r="A12" s="49" t="s">
        <v>2822</v>
      </c>
      <c r="B12" s="49" t="s">
        <v>2823</v>
      </c>
      <c r="C12" s="49" t="s">
        <v>2824</v>
      </c>
      <c r="D12" s="49" t="s">
        <v>1264</v>
      </c>
      <c r="E12" s="49" t="s">
        <v>2814</v>
      </c>
      <c r="F12" s="49" t="s">
        <v>2825</v>
      </c>
      <c r="G12" s="49" t="s">
        <v>2826</v>
      </c>
      <c r="H12" s="49" t="s">
        <v>2827</v>
      </c>
      <c r="I12" s="50">
        <v>43815</v>
      </c>
      <c r="J12" s="50">
        <v>43881</v>
      </c>
      <c r="K12" s="50">
        <v>44245</v>
      </c>
      <c r="M12" s="49" t="s">
        <v>2828</v>
      </c>
    </row>
    <row r="13" spans="1:13" x14ac:dyDescent="0.35">
      <c r="A13" s="49" t="s">
        <v>2829</v>
      </c>
      <c r="B13" s="49" t="s">
        <v>2830</v>
      </c>
      <c r="C13" s="49" t="s">
        <v>2831</v>
      </c>
      <c r="D13" s="49" t="s">
        <v>1264</v>
      </c>
      <c r="E13" s="49" t="s">
        <v>2785</v>
      </c>
      <c r="F13" s="49" t="s">
        <v>2792</v>
      </c>
      <c r="G13" s="49" t="s">
        <v>2787</v>
      </c>
      <c r="H13" s="49" t="s">
        <v>2832</v>
      </c>
      <c r="I13" s="50">
        <v>43845</v>
      </c>
      <c r="J13" s="50">
        <v>43888</v>
      </c>
      <c r="K13" s="50">
        <v>44254</v>
      </c>
      <c r="M13" s="49" t="s">
        <v>2833</v>
      </c>
    </row>
    <row r="14" spans="1:13" x14ac:dyDescent="0.35">
      <c r="A14" s="49" t="s">
        <v>2834</v>
      </c>
      <c r="B14" s="49" t="s">
        <v>2835</v>
      </c>
      <c r="C14" s="49" t="s">
        <v>2836</v>
      </c>
      <c r="D14" s="49" t="s">
        <v>1264</v>
      </c>
      <c r="E14" s="49" t="s">
        <v>2814</v>
      </c>
      <c r="F14" s="49" t="s">
        <v>2837</v>
      </c>
      <c r="G14" s="49" t="s">
        <v>2787</v>
      </c>
      <c r="H14" s="49" t="s">
        <v>980</v>
      </c>
      <c r="I14" s="50">
        <v>43865</v>
      </c>
      <c r="J14" s="50">
        <v>43888</v>
      </c>
      <c r="K14" s="50">
        <v>44070</v>
      </c>
      <c r="M14" s="49" t="s">
        <v>2838</v>
      </c>
    </row>
    <row r="15" spans="1:13" x14ac:dyDescent="0.35">
      <c r="A15" s="49" t="s">
        <v>2839</v>
      </c>
      <c r="C15" s="49" t="s">
        <v>2840</v>
      </c>
      <c r="D15" s="49" t="s">
        <v>1264</v>
      </c>
      <c r="E15" s="49" t="s">
        <v>2785</v>
      </c>
      <c r="F15" s="49" t="s">
        <v>2792</v>
      </c>
      <c r="G15" s="49" t="s">
        <v>2787</v>
      </c>
      <c r="H15" s="49" t="s">
        <v>980</v>
      </c>
      <c r="I15" s="50">
        <v>42137</v>
      </c>
      <c r="J15" s="50">
        <v>42425</v>
      </c>
      <c r="K15" s="50">
        <v>42606</v>
      </c>
      <c r="M15" s="49" t="s">
        <v>2841</v>
      </c>
    </row>
    <row r="16" spans="1:13" x14ac:dyDescent="0.35">
      <c r="A16" s="49" t="s">
        <v>2842</v>
      </c>
      <c r="B16" s="49" t="s">
        <v>2809</v>
      </c>
      <c r="C16" s="49" t="s">
        <v>2810</v>
      </c>
      <c r="D16" s="49" t="s">
        <v>1264</v>
      </c>
      <c r="E16" s="49" t="s">
        <v>2785</v>
      </c>
      <c r="F16" s="49" t="s">
        <v>2792</v>
      </c>
      <c r="G16" s="49" t="s">
        <v>2787</v>
      </c>
      <c r="H16" s="49" t="s">
        <v>980</v>
      </c>
      <c r="I16" s="50">
        <v>43887</v>
      </c>
      <c r="J16" s="50">
        <v>43894</v>
      </c>
      <c r="K16" s="50">
        <v>44259</v>
      </c>
      <c r="M16" s="49" t="s">
        <v>2843</v>
      </c>
    </row>
    <row r="17" spans="1:13" x14ac:dyDescent="0.35">
      <c r="A17" s="49" t="s">
        <v>2844</v>
      </c>
      <c r="B17" s="49" t="s">
        <v>2845</v>
      </c>
      <c r="C17" s="49" t="s">
        <v>2846</v>
      </c>
      <c r="D17" s="49" t="s">
        <v>1264</v>
      </c>
      <c r="E17" s="49" t="s">
        <v>2785</v>
      </c>
      <c r="F17" s="49" t="s">
        <v>2805</v>
      </c>
      <c r="G17" s="49" t="s">
        <v>2787</v>
      </c>
      <c r="H17" s="49" t="s">
        <v>2806</v>
      </c>
      <c r="I17" s="50">
        <v>43867</v>
      </c>
      <c r="J17" s="50">
        <v>43903</v>
      </c>
      <c r="K17" s="50">
        <v>44268</v>
      </c>
      <c r="M17" s="49" t="s">
        <v>2847</v>
      </c>
    </row>
    <row r="18" spans="1:13" x14ac:dyDescent="0.35">
      <c r="A18" s="49" t="s">
        <v>2848</v>
      </c>
      <c r="B18" s="49" t="s">
        <v>2849</v>
      </c>
      <c r="C18" s="49" t="s">
        <v>2850</v>
      </c>
      <c r="D18" s="49" t="s">
        <v>1264</v>
      </c>
      <c r="E18" s="49" t="s">
        <v>2785</v>
      </c>
      <c r="F18" s="49" t="s">
        <v>2792</v>
      </c>
      <c r="G18" s="49" t="s">
        <v>2787</v>
      </c>
      <c r="H18" s="49" t="s">
        <v>980</v>
      </c>
      <c r="I18" s="50">
        <v>43535</v>
      </c>
      <c r="J18" s="50">
        <v>43903</v>
      </c>
      <c r="K18" s="50">
        <v>44268</v>
      </c>
      <c r="M18" s="49" t="s">
        <v>2851</v>
      </c>
    </row>
    <row r="19" spans="1:13" x14ac:dyDescent="0.35">
      <c r="A19" s="49" t="s">
        <v>2852</v>
      </c>
      <c r="B19" s="49" t="s">
        <v>2853</v>
      </c>
      <c r="C19" s="49" t="s">
        <v>2854</v>
      </c>
      <c r="D19" s="49" t="s">
        <v>1264</v>
      </c>
      <c r="E19" s="49" t="s">
        <v>2814</v>
      </c>
      <c r="F19" s="49" t="s">
        <v>2837</v>
      </c>
      <c r="G19" s="49" t="s">
        <v>2787</v>
      </c>
      <c r="H19" s="49" t="s">
        <v>980</v>
      </c>
      <c r="I19" s="50">
        <v>43879</v>
      </c>
      <c r="J19" s="50">
        <v>43906</v>
      </c>
      <c r="K19" s="50">
        <v>44090</v>
      </c>
      <c r="M19" s="49" t="s">
        <v>2855</v>
      </c>
    </row>
    <row r="20" spans="1:13" x14ac:dyDescent="0.35">
      <c r="A20" s="49" t="s">
        <v>2856</v>
      </c>
      <c r="C20" s="49" t="s">
        <v>2857</v>
      </c>
      <c r="D20" s="49" t="s">
        <v>1264</v>
      </c>
      <c r="E20" s="49" t="s">
        <v>2814</v>
      </c>
      <c r="F20" s="49" t="s">
        <v>2837</v>
      </c>
      <c r="G20" s="49" t="s">
        <v>2787</v>
      </c>
      <c r="H20" s="49" t="s">
        <v>973</v>
      </c>
      <c r="I20" s="50">
        <v>43802</v>
      </c>
      <c r="M20" s="49" t="s">
        <v>2858</v>
      </c>
    </row>
    <row r="21" spans="1:13" x14ac:dyDescent="0.35">
      <c r="A21" s="49" t="s">
        <v>2859</v>
      </c>
      <c r="C21" s="49" t="s">
        <v>2860</v>
      </c>
      <c r="D21" s="49" t="s">
        <v>1264</v>
      </c>
      <c r="E21" s="49" t="s">
        <v>2814</v>
      </c>
      <c r="F21" s="49" t="s">
        <v>2825</v>
      </c>
      <c r="G21" s="49" t="s">
        <v>2776</v>
      </c>
      <c r="H21" s="49" t="s">
        <v>2827</v>
      </c>
      <c r="I21" s="50">
        <v>41078</v>
      </c>
      <c r="M21" s="49" t="s">
        <v>2861</v>
      </c>
    </row>
    <row r="22" spans="1:13" x14ac:dyDescent="0.35">
      <c r="A22" s="49" t="s">
        <v>2862</v>
      </c>
      <c r="B22" s="49" t="s">
        <v>2863</v>
      </c>
      <c r="C22" s="49" t="s">
        <v>2864</v>
      </c>
      <c r="D22" s="49" t="s">
        <v>1264</v>
      </c>
      <c r="E22" s="49" t="s">
        <v>2814</v>
      </c>
      <c r="F22" s="49" t="s">
        <v>2825</v>
      </c>
      <c r="G22" s="49" t="s">
        <v>2787</v>
      </c>
      <c r="H22" s="49" t="s">
        <v>2827</v>
      </c>
      <c r="I22" s="50">
        <v>42151</v>
      </c>
      <c r="J22" s="50">
        <v>42157</v>
      </c>
      <c r="K22" s="50">
        <v>42340</v>
      </c>
      <c r="M22" s="49" t="s">
        <v>2865</v>
      </c>
    </row>
    <row r="23" spans="1:13" x14ac:dyDescent="0.35">
      <c r="A23" s="49" t="s">
        <v>2866</v>
      </c>
      <c r="B23" s="49" t="s">
        <v>2867</v>
      </c>
      <c r="C23" s="49" t="s">
        <v>2868</v>
      </c>
      <c r="D23" s="49" t="s">
        <v>1264</v>
      </c>
      <c r="E23" s="49" t="s">
        <v>2785</v>
      </c>
      <c r="F23" s="49" t="s">
        <v>2792</v>
      </c>
      <c r="G23" s="49" t="s">
        <v>2787</v>
      </c>
      <c r="H23" s="49" t="s">
        <v>8</v>
      </c>
      <c r="I23" s="50">
        <v>41747</v>
      </c>
      <c r="J23" s="50">
        <v>41863</v>
      </c>
      <c r="K23" s="50">
        <v>42046</v>
      </c>
      <c r="M23" s="49" t="s">
        <v>2869</v>
      </c>
    </row>
    <row r="24" spans="1:13" x14ac:dyDescent="0.35">
      <c r="A24" s="49" t="s">
        <v>2870</v>
      </c>
      <c r="B24" s="49" t="s">
        <v>2871</v>
      </c>
      <c r="C24" s="49" t="s">
        <v>2872</v>
      </c>
      <c r="D24" s="49" t="s">
        <v>1264</v>
      </c>
      <c r="E24" s="49" t="s">
        <v>2873</v>
      </c>
      <c r="F24" s="49" t="s">
        <v>2792</v>
      </c>
      <c r="G24" s="49" t="s">
        <v>2787</v>
      </c>
      <c r="H24" s="49" t="s">
        <v>835</v>
      </c>
      <c r="I24" s="50">
        <v>45250</v>
      </c>
      <c r="J24" s="50">
        <v>45286</v>
      </c>
      <c r="K24" s="50">
        <v>45651</v>
      </c>
      <c r="M24" s="49" t="s">
        <v>2874</v>
      </c>
    </row>
    <row r="25" spans="1:13" x14ac:dyDescent="0.35">
      <c r="A25" s="49" t="s">
        <v>2875</v>
      </c>
      <c r="B25" s="49" t="s">
        <v>2876</v>
      </c>
      <c r="C25" s="49" t="s">
        <v>2877</v>
      </c>
      <c r="D25" s="49" t="s">
        <v>1264</v>
      </c>
      <c r="E25" s="49" t="s">
        <v>2785</v>
      </c>
      <c r="F25" s="49" t="s">
        <v>2786</v>
      </c>
      <c r="G25" s="49" t="s">
        <v>2787</v>
      </c>
      <c r="H25" s="49" t="s">
        <v>8</v>
      </c>
      <c r="I25" s="50">
        <v>42212</v>
      </c>
      <c r="J25" s="50">
        <v>42234</v>
      </c>
      <c r="K25" s="50">
        <v>42599</v>
      </c>
      <c r="M25" s="49" t="s">
        <v>2878</v>
      </c>
    </row>
    <row r="26" spans="1:13" x14ac:dyDescent="0.35">
      <c r="A26" s="49" t="s">
        <v>2879</v>
      </c>
      <c r="B26" s="49" t="s">
        <v>2880</v>
      </c>
      <c r="C26" s="49" t="s">
        <v>2881</v>
      </c>
      <c r="D26" s="49" t="s">
        <v>1264</v>
      </c>
      <c r="E26" s="49" t="s">
        <v>2785</v>
      </c>
      <c r="F26" s="49" t="s">
        <v>2792</v>
      </c>
      <c r="G26" s="49" t="s">
        <v>2787</v>
      </c>
      <c r="H26" s="49" t="s">
        <v>8</v>
      </c>
      <c r="I26" s="50">
        <v>41843</v>
      </c>
      <c r="J26" s="50">
        <v>41891</v>
      </c>
      <c r="K26" s="50">
        <v>42255</v>
      </c>
      <c r="M26" s="49" t="s">
        <v>2882</v>
      </c>
    </row>
    <row r="27" spans="1:13" x14ac:dyDescent="0.35">
      <c r="A27" s="49" t="s">
        <v>2883</v>
      </c>
      <c r="B27" s="49" t="s">
        <v>2884</v>
      </c>
      <c r="C27" s="49" t="s">
        <v>2885</v>
      </c>
      <c r="D27" s="49" t="s">
        <v>1264</v>
      </c>
      <c r="E27" s="49" t="s">
        <v>2785</v>
      </c>
      <c r="F27" s="49" t="s">
        <v>2792</v>
      </c>
      <c r="G27" s="49" t="s">
        <v>2787</v>
      </c>
      <c r="H27" s="49" t="s">
        <v>8</v>
      </c>
      <c r="I27" s="50">
        <v>43634</v>
      </c>
      <c r="J27" s="50">
        <v>43766</v>
      </c>
      <c r="K27" s="50">
        <v>44131</v>
      </c>
      <c r="M27" s="49" t="s">
        <v>2886</v>
      </c>
    </row>
    <row r="28" spans="1:13" x14ac:dyDescent="0.35">
      <c r="A28" s="49" t="s">
        <v>2887</v>
      </c>
      <c r="C28" s="49" t="s">
        <v>2888</v>
      </c>
      <c r="D28" s="49" t="s">
        <v>1264</v>
      </c>
      <c r="E28" s="49" t="s">
        <v>2814</v>
      </c>
      <c r="F28" s="49" t="s">
        <v>2825</v>
      </c>
      <c r="G28" s="49" t="s">
        <v>2826</v>
      </c>
      <c r="H28" s="49" t="s">
        <v>2827</v>
      </c>
      <c r="I28" s="50">
        <v>40212</v>
      </c>
      <c r="M28" s="49" t="s">
        <v>2889</v>
      </c>
    </row>
    <row r="29" spans="1:13" x14ac:dyDescent="0.35">
      <c r="A29" s="49" t="s">
        <v>2890</v>
      </c>
      <c r="B29" s="49" t="s">
        <v>2891</v>
      </c>
      <c r="C29" s="49" t="s">
        <v>2892</v>
      </c>
      <c r="D29" s="49" t="s">
        <v>1264</v>
      </c>
      <c r="E29" s="49" t="s">
        <v>2814</v>
      </c>
      <c r="F29" s="49" t="s">
        <v>2837</v>
      </c>
      <c r="G29" s="49" t="s">
        <v>2787</v>
      </c>
      <c r="H29" s="49" t="s">
        <v>980</v>
      </c>
      <c r="I29" s="50">
        <v>43362</v>
      </c>
      <c r="J29" s="50">
        <v>43819</v>
      </c>
      <c r="K29" s="50">
        <v>44001</v>
      </c>
      <c r="M29" s="49" t="s">
        <v>2893</v>
      </c>
    </row>
    <row r="30" spans="1:13" x14ac:dyDescent="0.35">
      <c r="A30" s="49" t="s">
        <v>2894</v>
      </c>
      <c r="C30" s="49" t="s">
        <v>2895</v>
      </c>
      <c r="D30" s="49" t="s">
        <v>1264</v>
      </c>
      <c r="E30" s="49" t="s">
        <v>2814</v>
      </c>
      <c r="F30" s="49" t="s">
        <v>2837</v>
      </c>
      <c r="G30" s="49" t="s">
        <v>2776</v>
      </c>
      <c r="H30" s="49" t="s">
        <v>2827</v>
      </c>
      <c r="I30" s="50">
        <v>41915</v>
      </c>
      <c r="J30" s="50">
        <v>41933</v>
      </c>
      <c r="K30" s="50">
        <v>42115</v>
      </c>
      <c r="M30" s="49" t="s">
        <v>2896</v>
      </c>
    </row>
    <row r="31" spans="1:13" x14ac:dyDescent="0.35">
      <c r="A31" s="49" t="s">
        <v>2897</v>
      </c>
      <c r="C31" s="49" t="s">
        <v>2898</v>
      </c>
      <c r="D31" s="49" t="s">
        <v>1264</v>
      </c>
      <c r="E31" s="49" t="s">
        <v>2899</v>
      </c>
      <c r="F31" s="49" t="s">
        <v>2900</v>
      </c>
      <c r="G31" s="49" t="s">
        <v>2901</v>
      </c>
      <c r="H31" s="49" t="s">
        <v>980</v>
      </c>
      <c r="I31" s="50">
        <v>21177</v>
      </c>
      <c r="J31" s="50">
        <v>21551</v>
      </c>
      <c r="K31" s="50">
        <v>48945</v>
      </c>
      <c r="M31" s="49" t="s">
        <v>2902</v>
      </c>
    </row>
    <row r="32" spans="1:13" x14ac:dyDescent="0.35">
      <c r="A32" s="49" t="s">
        <v>2903</v>
      </c>
      <c r="C32" s="49" t="s">
        <v>2904</v>
      </c>
      <c r="D32" s="49" t="s">
        <v>1264</v>
      </c>
      <c r="E32" s="49" t="s">
        <v>2899</v>
      </c>
      <c r="F32" s="49" t="s">
        <v>2900</v>
      </c>
      <c r="G32" s="49" t="s">
        <v>2901</v>
      </c>
      <c r="H32" s="49" t="s">
        <v>980</v>
      </c>
      <c r="I32" s="50">
        <v>28857</v>
      </c>
      <c r="J32" s="50">
        <v>42084</v>
      </c>
      <c r="K32" s="50">
        <v>55519</v>
      </c>
      <c r="M32" s="49" t="s">
        <v>2905</v>
      </c>
    </row>
    <row r="33" spans="1:13" x14ac:dyDescent="0.35">
      <c r="A33" s="49" t="s">
        <v>2906</v>
      </c>
      <c r="B33" s="49" t="s">
        <v>2891</v>
      </c>
      <c r="C33" s="49" t="s">
        <v>2907</v>
      </c>
      <c r="D33" s="49" t="s">
        <v>1264</v>
      </c>
      <c r="E33" s="49" t="s">
        <v>2908</v>
      </c>
      <c r="F33" s="49" t="s">
        <v>2837</v>
      </c>
      <c r="G33" s="49" t="s">
        <v>2901</v>
      </c>
      <c r="H33" s="49" t="s">
        <v>980</v>
      </c>
      <c r="I33" s="50">
        <v>28990</v>
      </c>
      <c r="J33" s="50">
        <v>43742</v>
      </c>
      <c r="K33" s="50">
        <v>47393</v>
      </c>
      <c r="M33" s="49" t="s">
        <v>2909</v>
      </c>
    </row>
    <row r="34" spans="1:13" x14ac:dyDescent="0.35">
      <c r="A34" s="49" t="s">
        <v>2910</v>
      </c>
      <c r="B34" s="49" t="s">
        <v>2911</v>
      </c>
      <c r="C34" s="49" t="s">
        <v>2912</v>
      </c>
      <c r="D34" s="49" t="s">
        <v>1264</v>
      </c>
      <c r="E34" s="49" t="s">
        <v>2899</v>
      </c>
      <c r="F34" s="49" t="s">
        <v>2913</v>
      </c>
      <c r="G34" s="49" t="s">
        <v>2901</v>
      </c>
      <c r="H34" s="49" t="s">
        <v>980</v>
      </c>
      <c r="I34" s="50">
        <v>29461</v>
      </c>
      <c r="J34" s="50">
        <v>31156</v>
      </c>
      <c r="M34" s="49" t="s">
        <v>2914</v>
      </c>
    </row>
    <row r="35" spans="1:13" x14ac:dyDescent="0.35">
      <c r="A35" s="49" t="s">
        <v>2915</v>
      </c>
      <c r="B35" s="49" t="s">
        <v>2916</v>
      </c>
      <c r="C35" s="49" t="s">
        <v>2912</v>
      </c>
      <c r="D35" s="49" t="s">
        <v>1264</v>
      </c>
      <c r="E35" s="49" t="s">
        <v>2899</v>
      </c>
      <c r="F35" s="49" t="s">
        <v>2917</v>
      </c>
      <c r="G35" s="49" t="s">
        <v>2901</v>
      </c>
      <c r="H35" s="49" t="s">
        <v>980</v>
      </c>
      <c r="I35" s="50">
        <v>29461</v>
      </c>
      <c r="J35" s="50">
        <v>31156</v>
      </c>
      <c r="M35" s="49" t="s">
        <v>2918</v>
      </c>
    </row>
    <row r="36" spans="1:13" x14ac:dyDescent="0.35">
      <c r="A36" s="49" t="s">
        <v>2919</v>
      </c>
      <c r="B36" s="49" t="s">
        <v>2920</v>
      </c>
      <c r="C36" s="49" t="s">
        <v>2912</v>
      </c>
      <c r="D36" s="49" t="s">
        <v>1264</v>
      </c>
      <c r="E36" s="49" t="s">
        <v>2899</v>
      </c>
      <c r="F36" s="49" t="s">
        <v>2913</v>
      </c>
      <c r="G36" s="49" t="s">
        <v>2921</v>
      </c>
      <c r="H36" s="49" t="s">
        <v>980</v>
      </c>
      <c r="I36" s="50">
        <v>29461</v>
      </c>
      <c r="J36" s="50">
        <v>35807</v>
      </c>
      <c r="K36" s="50">
        <v>44937</v>
      </c>
      <c r="M36" s="49" t="s">
        <v>2922</v>
      </c>
    </row>
    <row r="37" spans="1:13" x14ac:dyDescent="0.35">
      <c r="A37" s="49" t="s">
        <v>2923</v>
      </c>
      <c r="B37" s="49" t="s">
        <v>2924</v>
      </c>
      <c r="C37" s="49" t="s">
        <v>2912</v>
      </c>
      <c r="D37" s="49" t="s">
        <v>1264</v>
      </c>
      <c r="E37" s="49" t="s">
        <v>2899</v>
      </c>
      <c r="F37" s="49" t="s">
        <v>2917</v>
      </c>
      <c r="G37" s="49" t="s">
        <v>2901</v>
      </c>
      <c r="H37" s="49" t="s">
        <v>980</v>
      </c>
      <c r="I37" s="50">
        <v>29461</v>
      </c>
      <c r="J37" s="50">
        <v>31156</v>
      </c>
      <c r="M37" s="49" t="s">
        <v>2925</v>
      </c>
    </row>
    <row r="38" spans="1:13" x14ac:dyDescent="0.35">
      <c r="A38" s="49" t="s">
        <v>2926</v>
      </c>
      <c r="C38" s="49" t="s">
        <v>2927</v>
      </c>
      <c r="D38" s="49" t="s">
        <v>1264</v>
      </c>
      <c r="E38" s="49" t="s">
        <v>2908</v>
      </c>
      <c r="F38" s="49" t="s">
        <v>2837</v>
      </c>
      <c r="G38" s="49" t="s">
        <v>2901</v>
      </c>
      <c r="H38" s="49" t="s">
        <v>980</v>
      </c>
      <c r="I38" s="50">
        <v>30365</v>
      </c>
      <c r="J38" s="50">
        <v>30466</v>
      </c>
      <c r="K38" s="50">
        <v>46285</v>
      </c>
      <c r="M38" s="49" t="s">
        <v>2928</v>
      </c>
    </row>
    <row r="39" spans="1:13" x14ac:dyDescent="0.35">
      <c r="A39" s="49" t="s">
        <v>2929</v>
      </c>
      <c r="B39" s="49" t="s">
        <v>2930</v>
      </c>
      <c r="C39" s="49" t="s">
        <v>2857</v>
      </c>
      <c r="D39" s="49" t="s">
        <v>1264</v>
      </c>
      <c r="E39" s="49" t="s">
        <v>2908</v>
      </c>
      <c r="F39" s="49" t="s">
        <v>2837</v>
      </c>
      <c r="G39" s="49" t="s">
        <v>2901</v>
      </c>
      <c r="H39" s="49" t="s">
        <v>980</v>
      </c>
      <c r="I39" s="50">
        <v>31882</v>
      </c>
      <c r="J39" s="50">
        <v>39986</v>
      </c>
      <c r="K39" s="50">
        <v>45829</v>
      </c>
      <c r="L39" s="50">
        <v>44004</v>
      </c>
      <c r="M39" s="49" t="s">
        <v>2931</v>
      </c>
    </row>
    <row r="40" spans="1:13" x14ac:dyDescent="0.35">
      <c r="A40" s="49" t="s">
        <v>2932</v>
      </c>
      <c r="B40" s="49" t="s">
        <v>2891</v>
      </c>
      <c r="C40" s="49" t="s">
        <v>2933</v>
      </c>
      <c r="D40" s="49" t="s">
        <v>1264</v>
      </c>
      <c r="E40" s="49" t="s">
        <v>2908</v>
      </c>
      <c r="F40" s="49" t="s">
        <v>2837</v>
      </c>
      <c r="G40" s="49" t="s">
        <v>2934</v>
      </c>
      <c r="H40" s="49" t="s">
        <v>980</v>
      </c>
      <c r="I40" s="50">
        <v>34432</v>
      </c>
      <c r="J40" s="50">
        <v>34990</v>
      </c>
      <c r="K40" s="50">
        <v>45670</v>
      </c>
      <c r="M40" s="49" t="s">
        <v>2935</v>
      </c>
    </row>
    <row r="41" spans="1:13" x14ac:dyDescent="0.35">
      <c r="A41" s="49" t="s">
        <v>2936</v>
      </c>
      <c r="B41" s="49" t="s">
        <v>2937</v>
      </c>
      <c r="C41" s="49" t="s">
        <v>2938</v>
      </c>
      <c r="D41" s="49" t="s">
        <v>1264</v>
      </c>
      <c r="E41" s="49" t="s">
        <v>2908</v>
      </c>
      <c r="F41" s="49" t="s">
        <v>2939</v>
      </c>
      <c r="G41" s="49" t="s">
        <v>2901</v>
      </c>
      <c r="H41" s="49" t="s">
        <v>980</v>
      </c>
      <c r="I41" s="50">
        <v>34983</v>
      </c>
      <c r="J41" s="50">
        <v>44476</v>
      </c>
      <c r="K41" s="50">
        <v>46301</v>
      </c>
      <c r="M41" s="49" t="s">
        <v>2940</v>
      </c>
    </row>
    <row r="42" spans="1:13" x14ac:dyDescent="0.35">
      <c r="A42" s="49" t="s">
        <v>2941</v>
      </c>
      <c r="B42" s="49" t="s">
        <v>2942</v>
      </c>
      <c r="C42" s="49" t="s">
        <v>2943</v>
      </c>
      <c r="D42" s="49" t="s">
        <v>1264</v>
      </c>
      <c r="E42" s="49" t="s">
        <v>2908</v>
      </c>
      <c r="F42" s="49" t="s">
        <v>2939</v>
      </c>
      <c r="G42" s="49" t="s">
        <v>2787</v>
      </c>
      <c r="H42" s="49" t="s">
        <v>980</v>
      </c>
      <c r="I42" s="50">
        <v>34995</v>
      </c>
      <c r="J42" s="50">
        <v>40864</v>
      </c>
      <c r="K42" s="50">
        <v>42690</v>
      </c>
      <c r="M42" s="49" t="s">
        <v>2944</v>
      </c>
    </row>
    <row r="43" spans="1:13" x14ac:dyDescent="0.35">
      <c r="A43" s="49" t="s">
        <v>2945</v>
      </c>
      <c r="B43" s="49" t="s">
        <v>2937</v>
      </c>
      <c r="C43" s="49" t="s">
        <v>2927</v>
      </c>
      <c r="D43" s="49" t="s">
        <v>1264</v>
      </c>
      <c r="E43" s="49" t="s">
        <v>2908</v>
      </c>
      <c r="F43" s="49" t="s">
        <v>2939</v>
      </c>
      <c r="G43" s="49" t="s">
        <v>2901</v>
      </c>
      <c r="H43" s="49" t="s">
        <v>980</v>
      </c>
      <c r="I43" s="50">
        <v>35192</v>
      </c>
      <c r="J43" s="50">
        <v>35384</v>
      </c>
      <c r="K43" s="50">
        <v>46121</v>
      </c>
      <c r="M43" s="49" t="s">
        <v>2946</v>
      </c>
    </row>
    <row r="44" spans="1:13" x14ac:dyDescent="0.35">
      <c r="A44" s="49" t="s">
        <v>2947</v>
      </c>
      <c r="B44" s="49" t="s">
        <v>2948</v>
      </c>
      <c r="C44" s="49" t="s">
        <v>2949</v>
      </c>
      <c r="D44" s="49" t="s">
        <v>1264</v>
      </c>
      <c r="E44" s="49" t="s">
        <v>2899</v>
      </c>
      <c r="F44" s="49" t="s">
        <v>2950</v>
      </c>
      <c r="G44" s="49" t="s">
        <v>2934</v>
      </c>
      <c r="H44" s="49" t="s">
        <v>980</v>
      </c>
      <c r="I44" s="50">
        <v>35468</v>
      </c>
      <c r="J44" s="50">
        <v>32289</v>
      </c>
      <c r="K44" s="50">
        <v>41420</v>
      </c>
      <c r="M44" s="49" t="s">
        <v>2951</v>
      </c>
    </row>
    <row r="45" spans="1:13" x14ac:dyDescent="0.35">
      <c r="A45" s="49" t="s">
        <v>2952</v>
      </c>
      <c r="B45" s="49" t="s">
        <v>2953</v>
      </c>
      <c r="C45" s="49" t="s">
        <v>2954</v>
      </c>
      <c r="D45" s="49" t="s">
        <v>1264</v>
      </c>
      <c r="E45" s="49" t="s">
        <v>2899</v>
      </c>
      <c r="F45" s="49" t="s">
        <v>2900</v>
      </c>
      <c r="G45" s="49" t="s">
        <v>2901</v>
      </c>
      <c r="H45" s="49" t="s">
        <v>980</v>
      </c>
      <c r="I45" s="50">
        <v>35986</v>
      </c>
      <c r="J45" s="50">
        <v>40102</v>
      </c>
      <c r="K45" s="50">
        <v>45584</v>
      </c>
      <c r="M45" s="49" t="s">
        <v>2955</v>
      </c>
    </row>
    <row r="46" spans="1:13" x14ac:dyDescent="0.35">
      <c r="A46" s="49" t="s">
        <v>2956</v>
      </c>
      <c r="B46" s="49" t="s">
        <v>2957</v>
      </c>
      <c r="C46" s="49" t="s">
        <v>2954</v>
      </c>
      <c r="D46" s="49" t="s">
        <v>1264</v>
      </c>
      <c r="E46" s="49" t="s">
        <v>2899</v>
      </c>
      <c r="F46" s="49" t="s">
        <v>2900</v>
      </c>
      <c r="G46" s="49" t="s">
        <v>2921</v>
      </c>
      <c r="H46" s="49" t="s">
        <v>980</v>
      </c>
      <c r="I46" s="50">
        <v>35986</v>
      </c>
      <c r="J46" s="50">
        <v>36452</v>
      </c>
      <c r="K46" s="50">
        <v>45583</v>
      </c>
      <c r="M46" s="49" t="s">
        <v>2958</v>
      </c>
    </row>
    <row r="47" spans="1:13" x14ac:dyDescent="0.35">
      <c r="A47" s="49" t="s">
        <v>2959</v>
      </c>
      <c r="B47" s="49" t="s">
        <v>2960</v>
      </c>
      <c r="C47" s="49" t="s">
        <v>2961</v>
      </c>
      <c r="D47" s="49" t="s">
        <v>1264</v>
      </c>
      <c r="E47" s="49" t="s">
        <v>2899</v>
      </c>
      <c r="F47" s="49" t="s">
        <v>2939</v>
      </c>
      <c r="G47" s="49" t="s">
        <v>2901</v>
      </c>
      <c r="H47" s="49" t="s">
        <v>980</v>
      </c>
      <c r="I47" s="50">
        <v>36285</v>
      </c>
      <c r="J47" s="50">
        <v>36578</v>
      </c>
      <c r="K47" s="50">
        <v>45709</v>
      </c>
      <c r="M47" s="49" t="s">
        <v>2962</v>
      </c>
    </row>
    <row r="48" spans="1:13" x14ac:dyDescent="0.35">
      <c r="A48" s="49" t="s">
        <v>2963</v>
      </c>
      <c r="B48" s="49" t="s">
        <v>2964</v>
      </c>
      <c r="C48" s="49" t="s">
        <v>2961</v>
      </c>
      <c r="D48" s="49" t="s">
        <v>1264</v>
      </c>
      <c r="E48" s="49" t="s">
        <v>2899</v>
      </c>
      <c r="F48" s="49" t="s">
        <v>2805</v>
      </c>
      <c r="G48" s="49" t="s">
        <v>2901</v>
      </c>
      <c r="H48" s="49" t="s">
        <v>980</v>
      </c>
      <c r="I48" s="50">
        <v>36285</v>
      </c>
      <c r="J48" s="50">
        <v>40102</v>
      </c>
      <c r="K48" s="50">
        <v>45710</v>
      </c>
      <c r="M48" s="49" t="s">
        <v>2965</v>
      </c>
    </row>
    <row r="49" spans="1:13" x14ac:dyDescent="0.35">
      <c r="A49" s="49" t="s">
        <v>2966</v>
      </c>
      <c r="B49" s="49" t="s">
        <v>2967</v>
      </c>
      <c r="C49" s="49" t="s">
        <v>2968</v>
      </c>
      <c r="D49" s="49" t="s">
        <v>1264</v>
      </c>
      <c r="E49" s="49" t="s">
        <v>2899</v>
      </c>
      <c r="F49" s="49" t="s">
        <v>2969</v>
      </c>
      <c r="G49" s="49" t="s">
        <v>2921</v>
      </c>
      <c r="H49" s="49" t="s">
        <v>2827</v>
      </c>
      <c r="I49" s="50">
        <v>37243</v>
      </c>
      <c r="J49" s="50">
        <v>39388</v>
      </c>
      <c r="K49" s="50">
        <v>43041</v>
      </c>
      <c r="M49" s="49" t="s">
        <v>2970</v>
      </c>
    </row>
    <row r="50" spans="1:13" x14ac:dyDescent="0.35">
      <c r="A50" s="49" t="s">
        <v>2971</v>
      </c>
      <c r="B50" s="49" t="s">
        <v>2972</v>
      </c>
      <c r="C50" s="49" t="s">
        <v>2973</v>
      </c>
      <c r="D50" s="49" t="s">
        <v>1264</v>
      </c>
      <c r="E50" s="49" t="s">
        <v>2974</v>
      </c>
      <c r="F50" s="49" t="s">
        <v>2825</v>
      </c>
      <c r="G50" s="49" t="s">
        <v>2975</v>
      </c>
      <c r="H50" s="49" t="s">
        <v>2827</v>
      </c>
      <c r="I50" s="50">
        <v>37341</v>
      </c>
      <c r="J50" s="50">
        <v>44131</v>
      </c>
      <c r="K50" s="50">
        <v>45956</v>
      </c>
      <c r="M50" s="49" t="s">
        <v>2976</v>
      </c>
    </row>
    <row r="51" spans="1:13" x14ac:dyDescent="0.35">
      <c r="A51" s="49" t="s">
        <v>2977</v>
      </c>
      <c r="B51" s="49" t="s">
        <v>2937</v>
      </c>
      <c r="C51" s="49" t="s">
        <v>2857</v>
      </c>
      <c r="D51" s="49" t="s">
        <v>1264</v>
      </c>
      <c r="E51" s="49" t="s">
        <v>2908</v>
      </c>
      <c r="F51" s="49" t="s">
        <v>2939</v>
      </c>
      <c r="G51" s="49" t="s">
        <v>2787</v>
      </c>
      <c r="H51" s="49" t="s">
        <v>980</v>
      </c>
      <c r="I51" s="50">
        <v>38079</v>
      </c>
      <c r="J51" s="50">
        <v>38525</v>
      </c>
      <c r="K51" s="50">
        <v>44651</v>
      </c>
      <c r="M51" s="49" t="s">
        <v>2978</v>
      </c>
    </row>
    <row r="52" spans="1:13" x14ac:dyDescent="0.35">
      <c r="A52" s="49" t="s">
        <v>2979</v>
      </c>
      <c r="B52" s="49" t="s">
        <v>2980</v>
      </c>
      <c r="C52" s="49" t="s">
        <v>2981</v>
      </c>
      <c r="D52" s="49" t="s">
        <v>1264</v>
      </c>
      <c r="E52" s="49" t="s">
        <v>2899</v>
      </c>
      <c r="F52" s="49" t="s">
        <v>2825</v>
      </c>
      <c r="G52" s="49" t="s">
        <v>2901</v>
      </c>
      <c r="H52" s="49" t="s">
        <v>2827</v>
      </c>
      <c r="I52" s="50">
        <v>38434</v>
      </c>
      <c r="J52" s="50">
        <v>38512</v>
      </c>
      <c r="K52" s="50">
        <v>51247</v>
      </c>
      <c r="M52" s="49" t="s">
        <v>2982</v>
      </c>
    </row>
    <row r="53" spans="1:13" x14ac:dyDescent="0.35">
      <c r="A53" s="49" t="s">
        <v>2983</v>
      </c>
      <c r="B53" s="49" t="s">
        <v>2984</v>
      </c>
      <c r="C53" s="49" t="s">
        <v>2985</v>
      </c>
      <c r="D53" s="49" t="s">
        <v>1264</v>
      </c>
      <c r="E53" s="49" t="s">
        <v>2986</v>
      </c>
      <c r="F53" s="49" t="s">
        <v>2825</v>
      </c>
      <c r="G53" s="49" t="s">
        <v>2820</v>
      </c>
      <c r="H53" s="49" t="s">
        <v>2827</v>
      </c>
      <c r="I53" s="50">
        <v>38730</v>
      </c>
      <c r="J53" s="50">
        <v>39044</v>
      </c>
      <c r="K53" s="50">
        <v>42753</v>
      </c>
      <c r="M53" s="49" t="s">
        <v>2987</v>
      </c>
    </row>
    <row r="54" spans="1:13" x14ac:dyDescent="0.35">
      <c r="A54" s="49" t="s">
        <v>2988</v>
      </c>
      <c r="B54" s="49" t="s">
        <v>2989</v>
      </c>
      <c r="C54" s="49" t="s">
        <v>2857</v>
      </c>
      <c r="D54" s="49" t="s">
        <v>1264</v>
      </c>
      <c r="E54" s="49" t="s">
        <v>2908</v>
      </c>
      <c r="F54" s="49" t="s">
        <v>2939</v>
      </c>
      <c r="G54" s="49" t="s">
        <v>2901</v>
      </c>
      <c r="H54" s="49" t="s">
        <v>980</v>
      </c>
      <c r="I54" s="50">
        <v>38734</v>
      </c>
      <c r="J54" s="50">
        <v>40430</v>
      </c>
      <c r="K54" s="50">
        <v>46154</v>
      </c>
      <c r="M54" s="49" t="s">
        <v>2990</v>
      </c>
    </row>
    <row r="55" spans="1:13" x14ac:dyDescent="0.35">
      <c r="A55" s="49" t="s">
        <v>2991</v>
      </c>
      <c r="B55" s="49" t="s">
        <v>2992</v>
      </c>
      <c r="C55" s="49" t="s">
        <v>2993</v>
      </c>
      <c r="D55" s="49" t="s">
        <v>1264</v>
      </c>
      <c r="E55" s="49" t="s">
        <v>2899</v>
      </c>
      <c r="F55" s="49" t="s">
        <v>2939</v>
      </c>
      <c r="G55" s="49" t="s">
        <v>2901</v>
      </c>
      <c r="H55" s="49" t="s">
        <v>8</v>
      </c>
      <c r="I55" s="50">
        <v>38751</v>
      </c>
      <c r="J55" s="50">
        <v>40102</v>
      </c>
      <c r="K55" s="50">
        <v>47957</v>
      </c>
      <c r="M55" s="49" t="s">
        <v>2994</v>
      </c>
    </row>
    <row r="56" spans="1:13" x14ac:dyDescent="0.35">
      <c r="A56" s="49" t="s">
        <v>2995</v>
      </c>
      <c r="B56" s="49" t="s">
        <v>2996</v>
      </c>
      <c r="C56" s="49" t="s">
        <v>2997</v>
      </c>
      <c r="D56" s="49" t="s">
        <v>1264</v>
      </c>
      <c r="E56" s="49" t="s">
        <v>2899</v>
      </c>
      <c r="F56" s="49" t="s">
        <v>2939</v>
      </c>
      <c r="G56" s="49" t="s">
        <v>2901</v>
      </c>
      <c r="H56" s="49" t="s">
        <v>980</v>
      </c>
      <c r="I56" s="50">
        <v>38751</v>
      </c>
      <c r="J56" s="50">
        <v>38826</v>
      </c>
      <c r="K56" s="50">
        <v>48688</v>
      </c>
      <c r="M56" s="49" t="s">
        <v>2998</v>
      </c>
    </row>
    <row r="57" spans="1:13" x14ac:dyDescent="0.35">
      <c r="A57" s="49" t="s">
        <v>2999</v>
      </c>
      <c r="B57" s="49" t="s">
        <v>3000</v>
      </c>
      <c r="C57" s="49" t="s">
        <v>2993</v>
      </c>
      <c r="D57" s="49" t="s">
        <v>1264</v>
      </c>
      <c r="E57" s="49" t="s">
        <v>2899</v>
      </c>
      <c r="F57" s="49" t="s">
        <v>2939</v>
      </c>
      <c r="G57" s="49" t="s">
        <v>2901</v>
      </c>
      <c r="H57" s="49" t="s">
        <v>980</v>
      </c>
      <c r="I57" s="50">
        <v>38751</v>
      </c>
      <c r="J57" s="50">
        <v>38826</v>
      </c>
      <c r="K57" s="50">
        <v>47956</v>
      </c>
      <c r="M57" s="49" t="s">
        <v>3001</v>
      </c>
    </row>
    <row r="58" spans="1:13" x14ac:dyDescent="0.35">
      <c r="A58" s="49" t="s">
        <v>3002</v>
      </c>
      <c r="B58" s="49" t="s">
        <v>3003</v>
      </c>
      <c r="C58" s="49" t="s">
        <v>3004</v>
      </c>
      <c r="D58" s="49" t="s">
        <v>1264</v>
      </c>
      <c r="E58" s="49" t="s">
        <v>2899</v>
      </c>
      <c r="F58" s="49" t="s">
        <v>3005</v>
      </c>
      <c r="G58" s="49" t="s">
        <v>2901</v>
      </c>
      <c r="H58" s="49" t="s">
        <v>980</v>
      </c>
      <c r="I58" s="50">
        <v>38826</v>
      </c>
      <c r="J58" s="50">
        <v>40102</v>
      </c>
      <c r="K58" s="50">
        <v>48520</v>
      </c>
      <c r="M58" s="49" t="s">
        <v>3006</v>
      </c>
    </row>
    <row r="59" spans="1:13" x14ac:dyDescent="0.35">
      <c r="A59" s="49" t="s">
        <v>3007</v>
      </c>
      <c r="B59" s="49" t="s">
        <v>3008</v>
      </c>
      <c r="C59" s="49" t="s">
        <v>3009</v>
      </c>
      <c r="D59" s="49" t="s">
        <v>1264</v>
      </c>
      <c r="E59" s="49" t="s">
        <v>2908</v>
      </c>
      <c r="F59" s="49" t="s">
        <v>3010</v>
      </c>
      <c r="G59" s="49" t="s">
        <v>2921</v>
      </c>
      <c r="H59" s="49" t="s">
        <v>980</v>
      </c>
      <c r="I59" s="50">
        <v>38889</v>
      </c>
      <c r="J59" s="50">
        <v>39024</v>
      </c>
      <c r="K59" s="50">
        <v>44296</v>
      </c>
      <c r="M59" s="49" t="s">
        <v>3011</v>
      </c>
    </row>
    <row r="60" spans="1:13" x14ac:dyDescent="0.35">
      <c r="A60" s="49" t="s">
        <v>3012</v>
      </c>
      <c r="B60" s="49" t="s">
        <v>3013</v>
      </c>
      <c r="C60" s="49" t="s">
        <v>3014</v>
      </c>
      <c r="D60" s="49" t="s">
        <v>1264</v>
      </c>
      <c r="E60" s="49" t="s">
        <v>2908</v>
      </c>
      <c r="F60" s="49" t="s">
        <v>2837</v>
      </c>
      <c r="G60" s="49" t="s">
        <v>2787</v>
      </c>
      <c r="H60" s="49" t="s">
        <v>980</v>
      </c>
      <c r="I60" s="50">
        <v>38908</v>
      </c>
      <c r="J60" s="50">
        <v>39237</v>
      </c>
      <c r="K60" s="50">
        <v>45170</v>
      </c>
      <c r="M60" s="49" t="s">
        <v>3015</v>
      </c>
    </row>
    <row r="61" spans="1:13" x14ac:dyDescent="0.35">
      <c r="A61" s="49" t="s">
        <v>3016</v>
      </c>
      <c r="B61" s="49" t="s">
        <v>3017</v>
      </c>
      <c r="C61" s="49" t="s">
        <v>3018</v>
      </c>
      <c r="D61" s="49" t="s">
        <v>1264</v>
      </c>
      <c r="E61" s="49" t="s">
        <v>2908</v>
      </c>
      <c r="F61" s="49" t="s">
        <v>2939</v>
      </c>
      <c r="G61" s="49" t="s">
        <v>2787</v>
      </c>
      <c r="H61" s="49" t="s">
        <v>980</v>
      </c>
      <c r="I61" s="50">
        <v>39206</v>
      </c>
      <c r="J61" s="50">
        <v>43325</v>
      </c>
      <c r="K61" s="50">
        <v>45150</v>
      </c>
      <c r="M61" s="49" t="s">
        <v>3019</v>
      </c>
    </row>
    <row r="62" spans="1:13" x14ac:dyDescent="0.35">
      <c r="A62" s="49" t="s">
        <v>3020</v>
      </c>
      <c r="B62" s="49" t="s">
        <v>3021</v>
      </c>
      <c r="C62" s="49" t="s">
        <v>3022</v>
      </c>
      <c r="D62" s="49" t="s">
        <v>1264</v>
      </c>
      <c r="E62" s="49" t="s">
        <v>2774</v>
      </c>
      <c r="F62" s="49" t="s">
        <v>2900</v>
      </c>
      <c r="G62" s="49" t="s">
        <v>2975</v>
      </c>
      <c r="H62" s="49" t="s">
        <v>2832</v>
      </c>
      <c r="I62" s="50">
        <v>39282</v>
      </c>
      <c r="J62" s="50">
        <v>40940</v>
      </c>
      <c r="K62" s="50">
        <v>42035</v>
      </c>
      <c r="M62" s="49" t="s">
        <v>3023</v>
      </c>
    </row>
    <row r="63" spans="1:13" x14ac:dyDescent="0.35">
      <c r="A63" s="49" t="s">
        <v>3024</v>
      </c>
      <c r="B63" s="49" t="s">
        <v>2937</v>
      </c>
      <c r="C63" s="49" t="s">
        <v>3025</v>
      </c>
      <c r="D63" s="49" t="s">
        <v>1264</v>
      </c>
      <c r="E63" s="49" t="s">
        <v>2908</v>
      </c>
      <c r="F63" s="49" t="s">
        <v>2939</v>
      </c>
      <c r="G63" s="49" t="s">
        <v>2787</v>
      </c>
      <c r="H63" s="49" t="s">
        <v>980</v>
      </c>
      <c r="I63" s="50">
        <v>39304</v>
      </c>
      <c r="J63" s="50">
        <v>43474</v>
      </c>
      <c r="K63" s="50">
        <v>45635</v>
      </c>
      <c r="M63" s="49" t="s">
        <v>3026</v>
      </c>
    </row>
    <row r="64" spans="1:13" x14ac:dyDescent="0.35">
      <c r="A64" s="49" t="s">
        <v>3027</v>
      </c>
      <c r="B64" s="49" t="s">
        <v>3028</v>
      </c>
      <c r="C64" s="49" t="s">
        <v>3029</v>
      </c>
      <c r="D64" s="49" t="s">
        <v>1264</v>
      </c>
      <c r="E64" s="49" t="s">
        <v>2899</v>
      </c>
      <c r="F64" s="49" t="s">
        <v>3030</v>
      </c>
      <c r="G64" s="49" t="s">
        <v>2901</v>
      </c>
      <c r="H64" s="49" t="s">
        <v>980</v>
      </c>
      <c r="I64" s="50">
        <v>39310</v>
      </c>
      <c r="J64" s="50">
        <v>39794</v>
      </c>
      <c r="K64" s="50">
        <v>48924</v>
      </c>
      <c r="M64" s="49" t="s">
        <v>3031</v>
      </c>
    </row>
    <row r="65" spans="1:13" x14ac:dyDescent="0.35">
      <c r="A65" s="49" t="s">
        <v>3032</v>
      </c>
      <c r="B65" s="49" t="s">
        <v>3033</v>
      </c>
      <c r="C65" s="49" t="s">
        <v>2927</v>
      </c>
      <c r="D65" s="49" t="s">
        <v>1264</v>
      </c>
      <c r="E65" s="49" t="s">
        <v>2908</v>
      </c>
      <c r="F65" s="49" t="s">
        <v>2837</v>
      </c>
      <c r="G65" s="49" t="s">
        <v>2901</v>
      </c>
      <c r="H65" s="49" t="s">
        <v>980</v>
      </c>
      <c r="I65" s="50">
        <v>39384</v>
      </c>
      <c r="J65" s="50">
        <v>39629</v>
      </c>
      <c r="K65" s="50">
        <v>46128</v>
      </c>
      <c r="M65" s="49" t="s">
        <v>3034</v>
      </c>
    </row>
    <row r="66" spans="1:13" x14ac:dyDescent="0.35">
      <c r="A66" s="49" t="s">
        <v>3035</v>
      </c>
      <c r="B66" s="49" t="s">
        <v>2937</v>
      </c>
      <c r="C66" s="49" t="s">
        <v>3036</v>
      </c>
      <c r="D66" s="49" t="s">
        <v>1264</v>
      </c>
      <c r="E66" s="49" t="s">
        <v>2908</v>
      </c>
      <c r="F66" s="49" t="s">
        <v>2939</v>
      </c>
      <c r="G66" s="49" t="s">
        <v>2901</v>
      </c>
      <c r="H66" s="49" t="s">
        <v>980</v>
      </c>
      <c r="I66" s="50">
        <v>38679</v>
      </c>
      <c r="J66" s="50">
        <v>39044</v>
      </c>
      <c r="K66" s="50">
        <v>45928</v>
      </c>
      <c r="M66" s="49" t="s">
        <v>3037</v>
      </c>
    </row>
    <row r="67" spans="1:13" x14ac:dyDescent="0.35">
      <c r="A67" s="49" t="s">
        <v>3038</v>
      </c>
      <c r="B67" s="49" t="s">
        <v>3039</v>
      </c>
      <c r="C67" s="49" t="s">
        <v>2927</v>
      </c>
      <c r="D67" s="49" t="s">
        <v>1264</v>
      </c>
      <c r="E67" s="49" t="s">
        <v>2908</v>
      </c>
      <c r="F67" s="49" t="s">
        <v>2837</v>
      </c>
      <c r="G67" s="49" t="s">
        <v>2901</v>
      </c>
      <c r="H67" s="49" t="s">
        <v>980</v>
      </c>
      <c r="I67" s="50">
        <v>39496</v>
      </c>
      <c r="J67" s="50">
        <v>40032</v>
      </c>
      <c r="K67" s="50">
        <v>46339</v>
      </c>
      <c r="M67" s="49" t="s">
        <v>3040</v>
      </c>
    </row>
    <row r="68" spans="1:13" x14ac:dyDescent="0.35">
      <c r="A68" s="49" t="s">
        <v>3041</v>
      </c>
      <c r="B68" s="49" t="s">
        <v>3042</v>
      </c>
      <c r="C68" s="49" t="s">
        <v>3043</v>
      </c>
      <c r="D68" s="49" t="s">
        <v>1264</v>
      </c>
      <c r="E68" s="49" t="s">
        <v>2774</v>
      </c>
      <c r="F68" s="49" t="s">
        <v>2825</v>
      </c>
      <c r="G68" s="49" t="s">
        <v>2787</v>
      </c>
      <c r="H68" s="49" t="s">
        <v>2827</v>
      </c>
      <c r="I68" s="50">
        <v>39520</v>
      </c>
      <c r="J68" s="50">
        <v>40128</v>
      </c>
      <c r="K68" s="50">
        <v>45323</v>
      </c>
      <c r="M68" s="49" t="s">
        <v>3044</v>
      </c>
    </row>
    <row r="69" spans="1:13" x14ac:dyDescent="0.35">
      <c r="A69" s="49" t="s">
        <v>3045</v>
      </c>
      <c r="B69" s="49" t="s">
        <v>3046</v>
      </c>
      <c r="C69" s="49" t="s">
        <v>3047</v>
      </c>
      <c r="D69" s="49" t="s">
        <v>1264</v>
      </c>
      <c r="E69" s="49" t="s">
        <v>2974</v>
      </c>
      <c r="F69" s="49" t="s">
        <v>2825</v>
      </c>
      <c r="G69" s="49" t="s">
        <v>2787</v>
      </c>
      <c r="H69" s="49" t="s">
        <v>2827</v>
      </c>
      <c r="I69" s="50">
        <v>39530</v>
      </c>
      <c r="J69" s="50">
        <v>39688</v>
      </c>
      <c r="K69" s="50">
        <v>44801</v>
      </c>
      <c r="M69" s="49" t="s">
        <v>3048</v>
      </c>
    </row>
    <row r="70" spans="1:13" x14ac:dyDescent="0.35">
      <c r="A70" s="49" t="s">
        <v>3049</v>
      </c>
      <c r="B70" s="49" t="s">
        <v>3050</v>
      </c>
      <c r="C70" s="49" t="s">
        <v>3051</v>
      </c>
      <c r="D70" s="49" t="s">
        <v>1264</v>
      </c>
      <c r="E70" s="49" t="s">
        <v>2974</v>
      </c>
      <c r="F70" s="49" t="s">
        <v>2900</v>
      </c>
      <c r="G70" s="49" t="s">
        <v>2787</v>
      </c>
      <c r="H70" s="49" t="s">
        <v>2832</v>
      </c>
      <c r="I70" s="50">
        <v>39536</v>
      </c>
      <c r="J70" s="50">
        <v>39597</v>
      </c>
      <c r="K70" s="50">
        <v>41787</v>
      </c>
      <c r="M70" s="49" t="s">
        <v>3052</v>
      </c>
    </row>
    <row r="71" spans="1:13" x14ac:dyDescent="0.35">
      <c r="A71" s="49" t="s">
        <v>3053</v>
      </c>
      <c r="B71" s="49" t="s">
        <v>2937</v>
      </c>
      <c r="C71" s="49" t="s">
        <v>2927</v>
      </c>
      <c r="D71" s="49" t="s">
        <v>1264</v>
      </c>
      <c r="E71" s="49" t="s">
        <v>2908</v>
      </c>
      <c r="F71" s="49" t="s">
        <v>2939</v>
      </c>
      <c r="G71" s="49" t="s">
        <v>2901</v>
      </c>
      <c r="H71" s="49" t="s">
        <v>980</v>
      </c>
      <c r="I71" s="50">
        <v>39694</v>
      </c>
      <c r="J71" s="50">
        <v>40032</v>
      </c>
      <c r="K71" s="50">
        <v>46119</v>
      </c>
      <c r="M71" s="49" t="s">
        <v>3054</v>
      </c>
    </row>
    <row r="72" spans="1:13" x14ac:dyDescent="0.35">
      <c r="A72" s="49" t="s">
        <v>3055</v>
      </c>
      <c r="B72" s="49" t="s">
        <v>2891</v>
      </c>
      <c r="C72" s="49" t="s">
        <v>3056</v>
      </c>
      <c r="D72" s="49" t="s">
        <v>1264</v>
      </c>
      <c r="E72" s="49" t="s">
        <v>2908</v>
      </c>
      <c r="F72" s="49" t="s">
        <v>2837</v>
      </c>
      <c r="G72" s="49" t="s">
        <v>2787</v>
      </c>
      <c r="H72" s="49" t="s">
        <v>980</v>
      </c>
      <c r="I72" s="50">
        <v>39771</v>
      </c>
      <c r="J72" s="50">
        <v>40128</v>
      </c>
      <c r="K72" s="50">
        <v>45533</v>
      </c>
      <c r="M72" s="49" t="s">
        <v>3057</v>
      </c>
    </row>
    <row r="73" spans="1:13" x14ac:dyDescent="0.35">
      <c r="A73" s="49" t="s">
        <v>3058</v>
      </c>
      <c r="B73" s="49" t="s">
        <v>3059</v>
      </c>
      <c r="C73" s="49" t="s">
        <v>3060</v>
      </c>
      <c r="D73" s="49" t="s">
        <v>1264</v>
      </c>
      <c r="E73" s="49" t="s">
        <v>2986</v>
      </c>
      <c r="F73" s="49" t="s">
        <v>2825</v>
      </c>
      <c r="G73" s="49" t="s">
        <v>2820</v>
      </c>
      <c r="H73" s="49" t="s">
        <v>2827</v>
      </c>
      <c r="I73" s="50">
        <v>39776</v>
      </c>
      <c r="J73" s="50">
        <v>39861</v>
      </c>
      <c r="K73" s="50">
        <v>45353</v>
      </c>
      <c r="M73" s="49" t="s">
        <v>3061</v>
      </c>
    </row>
    <row r="74" spans="1:13" x14ac:dyDescent="0.35">
      <c r="A74" s="49" t="s">
        <v>3062</v>
      </c>
      <c r="B74" s="49" t="s">
        <v>3063</v>
      </c>
      <c r="C74" s="49" t="s">
        <v>2857</v>
      </c>
      <c r="D74" s="49" t="s">
        <v>1264</v>
      </c>
      <c r="E74" s="49" t="s">
        <v>2908</v>
      </c>
      <c r="F74" s="49" t="s">
        <v>2837</v>
      </c>
      <c r="G74" s="49" t="s">
        <v>2787</v>
      </c>
      <c r="H74" s="49" t="s">
        <v>980</v>
      </c>
      <c r="I74" s="50">
        <v>39818</v>
      </c>
      <c r="J74" s="50">
        <v>39986</v>
      </c>
      <c r="K74" s="50">
        <v>45563</v>
      </c>
      <c r="L74" s="50">
        <v>43737</v>
      </c>
      <c r="M74" s="49" t="s">
        <v>3064</v>
      </c>
    </row>
    <row r="75" spans="1:13" x14ac:dyDescent="0.35">
      <c r="A75" s="49" t="s">
        <v>3065</v>
      </c>
      <c r="B75" s="49" t="s">
        <v>3063</v>
      </c>
      <c r="C75" s="49" t="s">
        <v>2813</v>
      </c>
      <c r="D75" s="49" t="s">
        <v>1264</v>
      </c>
      <c r="E75" s="49" t="s">
        <v>2908</v>
      </c>
      <c r="F75" s="49" t="s">
        <v>2837</v>
      </c>
      <c r="G75" s="49" t="s">
        <v>2787</v>
      </c>
      <c r="H75" s="49" t="s">
        <v>980</v>
      </c>
      <c r="I75" s="50">
        <v>39848</v>
      </c>
      <c r="J75" s="50">
        <v>40066</v>
      </c>
      <c r="K75" s="50">
        <v>45543</v>
      </c>
      <c r="M75" s="49" t="s">
        <v>3066</v>
      </c>
    </row>
    <row r="76" spans="1:13" x14ac:dyDescent="0.35">
      <c r="A76" s="49" t="s">
        <v>3067</v>
      </c>
      <c r="B76" s="49" t="s">
        <v>3068</v>
      </c>
      <c r="C76" s="49" t="s">
        <v>2857</v>
      </c>
      <c r="D76" s="49" t="s">
        <v>1264</v>
      </c>
      <c r="E76" s="49" t="s">
        <v>2908</v>
      </c>
      <c r="F76" s="49" t="s">
        <v>2837</v>
      </c>
      <c r="G76" s="49" t="s">
        <v>2826</v>
      </c>
      <c r="H76" s="49" t="s">
        <v>980</v>
      </c>
      <c r="I76" s="50">
        <v>39947</v>
      </c>
      <c r="J76" s="50">
        <v>40066</v>
      </c>
      <c r="K76" s="50">
        <v>45274</v>
      </c>
      <c r="M76" s="49" t="s">
        <v>3069</v>
      </c>
    </row>
    <row r="77" spans="1:13" x14ac:dyDescent="0.35">
      <c r="A77" s="49" t="s">
        <v>3070</v>
      </c>
      <c r="B77" s="49" t="s">
        <v>3071</v>
      </c>
      <c r="C77" s="49" t="s">
        <v>3072</v>
      </c>
      <c r="D77" s="49" t="s">
        <v>1264</v>
      </c>
      <c r="E77" s="49" t="s">
        <v>2974</v>
      </c>
      <c r="F77" s="49" t="s">
        <v>2900</v>
      </c>
      <c r="G77" s="49" t="s">
        <v>2787</v>
      </c>
      <c r="H77" s="49" t="s">
        <v>980</v>
      </c>
      <c r="I77" s="50">
        <v>39990</v>
      </c>
      <c r="J77" s="50">
        <v>40126</v>
      </c>
      <c r="K77" s="50">
        <v>45215</v>
      </c>
      <c r="M77" s="49" t="s">
        <v>3073</v>
      </c>
    </row>
    <row r="78" spans="1:13" x14ac:dyDescent="0.35">
      <c r="A78" s="49" t="s">
        <v>3074</v>
      </c>
      <c r="B78" s="49" t="s">
        <v>3075</v>
      </c>
      <c r="C78" s="49" t="s">
        <v>3076</v>
      </c>
      <c r="D78" s="49" t="s">
        <v>1264</v>
      </c>
      <c r="E78" s="49" t="s">
        <v>2986</v>
      </c>
      <c r="F78" s="49" t="s">
        <v>2825</v>
      </c>
      <c r="G78" s="49" t="s">
        <v>2820</v>
      </c>
      <c r="H78" s="49" t="s">
        <v>2827</v>
      </c>
      <c r="I78" s="50">
        <v>40009</v>
      </c>
      <c r="J78" s="50">
        <v>40190</v>
      </c>
      <c r="K78" s="50">
        <v>40920</v>
      </c>
      <c r="M78" s="49" t="s">
        <v>3077</v>
      </c>
    </row>
    <row r="79" spans="1:13" x14ac:dyDescent="0.35">
      <c r="A79" s="49" t="s">
        <v>3078</v>
      </c>
      <c r="B79" s="49" t="s">
        <v>3079</v>
      </c>
      <c r="C79" s="49" t="s">
        <v>3080</v>
      </c>
      <c r="D79" s="49" t="s">
        <v>1264</v>
      </c>
      <c r="E79" s="49" t="s">
        <v>2986</v>
      </c>
      <c r="F79" s="49" t="s">
        <v>2825</v>
      </c>
      <c r="G79" s="49" t="s">
        <v>2787</v>
      </c>
      <c r="H79" s="49" t="s">
        <v>2827</v>
      </c>
      <c r="I79" s="50">
        <v>40009</v>
      </c>
      <c r="J79" s="50">
        <v>40190</v>
      </c>
      <c r="K79" s="50">
        <v>44411</v>
      </c>
      <c r="M79" s="49" t="s">
        <v>3081</v>
      </c>
    </row>
    <row r="80" spans="1:13" x14ac:dyDescent="0.35">
      <c r="A80" s="49" t="s">
        <v>3082</v>
      </c>
      <c r="B80" s="49" t="s">
        <v>3083</v>
      </c>
      <c r="C80" s="49" t="s">
        <v>3084</v>
      </c>
      <c r="D80" s="49" t="s">
        <v>1264</v>
      </c>
      <c r="E80" s="49" t="s">
        <v>2986</v>
      </c>
      <c r="F80" s="49" t="s">
        <v>2825</v>
      </c>
      <c r="G80" s="49" t="s">
        <v>2787</v>
      </c>
      <c r="H80" s="49" t="s">
        <v>2827</v>
      </c>
      <c r="I80" s="50">
        <v>40009</v>
      </c>
      <c r="J80" s="50">
        <v>40920</v>
      </c>
      <c r="K80" s="50">
        <v>45353</v>
      </c>
      <c r="M80" s="49" t="s">
        <v>3085</v>
      </c>
    </row>
    <row r="81" spans="1:13" x14ac:dyDescent="0.35">
      <c r="A81" s="49" t="s">
        <v>3086</v>
      </c>
      <c r="B81" s="49" t="s">
        <v>2942</v>
      </c>
      <c r="C81" s="49" t="s">
        <v>3087</v>
      </c>
      <c r="D81" s="49" t="s">
        <v>1264</v>
      </c>
      <c r="E81" s="49" t="s">
        <v>2908</v>
      </c>
      <c r="F81" s="49" t="s">
        <v>2939</v>
      </c>
      <c r="G81" s="49" t="s">
        <v>2787</v>
      </c>
      <c r="H81" s="49" t="s">
        <v>980</v>
      </c>
      <c r="I81" s="50">
        <v>40014</v>
      </c>
      <c r="J81" s="50">
        <v>43515</v>
      </c>
      <c r="K81" s="50">
        <v>45341</v>
      </c>
      <c r="M81" s="49" t="s">
        <v>3088</v>
      </c>
    </row>
    <row r="82" spans="1:13" x14ac:dyDescent="0.35">
      <c r="A82" s="49" t="s">
        <v>3089</v>
      </c>
      <c r="B82" s="49" t="s">
        <v>3090</v>
      </c>
      <c r="C82" s="49" t="s">
        <v>3087</v>
      </c>
      <c r="D82" s="49" t="s">
        <v>1264</v>
      </c>
      <c r="E82" s="49" t="s">
        <v>2974</v>
      </c>
      <c r="F82" s="49" t="s">
        <v>3091</v>
      </c>
      <c r="G82" s="49" t="s">
        <v>2787</v>
      </c>
      <c r="H82" s="49" t="s">
        <v>973</v>
      </c>
      <c r="I82" s="50">
        <v>40030</v>
      </c>
      <c r="J82" s="50">
        <v>40112</v>
      </c>
      <c r="K82" s="50">
        <v>44494</v>
      </c>
      <c r="M82" s="49" t="s">
        <v>3092</v>
      </c>
    </row>
    <row r="83" spans="1:13" x14ac:dyDescent="0.35">
      <c r="A83" s="49" t="s">
        <v>3093</v>
      </c>
      <c r="B83" s="49" t="s">
        <v>3094</v>
      </c>
      <c r="C83" s="49" t="s">
        <v>3087</v>
      </c>
      <c r="D83" s="49" t="s">
        <v>1264</v>
      </c>
      <c r="E83" s="49" t="s">
        <v>2974</v>
      </c>
      <c r="F83" s="49" t="s">
        <v>3095</v>
      </c>
      <c r="G83" s="49" t="s">
        <v>2787</v>
      </c>
      <c r="H83" s="49" t="s">
        <v>973</v>
      </c>
      <c r="I83" s="50">
        <v>40030</v>
      </c>
      <c r="J83" s="50">
        <v>40112</v>
      </c>
      <c r="K83" s="50">
        <v>44466</v>
      </c>
      <c r="M83" s="49" t="s">
        <v>3096</v>
      </c>
    </row>
    <row r="84" spans="1:13" x14ac:dyDescent="0.35">
      <c r="A84" s="49" t="s">
        <v>3097</v>
      </c>
      <c r="B84" s="49" t="s">
        <v>3098</v>
      </c>
      <c r="C84" s="49" t="s">
        <v>3099</v>
      </c>
      <c r="D84" s="49" t="s">
        <v>1264</v>
      </c>
      <c r="E84" s="49" t="s">
        <v>2986</v>
      </c>
      <c r="F84" s="49" t="s">
        <v>2825</v>
      </c>
      <c r="G84" s="49" t="s">
        <v>2787</v>
      </c>
      <c r="H84" s="49" t="s">
        <v>2827</v>
      </c>
      <c r="I84" s="50">
        <v>40060</v>
      </c>
      <c r="J84" s="50">
        <v>40190</v>
      </c>
      <c r="K84" s="50">
        <v>44424</v>
      </c>
      <c r="M84" s="49" t="s">
        <v>3100</v>
      </c>
    </row>
    <row r="85" spans="1:13" x14ac:dyDescent="0.35">
      <c r="A85" s="49" t="s">
        <v>3101</v>
      </c>
      <c r="B85" s="49" t="s">
        <v>3102</v>
      </c>
      <c r="C85" s="49" t="s">
        <v>3103</v>
      </c>
      <c r="D85" s="49" t="s">
        <v>1264</v>
      </c>
      <c r="E85" s="49" t="s">
        <v>2908</v>
      </c>
      <c r="F85" s="49" t="s">
        <v>2939</v>
      </c>
      <c r="G85" s="49" t="s">
        <v>2787</v>
      </c>
      <c r="H85" s="49" t="s">
        <v>8</v>
      </c>
      <c r="I85" s="50">
        <v>40063</v>
      </c>
      <c r="J85" s="50">
        <v>40128</v>
      </c>
      <c r="K85" s="50">
        <v>44438</v>
      </c>
      <c r="M85" s="49" t="s">
        <v>3104</v>
      </c>
    </row>
    <row r="86" spans="1:13" x14ac:dyDescent="0.35">
      <c r="A86" s="49" t="s">
        <v>3105</v>
      </c>
      <c r="B86" s="49" t="s">
        <v>3106</v>
      </c>
      <c r="C86" s="49" t="s">
        <v>3107</v>
      </c>
      <c r="D86" s="49" t="s">
        <v>1264</v>
      </c>
      <c r="E86" s="49" t="s">
        <v>2974</v>
      </c>
      <c r="F86" s="49" t="s">
        <v>3108</v>
      </c>
      <c r="G86" s="49" t="s">
        <v>2787</v>
      </c>
      <c r="H86" s="49" t="s">
        <v>2827</v>
      </c>
      <c r="I86" s="50">
        <v>40088</v>
      </c>
      <c r="J86" s="50">
        <v>40130</v>
      </c>
      <c r="K86" s="50">
        <v>45638</v>
      </c>
      <c r="M86" s="49" t="s">
        <v>3109</v>
      </c>
    </row>
    <row r="87" spans="1:13" x14ac:dyDescent="0.35">
      <c r="A87" s="49" t="s">
        <v>3110</v>
      </c>
      <c r="B87" s="49" t="s">
        <v>3111</v>
      </c>
      <c r="C87" s="49" t="s">
        <v>3112</v>
      </c>
      <c r="D87" s="49" t="s">
        <v>1264</v>
      </c>
      <c r="E87" s="49" t="s">
        <v>2774</v>
      </c>
      <c r="F87" s="49" t="s">
        <v>2825</v>
      </c>
      <c r="G87" s="49" t="s">
        <v>2921</v>
      </c>
      <c r="H87" s="49" t="s">
        <v>2827</v>
      </c>
      <c r="I87" s="50">
        <v>40134</v>
      </c>
      <c r="J87" s="50">
        <v>43500</v>
      </c>
      <c r="K87" s="50">
        <v>44960</v>
      </c>
      <c r="M87" s="49" t="s">
        <v>3113</v>
      </c>
    </row>
    <row r="88" spans="1:13" x14ac:dyDescent="0.35">
      <c r="A88" s="49" t="s">
        <v>3114</v>
      </c>
      <c r="B88" s="49" t="s">
        <v>3115</v>
      </c>
      <c r="C88" s="49" t="s">
        <v>3116</v>
      </c>
      <c r="D88" s="49" t="s">
        <v>1264</v>
      </c>
      <c r="E88" s="49" t="s">
        <v>2908</v>
      </c>
      <c r="F88" s="49" t="s">
        <v>3010</v>
      </c>
      <c r="G88" s="49" t="s">
        <v>2901</v>
      </c>
      <c r="H88" s="49" t="s">
        <v>8</v>
      </c>
      <c r="I88" s="50">
        <v>40151</v>
      </c>
      <c r="J88" s="50">
        <v>37427</v>
      </c>
      <c r="K88" s="50">
        <v>45830</v>
      </c>
      <c r="M88" s="49" t="s">
        <v>3117</v>
      </c>
    </row>
    <row r="89" spans="1:13" x14ac:dyDescent="0.35">
      <c r="A89" s="49" t="s">
        <v>3118</v>
      </c>
      <c r="B89" s="49" t="s">
        <v>3119</v>
      </c>
      <c r="C89" s="49" t="s">
        <v>3120</v>
      </c>
      <c r="D89" s="49" t="s">
        <v>1264</v>
      </c>
      <c r="E89" s="49" t="s">
        <v>2986</v>
      </c>
      <c r="F89" s="49" t="s">
        <v>2825</v>
      </c>
      <c r="G89" s="49" t="s">
        <v>2787</v>
      </c>
      <c r="H89" s="49" t="s">
        <v>2827</v>
      </c>
      <c r="I89" s="50">
        <v>40199</v>
      </c>
      <c r="J89" s="50">
        <v>40252</v>
      </c>
      <c r="K89" s="50">
        <v>41712</v>
      </c>
      <c r="M89" s="49" t="s">
        <v>3121</v>
      </c>
    </row>
    <row r="90" spans="1:13" x14ac:dyDescent="0.35">
      <c r="A90" s="49" t="s">
        <v>3122</v>
      </c>
      <c r="B90" s="49" t="s">
        <v>3123</v>
      </c>
      <c r="C90" s="49" t="s">
        <v>3087</v>
      </c>
      <c r="D90" s="49" t="s">
        <v>1264</v>
      </c>
      <c r="E90" s="49" t="s">
        <v>2974</v>
      </c>
      <c r="F90" s="49" t="s">
        <v>3124</v>
      </c>
      <c r="G90" s="49" t="s">
        <v>2921</v>
      </c>
      <c r="H90" s="49" t="s">
        <v>980</v>
      </c>
      <c r="I90" s="50">
        <v>40262</v>
      </c>
      <c r="J90" s="50">
        <v>43283</v>
      </c>
      <c r="K90" s="50">
        <v>45108</v>
      </c>
      <c r="M90" s="49" t="s">
        <v>3125</v>
      </c>
    </row>
    <row r="91" spans="1:13" x14ac:dyDescent="0.35">
      <c r="A91" s="49" t="s">
        <v>3126</v>
      </c>
      <c r="B91" s="49" t="s">
        <v>3127</v>
      </c>
      <c r="C91" s="49" t="s">
        <v>3128</v>
      </c>
      <c r="D91" s="49" t="s">
        <v>1264</v>
      </c>
      <c r="E91" s="49" t="s">
        <v>2986</v>
      </c>
      <c r="F91" s="49" t="s">
        <v>2825</v>
      </c>
      <c r="G91" s="49" t="s">
        <v>2934</v>
      </c>
      <c r="H91" s="49" t="s">
        <v>2827</v>
      </c>
      <c r="I91" s="50">
        <v>40311</v>
      </c>
      <c r="J91" s="50">
        <v>40388</v>
      </c>
      <c r="K91" s="50">
        <v>45353</v>
      </c>
      <c r="M91" s="49" t="s">
        <v>3129</v>
      </c>
    </row>
    <row r="92" spans="1:13" x14ac:dyDescent="0.35">
      <c r="A92" s="49" t="s">
        <v>3130</v>
      </c>
      <c r="B92" s="49" t="s">
        <v>3131</v>
      </c>
      <c r="C92" s="49" t="s">
        <v>3132</v>
      </c>
      <c r="D92" s="49" t="s">
        <v>1264</v>
      </c>
      <c r="E92" s="49" t="s">
        <v>2774</v>
      </c>
      <c r="F92" s="49" t="s">
        <v>2825</v>
      </c>
      <c r="G92" s="49" t="s">
        <v>2787</v>
      </c>
      <c r="H92" s="49" t="s">
        <v>2827</v>
      </c>
      <c r="I92" s="50">
        <v>40359</v>
      </c>
      <c r="J92" s="50">
        <v>40513</v>
      </c>
      <c r="K92" s="50">
        <v>42704</v>
      </c>
      <c r="M92" s="49" t="s">
        <v>3133</v>
      </c>
    </row>
    <row r="93" spans="1:13" x14ac:dyDescent="0.35">
      <c r="A93" s="49" t="s">
        <v>3134</v>
      </c>
      <c r="B93" s="49" t="s">
        <v>3135</v>
      </c>
      <c r="C93" s="49" t="s">
        <v>3136</v>
      </c>
      <c r="D93" s="49" t="s">
        <v>1264</v>
      </c>
      <c r="E93" s="49" t="s">
        <v>2774</v>
      </c>
      <c r="F93" s="49" t="s">
        <v>2825</v>
      </c>
      <c r="G93" s="49" t="s">
        <v>2787</v>
      </c>
      <c r="H93" s="49" t="s">
        <v>2827</v>
      </c>
      <c r="I93" s="50">
        <v>40374</v>
      </c>
      <c r="J93" s="50">
        <v>40414</v>
      </c>
      <c r="K93" s="50">
        <v>44565</v>
      </c>
      <c r="M93" s="49" t="s">
        <v>3137</v>
      </c>
    </row>
    <row r="94" spans="1:13" x14ac:dyDescent="0.35">
      <c r="A94" s="49" t="s">
        <v>3138</v>
      </c>
      <c r="B94" s="49" t="s">
        <v>3139</v>
      </c>
      <c r="C94" s="49" t="s">
        <v>3140</v>
      </c>
      <c r="D94" s="49" t="s">
        <v>1264</v>
      </c>
      <c r="E94" s="49" t="s">
        <v>2986</v>
      </c>
      <c r="F94" s="49" t="s">
        <v>2825</v>
      </c>
      <c r="G94" s="49" t="s">
        <v>2787</v>
      </c>
      <c r="H94" s="49" t="s">
        <v>2827</v>
      </c>
      <c r="I94" s="50">
        <v>40386</v>
      </c>
      <c r="J94" s="50">
        <v>40582</v>
      </c>
      <c r="K94" s="50">
        <v>41312</v>
      </c>
      <c r="M94" s="49" t="s">
        <v>3141</v>
      </c>
    </row>
    <row r="95" spans="1:13" x14ac:dyDescent="0.35">
      <c r="A95" s="49" t="s">
        <v>3142</v>
      </c>
      <c r="B95" s="49" t="s">
        <v>3143</v>
      </c>
      <c r="C95" s="49" t="s">
        <v>3144</v>
      </c>
      <c r="D95" s="49" t="s">
        <v>1264</v>
      </c>
      <c r="E95" s="49" t="s">
        <v>2908</v>
      </c>
      <c r="F95" s="49" t="s">
        <v>3010</v>
      </c>
      <c r="G95" s="49" t="s">
        <v>2787</v>
      </c>
      <c r="H95" s="49" t="s">
        <v>980</v>
      </c>
      <c r="I95" s="50">
        <v>40427</v>
      </c>
      <c r="J95" s="50">
        <v>40430</v>
      </c>
      <c r="K95" s="50">
        <v>44474</v>
      </c>
      <c r="M95" s="49" t="s">
        <v>3145</v>
      </c>
    </row>
    <row r="96" spans="1:13" x14ac:dyDescent="0.35">
      <c r="A96" s="49" t="s">
        <v>3146</v>
      </c>
      <c r="B96" s="49" t="s">
        <v>3147</v>
      </c>
      <c r="C96" s="49" t="s">
        <v>3148</v>
      </c>
      <c r="D96" s="49" t="s">
        <v>1264</v>
      </c>
      <c r="E96" s="49" t="s">
        <v>2774</v>
      </c>
      <c r="F96" s="49" t="s">
        <v>2825</v>
      </c>
      <c r="G96" s="49" t="s">
        <v>2921</v>
      </c>
      <c r="H96" s="49" t="s">
        <v>2827</v>
      </c>
      <c r="I96" s="50">
        <v>40455</v>
      </c>
      <c r="J96" s="50">
        <v>40940</v>
      </c>
      <c r="K96" s="50">
        <v>44502</v>
      </c>
      <c r="M96" s="49" t="s">
        <v>3149</v>
      </c>
    </row>
    <row r="97" spans="1:13" x14ac:dyDescent="0.35">
      <c r="A97" s="49" t="s">
        <v>3150</v>
      </c>
      <c r="B97" s="49" t="s">
        <v>3151</v>
      </c>
      <c r="C97" s="49" t="s">
        <v>3152</v>
      </c>
      <c r="D97" s="49" t="s">
        <v>1264</v>
      </c>
      <c r="E97" s="49" t="s">
        <v>2986</v>
      </c>
      <c r="F97" s="49" t="s">
        <v>2825</v>
      </c>
      <c r="G97" s="49" t="s">
        <v>2787</v>
      </c>
      <c r="H97" s="49" t="s">
        <v>2827</v>
      </c>
      <c r="I97" s="50">
        <v>40519</v>
      </c>
      <c r="J97" s="50">
        <v>40667</v>
      </c>
      <c r="K97" s="50">
        <v>41397</v>
      </c>
      <c r="M97" s="49" t="s">
        <v>3153</v>
      </c>
    </row>
    <row r="98" spans="1:13" x14ac:dyDescent="0.35">
      <c r="A98" s="49" t="s">
        <v>3154</v>
      </c>
      <c r="B98" s="49" t="s">
        <v>3155</v>
      </c>
      <c r="C98" s="49" t="s">
        <v>3144</v>
      </c>
      <c r="D98" s="49" t="s">
        <v>1264</v>
      </c>
      <c r="E98" s="49" t="s">
        <v>2908</v>
      </c>
      <c r="F98" s="49" t="s">
        <v>3010</v>
      </c>
      <c r="G98" s="49" t="s">
        <v>2787</v>
      </c>
      <c r="H98" s="49" t="s">
        <v>980</v>
      </c>
      <c r="I98" s="50">
        <v>40542</v>
      </c>
      <c r="J98" s="50">
        <v>41219</v>
      </c>
      <c r="K98" s="50">
        <v>44870</v>
      </c>
      <c r="M98" s="49" t="s">
        <v>3156</v>
      </c>
    </row>
    <row r="99" spans="1:13" x14ac:dyDescent="0.35">
      <c r="A99" s="49" t="s">
        <v>3157</v>
      </c>
      <c r="C99" s="49" t="s">
        <v>3158</v>
      </c>
      <c r="D99" s="49" t="s">
        <v>1264</v>
      </c>
      <c r="E99" s="49" t="s">
        <v>2908</v>
      </c>
      <c r="F99" s="49" t="s">
        <v>2939</v>
      </c>
      <c r="G99" s="49" t="s">
        <v>2787</v>
      </c>
      <c r="H99" s="49" t="s">
        <v>980</v>
      </c>
      <c r="I99" s="50">
        <v>40575</v>
      </c>
      <c r="J99" s="50">
        <v>40575</v>
      </c>
      <c r="K99" s="50">
        <v>44255</v>
      </c>
      <c r="M99" s="49" t="s">
        <v>3159</v>
      </c>
    </row>
    <row r="100" spans="1:13" x14ac:dyDescent="0.35">
      <c r="A100" s="49" t="s">
        <v>3160</v>
      </c>
      <c r="B100" s="49" t="s">
        <v>3161</v>
      </c>
      <c r="C100" s="49" t="s">
        <v>3051</v>
      </c>
      <c r="D100" s="49" t="s">
        <v>1264</v>
      </c>
      <c r="E100" s="49" t="s">
        <v>2899</v>
      </c>
      <c r="F100" s="49" t="s">
        <v>2900</v>
      </c>
      <c r="G100" s="49" t="s">
        <v>2901</v>
      </c>
      <c r="H100" s="49" t="s">
        <v>2832</v>
      </c>
      <c r="I100" s="50">
        <v>40702</v>
      </c>
      <c r="J100" s="50">
        <v>40702</v>
      </c>
      <c r="K100" s="50">
        <v>49834</v>
      </c>
      <c r="M100" s="49" t="s">
        <v>3162</v>
      </c>
    </row>
    <row r="101" spans="1:13" x14ac:dyDescent="0.35">
      <c r="A101" s="49" t="s">
        <v>3163</v>
      </c>
      <c r="B101" s="49" t="s">
        <v>3164</v>
      </c>
      <c r="C101" s="49" t="s">
        <v>3087</v>
      </c>
      <c r="D101" s="49" t="s">
        <v>1264</v>
      </c>
      <c r="E101" s="49" t="s">
        <v>2774</v>
      </c>
      <c r="F101" s="49" t="s">
        <v>2900</v>
      </c>
      <c r="G101" s="49" t="s">
        <v>2787</v>
      </c>
      <c r="H101" s="49" t="s">
        <v>2832</v>
      </c>
      <c r="I101" s="50">
        <v>40728</v>
      </c>
      <c r="J101" s="50">
        <v>43612</v>
      </c>
      <c r="K101" s="50">
        <v>44678</v>
      </c>
      <c r="M101" s="49" t="s">
        <v>3165</v>
      </c>
    </row>
    <row r="102" spans="1:13" x14ac:dyDescent="0.35">
      <c r="A102" s="49" t="s">
        <v>3166</v>
      </c>
      <c r="B102" s="49" t="s">
        <v>3167</v>
      </c>
      <c r="C102" s="49" t="s">
        <v>3168</v>
      </c>
      <c r="D102" s="49" t="s">
        <v>1264</v>
      </c>
      <c r="E102" s="49" t="s">
        <v>2986</v>
      </c>
      <c r="F102" s="49" t="s">
        <v>2825</v>
      </c>
      <c r="G102" s="49" t="s">
        <v>2787</v>
      </c>
      <c r="H102" s="49" t="s">
        <v>2827</v>
      </c>
      <c r="I102" s="50">
        <v>40735</v>
      </c>
      <c r="J102" s="50">
        <v>40862</v>
      </c>
      <c r="K102" s="50">
        <v>45417</v>
      </c>
      <c r="L102" s="50">
        <v>42610</v>
      </c>
      <c r="M102" s="49" t="s">
        <v>3169</v>
      </c>
    </row>
    <row r="103" spans="1:13" x14ac:dyDescent="0.35">
      <c r="A103" s="49" t="s">
        <v>3170</v>
      </c>
      <c r="B103" s="49" t="s">
        <v>3171</v>
      </c>
      <c r="C103" s="49" t="s">
        <v>3172</v>
      </c>
      <c r="D103" s="49" t="s">
        <v>1264</v>
      </c>
      <c r="E103" s="49" t="s">
        <v>2974</v>
      </c>
      <c r="F103" s="49" t="s">
        <v>2825</v>
      </c>
      <c r="G103" s="49" t="s">
        <v>2901</v>
      </c>
      <c r="H103" s="49" t="s">
        <v>2827</v>
      </c>
      <c r="I103" s="50">
        <v>40744</v>
      </c>
      <c r="J103" s="50">
        <v>40935</v>
      </c>
      <c r="K103" s="50">
        <v>46765</v>
      </c>
      <c r="M103" s="49" t="s">
        <v>3173</v>
      </c>
    </row>
    <row r="104" spans="1:13" x14ac:dyDescent="0.35">
      <c r="A104" s="49" t="s">
        <v>3174</v>
      </c>
      <c r="B104" s="49" t="s">
        <v>3175</v>
      </c>
      <c r="C104" s="49" t="s">
        <v>3176</v>
      </c>
      <c r="D104" s="49" t="s">
        <v>1264</v>
      </c>
      <c r="E104" s="49" t="s">
        <v>2774</v>
      </c>
      <c r="F104" s="49" t="s">
        <v>2900</v>
      </c>
      <c r="G104" s="49" t="s">
        <v>2975</v>
      </c>
      <c r="H104" s="49" t="s">
        <v>980</v>
      </c>
      <c r="I104" s="50">
        <v>40802</v>
      </c>
      <c r="J104" s="50">
        <v>40991</v>
      </c>
      <c r="K104" s="50">
        <v>42085</v>
      </c>
      <c r="M104" s="49" t="s">
        <v>3177</v>
      </c>
    </row>
    <row r="105" spans="1:13" x14ac:dyDescent="0.35">
      <c r="A105" s="49" t="s">
        <v>3178</v>
      </c>
      <c r="B105" s="49" t="s">
        <v>3179</v>
      </c>
      <c r="C105" s="49" t="s">
        <v>3180</v>
      </c>
      <c r="D105" s="49" t="s">
        <v>1264</v>
      </c>
      <c r="E105" s="49" t="s">
        <v>2986</v>
      </c>
      <c r="F105" s="49" t="s">
        <v>2825</v>
      </c>
      <c r="G105" s="49" t="s">
        <v>2787</v>
      </c>
      <c r="H105" s="49" t="s">
        <v>2827</v>
      </c>
      <c r="I105" s="50">
        <v>40864</v>
      </c>
      <c r="J105" s="50">
        <v>41879</v>
      </c>
      <c r="K105" s="50">
        <v>42609</v>
      </c>
      <c r="M105" s="49" t="s">
        <v>3181</v>
      </c>
    </row>
    <row r="106" spans="1:13" x14ac:dyDescent="0.35">
      <c r="A106" s="49" t="s">
        <v>3182</v>
      </c>
      <c r="B106" s="49" t="s">
        <v>3183</v>
      </c>
      <c r="C106" s="49" t="s">
        <v>3148</v>
      </c>
      <c r="D106" s="49" t="s">
        <v>1264</v>
      </c>
      <c r="E106" s="49" t="s">
        <v>2774</v>
      </c>
      <c r="F106" s="49" t="s">
        <v>2825</v>
      </c>
      <c r="G106" s="49" t="s">
        <v>2921</v>
      </c>
      <c r="H106" s="49" t="s">
        <v>2827</v>
      </c>
      <c r="I106" s="50">
        <v>40865</v>
      </c>
      <c r="J106" s="50">
        <v>41051</v>
      </c>
      <c r="K106" s="50">
        <v>44502</v>
      </c>
      <c r="M106" s="49" t="s">
        <v>3184</v>
      </c>
    </row>
    <row r="107" spans="1:13" x14ac:dyDescent="0.35">
      <c r="A107" s="49" t="s">
        <v>3185</v>
      </c>
      <c r="B107" s="49" t="s">
        <v>3186</v>
      </c>
      <c r="C107" s="49" t="s">
        <v>3187</v>
      </c>
      <c r="D107" s="49" t="s">
        <v>1264</v>
      </c>
      <c r="E107" s="49" t="s">
        <v>2774</v>
      </c>
      <c r="F107" s="49" t="s">
        <v>3188</v>
      </c>
      <c r="G107" s="49" t="s">
        <v>3189</v>
      </c>
      <c r="H107" s="49" t="s">
        <v>973</v>
      </c>
      <c r="I107" s="50">
        <v>40904</v>
      </c>
      <c r="J107" s="50">
        <v>40918</v>
      </c>
      <c r="K107" s="50">
        <v>44223</v>
      </c>
      <c r="M107" s="49" t="s">
        <v>3190</v>
      </c>
    </row>
    <row r="108" spans="1:13" x14ac:dyDescent="0.35">
      <c r="A108" s="49" t="s">
        <v>3191</v>
      </c>
      <c r="B108" s="49" t="s">
        <v>3192</v>
      </c>
      <c r="C108" s="49" t="s">
        <v>2773</v>
      </c>
      <c r="D108" s="49" t="s">
        <v>1264</v>
      </c>
      <c r="E108" s="49" t="s">
        <v>2774</v>
      </c>
      <c r="F108" s="49" t="s">
        <v>2775</v>
      </c>
      <c r="G108" s="49" t="s">
        <v>2787</v>
      </c>
      <c r="H108" s="49" t="s">
        <v>980</v>
      </c>
      <c r="I108" s="50">
        <v>40912</v>
      </c>
      <c r="J108" s="50">
        <v>40948</v>
      </c>
      <c r="K108" s="50">
        <v>42043</v>
      </c>
      <c r="M108" s="49" t="s">
        <v>3193</v>
      </c>
    </row>
    <row r="109" spans="1:13" x14ac:dyDescent="0.35">
      <c r="A109" s="49" t="s">
        <v>3194</v>
      </c>
      <c r="B109" s="49" t="s">
        <v>3195</v>
      </c>
      <c r="C109" s="49" t="s">
        <v>3196</v>
      </c>
      <c r="D109" s="49" t="s">
        <v>1264</v>
      </c>
      <c r="E109" s="49" t="s">
        <v>2774</v>
      </c>
      <c r="F109" s="49" t="s">
        <v>2825</v>
      </c>
      <c r="G109" s="49" t="s">
        <v>2787</v>
      </c>
      <c r="H109" s="49" t="s">
        <v>2827</v>
      </c>
      <c r="I109" s="50">
        <v>40912</v>
      </c>
      <c r="J109" s="50">
        <v>40948</v>
      </c>
      <c r="K109" s="50">
        <v>42043</v>
      </c>
      <c r="M109" s="49" t="s">
        <v>3197</v>
      </c>
    </row>
    <row r="110" spans="1:13" x14ac:dyDescent="0.35">
      <c r="A110" s="49" t="s">
        <v>3198</v>
      </c>
      <c r="B110" s="49" t="s">
        <v>3199</v>
      </c>
      <c r="C110" s="49" t="s">
        <v>3087</v>
      </c>
      <c r="D110" s="49" t="s">
        <v>1264</v>
      </c>
      <c r="E110" s="49" t="s">
        <v>2974</v>
      </c>
      <c r="F110" s="49" t="s">
        <v>2900</v>
      </c>
      <c r="G110" s="49" t="s">
        <v>2787</v>
      </c>
      <c r="H110" s="49" t="s">
        <v>2832</v>
      </c>
      <c r="I110" s="50">
        <v>40918</v>
      </c>
      <c r="J110" s="50">
        <v>40940</v>
      </c>
      <c r="K110" s="50">
        <v>45416</v>
      </c>
      <c r="M110" s="49" t="s">
        <v>3200</v>
      </c>
    </row>
    <row r="111" spans="1:13" x14ac:dyDescent="0.35">
      <c r="A111" s="49" t="s">
        <v>3201</v>
      </c>
      <c r="B111" s="49" t="s">
        <v>3202</v>
      </c>
      <c r="C111" s="49" t="s">
        <v>3187</v>
      </c>
      <c r="D111" s="49" t="s">
        <v>1264</v>
      </c>
      <c r="E111" s="49" t="s">
        <v>2974</v>
      </c>
      <c r="F111" s="49" t="s">
        <v>3188</v>
      </c>
      <c r="G111" s="49" t="s">
        <v>2921</v>
      </c>
      <c r="H111" s="49" t="s">
        <v>973</v>
      </c>
      <c r="I111" s="50">
        <v>40924</v>
      </c>
      <c r="J111" s="50">
        <v>40940</v>
      </c>
      <c r="K111" s="50">
        <v>44957</v>
      </c>
      <c r="M111" s="49" t="s">
        <v>3203</v>
      </c>
    </row>
    <row r="112" spans="1:13" x14ac:dyDescent="0.35">
      <c r="A112" s="49" t="s">
        <v>3204</v>
      </c>
      <c r="B112" s="49" t="s">
        <v>3205</v>
      </c>
      <c r="C112" s="49" t="s">
        <v>3206</v>
      </c>
      <c r="D112" s="49" t="s">
        <v>1264</v>
      </c>
      <c r="E112" s="49" t="s">
        <v>2974</v>
      </c>
      <c r="F112" s="49" t="s">
        <v>3005</v>
      </c>
      <c r="G112" s="49" t="s">
        <v>2901</v>
      </c>
      <c r="H112" s="49" t="s">
        <v>3207</v>
      </c>
      <c r="I112" s="50">
        <v>40932</v>
      </c>
      <c r="J112" s="50">
        <v>43474</v>
      </c>
      <c r="K112" s="50">
        <v>47127</v>
      </c>
      <c r="M112" s="49" t="s">
        <v>3208</v>
      </c>
    </row>
    <row r="113" spans="1:13" x14ac:dyDescent="0.35">
      <c r="A113" s="49" t="s">
        <v>3209</v>
      </c>
      <c r="B113" s="49" t="s">
        <v>3210</v>
      </c>
      <c r="C113" s="49" t="s">
        <v>3211</v>
      </c>
      <c r="D113" s="49" t="s">
        <v>1264</v>
      </c>
      <c r="E113" s="49" t="s">
        <v>2986</v>
      </c>
      <c r="F113" s="49" t="s">
        <v>2825</v>
      </c>
      <c r="G113" s="49" t="s">
        <v>2787</v>
      </c>
      <c r="H113" s="49" t="s">
        <v>2827</v>
      </c>
      <c r="I113" s="50">
        <v>40952</v>
      </c>
      <c r="J113" s="50">
        <v>41079</v>
      </c>
      <c r="K113" s="50">
        <v>43634</v>
      </c>
      <c r="M113" s="49" t="s">
        <v>3212</v>
      </c>
    </row>
    <row r="114" spans="1:13" x14ac:dyDescent="0.35">
      <c r="A114" s="49" t="s">
        <v>3213</v>
      </c>
      <c r="B114" s="49" t="s">
        <v>3214</v>
      </c>
      <c r="C114" s="49" t="s">
        <v>3215</v>
      </c>
      <c r="D114" s="49" t="s">
        <v>1264</v>
      </c>
      <c r="E114" s="49" t="s">
        <v>2908</v>
      </c>
      <c r="F114" s="49" t="s">
        <v>2805</v>
      </c>
      <c r="G114" s="49" t="s">
        <v>2820</v>
      </c>
      <c r="H114" s="49" t="s">
        <v>980</v>
      </c>
      <c r="I114" s="50">
        <v>40982</v>
      </c>
      <c r="J114" s="50">
        <v>41143</v>
      </c>
      <c r="K114" s="50">
        <v>42968</v>
      </c>
      <c r="M114" s="49" t="s">
        <v>3216</v>
      </c>
    </row>
    <row r="115" spans="1:13" x14ac:dyDescent="0.35">
      <c r="A115" s="49" t="s">
        <v>3217</v>
      </c>
      <c r="B115" s="49" t="s">
        <v>3218</v>
      </c>
      <c r="C115" s="49" t="s">
        <v>3219</v>
      </c>
      <c r="D115" s="49" t="s">
        <v>1264</v>
      </c>
      <c r="E115" s="49" t="s">
        <v>2908</v>
      </c>
      <c r="F115" s="49" t="s">
        <v>2805</v>
      </c>
      <c r="G115" s="49" t="s">
        <v>2787</v>
      </c>
      <c r="H115" s="49" t="s">
        <v>980</v>
      </c>
      <c r="I115" s="50">
        <v>41002</v>
      </c>
      <c r="J115" s="50">
        <v>41597</v>
      </c>
      <c r="K115" s="50">
        <v>44781</v>
      </c>
      <c r="M115" s="49" t="s">
        <v>3220</v>
      </c>
    </row>
    <row r="116" spans="1:13" x14ac:dyDescent="0.35">
      <c r="A116" s="49" t="s">
        <v>3221</v>
      </c>
      <c r="B116" s="49" t="s">
        <v>3222</v>
      </c>
      <c r="C116" s="49" t="s">
        <v>3223</v>
      </c>
      <c r="D116" s="49" t="s">
        <v>1264</v>
      </c>
      <c r="E116" s="49" t="s">
        <v>2986</v>
      </c>
      <c r="F116" s="49" t="s">
        <v>2825</v>
      </c>
      <c r="G116" s="49" t="s">
        <v>2787</v>
      </c>
      <c r="H116" s="49" t="s">
        <v>2827</v>
      </c>
      <c r="I116" s="50">
        <v>41022</v>
      </c>
      <c r="J116" s="50">
        <v>41089</v>
      </c>
      <c r="K116" s="50">
        <v>45693</v>
      </c>
      <c r="M116" s="49" t="s">
        <v>3100</v>
      </c>
    </row>
    <row r="117" spans="1:13" x14ac:dyDescent="0.35">
      <c r="A117" s="49" t="s">
        <v>3224</v>
      </c>
      <c r="B117" s="49" t="s">
        <v>2891</v>
      </c>
      <c r="C117" s="49" t="s">
        <v>2927</v>
      </c>
      <c r="D117" s="49" t="s">
        <v>1264</v>
      </c>
      <c r="E117" s="49" t="s">
        <v>2908</v>
      </c>
      <c r="F117" s="49" t="s">
        <v>2837</v>
      </c>
      <c r="G117" s="49" t="s">
        <v>2787</v>
      </c>
      <c r="H117" s="49" t="s">
        <v>980</v>
      </c>
      <c r="I117" s="50">
        <v>41074</v>
      </c>
      <c r="J117" s="50">
        <v>41499</v>
      </c>
      <c r="K117" s="50">
        <v>45515</v>
      </c>
      <c r="M117" s="49" t="s">
        <v>3225</v>
      </c>
    </row>
    <row r="118" spans="1:13" x14ac:dyDescent="0.35">
      <c r="A118" s="49" t="s">
        <v>3226</v>
      </c>
      <c r="B118" s="49" t="s">
        <v>3227</v>
      </c>
      <c r="C118" s="49" t="s">
        <v>3228</v>
      </c>
      <c r="D118" s="49" t="s">
        <v>1264</v>
      </c>
      <c r="E118" s="49" t="s">
        <v>2908</v>
      </c>
      <c r="F118" s="49" t="s">
        <v>2939</v>
      </c>
      <c r="G118" s="49" t="s">
        <v>2921</v>
      </c>
      <c r="H118" s="49" t="s">
        <v>3229</v>
      </c>
      <c r="I118" s="50">
        <v>41085</v>
      </c>
      <c r="J118" s="50">
        <v>43139</v>
      </c>
      <c r="K118" s="50">
        <v>44964</v>
      </c>
      <c r="M118" s="49" t="s">
        <v>3230</v>
      </c>
    </row>
    <row r="119" spans="1:13" x14ac:dyDescent="0.35">
      <c r="A119" s="49" t="s">
        <v>3231</v>
      </c>
      <c r="B119" s="49" t="s">
        <v>3232</v>
      </c>
      <c r="C119" s="49" t="s">
        <v>3228</v>
      </c>
      <c r="D119" s="49" t="s">
        <v>1264</v>
      </c>
      <c r="E119" s="49" t="s">
        <v>2774</v>
      </c>
      <c r="F119" s="49" t="s">
        <v>2825</v>
      </c>
      <c r="G119" s="49" t="s">
        <v>2787</v>
      </c>
      <c r="H119" s="49" t="s">
        <v>973</v>
      </c>
      <c r="I119" s="50">
        <v>41085</v>
      </c>
      <c r="J119" s="50">
        <v>41446</v>
      </c>
      <c r="K119" s="50">
        <v>44506</v>
      </c>
      <c r="M119" s="49" t="s">
        <v>3233</v>
      </c>
    </row>
    <row r="120" spans="1:13" x14ac:dyDescent="0.35">
      <c r="A120" s="49" t="s">
        <v>3234</v>
      </c>
      <c r="B120" s="49" t="s">
        <v>3235</v>
      </c>
      <c r="C120" s="49" t="s">
        <v>3120</v>
      </c>
      <c r="D120" s="49" t="s">
        <v>1264</v>
      </c>
      <c r="E120" s="49" t="s">
        <v>2774</v>
      </c>
      <c r="F120" s="49" t="s">
        <v>2900</v>
      </c>
      <c r="G120" s="49" t="s">
        <v>2820</v>
      </c>
      <c r="H120" s="49" t="s">
        <v>980</v>
      </c>
      <c r="I120" s="50">
        <v>41108</v>
      </c>
      <c r="J120" s="50">
        <v>41180</v>
      </c>
      <c r="K120" s="50">
        <v>42274</v>
      </c>
      <c r="M120" s="49" t="s">
        <v>3236</v>
      </c>
    </row>
    <row r="121" spans="1:13" x14ac:dyDescent="0.35">
      <c r="A121" s="49" t="s">
        <v>3237</v>
      </c>
      <c r="B121" s="49" t="s">
        <v>3227</v>
      </c>
      <c r="C121" s="49" t="s">
        <v>3238</v>
      </c>
      <c r="D121" s="49" t="s">
        <v>1264</v>
      </c>
      <c r="E121" s="49" t="s">
        <v>2908</v>
      </c>
      <c r="F121" s="49" t="s">
        <v>2939</v>
      </c>
      <c r="G121" s="49" t="s">
        <v>2787</v>
      </c>
      <c r="H121" s="49" t="s">
        <v>3229</v>
      </c>
      <c r="I121" s="50">
        <v>41170</v>
      </c>
      <c r="J121" s="50">
        <v>43072</v>
      </c>
      <c r="K121" s="50">
        <v>45303</v>
      </c>
      <c r="M121" s="49" t="s">
        <v>3239</v>
      </c>
    </row>
    <row r="122" spans="1:13" x14ac:dyDescent="0.35">
      <c r="A122" s="49" t="s">
        <v>3240</v>
      </c>
      <c r="B122" s="49" t="s">
        <v>3241</v>
      </c>
      <c r="C122" s="49" t="s">
        <v>3120</v>
      </c>
      <c r="D122" s="49" t="s">
        <v>1264</v>
      </c>
      <c r="E122" s="49" t="s">
        <v>2774</v>
      </c>
      <c r="F122" s="49" t="s">
        <v>2900</v>
      </c>
      <c r="G122" s="49" t="s">
        <v>2787</v>
      </c>
      <c r="H122" s="49" t="s">
        <v>3229</v>
      </c>
      <c r="I122" s="50">
        <v>41180</v>
      </c>
      <c r="J122" s="50">
        <v>41180</v>
      </c>
      <c r="K122" s="50">
        <v>42274</v>
      </c>
      <c r="M122" s="49" t="s">
        <v>3242</v>
      </c>
    </row>
    <row r="123" spans="1:13" x14ac:dyDescent="0.35">
      <c r="A123" s="49" t="s">
        <v>3243</v>
      </c>
      <c r="B123" s="49" t="s">
        <v>3244</v>
      </c>
      <c r="C123" s="49" t="s">
        <v>3245</v>
      </c>
      <c r="D123" s="49" t="s">
        <v>1264</v>
      </c>
      <c r="E123" s="49" t="s">
        <v>2774</v>
      </c>
      <c r="F123" s="49" t="s">
        <v>2825</v>
      </c>
      <c r="G123" s="49" t="s">
        <v>2975</v>
      </c>
      <c r="H123" s="49" t="s">
        <v>2827</v>
      </c>
      <c r="I123" s="50">
        <v>41193</v>
      </c>
      <c r="J123" s="50">
        <v>40981</v>
      </c>
      <c r="K123" s="50">
        <v>42075</v>
      </c>
      <c r="M123" s="49" t="s">
        <v>3246</v>
      </c>
    </row>
    <row r="124" spans="1:13" x14ac:dyDescent="0.35">
      <c r="A124" s="49" t="s">
        <v>3247</v>
      </c>
      <c r="B124" s="49" t="s">
        <v>3248</v>
      </c>
      <c r="C124" s="49" t="s">
        <v>3116</v>
      </c>
      <c r="D124" s="49" t="s">
        <v>1264</v>
      </c>
      <c r="E124" s="49" t="s">
        <v>2974</v>
      </c>
      <c r="F124" s="49" t="s">
        <v>2900</v>
      </c>
      <c r="G124" s="49" t="s">
        <v>2787</v>
      </c>
      <c r="H124" s="49" t="s">
        <v>980</v>
      </c>
      <c r="I124" s="50">
        <v>41228</v>
      </c>
      <c r="J124" s="50">
        <v>41911</v>
      </c>
      <c r="K124" s="50">
        <v>44833</v>
      </c>
      <c r="M124" s="49" t="s">
        <v>3249</v>
      </c>
    </row>
    <row r="125" spans="1:13" x14ac:dyDescent="0.35">
      <c r="A125" s="49" t="s">
        <v>3250</v>
      </c>
      <c r="B125" s="49" t="s">
        <v>3251</v>
      </c>
      <c r="C125" s="49" t="s">
        <v>3252</v>
      </c>
      <c r="D125" s="49" t="s">
        <v>1264</v>
      </c>
      <c r="E125" s="49" t="s">
        <v>2774</v>
      </c>
      <c r="F125" s="49" t="s">
        <v>3253</v>
      </c>
      <c r="G125" s="49" t="s">
        <v>2787</v>
      </c>
      <c r="H125" s="49" t="s">
        <v>2827</v>
      </c>
      <c r="I125" s="50">
        <v>41239</v>
      </c>
      <c r="J125" s="50">
        <v>41467</v>
      </c>
      <c r="K125" s="50">
        <v>42562</v>
      </c>
      <c r="M125" s="49" t="s">
        <v>3254</v>
      </c>
    </row>
    <row r="126" spans="1:13" x14ac:dyDescent="0.35">
      <c r="A126" s="49" t="s">
        <v>3255</v>
      </c>
      <c r="B126" s="49" t="s">
        <v>3256</v>
      </c>
      <c r="C126" s="49" t="s">
        <v>3257</v>
      </c>
      <c r="D126" s="49" t="s">
        <v>1264</v>
      </c>
      <c r="E126" s="49" t="s">
        <v>2986</v>
      </c>
      <c r="F126" s="49" t="s">
        <v>2825</v>
      </c>
      <c r="G126" s="49" t="s">
        <v>2787</v>
      </c>
      <c r="H126" s="49" t="s">
        <v>2827</v>
      </c>
      <c r="I126" s="50">
        <v>41250</v>
      </c>
      <c r="J126" s="50">
        <v>41439</v>
      </c>
      <c r="K126" s="50">
        <v>44379</v>
      </c>
      <c r="M126" s="49" t="s">
        <v>3258</v>
      </c>
    </row>
    <row r="127" spans="1:13" x14ac:dyDescent="0.35">
      <c r="A127" s="49" t="s">
        <v>3259</v>
      </c>
      <c r="B127" s="49" t="s">
        <v>3260</v>
      </c>
      <c r="C127" s="49" t="s">
        <v>3261</v>
      </c>
      <c r="D127" s="49" t="s">
        <v>1264</v>
      </c>
      <c r="E127" s="49" t="s">
        <v>2774</v>
      </c>
      <c r="F127" s="49" t="s">
        <v>2900</v>
      </c>
      <c r="G127" s="49" t="s">
        <v>2901</v>
      </c>
      <c r="H127" s="49" t="s">
        <v>3229</v>
      </c>
      <c r="I127" s="50">
        <v>41327</v>
      </c>
      <c r="J127" s="50">
        <v>41465</v>
      </c>
      <c r="K127" s="50">
        <v>45837</v>
      </c>
      <c r="M127" s="49" t="s">
        <v>3262</v>
      </c>
    </row>
    <row r="128" spans="1:13" x14ac:dyDescent="0.35">
      <c r="A128" s="49" t="s">
        <v>3263</v>
      </c>
      <c r="B128" s="49" t="s">
        <v>3264</v>
      </c>
      <c r="C128" s="49" t="s">
        <v>3265</v>
      </c>
      <c r="D128" s="49" t="s">
        <v>1264</v>
      </c>
      <c r="E128" s="49" t="s">
        <v>2774</v>
      </c>
      <c r="F128" s="49" t="s">
        <v>3188</v>
      </c>
      <c r="G128" s="49" t="s">
        <v>2975</v>
      </c>
      <c r="H128" s="49" t="s">
        <v>973</v>
      </c>
      <c r="I128" s="50">
        <v>41407</v>
      </c>
      <c r="J128" s="50">
        <v>41492</v>
      </c>
      <c r="K128" s="50">
        <v>42587</v>
      </c>
      <c r="M128" s="49" t="s">
        <v>3266</v>
      </c>
    </row>
    <row r="129" spans="1:13" x14ac:dyDescent="0.35">
      <c r="A129" s="49" t="s">
        <v>3267</v>
      </c>
      <c r="B129" s="49" t="s">
        <v>3268</v>
      </c>
      <c r="C129" s="49" t="s">
        <v>3269</v>
      </c>
      <c r="D129" s="49" t="s">
        <v>1264</v>
      </c>
      <c r="E129" s="49" t="s">
        <v>2986</v>
      </c>
      <c r="F129" s="49" t="s">
        <v>2825</v>
      </c>
      <c r="G129" s="49" t="s">
        <v>2820</v>
      </c>
      <c r="H129" s="49" t="s">
        <v>2827</v>
      </c>
      <c r="I129" s="50">
        <v>41423</v>
      </c>
      <c r="J129" s="50">
        <v>41555</v>
      </c>
      <c r="K129" s="50">
        <v>43021</v>
      </c>
      <c r="M129" s="49" t="s">
        <v>3270</v>
      </c>
    </row>
    <row r="130" spans="1:13" x14ac:dyDescent="0.35">
      <c r="A130" s="49" t="s">
        <v>3271</v>
      </c>
      <c r="B130" s="49" t="s">
        <v>2942</v>
      </c>
      <c r="C130" s="49" t="s">
        <v>3272</v>
      </c>
      <c r="D130" s="49" t="s">
        <v>1264</v>
      </c>
      <c r="E130" s="49" t="s">
        <v>2908</v>
      </c>
      <c r="F130" s="49" t="s">
        <v>2939</v>
      </c>
      <c r="G130" s="49" t="s">
        <v>2787</v>
      </c>
      <c r="H130" s="49" t="s">
        <v>980</v>
      </c>
      <c r="I130" s="50">
        <v>41424</v>
      </c>
      <c r="J130" s="50">
        <v>41885</v>
      </c>
      <c r="K130" s="50">
        <v>43710</v>
      </c>
      <c r="M130" s="49" t="s">
        <v>3273</v>
      </c>
    </row>
    <row r="131" spans="1:13" x14ac:dyDescent="0.35">
      <c r="A131" s="49" t="s">
        <v>3274</v>
      </c>
      <c r="B131" s="49" t="s">
        <v>3275</v>
      </c>
      <c r="C131" s="49" t="s">
        <v>3276</v>
      </c>
      <c r="D131" s="49" t="s">
        <v>1264</v>
      </c>
      <c r="E131" s="49" t="s">
        <v>2774</v>
      </c>
      <c r="F131" s="49" t="s">
        <v>2825</v>
      </c>
      <c r="G131" s="49" t="s">
        <v>2901</v>
      </c>
      <c r="H131" s="49" t="s">
        <v>2827</v>
      </c>
      <c r="I131" s="50">
        <v>41430</v>
      </c>
      <c r="J131" s="50">
        <v>41599</v>
      </c>
      <c r="K131" s="50">
        <v>45982</v>
      </c>
      <c r="M131" s="49" t="s">
        <v>3277</v>
      </c>
    </row>
    <row r="132" spans="1:13" x14ac:dyDescent="0.35">
      <c r="A132" s="49" t="s">
        <v>3278</v>
      </c>
      <c r="B132" s="49" t="s">
        <v>3279</v>
      </c>
      <c r="C132" s="49" t="s">
        <v>3280</v>
      </c>
      <c r="D132" s="49" t="s">
        <v>1264</v>
      </c>
      <c r="E132" s="49" t="s">
        <v>3281</v>
      </c>
      <c r="F132" s="49" t="s">
        <v>2825</v>
      </c>
      <c r="G132" s="49" t="s">
        <v>2901</v>
      </c>
      <c r="H132" s="49" t="s">
        <v>973</v>
      </c>
      <c r="I132" s="50">
        <v>41439</v>
      </c>
      <c r="J132" s="50">
        <v>41680</v>
      </c>
      <c r="M132" s="49" t="s">
        <v>3282</v>
      </c>
    </row>
    <row r="133" spans="1:13" x14ac:dyDescent="0.35">
      <c r="A133" s="49" t="s">
        <v>3283</v>
      </c>
      <c r="B133" s="49" t="s">
        <v>3284</v>
      </c>
      <c r="C133" s="49" t="s">
        <v>3280</v>
      </c>
      <c r="D133" s="49" t="s">
        <v>1264</v>
      </c>
      <c r="E133" s="49" t="s">
        <v>3281</v>
      </c>
      <c r="F133" s="49" t="s">
        <v>2825</v>
      </c>
      <c r="G133" s="49" t="s">
        <v>2901</v>
      </c>
      <c r="H133" s="49" t="s">
        <v>973</v>
      </c>
      <c r="I133" s="50">
        <v>41439</v>
      </c>
      <c r="J133" s="50">
        <v>41680</v>
      </c>
      <c r="M133" s="49" t="s">
        <v>3285</v>
      </c>
    </row>
    <row r="134" spans="1:13" x14ac:dyDescent="0.35">
      <c r="A134" s="49" t="s">
        <v>3286</v>
      </c>
      <c r="B134" s="49" t="s">
        <v>3287</v>
      </c>
      <c r="C134" s="49" t="s">
        <v>3280</v>
      </c>
      <c r="D134" s="49" t="s">
        <v>1264</v>
      </c>
      <c r="E134" s="49" t="s">
        <v>3281</v>
      </c>
      <c r="F134" s="49" t="s">
        <v>2825</v>
      </c>
      <c r="G134" s="49" t="s">
        <v>2901</v>
      </c>
      <c r="H134" s="49" t="s">
        <v>973</v>
      </c>
      <c r="I134" s="50">
        <v>41439</v>
      </c>
      <c r="J134" s="50">
        <v>41680</v>
      </c>
      <c r="M134" s="49" t="s">
        <v>3288</v>
      </c>
    </row>
    <row r="135" spans="1:13" x14ac:dyDescent="0.35">
      <c r="A135" s="49" t="s">
        <v>3289</v>
      </c>
      <c r="B135" s="49" t="s">
        <v>3290</v>
      </c>
      <c r="C135" s="49" t="s">
        <v>3280</v>
      </c>
      <c r="D135" s="49" t="s">
        <v>1264</v>
      </c>
      <c r="E135" s="49" t="s">
        <v>3281</v>
      </c>
      <c r="F135" s="49" t="s">
        <v>2825</v>
      </c>
      <c r="G135" s="49" t="s">
        <v>2901</v>
      </c>
      <c r="H135" s="49" t="s">
        <v>2827</v>
      </c>
      <c r="I135" s="50">
        <v>41439</v>
      </c>
      <c r="J135" s="50">
        <v>41680</v>
      </c>
      <c r="M135" s="49" t="s">
        <v>3291</v>
      </c>
    </row>
    <row r="136" spans="1:13" x14ac:dyDescent="0.35">
      <c r="A136" s="49" t="s">
        <v>3292</v>
      </c>
      <c r="B136" s="49" t="s">
        <v>3293</v>
      </c>
      <c r="C136" s="49" t="s">
        <v>3280</v>
      </c>
      <c r="D136" s="49" t="s">
        <v>1264</v>
      </c>
      <c r="E136" s="49" t="s">
        <v>3281</v>
      </c>
      <c r="F136" s="49" t="s">
        <v>2825</v>
      </c>
      <c r="G136" s="49" t="s">
        <v>2901</v>
      </c>
      <c r="H136" s="49" t="s">
        <v>2827</v>
      </c>
      <c r="I136" s="50">
        <v>41439</v>
      </c>
      <c r="J136" s="50">
        <v>41680</v>
      </c>
      <c r="M136" s="49" t="s">
        <v>3294</v>
      </c>
    </row>
    <row r="137" spans="1:13" x14ac:dyDescent="0.35">
      <c r="A137" s="49" t="s">
        <v>3295</v>
      </c>
      <c r="B137" s="49" t="s">
        <v>3296</v>
      </c>
      <c r="C137" s="49" t="s">
        <v>3280</v>
      </c>
      <c r="D137" s="49" t="s">
        <v>1264</v>
      </c>
      <c r="E137" s="49" t="s">
        <v>3281</v>
      </c>
      <c r="F137" s="49" t="s">
        <v>2825</v>
      </c>
      <c r="G137" s="49" t="s">
        <v>2901</v>
      </c>
      <c r="H137" s="49" t="s">
        <v>2827</v>
      </c>
      <c r="I137" s="50">
        <v>41439</v>
      </c>
      <c r="J137" s="50">
        <v>41680</v>
      </c>
      <c r="M137" s="49" t="s">
        <v>3297</v>
      </c>
    </row>
    <row r="138" spans="1:13" x14ac:dyDescent="0.35">
      <c r="A138" s="49" t="s">
        <v>3298</v>
      </c>
      <c r="B138" s="49" t="s">
        <v>3299</v>
      </c>
      <c r="C138" s="49" t="s">
        <v>3280</v>
      </c>
      <c r="D138" s="49" t="s">
        <v>1264</v>
      </c>
      <c r="E138" s="49" t="s">
        <v>3281</v>
      </c>
      <c r="F138" s="49" t="s">
        <v>2825</v>
      </c>
      <c r="G138" s="49" t="s">
        <v>2901</v>
      </c>
      <c r="H138" s="49" t="s">
        <v>2827</v>
      </c>
      <c r="I138" s="50">
        <v>41439</v>
      </c>
      <c r="J138" s="50">
        <v>41680</v>
      </c>
      <c r="M138" s="49" t="s">
        <v>3297</v>
      </c>
    </row>
    <row r="139" spans="1:13" x14ac:dyDescent="0.35">
      <c r="A139" s="49" t="s">
        <v>3300</v>
      </c>
      <c r="B139" s="49" t="s">
        <v>3301</v>
      </c>
      <c r="C139" s="49" t="s">
        <v>3280</v>
      </c>
      <c r="D139" s="49" t="s">
        <v>1264</v>
      </c>
      <c r="E139" s="49" t="s">
        <v>3281</v>
      </c>
      <c r="F139" s="49" t="s">
        <v>2825</v>
      </c>
      <c r="G139" s="49" t="s">
        <v>2901</v>
      </c>
      <c r="H139" s="49" t="s">
        <v>2827</v>
      </c>
      <c r="I139" s="50">
        <v>41439</v>
      </c>
      <c r="J139" s="50">
        <v>41680</v>
      </c>
      <c r="M139" s="49" t="s">
        <v>3302</v>
      </c>
    </row>
    <row r="140" spans="1:13" x14ac:dyDescent="0.35">
      <c r="A140" s="49" t="s">
        <v>3303</v>
      </c>
      <c r="B140" s="49" t="s">
        <v>3304</v>
      </c>
      <c r="C140" s="49" t="s">
        <v>3280</v>
      </c>
      <c r="D140" s="49" t="s">
        <v>1264</v>
      </c>
      <c r="E140" s="49" t="s">
        <v>3281</v>
      </c>
      <c r="F140" s="49" t="s">
        <v>2825</v>
      </c>
      <c r="G140" s="49" t="s">
        <v>2901</v>
      </c>
      <c r="H140" s="49" t="s">
        <v>2827</v>
      </c>
      <c r="I140" s="50">
        <v>41439</v>
      </c>
      <c r="J140" s="50">
        <v>41680</v>
      </c>
      <c r="M140" s="49" t="s">
        <v>3305</v>
      </c>
    </row>
    <row r="141" spans="1:13" x14ac:dyDescent="0.35">
      <c r="A141" s="49" t="s">
        <v>3306</v>
      </c>
      <c r="B141" s="49" t="s">
        <v>3307</v>
      </c>
      <c r="C141" s="49" t="s">
        <v>3280</v>
      </c>
      <c r="D141" s="49" t="s">
        <v>1264</v>
      </c>
      <c r="E141" s="49" t="s">
        <v>3281</v>
      </c>
      <c r="F141" s="49" t="s">
        <v>2825</v>
      </c>
      <c r="G141" s="49" t="s">
        <v>2901</v>
      </c>
      <c r="H141" s="49" t="s">
        <v>2827</v>
      </c>
      <c r="I141" s="50">
        <v>41439</v>
      </c>
      <c r="J141" s="50">
        <v>41680</v>
      </c>
      <c r="M141" s="49" t="s">
        <v>3308</v>
      </c>
    </row>
    <row r="142" spans="1:13" x14ac:dyDescent="0.35">
      <c r="A142" s="49" t="s">
        <v>3309</v>
      </c>
      <c r="B142" s="49" t="s">
        <v>3310</v>
      </c>
      <c r="C142" s="49" t="s">
        <v>3280</v>
      </c>
      <c r="D142" s="49" t="s">
        <v>1264</v>
      </c>
      <c r="E142" s="49" t="s">
        <v>3281</v>
      </c>
      <c r="F142" s="49" t="s">
        <v>2825</v>
      </c>
      <c r="G142" s="49" t="s">
        <v>2901</v>
      </c>
      <c r="H142" s="49" t="s">
        <v>2827</v>
      </c>
      <c r="I142" s="50">
        <v>41439</v>
      </c>
      <c r="J142" s="50">
        <v>41680</v>
      </c>
      <c r="M142" s="49" t="s">
        <v>3311</v>
      </c>
    </row>
    <row r="143" spans="1:13" x14ac:dyDescent="0.35">
      <c r="A143" s="49" t="s">
        <v>3312</v>
      </c>
      <c r="B143" s="49" t="s">
        <v>3313</v>
      </c>
      <c r="C143" s="49" t="s">
        <v>3280</v>
      </c>
      <c r="D143" s="49" t="s">
        <v>1264</v>
      </c>
      <c r="E143" s="49" t="s">
        <v>3281</v>
      </c>
      <c r="F143" s="49" t="s">
        <v>2825</v>
      </c>
      <c r="G143" s="49" t="s">
        <v>2901</v>
      </c>
      <c r="H143" s="49" t="s">
        <v>2827</v>
      </c>
      <c r="I143" s="50">
        <v>41439</v>
      </c>
      <c r="J143" s="50">
        <v>41680</v>
      </c>
      <c r="M143" s="49" t="s">
        <v>3314</v>
      </c>
    </row>
    <row r="144" spans="1:13" x14ac:dyDescent="0.35">
      <c r="A144" s="49" t="s">
        <v>3315</v>
      </c>
      <c r="B144" s="49" t="s">
        <v>3316</v>
      </c>
      <c r="C144" s="49" t="s">
        <v>3280</v>
      </c>
      <c r="D144" s="49" t="s">
        <v>1264</v>
      </c>
      <c r="E144" s="49" t="s">
        <v>3281</v>
      </c>
      <c r="F144" s="49" t="s">
        <v>2825</v>
      </c>
      <c r="G144" s="49" t="s">
        <v>2901</v>
      </c>
      <c r="H144" s="49" t="s">
        <v>2827</v>
      </c>
      <c r="I144" s="50">
        <v>41439</v>
      </c>
      <c r="J144" s="50">
        <v>41680</v>
      </c>
      <c r="M144" s="49" t="s">
        <v>3317</v>
      </c>
    </row>
    <row r="145" spans="1:13" x14ac:dyDescent="0.35">
      <c r="A145" s="49" t="s">
        <v>3318</v>
      </c>
      <c r="B145" s="49" t="s">
        <v>3319</v>
      </c>
      <c r="C145" s="49" t="s">
        <v>3280</v>
      </c>
      <c r="D145" s="49" t="s">
        <v>1264</v>
      </c>
      <c r="E145" s="49" t="s">
        <v>3281</v>
      </c>
      <c r="F145" s="49" t="s">
        <v>2825</v>
      </c>
      <c r="G145" s="49" t="s">
        <v>2901</v>
      </c>
      <c r="H145" s="49" t="s">
        <v>2827</v>
      </c>
      <c r="I145" s="50">
        <v>41439</v>
      </c>
      <c r="J145" s="50">
        <v>41680</v>
      </c>
      <c r="M145" s="49" t="s">
        <v>3320</v>
      </c>
    </row>
    <row r="146" spans="1:13" x14ac:dyDescent="0.35">
      <c r="A146" s="49" t="s">
        <v>3321</v>
      </c>
      <c r="B146" s="49" t="s">
        <v>3322</v>
      </c>
      <c r="C146" s="49" t="s">
        <v>3280</v>
      </c>
      <c r="D146" s="49" t="s">
        <v>1264</v>
      </c>
      <c r="E146" s="49" t="s">
        <v>3281</v>
      </c>
      <c r="F146" s="49" t="s">
        <v>2825</v>
      </c>
      <c r="G146" s="49" t="s">
        <v>2901</v>
      </c>
      <c r="H146" s="49" t="s">
        <v>2827</v>
      </c>
      <c r="I146" s="50">
        <v>41439</v>
      </c>
      <c r="J146" s="50">
        <v>41680</v>
      </c>
      <c r="M146" s="49" t="s">
        <v>3323</v>
      </c>
    </row>
    <row r="147" spans="1:13" x14ac:dyDescent="0.35">
      <c r="A147" s="49" t="s">
        <v>3324</v>
      </c>
      <c r="B147" s="49" t="s">
        <v>3325</v>
      </c>
      <c r="C147" s="49" t="s">
        <v>3280</v>
      </c>
      <c r="D147" s="49" t="s">
        <v>1264</v>
      </c>
      <c r="E147" s="49" t="s">
        <v>3281</v>
      </c>
      <c r="F147" s="49" t="s">
        <v>2825</v>
      </c>
      <c r="G147" s="49" t="s">
        <v>2901</v>
      </c>
      <c r="H147" s="49" t="s">
        <v>2827</v>
      </c>
      <c r="I147" s="50">
        <v>41439</v>
      </c>
      <c r="J147" s="50">
        <v>41680</v>
      </c>
      <c r="M147" s="49" t="s">
        <v>3326</v>
      </c>
    </row>
    <row r="148" spans="1:13" x14ac:dyDescent="0.35">
      <c r="A148" s="49" t="s">
        <v>3327</v>
      </c>
      <c r="B148" s="49" t="s">
        <v>3328</v>
      </c>
      <c r="C148" s="49" t="s">
        <v>3280</v>
      </c>
      <c r="D148" s="49" t="s">
        <v>1264</v>
      </c>
      <c r="E148" s="49" t="s">
        <v>3281</v>
      </c>
      <c r="F148" s="49" t="s">
        <v>2825</v>
      </c>
      <c r="G148" s="49" t="s">
        <v>2901</v>
      </c>
      <c r="H148" s="49" t="s">
        <v>2827</v>
      </c>
      <c r="I148" s="50">
        <v>41439</v>
      </c>
      <c r="J148" s="50">
        <v>41680</v>
      </c>
      <c r="M148" s="49" t="s">
        <v>3329</v>
      </c>
    </row>
    <row r="149" spans="1:13" x14ac:dyDescent="0.35">
      <c r="A149" s="49" t="s">
        <v>3330</v>
      </c>
      <c r="B149" s="49" t="s">
        <v>3331</v>
      </c>
      <c r="C149" s="49" t="s">
        <v>2864</v>
      </c>
      <c r="D149" s="49" t="s">
        <v>1264</v>
      </c>
      <c r="E149" s="49" t="s">
        <v>2986</v>
      </c>
      <c r="F149" s="49" t="s">
        <v>2825</v>
      </c>
      <c r="G149" s="49" t="s">
        <v>2820</v>
      </c>
      <c r="H149" s="49" t="s">
        <v>2827</v>
      </c>
      <c r="I149" s="50">
        <v>41439</v>
      </c>
      <c r="J149" s="50">
        <v>41576</v>
      </c>
      <c r="K149" s="50">
        <v>45227</v>
      </c>
      <c r="L149" s="50">
        <v>44133</v>
      </c>
      <c r="M149" s="49" t="s">
        <v>3270</v>
      </c>
    </row>
    <row r="150" spans="1:13" x14ac:dyDescent="0.35">
      <c r="A150" s="49" t="s">
        <v>3332</v>
      </c>
      <c r="B150" s="49" t="s">
        <v>3333</v>
      </c>
      <c r="C150" s="49" t="s">
        <v>3334</v>
      </c>
      <c r="D150" s="49" t="s">
        <v>1264</v>
      </c>
      <c r="E150" s="49" t="s">
        <v>2774</v>
      </c>
      <c r="F150" s="49" t="s">
        <v>2825</v>
      </c>
      <c r="G150" s="49" t="s">
        <v>2826</v>
      </c>
      <c r="H150" s="49" t="s">
        <v>2827</v>
      </c>
      <c r="I150" s="50">
        <v>41470</v>
      </c>
      <c r="J150" s="50">
        <v>41576</v>
      </c>
      <c r="K150" s="50">
        <v>45106</v>
      </c>
      <c r="M150" s="49" t="s">
        <v>3335</v>
      </c>
    </row>
    <row r="151" spans="1:13" x14ac:dyDescent="0.35">
      <c r="A151" s="49" t="s">
        <v>3336</v>
      </c>
      <c r="B151" s="49" t="s">
        <v>3337</v>
      </c>
      <c r="C151" s="49" t="s">
        <v>3338</v>
      </c>
      <c r="D151" s="49" t="s">
        <v>1264</v>
      </c>
      <c r="E151" s="49" t="s">
        <v>2986</v>
      </c>
      <c r="F151" s="49" t="s">
        <v>2825</v>
      </c>
      <c r="G151" s="49" t="s">
        <v>2787</v>
      </c>
      <c r="H151" s="49" t="s">
        <v>2827</v>
      </c>
      <c r="I151" s="50">
        <v>41550</v>
      </c>
      <c r="J151" s="50">
        <v>41606</v>
      </c>
      <c r="K151" s="50">
        <v>44379</v>
      </c>
      <c r="M151" s="49" t="s">
        <v>3339</v>
      </c>
    </row>
    <row r="152" spans="1:13" x14ac:dyDescent="0.35">
      <c r="A152" s="49" t="s">
        <v>3340</v>
      </c>
      <c r="B152" s="49" t="s">
        <v>3341</v>
      </c>
      <c r="C152" s="49" t="s">
        <v>3342</v>
      </c>
      <c r="D152" s="49" t="s">
        <v>1264</v>
      </c>
      <c r="E152" s="49" t="s">
        <v>2986</v>
      </c>
      <c r="F152" s="49" t="s">
        <v>2825</v>
      </c>
      <c r="G152" s="49" t="s">
        <v>2787</v>
      </c>
      <c r="H152" s="49" t="s">
        <v>2827</v>
      </c>
      <c r="I152" s="50">
        <v>41705</v>
      </c>
      <c r="J152" s="50">
        <v>41808</v>
      </c>
      <c r="K152" s="50">
        <v>43634</v>
      </c>
      <c r="M152" s="49" t="s">
        <v>3270</v>
      </c>
    </row>
    <row r="153" spans="1:13" x14ac:dyDescent="0.35">
      <c r="A153" s="49" t="s">
        <v>3343</v>
      </c>
      <c r="B153" s="49" t="s">
        <v>3344</v>
      </c>
      <c r="C153" s="49" t="s">
        <v>2927</v>
      </c>
      <c r="D153" s="49" t="s">
        <v>1264</v>
      </c>
      <c r="E153" s="49" t="s">
        <v>2908</v>
      </c>
      <c r="F153" s="49" t="s">
        <v>2837</v>
      </c>
      <c r="G153" s="49" t="s">
        <v>2901</v>
      </c>
      <c r="H153" s="49" t="s">
        <v>980</v>
      </c>
      <c r="I153" s="50">
        <v>41729</v>
      </c>
      <c r="J153" s="50">
        <v>42688</v>
      </c>
      <c r="K153" s="50">
        <v>46339</v>
      </c>
      <c r="M153" s="49" t="s">
        <v>3345</v>
      </c>
    </row>
    <row r="154" spans="1:13" x14ac:dyDescent="0.35">
      <c r="A154" s="49" t="s">
        <v>3346</v>
      </c>
      <c r="B154" s="49" t="s">
        <v>3347</v>
      </c>
      <c r="C154" s="49" t="s">
        <v>3348</v>
      </c>
      <c r="D154" s="49" t="s">
        <v>1264</v>
      </c>
      <c r="E154" s="49" t="s">
        <v>2774</v>
      </c>
      <c r="F154" s="49" t="s">
        <v>2900</v>
      </c>
      <c r="G154" s="49" t="s">
        <v>2787</v>
      </c>
      <c r="H154" s="49" t="s">
        <v>2832</v>
      </c>
      <c r="I154" s="50">
        <v>41862</v>
      </c>
      <c r="J154" s="50">
        <v>42200</v>
      </c>
      <c r="K154" s="50">
        <v>45486</v>
      </c>
      <c r="M154" s="49" t="s">
        <v>3349</v>
      </c>
    </row>
    <row r="155" spans="1:13" x14ac:dyDescent="0.35">
      <c r="A155" s="49" t="s">
        <v>3350</v>
      </c>
      <c r="B155" s="49" t="s">
        <v>2942</v>
      </c>
      <c r="C155" s="49" t="s">
        <v>3351</v>
      </c>
      <c r="D155" s="49" t="s">
        <v>1264</v>
      </c>
      <c r="E155" s="49" t="s">
        <v>2908</v>
      </c>
      <c r="F155" s="49" t="s">
        <v>2939</v>
      </c>
      <c r="G155" s="49" t="s">
        <v>2901</v>
      </c>
      <c r="H155" s="49" t="s">
        <v>980</v>
      </c>
      <c r="I155" s="50">
        <v>41897</v>
      </c>
      <c r="J155" s="50">
        <v>42885</v>
      </c>
      <c r="K155" s="50">
        <v>46535</v>
      </c>
      <c r="M155" s="49" t="s">
        <v>3352</v>
      </c>
    </row>
    <row r="156" spans="1:13" x14ac:dyDescent="0.35">
      <c r="A156" s="49" t="s">
        <v>3353</v>
      </c>
      <c r="B156" s="49" t="s">
        <v>3354</v>
      </c>
      <c r="C156" s="49" t="s">
        <v>3355</v>
      </c>
      <c r="D156" s="49" t="s">
        <v>1264</v>
      </c>
      <c r="E156" s="49" t="s">
        <v>2908</v>
      </c>
      <c r="F156" s="49" t="s">
        <v>2939</v>
      </c>
      <c r="G156" s="49" t="s">
        <v>2901</v>
      </c>
      <c r="H156" s="49" t="s">
        <v>980</v>
      </c>
      <c r="I156" s="50">
        <v>41939</v>
      </c>
      <c r="J156" s="50">
        <v>41919</v>
      </c>
      <c r="K156" s="50">
        <v>45788</v>
      </c>
      <c r="M156" s="49" t="s">
        <v>3356</v>
      </c>
    </row>
    <row r="157" spans="1:13" x14ac:dyDescent="0.35">
      <c r="A157" s="49" t="s">
        <v>3357</v>
      </c>
      <c r="B157" s="49" t="s">
        <v>3358</v>
      </c>
      <c r="C157" s="49" t="s">
        <v>3359</v>
      </c>
      <c r="D157" s="49" t="s">
        <v>1264</v>
      </c>
      <c r="E157" s="49" t="s">
        <v>2774</v>
      </c>
      <c r="F157" s="49" t="s">
        <v>2825</v>
      </c>
      <c r="G157" s="49" t="s">
        <v>2901</v>
      </c>
      <c r="H157" s="49" t="s">
        <v>2827</v>
      </c>
      <c r="I157" s="50">
        <v>41990</v>
      </c>
      <c r="J157" s="50">
        <v>42165</v>
      </c>
      <c r="K157" s="50">
        <v>46194</v>
      </c>
      <c r="M157" s="49" t="s">
        <v>3360</v>
      </c>
    </row>
    <row r="158" spans="1:13" x14ac:dyDescent="0.35">
      <c r="A158" s="49" t="s">
        <v>3361</v>
      </c>
      <c r="B158" s="49" t="s">
        <v>3362</v>
      </c>
      <c r="C158" s="49" t="s">
        <v>3359</v>
      </c>
      <c r="D158" s="49" t="s">
        <v>1264</v>
      </c>
      <c r="E158" s="49" t="s">
        <v>2774</v>
      </c>
      <c r="F158" s="49" t="s">
        <v>3363</v>
      </c>
      <c r="G158" s="49" t="s">
        <v>2787</v>
      </c>
      <c r="H158" s="49" t="s">
        <v>973</v>
      </c>
      <c r="I158" s="50">
        <v>41997</v>
      </c>
      <c r="J158" s="50">
        <v>42165</v>
      </c>
      <c r="K158" s="50">
        <v>45450</v>
      </c>
      <c r="M158" s="49" t="s">
        <v>3364</v>
      </c>
    </row>
    <row r="159" spans="1:13" x14ac:dyDescent="0.35">
      <c r="A159" s="49" t="s">
        <v>3365</v>
      </c>
      <c r="B159" s="49" t="s">
        <v>3366</v>
      </c>
      <c r="C159" s="49" t="s">
        <v>410</v>
      </c>
      <c r="D159" s="49" t="s">
        <v>1264</v>
      </c>
      <c r="E159" s="49" t="s">
        <v>2774</v>
      </c>
      <c r="F159" s="49" t="s">
        <v>2900</v>
      </c>
      <c r="G159" s="49" t="s">
        <v>2787</v>
      </c>
      <c r="H159" s="49" t="s">
        <v>2832</v>
      </c>
      <c r="I159" s="50">
        <v>41997</v>
      </c>
      <c r="J159" s="50">
        <v>42233</v>
      </c>
      <c r="K159" s="50">
        <v>45520</v>
      </c>
      <c r="M159" s="49" t="s">
        <v>3367</v>
      </c>
    </row>
    <row r="160" spans="1:13" x14ac:dyDescent="0.35">
      <c r="A160" s="49" t="s">
        <v>3368</v>
      </c>
      <c r="B160" s="49" t="s">
        <v>2942</v>
      </c>
      <c r="C160" s="49" t="s">
        <v>3369</v>
      </c>
      <c r="D160" s="49" t="s">
        <v>1264</v>
      </c>
      <c r="E160" s="49" t="s">
        <v>2908</v>
      </c>
      <c r="F160" s="49" t="s">
        <v>2939</v>
      </c>
      <c r="G160" s="49" t="s">
        <v>2901</v>
      </c>
      <c r="H160" s="49" t="s">
        <v>980</v>
      </c>
      <c r="I160" s="50">
        <v>42004</v>
      </c>
      <c r="J160" s="50">
        <v>42478</v>
      </c>
      <c r="K160" s="50">
        <v>45771</v>
      </c>
      <c r="M160" s="49" t="s">
        <v>3370</v>
      </c>
    </row>
    <row r="161" spans="1:13" x14ac:dyDescent="0.35">
      <c r="A161" s="49" t="s">
        <v>3371</v>
      </c>
      <c r="B161" s="49" t="s">
        <v>3372</v>
      </c>
      <c r="C161" s="49" t="s">
        <v>3373</v>
      </c>
      <c r="D161" s="49" t="s">
        <v>1264</v>
      </c>
      <c r="E161" s="49" t="s">
        <v>2774</v>
      </c>
      <c r="F161" s="49" t="s">
        <v>2900</v>
      </c>
      <c r="G161" s="49" t="s">
        <v>2787</v>
      </c>
      <c r="H161" s="49" t="s">
        <v>3229</v>
      </c>
      <c r="I161" s="50">
        <v>42006</v>
      </c>
      <c r="J161" s="50">
        <v>42179</v>
      </c>
      <c r="K161" s="50">
        <v>44370</v>
      </c>
      <c r="M161" s="49" t="s">
        <v>3374</v>
      </c>
    </row>
    <row r="162" spans="1:13" x14ac:dyDescent="0.35">
      <c r="A162" s="49" t="s">
        <v>3375</v>
      </c>
      <c r="B162" s="49" t="s">
        <v>2937</v>
      </c>
      <c r="C162" s="49" t="s">
        <v>3376</v>
      </c>
      <c r="D162" s="49" t="s">
        <v>1264</v>
      </c>
      <c r="E162" s="49" t="s">
        <v>2908</v>
      </c>
      <c r="F162" s="49" t="s">
        <v>2939</v>
      </c>
      <c r="G162" s="49" t="s">
        <v>2921</v>
      </c>
      <c r="H162" s="49" t="s">
        <v>980</v>
      </c>
      <c r="I162" s="50">
        <v>42009</v>
      </c>
      <c r="J162" s="50">
        <v>42054</v>
      </c>
      <c r="K162" s="50">
        <v>43879</v>
      </c>
      <c r="M162" s="49" t="s">
        <v>3377</v>
      </c>
    </row>
    <row r="163" spans="1:13" x14ac:dyDescent="0.35">
      <c r="A163" s="49" t="s">
        <v>3378</v>
      </c>
      <c r="B163" s="49" t="s">
        <v>2937</v>
      </c>
      <c r="C163" s="49" t="s">
        <v>3379</v>
      </c>
      <c r="D163" s="49" t="s">
        <v>1264</v>
      </c>
      <c r="E163" s="49" t="s">
        <v>2908</v>
      </c>
      <c r="F163" s="49" t="s">
        <v>2939</v>
      </c>
      <c r="G163" s="49" t="s">
        <v>2901</v>
      </c>
      <c r="H163" s="49" t="s">
        <v>980</v>
      </c>
      <c r="I163" s="50">
        <v>42010</v>
      </c>
      <c r="J163" s="50">
        <v>42054</v>
      </c>
      <c r="K163" s="50">
        <v>45706</v>
      </c>
      <c r="M163" s="49" t="s">
        <v>3380</v>
      </c>
    </row>
    <row r="164" spans="1:13" x14ac:dyDescent="0.35">
      <c r="A164" s="49" t="s">
        <v>3381</v>
      </c>
      <c r="B164" s="49" t="s">
        <v>2942</v>
      </c>
      <c r="C164" s="49" t="s">
        <v>3025</v>
      </c>
      <c r="D164" s="49" t="s">
        <v>1264</v>
      </c>
      <c r="E164" s="49" t="s">
        <v>2908</v>
      </c>
      <c r="F164" s="49" t="s">
        <v>2939</v>
      </c>
      <c r="G164" s="49" t="s">
        <v>2787</v>
      </c>
      <c r="H164" s="49" t="s">
        <v>980</v>
      </c>
      <c r="I164" s="50">
        <v>42010</v>
      </c>
      <c r="J164" s="50">
        <v>42551</v>
      </c>
      <c r="K164" s="50">
        <v>44376</v>
      </c>
      <c r="M164" s="49" t="s">
        <v>3382</v>
      </c>
    </row>
    <row r="165" spans="1:13" x14ac:dyDescent="0.35">
      <c r="A165" s="49" t="s">
        <v>3383</v>
      </c>
      <c r="B165" s="49" t="s">
        <v>2937</v>
      </c>
      <c r="C165" s="49" t="s">
        <v>3384</v>
      </c>
      <c r="D165" s="49" t="s">
        <v>1264</v>
      </c>
      <c r="E165" s="49" t="s">
        <v>2908</v>
      </c>
      <c r="F165" s="49" t="s">
        <v>2939</v>
      </c>
      <c r="G165" s="49" t="s">
        <v>2787</v>
      </c>
      <c r="H165" s="49" t="s">
        <v>980</v>
      </c>
      <c r="I165" s="50">
        <v>42011</v>
      </c>
      <c r="J165" s="50">
        <v>42054</v>
      </c>
      <c r="K165" s="50">
        <v>43879</v>
      </c>
      <c r="M165" s="49" t="s">
        <v>3385</v>
      </c>
    </row>
    <row r="166" spans="1:13" x14ac:dyDescent="0.35">
      <c r="A166" s="49" t="s">
        <v>3386</v>
      </c>
      <c r="B166" s="49" t="s">
        <v>2937</v>
      </c>
      <c r="C166" s="49" t="s">
        <v>3387</v>
      </c>
      <c r="D166" s="49" t="s">
        <v>1264</v>
      </c>
      <c r="E166" s="49" t="s">
        <v>2908</v>
      </c>
      <c r="F166" s="49" t="s">
        <v>2939</v>
      </c>
      <c r="G166" s="49" t="s">
        <v>2787</v>
      </c>
      <c r="H166" s="49" t="s">
        <v>980</v>
      </c>
      <c r="I166" s="50">
        <v>42011</v>
      </c>
      <c r="J166" s="50">
        <v>42054</v>
      </c>
      <c r="K166" s="50">
        <v>43879</v>
      </c>
      <c r="M166" s="49" t="s">
        <v>3388</v>
      </c>
    </row>
    <row r="167" spans="1:13" x14ac:dyDescent="0.35">
      <c r="A167" s="49" t="s">
        <v>3389</v>
      </c>
      <c r="B167" s="49" t="s">
        <v>2937</v>
      </c>
      <c r="C167" s="49" t="s">
        <v>3390</v>
      </c>
      <c r="D167" s="49" t="s">
        <v>1264</v>
      </c>
      <c r="E167" s="49" t="s">
        <v>2908</v>
      </c>
      <c r="F167" s="49" t="s">
        <v>2939</v>
      </c>
      <c r="G167" s="49" t="s">
        <v>2921</v>
      </c>
      <c r="H167" s="49" t="s">
        <v>980</v>
      </c>
      <c r="I167" s="50">
        <v>42012</v>
      </c>
      <c r="J167" s="50">
        <v>42054</v>
      </c>
      <c r="K167" s="50">
        <v>43879</v>
      </c>
      <c r="M167" s="49" t="s">
        <v>3391</v>
      </c>
    </row>
    <row r="168" spans="1:13" x14ac:dyDescent="0.35">
      <c r="A168" s="49" t="s">
        <v>3392</v>
      </c>
      <c r="B168" s="49" t="s">
        <v>2942</v>
      </c>
      <c r="C168" s="49" t="s">
        <v>3393</v>
      </c>
      <c r="D168" s="49" t="s">
        <v>1264</v>
      </c>
      <c r="E168" s="49" t="s">
        <v>2908</v>
      </c>
      <c r="F168" s="49" t="s">
        <v>2939</v>
      </c>
      <c r="G168" s="49" t="s">
        <v>2787</v>
      </c>
      <c r="H168" s="49" t="s">
        <v>980</v>
      </c>
      <c r="I168" s="50">
        <v>42013</v>
      </c>
      <c r="J168" s="50">
        <v>42054</v>
      </c>
      <c r="K168" s="50">
        <v>43879</v>
      </c>
      <c r="M168" s="49" t="s">
        <v>3394</v>
      </c>
    </row>
    <row r="169" spans="1:13" x14ac:dyDescent="0.35">
      <c r="A169" s="49" t="s">
        <v>3395</v>
      </c>
      <c r="B169" s="49" t="s">
        <v>2937</v>
      </c>
      <c r="C169" s="49" t="s">
        <v>3396</v>
      </c>
      <c r="D169" s="49" t="s">
        <v>1264</v>
      </c>
      <c r="E169" s="49" t="s">
        <v>2908</v>
      </c>
      <c r="F169" s="49" t="s">
        <v>2939</v>
      </c>
      <c r="G169" s="49" t="s">
        <v>2921</v>
      </c>
      <c r="H169" s="49" t="s">
        <v>980</v>
      </c>
      <c r="I169" s="50">
        <v>42019</v>
      </c>
      <c r="J169" s="50">
        <v>42886</v>
      </c>
      <c r="K169" s="50">
        <v>44711</v>
      </c>
      <c r="M169" s="49" t="s">
        <v>3397</v>
      </c>
    </row>
    <row r="170" spans="1:13" x14ac:dyDescent="0.35">
      <c r="A170" s="49" t="s">
        <v>3398</v>
      </c>
      <c r="B170" s="49" t="s">
        <v>3399</v>
      </c>
      <c r="C170" s="49" t="s">
        <v>3400</v>
      </c>
      <c r="D170" s="49" t="s">
        <v>1264</v>
      </c>
      <c r="E170" s="49" t="s">
        <v>2908</v>
      </c>
      <c r="F170" s="49" t="s">
        <v>2837</v>
      </c>
      <c r="G170" s="49" t="s">
        <v>2901</v>
      </c>
      <c r="H170" s="49" t="s">
        <v>2827</v>
      </c>
      <c r="I170" s="50">
        <v>42048</v>
      </c>
      <c r="J170" s="50">
        <v>42479</v>
      </c>
      <c r="K170" s="50">
        <v>46130</v>
      </c>
      <c r="L170" s="50">
        <v>44305</v>
      </c>
      <c r="M170" s="49" t="s">
        <v>3401</v>
      </c>
    </row>
    <row r="171" spans="1:13" x14ac:dyDescent="0.35">
      <c r="A171" s="49" t="s">
        <v>3402</v>
      </c>
      <c r="B171" s="49" t="s">
        <v>3403</v>
      </c>
      <c r="C171" s="49" t="s">
        <v>3404</v>
      </c>
      <c r="D171" s="49" t="s">
        <v>1264</v>
      </c>
      <c r="E171" s="49" t="s">
        <v>2899</v>
      </c>
      <c r="F171" s="49" t="s">
        <v>3405</v>
      </c>
      <c r="G171" s="49" t="s">
        <v>2901</v>
      </c>
      <c r="H171" s="49" t="s">
        <v>2827</v>
      </c>
      <c r="I171" s="50">
        <v>42056</v>
      </c>
      <c r="J171" s="50">
        <v>42263</v>
      </c>
      <c r="K171" s="50">
        <v>51395</v>
      </c>
      <c r="M171" s="49" t="s">
        <v>3406</v>
      </c>
    </row>
    <row r="172" spans="1:13" x14ac:dyDescent="0.35">
      <c r="A172" s="49" t="s">
        <v>3407</v>
      </c>
      <c r="B172" s="49" t="s">
        <v>3408</v>
      </c>
      <c r="C172" s="49" t="s">
        <v>3409</v>
      </c>
      <c r="D172" s="49" t="s">
        <v>1264</v>
      </c>
      <c r="E172" s="49" t="s">
        <v>2986</v>
      </c>
      <c r="F172" s="49" t="s">
        <v>2825</v>
      </c>
      <c r="G172" s="49" t="s">
        <v>2787</v>
      </c>
      <c r="H172" s="49" t="s">
        <v>2827</v>
      </c>
      <c r="I172" s="50">
        <v>42073</v>
      </c>
      <c r="J172" s="50">
        <v>42153</v>
      </c>
      <c r="K172" s="50">
        <v>44569</v>
      </c>
      <c r="M172" s="49" t="s">
        <v>3270</v>
      </c>
    </row>
    <row r="173" spans="1:13" x14ac:dyDescent="0.35">
      <c r="A173" s="49" t="s">
        <v>3410</v>
      </c>
      <c r="B173" s="49" t="s">
        <v>3411</v>
      </c>
      <c r="C173" s="49" t="s">
        <v>3412</v>
      </c>
      <c r="D173" s="49" t="s">
        <v>1264</v>
      </c>
      <c r="E173" s="49" t="s">
        <v>3413</v>
      </c>
      <c r="F173" s="49" t="s">
        <v>2825</v>
      </c>
      <c r="G173" s="49" t="s">
        <v>2901</v>
      </c>
      <c r="H173" s="49" t="s">
        <v>2827</v>
      </c>
      <c r="I173" s="50">
        <v>42097</v>
      </c>
      <c r="J173" s="50">
        <v>44228</v>
      </c>
      <c r="K173" s="50">
        <v>46053</v>
      </c>
      <c r="M173" s="49" t="s">
        <v>3414</v>
      </c>
    </row>
    <row r="174" spans="1:13" x14ac:dyDescent="0.35">
      <c r="A174" s="49" t="s">
        <v>3415</v>
      </c>
      <c r="B174" s="49" t="s">
        <v>3416</v>
      </c>
      <c r="C174" s="49" t="s">
        <v>3417</v>
      </c>
      <c r="D174" s="49" t="s">
        <v>1264</v>
      </c>
      <c r="E174" s="49" t="s">
        <v>2986</v>
      </c>
      <c r="F174" s="49" t="s">
        <v>2825</v>
      </c>
      <c r="G174" s="49" t="s">
        <v>2820</v>
      </c>
      <c r="H174" s="49" t="s">
        <v>2827</v>
      </c>
      <c r="I174" s="50">
        <v>42104</v>
      </c>
      <c r="J174" s="50">
        <v>42885</v>
      </c>
      <c r="K174" s="50">
        <v>45416</v>
      </c>
      <c r="L174" s="50">
        <v>43982</v>
      </c>
      <c r="M174" s="49" t="s">
        <v>3418</v>
      </c>
    </row>
    <row r="175" spans="1:13" x14ac:dyDescent="0.35">
      <c r="A175" s="49" t="s">
        <v>3419</v>
      </c>
      <c r="B175" s="49" t="s">
        <v>3420</v>
      </c>
      <c r="C175" s="49" t="s">
        <v>3421</v>
      </c>
      <c r="D175" s="49" t="s">
        <v>1264</v>
      </c>
      <c r="E175" s="49" t="s">
        <v>2908</v>
      </c>
      <c r="F175" s="49" t="s">
        <v>2939</v>
      </c>
      <c r="G175" s="49" t="s">
        <v>2787</v>
      </c>
      <c r="H175" s="49" t="s">
        <v>980</v>
      </c>
      <c r="I175" s="50">
        <v>42113</v>
      </c>
      <c r="J175" s="50">
        <v>42468</v>
      </c>
      <c r="K175" s="50">
        <v>44293</v>
      </c>
      <c r="M175" s="49" t="s">
        <v>3422</v>
      </c>
    </row>
    <row r="176" spans="1:13" x14ac:dyDescent="0.35">
      <c r="A176" s="49" t="s">
        <v>3423</v>
      </c>
      <c r="B176" s="49" t="s">
        <v>3424</v>
      </c>
      <c r="C176" s="49" t="s">
        <v>3425</v>
      </c>
      <c r="D176" s="49" t="s">
        <v>1264</v>
      </c>
      <c r="E176" s="49" t="s">
        <v>3413</v>
      </c>
      <c r="F176" s="49" t="s">
        <v>2900</v>
      </c>
      <c r="G176" s="49" t="s">
        <v>2901</v>
      </c>
      <c r="H176" s="49" t="s">
        <v>835</v>
      </c>
      <c r="I176" s="50">
        <v>42116</v>
      </c>
      <c r="J176" s="50">
        <v>43370</v>
      </c>
      <c r="K176" s="50">
        <v>50674</v>
      </c>
      <c r="M176" s="49" t="s">
        <v>3426</v>
      </c>
    </row>
    <row r="177" spans="1:13" x14ac:dyDescent="0.35">
      <c r="A177" s="49" t="s">
        <v>3427</v>
      </c>
      <c r="B177" s="49" t="s">
        <v>3428</v>
      </c>
      <c r="C177" s="49" t="s">
        <v>3429</v>
      </c>
      <c r="D177" s="49" t="s">
        <v>1264</v>
      </c>
      <c r="E177" s="49" t="s">
        <v>2774</v>
      </c>
      <c r="F177" s="49" t="s">
        <v>2900</v>
      </c>
      <c r="G177" s="49" t="s">
        <v>2787</v>
      </c>
      <c r="H177" s="49" t="s">
        <v>835</v>
      </c>
      <c r="I177" s="50">
        <v>42151</v>
      </c>
      <c r="J177" s="50">
        <v>42429</v>
      </c>
      <c r="K177" s="50">
        <v>45715</v>
      </c>
      <c r="M177" s="49" t="s">
        <v>3430</v>
      </c>
    </row>
    <row r="178" spans="1:13" x14ac:dyDescent="0.35">
      <c r="A178" s="49" t="s">
        <v>3431</v>
      </c>
      <c r="B178" s="49" t="s">
        <v>3432</v>
      </c>
      <c r="C178" s="49" t="s">
        <v>3409</v>
      </c>
      <c r="D178" s="49" t="s">
        <v>1264</v>
      </c>
      <c r="E178" s="49" t="s">
        <v>2986</v>
      </c>
      <c r="F178" s="49" t="s">
        <v>2825</v>
      </c>
      <c r="G178" s="49" t="s">
        <v>2787</v>
      </c>
      <c r="H178" s="49" t="s">
        <v>2827</v>
      </c>
      <c r="I178" s="50">
        <v>42221</v>
      </c>
      <c r="J178" s="50">
        <v>42678</v>
      </c>
      <c r="K178" s="50">
        <v>45353</v>
      </c>
      <c r="M178" s="49" t="s">
        <v>3270</v>
      </c>
    </row>
    <row r="179" spans="1:13" x14ac:dyDescent="0.35">
      <c r="A179" s="49" t="s">
        <v>3433</v>
      </c>
      <c r="B179" s="49" t="s">
        <v>3434</v>
      </c>
      <c r="C179" s="49" t="s">
        <v>3435</v>
      </c>
      <c r="D179" s="49" t="s">
        <v>1264</v>
      </c>
      <c r="E179" s="49" t="s">
        <v>3413</v>
      </c>
      <c r="F179" s="49" t="s">
        <v>2825</v>
      </c>
      <c r="G179" s="49" t="s">
        <v>2901</v>
      </c>
      <c r="H179" s="49" t="s">
        <v>2827</v>
      </c>
      <c r="I179" s="50">
        <v>42227</v>
      </c>
      <c r="J179" s="50">
        <v>42929</v>
      </c>
      <c r="K179" s="50">
        <v>46580</v>
      </c>
      <c r="M179" s="49" t="s">
        <v>3436</v>
      </c>
    </row>
    <row r="180" spans="1:13" x14ac:dyDescent="0.35">
      <c r="A180" s="49" t="s">
        <v>3437</v>
      </c>
      <c r="B180" s="49" t="s">
        <v>3438</v>
      </c>
      <c r="C180" s="49" t="s">
        <v>3439</v>
      </c>
      <c r="D180" s="49" t="s">
        <v>1264</v>
      </c>
      <c r="E180" s="49" t="s">
        <v>2908</v>
      </c>
      <c r="F180" s="49" t="s">
        <v>2939</v>
      </c>
      <c r="G180" s="49" t="s">
        <v>2901</v>
      </c>
      <c r="H180" s="49" t="s">
        <v>980</v>
      </c>
      <c r="I180" s="50">
        <v>42268</v>
      </c>
      <c r="J180" s="50">
        <v>42460</v>
      </c>
      <c r="K180" s="50">
        <v>46110</v>
      </c>
      <c r="L180" s="50">
        <v>44286</v>
      </c>
      <c r="M180" s="49" t="s">
        <v>3440</v>
      </c>
    </row>
    <row r="181" spans="1:13" x14ac:dyDescent="0.35">
      <c r="A181" s="49" t="s">
        <v>3441</v>
      </c>
      <c r="B181" s="49" t="s">
        <v>3123</v>
      </c>
      <c r="C181" s="49" t="s">
        <v>3442</v>
      </c>
      <c r="D181" s="49" t="s">
        <v>1264</v>
      </c>
      <c r="E181" s="49" t="s">
        <v>3443</v>
      </c>
      <c r="F181" s="49" t="s">
        <v>3124</v>
      </c>
      <c r="G181" s="49" t="s">
        <v>2921</v>
      </c>
      <c r="H181" s="49" t="s">
        <v>980</v>
      </c>
      <c r="I181" s="50">
        <v>42279</v>
      </c>
      <c r="J181" s="50">
        <v>42466</v>
      </c>
      <c r="K181" s="50">
        <v>44291</v>
      </c>
      <c r="M181" s="49" t="s">
        <v>3444</v>
      </c>
    </row>
    <row r="182" spans="1:13" x14ac:dyDescent="0.35">
      <c r="A182" s="49" t="s">
        <v>3445</v>
      </c>
      <c r="B182" s="49" t="s">
        <v>3399</v>
      </c>
      <c r="C182" s="49" t="s">
        <v>3446</v>
      </c>
      <c r="D182" s="49" t="s">
        <v>1264</v>
      </c>
      <c r="E182" s="49" t="s">
        <v>2899</v>
      </c>
      <c r="F182" s="49" t="s">
        <v>2825</v>
      </c>
      <c r="G182" s="49" t="s">
        <v>2901</v>
      </c>
      <c r="H182" s="49" t="s">
        <v>2827</v>
      </c>
      <c r="I182" s="50">
        <v>42297</v>
      </c>
      <c r="J182" s="50">
        <v>42565</v>
      </c>
      <c r="K182" s="50">
        <v>48043</v>
      </c>
      <c r="M182" s="49" t="s">
        <v>3447</v>
      </c>
    </row>
    <row r="183" spans="1:13" x14ac:dyDescent="0.35">
      <c r="A183" s="49" t="s">
        <v>3448</v>
      </c>
      <c r="B183" s="49" t="s">
        <v>3449</v>
      </c>
      <c r="C183" s="49" t="s">
        <v>3450</v>
      </c>
      <c r="D183" s="49" t="s">
        <v>1264</v>
      </c>
      <c r="E183" s="49" t="s">
        <v>2774</v>
      </c>
      <c r="F183" s="49" t="s">
        <v>2900</v>
      </c>
      <c r="G183" s="49" t="s">
        <v>2787</v>
      </c>
      <c r="H183" s="49" t="s">
        <v>3229</v>
      </c>
      <c r="I183" s="50">
        <v>42299</v>
      </c>
      <c r="J183" s="50">
        <v>42502</v>
      </c>
      <c r="K183" s="50">
        <v>44692</v>
      </c>
      <c r="M183" s="49" t="s">
        <v>3451</v>
      </c>
    </row>
    <row r="184" spans="1:13" x14ac:dyDescent="0.35">
      <c r="A184" s="49" t="s">
        <v>3452</v>
      </c>
      <c r="B184" s="49" t="s">
        <v>3453</v>
      </c>
      <c r="C184" s="49" t="s">
        <v>3454</v>
      </c>
      <c r="D184" s="49" t="s">
        <v>1264</v>
      </c>
      <c r="E184" s="49" t="s">
        <v>2986</v>
      </c>
      <c r="F184" s="49" t="s">
        <v>2825</v>
      </c>
      <c r="G184" s="49" t="s">
        <v>2787</v>
      </c>
      <c r="H184" s="49" t="s">
        <v>2827</v>
      </c>
      <c r="I184" s="50">
        <v>42368</v>
      </c>
      <c r="J184" s="50">
        <v>43878</v>
      </c>
      <c r="K184" s="50">
        <v>44953</v>
      </c>
      <c r="M184" s="49" t="s">
        <v>3455</v>
      </c>
    </row>
    <row r="185" spans="1:13" x14ac:dyDescent="0.35">
      <c r="A185" s="49" t="s">
        <v>3456</v>
      </c>
      <c r="B185" s="49" t="s">
        <v>3457</v>
      </c>
      <c r="C185" s="49" t="s">
        <v>3458</v>
      </c>
      <c r="D185" s="49" t="s">
        <v>1264</v>
      </c>
      <c r="E185" s="49" t="s">
        <v>2986</v>
      </c>
      <c r="F185" s="49" t="s">
        <v>2825</v>
      </c>
      <c r="G185" s="49" t="s">
        <v>2901</v>
      </c>
      <c r="H185" s="49" t="s">
        <v>2827</v>
      </c>
      <c r="I185" s="50">
        <v>42381</v>
      </c>
      <c r="J185" s="50">
        <v>40190</v>
      </c>
      <c r="K185" s="50">
        <v>45421</v>
      </c>
      <c r="L185" s="50">
        <v>43707</v>
      </c>
      <c r="M185" s="49" t="s">
        <v>3459</v>
      </c>
    </row>
    <row r="186" spans="1:13" x14ac:dyDescent="0.35">
      <c r="A186" s="49" t="s">
        <v>3460</v>
      </c>
      <c r="B186" s="49" t="s">
        <v>3461</v>
      </c>
      <c r="C186" s="49" t="s">
        <v>3462</v>
      </c>
      <c r="D186" s="49" t="s">
        <v>1264</v>
      </c>
      <c r="E186" s="49" t="s">
        <v>2908</v>
      </c>
      <c r="F186" s="49" t="s">
        <v>2837</v>
      </c>
      <c r="G186" s="49" t="s">
        <v>2901</v>
      </c>
      <c r="H186" s="49" t="s">
        <v>980</v>
      </c>
      <c r="I186" s="50">
        <v>42395</v>
      </c>
      <c r="J186" s="50">
        <v>43307</v>
      </c>
      <c r="K186" s="50">
        <v>46614</v>
      </c>
      <c r="M186" s="49" t="s">
        <v>3463</v>
      </c>
    </row>
    <row r="187" spans="1:13" x14ac:dyDescent="0.35">
      <c r="A187" s="49" t="s">
        <v>3464</v>
      </c>
      <c r="B187" s="49" t="s">
        <v>3354</v>
      </c>
      <c r="C187" s="49" t="s">
        <v>3465</v>
      </c>
      <c r="D187" s="49" t="s">
        <v>1264</v>
      </c>
      <c r="E187" s="49" t="s">
        <v>2908</v>
      </c>
      <c r="F187" s="49" t="s">
        <v>2939</v>
      </c>
      <c r="G187" s="49" t="s">
        <v>2901</v>
      </c>
      <c r="H187" s="49" t="s">
        <v>980</v>
      </c>
      <c r="I187" s="50">
        <v>42402</v>
      </c>
      <c r="J187" s="50">
        <v>42541</v>
      </c>
      <c r="K187" s="50">
        <v>46192</v>
      </c>
      <c r="M187" s="49" t="s">
        <v>3466</v>
      </c>
    </row>
    <row r="188" spans="1:13" x14ac:dyDescent="0.35">
      <c r="A188" s="49" t="s">
        <v>3467</v>
      </c>
      <c r="B188" s="49" t="s">
        <v>3468</v>
      </c>
      <c r="C188" s="49" t="s">
        <v>3469</v>
      </c>
      <c r="D188" s="49" t="s">
        <v>1264</v>
      </c>
      <c r="E188" s="49" t="s">
        <v>3443</v>
      </c>
      <c r="F188" s="49" t="s">
        <v>3124</v>
      </c>
      <c r="G188" s="49" t="s">
        <v>2921</v>
      </c>
      <c r="H188" s="49" t="s">
        <v>980</v>
      </c>
      <c r="I188" s="50">
        <v>42403</v>
      </c>
      <c r="J188" s="50">
        <v>42415</v>
      </c>
      <c r="K188" s="50">
        <v>44241</v>
      </c>
      <c r="M188" s="49" t="s">
        <v>3470</v>
      </c>
    </row>
    <row r="189" spans="1:13" x14ac:dyDescent="0.35">
      <c r="A189" s="49" t="s">
        <v>3471</v>
      </c>
      <c r="B189" s="49" t="s">
        <v>3472</v>
      </c>
      <c r="C189" s="49" t="s">
        <v>3473</v>
      </c>
      <c r="D189" s="49" t="s">
        <v>1264</v>
      </c>
      <c r="E189" s="49" t="s">
        <v>2774</v>
      </c>
      <c r="F189" s="49" t="s">
        <v>2825</v>
      </c>
      <c r="G189" s="49" t="s">
        <v>2787</v>
      </c>
      <c r="H189" s="49" t="s">
        <v>2827</v>
      </c>
      <c r="I189" s="50">
        <v>42411</v>
      </c>
      <c r="J189" s="50">
        <v>43179</v>
      </c>
      <c r="K189" s="50">
        <v>44640</v>
      </c>
      <c r="M189" s="49" t="s">
        <v>3474</v>
      </c>
    </row>
    <row r="190" spans="1:13" x14ac:dyDescent="0.35">
      <c r="A190" s="49" t="s">
        <v>3475</v>
      </c>
      <c r="C190" s="49" t="s">
        <v>3476</v>
      </c>
      <c r="D190" s="49" t="s">
        <v>1264</v>
      </c>
      <c r="E190" s="49" t="s">
        <v>3443</v>
      </c>
      <c r="F190" s="49" t="s">
        <v>3124</v>
      </c>
      <c r="G190" s="49" t="s">
        <v>2901</v>
      </c>
      <c r="H190" s="49" t="s">
        <v>980</v>
      </c>
      <c r="I190" s="50">
        <v>42415</v>
      </c>
      <c r="J190" s="50">
        <v>42635</v>
      </c>
      <c r="K190" s="50">
        <v>46286</v>
      </c>
      <c r="L190" s="50">
        <v>44461</v>
      </c>
      <c r="M190" s="49" t="s">
        <v>3477</v>
      </c>
    </row>
    <row r="191" spans="1:13" x14ac:dyDescent="0.35">
      <c r="A191" s="49" t="s">
        <v>3478</v>
      </c>
      <c r="B191" s="49" t="s">
        <v>3479</v>
      </c>
      <c r="C191" s="49" t="s">
        <v>3465</v>
      </c>
      <c r="D191" s="49" t="s">
        <v>1264</v>
      </c>
      <c r="E191" s="49" t="s">
        <v>2774</v>
      </c>
      <c r="F191" s="49" t="s">
        <v>3480</v>
      </c>
      <c r="G191" s="49" t="s">
        <v>2787</v>
      </c>
      <c r="H191" s="49" t="s">
        <v>980</v>
      </c>
      <c r="I191" s="50">
        <v>42418</v>
      </c>
      <c r="J191" s="50">
        <v>43179</v>
      </c>
      <c r="K191" s="50">
        <v>44640</v>
      </c>
      <c r="M191" s="49" t="s">
        <v>3481</v>
      </c>
    </row>
    <row r="192" spans="1:13" x14ac:dyDescent="0.35">
      <c r="A192" s="49" t="s">
        <v>3482</v>
      </c>
      <c r="B192" s="49" t="s">
        <v>3354</v>
      </c>
      <c r="C192" s="49" t="s">
        <v>3483</v>
      </c>
      <c r="D192" s="49" t="s">
        <v>1264</v>
      </c>
      <c r="E192" s="49" t="s">
        <v>2908</v>
      </c>
      <c r="F192" s="49" t="s">
        <v>2837</v>
      </c>
      <c r="G192" s="49" t="s">
        <v>2901</v>
      </c>
      <c r="H192" s="49" t="s">
        <v>980</v>
      </c>
      <c r="I192" s="50">
        <v>42422</v>
      </c>
      <c r="J192" s="50">
        <v>43362</v>
      </c>
      <c r="K192" s="50">
        <v>46643</v>
      </c>
      <c r="L192" s="50">
        <v>44818</v>
      </c>
      <c r="M192" s="49" t="s">
        <v>3484</v>
      </c>
    </row>
    <row r="193" spans="1:13" x14ac:dyDescent="0.35">
      <c r="A193" s="49" t="s">
        <v>3485</v>
      </c>
      <c r="B193" s="49" t="s">
        <v>3354</v>
      </c>
      <c r="C193" s="49" t="s">
        <v>2997</v>
      </c>
      <c r="D193" s="49" t="s">
        <v>1264</v>
      </c>
      <c r="E193" s="49" t="s">
        <v>2908</v>
      </c>
      <c r="F193" s="49" t="s">
        <v>2939</v>
      </c>
      <c r="G193" s="49" t="s">
        <v>2901</v>
      </c>
      <c r="H193" s="49" t="s">
        <v>980</v>
      </c>
      <c r="I193" s="50">
        <v>42426</v>
      </c>
      <c r="J193" s="50">
        <v>42438</v>
      </c>
      <c r="K193" s="50">
        <v>46089</v>
      </c>
      <c r="M193" s="49" t="s">
        <v>3486</v>
      </c>
    </row>
    <row r="194" spans="1:13" x14ac:dyDescent="0.35">
      <c r="A194" s="49" t="s">
        <v>3487</v>
      </c>
      <c r="B194" s="49" t="s">
        <v>3468</v>
      </c>
      <c r="C194" s="49" t="s">
        <v>3488</v>
      </c>
      <c r="D194" s="49" t="s">
        <v>1264</v>
      </c>
      <c r="E194" s="49" t="s">
        <v>3443</v>
      </c>
      <c r="F194" s="49" t="s">
        <v>3124</v>
      </c>
      <c r="G194" s="49" t="s">
        <v>2921</v>
      </c>
      <c r="H194" s="49" t="s">
        <v>980</v>
      </c>
      <c r="I194" s="50">
        <v>42461</v>
      </c>
      <c r="J194" s="50">
        <v>43115</v>
      </c>
      <c r="K194" s="50">
        <v>44940</v>
      </c>
      <c r="M194" s="49" t="s">
        <v>3489</v>
      </c>
    </row>
    <row r="195" spans="1:13" x14ac:dyDescent="0.35">
      <c r="A195" s="49" t="s">
        <v>3490</v>
      </c>
      <c r="B195" s="49" t="s">
        <v>3491</v>
      </c>
      <c r="C195" s="49" t="s">
        <v>3492</v>
      </c>
      <c r="D195" s="49" t="s">
        <v>1264</v>
      </c>
      <c r="E195" s="49" t="s">
        <v>2986</v>
      </c>
      <c r="F195" s="49" t="s">
        <v>2825</v>
      </c>
      <c r="G195" s="49" t="s">
        <v>2820</v>
      </c>
      <c r="H195" s="49" t="s">
        <v>2827</v>
      </c>
      <c r="I195" s="50">
        <v>42471</v>
      </c>
      <c r="J195" s="50">
        <v>43195</v>
      </c>
      <c r="K195" s="50">
        <v>45387</v>
      </c>
      <c r="L195" s="50">
        <v>44292</v>
      </c>
      <c r="M195" s="49" t="s">
        <v>3270</v>
      </c>
    </row>
    <row r="196" spans="1:13" x14ac:dyDescent="0.35">
      <c r="A196" s="49" t="s">
        <v>3493</v>
      </c>
      <c r="B196" s="49" t="s">
        <v>2937</v>
      </c>
      <c r="C196" s="49" t="s">
        <v>3494</v>
      </c>
      <c r="D196" s="49" t="s">
        <v>1264</v>
      </c>
      <c r="E196" s="49" t="s">
        <v>2774</v>
      </c>
      <c r="F196" s="49" t="s">
        <v>2939</v>
      </c>
      <c r="G196" s="49" t="s">
        <v>2787</v>
      </c>
      <c r="H196" s="49" t="s">
        <v>980</v>
      </c>
      <c r="I196" s="50">
        <v>42478</v>
      </c>
      <c r="J196" s="50">
        <v>42480</v>
      </c>
      <c r="K196" s="50">
        <v>43574</v>
      </c>
      <c r="M196" s="49" t="s">
        <v>3495</v>
      </c>
    </row>
    <row r="197" spans="1:13" x14ac:dyDescent="0.35">
      <c r="A197" s="49" t="s">
        <v>3496</v>
      </c>
      <c r="B197" s="49" t="s">
        <v>3354</v>
      </c>
      <c r="C197" s="49" t="s">
        <v>3494</v>
      </c>
      <c r="D197" s="49" t="s">
        <v>1264</v>
      </c>
      <c r="E197" s="49" t="s">
        <v>2774</v>
      </c>
      <c r="F197" s="49" t="s">
        <v>2939</v>
      </c>
      <c r="G197" s="49" t="s">
        <v>2787</v>
      </c>
      <c r="H197" s="49" t="s">
        <v>980</v>
      </c>
      <c r="I197" s="50">
        <v>42478</v>
      </c>
      <c r="J197" s="50">
        <v>43575</v>
      </c>
      <c r="K197" s="50">
        <v>44640</v>
      </c>
      <c r="M197" s="49" t="s">
        <v>3497</v>
      </c>
    </row>
    <row r="198" spans="1:13" x14ac:dyDescent="0.35">
      <c r="A198" s="49" t="s">
        <v>3498</v>
      </c>
      <c r="B198" s="49" t="s">
        <v>3499</v>
      </c>
      <c r="C198" s="49" t="s">
        <v>3500</v>
      </c>
      <c r="D198" s="49" t="s">
        <v>1264</v>
      </c>
      <c r="E198" s="49" t="s">
        <v>2986</v>
      </c>
      <c r="F198" s="49" t="s">
        <v>2825</v>
      </c>
      <c r="G198" s="49" t="s">
        <v>2787</v>
      </c>
      <c r="H198" s="49" t="s">
        <v>2827</v>
      </c>
      <c r="I198" s="50">
        <v>42486</v>
      </c>
      <c r="J198" s="50">
        <v>42662</v>
      </c>
      <c r="K198" s="50">
        <v>44066</v>
      </c>
      <c r="M198" s="49" t="s">
        <v>3501</v>
      </c>
    </row>
    <row r="199" spans="1:13" x14ac:dyDescent="0.35">
      <c r="A199" s="49" t="s">
        <v>3502</v>
      </c>
      <c r="B199" s="49" t="s">
        <v>3503</v>
      </c>
      <c r="C199" s="49" t="s">
        <v>3504</v>
      </c>
      <c r="D199" s="49" t="s">
        <v>1264</v>
      </c>
      <c r="E199" s="49" t="s">
        <v>3443</v>
      </c>
      <c r="F199" s="49" t="s">
        <v>3124</v>
      </c>
      <c r="G199" s="49" t="s">
        <v>2787</v>
      </c>
      <c r="H199" s="49" t="s">
        <v>980</v>
      </c>
      <c r="I199" s="50">
        <v>42535</v>
      </c>
      <c r="J199" s="50">
        <v>42877</v>
      </c>
      <c r="K199" s="50">
        <v>44702</v>
      </c>
      <c r="M199" s="49" t="s">
        <v>3505</v>
      </c>
    </row>
    <row r="200" spans="1:13" x14ac:dyDescent="0.35">
      <c r="A200" s="49" t="s">
        <v>3506</v>
      </c>
      <c r="B200" s="49" t="s">
        <v>3507</v>
      </c>
      <c r="C200" s="49" t="s">
        <v>3508</v>
      </c>
      <c r="D200" s="49" t="s">
        <v>1264</v>
      </c>
      <c r="E200" s="49" t="s">
        <v>2774</v>
      </c>
      <c r="F200" s="49" t="s">
        <v>3509</v>
      </c>
      <c r="G200" s="49" t="s">
        <v>2787</v>
      </c>
      <c r="H200" s="49" t="s">
        <v>973</v>
      </c>
      <c r="I200" s="50">
        <v>42537</v>
      </c>
      <c r="J200" s="50">
        <v>43115</v>
      </c>
      <c r="K200" s="50">
        <v>44575</v>
      </c>
      <c r="M200" s="49" t="s">
        <v>3510</v>
      </c>
    </row>
    <row r="201" spans="1:13" x14ac:dyDescent="0.35">
      <c r="A201" s="49" t="s">
        <v>3511</v>
      </c>
      <c r="C201" s="49" t="s">
        <v>3512</v>
      </c>
      <c r="D201" s="49" t="s">
        <v>1264</v>
      </c>
      <c r="E201" s="49" t="s">
        <v>3443</v>
      </c>
      <c r="F201" s="49" t="s">
        <v>3124</v>
      </c>
      <c r="G201" s="49" t="s">
        <v>2787</v>
      </c>
      <c r="H201" s="49" t="s">
        <v>980</v>
      </c>
      <c r="I201" s="50">
        <v>42548</v>
      </c>
      <c r="J201" s="50">
        <v>43283</v>
      </c>
      <c r="K201" s="50">
        <v>45108</v>
      </c>
      <c r="M201" s="49" t="s">
        <v>3270</v>
      </c>
    </row>
    <row r="202" spans="1:13" x14ac:dyDescent="0.35">
      <c r="A202" s="49" t="s">
        <v>3513</v>
      </c>
      <c r="B202" s="49" t="s">
        <v>3514</v>
      </c>
      <c r="C202" s="49" t="s">
        <v>3087</v>
      </c>
      <c r="D202" s="49" t="s">
        <v>1264</v>
      </c>
      <c r="E202" s="49" t="s">
        <v>2774</v>
      </c>
      <c r="F202" s="49" t="s">
        <v>3010</v>
      </c>
      <c r="G202" s="49" t="s">
        <v>2921</v>
      </c>
      <c r="H202" s="49" t="s">
        <v>973</v>
      </c>
      <c r="I202" s="50">
        <v>42571</v>
      </c>
      <c r="J202" s="50">
        <v>42635</v>
      </c>
      <c r="K202" s="50">
        <v>44825</v>
      </c>
      <c r="M202" s="49" t="s">
        <v>3515</v>
      </c>
    </row>
    <row r="203" spans="1:13" x14ac:dyDescent="0.35">
      <c r="A203" s="49" t="s">
        <v>3516</v>
      </c>
      <c r="B203" s="49" t="s">
        <v>3517</v>
      </c>
      <c r="C203" s="49" t="s">
        <v>3518</v>
      </c>
      <c r="D203" s="49" t="s">
        <v>1264</v>
      </c>
      <c r="E203" s="49" t="s">
        <v>2774</v>
      </c>
      <c r="F203" s="49" t="s">
        <v>2825</v>
      </c>
      <c r="G203" s="49" t="s">
        <v>2787</v>
      </c>
      <c r="H203" s="49" t="s">
        <v>2827</v>
      </c>
      <c r="I203" s="50">
        <v>42583</v>
      </c>
      <c r="J203" s="50">
        <v>43410</v>
      </c>
      <c r="K203" s="50">
        <v>45967</v>
      </c>
      <c r="M203" s="49" t="s">
        <v>3519</v>
      </c>
    </row>
    <row r="204" spans="1:13" x14ac:dyDescent="0.35">
      <c r="A204" s="49" t="s">
        <v>3520</v>
      </c>
      <c r="B204" s="49" t="s">
        <v>3521</v>
      </c>
      <c r="C204" s="49" t="s">
        <v>3522</v>
      </c>
      <c r="D204" s="49" t="s">
        <v>1264</v>
      </c>
      <c r="E204" s="49" t="s">
        <v>2974</v>
      </c>
      <c r="F204" s="49" t="s">
        <v>3005</v>
      </c>
      <c r="G204" s="49" t="s">
        <v>2975</v>
      </c>
      <c r="H204" s="49" t="s">
        <v>1062</v>
      </c>
      <c r="I204" s="50">
        <v>42619</v>
      </c>
      <c r="J204" s="50">
        <v>42885</v>
      </c>
      <c r="K204" s="50">
        <v>45202</v>
      </c>
      <c r="M204" s="49" t="s">
        <v>3523</v>
      </c>
    </row>
    <row r="205" spans="1:13" x14ac:dyDescent="0.35">
      <c r="A205" s="49" t="s">
        <v>3524</v>
      </c>
      <c r="C205" s="49" t="s">
        <v>3525</v>
      </c>
      <c r="D205" s="49" t="s">
        <v>1264</v>
      </c>
      <c r="E205" s="49" t="s">
        <v>3443</v>
      </c>
      <c r="F205" s="49" t="s">
        <v>3124</v>
      </c>
      <c r="G205" s="49" t="s">
        <v>2901</v>
      </c>
      <c r="H205" s="49" t="s">
        <v>980</v>
      </c>
      <c r="I205" s="50">
        <v>42640</v>
      </c>
      <c r="J205" s="50">
        <v>43179</v>
      </c>
      <c r="K205" s="50">
        <v>46830</v>
      </c>
      <c r="L205" s="50">
        <v>45005</v>
      </c>
      <c r="M205" s="49" t="s">
        <v>3526</v>
      </c>
    </row>
    <row r="206" spans="1:13" x14ac:dyDescent="0.35">
      <c r="A206" s="49" t="s">
        <v>3527</v>
      </c>
      <c r="B206" s="49" t="s">
        <v>3354</v>
      </c>
      <c r="C206" s="49" t="s">
        <v>3528</v>
      </c>
      <c r="D206" s="49" t="s">
        <v>1264</v>
      </c>
      <c r="E206" s="49" t="s">
        <v>2908</v>
      </c>
      <c r="F206" s="49" t="s">
        <v>2939</v>
      </c>
      <c r="G206" s="49" t="s">
        <v>2787</v>
      </c>
      <c r="H206" s="49" t="s">
        <v>980</v>
      </c>
      <c r="I206" s="50">
        <v>42641</v>
      </c>
      <c r="J206" s="50">
        <v>42667</v>
      </c>
      <c r="K206" s="50">
        <v>44492</v>
      </c>
      <c r="M206" s="49" t="s">
        <v>3529</v>
      </c>
    </row>
    <row r="207" spans="1:13" x14ac:dyDescent="0.35">
      <c r="A207" s="49" t="s">
        <v>3530</v>
      </c>
      <c r="B207" s="49" t="s">
        <v>3531</v>
      </c>
      <c r="C207" s="49" t="s">
        <v>3056</v>
      </c>
      <c r="D207" s="49" t="s">
        <v>1264</v>
      </c>
      <c r="E207" s="49" t="s">
        <v>2774</v>
      </c>
      <c r="F207" s="49" t="s">
        <v>2825</v>
      </c>
      <c r="G207" s="49" t="s">
        <v>2901</v>
      </c>
      <c r="H207" s="49" t="s">
        <v>2827</v>
      </c>
      <c r="I207" s="50">
        <v>42688</v>
      </c>
      <c r="J207" s="50">
        <v>43179</v>
      </c>
      <c r="K207" s="50">
        <v>45736</v>
      </c>
      <c r="M207" s="49" t="s">
        <v>3532</v>
      </c>
    </row>
    <row r="208" spans="1:13" x14ac:dyDescent="0.35">
      <c r="A208" s="49" t="s">
        <v>3533</v>
      </c>
      <c r="B208" s="49" t="s">
        <v>3534</v>
      </c>
      <c r="C208" s="49" t="s">
        <v>3535</v>
      </c>
      <c r="D208" s="49" t="s">
        <v>1264</v>
      </c>
      <c r="E208" s="49" t="s">
        <v>2908</v>
      </c>
      <c r="F208" s="49" t="s">
        <v>2837</v>
      </c>
      <c r="G208" s="49" t="s">
        <v>2787</v>
      </c>
      <c r="H208" s="49" t="s">
        <v>2827</v>
      </c>
      <c r="I208" s="50">
        <v>42717</v>
      </c>
      <c r="J208" s="50">
        <v>42977</v>
      </c>
      <c r="K208" s="50">
        <v>44802</v>
      </c>
      <c r="M208" s="49" t="s">
        <v>3536</v>
      </c>
    </row>
    <row r="209" spans="1:13" x14ac:dyDescent="0.35">
      <c r="A209" s="49" t="s">
        <v>3537</v>
      </c>
      <c r="B209" s="49" t="s">
        <v>3123</v>
      </c>
      <c r="C209" s="49" t="s">
        <v>3538</v>
      </c>
      <c r="D209" s="49" t="s">
        <v>1264</v>
      </c>
      <c r="E209" s="49" t="s">
        <v>3443</v>
      </c>
      <c r="F209" s="49" t="s">
        <v>3124</v>
      </c>
      <c r="G209" s="49" t="s">
        <v>2787</v>
      </c>
      <c r="H209" s="49" t="s">
        <v>980</v>
      </c>
      <c r="I209" s="50">
        <v>42718</v>
      </c>
      <c r="J209" s="50">
        <v>42955</v>
      </c>
      <c r="K209" s="50">
        <v>44780</v>
      </c>
      <c r="M209" s="49" t="s">
        <v>3539</v>
      </c>
    </row>
    <row r="210" spans="1:13" x14ac:dyDescent="0.35">
      <c r="A210" s="49" t="s">
        <v>3540</v>
      </c>
      <c r="B210" s="49" t="s">
        <v>3541</v>
      </c>
      <c r="C210" s="49" t="s">
        <v>3542</v>
      </c>
      <c r="D210" s="49" t="s">
        <v>1264</v>
      </c>
      <c r="E210" s="49" t="s">
        <v>2986</v>
      </c>
      <c r="F210" s="49" t="s">
        <v>2825</v>
      </c>
      <c r="G210" s="49" t="s">
        <v>2901</v>
      </c>
      <c r="H210" s="49" t="s">
        <v>2827</v>
      </c>
      <c r="I210" s="50">
        <v>42719</v>
      </c>
      <c r="J210" s="50">
        <v>44292</v>
      </c>
      <c r="K210" s="50">
        <v>45387</v>
      </c>
      <c r="M210" s="49" t="s">
        <v>3543</v>
      </c>
    </row>
    <row r="211" spans="1:13" x14ac:dyDescent="0.35">
      <c r="A211" s="49" t="s">
        <v>3544</v>
      </c>
      <c r="B211" s="49" t="s">
        <v>3468</v>
      </c>
      <c r="C211" s="49" t="s">
        <v>3545</v>
      </c>
      <c r="D211" s="49" t="s">
        <v>1264</v>
      </c>
      <c r="E211" s="49" t="s">
        <v>3443</v>
      </c>
      <c r="F211" s="49" t="s">
        <v>3124</v>
      </c>
      <c r="G211" s="49" t="s">
        <v>2901</v>
      </c>
      <c r="H211" s="49" t="s">
        <v>980</v>
      </c>
      <c r="I211" s="50">
        <v>42719</v>
      </c>
      <c r="J211" s="50">
        <v>43083</v>
      </c>
      <c r="K211" s="50">
        <v>46733</v>
      </c>
      <c r="L211" s="50">
        <v>44909</v>
      </c>
      <c r="M211" s="49" t="s">
        <v>3546</v>
      </c>
    </row>
    <row r="212" spans="1:13" x14ac:dyDescent="0.35">
      <c r="A212" s="49" t="s">
        <v>3547</v>
      </c>
      <c r="B212" s="49" t="s">
        <v>3548</v>
      </c>
      <c r="C212" s="49" t="s">
        <v>3549</v>
      </c>
      <c r="D212" s="49" t="s">
        <v>1264</v>
      </c>
      <c r="E212" s="49" t="s">
        <v>2908</v>
      </c>
      <c r="F212" s="49" t="s">
        <v>3108</v>
      </c>
      <c r="G212" s="49" t="s">
        <v>2901</v>
      </c>
      <c r="H212" s="49" t="s">
        <v>2827</v>
      </c>
      <c r="I212" s="50">
        <v>42741</v>
      </c>
      <c r="J212" s="50">
        <v>43139</v>
      </c>
      <c r="K212" s="50">
        <v>46789</v>
      </c>
      <c r="L212" s="50">
        <v>44965</v>
      </c>
      <c r="M212" s="49" t="s">
        <v>3550</v>
      </c>
    </row>
    <row r="213" spans="1:13" x14ac:dyDescent="0.35">
      <c r="A213" s="49" t="s">
        <v>3551</v>
      </c>
      <c r="B213" s="49" t="s">
        <v>3552</v>
      </c>
      <c r="C213" s="49" t="s">
        <v>3553</v>
      </c>
      <c r="D213" s="49" t="s">
        <v>1264</v>
      </c>
      <c r="E213" s="49" t="s">
        <v>2986</v>
      </c>
      <c r="F213" s="49" t="s">
        <v>2825</v>
      </c>
      <c r="G213" s="49" t="s">
        <v>2820</v>
      </c>
      <c r="H213" s="49" t="s">
        <v>2827</v>
      </c>
      <c r="I213" s="50">
        <v>42775</v>
      </c>
      <c r="J213" s="50">
        <v>44292</v>
      </c>
      <c r="K213" s="50">
        <v>45387</v>
      </c>
      <c r="M213" s="49" t="s">
        <v>3270</v>
      </c>
    </row>
    <row r="214" spans="1:13" x14ac:dyDescent="0.35">
      <c r="A214" s="49" t="s">
        <v>3554</v>
      </c>
      <c r="B214" s="49" t="s">
        <v>3555</v>
      </c>
      <c r="C214" s="49" t="s">
        <v>3556</v>
      </c>
      <c r="D214" s="49" t="s">
        <v>1264</v>
      </c>
      <c r="E214" s="49" t="s">
        <v>2785</v>
      </c>
      <c r="F214" s="49" t="s">
        <v>2792</v>
      </c>
      <c r="G214" s="49" t="s">
        <v>2787</v>
      </c>
      <c r="H214" s="49" t="s">
        <v>8</v>
      </c>
      <c r="I214" s="50">
        <v>42779</v>
      </c>
      <c r="J214" s="50">
        <v>42934</v>
      </c>
      <c r="K214" s="50">
        <v>45511</v>
      </c>
      <c r="M214" s="49" t="s">
        <v>3557</v>
      </c>
    </row>
    <row r="215" spans="1:13" x14ac:dyDescent="0.35">
      <c r="A215" s="49" t="s">
        <v>3558</v>
      </c>
      <c r="C215" s="49" t="s">
        <v>3559</v>
      </c>
      <c r="D215" s="49" t="s">
        <v>1264</v>
      </c>
      <c r="E215" s="49" t="s">
        <v>2908</v>
      </c>
      <c r="F215" s="49" t="s">
        <v>2939</v>
      </c>
      <c r="G215" s="49" t="s">
        <v>2901</v>
      </c>
      <c r="H215" s="49" t="s">
        <v>980</v>
      </c>
      <c r="I215" s="50">
        <v>42786</v>
      </c>
      <c r="J215" s="50">
        <v>43304</v>
      </c>
      <c r="K215" s="50">
        <v>46957</v>
      </c>
      <c r="M215" s="49" t="s">
        <v>3560</v>
      </c>
    </row>
    <row r="216" spans="1:13" x14ac:dyDescent="0.35">
      <c r="A216" s="49" t="s">
        <v>3561</v>
      </c>
      <c r="B216" s="49" t="s">
        <v>3562</v>
      </c>
      <c r="C216" s="49" t="s">
        <v>3563</v>
      </c>
      <c r="D216" s="49" t="s">
        <v>1264</v>
      </c>
      <c r="E216" s="49" t="s">
        <v>2986</v>
      </c>
      <c r="F216" s="49" t="s">
        <v>2825</v>
      </c>
      <c r="G216" s="49" t="s">
        <v>2921</v>
      </c>
      <c r="H216" s="49" t="s">
        <v>2827</v>
      </c>
      <c r="I216" s="50">
        <v>42787</v>
      </c>
      <c r="J216" s="50">
        <v>44258</v>
      </c>
      <c r="K216" s="50">
        <v>45353</v>
      </c>
      <c r="M216" s="49" t="s">
        <v>3270</v>
      </c>
    </row>
    <row r="217" spans="1:13" x14ac:dyDescent="0.35">
      <c r="A217" s="49" t="s">
        <v>3564</v>
      </c>
      <c r="B217" s="49" t="s">
        <v>3565</v>
      </c>
      <c r="C217" s="49" t="s">
        <v>3566</v>
      </c>
      <c r="D217" s="49" t="s">
        <v>1264</v>
      </c>
      <c r="E217" s="49" t="s">
        <v>2986</v>
      </c>
      <c r="F217" s="49" t="s">
        <v>2825</v>
      </c>
      <c r="G217" s="49" t="s">
        <v>2921</v>
      </c>
      <c r="H217" s="49" t="s">
        <v>2827</v>
      </c>
      <c r="I217" s="50">
        <v>42808</v>
      </c>
      <c r="J217" s="50">
        <v>44249</v>
      </c>
      <c r="K217" s="50">
        <v>45306</v>
      </c>
      <c r="M217" s="49" t="s">
        <v>3270</v>
      </c>
    </row>
    <row r="218" spans="1:13" x14ac:dyDescent="0.35">
      <c r="A218" s="49" t="s">
        <v>3567</v>
      </c>
      <c r="B218" s="49" t="s">
        <v>3468</v>
      </c>
      <c r="C218" s="49" t="s">
        <v>3568</v>
      </c>
      <c r="D218" s="49" t="s">
        <v>1264</v>
      </c>
      <c r="E218" s="49" t="s">
        <v>3443</v>
      </c>
      <c r="F218" s="49" t="s">
        <v>3124</v>
      </c>
      <c r="G218" s="49" t="s">
        <v>2901</v>
      </c>
      <c r="H218" s="49" t="s">
        <v>980</v>
      </c>
      <c r="I218" s="50">
        <v>42818</v>
      </c>
      <c r="J218" s="50">
        <v>42955</v>
      </c>
      <c r="K218" s="50">
        <v>46605</v>
      </c>
      <c r="L218" s="50">
        <v>44781</v>
      </c>
      <c r="M218" s="49" t="s">
        <v>3569</v>
      </c>
    </row>
    <row r="219" spans="1:13" x14ac:dyDescent="0.35">
      <c r="A219" s="49" t="s">
        <v>3570</v>
      </c>
      <c r="C219" s="49" t="s">
        <v>3571</v>
      </c>
      <c r="D219" s="49" t="s">
        <v>1264</v>
      </c>
      <c r="E219" s="49" t="s">
        <v>3443</v>
      </c>
      <c r="F219" s="49" t="s">
        <v>3124</v>
      </c>
      <c r="G219" s="49" t="s">
        <v>2787</v>
      </c>
      <c r="H219" s="49" t="s">
        <v>980</v>
      </c>
      <c r="I219" s="50">
        <v>42830</v>
      </c>
      <c r="J219" s="50">
        <v>43179</v>
      </c>
      <c r="K219" s="50">
        <v>45004</v>
      </c>
      <c r="M219" s="49" t="s">
        <v>3572</v>
      </c>
    </row>
    <row r="220" spans="1:13" x14ac:dyDescent="0.35">
      <c r="A220" s="49" t="s">
        <v>3573</v>
      </c>
      <c r="B220" s="49" t="s">
        <v>3468</v>
      </c>
      <c r="C220" s="49" t="s">
        <v>3574</v>
      </c>
      <c r="D220" s="49" t="s">
        <v>1264</v>
      </c>
      <c r="E220" s="49" t="s">
        <v>3443</v>
      </c>
      <c r="F220" s="49" t="s">
        <v>3124</v>
      </c>
      <c r="G220" s="49" t="s">
        <v>2787</v>
      </c>
      <c r="H220" s="49" t="s">
        <v>980</v>
      </c>
      <c r="I220" s="50">
        <v>42864</v>
      </c>
      <c r="J220" s="50">
        <v>43325</v>
      </c>
      <c r="K220" s="50">
        <v>45150</v>
      </c>
      <c r="M220" s="49" t="s">
        <v>3575</v>
      </c>
    </row>
    <row r="221" spans="1:13" x14ac:dyDescent="0.35">
      <c r="A221" s="49" t="s">
        <v>3576</v>
      </c>
      <c r="B221" s="49" t="s">
        <v>3577</v>
      </c>
      <c r="C221" s="49" t="s">
        <v>3578</v>
      </c>
      <c r="D221" s="49" t="s">
        <v>1264</v>
      </c>
      <c r="E221" s="49" t="s">
        <v>2974</v>
      </c>
      <c r="F221" s="49" t="s">
        <v>2825</v>
      </c>
      <c r="G221" s="49" t="s">
        <v>2826</v>
      </c>
      <c r="H221" s="49" t="s">
        <v>2827</v>
      </c>
      <c r="I221" s="50">
        <v>42865</v>
      </c>
      <c r="J221" s="50">
        <v>42957</v>
      </c>
      <c r="K221" s="50">
        <v>44776</v>
      </c>
      <c r="M221" s="49" t="s">
        <v>3579</v>
      </c>
    </row>
    <row r="222" spans="1:13" x14ac:dyDescent="0.35">
      <c r="A222" s="49" t="s">
        <v>3580</v>
      </c>
      <c r="C222" s="49" t="s">
        <v>2854</v>
      </c>
      <c r="D222" s="49" t="s">
        <v>1264</v>
      </c>
      <c r="E222" s="49" t="s">
        <v>3443</v>
      </c>
      <c r="F222" s="49" t="s">
        <v>3124</v>
      </c>
      <c r="G222" s="49" t="s">
        <v>2901</v>
      </c>
      <c r="H222" s="49" t="s">
        <v>980</v>
      </c>
      <c r="I222" s="50">
        <v>42892</v>
      </c>
      <c r="J222" s="50">
        <v>42908</v>
      </c>
      <c r="K222" s="50">
        <v>46558</v>
      </c>
      <c r="L222" s="50">
        <v>44734</v>
      </c>
      <c r="M222" s="49" t="s">
        <v>3470</v>
      </c>
    </row>
    <row r="223" spans="1:13" x14ac:dyDescent="0.35">
      <c r="A223" s="49" t="s">
        <v>3581</v>
      </c>
      <c r="B223" s="49" t="s">
        <v>3582</v>
      </c>
      <c r="C223" s="49" t="s">
        <v>3583</v>
      </c>
      <c r="D223" s="49" t="s">
        <v>1264</v>
      </c>
      <c r="E223" s="49" t="s">
        <v>3443</v>
      </c>
      <c r="F223" s="49" t="s">
        <v>3124</v>
      </c>
      <c r="G223" s="49" t="s">
        <v>2787</v>
      </c>
      <c r="H223" s="49" t="s">
        <v>980</v>
      </c>
      <c r="I223" s="50">
        <v>42892</v>
      </c>
      <c r="J223" s="50">
        <v>43362</v>
      </c>
      <c r="K223" s="50">
        <v>45187</v>
      </c>
      <c r="M223" s="49" t="s">
        <v>3584</v>
      </c>
    </row>
    <row r="224" spans="1:13" x14ac:dyDescent="0.35">
      <c r="A224" s="49" t="s">
        <v>3585</v>
      </c>
      <c r="B224" s="49" t="s">
        <v>3586</v>
      </c>
      <c r="C224" s="49" t="s">
        <v>3587</v>
      </c>
      <c r="D224" s="49" t="s">
        <v>1264</v>
      </c>
      <c r="E224" s="49" t="s">
        <v>2785</v>
      </c>
      <c r="F224" s="49" t="s">
        <v>2786</v>
      </c>
      <c r="G224" s="49" t="s">
        <v>2787</v>
      </c>
      <c r="H224" s="49" t="s">
        <v>980</v>
      </c>
      <c r="I224" s="50">
        <v>42894</v>
      </c>
      <c r="J224" s="50">
        <v>42937</v>
      </c>
      <c r="K224" s="50">
        <v>45510</v>
      </c>
      <c r="M224" s="49" t="s">
        <v>3588</v>
      </c>
    </row>
    <row r="225" spans="1:13" x14ac:dyDescent="0.35">
      <c r="A225" s="49" t="s">
        <v>3589</v>
      </c>
      <c r="B225" s="49" t="s">
        <v>3503</v>
      </c>
      <c r="C225" s="49" t="s">
        <v>3590</v>
      </c>
      <c r="D225" s="49" t="s">
        <v>1264</v>
      </c>
      <c r="E225" s="49" t="s">
        <v>3443</v>
      </c>
      <c r="F225" s="49" t="s">
        <v>3124</v>
      </c>
      <c r="G225" s="49" t="s">
        <v>2787</v>
      </c>
      <c r="H225" s="49" t="s">
        <v>980</v>
      </c>
      <c r="I225" s="50">
        <v>42899</v>
      </c>
      <c r="J225" s="50">
        <v>42956</v>
      </c>
      <c r="K225" s="50">
        <v>44781</v>
      </c>
      <c r="M225" s="49" t="s">
        <v>3591</v>
      </c>
    </row>
    <row r="226" spans="1:13" x14ac:dyDescent="0.35">
      <c r="A226" s="49" t="s">
        <v>3592</v>
      </c>
      <c r="B226" s="49" t="s">
        <v>3593</v>
      </c>
      <c r="C226" s="49" t="s">
        <v>122</v>
      </c>
      <c r="D226" s="49" t="s">
        <v>1264</v>
      </c>
      <c r="E226" s="49" t="s">
        <v>2774</v>
      </c>
      <c r="F226" s="49" t="s">
        <v>2825</v>
      </c>
      <c r="G226" s="49" t="s">
        <v>2901</v>
      </c>
      <c r="H226" s="49" t="s">
        <v>973</v>
      </c>
      <c r="I226" s="50">
        <v>42921</v>
      </c>
      <c r="J226" s="50">
        <v>43115</v>
      </c>
      <c r="K226" s="50">
        <v>45671</v>
      </c>
      <c r="M226" s="49" t="s">
        <v>3594</v>
      </c>
    </row>
    <row r="227" spans="1:13" x14ac:dyDescent="0.35">
      <c r="A227" s="49" t="s">
        <v>3595</v>
      </c>
      <c r="B227" s="49" t="s">
        <v>3596</v>
      </c>
      <c r="C227" s="49" t="s">
        <v>3597</v>
      </c>
      <c r="D227" s="49" t="s">
        <v>1264</v>
      </c>
      <c r="E227" s="49" t="s">
        <v>2774</v>
      </c>
      <c r="F227" s="49" t="s">
        <v>3598</v>
      </c>
      <c r="G227" s="49" t="s">
        <v>2901</v>
      </c>
      <c r="H227" s="49" t="s">
        <v>2827</v>
      </c>
      <c r="I227" s="50">
        <v>42936</v>
      </c>
      <c r="J227" s="50">
        <v>43210</v>
      </c>
      <c r="K227" s="50">
        <v>46863</v>
      </c>
      <c r="M227" s="49" t="s">
        <v>3599</v>
      </c>
    </row>
    <row r="228" spans="1:13" x14ac:dyDescent="0.35">
      <c r="A228" s="49" t="s">
        <v>3600</v>
      </c>
      <c r="B228" s="49" t="s">
        <v>3601</v>
      </c>
      <c r="C228" s="49" t="s">
        <v>3597</v>
      </c>
      <c r="D228" s="49" t="s">
        <v>1264</v>
      </c>
      <c r="E228" s="49" t="s">
        <v>2774</v>
      </c>
      <c r="F228" s="49" t="s">
        <v>3598</v>
      </c>
      <c r="G228" s="49" t="s">
        <v>3602</v>
      </c>
      <c r="H228" s="49" t="s">
        <v>2827</v>
      </c>
      <c r="I228" s="50">
        <v>42936</v>
      </c>
      <c r="J228" s="50">
        <v>43210</v>
      </c>
      <c r="K228" s="50">
        <v>44671</v>
      </c>
      <c r="M228" s="49" t="s">
        <v>3603</v>
      </c>
    </row>
    <row r="229" spans="1:13" x14ac:dyDescent="0.35">
      <c r="A229" s="49" t="s">
        <v>3604</v>
      </c>
      <c r="B229" s="49" t="s">
        <v>3605</v>
      </c>
      <c r="C229" s="49" t="s">
        <v>3606</v>
      </c>
      <c r="D229" s="49" t="s">
        <v>1264</v>
      </c>
      <c r="E229" s="49" t="s">
        <v>2986</v>
      </c>
      <c r="F229" s="49" t="s">
        <v>2825</v>
      </c>
      <c r="G229" s="49" t="s">
        <v>2826</v>
      </c>
      <c r="H229" s="49" t="s">
        <v>2827</v>
      </c>
      <c r="I229" s="50">
        <v>42938</v>
      </c>
      <c r="J229" s="50">
        <v>43195</v>
      </c>
      <c r="K229" s="50">
        <v>44586</v>
      </c>
      <c r="L229" s="50">
        <v>44292</v>
      </c>
      <c r="M229" s="49" t="s">
        <v>3607</v>
      </c>
    </row>
    <row r="230" spans="1:13" x14ac:dyDescent="0.35">
      <c r="A230" s="49" t="s">
        <v>3608</v>
      </c>
      <c r="B230" s="49" t="s">
        <v>3098</v>
      </c>
      <c r="C230" s="49" t="s">
        <v>3609</v>
      </c>
      <c r="D230" s="49" t="s">
        <v>1264</v>
      </c>
      <c r="E230" s="49" t="s">
        <v>2774</v>
      </c>
      <c r="F230" s="49" t="s">
        <v>3598</v>
      </c>
      <c r="G230" s="49" t="s">
        <v>2901</v>
      </c>
      <c r="H230" s="49" t="s">
        <v>2827</v>
      </c>
      <c r="I230" s="50">
        <v>42942</v>
      </c>
      <c r="J230" s="50">
        <v>43179</v>
      </c>
      <c r="K230" s="50">
        <v>45736</v>
      </c>
      <c r="M230" s="49" t="s">
        <v>3610</v>
      </c>
    </row>
    <row r="231" spans="1:13" x14ac:dyDescent="0.35">
      <c r="A231" s="49" t="s">
        <v>3611</v>
      </c>
      <c r="B231" s="49" t="s">
        <v>3582</v>
      </c>
      <c r="C231" s="49" t="s">
        <v>3612</v>
      </c>
      <c r="D231" s="49" t="s">
        <v>1264</v>
      </c>
      <c r="E231" s="49" t="s">
        <v>3443</v>
      </c>
      <c r="F231" s="49" t="s">
        <v>2792</v>
      </c>
      <c r="G231" s="49" t="s">
        <v>2921</v>
      </c>
      <c r="H231" s="49" t="s">
        <v>980</v>
      </c>
      <c r="I231" s="50">
        <v>42953</v>
      </c>
      <c r="J231" s="50">
        <v>43210</v>
      </c>
      <c r="K231" s="50">
        <v>45035</v>
      </c>
      <c r="M231" s="49" t="s">
        <v>3613</v>
      </c>
    </row>
    <row r="232" spans="1:13" x14ac:dyDescent="0.35">
      <c r="A232" s="49" t="s">
        <v>3614</v>
      </c>
      <c r="B232" s="49" t="s">
        <v>3615</v>
      </c>
      <c r="C232" s="49" t="s">
        <v>3616</v>
      </c>
      <c r="D232" s="49" t="s">
        <v>1264</v>
      </c>
      <c r="E232" s="49" t="s">
        <v>2908</v>
      </c>
      <c r="F232" s="49" t="s">
        <v>3010</v>
      </c>
      <c r="G232" s="49" t="s">
        <v>2787</v>
      </c>
      <c r="H232" s="49" t="s">
        <v>980</v>
      </c>
      <c r="I232" s="50">
        <v>42975</v>
      </c>
      <c r="J232" s="50">
        <v>43445</v>
      </c>
      <c r="K232" s="50">
        <v>45270</v>
      </c>
      <c r="M232" s="49" t="s">
        <v>3617</v>
      </c>
    </row>
    <row r="233" spans="1:13" x14ac:dyDescent="0.35">
      <c r="A233" s="49" t="s">
        <v>3618</v>
      </c>
      <c r="B233" s="49" t="s">
        <v>3619</v>
      </c>
      <c r="C233" s="49" t="s">
        <v>3620</v>
      </c>
      <c r="D233" s="49" t="s">
        <v>1264</v>
      </c>
      <c r="E233" s="49" t="s">
        <v>2908</v>
      </c>
      <c r="F233" s="49" t="s">
        <v>3108</v>
      </c>
      <c r="G233" s="49" t="s">
        <v>2787</v>
      </c>
      <c r="H233" s="49" t="s">
        <v>2827</v>
      </c>
      <c r="I233" s="50">
        <v>42998</v>
      </c>
      <c r="J233" s="50">
        <v>43139</v>
      </c>
      <c r="K233" s="50">
        <v>44964</v>
      </c>
      <c r="M233" s="49" t="s">
        <v>3621</v>
      </c>
    </row>
    <row r="234" spans="1:13" x14ac:dyDescent="0.35">
      <c r="A234" s="49" t="s">
        <v>3622</v>
      </c>
      <c r="B234" s="49" t="s">
        <v>3623</v>
      </c>
      <c r="C234" s="49" t="s">
        <v>3373</v>
      </c>
      <c r="D234" s="49" t="s">
        <v>1264</v>
      </c>
      <c r="E234" s="49" t="s">
        <v>3413</v>
      </c>
      <c r="F234" s="49" t="s">
        <v>2900</v>
      </c>
      <c r="G234" s="49" t="s">
        <v>2901</v>
      </c>
      <c r="H234" s="49" t="s">
        <v>980</v>
      </c>
      <c r="I234" s="50">
        <v>43000</v>
      </c>
      <c r="J234" s="50">
        <v>43481</v>
      </c>
      <c r="K234" s="50">
        <v>52612</v>
      </c>
      <c r="M234" s="49" t="s">
        <v>3624</v>
      </c>
    </row>
    <row r="235" spans="1:13" x14ac:dyDescent="0.35">
      <c r="A235" s="49" t="s">
        <v>3625</v>
      </c>
      <c r="B235" s="49" t="s">
        <v>3626</v>
      </c>
      <c r="C235" s="49" t="s">
        <v>3627</v>
      </c>
      <c r="D235" s="49" t="s">
        <v>1264</v>
      </c>
      <c r="E235" s="49" t="s">
        <v>2774</v>
      </c>
      <c r="F235" s="49" t="s">
        <v>3628</v>
      </c>
      <c r="G235" s="49" t="s">
        <v>2921</v>
      </c>
      <c r="H235" s="49" t="s">
        <v>2827</v>
      </c>
      <c r="I235" s="50">
        <v>43006</v>
      </c>
      <c r="J235" s="50">
        <v>43256</v>
      </c>
      <c r="K235" s="50">
        <v>45813</v>
      </c>
      <c r="M235" s="49" t="s">
        <v>3629</v>
      </c>
    </row>
    <row r="236" spans="1:13" x14ac:dyDescent="0.35">
      <c r="A236" s="49" t="s">
        <v>3630</v>
      </c>
      <c r="B236" s="49" t="s">
        <v>3582</v>
      </c>
      <c r="C236" s="49" t="s">
        <v>3631</v>
      </c>
      <c r="D236" s="49" t="s">
        <v>1264</v>
      </c>
      <c r="E236" s="49" t="s">
        <v>3443</v>
      </c>
      <c r="F236" s="49" t="s">
        <v>2792</v>
      </c>
      <c r="G236" s="49" t="s">
        <v>2787</v>
      </c>
      <c r="H236" s="49" t="s">
        <v>980</v>
      </c>
      <c r="I236" s="50">
        <v>43006</v>
      </c>
      <c r="J236" s="50">
        <v>43096</v>
      </c>
      <c r="K236" s="50">
        <v>44921</v>
      </c>
      <c r="M236" s="49" t="s">
        <v>3526</v>
      </c>
    </row>
    <row r="237" spans="1:13" x14ac:dyDescent="0.35">
      <c r="A237" s="49" t="s">
        <v>3632</v>
      </c>
      <c r="B237" s="49" t="s">
        <v>2937</v>
      </c>
      <c r="C237" s="49" t="s">
        <v>3633</v>
      </c>
      <c r="D237" s="49" t="s">
        <v>1264</v>
      </c>
      <c r="E237" s="49" t="s">
        <v>2908</v>
      </c>
      <c r="F237" s="49" t="s">
        <v>2939</v>
      </c>
      <c r="G237" s="49" t="s">
        <v>2975</v>
      </c>
      <c r="H237" s="49" t="s">
        <v>980</v>
      </c>
      <c r="I237" s="50">
        <v>43026</v>
      </c>
      <c r="J237" s="50">
        <v>43179</v>
      </c>
      <c r="K237" s="50">
        <v>44449</v>
      </c>
      <c r="M237" s="49" t="s">
        <v>3634</v>
      </c>
    </row>
    <row r="238" spans="1:13" x14ac:dyDescent="0.35">
      <c r="A238" s="49" t="s">
        <v>3635</v>
      </c>
      <c r="B238" s="49" t="s">
        <v>3636</v>
      </c>
      <c r="C238" s="49" t="s">
        <v>3637</v>
      </c>
      <c r="D238" s="49" t="s">
        <v>1264</v>
      </c>
      <c r="E238" s="49" t="s">
        <v>2986</v>
      </c>
      <c r="F238" s="49" t="s">
        <v>2825</v>
      </c>
      <c r="G238" s="49" t="s">
        <v>2901</v>
      </c>
      <c r="H238" s="49" t="s">
        <v>2827</v>
      </c>
      <c r="I238" s="50">
        <v>43026</v>
      </c>
      <c r="J238" s="50">
        <v>43210</v>
      </c>
      <c r="K238" s="50">
        <v>45401</v>
      </c>
      <c r="L238" s="50">
        <v>44306</v>
      </c>
      <c r="M238" s="49" t="s">
        <v>3638</v>
      </c>
    </row>
    <row r="239" spans="1:13" x14ac:dyDescent="0.35">
      <c r="A239" s="49" t="s">
        <v>3639</v>
      </c>
      <c r="B239" s="49" t="s">
        <v>3468</v>
      </c>
      <c r="C239" s="49" t="s">
        <v>3612</v>
      </c>
      <c r="D239" s="49" t="s">
        <v>1264</v>
      </c>
      <c r="E239" s="49" t="s">
        <v>3443</v>
      </c>
      <c r="F239" s="49" t="s">
        <v>3124</v>
      </c>
      <c r="G239" s="49" t="s">
        <v>2787</v>
      </c>
      <c r="H239" s="49" t="s">
        <v>980</v>
      </c>
      <c r="I239" s="50">
        <v>43028</v>
      </c>
      <c r="J239" s="50">
        <v>43210</v>
      </c>
      <c r="K239" s="50">
        <v>45035</v>
      </c>
      <c r="M239" s="49" t="s">
        <v>3640</v>
      </c>
    </row>
    <row r="240" spans="1:13" x14ac:dyDescent="0.35">
      <c r="A240" s="49" t="s">
        <v>3641</v>
      </c>
      <c r="B240" s="49" t="s">
        <v>3642</v>
      </c>
      <c r="C240" s="49" t="s">
        <v>3643</v>
      </c>
      <c r="D240" s="49" t="s">
        <v>1264</v>
      </c>
      <c r="E240" s="49" t="s">
        <v>2908</v>
      </c>
      <c r="F240" s="49" t="s">
        <v>2939</v>
      </c>
      <c r="G240" s="49" t="s">
        <v>2787</v>
      </c>
      <c r="H240" s="49" t="s">
        <v>8</v>
      </c>
      <c r="I240" s="50">
        <v>43032</v>
      </c>
      <c r="J240" s="50">
        <v>43229</v>
      </c>
      <c r="K240" s="50">
        <v>45054</v>
      </c>
      <c r="M240" s="49" t="s">
        <v>3644</v>
      </c>
    </row>
    <row r="241" spans="1:13" x14ac:dyDescent="0.35">
      <c r="A241" s="49" t="s">
        <v>3645</v>
      </c>
      <c r="B241" s="49" t="s">
        <v>3646</v>
      </c>
      <c r="C241" s="49" t="s">
        <v>3647</v>
      </c>
      <c r="D241" s="49" t="s">
        <v>1264</v>
      </c>
      <c r="E241" s="49" t="s">
        <v>2774</v>
      </c>
      <c r="F241" s="49" t="s">
        <v>3648</v>
      </c>
      <c r="G241" s="49" t="s">
        <v>2921</v>
      </c>
      <c r="H241" s="49" t="s">
        <v>980</v>
      </c>
      <c r="I241" s="50">
        <v>43034</v>
      </c>
      <c r="J241" s="50">
        <v>43210</v>
      </c>
      <c r="K241" s="50">
        <v>44671</v>
      </c>
      <c r="M241" s="49" t="s">
        <v>3649</v>
      </c>
    </row>
    <row r="242" spans="1:13" x14ac:dyDescent="0.35">
      <c r="A242" s="49" t="s">
        <v>3650</v>
      </c>
      <c r="B242" s="49" t="s">
        <v>3651</v>
      </c>
      <c r="C242" s="49" t="s">
        <v>3652</v>
      </c>
      <c r="D242" s="49" t="s">
        <v>1264</v>
      </c>
      <c r="E242" s="49" t="s">
        <v>2774</v>
      </c>
      <c r="F242" s="49" t="s">
        <v>3598</v>
      </c>
      <c r="G242" s="49" t="s">
        <v>2901</v>
      </c>
      <c r="H242" s="49" t="s">
        <v>2827</v>
      </c>
      <c r="I242" s="50">
        <v>43038</v>
      </c>
      <c r="J242" s="50">
        <v>43256</v>
      </c>
      <c r="K242" s="50">
        <v>45813</v>
      </c>
      <c r="M242" s="49" t="s">
        <v>3653</v>
      </c>
    </row>
    <row r="243" spans="1:13" x14ac:dyDescent="0.35">
      <c r="A243" s="49" t="s">
        <v>3654</v>
      </c>
      <c r="B243" s="49" t="s">
        <v>3582</v>
      </c>
      <c r="C243" s="49" t="s">
        <v>3655</v>
      </c>
      <c r="D243" s="49" t="s">
        <v>1264</v>
      </c>
      <c r="E243" s="49" t="s">
        <v>3443</v>
      </c>
      <c r="F243" s="49" t="s">
        <v>2792</v>
      </c>
      <c r="G243" s="49" t="s">
        <v>2787</v>
      </c>
      <c r="H243" s="49" t="s">
        <v>980</v>
      </c>
      <c r="I243" s="50">
        <v>43052</v>
      </c>
      <c r="J243" s="50">
        <v>43179</v>
      </c>
      <c r="K243" s="50">
        <v>45004</v>
      </c>
      <c r="M243" s="49" t="s">
        <v>3656</v>
      </c>
    </row>
    <row r="244" spans="1:13" x14ac:dyDescent="0.35">
      <c r="A244" s="49" t="s">
        <v>3657</v>
      </c>
      <c r="C244" s="49" t="s">
        <v>3655</v>
      </c>
      <c r="D244" s="49" t="s">
        <v>1264</v>
      </c>
      <c r="E244" s="49" t="s">
        <v>3443</v>
      </c>
      <c r="F244" s="49" t="s">
        <v>3124</v>
      </c>
      <c r="G244" s="49" t="s">
        <v>2787</v>
      </c>
      <c r="H244" s="49" t="s">
        <v>980</v>
      </c>
      <c r="I244" s="50">
        <v>43052</v>
      </c>
      <c r="J244" s="50">
        <v>43179</v>
      </c>
      <c r="K244" s="50">
        <v>45004</v>
      </c>
      <c r="M244" s="49" t="s">
        <v>3658</v>
      </c>
    </row>
    <row r="245" spans="1:13" x14ac:dyDescent="0.35">
      <c r="A245" s="49" t="s">
        <v>3659</v>
      </c>
      <c r="B245" s="49" t="s">
        <v>2818</v>
      </c>
      <c r="C245" s="49" t="s">
        <v>3660</v>
      </c>
      <c r="D245" s="49" t="s">
        <v>1264</v>
      </c>
      <c r="E245" s="49" t="s">
        <v>2785</v>
      </c>
      <c r="F245" s="49" t="s">
        <v>2792</v>
      </c>
      <c r="G245" s="49" t="s">
        <v>2787</v>
      </c>
      <c r="H245" s="49" t="s">
        <v>8</v>
      </c>
      <c r="I245" s="50">
        <v>43068</v>
      </c>
      <c r="J245" s="50">
        <v>44229</v>
      </c>
      <c r="K245" s="50">
        <v>45428</v>
      </c>
      <c r="M245" s="49" t="s">
        <v>3661</v>
      </c>
    </row>
    <row r="246" spans="1:13" x14ac:dyDescent="0.35">
      <c r="A246" s="49" t="s">
        <v>3662</v>
      </c>
      <c r="B246" s="49" t="s">
        <v>3663</v>
      </c>
      <c r="C246" s="49" t="s">
        <v>3664</v>
      </c>
      <c r="D246" s="49" t="s">
        <v>1264</v>
      </c>
      <c r="E246" s="49" t="s">
        <v>2908</v>
      </c>
      <c r="F246" s="49" t="s">
        <v>2837</v>
      </c>
      <c r="G246" s="49" t="s">
        <v>2901</v>
      </c>
      <c r="H246" s="49" t="s">
        <v>2827</v>
      </c>
      <c r="I246" s="50">
        <v>43091</v>
      </c>
      <c r="J246" s="50">
        <v>44225</v>
      </c>
      <c r="K246" s="50">
        <v>46050</v>
      </c>
      <c r="M246" s="49" t="s">
        <v>3665</v>
      </c>
    </row>
    <row r="247" spans="1:13" x14ac:dyDescent="0.35">
      <c r="A247" s="49" t="s">
        <v>3666</v>
      </c>
      <c r="B247" s="49" t="s">
        <v>3667</v>
      </c>
      <c r="C247" s="49" t="s">
        <v>3668</v>
      </c>
      <c r="D247" s="49" t="s">
        <v>1264</v>
      </c>
      <c r="E247" s="49" t="s">
        <v>2986</v>
      </c>
      <c r="F247" s="49" t="s">
        <v>2825</v>
      </c>
      <c r="G247" s="49" t="s">
        <v>2787</v>
      </c>
      <c r="H247" s="49" t="s">
        <v>2827</v>
      </c>
      <c r="I247" s="50">
        <v>43097</v>
      </c>
      <c r="J247" s="50">
        <v>43271</v>
      </c>
      <c r="K247" s="50">
        <v>44367</v>
      </c>
      <c r="M247" s="49" t="s">
        <v>3270</v>
      </c>
    </row>
    <row r="248" spans="1:13" x14ac:dyDescent="0.35">
      <c r="A248" s="49" t="s">
        <v>3669</v>
      </c>
      <c r="B248" s="49" t="s">
        <v>3670</v>
      </c>
      <c r="C248" s="49" t="s">
        <v>3671</v>
      </c>
      <c r="D248" s="49" t="s">
        <v>1264</v>
      </c>
      <c r="E248" s="49" t="s">
        <v>2774</v>
      </c>
      <c r="F248" s="49" t="s">
        <v>3363</v>
      </c>
      <c r="G248" s="49" t="s">
        <v>2901</v>
      </c>
      <c r="H248" s="49" t="s">
        <v>2827</v>
      </c>
      <c r="I248" s="50">
        <v>43102</v>
      </c>
      <c r="J248" s="50">
        <v>43256</v>
      </c>
      <c r="K248" s="50">
        <v>46908</v>
      </c>
      <c r="M248" s="49" t="s">
        <v>3672</v>
      </c>
    </row>
    <row r="249" spans="1:13" x14ac:dyDescent="0.35">
      <c r="A249" s="49" t="s">
        <v>3673</v>
      </c>
      <c r="B249" s="49" t="s">
        <v>3582</v>
      </c>
      <c r="C249" s="49" t="s">
        <v>3674</v>
      </c>
      <c r="D249" s="49" t="s">
        <v>1264</v>
      </c>
      <c r="E249" s="49" t="s">
        <v>3443</v>
      </c>
      <c r="F249" s="49" t="s">
        <v>2792</v>
      </c>
      <c r="G249" s="49" t="s">
        <v>2787</v>
      </c>
      <c r="H249" s="49" t="s">
        <v>980</v>
      </c>
      <c r="I249" s="50">
        <v>43116</v>
      </c>
      <c r="J249" s="50">
        <v>43207</v>
      </c>
      <c r="K249" s="50">
        <v>45032</v>
      </c>
      <c r="M249" s="49" t="s">
        <v>3675</v>
      </c>
    </row>
    <row r="250" spans="1:13" x14ac:dyDescent="0.35">
      <c r="A250" s="49" t="s">
        <v>3676</v>
      </c>
      <c r="B250" s="49" t="s">
        <v>3468</v>
      </c>
      <c r="C250" s="49" t="s">
        <v>3674</v>
      </c>
      <c r="D250" s="49" t="s">
        <v>1264</v>
      </c>
      <c r="E250" s="49" t="s">
        <v>3443</v>
      </c>
      <c r="F250" s="49" t="s">
        <v>3124</v>
      </c>
      <c r="G250" s="49" t="s">
        <v>2901</v>
      </c>
      <c r="H250" s="49" t="s">
        <v>980</v>
      </c>
      <c r="I250" s="50">
        <v>43116</v>
      </c>
      <c r="J250" s="50">
        <v>43207</v>
      </c>
      <c r="K250" s="50">
        <v>46792</v>
      </c>
      <c r="L250" s="50">
        <v>44968</v>
      </c>
      <c r="M250" s="49" t="s">
        <v>3677</v>
      </c>
    </row>
    <row r="251" spans="1:13" x14ac:dyDescent="0.35">
      <c r="A251" s="49" t="s">
        <v>3678</v>
      </c>
      <c r="B251" s="49" t="s">
        <v>3679</v>
      </c>
      <c r="C251" s="49" t="s">
        <v>3680</v>
      </c>
      <c r="D251" s="49" t="s">
        <v>1264</v>
      </c>
      <c r="E251" s="49" t="s">
        <v>2986</v>
      </c>
      <c r="F251" s="49" t="s">
        <v>3681</v>
      </c>
      <c r="G251" s="49" t="s">
        <v>2820</v>
      </c>
      <c r="H251" s="49" t="s">
        <v>2827</v>
      </c>
      <c r="I251" s="50">
        <v>43126</v>
      </c>
      <c r="J251" s="50">
        <v>43273</v>
      </c>
      <c r="K251" s="50">
        <v>45465</v>
      </c>
      <c r="L251" s="50">
        <v>44370</v>
      </c>
      <c r="M251" s="49" t="s">
        <v>3682</v>
      </c>
    </row>
    <row r="252" spans="1:13" x14ac:dyDescent="0.35">
      <c r="A252" s="49" t="s">
        <v>3683</v>
      </c>
      <c r="B252" s="49" t="s">
        <v>3123</v>
      </c>
      <c r="C252" s="49" t="s">
        <v>3684</v>
      </c>
      <c r="D252" s="49" t="s">
        <v>1264</v>
      </c>
      <c r="E252" s="49" t="s">
        <v>3443</v>
      </c>
      <c r="F252" s="49" t="s">
        <v>3124</v>
      </c>
      <c r="G252" s="49" t="s">
        <v>2921</v>
      </c>
      <c r="H252" s="49" t="s">
        <v>980</v>
      </c>
      <c r="I252" s="50">
        <v>43130</v>
      </c>
      <c r="J252" s="50">
        <v>43271</v>
      </c>
      <c r="K252" s="50">
        <v>45096</v>
      </c>
      <c r="M252" s="49" t="s">
        <v>3505</v>
      </c>
    </row>
    <row r="253" spans="1:13" x14ac:dyDescent="0.35">
      <c r="A253" s="49" t="s">
        <v>3685</v>
      </c>
      <c r="B253" s="49" t="s">
        <v>3468</v>
      </c>
      <c r="C253" s="49" t="s">
        <v>3686</v>
      </c>
      <c r="D253" s="49" t="s">
        <v>1264</v>
      </c>
      <c r="E253" s="49" t="s">
        <v>3443</v>
      </c>
      <c r="F253" s="49" t="s">
        <v>3124</v>
      </c>
      <c r="G253" s="49" t="s">
        <v>2787</v>
      </c>
      <c r="H253" s="49" t="s">
        <v>980</v>
      </c>
      <c r="I253" s="50">
        <v>43144</v>
      </c>
      <c r="J253" s="50">
        <v>43214</v>
      </c>
      <c r="K253" s="50">
        <v>45039</v>
      </c>
      <c r="M253" s="49" t="s">
        <v>3613</v>
      </c>
    </row>
    <row r="254" spans="1:13" x14ac:dyDescent="0.35">
      <c r="A254" s="49" t="s">
        <v>3687</v>
      </c>
      <c r="B254" s="49" t="s">
        <v>3582</v>
      </c>
      <c r="C254" s="49" t="s">
        <v>3686</v>
      </c>
      <c r="D254" s="49" t="s">
        <v>1264</v>
      </c>
      <c r="E254" s="49" t="s">
        <v>3443</v>
      </c>
      <c r="F254" s="49" t="s">
        <v>2792</v>
      </c>
      <c r="G254" s="49" t="s">
        <v>2787</v>
      </c>
      <c r="H254" s="49" t="s">
        <v>980</v>
      </c>
      <c r="I254" s="50">
        <v>43144</v>
      </c>
      <c r="J254" s="50">
        <v>43214</v>
      </c>
      <c r="K254" s="50">
        <v>45039</v>
      </c>
      <c r="M254" s="49" t="s">
        <v>3505</v>
      </c>
    </row>
    <row r="255" spans="1:13" x14ac:dyDescent="0.35">
      <c r="A255" s="49" t="s">
        <v>3688</v>
      </c>
      <c r="B255" s="49" t="s">
        <v>3468</v>
      </c>
      <c r="C255" s="49" t="s">
        <v>3689</v>
      </c>
      <c r="D255" s="49" t="s">
        <v>1264</v>
      </c>
      <c r="E255" s="49" t="s">
        <v>3443</v>
      </c>
      <c r="F255" s="49" t="s">
        <v>3124</v>
      </c>
      <c r="G255" s="49" t="s">
        <v>2921</v>
      </c>
      <c r="H255" s="49" t="s">
        <v>980</v>
      </c>
      <c r="I255" s="50">
        <v>43151</v>
      </c>
      <c r="J255" s="50">
        <v>43210</v>
      </c>
      <c r="K255" s="50">
        <v>45035</v>
      </c>
      <c r="M255" s="49" t="s">
        <v>3675</v>
      </c>
    </row>
    <row r="256" spans="1:13" x14ac:dyDescent="0.35">
      <c r="A256" s="49" t="s">
        <v>3690</v>
      </c>
      <c r="B256" s="49" t="s">
        <v>3582</v>
      </c>
      <c r="C256" s="49" t="s">
        <v>3689</v>
      </c>
      <c r="D256" s="49" t="s">
        <v>1264</v>
      </c>
      <c r="E256" s="49" t="s">
        <v>3443</v>
      </c>
      <c r="F256" s="49" t="s">
        <v>2792</v>
      </c>
      <c r="G256" s="49" t="s">
        <v>2921</v>
      </c>
      <c r="H256" s="49" t="s">
        <v>980</v>
      </c>
      <c r="I256" s="50">
        <v>43151</v>
      </c>
      <c r="J256" s="50">
        <v>43210</v>
      </c>
      <c r="K256" s="50">
        <v>45035</v>
      </c>
      <c r="M256" s="49" t="s">
        <v>3691</v>
      </c>
    </row>
    <row r="257" spans="1:13" x14ac:dyDescent="0.35">
      <c r="A257" s="49" t="s">
        <v>3692</v>
      </c>
      <c r="B257" s="49" t="s">
        <v>3468</v>
      </c>
      <c r="C257" s="49" t="s">
        <v>3693</v>
      </c>
      <c r="D257" s="49" t="s">
        <v>1264</v>
      </c>
      <c r="E257" s="49" t="s">
        <v>3443</v>
      </c>
      <c r="F257" s="49" t="s">
        <v>3124</v>
      </c>
      <c r="G257" s="49" t="s">
        <v>2901</v>
      </c>
      <c r="H257" s="49" t="s">
        <v>980</v>
      </c>
      <c r="I257" s="50">
        <v>43165</v>
      </c>
      <c r="J257" s="50">
        <v>43229</v>
      </c>
      <c r="K257" s="50">
        <v>46881</v>
      </c>
      <c r="L257" s="50">
        <v>45055</v>
      </c>
      <c r="M257" s="49" t="s">
        <v>3694</v>
      </c>
    </row>
    <row r="258" spans="1:13" x14ac:dyDescent="0.35">
      <c r="A258" s="49" t="s">
        <v>3695</v>
      </c>
      <c r="B258" s="49" t="s">
        <v>3468</v>
      </c>
      <c r="C258" s="49" t="s">
        <v>3696</v>
      </c>
      <c r="D258" s="49" t="s">
        <v>1264</v>
      </c>
      <c r="E258" s="49" t="s">
        <v>3443</v>
      </c>
      <c r="F258" s="49" t="s">
        <v>3124</v>
      </c>
      <c r="G258" s="49" t="s">
        <v>2787</v>
      </c>
      <c r="H258" s="49" t="s">
        <v>980</v>
      </c>
      <c r="I258" s="50">
        <v>43166</v>
      </c>
      <c r="J258" s="50">
        <v>43308</v>
      </c>
      <c r="K258" s="50">
        <v>45133</v>
      </c>
      <c r="M258" s="49" t="s">
        <v>3697</v>
      </c>
    </row>
    <row r="259" spans="1:13" x14ac:dyDescent="0.35">
      <c r="A259" s="49" t="s">
        <v>3698</v>
      </c>
      <c r="C259" s="49" t="s">
        <v>2927</v>
      </c>
      <c r="D259" s="49" t="s">
        <v>1264</v>
      </c>
      <c r="E259" s="49" t="s">
        <v>2908</v>
      </c>
      <c r="F259" s="49" t="s">
        <v>2837</v>
      </c>
      <c r="G259" s="49" t="s">
        <v>2901</v>
      </c>
      <c r="H259" s="49" t="s">
        <v>980</v>
      </c>
      <c r="I259" s="50">
        <v>43178</v>
      </c>
      <c r="J259" s="50">
        <v>43493</v>
      </c>
      <c r="K259" s="50">
        <v>46779</v>
      </c>
      <c r="M259" s="49" t="s">
        <v>3699</v>
      </c>
    </row>
    <row r="260" spans="1:13" x14ac:dyDescent="0.35">
      <c r="A260" s="49" t="s">
        <v>3700</v>
      </c>
      <c r="B260" s="49" t="s">
        <v>3701</v>
      </c>
      <c r="C260" s="49" t="s">
        <v>3702</v>
      </c>
      <c r="D260" s="49" t="s">
        <v>1264</v>
      </c>
      <c r="E260" s="49" t="s">
        <v>2986</v>
      </c>
      <c r="F260" s="49" t="s">
        <v>2825</v>
      </c>
      <c r="G260" s="49" t="s">
        <v>2787</v>
      </c>
      <c r="H260" s="49" t="s">
        <v>2827</v>
      </c>
      <c r="I260" s="50">
        <v>43180</v>
      </c>
      <c r="J260" s="50">
        <v>43283</v>
      </c>
      <c r="K260" s="50">
        <v>44379</v>
      </c>
      <c r="M260" s="49" t="s">
        <v>3703</v>
      </c>
    </row>
    <row r="261" spans="1:13" x14ac:dyDescent="0.35">
      <c r="A261" s="49" t="s">
        <v>3704</v>
      </c>
      <c r="B261" s="49" t="s">
        <v>3582</v>
      </c>
      <c r="C261" s="49" t="s">
        <v>3705</v>
      </c>
      <c r="D261" s="49" t="s">
        <v>1264</v>
      </c>
      <c r="E261" s="49" t="s">
        <v>3443</v>
      </c>
      <c r="F261" s="49" t="s">
        <v>2792</v>
      </c>
      <c r="G261" s="49" t="s">
        <v>2921</v>
      </c>
      <c r="H261" s="49" t="s">
        <v>980</v>
      </c>
      <c r="I261" s="50">
        <v>43181</v>
      </c>
      <c r="J261" s="50">
        <v>43234</v>
      </c>
      <c r="K261" s="50">
        <v>45059</v>
      </c>
      <c r="M261" s="49" t="s">
        <v>3706</v>
      </c>
    </row>
    <row r="262" spans="1:13" x14ac:dyDescent="0.35">
      <c r="A262" s="49" t="s">
        <v>3707</v>
      </c>
      <c r="B262" s="49" t="s">
        <v>3075</v>
      </c>
      <c r="C262" s="49" t="s">
        <v>3708</v>
      </c>
      <c r="D262" s="49" t="s">
        <v>1264</v>
      </c>
      <c r="E262" s="49" t="s">
        <v>2908</v>
      </c>
      <c r="F262" s="49" t="s">
        <v>2805</v>
      </c>
      <c r="G262" s="49" t="s">
        <v>2787</v>
      </c>
      <c r="H262" s="49" t="s">
        <v>2827</v>
      </c>
      <c r="I262" s="50">
        <v>43188</v>
      </c>
      <c r="J262" s="50">
        <v>43501</v>
      </c>
      <c r="K262" s="50">
        <v>45327</v>
      </c>
      <c r="M262" s="49" t="s">
        <v>3709</v>
      </c>
    </row>
    <row r="263" spans="1:13" x14ac:dyDescent="0.35">
      <c r="A263" s="49" t="s">
        <v>3710</v>
      </c>
      <c r="B263" s="49" t="s">
        <v>3468</v>
      </c>
      <c r="C263" s="49" t="s">
        <v>3616</v>
      </c>
      <c r="D263" s="49" t="s">
        <v>1264</v>
      </c>
      <c r="E263" s="49" t="s">
        <v>3443</v>
      </c>
      <c r="F263" s="49" t="s">
        <v>3124</v>
      </c>
      <c r="G263" s="49" t="s">
        <v>2787</v>
      </c>
      <c r="H263" s="49" t="s">
        <v>980</v>
      </c>
      <c r="I263" s="50">
        <v>43193</v>
      </c>
      <c r="J263" s="50">
        <v>43263</v>
      </c>
      <c r="K263" s="50">
        <v>45088</v>
      </c>
      <c r="M263" s="49" t="s">
        <v>3711</v>
      </c>
    </row>
    <row r="264" spans="1:13" x14ac:dyDescent="0.35">
      <c r="A264" s="49" t="s">
        <v>3712</v>
      </c>
      <c r="C264" s="49" t="s">
        <v>3713</v>
      </c>
      <c r="D264" s="49" t="s">
        <v>1264</v>
      </c>
      <c r="E264" s="49" t="s">
        <v>3443</v>
      </c>
      <c r="F264" s="49" t="s">
        <v>3124</v>
      </c>
      <c r="G264" s="49" t="s">
        <v>2901</v>
      </c>
      <c r="H264" s="49" t="s">
        <v>980</v>
      </c>
      <c r="I264" s="50">
        <v>43208</v>
      </c>
      <c r="J264" s="50">
        <v>43256</v>
      </c>
      <c r="K264" s="50">
        <v>46907</v>
      </c>
      <c r="L264" s="50">
        <v>45082</v>
      </c>
      <c r="M264" s="49" t="s">
        <v>3714</v>
      </c>
    </row>
    <row r="265" spans="1:13" x14ac:dyDescent="0.35">
      <c r="A265" s="49" t="s">
        <v>3715</v>
      </c>
      <c r="B265" s="49" t="s">
        <v>3716</v>
      </c>
      <c r="C265" s="49" t="s">
        <v>3708</v>
      </c>
      <c r="D265" s="49" t="s">
        <v>1264</v>
      </c>
      <c r="E265" s="49" t="s">
        <v>2908</v>
      </c>
      <c r="F265" s="49" t="s">
        <v>2805</v>
      </c>
      <c r="G265" s="49" t="s">
        <v>2787</v>
      </c>
      <c r="H265" s="49" t="s">
        <v>3717</v>
      </c>
      <c r="I265" s="50">
        <v>43223</v>
      </c>
      <c r="J265" s="50">
        <v>43501</v>
      </c>
      <c r="K265" s="50">
        <v>45327</v>
      </c>
      <c r="M265" s="49" t="s">
        <v>3718</v>
      </c>
    </row>
    <row r="266" spans="1:13" x14ac:dyDescent="0.35">
      <c r="A266" s="49" t="s">
        <v>3719</v>
      </c>
      <c r="B266" s="49" t="s">
        <v>3582</v>
      </c>
      <c r="C266" s="49" t="s">
        <v>3720</v>
      </c>
      <c r="D266" s="49" t="s">
        <v>1264</v>
      </c>
      <c r="E266" s="49" t="s">
        <v>3443</v>
      </c>
      <c r="F266" s="49" t="s">
        <v>2792</v>
      </c>
      <c r="G266" s="49" t="s">
        <v>2787</v>
      </c>
      <c r="H266" s="49" t="s">
        <v>980</v>
      </c>
      <c r="I266" s="50">
        <v>43225</v>
      </c>
      <c r="J266" s="50">
        <v>43474</v>
      </c>
      <c r="K266" s="50">
        <v>45299</v>
      </c>
      <c r="M266" s="49" t="s">
        <v>3706</v>
      </c>
    </row>
    <row r="267" spans="1:13" x14ac:dyDescent="0.35">
      <c r="A267" s="49" t="s">
        <v>3721</v>
      </c>
      <c r="B267" s="49" t="s">
        <v>3123</v>
      </c>
      <c r="C267" s="49" t="s">
        <v>3720</v>
      </c>
      <c r="D267" s="49" t="s">
        <v>1264</v>
      </c>
      <c r="E267" s="49" t="s">
        <v>3443</v>
      </c>
      <c r="F267" s="49" t="s">
        <v>3124</v>
      </c>
      <c r="G267" s="49" t="s">
        <v>2787</v>
      </c>
      <c r="H267" s="49" t="s">
        <v>980</v>
      </c>
      <c r="I267" s="50">
        <v>43225</v>
      </c>
      <c r="J267" s="50">
        <v>43474</v>
      </c>
      <c r="K267" s="50">
        <v>45299</v>
      </c>
      <c r="M267" s="49" t="s">
        <v>3722</v>
      </c>
    </row>
    <row r="268" spans="1:13" x14ac:dyDescent="0.35">
      <c r="A268" s="49" t="s">
        <v>3723</v>
      </c>
      <c r="B268" s="49" t="s">
        <v>3468</v>
      </c>
      <c r="C268" s="49" t="s">
        <v>3724</v>
      </c>
      <c r="D268" s="49" t="s">
        <v>1264</v>
      </c>
      <c r="E268" s="49" t="s">
        <v>3443</v>
      </c>
      <c r="F268" s="49" t="s">
        <v>3124</v>
      </c>
      <c r="G268" s="49" t="s">
        <v>2901</v>
      </c>
      <c r="H268" s="49" t="s">
        <v>980</v>
      </c>
      <c r="I268" s="50">
        <v>43225</v>
      </c>
      <c r="J268" s="50">
        <v>43273</v>
      </c>
      <c r="K268" s="50">
        <v>46880</v>
      </c>
      <c r="L268" s="50">
        <v>45055</v>
      </c>
      <c r="M268" s="49" t="s">
        <v>3725</v>
      </c>
    </row>
    <row r="269" spans="1:13" x14ac:dyDescent="0.35">
      <c r="A269" s="49" t="s">
        <v>3726</v>
      </c>
      <c r="B269" s="49" t="s">
        <v>3468</v>
      </c>
      <c r="C269" s="49" t="s">
        <v>3727</v>
      </c>
      <c r="D269" s="49" t="s">
        <v>1264</v>
      </c>
      <c r="E269" s="49" t="s">
        <v>3443</v>
      </c>
      <c r="F269" s="49" t="s">
        <v>3124</v>
      </c>
      <c r="G269" s="49" t="s">
        <v>2787</v>
      </c>
      <c r="H269" s="49" t="s">
        <v>980</v>
      </c>
      <c r="I269" s="50">
        <v>43227</v>
      </c>
      <c r="J269" s="50">
        <v>43263</v>
      </c>
      <c r="K269" s="50">
        <v>45088</v>
      </c>
      <c r="M269" s="49" t="s">
        <v>3728</v>
      </c>
    </row>
    <row r="270" spans="1:13" x14ac:dyDescent="0.35">
      <c r="A270" s="49" t="s">
        <v>3729</v>
      </c>
      <c r="B270" s="49" t="s">
        <v>3730</v>
      </c>
      <c r="C270" s="49" t="s">
        <v>3731</v>
      </c>
      <c r="D270" s="49" t="s">
        <v>1264</v>
      </c>
      <c r="E270" s="49" t="s">
        <v>2785</v>
      </c>
      <c r="F270" s="49" t="s">
        <v>3253</v>
      </c>
      <c r="G270" s="49" t="s">
        <v>2787</v>
      </c>
      <c r="H270" s="49" t="s">
        <v>973</v>
      </c>
      <c r="I270" s="50">
        <v>43231</v>
      </c>
      <c r="J270" s="50">
        <v>43584</v>
      </c>
      <c r="K270" s="50">
        <v>44404</v>
      </c>
      <c r="M270" s="49" t="s">
        <v>3732</v>
      </c>
    </row>
    <row r="271" spans="1:13" x14ac:dyDescent="0.35">
      <c r="A271" s="49" t="s">
        <v>3733</v>
      </c>
      <c r="B271" s="49" t="s">
        <v>3734</v>
      </c>
      <c r="C271" s="49" t="s">
        <v>3735</v>
      </c>
      <c r="D271" s="49" t="s">
        <v>1264</v>
      </c>
      <c r="E271" s="49" t="s">
        <v>2774</v>
      </c>
      <c r="F271" s="49" t="s">
        <v>2900</v>
      </c>
      <c r="G271" s="49" t="s">
        <v>2787</v>
      </c>
      <c r="H271" s="49" t="s">
        <v>980</v>
      </c>
      <c r="I271" s="50">
        <v>43234</v>
      </c>
      <c r="J271" s="50">
        <v>43390</v>
      </c>
      <c r="K271" s="50">
        <v>44851</v>
      </c>
      <c r="M271" s="49" t="s">
        <v>3736</v>
      </c>
    </row>
    <row r="272" spans="1:13" x14ac:dyDescent="0.35">
      <c r="A272" s="49" t="s">
        <v>3737</v>
      </c>
      <c r="B272" s="49" t="s">
        <v>3738</v>
      </c>
      <c r="C272" s="49" t="s">
        <v>3739</v>
      </c>
      <c r="D272" s="49" t="s">
        <v>1264</v>
      </c>
      <c r="E272" s="49" t="s">
        <v>3443</v>
      </c>
      <c r="F272" s="49" t="s">
        <v>2792</v>
      </c>
      <c r="G272" s="49" t="s">
        <v>2787</v>
      </c>
      <c r="H272" s="49" t="s">
        <v>980</v>
      </c>
      <c r="I272" s="50">
        <v>43237</v>
      </c>
      <c r="J272" s="50">
        <v>43304</v>
      </c>
      <c r="K272" s="50">
        <v>45129</v>
      </c>
      <c r="M272" s="49" t="s">
        <v>3740</v>
      </c>
    </row>
    <row r="273" spans="1:13" x14ac:dyDescent="0.35">
      <c r="A273" s="49" t="s">
        <v>3741</v>
      </c>
      <c r="C273" s="49" t="s">
        <v>3739</v>
      </c>
      <c r="D273" s="49" t="s">
        <v>1264</v>
      </c>
      <c r="E273" s="49" t="s">
        <v>3443</v>
      </c>
      <c r="F273" s="49" t="s">
        <v>3124</v>
      </c>
      <c r="G273" s="49" t="s">
        <v>2921</v>
      </c>
      <c r="H273" s="49" t="s">
        <v>980</v>
      </c>
      <c r="I273" s="50">
        <v>43237</v>
      </c>
      <c r="J273" s="50">
        <v>43304</v>
      </c>
      <c r="K273" s="50">
        <v>45129</v>
      </c>
      <c r="M273" s="49" t="s">
        <v>3742</v>
      </c>
    </row>
    <row r="274" spans="1:13" x14ac:dyDescent="0.35">
      <c r="A274" s="49" t="s">
        <v>3743</v>
      </c>
      <c r="B274" s="49" t="s">
        <v>3744</v>
      </c>
      <c r="C274" s="49" t="s">
        <v>3745</v>
      </c>
      <c r="D274" s="49" t="s">
        <v>1264</v>
      </c>
      <c r="E274" s="49" t="s">
        <v>2986</v>
      </c>
      <c r="F274" s="49" t="s">
        <v>2825</v>
      </c>
      <c r="G274" s="49" t="s">
        <v>2787</v>
      </c>
      <c r="H274" s="49" t="s">
        <v>2827</v>
      </c>
      <c r="I274" s="50">
        <v>43244</v>
      </c>
      <c r="J274" s="50">
        <v>43348</v>
      </c>
      <c r="K274" s="50">
        <v>44444</v>
      </c>
      <c r="M274" s="49" t="s">
        <v>3746</v>
      </c>
    </row>
    <row r="275" spans="1:13" x14ac:dyDescent="0.35">
      <c r="A275" s="49" t="s">
        <v>3747</v>
      </c>
      <c r="B275" s="49" t="s">
        <v>2806</v>
      </c>
      <c r="C275" s="49" t="s">
        <v>3280</v>
      </c>
      <c r="D275" s="49" t="s">
        <v>1264</v>
      </c>
      <c r="E275" s="49" t="s">
        <v>3748</v>
      </c>
      <c r="F275" s="49" t="s">
        <v>2792</v>
      </c>
      <c r="G275" s="49" t="s">
        <v>2787</v>
      </c>
      <c r="H275" s="49" t="s">
        <v>2806</v>
      </c>
      <c r="I275" s="50">
        <v>43248</v>
      </c>
      <c r="J275" s="50">
        <v>43273</v>
      </c>
      <c r="K275" s="50">
        <v>45099</v>
      </c>
      <c r="M275" s="49" t="s">
        <v>3749</v>
      </c>
    </row>
    <row r="276" spans="1:13" x14ac:dyDescent="0.35">
      <c r="A276" s="49" t="s">
        <v>3750</v>
      </c>
      <c r="B276" s="49" t="s">
        <v>3751</v>
      </c>
      <c r="C276" s="49" t="s">
        <v>3693</v>
      </c>
      <c r="D276" s="49" t="s">
        <v>1264</v>
      </c>
      <c r="E276" s="49" t="s">
        <v>2986</v>
      </c>
      <c r="F276" s="49" t="s">
        <v>2825</v>
      </c>
      <c r="G276" s="49" t="s">
        <v>2787</v>
      </c>
      <c r="H276" s="49" t="s">
        <v>2827</v>
      </c>
      <c r="I276" s="50">
        <v>43249</v>
      </c>
      <c r="J276" s="50">
        <v>43474</v>
      </c>
      <c r="K276" s="50">
        <v>44570</v>
      </c>
      <c r="M276" s="49" t="s">
        <v>3752</v>
      </c>
    </row>
    <row r="277" spans="1:13" x14ac:dyDescent="0.35">
      <c r="A277" s="49" t="s">
        <v>3753</v>
      </c>
      <c r="B277" s="49" t="s">
        <v>3754</v>
      </c>
      <c r="C277" s="49" t="s">
        <v>2819</v>
      </c>
      <c r="D277" s="49" t="s">
        <v>1264</v>
      </c>
      <c r="E277" s="49" t="s">
        <v>2785</v>
      </c>
      <c r="F277" s="49" t="s">
        <v>2792</v>
      </c>
      <c r="G277" s="49" t="s">
        <v>2787</v>
      </c>
      <c r="H277" s="49" t="s">
        <v>980</v>
      </c>
      <c r="I277" s="50">
        <v>43251</v>
      </c>
      <c r="J277" s="50">
        <v>43472</v>
      </c>
      <c r="K277" s="50">
        <v>43836</v>
      </c>
      <c r="M277" s="49" t="s">
        <v>3755</v>
      </c>
    </row>
    <row r="278" spans="1:13" x14ac:dyDescent="0.35">
      <c r="A278" s="49" t="s">
        <v>3756</v>
      </c>
      <c r="B278" s="49" t="s">
        <v>3468</v>
      </c>
      <c r="C278" s="49" t="s">
        <v>3757</v>
      </c>
      <c r="D278" s="49" t="s">
        <v>1264</v>
      </c>
      <c r="E278" s="49" t="s">
        <v>3443</v>
      </c>
      <c r="F278" s="49" t="s">
        <v>3124</v>
      </c>
      <c r="G278" s="49" t="s">
        <v>2921</v>
      </c>
      <c r="H278" s="49" t="s">
        <v>980</v>
      </c>
      <c r="I278" s="50">
        <v>43251</v>
      </c>
      <c r="J278" s="50">
        <v>43307</v>
      </c>
      <c r="K278" s="50">
        <v>45132</v>
      </c>
      <c r="M278" s="49" t="s">
        <v>3758</v>
      </c>
    </row>
    <row r="279" spans="1:13" x14ac:dyDescent="0.35">
      <c r="A279" s="49" t="s">
        <v>3759</v>
      </c>
      <c r="B279" s="49" t="s">
        <v>3760</v>
      </c>
      <c r="C279" s="49" t="s">
        <v>3761</v>
      </c>
      <c r="D279" s="49" t="s">
        <v>1264</v>
      </c>
      <c r="E279" s="49" t="s">
        <v>2774</v>
      </c>
      <c r="F279" s="49" t="s">
        <v>3005</v>
      </c>
      <c r="G279" s="49" t="s">
        <v>2901</v>
      </c>
      <c r="H279" s="49" t="s">
        <v>980</v>
      </c>
      <c r="I279" s="50">
        <v>43256</v>
      </c>
      <c r="J279" s="50">
        <v>43390</v>
      </c>
      <c r="K279" s="50">
        <v>45946</v>
      </c>
      <c r="M279" s="49" t="s">
        <v>3762</v>
      </c>
    </row>
    <row r="280" spans="1:13" x14ac:dyDescent="0.35">
      <c r="A280" s="49" t="s">
        <v>3763</v>
      </c>
      <c r="B280" s="49" t="s">
        <v>3764</v>
      </c>
      <c r="C280" s="49" t="s">
        <v>3765</v>
      </c>
      <c r="D280" s="49" t="s">
        <v>1264</v>
      </c>
      <c r="E280" s="49" t="s">
        <v>2774</v>
      </c>
      <c r="F280" s="49" t="s">
        <v>2825</v>
      </c>
      <c r="G280" s="49" t="s">
        <v>2787</v>
      </c>
      <c r="H280" s="49" t="s">
        <v>2827</v>
      </c>
      <c r="I280" s="50">
        <v>43264</v>
      </c>
      <c r="J280" s="50">
        <v>43348</v>
      </c>
      <c r="K280" s="50">
        <v>44809</v>
      </c>
      <c r="M280" s="49" t="s">
        <v>3766</v>
      </c>
    </row>
    <row r="281" spans="1:13" x14ac:dyDescent="0.35">
      <c r="A281" s="49" t="s">
        <v>3767</v>
      </c>
      <c r="B281" s="49" t="s">
        <v>3768</v>
      </c>
      <c r="C281" s="49" t="s">
        <v>3769</v>
      </c>
      <c r="D281" s="49" t="s">
        <v>1264</v>
      </c>
      <c r="E281" s="49" t="s">
        <v>3443</v>
      </c>
      <c r="F281" s="49" t="s">
        <v>3124</v>
      </c>
      <c r="G281" s="49" t="s">
        <v>2787</v>
      </c>
      <c r="H281" s="49" t="s">
        <v>980</v>
      </c>
      <c r="I281" s="50">
        <v>43264</v>
      </c>
      <c r="J281" s="50">
        <v>43370</v>
      </c>
      <c r="K281" s="50">
        <v>45195</v>
      </c>
      <c r="M281" s="49" t="s">
        <v>3770</v>
      </c>
    </row>
    <row r="282" spans="1:13" x14ac:dyDescent="0.35">
      <c r="A282" s="49" t="s">
        <v>3771</v>
      </c>
      <c r="B282" s="49" t="s">
        <v>3772</v>
      </c>
      <c r="C282" s="49" t="s">
        <v>3773</v>
      </c>
      <c r="D282" s="49" t="s">
        <v>1264</v>
      </c>
      <c r="E282" s="49" t="s">
        <v>3443</v>
      </c>
      <c r="F282" s="49" t="s">
        <v>3124</v>
      </c>
      <c r="G282" s="49" t="s">
        <v>2787</v>
      </c>
      <c r="H282" s="49" t="s">
        <v>980</v>
      </c>
      <c r="I282" s="50">
        <v>43265</v>
      </c>
      <c r="J282" s="50">
        <v>43515</v>
      </c>
      <c r="K282" s="50">
        <v>45340</v>
      </c>
      <c r="M282" s="49" t="s">
        <v>3774</v>
      </c>
    </row>
    <row r="283" spans="1:13" x14ac:dyDescent="0.35">
      <c r="A283" s="49" t="s">
        <v>3775</v>
      </c>
      <c r="B283" s="49" t="s">
        <v>3776</v>
      </c>
      <c r="C283" s="49" t="s">
        <v>3777</v>
      </c>
      <c r="D283" s="49" t="s">
        <v>1264</v>
      </c>
      <c r="E283" s="49" t="s">
        <v>2908</v>
      </c>
      <c r="F283" s="49" t="s">
        <v>2837</v>
      </c>
      <c r="G283" s="49" t="s">
        <v>2787</v>
      </c>
      <c r="H283" s="49" t="s">
        <v>973</v>
      </c>
      <c r="I283" s="50">
        <v>43280</v>
      </c>
      <c r="J283" s="50">
        <v>43543</v>
      </c>
      <c r="K283" s="50">
        <v>45369</v>
      </c>
      <c r="M283" s="49" t="s">
        <v>3270</v>
      </c>
    </row>
    <row r="284" spans="1:13" x14ac:dyDescent="0.35">
      <c r="A284" s="49" t="s">
        <v>3778</v>
      </c>
      <c r="B284" s="49" t="s">
        <v>3779</v>
      </c>
      <c r="C284" s="49" t="s">
        <v>3780</v>
      </c>
      <c r="D284" s="49" t="s">
        <v>1264</v>
      </c>
      <c r="E284" s="49" t="s">
        <v>2774</v>
      </c>
      <c r="F284" s="49" t="s">
        <v>3781</v>
      </c>
      <c r="G284" s="49" t="s">
        <v>2776</v>
      </c>
      <c r="H284" s="49" t="s">
        <v>2827</v>
      </c>
      <c r="I284" s="50">
        <v>43290</v>
      </c>
      <c r="J284" s="50">
        <v>43410</v>
      </c>
      <c r="K284" s="50">
        <v>44871</v>
      </c>
      <c r="M284" s="49" t="s">
        <v>3782</v>
      </c>
    </row>
    <row r="285" spans="1:13" x14ac:dyDescent="0.35">
      <c r="A285" s="49" t="s">
        <v>3783</v>
      </c>
      <c r="B285" s="49" t="s">
        <v>3784</v>
      </c>
      <c r="C285" s="49" t="s">
        <v>2927</v>
      </c>
      <c r="D285" s="49" t="s">
        <v>1264</v>
      </c>
      <c r="E285" s="49" t="s">
        <v>2908</v>
      </c>
      <c r="F285" s="49" t="s">
        <v>2837</v>
      </c>
      <c r="G285" s="49" t="s">
        <v>2901</v>
      </c>
      <c r="H285" s="49" t="s">
        <v>2827</v>
      </c>
      <c r="I285" s="50">
        <v>43291</v>
      </c>
      <c r="J285" s="50">
        <v>43510</v>
      </c>
      <c r="K285" s="50">
        <v>47162</v>
      </c>
      <c r="M285" s="49" t="s">
        <v>3785</v>
      </c>
    </row>
    <row r="286" spans="1:13" x14ac:dyDescent="0.35">
      <c r="A286" s="49" t="s">
        <v>3786</v>
      </c>
      <c r="B286" s="49" t="s">
        <v>3582</v>
      </c>
      <c r="C286" s="49" t="s">
        <v>3787</v>
      </c>
      <c r="D286" s="49" t="s">
        <v>1264</v>
      </c>
      <c r="E286" s="49" t="s">
        <v>3443</v>
      </c>
      <c r="F286" s="49" t="s">
        <v>3124</v>
      </c>
      <c r="G286" s="49" t="s">
        <v>2787</v>
      </c>
      <c r="H286" s="49" t="s">
        <v>980</v>
      </c>
      <c r="I286" s="50">
        <v>43292</v>
      </c>
      <c r="J286" s="50">
        <v>43362</v>
      </c>
      <c r="K286" s="50">
        <v>45187</v>
      </c>
      <c r="M286" s="49" t="s">
        <v>3788</v>
      </c>
    </row>
    <row r="287" spans="1:13" x14ac:dyDescent="0.35">
      <c r="A287" s="49" t="s">
        <v>3789</v>
      </c>
      <c r="B287" s="49" t="s">
        <v>3790</v>
      </c>
      <c r="C287" s="49" t="s">
        <v>3791</v>
      </c>
      <c r="D287" s="49" t="s">
        <v>1264</v>
      </c>
      <c r="E287" s="49" t="s">
        <v>2774</v>
      </c>
      <c r="F287" s="49" t="s">
        <v>2825</v>
      </c>
      <c r="G287" s="49" t="s">
        <v>2901</v>
      </c>
      <c r="H287" s="49" t="s">
        <v>2827</v>
      </c>
      <c r="I287" s="50">
        <v>43297</v>
      </c>
      <c r="J287" s="50">
        <v>43501</v>
      </c>
      <c r="K287" s="50">
        <v>46058</v>
      </c>
      <c r="M287" s="49" t="s">
        <v>3792</v>
      </c>
    </row>
    <row r="288" spans="1:13" x14ac:dyDescent="0.35">
      <c r="A288" s="49" t="s">
        <v>3793</v>
      </c>
      <c r="B288" s="49" t="s">
        <v>3794</v>
      </c>
      <c r="C288" s="49" t="s">
        <v>3795</v>
      </c>
      <c r="D288" s="49" t="s">
        <v>1264</v>
      </c>
      <c r="E288" s="49" t="s">
        <v>2986</v>
      </c>
      <c r="F288" s="49" t="s">
        <v>2825</v>
      </c>
      <c r="G288" s="49" t="s">
        <v>2787</v>
      </c>
      <c r="H288" s="49" t="s">
        <v>2827</v>
      </c>
      <c r="I288" s="50">
        <v>43298</v>
      </c>
      <c r="J288" s="50">
        <v>43370</v>
      </c>
      <c r="K288" s="50">
        <v>44466</v>
      </c>
      <c r="M288" s="49" t="s">
        <v>3270</v>
      </c>
    </row>
    <row r="289" spans="1:13" x14ac:dyDescent="0.35">
      <c r="A289" s="49" t="s">
        <v>3796</v>
      </c>
      <c r="B289" s="49" t="s">
        <v>3797</v>
      </c>
      <c r="C289" s="49" t="s">
        <v>3609</v>
      </c>
      <c r="D289" s="49" t="s">
        <v>1264</v>
      </c>
      <c r="E289" s="49" t="s">
        <v>2774</v>
      </c>
      <c r="F289" s="49" t="s">
        <v>2825</v>
      </c>
      <c r="G289" s="49" t="s">
        <v>2901</v>
      </c>
      <c r="H289" s="49" t="s">
        <v>973</v>
      </c>
      <c r="I289" s="50">
        <v>43304</v>
      </c>
      <c r="J289" s="50">
        <v>43501</v>
      </c>
      <c r="K289" s="50">
        <v>46057</v>
      </c>
      <c r="M289" s="49" t="s">
        <v>3798</v>
      </c>
    </row>
    <row r="290" spans="1:13" x14ac:dyDescent="0.35">
      <c r="A290" s="49" t="s">
        <v>3799</v>
      </c>
      <c r="B290" s="49" t="s">
        <v>3800</v>
      </c>
      <c r="C290" s="49" t="s">
        <v>3801</v>
      </c>
      <c r="D290" s="49" t="s">
        <v>1264</v>
      </c>
      <c r="E290" s="49" t="s">
        <v>2774</v>
      </c>
      <c r="F290" s="49" t="s">
        <v>2825</v>
      </c>
      <c r="G290" s="49" t="s">
        <v>2901</v>
      </c>
      <c r="H290" s="49" t="s">
        <v>2827</v>
      </c>
      <c r="I290" s="50">
        <v>43308</v>
      </c>
      <c r="J290" s="50">
        <v>43543</v>
      </c>
      <c r="K290" s="50">
        <v>46100</v>
      </c>
      <c r="M290" s="49" t="s">
        <v>3802</v>
      </c>
    </row>
    <row r="291" spans="1:13" x14ac:dyDescent="0.35">
      <c r="A291" s="49" t="s">
        <v>3803</v>
      </c>
      <c r="B291" s="49" t="s">
        <v>3399</v>
      </c>
      <c r="C291" s="49" t="s">
        <v>3804</v>
      </c>
      <c r="D291" s="49" t="s">
        <v>1264</v>
      </c>
      <c r="E291" s="49" t="s">
        <v>2974</v>
      </c>
      <c r="F291" s="49" t="s">
        <v>2825</v>
      </c>
      <c r="G291" s="49" t="s">
        <v>2787</v>
      </c>
      <c r="H291" s="49" t="s">
        <v>2827</v>
      </c>
      <c r="I291" s="50">
        <v>43308</v>
      </c>
      <c r="J291" s="50">
        <v>43448</v>
      </c>
      <c r="K291" s="50">
        <v>45274</v>
      </c>
      <c r="M291" s="49" t="s">
        <v>3805</v>
      </c>
    </row>
    <row r="292" spans="1:13" x14ac:dyDescent="0.35">
      <c r="A292" s="49" t="s">
        <v>3806</v>
      </c>
      <c r="B292" s="49" t="s">
        <v>3807</v>
      </c>
      <c r="C292" s="49" t="s">
        <v>3795</v>
      </c>
      <c r="D292" s="49" t="s">
        <v>1264</v>
      </c>
      <c r="E292" s="49" t="s">
        <v>2986</v>
      </c>
      <c r="F292" s="49" t="s">
        <v>2825</v>
      </c>
      <c r="G292" s="49" t="s">
        <v>2787</v>
      </c>
      <c r="H292" s="49" t="s">
        <v>2827</v>
      </c>
      <c r="I292" s="50">
        <v>43312</v>
      </c>
      <c r="J292" s="50">
        <v>43362</v>
      </c>
      <c r="K292" s="50">
        <v>44458</v>
      </c>
      <c r="M292" s="49" t="s">
        <v>3808</v>
      </c>
    </row>
    <row r="293" spans="1:13" x14ac:dyDescent="0.35">
      <c r="A293" s="49" t="s">
        <v>3809</v>
      </c>
      <c r="B293" s="49" t="s">
        <v>3810</v>
      </c>
      <c r="C293" s="49" t="s">
        <v>3811</v>
      </c>
      <c r="D293" s="49" t="s">
        <v>1264</v>
      </c>
      <c r="E293" s="49" t="s">
        <v>2986</v>
      </c>
      <c r="F293" s="49" t="s">
        <v>2825</v>
      </c>
      <c r="G293" s="49" t="s">
        <v>2787</v>
      </c>
      <c r="H293" s="49" t="s">
        <v>2827</v>
      </c>
      <c r="I293" s="50">
        <v>43318</v>
      </c>
      <c r="J293" s="50">
        <v>43488</v>
      </c>
      <c r="K293" s="50">
        <v>44584</v>
      </c>
      <c r="M293" s="49" t="s">
        <v>3270</v>
      </c>
    </row>
    <row r="294" spans="1:13" x14ac:dyDescent="0.35">
      <c r="A294" s="49" t="s">
        <v>3812</v>
      </c>
      <c r="B294" s="49" t="s">
        <v>3582</v>
      </c>
      <c r="C294" s="49" t="s">
        <v>3813</v>
      </c>
      <c r="D294" s="49" t="s">
        <v>1264</v>
      </c>
      <c r="E294" s="49" t="s">
        <v>3443</v>
      </c>
      <c r="F294" s="49" t="s">
        <v>3124</v>
      </c>
      <c r="G294" s="49" t="s">
        <v>2901</v>
      </c>
      <c r="H294" s="49" t="s">
        <v>980</v>
      </c>
      <c r="I294" s="50">
        <v>43326</v>
      </c>
      <c r="J294" s="50">
        <v>43370</v>
      </c>
      <c r="K294" s="50">
        <v>47022</v>
      </c>
      <c r="L294" s="50">
        <v>45196</v>
      </c>
      <c r="M294" s="49" t="s">
        <v>3814</v>
      </c>
    </row>
    <row r="295" spans="1:13" x14ac:dyDescent="0.35">
      <c r="A295" s="49" t="s">
        <v>3815</v>
      </c>
      <c r="C295" s="49" t="s">
        <v>3816</v>
      </c>
      <c r="D295" s="49" t="s">
        <v>1264</v>
      </c>
      <c r="E295" s="49" t="s">
        <v>2908</v>
      </c>
      <c r="F295" s="49" t="s">
        <v>3010</v>
      </c>
      <c r="G295" s="49" t="s">
        <v>2901</v>
      </c>
      <c r="H295" s="49" t="s">
        <v>980</v>
      </c>
      <c r="I295" s="50">
        <v>43328</v>
      </c>
      <c r="J295" s="50">
        <v>43825</v>
      </c>
      <c r="K295" s="50">
        <v>45651</v>
      </c>
      <c r="M295" s="49" t="s">
        <v>3817</v>
      </c>
    </row>
    <row r="296" spans="1:13" x14ac:dyDescent="0.35">
      <c r="A296" s="49" t="s">
        <v>3818</v>
      </c>
      <c r="B296" s="49" t="s">
        <v>3582</v>
      </c>
      <c r="C296" s="49" t="s">
        <v>3819</v>
      </c>
      <c r="D296" s="49" t="s">
        <v>1264</v>
      </c>
      <c r="E296" s="49" t="s">
        <v>3443</v>
      </c>
      <c r="F296" s="49" t="s">
        <v>3124</v>
      </c>
      <c r="G296" s="49" t="s">
        <v>2787</v>
      </c>
      <c r="H296" s="49" t="s">
        <v>980</v>
      </c>
      <c r="I296" s="50">
        <v>43339</v>
      </c>
      <c r="J296" s="50">
        <v>43370</v>
      </c>
      <c r="K296" s="50">
        <v>45195</v>
      </c>
      <c r="M296" s="49" t="s">
        <v>3820</v>
      </c>
    </row>
    <row r="297" spans="1:13" x14ac:dyDescent="0.35">
      <c r="A297" s="49" t="s">
        <v>3821</v>
      </c>
      <c r="B297" s="49" t="s">
        <v>3768</v>
      </c>
      <c r="C297" s="49" t="s">
        <v>3822</v>
      </c>
      <c r="D297" s="49" t="s">
        <v>1264</v>
      </c>
      <c r="E297" s="49" t="s">
        <v>3443</v>
      </c>
      <c r="F297" s="49" t="s">
        <v>3124</v>
      </c>
      <c r="G297" s="49" t="s">
        <v>2787</v>
      </c>
      <c r="H297" s="49" t="s">
        <v>980</v>
      </c>
      <c r="I297" s="50">
        <v>43343</v>
      </c>
      <c r="J297" s="50">
        <v>43390</v>
      </c>
      <c r="K297" s="50">
        <v>45215</v>
      </c>
      <c r="M297" s="49" t="s">
        <v>3823</v>
      </c>
    </row>
    <row r="298" spans="1:13" x14ac:dyDescent="0.35">
      <c r="A298" s="49" t="s">
        <v>3824</v>
      </c>
      <c r="C298" s="49" t="s">
        <v>3825</v>
      </c>
      <c r="D298" s="49" t="s">
        <v>1264</v>
      </c>
      <c r="E298" s="49" t="s">
        <v>3443</v>
      </c>
      <c r="F298" s="49" t="s">
        <v>3124</v>
      </c>
      <c r="G298" s="49" t="s">
        <v>2787</v>
      </c>
      <c r="H298" s="49" t="s">
        <v>980</v>
      </c>
      <c r="I298" s="50">
        <v>43356</v>
      </c>
      <c r="J298" s="50">
        <v>43558</v>
      </c>
      <c r="K298" s="50">
        <v>45384</v>
      </c>
      <c r="M298" s="49" t="s">
        <v>3826</v>
      </c>
    </row>
    <row r="299" spans="1:13" x14ac:dyDescent="0.35">
      <c r="A299" s="49" t="s">
        <v>3827</v>
      </c>
      <c r="B299" s="49" t="s">
        <v>3828</v>
      </c>
      <c r="C299" s="49" t="s">
        <v>3483</v>
      </c>
      <c r="D299" s="49" t="s">
        <v>1264</v>
      </c>
      <c r="E299" s="49" t="s">
        <v>2774</v>
      </c>
      <c r="F299" s="49" t="s">
        <v>2900</v>
      </c>
      <c r="G299" s="49" t="s">
        <v>2921</v>
      </c>
      <c r="H299" s="49" t="s">
        <v>835</v>
      </c>
      <c r="I299" s="50">
        <v>43357</v>
      </c>
      <c r="J299" s="50">
        <v>43496</v>
      </c>
      <c r="K299" s="50">
        <v>46053</v>
      </c>
      <c r="M299" s="49" t="s">
        <v>3829</v>
      </c>
    </row>
    <row r="300" spans="1:13" x14ac:dyDescent="0.35">
      <c r="A300" s="49" t="s">
        <v>3830</v>
      </c>
      <c r="C300" s="49" t="s">
        <v>3831</v>
      </c>
      <c r="D300" s="49" t="s">
        <v>1264</v>
      </c>
      <c r="E300" s="49" t="s">
        <v>2908</v>
      </c>
      <c r="F300" s="49" t="s">
        <v>2837</v>
      </c>
      <c r="G300" s="49" t="s">
        <v>2921</v>
      </c>
      <c r="H300" s="49" t="s">
        <v>980</v>
      </c>
      <c r="I300" s="50">
        <v>43360</v>
      </c>
      <c r="J300" s="50">
        <v>43543</v>
      </c>
      <c r="K300" s="50">
        <v>45369</v>
      </c>
      <c r="M300" s="49" t="s">
        <v>3832</v>
      </c>
    </row>
    <row r="301" spans="1:13" x14ac:dyDescent="0.35">
      <c r="A301" s="49" t="s">
        <v>3833</v>
      </c>
      <c r="B301" s="49" t="s">
        <v>3834</v>
      </c>
      <c r="C301" s="49" t="s">
        <v>3835</v>
      </c>
      <c r="D301" s="49" t="s">
        <v>1264</v>
      </c>
      <c r="E301" s="49" t="s">
        <v>2986</v>
      </c>
      <c r="F301" s="49" t="s">
        <v>2825</v>
      </c>
      <c r="G301" s="49" t="s">
        <v>2787</v>
      </c>
      <c r="H301" s="49" t="s">
        <v>2827</v>
      </c>
      <c r="I301" s="50">
        <v>43363</v>
      </c>
      <c r="J301" s="50">
        <v>43433</v>
      </c>
      <c r="K301" s="50">
        <v>44528</v>
      </c>
      <c r="M301" s="49" t="s">
        <v>3270</v>
      </c>
    </row>
    <row r="302" spans="1:13" x14ac:dyDescent="0.35">
      <c r="A302" s="49" t="s">
        <v>3836</v>
      </c>
      <c r="B302" s="49" t="s">
        <v>3205</v>
      </c>
      <c r="C302" s="49" t="s">
        <v>3837</v>
      </c>
      <c r="D302" s="49" t="s">
        <v>1264</v>
      </c>
      <c r="E302" s="49" t="s">
        <v>2974</v>
      </c>
      <c r="F302" s="49" t="s">
        <v>3005</v>
      </c>
      <c r="G302" s="49" t="s">
        <v>2826</v>
      </c>
      <c r="H302" s="49" t="s">
        <v>3229</v>
      </c>
      <c r="I302" s="50">
        <v>43375</v>
      </c>
      <c r="J302" s="50">
        <v>43474</v>
      </c>
      <c r="K302" s="50">
        <v>45300</v>
      </c>
      <c r="M302" s="49" t="s">
        <v>3838</v>
      </c>
    </row>
    <row r="303" spans="1:13" x14ac:dyDescent="0.35">
      <c r="A303" s="49" t="s">
        <v>3839</v>
      </c>
      <c r="B303" s="49" t="s">
        <v>3840</v>
      </c>
      <c r="C303" s="49" t="s">
        <v>3841</v>
      </c>
      <c r="D303" s="49" t="s">
        <v>1264</v>
      </c>
      <c r="E303" s="49" t="s">
        <v>2986</v>
      </c>
      <c r="F303" s="49" t="s">
        <v>2825</v>
      </c>
      <c r="G303" s="49" t="s">
        <v>2787</v>
      </c>
      <c r="H303" s="49" t="s">
        <v>2827</v>
      </c>
      <c r="I303" s="50">
        <v>43385</v>
      </c>
      <c r="J303" s="50">
        <v>43448</v>
      </c>
      <c r="K303" s="50">
        <v>44544</v>
      </c>
      <c r="M303" s="49" t="s">
        <v>3270</v>
      </c>
    </row>
    <row r="304" spans="1:13" x14ac:dyDescent="0.35">
      <c r="A304" s="49" t="s">
        <v>3842</v>
      </c>
      <c r="B304" s="49" t="s">
        <v>3468</v>
      </c>
      <c r="C304" s="49" t="s">
        <v>3705</v>
      </c>
      <c r="D304" s="49" t="s">
        <v>1264</v>
      </c>
      <c r="E304" s="49" t="s">
        <v>3443</v>
      </c>
      <c r="F304" s="49" t="s">
        <v>3124</v>
      </c>
      <c r="G304" s="49" t="s">
        <v>2921</v>
      </c>
      <c r="H304" s="49" t="s">
        <v>980</v>
      </c>
      <c r="I304" s="50">
        <v>43388</v>
      </c>
      <c r="J304" s="50">
        <v>43474</v>
      </c>
      <c r="K304" s="50">
        <v>45299</v>
      </c>
      <c r="M304" s="49" t="s">
        <v>3444</v>
      </c>
    </row>
    <row r="305" spans="1:13" x14ac:dyDescent="0.35">
      <c r="A305" s="49" t="s">
        <v>3843</v>
      </c>
      <c r="B305" s="49" t="s">
        <v>3844</v>
      </c>
      <c r="C305" s="49" t="s">
        <v>3845</v>
      </c>
      <c r="D305" s="49" t="s">
        <v>1264</v>
      </c>
      <c r="E305" s="49" t="s">
        <v>3413</v>
      </c>
      <c r="F305" s="49" t="s">
        <v>2825</v>
      </c>
      <c r="G305" s="49" t="s">
        <v>2901</v>
      </c>
      <c r="H305" s="49" t="s">
        <v>2827</v>
      </c>
      <c r="I305" s="50">
        <v>43395</v>
      </c>
      <c r="J305" s="50">
        <v>43815</v>
      </c>
      <c r="K305" s="50">
        <v>51119</v>
      </c>
      <c r="M305" s="49" t="s">
        <v>3846</v>
      </c>
    </row>
    <row r="306" spans="1:13" x14ac:dyDescent="0.35">
      <c r="A306" s="49" t="s">
        <v>3847</v>
      </c>
      <c r="B306" s="49" t="s">
        <v>3848</v>
      </c>
      <c r="C306" s="49" t="s">
        <v>3849</v>
      </c>
      <c r="D306" s="49" t="s">
        <v>1264</v>
      </c>
      <c r="E306" s="49" t="s">
        <v>2774</v>
      </c>
      <c r="F306" s="49" t="s">
        <v>2825</v>
      </c>
      <c r="G306" s="49" t="s">
        <v>2820</v>
      </c>
      <c r="H306" s="49" t="s">
        <v>2827</v>
      </c>
      <c r="I306" s="50">
        <v>43397</v>
      </c>
      <c r="J306" s="50">
        <v>43780</v>
      </c>
      <c r="K306" s="50">
        <v>44875</v>
      </c>
      <c r="M306" s="49" t="s">
        <v>3850</v>
      </c>
    </row>
    <row r="307" spans="1:13" x14ac:dyDescent="0.35">
      <c r="A307" s="49" t="s">
        <v>3851</v>
      </c>
      <c r="B307" s="49" t="s">
        <v>3582</v>
      </c>
      <c r="C307" s="49" t="s">
        <v>3852</v>
      </c>
      <c r="D307" s="49" t="s">
        <v>1264</v>
      </c>
      <c r="E307" s="49" t="s">
        <v>3443</v>
      </c>
      <c r="F307" s="49" t="s">
        <v>3124</v>
      </c>
      <c r="G307" s="49" t="s">
        <v>2787</v>
      </c>
      <c r="H307" s="49" t="s">
        <v>980</v>
      </c>
      <c r="I307" s="50">
        <v>43398</v>
      </c>
      <c r="J307" s="50">
        <v>43488</v>
      </c>
      <c r="K307" s="50">
        <v>45313</v>
      </c>
      <c r="M307" s="49" t="s">
        <v>3853</v>
      </c>
    </row>
    <row r="308" spans="1:13" x14ac:dyDescent="0.35">
      <c r="A308" s="49" t="s">
        <v>3854</v>
      </c>
      <c r="B308" s="49" t="s">
        <v>3582</v>
      </c>
      <c r="C308" s="49" t="s">
        <v>3855</v>
      </c>
      <c r="D308" s="49" t="s">
        <v>1264</v>
      </c>
      <c r="E308" s="49" t="s">
        <v>3443</v>
      </c>
      <c r="F308" s="49" t="s">
        <v>3124</v>
      </c>
      <c r="G308" s="49" t="s">
        <v>2901</v>
      </c>
      <c r="H308" s="49" t="s">
        <v>980</v>
      </c>
      <c r="I308" s="50">
        <v>43398</v>
      </c>
      <c r="J308" s="50">
        <v>43448</v>
      </c>
      <c r="K308" s="50">
        <v>46881</v>
      </c>
      <c r="L308" s="50">
        <v>45055</v>
      </c>
      <c r="M308" s="49" t="s">
        <v>3856</v>
      </c>
    </row>
    <row r="309" spans="1:13" x14ac:dyDescent="0.35">
      <c r="A309" s="49" t="s">
        <v>3857</v>
      </c>
      <c r="B309" s="49" t="s">
        <v>3858</v>
      </c>
      <c r="C309" s="49" t="s">
        <v>3795</v>
      </c>
      <c r="D309" s="49" t="s">
        <v>1264</v>
      </c>
      <c r="E309" s="49" t="s">
        <v>2974</v>
      </c>
      <c r="F309" s="49" t="s">
        <v>2825</v>
      </c>
      <c r="G309" s="49" t="s">
        <v>2787</v>
      </c>
      <c r="H309" s="49" t="s">
        <v>2827</v>
      </c>
      <c r="I309" s="50">
        <v>43423</v>
      </c>
      <c r="J309" s="50">
        <v>43543</v>
      </c>
      <c r="K309" s="50">
        <v>45370</v>
      </c>
      <c r="M309" s="49" t="s">
        <v>3859</v>
      </c>
    </row>
    <row r="310" spans="1:13" x14ac:dyDescent="0.35">
      <c r="A310" s="49" t="s">
        <v>3860</v>
      </c>
      <c r="B310" s="49" t="s">
        <v>3861</v>
      </c>
      <c r="C310" s="49" t="s">
        <v>3862</v>
      </c>
      <c r="D310" s="49" t="s">
        <v>1264</v>
      </c>
      <c r="E310" s="49" t="s">
        <v>2774</v>
      </c>
      <c r="F310" s="49" t="s">
        <v>2939</v>
      </c>
      <c r="G310" s="49" t="s">
        <v>2787</v>
      </c>
      <c r="H310" s="49" t="s">
        <v>980</v>
      </c>
      <c r="I310" s="50">
        <v>43425</v>
      </c>
      <c r="J310" s="50">
        <v>43454</v>
      </c>
      <c r="K310" s="50">
        <v>44915</v>
      </c>
      <c r="M310" s="49" t="s">
        <v>3863</v>
      </c>
    </row>
    <row r="311" spans="1:13" x14ac:dyDescent="0.35">
      <c r="A311" s="49" t="s">
        <v>3864</v>
      </c>
      <c r="B311" s="49" t="s">
        <v>3468</v>
      </c>
      <c r="C311" s="49" t="s">
        <v>3865</v>
      </c>
      <c r="D311" s="49" t="s">
        <v>1264</v>
      </c>
      <c r="E311" s="49" t="s">
        <v>3443</v>
      </c>
      <c r="F311" s="49" t="s">
        <v>3124</v>
      </c>
      <c r="G311" s="49" t="s">
        <v>2787</v>
      </c>
      <c r="H311" s="49" t="s">
        <v>980</v>
      </c>
      <c r="I311" s="50">
        <v>43441</v>
      </c>
      <c r="J311" s="50">
        <v>43558</v>
      </c>
      <c r="K311" s="50">
        <v>45384</v>
      </c>
      <c r="M311" s="49" t="s">
        <v>3866</v>
      </c>
    </row>
    <row r="312" spans="1:13" x14ac:dyDescent="0.35">
      <c r="A312" s="49" t="s">
        <v>3867</v>
      </c>
      <c r="B312" s="49" t="s">
        <v>2937</v>
      </c>
      <c r="C312" s="49" t="s">
        <v>3868</v>
      </c>
      <c r="D312" s="49" t="s">
        <v>1264</v>
      </c>
      <c r="E312" s="49" t="s">
        <v>2908</v>
      </c>
      <c r="F312" s="49" t="s">
        <v>2939</v>
      </c>
      <c r="G312" s="49" t="s">
        <v>2787</v>
      </c>
      <c r="H312" s="49" t="s">
        <v>980</v>
      </c>
      <c r="I312" s="50">
        <v>43444</v>
      </c>
      <c r="J312" s="50">
        <v>43493</v>
      </c>
      <c r="K312" s="50">
        <v>45319</v>
      </c>
      <c r="M312" s="49" t="s">
        <v>3638</v>
      </c>
    </row>
    <row r="313" spans="1:13" x14ac:dyDescent="0.35">
      <c r="A313" s="49" t="s">
        <v>3869</v>
      </c>
      <c r="B313" s="49" t="s">
        <v>2937</v>
      </c>
      <c r="C313" s="49" t="s">
        <v>3870</v>
      </c>
      <c r="D313" s="49" t="s">
        <v>1264</v>
      </c>
      <c r="E313" s="49" t="s">
        <v>2908</v>
      </c>
      <c r="F313" s="49" t="s">
        <v>2939</v>
      </c>
      <c r="G313" s="49" t="s">
        <v>2787</v>
      </c>
      <c r="H313" s="49" t="s">
        <v>980</v>
      </c>
      <c r="I313" s="50">
        <v>43453</v>
      </c>
      <c r="J313" s="50">
        <v>43493</v>
      </c>
      <c r="K313" s="50">
        <v>45318</v>
      </c>
      <c r="M313" s="49" t="s">
        <v>3871</v>
      </c>
    </row>
    <row r="314" spans="1:13" x14ac:dyDescent="0.35">
      <c r="A314" s="49" t="s">
        <v>3872</v>
      </c>
      <c r="B314" s="49" t="s">
        <v>3873</v>
      </c>
      <c r="C314" s="49" t="s">
        <v>3518</v>
      </c>
      <c r="D314" s="49" t="s">
        <v>1264</v>
      </c>
      <c r="E314" s="49" t="s">
        <v>2774</v>
      </c>
      <c r="F314" s="49" t="s">
        <v>2825</v>
      </c>
      <c r="G314" s="49" t="s">
        <v>2901</v>
      </c>
      <c r="H314" s="49" t="s">
        <v>2827</v>
      </c>
      <c r="I314" s="50">
        <v>43455</v>
      </c>
      <c r="J314" s="50">
        <v>43623</v>
      </c>
      <c r="K314" s="50">
        <v>46180</v>
      </c>
      <c r="M314" s="49" t="s">
        <v>3874</v>
      </c>
    </row>
    <row r="315" spans="1:13" x14ac:dyDescent="0.35">
      <c r="A315" s="49" t="s">
        <v>3875</v>
      </c>
      <c r="B315" s="49" t="s">
        <v>3784</v>
      </c>
      <c r="C315" s="49" t="s">
        <v>3870</v>
      </c>
      <c r="D315" s="49" t="s">
        <v>1264</v>
      </c>
      <c r="E315" s="49" t="s">
        <v>2908</v>
      </c>
      <c r="F315" s="49" t="s">
        <v>2837</v>
      </c>
      <c r="G315" s="49" t="s">
        <v>2787</v>
      </c>
      <c r="H315" s="49" t="s">
        <v>2827</v>
      </c>
      <c r="I315" s="50">
        <v>43458</v>
      </c>
      <c r="J315" s="50">
        <v>43510</v>
      </c>
      <c r="K315" s="50">
        <v>45336</v>
      </c>
      <c r="M315" s="49" t="s">
        <v>3876</v>
      </c>
    </row>
    <row r="316" spans="1:13" x14ac:dyDescent="0.35">
      <c r="A316" s="49" t="s">
        <v>3877</v>
      </c>
      <c r="C316" s="49" t="s">
        <v>3878</v>
      </c>
      <c r="D316" s="49" t="s">
        <v>1264</v>
      </c>
      <c r="E316" s="49" t="s">
        <v>2785</v>
      </c>
      <c r="F316" s="49" t="s">
        <v>2792</v>
      </c>
      <c r="G316" s="49" t="s">
        <v>2787</v>
      </c>
      <c r="H316" s="49" t="s">
        <v>835</v>
      </c>
      <c r="I316" s="50">
        <v>43460</v>
      </c>
      <c r="J316" s="50">
        <v>44090</v>
      </c>
      <c r="K316" s="50">
        <v>44454</v>
      </c>
      <c r="M316" s="49" t="s">
        <v>3879</v>
      </c>
    </row>
    <row r="317" spans="1:13" x14ac:dyDescent="0.35">
      <c r="A317" s="49" t="s">
        <v>3880</v>
      </c>
      <c r="B317" s="49" t="s">
        <v>3881</v>
      </c>
      <c r="C317" s="49" t="s">
        <v>3882</v>
      </c>
      <c r="D317" s="49" t="s">
        <v>1264</v>
      </c>
      <c r="E317" s="49" t="s">
        <v>2785</v>
      </c>
      <c r="F317" s="49" t="s">
        <v>2786</v>
      </c>
      <c r="G317" s="49" t="s">
        <v>2787</v>
      </c>
      <c r="H317" s="49" t="s">
        <v>980</v>
      </c>
      <c r="I317" s="50">
        <v>43481</v>
      </c>
      <c r="J317" s="50">
        <v>43571</v>
      </c>
      <c r="K317" s="50">
        <v>44368</v>
      </c>
      <c r="M317" s="49" t="s">
        <v>3883</v>
      </c>
    </row>
    <row r="318" spans="1:13" x14ac:dyDescent="0.35">
      <c r="A318" s="49" t="s">
        <v>3884</v>
      </c>
      <c r="B318" s="49" t="s">
        <v>2937</v>
      </c>
      <c r="C318" s="49" t="s">
        <v>3885</v>
      </c>
      <c r="D318" s="49" t="s">
        <v>1264</v>
      </c>
      <c r="E318" s="49" t="s">
        <v>2908</v>
      </c>
      <c r="F318" s="49" t="s">
        <v>2939</v>
      </c>
      <c r="G318" s="49" t="s">
        <v>2787</v>
      </c>
      <c r="H318" s="49" t="s">
        <v>980</v>
      </c>
      <c r="I318" s="50">
        <v>43481</v>
      </c>
      <c r="J318" s="50">
        <v>43493</v>
      </c>
      <c r="K318" s="50">
        <v>45319</v>
      </c>
      <c r="M318" s="49" t="s">
        <v>3871</v>
      </c>
    </row>
    <row r="319" spans="1:13" x14ac:dyDescent="0.35">
      <c r="A319" s="49" t="s">
        <v>3886</v>
      </c>
      <c r="B319" s="49" t="s">
        <v>2937</v>
      </c>
      <c r="C319" s="49" t="s">
        <v>3887</v>
      </c>
      <c r="D319" s="49" t="s">
        <v>1264</v>
      </c>
      <c r="E319" s="49" t="s">
        <v>2908</v>
      </c>
      <c r="F319" s="49" t="s">
        <v>2939</v>
      </c>
      <c r="G319" s="49" t="s">
        <v>2787</v>
      </c>
      <c r="H319" s="49" t="s">
        <v>980</v>
      </c>
      <c r="I319" s="50">
        <v>43482</v>
      </c>
      <c r="J319" s="50">
        <v>43493</v>
      </c>
      <c r="K319" s="50">
        <v>45319</v>
      </c>
      <c r="M319" s="49" t="s">
        <v>3871</v>
      </c>
    </row>
    <row r="320" spans="1:13" x14ac:dyDescent="0.35">
      <c r="A320" s="49" t="s">
        <v>3888</v>
      </c>
      <c r="B320" s="49" t="s">
        <v>2937</v>
      </c>
      <c r="C320" s="49" t="s">
        <v>3889</v>
      </c>
      <c r="D320" s="49" t="s">
        <v>1264</v>
      </c>
      <c r="E320" s="49" t="s">
        <v>2908</v>
      </c>
      <c r="F320" s="49" t="s">
        <v>2939</v>
      </c>
      <c r="G320" s="49" t="s">
        <v>2787</v>
      </c>
      <c r="H320" s="49" t="s">
        <v>980</v>
      </c>
      <c r="I320" s="50">
        <v>43483</v>
      </c>
      <c r="J320" s="50">
        <v>43493</v>
      </c>
      <c r="K320" s="50">
        <v>45319</v>
      </c>
      <c r="M320" s="49" t="s">
        <v>3871</v>
      </c>
    </row>
    <row r="321" spans="1:13" x14ac:dyDescent="0.35">
      <c r="A321" s="49" t="s">
        <v>3890</v>
      </c>
      <c r="B321" s="49" t="s">
        <v>495</v>
      </c>
      <c r="C321" s="49" t="s">
        <v>3891</v>
      </c>
      <c r="D321" s="49" t="s">
        <v>1264</v>
      </c>
      <c r="E321" s="49" t="s">
        <v>3413</v>
      </c>
      <c r="F321" s="49" t="s">
        <v>2825</v>
      </c>
      <c r="G321" s="49" t="s">
        <v>2826</v>
      </c>
      <c r="H321" s="49" t="s">
        <v>2827</v>
      </c>
      <c r="I321" s="50">
        <v>43486</v>
      </c>
      <c r="J321" s="50">
        <v>43882</v>
      </c>
      <c r="K321" s="50">
        <v>51186</v>
      </c>
      <c r="M321" s="49" t="s">
        <v>3892</v>
      </c>
    </row>
    <row r="322" spans="1:13" x14ac:dyDescent="0.35">
      <c r="A322" s="49" t="s">
        <v>3893</v>
      </c>
      <c r="B322" s="49" t="s">
        <v>3894</v>
      </c>
      <c r="C322" s="49" t="s">
        <v>3895</v>
      </c>
      <c r="D322" s="49" t="s">
        <v>1264</v>
      </c>
      <c r="E322" s="49" t="s">
        <v>2908</v>
      </c>
      <c r="F322" s="49" t="s">
        <v>3010</v>
      </c>
      <c r="G322" s="49" t="s">
        <v>2787</v>
      </c>
      <c r="H322" s="49" t="s">
        <v>980</v>
      </c>
      <c r="I322" s="50">
        <v>43501</v>
      </c>
      <c r="J322" s="50">
        <v>43543</v>
      </c>
      <c r="K322" s="50">
        <v>45369</v>
      </c>
      <c r="M322" s="49" t="s">
        <v>3896</v>
      </c>
    </row>
    <row r="323" spans="1:13" x14ac:dyDescent="0.35">
      <c r="A323" s="49" t="s">
        <v>3897</v>
      </c>
      <c r="B323" s="49" t="s">
        <v>2823</v>
      </c>
      <c r="C323" s="49" t="s">
        <v>3777</v>
      </c>
      <c r="D323" s="49" t="s">
        <v>1264</v>
      </c>
      <c r="E323" s="49" t="s">
        <v>2785</v>
      </c>
      <c r="F323" s="49" t="s">
        <v>3898</v>
      </c>
      <c r="G323" s="49" t="s">
        <v>2787</v>
      </c>
      <c r="H323" s="49" t="s">
        <v>2827</v>
      </c>
      <c r="I323" s="50">
        <v>43536</v>
      </c>
      <c r="J323" s="50">
        <v>44127</v>
      </c>
      <c r="K323" s="50">
        <v>44344</v>
      </c>
      <c r="M323" s="49" t="s">
        <v>3899</v>
      </c>
    </row>
    <row r="324" spans="1:13" x14ac:dyDescent="0.35">
      <c r="A324" s="49" t="s">
        <v>3900</v>
      </c>
      <c r="B324" s="49" t="s">
        <v>3901</v>
      </c>
      <c r="C324" s="49" t="s">
        <v>2997</v>
      </c>
      <c r="D324" s="49" t="s">
        <v>1264</v>
      </c>
      <c r="E324" s="49" t="s">
        <v>2908</v>
      </c>
      <c r="F324" s="49" t="s">
        <v>2786</v>
      </c>
      <c r="G324" s="49" t="s">
        <v>2787</v>
      </c>
      <c r="H324" s="49" t="s">
        <v>980</v>
      </c>
      <c r="I324" s="50">
        <v>43537</v>
      </c>
      <c r="J324" s="50">
        <v>43657</v>
      </c>
      <c r="K324" s="50">
        <v>45505</v>
      </c>
      <c r="M324" s="49" t="s">
        <v>3902</v>
      </c>
    </row>
    <row r="325" spans="1:13" x14ac:dyDescent="0.35">
      <c r="A325" s="49" t="s">
        <v>3903</v>
      </c>
      <c r="B325" s="49" t="s">
        <v>3904</v>
      </c>
      <c r="C325" s="49" t="s">
        <v>3905</v>
      </c>
      <c r="D325" s="49" t="s">
        <v>1264</v>
      </c>
      <c r="E325" s="49" t="s">
        <v>2774</v>
      </c>
      <c r="F325" s="49" t="s">
        <v>2825</v>
      </c>
      <c r="G325" s="49" t="s">
        <v>2787</v>
      </c>
      <c r="H325" s="49" t="s">
        <v>2827</v>
      </c>
      <c r="I325" s="50">
        <v>43549</v>
      </c>
      <c r="J325" s="50">
        <v>43756</v>
      </c>
      <c r="K325" s="50">
        <v>45216</v>
      </c>
      <c r="M325" s="49" t="s">
        <v>3906</v>
      </c>
    </row>
    <row r="326" spans="1:13" x14ac:dyDescent="0.35">
      <c r="A326" s="49" t="s">
        <v>3907</v>
      </c>
      <c r="B326" s="49" t="s">
        <v>3908</v>
      </c>
      <c r="C326" s="49" t="s">
        <v>3909</v>
      </c>
      <c r="D326" s="49" t="s">
        <v>1264</v>
      </c>
      <c r="E326" s="49" t="s">
        <v>2974</v>
      </c>
      <c r="F326" s="49" t="s">
        <v>2825</v>
      </c>
      <c r="G326" s="49" t="s">
        <v>2787</v>
      </c>
      <c r="H326" s="49" t="s">
        <v>2827</v>
      </c>
      <c r="I326" s="50">
        <v>43574</v>
      </c>
      <c r="J326" s="50">
        <v>43668</v>
      </c>
      <c r="K326" s="50">
        <v>45495</v>
      </c>
      <c r="M326" s="49" t="s">
        <v>3910</v>
      </c>
    </row>
    <row r="327" spans="1:13" x14ac:dyDescent="0.35">
      <c r="A327" s="49" t="s">
        <v>3911</v>
      </c>
      <c r="B327" s="49" t="s">
        <v>2942</v>
      </c>
      <c r="C327" s="49" t="s">
        <v>3912</v>
      </c>
      <c r="D327" s="49" t="s">
        <v>1264</v>
      </c>
      <c r="E327" s="49" t="s">
        <v>2908</v>
      </c>
      <c r="F327" s="49" t="s">
        <v>2939</v>
      </c>
      <c r="G327" s="49" t="s">
        <v>2787</v>
      </c>
      <c r="H327" s="49" t="s">
        <v>980</v>
      </c>
      <c r="I327" s="50">
        <v>43622</v>
      </c>
      <c r="J327" s="50">
        <v>43633</v>
      </c>
      <c r="K327" s="50">
        <v>45459</v>
      </c>
      <c r="M327" s="49" t="s">
        <v>3913</v>
      </c>
    </row>
    <row r="328" spans="1:13" x14ac:dyDescent="0.35">
      <c r="A328" s="49" t="s">
        <v>3914</v>
      </c>
      <c r="C328" s="49" t="s">
        <v>3915</v>
      </c>
      <c r="D328" s="49" t="s">
        <v>1264</v>
      </c>
      <c r="E328" s="49" t="s">
        <v>2785</v>
      </c>
      <c r="F328" s="49" t="s">
        <v>2792</v>
      </c>
      <c r="G328" s="49" t="s">
        <v>2787</v>
      </c>
      <c r="H328" s="49" t="s">
        <v>8</v>
      </c>
      <c r="I328" s="50">
        <v>43647</v>
      </c>
      <c r="J328" s="50">
        <v>43978</v>
      </c>
      <c r="K328" s="50">
        <v>44707</v>
      </c>
      <c r="M328" s="49" t="s">
        <v>3916</v>
      </c>
    </row>
    <row r="329" spans="1:13" x14ac:dyDescent="0.35">
      <c r="A329" s="49" t="s">
        <v>3917</v>
      </c>
      <c r="C329" s="49" t="s">
        <v>3918</v>
      </c>
      <c r="D329" s="49" t="s">
        <v>1264</v>
      </c>
      <c r="E329" s="49" t="s">
        <v>2908</v>
      </c>
      <c r="F329" s="49" t="s">
        <v>2837</v>
      </c>
      <c r="G329" s="49" t="s">
        <v>2901</v>
      </c>
      <c r="H329" s="49" t="s">
        <v>2827</v>
      </c>
      <c r="I329" s="50">
        <v>43658</v>
      </c>
      <c r="J329" s="50">
        <v>43794</v>
      </c>
      <c r="K329" s="50">
        <v>45620</v>
      </c>
      <c r="M329" s="49" t="s">
        <v>3919</v>
      </c>
    </row>
    <row r="330" spans="1:13" x14ac:dyDescent="0.35">
      <c r="A330" s="49" t="s">
        <v>3920</v>
      </c>
      <c r="B330" s="49" t="s">
        <v>3921</v>
      </c>
      <c r="C330" s="49" t="s">
        <v>3922</v>
      </c>
      <c r="D330" s="49" t="s">
        <v>1264</v>
      </c>
      <c r="E330" s="49" t="s">
        <v>2774</v>
      </c>
      <c r="F330" s="49" t="s">
        <v>2825</v>
      </c>
      <c r="G330" s="49" t="s">
        <v>2901</v>
      </c>
      <c r="H330" s="49" t="s">
        <v>2827</v>
      </c>
      <c r="I330" s="50">
        <v>43697</v>
      </c>
      <c r="J330" s="50">
        <v>43879</v>
      </c>
      <c r="K330" s="50">
        <v>46435</v>
      </c>
      <c r="M330" s="49" t="s">
        <v>3923</v>
      </c>
    </row>
    <row r="331" spans="1:13" x14ac:dyDescent="0.35">
      <c r="A331" s="49" t="s">
        <v>3924</v>
      </c>
      <c r="B331" s="49" t="s">
        <v>3768</v>
      </c>
      <c r="C331" s="49" t="s">
        <v>3925</v>
      </c>
      <c r="D331" s="49" t="s">
        <v>1264</v>
      </c>
      <c r="E331" s="49" t="s">
        <v>3443</v>
      </c>
      <c r="F331" s="49" t="s">
        <v>3124</v>
      </c>
      <c r="G331" s="49" t="s">
        <v>2787</v>
      </c>
      <c r="H331" s="49" t="s">
        <v>980</v>
      </c>
      <c r="I331" s="50">
        <v>43719</v>
      </c>
      <c r="J331" s="50">
        <v>43756</v>
      </c>
      <c r="K331" s="50">
        <v>45582</v>
      </c>
      <c r="M331" s="49" t="s">
        <v>3526</v>
      </c>
    </row>
    <row r="332" spans="1:13" x14ac:dyDescent="0.35">
      <c r="A332" s="49" t="s">
        <v>3926</v>
      </c>
      <c r="C332" s="49" t="s">
        <v>3927</v>
      </c>
      <c r="D332" s="49" t="s">
        <v>1264</v>
      </c>
      <c r="E332" s="49" t="s">
        <v>2785</v>
      </c>
      <c r="F332" s="49" t="s">
        <v>2786</v>
      </c>
      <c r="G332" s="49" t="s">
        <v>2787</v>
      </c>
      <c r="H332" s="49" t="s">
        <v>980</v>
      </c>
      <c r="I332" s="50">
        <v>43726</v>
      </c>
      <c r="J332" s="50">
        <v>44062</v>
      </c>
      <c r="K332" s="50">
        <v>45511</v>
      </c>
      <c r="M332" s="49" t="s">
        <v>3928</v>
      </c>
    </row>
    <row r="333" spans="1:13" x14ac:dyDescent="0.35">
      <c r="A333" s="49" t="s">
        <v>3929</v>
      </c>
      <c r="B333" s="49" t="s">
        <v>3008</v>
      </c>
      <c r="C333" s="49" t="s">
        <v>3930</v>
      </c>
      <c r="D333" s="49" t="s">
        <v>1264</v>
      </c>
      <c r="E333" s="49" t="s">
        <v>2785</v>
      </c>
      <c r="F333" s="49" t="s">
        <v>2786</v>
      </c>
      <c r="G333" s="49" t="s">
        <v>2787</v>
      </c>
      <c r="H333" s="49" t="s">
        <v>980</v>
      </c>
      <c r="I333" s="50">
        <v>43728</v>
      </c>
      <c r="J333" s="50">
        <v>43959</v>
      </c>
      <c r="K333" s="50">
        <v>44688</v>
      </c>
      <c r="M333" s="49" t="s">
        <v>3931</v>
      </c>
    </row>
    <row r="334" spans="1:13" x14ac:dyDescent="0.35">
      <c r="A334" s="49" t="s">
        <v>3932</v>
      </c>
      <c r="B334" s="49" t="s">
        <v>3933</v>
      </c>
      <c r="C334" s="49" t="s">
        <v>3934</v>
      </c>
      <c r="D334" s="49" t="s">
        <v>1264</v>
      </c>
      <c r="E334" s="49" t="s">
        <v>2785</v>
      </c>
      <c r="F334" s="49" t="s">
        <v>3253</v>
      </c>
      <c r="G334" s="49" t="s">
        <v>2787</v>
      </c>
      <c r="H334" s="49" t="s">
        <v>2827</v>
      </c>
      <c r="I334" s="50">
        <v>43733</v>
      </c>
      <c r="J334" s="50">
        <v>43999</v>
      </c>
      <c r="K334" s="50">
        <v>44728</v>
      </c>
      <c r="M334" s="49" t="s">
        <v>3935</v>
      </c>
    </row>
    <row r="335" spans="1:13" x14ac:dyDescent="0.35">
      <c r="A335" s="49" t="s">
        <v>3936</v>
      </c>
      <c r="B335" s="49" t="s">
        <v>2891</v>
      </c>
      <c r="C335" s="49" t="s">
        <v>3937</v>
      </c>
      <c r="D335" s="49" t="s">
        <v>1264</v>
      </c>
      <c r="E335" s="49" t="s">
        <v>2908</v>
      </c>
      <c r="F335" s="49" t="s">
        <v>2837</v>
      </c>
      <c r="G335" s="49" t="s">
        <v>2787</v>
      </c>
      <c r="H335" s="49" t="s">
        <v>980</v>
      </c>
      <c r="I335" s="50">
        <v>43739</v>
      </c>
      <c r="J335" s="50">
        <v>43744</v>
      </c>
      <c r="K335" s="50">
        <v>45570</v>
      </c>
      <c r="M335" s="49" t="s">
        <v>3938</v>
      </c>
    </row>
    <row r="336" spans="1:13" x14ac:dyDescent="0.35">
      <c r="A336" s="49" t="s">
        <v>3939</v>
      </c>
      <c r="B336" s="49" t="s">
        <v>3940</v>
      </c>
      <c r="C336" s="49" t="s">
        <v>3941</v>
      </c>
      <c r="D336" s="49" t="s">
        <v>1264</v>
      </c>
      <c r="E336" s="49" t="s">
        <v>2986</v>
      </c>
      <c r="F336" s="49" t="s">
        <v>2825</v>
      </c>
      <c r="G336" s="49" t="s">
        <v>2901</v>
      </c>
      <c r="H336" s="49" t="s">
        <v>2827</v>
      </c>
      <c r="I336" s="50">
        <v>43749</v>
      </c>
      <c r="J336" s="50">
        <v>43878</v>
      </c>
      <c r="K336" s="50">
        <v>46069</v>
      </c>
      <c r="L336" s="50">
        <v>44974</v>
      </c>
      <c r="M336" s="49" t="s">
        <v>3942</v>
      </c>
    </row>
    <row r="337" spans="1:13" x14ac:dyDescent="0.35">
      <c r="A337" s="49" t="s">
        <v>3943</v>
      </c>
      <c r="C337" s="49" t="s">
        <v>3944</v>
      </c>
      <c r="D337" s="49" t="s">
        <v>1264</v>
      </c>
      <c r="E337" s="49" t="s">
        <v>3443</v>
      </c>
      <c r="F337" s="49" t="s">
        <v>3124</v>
      </c>
      <c r="G337" s="49" t="s">
        <v>2787</v>
      </c>
      <c r="H337" s="49" t="s">
        <v>980</v>
      </c>
      <c r="I337" s="50">
        <v>43760</v>
      </c>
      <c r="J337" s="50">
        <v>43798</v>
      </c>
      <c r="K337" s="50">
        <v>45624</v>
      </c>
      <c r="M337" s="49" t="s">
        <v>3470</v>
      </c>
    </row>
    <row r="338" spans="1:13" x14ac:dyDescent="0.35">
      <c r="A338" s="49" t="s">
        <v>3945</v>
      </c>
      <c r="B338" s="49" t="s">
        <v>3946</v>
      </c>
      <c r="C338" s="49" t="s">
        <v>3947</v>
      </c>
      <c r="D338" s="49" t="s">
        <v>1264</v>
      </c>
      <c r="E338" s="49" t="s">
        <v>2774</v>
      </c>
      <c r="F338" s="49" t="s">
        <v>3188</v>
      </c>
      <c r="G338" s="49" t="s">
        <v>2921</v>
      </c>
      <c r="H338" s="49" t="s">
        <v>973</v>
      </c>
      <c r="I338" s="50">
        <v>43790</v>
      </c>
      <c r="J338" s="50">
        <v>43978</v>
      </c>
      <c r="K338" s="50">
        <v>45438</v>
      </c>
      <c r="M338" s="49" t="s">
        <v>3948</v>
      </c>
    </row>
    <row r="339" spans="1:13" x14ac:dyDescent="0.35">
      <c r="A339" s="49" t="s">
        <v>3949</v>
      </c>
      <c r="B339" s="49" t="s">
        <v>3950</v>
      </c>
      <c r="C339" s="49" t="s">
        <v>3951</v>
      </c>
      <c r="D339" s="49" t="s">
        <v>1264</v>
      </c>
      <c r="E339" s="49" t="s">
        <v>2785</v>
      </c>
      <c r="F339" s="49" t="s">
        <v>2805</v>
      </c>
      <c r="G339" s="49" t="s">
        <v>2787</v>
      </c>
      <c r="H339" s="49" t="s">
        <v>3717</v>
      </c>
      <c r="I339" s="50">
        <v>43803</v>
      </c>
      <c r="J339" s="50">
        <v>43888</v>
      </c>
      <c r="K339" s="50">
        <v>45510</v>
      </c>
      <c r="M339" s="49" t="s">
        <v>3952</v>
      </c>
    </row>
    <row r="340" spans="1:13" x14ac:dyDescent="0.35">
      <c r="A340" s="49" t="s">
        <v>3953</v>
      </c>
      <c r="B340" s="49" t="s">
        <v>3954</v>
      </c>
      <c r="C340" s="49" t="s">
        <v>3955</v>
      </c>
      <c r="D340" s="49" t="s">
        <v>1264</v>
      </c>
      <c r="E340" s="49" t="s">
        <v>2785</v>
      </c>
      <c r="F340" s="49" t="s">
        <v>2792</v>
      </c>
      <c r="G340" s="49" t="s">
        <v>2787</v>
      </c>
      <c r="H340" s="49" t="s">
        <v>980</v>
      </c>
      <c r="I340" s="50">
        <v>43810</v>
      </c>
      <c r="J340" s="50">
        <v>43948</v>
      </c>
      <c r="K340" s="50">
        <v>44678</v>
      </c>
      <c r="M340" s="49" t="s">
        <v>3956</v>
      </c>
    </row>
    <row r="341" spans="1:13" x14ac:dyDescent="0.35">
      <c r="A341" s="49" t="s">
        <v>3957</v>
      </c>
      <c r="B341" s="49" t="s">
        <v>3958</v>
      </c>
      <c r="C341" s="49" t="s">
        <v>3959</v>
      </c>
      <c r="D341" s="49" t="s">
        <v>1264</v>
      </c>
      <c r="E341" s="49" t="s">
        <v>2774</v>
      </c>
      <c r="F341" s="49" t="s">
        <v>2825</v>
      </c>
      <c r="G341" s="49" t="s">
        <v>2787</v>
      </c>
      <c r="H341" s="49" t="s">
        <v>2827</v>
      </c>
      <c r="I341" s="50">
        <v>43818</v>
      </c>
      <c r="J341" s="50">
        <v>41555</v>
      </c>
      <c r="K341" s="50">
        <v>43745</v>
      </c>
      <c r="M341" s="49" t="s">
        <v>3960</v>
      </c>
    </row>
    <row r="342" spans="1:13" x14ac:dyDescent="0.35">
      <c r="A342" s="49" t="s">
        <v>3961</v>
      </c>
      <c r="B342" s="49" t="s">
        <v>3962</v>
      </c>
      <c r="C342" s="49" t="s">
        <v>3963</v>
      </c>
      <c r="D342" s="49" t="s">
        <v>1264</v>
      </c>
      <c r="E342" s="49" t="s">
        <v>2785</v>
      </c>
      <c r="F342" s="49" t="s">
        <v>2792</v>
      </c>
      <c r="G342" s="49" t="s">
        <v>2787</v>
      </c>
      <c r="H342" s="49" t="s">
        <v>980</v>
      </c>
      <c r="I342" s="50">
        <v>43819</v>
      </c>
      <c r="J342" s="50">
        <v>43888</v>
      </c>
      <c r="K342" s="50">
        <v>44426</v>
      </c>
      <c r="M342" s="49" t="s">
        <v>3964</v>
      </c>
    </row>
    <row r="343" spans="1:13" x14ac:dyDescent="0.35">
      <c r="A343" s="49" t="s">
        <v>3965</v>
      </c>
      <c r="B343" s="49" t="s">
        <v>3966</v>
      </c>
      <c r="D343" s="49" t="s">
        <v>1264</v>
      </c>
      <c r="E343" s="49" t="s">
        <v>3748</v>
      </c>
      <c r="F343" s="49" t="s">
        <v>2792</v>
      </c>
      <c r="G343" s="49" t="s">
        <v>2901</v>
      </c>
      <c r="H343" s="49" t="s">
        <v>3207</v>
      </c>
      <c r="I343" s="50">
        <v>43832</v>
      </c>
      <c r="J343" s="50">
        <v>43879</v>
      </c>
      <c r="K343" s="50">
        <v>45706</v>
      </c>
      <c r="M343" s="49" t="s">
        <v>3967</v>
      </c>
    </row>
    <row r="344" spans="1:13" x14ac:dyDescent="0.35">
      <c r="A344" s="49" t="s">
        <v>3968</v>
      </c>
      <c r="B344" s="49" t="s">
        <v>3969</v>
      </c>
      <c r="C344" s="49" t="s">
        <v>3970</v>
      </c>
      <c r="D344" s="49" t="s">
        <v>1264</v>
      </c>
      <c r="E344" s="49" t="s">
        <v>2774</v>
      </c>
      <c r="F344" s="49" t="s">
        <v>2825</v>
      </c>
      <c r="G344" s="49" t="s">
        <v>2921</v>
      </c>
      <c r="H344" s="49" t="s">
        <v>2827</v>
      </c>
      <c r="I344" s="50">
        <v>43832</v>
      </c>
      <c r="J344" s="50">
        <v>44028</v>
      </c>
      <c r="K344" s="50">
        <v>45488</v>
      </c>
      <c r="M344" s="49" t="s">
        <v>3971</v>
      </c>
    </row>
    <row r="345" spans="1:13" x14ac:dyDescent="0.35">
      <c r="A345" s="49" t="s">
        <v>3972</v>
      </c>
      <c r="B345" s="49" t="s">
        <v>3973</v>
      </c>
      <c r="C345" s="49" t="s">
        <v>3769</v>
      </c>
      <c r="D345" s="49" t="s">
        <v>1264</v>
      </c>
      <c r="E345" s="49" t="s">
        <v>2774</v>
      </c>
      <c r="F345" s="49" t="s">
        <v>2825</v>
      </c>
      <c r="G345" s="49" t="s">
        <v>2901</v>
      </c>
      <c r="H345" s="49" t="s">
        <v>2827</v>
      </c>
      <c r="I345" s="50">
        <v>43833</v>
      </c>
      <c r="J345" s="50">
        <v>43510</v>
      </c>
      <c r="K345" s="50">
        <v>47162</v>
      </c>
      <c r="M345" s="49" t="s">
        <v>3974</v>
      </c>
    </row>
    <row r="346" spans="1:13" x14ac:dyDescent="0.35">
      <c r="A346" s="49" t="s">
        <v>3975</v>
      </c>
      <c r="B346" s="49" t="s">
        <v>3976</v>
      </c>
      <c r="C346" s="49" t="s">
        <v>3977</v>
      </c>
      <c r="D346" s="49" t="s">
        <v>1264</v>
      </c>
      <c r="E346" s="49" t="s">
        <v>2785</v>
      </c>
      <c r="F346" s="49" t="s">
        <v>2792</v>
      </c>
      <c r="G346" s="49" t="s">
        <v>2787</v>
      </c>
      <c r="H346" s="49" t="s">
        <v>980</v>
      </c>
      <c r="I346" s="50">
        <v>43839</v>
      </c>
      <c r="J346" s="50">
        <v>44200</v>
      </c>
      <c r="K346" s="50">
        <v>44564</v>
      </c>
      <c r="M346" s="49" t="s">
        <v>3978</v>
      </c>
    </row>
    <row r="347" spans="1:13" x14ac:dyDescent="0.35">
      <c r="A347" s="49" t="s">
        <v>3979</v>
      </c>
      <c r="B347" s="49" t="s">
        <v>3980</v>
      </c>
      <c r="C347" s="49" t="s">
        <v>3981</v>
      </c>
      <c r="D347" s="49" t="s">
        <v>1264</v>
      </c>
      <c r="E347" s="49" t="s">
        <v>2785</v>
      </c>
      <c r="F347" s="49" t="s">
        <v>2792</v>
      </c>
      <c r="G347" s="49" t="s">
        <v>2787</v>
      </c>
      <c r="H347" s="49" t="s">
        <v>980</v>
      </c>
      <c r="I347" s="50">
        <v>43840</v>
      </c>
      <c r="J347" s="50">
        <v>44053</v>
      </c>
      <c r="K347" s="50">
        <v>44174</v>
      </c>
      <c r="M347" s="49" t="s">
        <v>3982</v>
      </c>
    </row>
    <row r="348" spans="1:13" x14ac:dyDescent="0.35">
      <c r="A348" s="49" t="s">
        <v>3983</v>
      </c>
      <c r="B348" s="49" t="s">
        <v>3984</v>
      </c>
      <c r="C348" s="49" t="s">
        <v>3985</v>
      </c>
      <c r="D348" s="49" t="s">
        <v>1264</v>
      </c>
      <c r="E348" s="49" t="s">
        <v>2774</v>
      </c>
      <c r="F348" s="49" t="s">
        <v>2900</v>
      </c>
      <c r="G348" s="49" t="s">
        <v>2787</v>
      </c>
      <c r="H348" s="49" t="s">
        <v>980</v>
      </c>
      <c r="I348" s="50">
        <v>43853</v>
      </c>
      <c r="J348" s="50">
        <v>40991</v>
      </c>
      <c r="K348" s="50">
        <v>45006</v>
      </c>
      <c r="M348" s="49" t="s">
        <v>3986</v>
      </c>
    </row>
    <row r="349" spans="1:13" x14ac:dyDescent="0.35">
      <c r="A349" s="49" t="s">
        <v>3987</v>
      </c>
      <c r="C349" s="49" t="s">
        <v>3988</v>
      </c>
      <c r="D349" s="49" t="s">
        <v>1264</v>
      </c>
      <c r="E349" s="49" t="s">
        <v>2974</v>
      </c>
      <c r="F349" s="49" t="s">
        <v>2825</v>
      </c>
      <c r="G349" s="49" t="s">
        <v>2787</v>
      </c>
      <c r="H349" s="49" t="s">
        <v>2827</v>
      </c>
      <c r="I349" s="50">
        <v>43857</v>
      </c>
      <c r="J349" s="50">
        <v>43700</v>
      </c>
      <c r="K349" s="50">
        <v>45526</v>
      </c>
      <c r="M349" s="49" t="s">
        <v>3989</v>
      </c>
    </row>
    <row r="350" spans="1:13" x14ac:dyDescent="0.35">
      <c r="A350" s="49" t="s">
        <v>3990</v>
      </c>
      <c r="B350" s="49" t="s">
        <v>3991</v>
      </c>
      <c r="C350" s="49" t="s">
        <v>3992</v>
      </c>
      <c r="D350" s="49" t="s">
        <v>1264</v>
      </c>
      <c r="E350" s="49" t="s">
        <v>2774</v>
      </c>
      <c r="F350" s="49" t="s">
        <v>3598</v>
      </c>
      <c r="G350" s="49" t="s">
        <v>2921</v>
      </c>
      <c r="H350" s="49" t="s">
        <v>2827</v>
      </c>
      <c r="I350" s="50">
        <v>43867</v>
      </c>
      <c r="J350" s="50">
        <v>44068</v>
      </c>
      <c r="K350" s="50">
        <v>46623</v>
      </c>
      <c r="M350" s="49" t="s">
        <v>3993</v>
      </c>
    </row>
    <row r="351" spans="1:13" x14ac:dyDescent="0.35">
      <c r="A351" s="49" t="s">
        <v>3994</v>
      </c>
      <c r="B351" s="49" t="s">
        <v>3995</v>
      </c>
      <c r="C351" s="49" t="s">
        <v>3837</v>
      </c>
      <c r="D351" s="49" t="s">
        <v>1264</v>
      </c>
      <c r="E351" s="49" t="s">
        <v>3996</v>
      </c>
      <c r="F351" s="49" t="s">
        <v>3005</v>
      </c>
      <c r="G351" s="49" t="s">
        <v>3997</v>
      </c>
      <c r="H351" s="49" t="s">
        <v>980</v>
      </c>
      <c r="M351" s="49" t="s">
        <v>3998</v>
      </c>
    </row>
    <row r="352" spans="1:13" x14ac:dyDescent="0.35">
      <c r="A352" s="49" t="s">
        <v>3999</v>
      </c>
      <c r="B352" s="49" t="s">
        <v>4000</v>
      </c>
      <c r="C352" s="49" t="s">
        <v>4001</v>
      </c>
      <c r="D352" s="49" t="s">
        <v>1264</v>
      </c>
      <c r="E352" s="49" t="s">
        <v>2774</v>
      </c>
      <c r="F352" s="49" t="s">
        <v>2825</v>
      </c>
      <c r="G352" s="49" t="s">
        <v>2787</v>
      </c>
      <c r="H352" s="49" t="s">
        <v>2827</v>
      </c>
      <c r="I352" s="50">
        <v>43871</v>
      </c>
      <c r="J352" s="50">
        <v>44075</v>
      </c>
      <c r="K352" s="50">
        <v>45169</v>
      </c>
      <c r="M352" s="49" t="s">
        <v>4002</v>
      </c>
    </row>
    <row r="353" spans="1:13" x14ac:dyDescent="0.35">
      <c r="A353" s="49" t="s">
        <v>4003</v>
      </c>
      <c r="C353" s="49" t="s">
        <v>4004</v>
      </c>
      <c r="D353" s="49" t="s">
        <v>1264</v>
      </c>
      <c r="E353" s="49" t="s">
        <v>2814</v>
      </c>
      <c r="F353" s="49" t="s">
        <v>2825</v>
      </c>
      <c r="G353" s="49" t="s">
        <v>2787</v>
      </c>
      <c r="H353" s="49" t="s">
        <v>2827</v>
      </c>
      <c r="I353" s="50">
        <v>43874</v>
      </c>
      <c r="J353" s="50">
        <v>44146</v>
      </c>
      <c r="K353" s="50">
        <v>44326</v>
      </c>
      <c r="M353" s="49" t="s">
        <v>4005</v>
      </c>
    </row>
    <row r="354" spans="1:13" x14ac:dyDescent="0.35">
      <c r="A354" s="49" t="s">
        <v>4006</v>
      </c>
      <c r="C354" s="49" t="s">
        <v>4007</v>
      </c>
      <c r="D354" s="49" t="s">
        <v>1264</v>
      </c>
      <c r="E354" s="49" t="s">
        <v>2785</v>
      </c>
      <c r="F354" s="49" t="s">
        <v>2786</v>
      </c>
      <c r="G354" s="49" t="s">
        <v>2787</v>
      </c>
      <c r="H354" s="49" t="s">
        <v>980</v>
      </c>
      <c r="I354" s="50">
        <v>43881</v>
      </c>
      <c r="J354" s="50">
        <v>43959</v>
      </c>
      <c r="K354" s="50">
        <v>44323</v>
      </c>
      <c r="M354" s="49" t="s">
        <v>4008</v>
      </c>
    </row>
    <row r="355" spans="1:13" x14ac:dyDescent="0.35">
      <c r="A355" s="49" t="s">
        <v>4009</v>
      </c>
      <c r="B355" s="49" t="s">
        <v>4010</v>
      </c>
      <c r="C355" s="49" t="s">
        <v>4011</v>
      </c>
      <c r="D355" s="49" t="s">
        <v>1264</v>
      </c>
      <c r="E355" s="49" t="s">
        <v>2774</v>
      </c>
      <c r="F355" s="49" t="s">
        <v>2825</v>
      </c>
      <c r="G355" s="49" t="s">
        <v>2921</v>
      </c>
      <c r="H355" s="49" t="s">
        <v>2827</v>
      </c>
      <c r="I355" s="50">
        <v>43882</v>
      </c>
      <c r="J355" s="50">
        <v>43886</v>
      </c>
      <c r="K355" s="50">
        <v>45346</v>
      </c>
      <c r="M355" s="49" t="s">
        <v>4012</v>
      </c>
    </row>
    <row r="356" spans="1:13" x14ac:dyDescent="0.35">
      <c r="A356" s="49" t="s">
        <v>4013</v>
      </c>
      <c r="B356" s="49" t="s">
        <v>4014</v>
      </c>
      <c r="C356" s="49" t="s">
        <v>4015</v>
      </c>
      <c r="D356" s="49" t="s">
        <v>1264</v>
      </c>
      <c r="E356" s="49" t="s">
        <v>2785</v>
      </c>
      <c r="F356" s="49" t="s">
        <v>2792</v>
      </c>
      <c r="G356" s="49" t="s">
        <v>2787</v>
      </c>
      <c r="H356" s="49" t="s">
        <v>8</v>
      </c>
      <c r="I356" s="50">
        <v>43895</v>
      </c>
      <c r="J356" s="50">
        <v>44168</v>
      </c>
      <c r="K356" s="50">
        <v>44533</v>
      </c>
      <c r="M356" s="49" t="s">
        <v>4016</v>
      </c>
    </row>
    <row r="357" spans="1:13" x14ac:dyDescent="0.35">
      <c r="A357" s="49" t="s">
        <v>4017</v>
      </c>
      <c r="B357" s="49" t="s">
        <v>4018</v>
      </c>
      <c r="C357" s="49" t="s">
        <v>4019</v>
      </c>
      <c r="D357" s="49" t="s">
        <v>1264</v>
      </c>
      <c r="E357" s="49" t="s">
        <v>2908</v>
      </c>
      <c r="F357" s="49" t="s">
        <v>2837</v>
      </c>
      <c r="G357" s="49" t="s">
        <v>2975</v>
      </c>
      <c r="H357" s="49" t="s">
        <v>980</v>
      </c>
      <c r="I357" s="50">
        <v>43896</v>
      </c>
      <c r="J357" s="50">
        <v>43916</v>
      </c>
      <c r="K357" s="50">
        <v>44862</v>
      </c>
      <c r="M357" s="49" t="s">
        <v>4020</v>
      </c>
    </row>
    <row r="358" spans="1:13" x14ac:dyDescent="0.35">
      <c r="A358" s="49" t="s">
        <v>4021</v>
      </c>
      <c r="B358" s="49" t="s">
        <v>4022</v>
      </c>
      <c r="C358" s="49" t="s">
        <v>686</v>
      </c>
      <c r="D358" s="49" t="s">
        <v>1264</v>
      </c>
      <c r="E358" s="49" t="s">
        <v>2974</v>
      </c>
      <c r="F358" s="49" t="s">
        <v>2825</v>
      </c>
      <c r="G358" s="49" t="s">
        <v>2901</v>
      </c>
      <c r="H358" s="49" t="s">
        <v>2827</v>
      </c>
      <c r="I358" s="50">
        <v>43902</v>
      </c>
      <c r="J358" s="50">
        <v>43887</v>
      </c>
      <c r="K358" s="50">
        <v>45713</v>
      </c>
      <c r="M358" s="49" t="s">
        <v>4023</v>
      </c>
    </row>
    <row r="359" spans="1:13" x14ac:dyDescent="0.35">
      <c r="A359" s="49" t="s">
        <v>4024</v>
      </c>
      <c r="B359" s="49" t="s">
        <v>4025</v>
      </c>
      <c r="C359" s="49" t="s">
        <v>4026</v>
      </c>
      <c r="D359" s="49" t="s">
        <v>1264</v>
      </c>
      <c r="E359" s="49" t="s">
        <v>2785</v>
      </c>
      <c r="F359" s="49" t="s">
        <v>2792</v>
      </c>
      <c r="G359" s="49" t="s">
        <v>2787</v>
      </c>
      <c r="H359" s="49" t="s">
        <v>8</v>
      </c>
      <c r="I359" s="50">
        <v>43931</v>
      </c>
      <c r="J359" s="50">
        <v>44186</v>
      </c>
      <c r="K359" s="50">
        <v>44551</v>
      </c>
      <c r="M359" s="49" t="s">
        <v>4027</v>
      </c>
    </row>
    <row r="360" spans="1:13" x14ac:dyDescent="0.35">
      <c r="A360" s="49" t="s">
        <v>4028</v>
      </c>
      <c r="B360" s="49" t="s">
        <v>4029</v>
      </c>
      <c r="C360" s="49" t="s">
        <v>4030</v>
      </c>
      <c r="D360" s="49" t="s">
        <v>1264</v>
      </c>
      <c r="E360" s="49" t="s">
        <v>2785</v>
      </c>
      <c r="F360" s="49" t="s">
        <v>2805</v>
      </c>
      <c r="G360" s="49" t="s">
        <v>2787</v>
      </c>
      <c r="H360" s="49" t="s">
        <v>864</v>
      </c>
      <c r="I360" s="50">
        <v>43942</v>
      </c>
      <c r="J360" s="50">
        <v>44006</v>
      </c>
      <c r="K360" s="50">
        <v>44370</v>
      </c>
      <c r="M360" s="49" t="s">
        <v>4031</v>
      </c>
    </row>
    <row r="361" spans="1:13" x14ac:dyDescent="0.35">
      <c r="A361" s="49" t="s">
        <v>4032</v>
      </c>
      <c r="B361" s="49" t="s">
        <v>3411</v>
      </c>
      <c r="C361" s="49" t="s">
        <v>4033</v>
      </c>
      <c r="D361" s="49" t="s">
        <v>1264</v>
      </c>
      <c r="E361" s="49" t="s">
        <v>2974</v>
      </c>
      <c r="F361" s="49" t="s">
        <v>2825</v>
      </c>
      <c r="G361" s="49" t="s">
        <v>2776</v>
      </c>
      <c r="H361" s="49" t="s">
        <v>2827</v>
      </c>
      <c r="I361" s="50">
        <v>40750</v>
      </c>
      <c r="M361" s="49" t="s">
        <v>4034</v>
      </c>
    </row>
    <row r="362" spans="1:13" x14ac:dyDescent="0.35">
      <c r="A362" s="49" t="s">
        <v>4035</v>
      </c>
      <c r="B362" s="49" t="s">
        <v>4036</v>
      </c>
      <c r="C362" s="49" t="s">
        <v>3120</v>
      </c>
      <c r="D362" s="49" t="s">
        <v>1264</v>
      </c>
      <c r="E362" s="49" t="s">
        <v>2774</v>
      </c>
      <c r="F362" s="49" t="s">
        <v>2825</v>
      </c>
      <c r="G362" s="49" t="s">
        <v>2787</v>
      </c>
      <c r="H362" s="49" t="s">
        <v>2827</v>
      </c>
      <c r="I362" s="50">
        <v>43962</v>
      </c>
      <c r="J362" s="50">
        <v>44179</v>
      </c>
      <c r="K362" s="50">
        <v>45119</v>
      </c>
      <c r="M362" s="49" t="s">
        <v>4037</v>
      </c>
    </row>
    <row r="363" spans="1:13" x14ac:dyDescent="0.35">
      <c r="A363" s="49" t="s">
        <v>4038</v>
      </c>
      <c r="B363" s="49" t="s">
        <v>4039</v>
      </c>
      <c r="C363" s="49" t="s">
        <v>4040</v>
      </c>
      <c r="D363" s="49" t="s">
        <v>1264</v>
      </c>
      <c r="E363" s="49" t="s">
        <v>2774</v>
      </c>
      <c r="F363" s="49" t="s">
        <v>2825</v>
      </c>
      <c r="G363" s="49" t="s">
        <v>2901</v>
      </c>
      <c r="H363" s="49" t="s">
        <v>973</v>
      </c>
      <c r="I363" s="50">
        <v>43969</v>
      </c>
      <c r="J363" s="50">
        <v>44292</v>
      </c>
      <c r="K363" s="50">
        <v>45752</v>
      </c>
      <c r="M363" s="49" t="s">
        <v>4041</v>
      </c>
    </row>
    <row r="364" spans="1:13" x14ac:dyDescent="0.35">
      <c r="A364" s="49" t="s">
        <v>4042</v>
      </c>
      <c r="B364" s="49" t="s">
        <v>4043</v>
      </c>
      <c r="C364" s="49" t="s">
        <v>4044</v>
      </c>
      <c r="D364" s="49" t="s">
        <v>1264</v>
      </c>
      <c r="E364" s="49" t="s">
        <v>2814</v>
      </c>
      <c r="F364" s="49" t="s">
        <v>2825</v>
      </c>
      <c r="G364" s="49" t="s">
        <v>2787</v>
      </c>
      <c r="H364" s="49" t="s">
        <v>2827</v>
      </c>
      <c r="I364" s="50">
        <v>43977</v>
      </c>
      <c r="J364" s="50">
        <v>43980</v>
      </c>
      <c r="K364" s="50">
        <v>44341</v>
      </c>
      <c r="M364" s="49" t="s">
        <v>4045</v>
      </c>
    </row>
    <row r="365" spans="1:13" x14ac:dyDescent="0.35">
      <c r="A365" s="49" t="s">
        <v>4046</v>
      </c>
      <c r="C365" s="49" t="s">
        <v>4047</v>
      </c>
      <c r="D365" s="49" t="s">
        <v>1264</v>
      </c>
      <c r="E365" s="49" t="s">
        <v>2785</v>
      </c>
      <c r="F365" s="49" t="s">
        <v>4048</v>
      </c>
      <c r="G365" s="49" t="s">
        <v>2787</v>
      </c>
      <c r="H365" s="49" t="s">
        <v>2827</v>
      </c>
      <c r="I365" s="50">
        <v>43984</v>
      </c>
      <c r="J365" s="50">
        <v>44211</v>
      </c>
      <c r="K365" s="50">
        <v>45428</v>
      </c>
      <c r="M365" s="49" t="s">
        <v>4049</v>
      </c>
    </row>
    <row r="366" spans="1:13" x14ac:dyDescent="0.35">
      <c r="A366" s="49" t="s">
        <v>4050</v>
      </c>
      <c r="C366" s="49" t="s">
        <v>4051</v>
      </c>
      <c r="D366" s="49" t="s">
        <v>1264</v>
      </c>
      <c r="E366" s="49" t="s">
        <v>2814</v>
      </c>
      <c r="F366" s="49" t="s">
        <v>2825</v>
      </c>
      <c r="G366" s="49" t="s">
        <v>2787</v>
      </c>
      <c r="H366" s="49" t="s">
        <v>2827</v>
      </c>
      <c r="I366" s="50">
        <v>43986</v>
      </c>
      <c r="J366" s="50">
        <v>44196</v>
      </c>
      <c r="K366" s="50">
        <v>44376</v>
      </c>
      <c r="M366" s="49" t="s">
        <v>4052</v>
      </c>
    </row>
    <row r="367" spans="1:13" x14ac:dyDescent="0.35">
      <c r="A367" s="49" t="s">
        <v>4053</v>
      </c>
      <c r="B367" s="49" t="s">
        <v>2809</v>
      </c>
      <c r="C367" s="49" t="s">
        <v>4054</v>
      </c>
      <c r="D367" s="49" t="s">
        <v>1264</v>
      </c>
      <c r="E367" s="49" t="s">
        <v>2785</v>
      </c>
      <c r="F367" s="49" t="s">
        <v>2792</v>
      </c>
      <c r="G367" s="49" t="s">
        <v>2787</v>
      </c>
      <c r="H367" s="49" t="s">
        <v>980</v>
      </c>
      <c r="I367" s="50">
        <v>43999</v>
      </c>
      <c r="J367" s="50">
        <v>44145</v>
      </c>
      <c r="K367" s="50">
        <v>44510</v>
      </c>
      <c r="M367" s="49" t="s">
        <v>4055</v>
      </c>
    </row>
    <row r="368" spans="1:13" x14ac:dyDescent="0.35">
      <c r="A368" s="49" t="s">
        <v>4056</v>
      </c>
      <c r="C368" s="49" t="s">
        <v>4057</v>
      </c>
      <c r="D368" s="49" t="s">
        <v>1264</v>
      </c>
      <c r="E368" s="49" t="s">
        <v>2785</v>
      </c>
      <c r="F368" s="49" t="s">
        <v>2792</v>
      </c>
      <c r="G368" s="49" t="s">
        <v>2787</v>
      </c>
      <c r="H368" s="49" t="s">
        <v>835</v>
      </c>
      <c r="I368" s="50">
        <v>43999</v>
      </c>
      <c r="J368" s="50">
        <v>44027</v>
      </c>
      <c r="K368" s="50">
        <v>44391</v>
      </c>
      <c r="M368" s="49" t="s">
        <v>4058</v>
      </c>
    </row>
    <row r="369" spans="1:13" x14ac:dyDescent="0.35">
      <c r="A369" s="49" t="s">
        <v>4059</v>
      </c>
      <c r="B369" s="49" t="s">
        <v>4060</v>
      </c>
      <c r="C369" s="49" t="s">
        <v>4061</v>
      </c>
      <c r="D369" s="49" t="s">
        <v>1264</v>
      </c>
      <c r="E369" s="49" t="s">
        <v>2785</v>
      </c>
      <c r="F369" s="49" t="s">
        <v>2792</v>
      </c>
      <c r="G369" s="49" t="s">
        <v>2787</v>
      </c>
      <c r="H369" s="49" t="s">
        <v>8</v>
      </c>
      <c r="I369" s="50">
        <v>44004</v>
      </c>
      <c r="J369" s="50">
        <v>44165</v>
      </c>
      <c r="K369" s="50">
        <v>45428</v>
      </c>
      <c r="M369" s="49" t="s">
        <v>4062</v>
      </c>
    </row>
    <row r="370" spans="1:13" x14ac:dyDescent="0.35">
      <c r="A370" s="49" t="s">
        <v>4063</v>
      </c>
      <c r="B370" s="49" t="s">
        <v>3962</v>
      </c>
      <c r="C370" s="49" t="s">
        <v>4064</v>
      </c>
      <c r="D370" s="49" t="s">
        <v>1264</v>
      </c>
      <c r="E370" s="49" t="s">
        <v>2785</v>
      </c>
      <c r="F370" s="49" t="s">
        <v>2792</v>
      </c>
      <c r="G370" s="49" t="s">
        <v>2787</v>
      </c>
      <c r="H370" s="49" t="s">
        <v>980</v>
      </c>
      <c r="I370" s="50">
        <v>44006</v>
      </c>
      <c r="J370" s="50">
        <v>44103</v>
      </c>
      <c r="K370" s="50">
        <v>44468</v>
      </c>
      <c r="M370" s="49" t="s">
        <v>4065</v>
      </c>
    </row>
    <row r="371" spans="1:13" x14ac:dyDescent="0.35">
      <c r="A371" s="49" t="s">
        <v>4066</v>
      </c>
      <c r="B371" s="49" t="s">
        <v>4067</v>
      </c>
      <c r="C371" s="49" t="s">
        <v>3693</v>
      </c>
      <c r="D371" s="49" t="s">
        <v>1264</v>
      </c>
      <c r="E371" s="49" t="s">
        <v>2814</v>
      </c>
      <c r="F371" s="49" t="s">
        <v>2825</v>
      </c>
      <c r="G371" s="49" t="s">
        <v>2787</v>
      </c>
      <c r="H371" s="49" t="s">
        <v>2827</v>
      </c>
      <c r="I371" s="50">
        <v>44011</v>
      </c>
      <c r="J371" s="50">
        <v>44159</v>
      </c>
      <c r="K371" s="50">
        <v>44339</v>
      </c>
      <c r="M371" s="49" t="s">
        <v>4068</v>
      </c>
    </row>
    <row r="372" spans="1:13" x14ac:dyDescent="0.35">
      <c r="A372" s="49" t="s">
        <v>4069</v>
      </c>
      <c r="B372" s="49" t="s">
        <v>4060</v>
      </c>
      <c r="C372" s="49" t="s">
        <v>4070</v>
      </c>
      <c r="D372" s="49" t="s">
        <v>1264</v>
      </c>
      <c r="E372" s="49" t="s">
        <v>2785</v>
      </c>
      <c r="F372" s="49" t="s">
        <v>2792</v>
      </c>
      <c r="G372" s="49" t="s">
        <v>2787</v>
      </c>
      <c r="H372" s="49" t="s">
        <v>8</v>
      </c>
      <c r="I372" s="50">
        <v>44013</v>
      </c>
      <c r="J372" s="50">
        <v>44249</v>
      </c>
      <c r="K372" s="50">
        <v>44430</v>
      </c>
      <c r="M372" s="49" t="s">
        <v>4071</v>
      </c>
    </row>
    <row r="373" spans="1:13" x14ac:dyDescent="0.35">
      <c r="A373" s="49" t="s">
        <v>4072</v>
      </c>
      <c r="B373" s="49" t="s">
        <v>2867</v>
      </c>
      <c r="C373" s="49" t="s">
        <v>4070</v>
      </c>
      <c r="D373" s="49" t="s">
        <v>1264</v>
      </c>
      <c r="E373" s="49" t="s">
        <v>2785</v>
      </c>
      <c r="F373" s="49" t="s">
        <v>2792</v>
      </c>
      <c r="G373" s="49" t="s">
        <v>2787</v>
      </c>
      <c r="H373" s="49" t="s">
        <v>8</v>
      </c>
      <c r="I373" s="50">
        <v>44013</v>
      </c>
      <c r="J373" s="50">
        <v>44175</v>
      </c>
      <c r="K373" s="50">
        <v>44426</v>
      </c>
      <c r="M373" s="49" t="s">
        <v>4073</v>
      </c>
    </row>
    <row r="374" spans="1:13" x14ac:dyDescent="0.35">
      <c r="A374" s="49" t="s">
        <v>4074</v>
      </c>
      <c r="B374" s="49" t="s">
        <v>2818</v>
      </c>
      <c r="C374" s="49" t="s">
        <v>4075</v>
      </c>
      <c r="D374" s="49" t="s">
        <v>1264</v>
      </c>
      <c r="E374" s="49" t="s">
        <v>2785</v>
      </c>
      <c r="F374" s="49" t="s">
        <v>2792</v>
      </c>
      <c r="G374" s="49" t="s">
        <v>2787</v>
      </c>
      <c r="H374" s="49" t="s">
        <v>8</v>
      </c>
      <c r="I374" s="50">
        <v>44013</v>
      </c>
      <c r="J374" s="50">
        <v>44015</v>
      </c>
      <c r="K374" s="50">
        <v>44379</v>
      </c>
      <c r="M374" s="49" t="s">
        <v>4076</v>
      </c>
    </row>
    <row r="375" spans="1:13" x14ac:dyDescent="0.35">
      <c r="A375" s="49" t="s">
        <v>4077</v>
      </c>
      <c r="B375" s="49" t="s">
        <v>3962</v>
      </c>
      <c r="C375" s="49" t="s">
        <v>1048</v>
      </c>
      <c r="D375" s="49" t="s">
        <v>1264</v>
      </c>
      <c r="E375" s="49" t="s">
        <v>2785</v>
      </c>
      <c r="F375" s="49" t="s">
        <v>2792</v>
      </c>
      <c r="G375" s="49" t="s">
        <v>2787</v>
      </c>
      <c r="H375" s="49" t="s">
        <v>980</v>
      </c>
      <c r="I375" s="50">
        <v>44014</v>
      </c>
      <c r="J375" s="50">
        <v>44145</v>
      </c>
      <c r="K375" s="50">
        <v>44510</v>
      </c>
      <c r="M375" s="49" t="s">
        <v>4078</v>
      </c>
    </row>
    <row r="376" spans="1:13" x14ac:dyDescent="0.35">
      <c r="A376" s="49" t="s">
        <v>4079</v>
      </c>
      <c r="B376" s="49" t="s">
        <v>2818</v>
      </c>
      <c r="C376" s="49" t="s">
        <v>4080</v>
      </c>
      <c r="D376" s="49" t="s">
        <v>1264</v>
      </c>
      <c r="E376" s="49" t="s">
        <v>2785</v>
      </c>
      <c r="F376" s="49" t="s">
        <v>2792</v>
      </c>
      <c r="G376" s="49" t="s">
        <v>2787</v>
      </c>
      <c r="H376" s="49" t="s">
        <v>8</v>
      </c>
      <c r="I376" s="50">
        <v>44019</v>
      </c>
      <c r="J376" s="50">
        <v>44021</v>
      </c>
      <c r="K376" s="50">
        <v>44385</v>
      </c>
      <c r="M376" s="49" t="s">
        <v>4081</v>
      </c>
    </row>
    <row r="377" spans="1:13" x14ac:dyDescent="0.35">
      <c r="A377" s="49" t="s">
        <v>4082</v>
      </c>
      <c r="B377" s="49" t="s">
        <v>2884</v>
      </c>
      <c r="C377" s="49" t="s">
        <v>4083</v>
      </c>
      <c r="D377" s="49" t="s">
        <v>1264</v>
      </c>
      <c r="E377" s="49" t="s">
        <v>2785</v>
      </c>
      <c r="F377" s="49" t="s">
        <v>2792</v>
      </c>
      <c r="G377" s="49" t="s">
        <v>2787</v>
      </c>
      <c r="H377" s="49" t="s">
        <v>8</v>
      </c>
      <c r="I377" s="50">
        <v>44020</v>
      </c>
      <c r="J377" s="50">
        <v>44165</v>
      </c>
      <c r="K377" s="50">
        <v>44530</v>
      </c>
      <c r="M377" s="49" t="s">
        <v>4084</v>
      </c>
    </row>
    <row r="378" spans="1:13" x14ac:dyDescent="0.35">
      <c r="A378" s="49" t="s">
        <v>4085</v>
      </c>
      <c r="C378" s="49" t="s">
        <v>4086</v>
      </c>
      <c r="D378" s="49" t="s">
        <v>1264</v>
      </c>
      <c r="E378" s="49" t="s">
        <v>2785</v>
      </c>
      <c r="F378" s="49" t="s">
        <v>2786</v>
      </c>
      <c r="G378" s="49" t="s">
        <v>2787</v>
      </c>
      <c r="H378" s="49" t="s">
        <v>835</v>
      </c>
      <c r="I378" s="50">
        <v>44027</v>
      </c>
      <c r="J378" s="50">
        <v>44089</v>
      </c>
      <c r="K378" s="50">
        <v>44453</v>
      </c>
      <c r="M378" s="49" t="s">
        <v>4087</v>
      </c>
    </row>
    <row r="379" spans="1:13" x14ac:dyDescent="0.35">
      <c r="A379" s="49" t="s">
        <v>4088</v>
      </c>
      <c r="B379" s="49" t="s">
        <v>2809</v>
      </c>
      <c r="C379" s="49" t="s">
        <v>2810</v>
      </c>
      <c r="D379" s="49" t="s">
        <v>1264</v>
      </c>
      <c r="E379" s="49" t="s">
        <v>2785</v>
      </c>
      <c r="F379" s="49" t="s">
        <v>2792</v>
      </c>
      <c r="G379" s="49" t="s">
        <v>2787</v>
      </c>
      <c r="H379" s="49" t="s">
        <v>980</v>
      </c>
      <c r="I379" s="50">
        <v>44032</v>
      </c>
      <c r="J379" s="50">
        <v>44229</v>
      </c>
      <c r="K379" s="50">
        <v>45428</v>
      </c>
      <c r="M379" s="49" t="s">
        <v>4089</v>
      </c>
    </row>
    <row r="380" spans="1:13" x14ac:dyDescent="0.35">
      <c r="A380" s="49" t="s">
        <v>4090</v>
      </c>
      <c r="B380" s="49" t="s">
        <v>4091</v>
      </c>
      <c r="C380" s="49" t="s">
        <v>4092</v>
      </c>
      <c r="D380" s="49" t="s">
        <v>1264</v>
      </c>
      <c r="E380" s="49" t="s">
        <v>2986</v>
      </c>
      <c r="F380" s="49" t="s">
        <v>2825</v>
      </c>
      <c r="G380" s="49" t="s">
        <v>2921</v>
      </c>
      <c r="H380" s="49" t="s">
        <v>2827</v>
      </c>
      <c r="I380" s="50">
        <v>44032</v>
      </c>
      <c r="J380" s="50">
        <v>42537</v>
      </c>
      <c r="K380" s="50">
        <v>43633</v>
      </c>
      <c r="M380" s="49" t="s">
        <v>4093</v>
      </c>
    </row>
    <row r="381" spans="1:13" x14ac:dyDescent="0.35">
      <c r="A381" s="49" t="s">
        <v>4094</v>
      </c>
      <c r="B381" s="49" t="s">
        <v>2818</v>
      </c>
      <c r="C381" s="49" t="s">
        <v>4095</v>
      </c>
      <c r="D381" s="49" t="s">
        <v>1264</v>
      </c>
      <c r="E381" s="49" t="s">
        <v>2785</v>
      </c>
      <c r="F381" s="49" t="s">
        <v>2792</v>
      </c>
      <c r="G381" s="49" t="s">
        <v>2787</v>
      </c>
      <c r="H381" s="49" t="s">
        <v>8</v>
      </c>
      <c r="I381" s="50">
        <v>44033</v>
      </c>
      <c r="J381" s="50">
        <v>44151</v>
      </c>
      <c r="K381" s="50">
        <v>45428</v>
      </c>
      <c r="M381" s="49" t="s">
        <v>4096</v>
      </c>
    </row>
    <row r="382" spans="1:13" x14ac:dyDescent="0.35">
      <c r="A382" s="49" t="s">
        <v>4097</v>
      </c>
      <c r="B382" s="49" t="s">
        <v>4098</v>
      </c>
      <c r="C382" s="49" t="s">
        <v>4099</v>
      </c>
      <c r="D382" s="49" t="s">
        <v>1264</v>
      </c>
      <c r="E382" s="49" t="s">
        <v>2785</v>
      </c>
      <c r="F382" s="49" t="s">
        <v>2792</v>
      </c>
      <c r="G382" s="49" t="s">
        <v>2787</v>
      </c>
      <c r="H382" s="49" t="s">
        <v>835</v>
      </c>
      <c r="I382" s="50">
        <v>44034</v>
      </c>
      <c r="J382" s="50">
        <v>44580</v>
      </c>
      <c r="K382" s="50">
        <v>45309</v>
      </c>
      <c r="M382" s="49" t="s">
        <v>4100</v>
      </c>
    </row>
    <row r="383" spans="1:13" x14ac:dyDescent="0.35">
      <c r="A383" s="49" t="s">
        <v>4101</v>
      </c>
      <c r="B383" s="49" t="s">
        <v>4102</v>
      </c>
      <c r="C383" s="49" t="s">
        <v>4103</v>
      </c>
      <c r="D383" s="49" t="s">
        <v>1264</v>
      </c>
      <c r="E383" s="49" t="s">
        <v>2814</v>
      </c>
      <c r="F383" s="49" t="s">
        <v>2825</v>
      </c>
      <c r="G383" s="49" t="s">
        <v>2787</v>
      </c>
      <c r="H383" s="49" t="s">
        <v>2827</v>
      </c>
      <c r="I383" s="50">
        <v>44035</v>
      </c>
      <c r="J383" s="50">
        <v>44138</v>
      </c>
      <c r="K383" s="50">
        <v>44502</v>
      </c>
      <c r="M383" s="49" t="s">
        <v>4104</v>
      </c>
    </row>
    <row r="384" spans="1:13" x14ac:dyDescent="0.35">
      <c r="A384" s="49" t="s">
        <v>4105</v>
      </c>
      <c r="C384" s="49" t="s">
        <v>4106</v>
      </c>
      <c r="D384" s="49" t="s">
        <v>1264</v>
      </c>
      <c r="E384" s="49" t="s">
        <v>2785</v>
      </c>
      <c r="F384" s="49" t="s">
        <v>2786</v>
      </c>
      <c r="G384" s="49" t="s">
        <v>2787</v>
      </c>
      <c r="H384" s="49" t="s">
        <v>835</v>
      </c>
      <c r="I384" s="50">
        <v>44048</v>
      </c>
      <c r="J384" s="50">
        <v>44090</v>
      </c>
      <c r="K384" s="50">
        <v>44454</v>
      </c>
      <c r="M384" s="49" t="s">
        <v>4107</v>
      </c>
    </row>
    <row r="385" spans="1:13" x14ac:dyDescent="0.35">
      <c r="A385" s="49" t="s">
        <v>4108</v>
      </c>
      <c r="B385" s="49" t="s">
        <v>4109</v>
      </c>
      <c r="C385" s="49" t="s">
        <v>4110</v>
      </c>
      <c r="D385" s="49" t="s">
        <v>1264</v>
      </c>
      <c r="E385" s="49" t="s">
        <v>2986</v>
      </c>
      <c r="F385" s="49" t="s">
        <v>2825</v>
      </c>
      <c r="G385" s="49" t="s">
        <v>2820</v>
      </c>
      <c r="H385" s="49" t="s">
        <v>2827</v>
      </c>
      <c r="I385" s="50">
        <v>44049</v>
      </c>
      <c r="J385" s="50">
        <v>42872</v>
      </c>
      <c r="K385" s="50">
        <v>45353</v>
      </c>
      <c r="M385" s="49" t="s">
        <v>4111</v>
      </c>
    </row>
    <row r="386" spans="1:13" x14ac:dyDescent="0.35">
      <c r="A386" s="49" t="s">
        <v>4112</v>
      </c>
      <c r="C386" s="49" t="s">
        <v>4113</v>
      </c>
      <c r="D386" s="49" t="s">
        <v>1264</v>
      </c>
      <c r="E386" s="49" t="s">
        <v>2814</v>
      </c>
      <c r="F386" s="49" t="s">
        <v>2825</v>
      </c>
      <c r="G386" s="49" t="s">
        <v>2787</v>
      </c>
      <c r="H386" s="49" t="s">
        <v>2827</v>
      </c>
      <c r="I386" s="50">
        <v>44056</v>
      </c>
      <c r="J386" s="50">
        <v>44217</v>
      </c>
      <c r="K386" s="50">
        <v>44397</v>
      </c>
      <c r="M386" s="49" t="s">
        <v>4114</v>
      </c>
    </row>
    <row r="387" spans="1:13" x14ac:dyDescent="0.35">
      <c r="A387" s="49" t="s">
        <v>4115</v>
      </c>
      <c r="B387" s="49" t="s">
        <v>4116</v>
      </c>
      <c r="C387" s="49" t="s">
        <v>4117</v>
      </c>
      <c r="D387" s="49" t="s">
        <v>1264</v>
      </c>
      <c r="E387" s="49" t="s">
        <v>2785</v>
      </c>
      <c r="F387" s="49" t="s">
        <v>2792</v>
      </c>
      <c r="G387" s="49" t="s">
        <v>2787</v>
      </c>
      <c r="H387" s="49" t="s">
        <v>835</v>
      </c>
      <c r="I387" s="50">
        <v>44069</v>
      </c>
      <c r="J387" s="50">
        <v>44089</v>
      </c>
      <c r="K387" s="50">
        <v>44454</v>
      </c>
      <c r="M387" s="49" t="s">
        <v>4118</v>
      </c>
    </row>
    <row r="388" spans="1:13" x14ac:dyDescent="0.35">
      <c r="A388" s="49" t="s">
        <v>4119</v>
      </c>
      <c r="B388" s="49" t="s">
        <v>3468</v>
      </c>
      <c r="C388" s="49" t="s">
        <v>4120</v>
      </c>
      <c r="D388" s="49" t="s">
        <v>1264</v>
      </c>
      <c r="E388" s="49" t="s">
        <v>3443</v>
      </c>
      <c r="F388" s="49" t="s">
        <v>3124</v>
      </c>
      <c r="G388" s="49" t="s">
        <v>2901</v>
      </c>
      <c r="H388" s="49" t="s">
        <v>980</v>
      </c>
      <c r="I388" s="50">
        <v>44069</v>
      </c>
      <c r="J388" s="50">
        <v>44116</v>
      </c>
      <c r="K388" s="50">
        <v>45941</v>
      </c>
      <c r="M388" s="49" t="s">
        <v>4121</v>
      </c>
    </row>
    <row r="389" spans="1:13" x14ac:dyDescent="0.35">
      <c r="A389" s="49" t="s">
        <v>4122</v>
      </c>
      <c r="B389" s="49" t="s">
        <v>4123</v>
      </c>
      <c r="C389" s="49" t="s">
        <v>4124</v>
      </c>
      <c r="D389" s="49" t="s">
        <v>1264</v>
      </c>
      <c r="E389" s="49" t="s">
        <v>2774</v>
      </c>
      <c r="F389" s="49" t="s">
        <v>2900</v>
      </c>
      <c r="G389" s="49" t="s">
        <v>2787</v>
      </c>
      <c r="H389" s="49" t="s">
        <v>2806</v>
      </c>
      <c r="I389" s="50">
        <v>40719</v>
      </c>
      <c r="J389" s="50">
        <v>40739</v>
      </c>
      <c r="K389" s="50">
        <v>45145</v>
      </c>
      <c r="M389" s="49" t="s">
        <v>4125</v>
      </c>
    </row>
    <row r="390" spans="1:13" x14ac:dyDescent="0.35">
      <c r="A390" s="49" t="s">
        <v>4126</v>
      </c>
      <c r="B390" s="49" t="s">
        <v>4127</v>
      </c>
      <c r="C390" s="49" t="s">
        <v>4128</v>
      </c>
      <c r="D390" s="49" t="s">
        <v>1264</v>
      </c>
      <c r="E390" s="49" t="s">
        <v>2774</v>
      </c>
      <c r="F390" s="49" t="s">
        <v>2900</v>
      </c>
      <c r="G390" s="49" t="s">
        <v>2787</v>
      </c>
      <c r="H390" s="49" t="s">
        <v>980</v>
      </c>
      <c r="I390" s="50">
        <v>44098</v>
      </c>
      <c r="J390" s="50">
        <v>44132</v>
      </c>
      <c r="K390" s="50">
        <v>45592</v>
      </c>
      <c r="M390" s="49" t="s">
        <v>4129</v>
      </c>
    </row>
    <row r="391" spans="1:13" x14ac:dyDescent="0.35">
      <c r="A391" s="49" t="s">
        <v>4130</v>
      </c>
      <c r="B391" s="49" t="s">
        <v>4131</v>
      </c>
      <c r="C391" s="49" t="s">
        <v>4132</v>
      </c>
      <c r="D391" s="49" t="s">
        <v>1264</v>
      </c>
      <c r="E391" s="49" t="s">
        <v>2774</v>
      </c>
      <c r="F391" s="49" t="s">
        <v>2825</v>
      </c>
      <c r="G391" s="49" t="s">
        <v>2921</v>
      </c>
      <c r="H391" s="49" t="s">
        <v>2827</v>
      </c>
      <c r="I391" s="50">
        <v>44104</v>
      </c>
      <c r="J391" s="50">
        <v>44119</v>
      </c>
      <c r="K391" s="50">
        <v>45579</v>
      </c>
      <c r="M391" s="49" t="s">
        <v>4133</v>
      </c>
    </row>
    <row r="392" spans="1:13" x14ac:dyDescent="0.35">
      <c r="A392" s="49" t="s">
        <v>4134</v>
      </c>
      <c r="B392" s="49" t="s">
        <v>4135</v>
      </c>
      <c r="C392" s="49" t="s">
        <v>4120</v>
      </c>
      <c r="D392" s="49" t="s">
        <v>1264</v>
      </c>
      <c r="E392" s="49" t="s">
        <v>2774</v>
      </c>
      <c r="F392" s="49" t="s">
        <v>2900</v>
      </c>
      <c r="G392" s="49" t="s">
        <v>2921</v>
      </c>
      <c r="H392" s="49" t="s">
        <v>835</v>
      </c>
      <c r="I392" s="50">
        <v>44105</v>
      </c>
      <c r="J392" s="50">
        <v>44132</v>
      </c>
      <c r="K392" s="50">
        <v>45592</v>
      </c>
      <c r="M392" s="49" t="s">
        <v>4136</v>
      </c>
    </row>
    <row r="393" spans="1:13" x14ac:dyDescent="0.35">
      <c r="A393" s="49" t="s">
        <v>4137</v>
      </c>
      <c r="B393" s="49" t="s">
        <v>3420</v>
      </c>
      <c r="C393" s="49" t="s">
        <v>3494</v>
      </c>
      <c r="D393" s="49" t="s">
        <v>1264</v>
      </c>
      <c r="E393" s="49" t="s">
        <v>2908</v>
      </c>
      <c r="F393" s="49" t="s">
        <v>2939</v>
      </c>
      <c r="G393" s="49" t="s">
        <v>2901</v>
      </c>
      <c r="H393" s="49" t="s">
        <v>980</v>
      </c>
      <c r="I393" s="50">
        <v>44106</v>
      </c>
      <c r="J393" s="50">
        <v>44279</v>
      </c>
      <c r="K393" s="50">
        <v>46104</v>
      </c>
      <c r="M393" s="49" t="s">
        <v>4138</v>
      </c>
    </row>
    <row r="394" spans="1:13" x14ac:dyDescent="0.35">
      <c r="A394" s="49" t="s">
        <v>4139</v>
      </c>
      <c r="B394" s="49" t="s">
        <v>4140</v>
      </c>
      <c r="C394" s="49" t="s">
        <v>4141</v>
      </c>
      <c r="D394" s="49" t="s">
        <v>1264</v>
      </c>
      <c r="E394" s="49" t="s">
        <v>3748</v>
      </c>
      <c r="F394" s="49" t="s">
        <v>2792</v>
      </c>
      <c r="G394" s="49" t="s">
        <v>2787</v>
      </c>
      <c r="H394" s="49" t="s">
        <v>3229</v>
      </c>
      <c r="I394" s="50">
        <v>44125</v>
      </c>
      <c r="J394" s="50">
        <v>44211</v>
      </c>
      <c r="K394" s="50">
        <v>44576</v>
      </c>
      <c r="M394" s="49" t="s">
        <v>4142</v>
      </c>
    </row>
    <row r="395" spans="1:13" x14ac:dyDescent="0.35">
      <c r="A395" s="49" t="s">
        <v>4143</v>
      </c>
      <c r="B395" s="49" t="s">
        <v>3962</v>
      </c>
      <c r="C395" s="49" t="s">
        <v>3963</v>
      </c>
      <c r="D395" s="49" t="s">
        <v>1264</v>
      </c>
      <c r="E395" s="49" t="s">
        <v>2785</v>
      </c>
      <c r="F395" s="49" t="s">
        <v>2792</v>
      </c>
      <c r="G395" s="49" t="s">
        <v>2787</v>
      </c>
      <c r="H395" s="49" t="s">
        <v>980</v>
      </c>
      <c r="I395" s="50">
        <v>44146</v>
      </c>
      <c r="J395" s="50">
        <v>44229</v>
      </c>
      <c r="K395" s="50">
        <v>44790</v>
      </c>
      <c r="M395" s="49" t="s">
        <v>4144</v>
      </c>
    </row>
    <row r="396" spans="1:13" x14ac:dyDescent="0.35">
      <c r="A396" s="49" t="s">
        <v>4145</v>
      </c>
      <c r="B396" s="49" t="s">
        <v>3933</v>
      </c>
      <c r="C396" s="49" t="s">
        <v>4146</v>
      </c>
      <c r="D396" s="49" t="s">
        <v>1264</v>
      </c>
      <c r="E396" s="49" t="s">
        <v>2814</v>
      </c>
      <c r="F396" s="49" t="s">
        <v>2825</v>
      </c>
      <c r="G396" s="49" t="s">
        <v>2787</v>
      </c>
      <c r="H396" s="49" t="s">
        <v>2827</v>
      </c>
      <c r="I396" s="50">
        <v>44147</v>
      </c>
      <c r="J396" s="50">
        <v>44258</v>
      </c>
      <c r="K396" s="50">
        <v>44441</v>
      </c>
      <c r="M396" s="49" t="s">
        <v>4147</v>
      </c>
    </row>
    <row r="397" spans="1:13" x14ac:dyDescent="0.35">
      <c r="A397" s="49" t="s">
        <v>4148</v>
      </c>
      <c r="B397" s="49" t="s">
        <v>4149</v>
      </c>
      <c r="C397" s="49" t="s">
        <v>4086</v>
      </c>
      <c r="D397" s="49" t="s">
        <v>1264</v>
      </c>
      <c r="E397" s="49" t="s">
        <v>2785</v>
      </c>
      <c r="F397" s="49" t="s">
        <v>2786</v>
      </c>
      <c r="G397" s="49" t="s">
        <v>2787</v>
      </c>
      <c r="H397" s="49" t="s">
        <v>2827</v>
      </c>
      <c r="I397" s="50">
        <v>44160</v>
      </c>
      <c r="J397" s="50">
        <v>44179</v>
      </c>
      <c r="K397" s="50">
        <v>44360</v>
      </c>
      <c r="M397" s="49" t="s">
        <v>4150</v>
      </c>
    </row>
    <row r="398" spans="1:13" x14ac:dyDescent="0.35">
      <c r="A398" s="49" t="s">
        <v>4151</v>
      </c>
      <c r="C398" s="49" t="s">
        <v>4152</v>
      </c>
      <c r="D398" s="49" t="s">
        <v>1264</v>
      </c>
      <c r="E398" s="49" t="s">
        <v>2908</v>
      </c>
      <c r="F398" s="49" t="s">
        <v>2837</v>
      </c>
      <c r="G398" s="49" t="s">
        <v>2901</v>
      </c>
      <c r="H398" s="49" t="s">
        <v>980</v>
      </c>
      <c r="I398" s="50">
        <v>44160</v>
      </c>
      <c r="J398" s="50">
        <v>44225</v>
      </c>
      <c r="K398" s="50">
        <v>46050</v>
      </c>
      <c r="M398" s="49" t="s">
        <v>4153</v>
      </c>
    </row>
    <row r="399" spans="1:13" x14ac:dyDescent="0.35">
      <c r="A399" s="49" t="s">
        <v>4154</v>
      </c>
      <c r="B399" s="49" t="s">
        <v>3768</v>
      </c>
      <c r="C399" s="49" t="s">
        <v>4155</v>
      </c>
      <c r="D399" s="49" t="s">
        <v>1264</v>
      </c>
      <c r="E399" s="49" t="s">
        <v>3443</v>
      </c>
      <c r="F399" s="49" t="s">
        <v>3124</v>
      </c>
      <c r="G399" s="49" t="s">
        <v>2975</v>
      </c>
      <c r="H399" s="49" t="s">
        <v>980</v>
      </c>
      <c r="I399" s="50">
        <v>44162</v>
      </c>
      <c r="J399" s="50">
        <v>43844</v>
      </c>
      <c r="K399" s="50">
        <v>44616</v>
      </c>
      <c r="M399" s="49" t="s">
        <v>4156</v>
      </c>
    </row>
    <row r="400" spans="1:13" x14ac:dyDescent="0.35">
      <c r="A400" s="49" t="s">
        <v>4157</v>
      </c>
      <c r="B400" s="49" t="s">
        <v>3768</v>
      </c>
      <c r="C400" s="49" t="s">
        <v>4158</v>
      </c>
      <c r="D400" s="49" t="s">
        <v>1264</v>
      </c>
      <c r="E400" s="49" t="s">
        <v>3443</v>
      </c>
      <c r="F400" s="49" t="s">
        <v>3124</v>
      </c>
      <c r="G400" s="49" t="s">
        <v>2787</v>
      </c>
      <c r="H400" s="49" t="s">
        <v>980</v>
      </c>
      <c r="I400" s="50">
        <v>44162</v>
      </c>
      <c r="J400" s="50">
        <v>43798</v>
      </c>
      <c r="K400" s="50">
        <v>45625</v>
      </c>
      <c r="M400" s="49" t="s">
        <v>3470</v>
      </c>
    </row>
    <row r="401" spans="1:13" x14ac:dyDescent="0.35">
      <c r="A401" s="49" t="s">
        <v>4159</v>
      </c>
      <c r="B401" s="49" t="s">
        <v>4160</v>
      </c>
      <c r="C401" s="49" t="s">
        <v>4161</v>
      </c>
      <c r="D401" s="49" t="s">
        <v>1264</v>
      </c>
      <c r="E401" s="49" t="s">
        <v>2785</v>
      </c>
      <c r="F401" s="49" t="s">
        <v>2792</v>
      </c>
      <c r="G401" s="49" t="s">
        <v>2787</v>
      </c>
      <c r="H401" s="49" t="s">
        <v>2827</v>
      </c>
      <c r="I401" s="50">
        <v>44168</v>
      </c>
      <c r="J401" s="50">
        <v>44168</v>
      </c>
      <c r="K401" s="50">
        <v>44533</v>
      </c>
      <c r="M401" s="49" t="s">
        <v>4162</v>
      </c>
    </row>
    <row r="402" spans="1:13" x14ac:dyDescent="0.35">
      <c r="A402" s="49" t="s">
        <v>4163</v>
      </c>
      <c r="C402" s="49" t="s">
        <v>4164</v>
      </c>
      <c r="D402" s="49" t="s">
        <v>1264</v>
      </c>
      <c r="E402" s="49" t="s">
        <v>2814</v>
      </c>
      <c r="F402" s="49" t="s">
        <v>3898</v>
      </c>
      <c r="G402" s="49" t="s">
        <v>2787</v>
      </c>
      <c r="H402" s="49" t="s">
        <v>2827</v>
      </c>
      <c r="I402" s="50">
        <v>44172</v>
      </c>
      <c r="J402" s="50">
        <v>44264</v>
      </c>
      <c r="K402" s="50">
        <v>44447</v>
      </c>
      <c r="M402" s="49" t="s">
        <v>4165</v>
      </c>
    </row>
    <row r="403" spans="1:13" x14ac:dyDescent="0.35">
      <c r="A403" s="49" t="s">
        <v>4166</v>
      </c>
      <c r="B403" s="49" t="s">
        <v>3933</v>
      </c>
      <c r="C403" s="49" t="s">
        <v>4167</v>
      </c>
      <c r="D403" s="49" t="s">
        <v>1264</v>
      </c>
      <c r="E403" s="49" t="s">
        <v>2814</v>
      </c>
      <c r="F403" s="49" t="s">
        <v>2825</v>
      </c>
      <c r="G403" s="49" t="s">
        <v>2787</v>
      </c>
      <c r="H403" s="49" t="s">
        <v>2827</v>
      </c>
      <c r="I403" s="50">
        <v>44175</v>
      </c>
      <c r="J403" s="50">
        <v>44258</v>
      </c>
      <c r="K403" s="50">
        <v>44441</v>
      </c>
      <c r="M403" s="49" t="s">
        <v>3270</v>
      </c>
    </row>
    <row r="404" spans="1:13" x14ac:dyDescent="0.35">
      <c r="A404" s="49" t="s">
        <v>4168</v>
      </c>
      <c r="C404" s="49" t="s">
        <v>2850</v>
      </c>
      <c r="D404" s="49" t="s">
        <v>1264</v>
      </c>
      <c r="E404" s="49" t="s">
        <v>2785</v>
      </c>
      <c r="F404" s="49" t="s">
        <v>2792</v>
      </c>
      <c r="G404" s="49" t="s">
        <v>2787</v>
      </c>
      <c r="H404" s="49" t="s">
        <v>980</v>
      </c>
      <c r="I404" s="50">
        <v>44182</v>
      </c>
      <c r="J404" s="50">
        <v>44244</v>
      </c>
      <c r="K404" s="50">
        <v>44426</v>
      </c>
      <c r="M404" s="49" t="s">
        <v>4169</v>
      </c>
    </row>
    <row r="405" spans="1:13" x14ac:dyDescent="0.35">
      <c r="A405" s="49" t="s">
        <v>4170</v>
      </c>
      <c r="B405" s="49" t="s">
        <v>3768</v>
      </c>
      <c r="C405" s="49" t="s">
        <v>4171</v>
      </c>
      <c r="D405" s="49" t="s">
        <v>1264</v>
      </c>
      <c r="E405" s="49" t="s">
        <v>3443</v>
      </c>
      <c r="F405" s="49" t="s">
        <v>3124</v>
      </c>
      <c r="G405" s="49" t="s">
        <v>2901</v>
      </c>
      <c r="H405" s="49" t="s">
        <v>980</v>
      </c>
      <c r="I405" s="50">
        <v>43815</v>
      </c>
      <c r="J405" s="50">
        <v>43879</v>
      </c>
      <c r="K405" s="50">
        <v>45705</v>
      </c>
      <c r="M405" s="49" t="s">
        <v>4121</v>
      </c>
    </row>
    <row r="406" spans="1:13" x14ac:dyDescent="0.35">
      <c r="A406" s="49" t="s">
        <v>4172</v>
      </c>
      <c r="B406" s="49" t="s">
        <v>3768</v>
      </c>
      <c r="C406" s="49" t="s">
        <v>4173</v>
      </c>
      <c r="D406" s="49" t="s">
        <v>1264</v>
      </c>
      <c r="E406" s="49" t="s">
        <v>3443</v>
      </c>
      <c r="F406" s="49" t="s">
        <v>3124</v>
      </c>
      <c r="G406" s="49" t="s">
        <v>2901</v>
      </c>
      <c r="H406" s="49" t="s">
        <v>980</v>
      </c>
      <c r="I406" s="50">
        <v>43845</v>
      </c>
      <c r="J406" s="50">
        <v>43879</v>
      </c>
      <c r="K406" s="50">
        <v>45705</v>
      </c>
      <c r="M406" s="49" t="s">
        <v>4121</v>
      </c>
    </row>
    <row r="407" spans="1:13" x14ac:dyDescent="0.35">
      <c r="A407" s="49" t="s">
        <v>4174</v>
      </c>
      <c r="B407" s="49" t="s">
        <v>4175</v>
      </c>
      <c r="C407" s="49" t="s">
        <v>3693</v>
      </c>
      <c r="D407" s="49" t="s">
        <v>1264</v>
      </c>
      <c r="E407" s="49" t="s">
        <v>2814</v>
      </c>
      <c r="F407" s="49" t="s">
        <v>2837</v>
      </c>
      <c r="G407" s="49" t="s">
        <v>2787</v>
      </c>
      <c r="H407" s="49" t="s">
        <v>980</v>
      </c>
      <c r="I407" s="50">
        <v>44215</v>
      </c>
      <c r="J407" s="50">
        <v>44249</v>
      </c>
      <c r="K407" s="50">
        <v>44429</v>
      </c>
      <c r="M407" s="49" t="s">
        <v>4176</v>
      </c>
    </row>
    <row r="408" spans="1:13" x14ac:dyDescent="0.35">
      <c r="A408" s="49" t="s">
        <v>4177</v>
      </c>
      <c r="C408" s="49" t="s">
        <v>4178</v>
      </c>
      <c r="D408" s="49" t="s">
        <v>1264</v>
      </c>
      <c r="E408" s="49" t="s">
        <v>2814</v>
      </c>
      <c r="F408" s="49" t="s">
        <v>2825</v>
      </c>
      <c r="G408" s="49" t="s">
        <v>2787</v>
      </c>
      <c r="H408" s="49" t="s">
        <v>2827</v>
      </c>
      <c r="I408" s="50">
        <v>44215</v>
      </c>
      <c r="J408" s="50">
        <v>44258</v>
      </c>
      <c r="K408" s="50">
        <v>44441</v>
      </c>
      <c r="M408" s="49" t="s">
        <v>4179</v>
      </c>
    </row>
    <row r="409" spans="1:13" x14ac:dyDescent="0.35">
      <c r="A409" s="49" t="s">
        <v>4180</v>
      </c>
      <c r="B409" s="49" t="s">
        <v>857</v>
      </c>
      <c r="C409" s="49" t="s">
        <v>4181</v>
      </c>
      <c r="D409" s="49" t="s">
        <v>1264</v>
      </c>
      <c r="E409" s="49" t="s">
        <v>2785</v>
      </c>
      <c r="F409" s="49" t="s">
        <v>2792</v>
      </c>
      <c r="G409" s="49" t="s">
        <v>2787</v>
      </c>
      <c r="H409" s="49" t="s">
        <v>857</v>
      </c>
      <c r="I409" s="50">
        <v>44224</v>
      </c>
      <c r="J409" s="50">
        <v>44305</v>
      </c>
      <c r="K409" s="50">
        <v>45428</v>
      </c>
      <c r="M409" s="49" t="s">
        <v>4182</v>
      </c>
    </row>
    <row r="410" spans="1:13" x14ac:dyDescent="0.35">
      <c r="A410" s="49" t="s">
        <v>4183</v>
      </c>
      <c r="B410" s="49" t="s">
        <v>4184</v>
      </c>
      <c r="C410" s="49" t="s">
        <v>4161</v>
      </c>
      <c r="D410" s="49" t="s">
        <v>1264</v>
      </c>
      <c r="E410" s="49" t="s">
        <v>2785</v>
      </c>
      <c r="F410" s="49" t="s">
        <v>2786</v>
      </c>
      <c r="G410" s="49" t="s">
        <v>2787</v>
      </c>
      <c r="H410" s="49" t="s">
        <v>2827</v>
      </c>
      <c r="I410" s="50">
        <v>44225</v>
      </c>
      <c r="J410" s="50">
        <v>44305</v>
      </c>
      <c r="K410" s="50">
        <v>45428</v>
      </c>
      <c r="M410" s="49" t="s">
        <v>4185</v>
      </c>
    </row>
    <row r="411" spans="1:13" x14ac:dyDescent="0.35">
      <c r="A411" s="49" t="s">
        <v>4186</v>
      </c>
      <c r="B411" s="49" t="s">
        <v>2818</v>
      </c>
      <c r="C411" s="49" t="s">
        <v>4095</v>
      </c>
      <c r="D411" s="49" t="s">
        <v>1264</v>
      </c>
      <c r="E411" s="49" t="s">
        <v>2785</v>
      </c>
      <c r="F411" s="49" t="s">
        <v>2792</v>
      </c>
      <c r="G411" s="49" t="s">
        <v>4187</v>
      </c>
      <c r="H411" s="49" t="s">
        <v>8</v>
      </c>
      <c r="I411" s="50">
        <v>44225</v>
      </c>
      <c r="J411" s="50">
        <v>44256</v>
      </c>
      <c r="K411" s="50">
        <v>44441</v>
      </c>
      <c r="M411" s="49" t="s">
        <v>4188</v>
      </c>
    </row>
    <row r="412" spans="1:13" x14ac:dyDescent="0.35">
      <c r="A412" s="49" t="s">
        <v>4189</v>
      </c>
      <c r="B412" s="49" t="s">
        <v>4190</v>
      </c>
      <c r="C412" s="49" t="s">
        <v>4191</v>
      </c>
      <c r="D412" s="49" t="s">
        <v>1264</v>
      </c>
      <c r="E412" s="49" t="s">
        <v>2814</v>
      </c>
      <c r="F412" s="49" t="s">
        <v>4192</v>
      </c>
      <c r="G412" s="49" t="s">
        <v>2787</v>
      </c>
      <c r="H412" s="49" t="s">
        <v>980</v>
      </c>
      <c r="I412" s="50">
        <v>44229</v>
      </c>
      <c r="J412" s="50">
        <v>44250</v>
      </c>
      <c r="K412" s="50">
        <v>44430</v>
      </c>
      <c r="M412" s="49" t="s">
        <v>4193</v>
      </c>
    </row>
    <row r="413" spans="1:13" x14ac:dyDescent="0.35">
      <c r="A413" s="49" t="s">
        <v>4194</v>
      </c>
      <c r="C413" s="49" t="s">
        <v>4195</v>
      </c>
      <c r="D413" s="49" t="s">
        <v>1264</v>
      </c>
      <c r="E413" s="49" t="s">
        <v>2814</v>
      </c>
      <c r="F413" s="49" t="s">
        <v>4196</v>
      </c>
      <c r="G413" s="49" t="s">
        <v>2787</v>
      </c>
      <c r="H413" s="49" t="s">
        <v>973</v>
      </c>
      <c r="I413" s="50">
        <v>44256</v>
      </c>
      <c r="J413" s="50">
        <v>44279</v>
      </c>
      <c r="K413" s="50">
        <v>44462</v>
      </c>
      <c r="M413" s="49" t="s">
        <v>4197</v>
      </c>
    </row>
    <row r="414" spans="1:13" x14ac:dyDescent="0.35">
      <c r="A414" s="49" t="s">
        <v>4198</v>
      </c>
      <c r="B414" s="49" t="s">
        <v>4199</v>
      </c>
      <c r="C414" s="49" t="s">
        <v>4200</v>
      </c>
      <c r="D414" s="49" t="s">
        <v>1264</v>
      </c>
      <c r="E414" s="49" t="s">
        <v>2785</v>
      </c>
      <c r="F414" s="49" t="s">
        <v>2786</v>
      </c>
      <c r="G414" s="49" t="s">
        <v>2787</v>
      </c>
      <c r="H414" s="49" t="s">
        <v>3229</v>
      </c>
      <c r="I414" s="50">
        <v>44271</v>
      </c>
      <c r="K414" s="50">
        <v>45510</v>
      </c>
      <c r="M414" s="49" t="s">
        <v>4201</v>
      </c>
    </row>
    <row r="415" spans="1:13" x14ac:dyDescent="0.35">
      <c r="A415" s="49" t="s">
        <v>4202</v>
      </c>
      <c r="B415" s="49" t="s">
        <v>4203</v>
      </c>
      <c r="C415" s="49" t="s">
        <v>4204</v>
      </c>
      <c r="D415" s="49" t="s">
        <v>1264</v>
      </c>
      <c r="E415" s="49" t="s">
        <v>2908</v>
      </c>
      <c r="F415" s="49" t="s">
        <v>2939</v>
      </c>
      <c r="G415" s="49" t="s">
        <v>2787</v>
      </c>
      <c r="H415" s="49" t="s">
        <v>980</v>
      </c>
      <c r="J415" s="50">
        <v>43543</v>
      </c>
      <c r="K415" s="50">
        <v>45369</v>
      </c>
      <c r="M415" s="49" t="s">
        <v>3477</v>
      </c>
    </row>
    <row r="416" spans="1:13" x14ac:dyDescent="0.35">
      <c r="A416" s="49" t="s">
        <v>4205</v>
      </c>
      <c r="B416" s="49" t="s">
        <v>4206</v>
      </c>
      <c r="C416" s="49" t="s">
        <v>4207</v>
      </c>
      <c r="D416" s="49" t="s">
        <v>1264</v>
      </c>
      <c r="E416" s="49" t="s">
        <v>2908</v>
      </c>
      <c r="F416" s="49" t="s">
        <v>2939</v>
      </c>
      <c r="G416" s="49" t="s">
        <v>2826</v>
      </c>
      <c r="H416" s="49" t="s">
        <v>980</v>
      </c>
      <c r="J416" s="50">
        <v>33066</v>
      </c>
      <c r="K416" s="50">
        <v>42397</v>
      </c>
      <c r="M416" s="49" t="s">
        <v>4208</v>
      </c>
    </row>
    <row r="417" spans="1:13" x14ac:dyDescent="0.35">
      <c r="A417" s="49" t="s">
        <v>4209</v>
      </c>
      <c r="C417" s="49" t="s">
        <v>4210</v>
      </c>
      <c r="D417" s="49" t="s">
        <v>1264</v>
      </c>
      <c r="E417" s="49" t="s">
        <v>2774</v>
      </c>
      <c r="F417" s="49" t="s">
        <v>2780</v>
      </c>
      <c r="G417" s="49" t="s">
        <v>2776</v>
      </c>
      <c r="H417" s="49" t="s">
        <v>8</v>
      </c>
      <c r="I417" s="50">
        <v>40798</v>
      </c>
      <c r="M417" s="49" t="s">
        <v>4211</v>
      </c>
    </row>
    <row r="418" spans="1:13" x14ac:dyDescent="0.35">
      <c r="A418" s="49" t="s">
        <v>4212</v>
      </c>
      <c r="B418" s="49" t="s">
        <v>4213</v>
      </c>
      <c r="C418" s="49" t="s">
        <v>4214</v>
      </c>
      <c r="D418" s="49" t="s">
        <v>1264</v>
      </c>
      <c r="E418" s="49" t="s">
        <v>2774</v>
      </c>
      <c r="F418" s="49" t="s">
        <v>2825</v>
      </c>
      <c r="G418" s="49" t="s">
        <v>2921</v>
      </c>
      <c r="H418" s="49" t="s">
        <v>2827</v>
      </c>
      <c r="I418" s="50">
        <v>43356</v>
      </c>
      <c r="J418" s="50">
        <v>44281</v>
      </c>
      <c r="K418" s="50">
        <v>45741</v>
      </c>
      <c r="M418" s="49" t="s">
        <v>4215</v>
      </c>
    </row>
    <row r="419" spans="1:13" x14ac:dyDescent="0.35">
      <c r="A419" s="49" t="s">
        <v>4216</v>
      </c>
      <c r="B419" s="49" t="s">
        <v>4217</v>
      </c>
      <c r="C419" s="49" t="s">
        <v>4218</v>
      </c>
      <c r="D419" s="49" t="s">
        <v>1264</v>
      </c>
      <c r="E419" s="49" t="s">
        <v>2814</v>
      </c>
      <c r="F419" s="49" t="s">
        <v>2837</v>
      </c>
      <c r="G419" s="49" t="s">
        <v>2787</v>
      </c>
      <c r="H419" s="49" t="s">
        <v>980</v>
      </c>
      <c r="I419" s="50">
        <v>43563</v>
      </c>
      <c r="J419" s="50">
        <v>44313</v>
      </c>
      <c r="K419" s="50">
        <v>44495</v>
      </c>
      <c r="M419" s="49" t="s">
        <v>4219</v>
      </c>
    </row>
    <row r="420" spans="1:13" x14ac:dyDescent="0.35">
      <c r="A420" s="49" t="s">
        <v>4220</v>
      </c>
      <c r="C420" s="49" t="s">
        <v>4075</v>
      </c>
      <c r="D420" s="49" t="s">
        <v>1264</v>
      </c>
      <c r="E420" s="49" t="s">
        <v>2785</v>
      </c>
      <c r="F420" s="49" t="s">
        <v>2792</v>
      </c>
      <c r="G420" s="49" t="s">
        <v>2787</v>
      </c>
      <c r="H420" s="49" t="s">
        <v>8</v>
      </c>
      <c r="I420" s="50">
        <v>44294</v>
      </c>
      <c r="J420" s="50">
        <v>44573</v>
      </c>
      <c r="K420" s="50">
        <v>45428</v>
      </c>
      <c r="M420" s="49" t="s">
        <v>4221</v>
      </c>
    </row>
    <row r="421" spans="1:13" x14ac:dyDescent="0.35">
      <c r="A421" s="49" t="s">
        <v>4222</v>
      </c>
      <c r="B421" s="49" t="s">
        <v>4223</v>
      </c>
      <c r="C421" s="49" t="s">
        <v>4224</v>
      </c>
      <c r="D421" s="49" t="s">
        <v>1264</v>
      </c>
      <c r="E421" s="49" t="s">
        <v>2873</v>
      </c>
      <c r="F421" s="49" t="s">
        <v>2792</v>
      </c>
      <c r="G421" s="49" t="s">
        <v>2787</v>
      </c>
      <c r="H421" s="49" t="s">
        <v>4225</v>
      </c>
      <c r="I421" s="50">
        <v>44145</v>
      </c>
      <c r="J421" s="50">
        <v>44217</v>
      </c>
      <c r="K421" s="50">
        <v>44581</v>
      </c>
      <c r="M421" s="49" t="s">
        <v>4226</v>
      </c>
    </row>
    <row r="422" spans="1:13" x14ac:dyDescent="0.35">
      <c r="A422" s="49" t="s">
        <v>4227</v>
      </c>
      <c r="C422" s="49" t="s">
        <v>4228</v>
      </c>
      <c r="D422" s="49" t="s">
        <v>1264</v>
      </c>
      <c r="E422" s="49" t="s">
        <v>2908</v>
      </c>
      <c r="F422" s="49" t="s">
        <v>2786</v>
      </c>
      <c r="G422" s="49" t="s">
        <v>2787</v>
      </c>
      <c r="H422" s="49" t="s">
        <v>980</v>
      </c>
      <c r="I422" s="50">
        <v>43543</v>
      </c>
      <c r="J422" s="50">
        <v>43623</v>
      </c>
      <c r="K422" s="50">
        <v>43988</v>
      </c>
      <c r="M422" s="49" t="s">
        <v>4229</v>
      </c>
    </row>
    <row r="423" spans="1:13" x14ac:dyDescent="0.35">
      <c r="A423" s="49" t="s">
        <v>4230</v>
      </c>
      <c r="B423" s="49" t="s">
        <v>4231</v>
      </c>
      <c r="C423" s="49" t="s">
        <v>4232</v>
      </c>
      <c r="D423" s="49" t="s">
        <v>1264</v>
      </c>
      <c r="E423" s="49" t="s">
        <v>2785</v>
      </c>
      <c r="F423" s="49" t="s">
        <v>3898</v>
      </c>
      <c r="G423" s="49" t="s">
        <v>2787</v>
      </c>
      <c r="H423" s="49" t="s">
        <v>2827</v>
      </c>
      <c r="I423" s="50">
        <v>44006</v>
      </c>
      <c r="J423" s="50">
        <v>44185</v>
      </c>
      <c r="K423" s="50">
        <v>45511</v>
      </c>
      <c r="M423" s="49" t="s">
        <v>4233</v>
      </c>
    </row>
    <row r="424" spans="1:13" x14ac:dyDescent="0.35">
      <c r="A424" s="49" t="s">
        <v>4234</v>
      </c>
      <c r="C424" s="49" t="s">
        <v>2810</v>
      </c>
      <c r="D424" s="49" t="s">
        <v>1264</v>
      </c>
      <c r="E424" s="49" t="s">
        <v>2785</v>
      </c>
      <c r="F424" s="49" t="s">
        <v>2792</v>
      </c>
      <c r="G424" s="49" t="s">
        <v>2787</v>
      </c>
      <c r="H424" s="49" t="s">
        <v>980</v>
      </c>
      <c r="I424" s="50">
        <v>43542</v>
      </c>
      <c r="J424" s="50">
        <v>44316</v>
      </c>
      <c r="K424" s="50">
        <v>45511</v>
      </c>
      <c r="M424" s="49" t="s">
        <v>4235</v>
      </c>
    </row>
    <row r="425" spans="1:13" x14ac:dyDescent="0.35">
      <c r="A425" s="49" t="s">
        <v>4236</v>
      </c>
      <c r="C425" s="49" t="s">
        <v>4237</v>
      </c>
      <c r="D425" s="49" t="s">
        <v>1264</v>
      </c>
      <c r="E425" s="49" t="s">
        <v>2785</v>
      </c>
      <c r="F425" s="49" t="s">
        <v>2792</v>
      </c>
      <c r="G425" s="49" t="s">
        <v>2787</v>
      </c>
      <c r="H425" s="49" t="s">
        <v>980</v>
      </c>
      <c r="I425" s="50">
        <v>44285</v>
      </c>
      <c r="J425" s="50">
        <v>44315</v>
      </c>
      <c r="K425" s="50">
        <v>45428</v>
      </c>
      <c r="M425" s="49" t="s">
        <v>4238</v>
      </c>
    </row>
    <row r="426" spans="1:13" x14ac:dyDescent="0.35">
      <c r="A426" s="49" t="s">
        <v>4239</v>
      </c>
      <c r="C426" s="49" t="s">
        <v>4240</v>
      </c>
      <c r="D426" s="49" t="s">
        <v>1264</v>
      </c>
      <c r="E426" s="49" t="s">
        <v>2814</v>
      </c>
      <c r="F426" s="49" t="s">
        <v>2825</v>
      </c>
      <c r="G426" s="49" t="s">
        <v>2787</v>
      </c>
      <c r="H426" s="49" t="s">
        <v>973</v>
      </c>
      <c r="I426" s="50">
        <v>44298</v>
      </c>
      <c r="J426" s="50">
        <v>44328</v>
      </c>
      <c r="K426" s="50">
        <v>44692</v>
      </c>
      <c r="M426" s="49" t="s">
        <v>4241</v>
      </c>
    </row>
    <row r="427" spans="1:13" x14ac:dyDescent="0.35">
      <c r="A427" s="49" t="s">
        <v>4242</v>
      </c>
      <c r="B427" s="49" t="s">
        <v>2867</v>
      </c>
      <c r="C427" s="49" t="s">
        <v>4243</v>
      </c>
      <c r="D427" s="49" t="s">
        <v>1264</v>
      </c>
      <c r="E427" s="49" t="s">
        <v>2785</v>
      </c>
      <c r="F427" s="49" t="s">
        <v>2792</v>
      </c>
      <c r="G427" s="49" t="s">
        <v>2787</v>
      </c>
      <c r="H427" s="49" t="s">
        <v>8</v>
      </c>
      <c r="I427" s="50">
        <v>44168</v>
      </c>
      <c r="J427" s="50">
        <v>44328</v>
      </c>
      <c r="K427" s="50">
        <v>45428</v>
      </c>
      <c r="M427" s="49" t="s">
        <v>4244</v>
      </c>
    </row>
    <row r="428" spans="1:13" x14ac:dyDescent="0.35">
      <c r="A428" s="49" t="s">
        <v>4245</v>
      </c>
      <c r="B428" s="49" t="s">
        <v>4246</v>
      </c>
      <c r="C428" s="49" t="s">
        <v>3132</v>
      </c>
      <c r="D428" s="49" t="s">
        <v>1264</v>
      </c>
      <c r="E428" s="49" t="s">
        <v>2774</v>
      </c>
      <c r="F428" s="49" t="s">
        <v>2825</v>
      </c>
      <c r="G428" s="49" t="s">
        <v>2787</v>
      </c>
      <c r="H428" s="49" t="s">
        <v>2827</v>
      </c>
      <c r="I428" s="50">
        <v>40359</v>
      </c>
      <c r="J428" s="50">
        <v>43896</v>
      </c>
      <c r="K428" s="50">
        <v>44625</v>
      </c>
      <c r="M428" s="49" t="s">
        <v>4247</v>
      </c>
    </row>
    <row r="429" spans="1:13" x14ac:dyDescent="0.35">
      <c r="A429" s="49" t="s">
        <v>4248</v>
      </c>
      <c r="B429" s="49" t="s">
        <v>4249</v>
      </c>
      <c r="C429" s="49" t="s">
        <v>4250</v>
      </c>
      <c r="D429" s="49" t="s">
        <v>1264</v>
      </c>
      <c r="E429" s="49" t="s">
        <v>2774</v>
      </c>
      <c r="F429" s="49" t="s">
        <v>2825</v>
      </c>
      <c r="G429" s="49" t="s">
        <v>2826</v>
      </c>
      <c r="H429" s="49" t="s">
        <v>2827</v>
      </c>
      <c r="I429" s="50">
        <v>43434</v>
      </c>
      <c r="M429" s="49" t="s">
        <v>4251</v>
      </c>
    </row>
    <row r="430" spans="1:13" x14ac:dyDescent="0.35">
      <c r="A430" s="49" t="s">
        <v>4252</v>
      </c>
      <c r="C430" s="49" t="s">
        <v>2804</v>
      </c>
      <c r="D430" s="49" t="s">
        <v>1264</v>
      </c>
      <c r="E430" s="49" t="s">
        <v>2908</v>
      </c>
      <c r="F430" s="49" t="s">
        <v>4048</v>
      </c>
      <c r="G430" s="49" t="s">
        <v>2901</v>
      </c>
      <c r="H430" s="49" t="s">
        <v>973</v>
      </c>
      <c r="I430" s="50">
        <v>44238</v>
      </c>
      <c r="J430" s="50">
        <v>44305</v>
      </c>
      <c r="K430" s="50">
        <v>46130</v>
      </c>
      <c r="M430" s="49" t="s">
        <v>4253</v>
      </c>
    </row>
    <row r="431" spans="1:13" x14ac:dyDescent="0.35">
      <c r="A431" s="49" t="s">
        <v>4254</v>
      </c>
      <c r="C431" s="49" t="s">
        <v>2804</v>
      </c>
      <c r="D431" s="49" t="s">
        <v>1264</v>
      </c>
      <c r="E431" s="49" t="s">
        <v>2908</v>
      </c>
      <c r="F431" s="49" t="s">
        <v>3898</v>
      </c>
      <c r="G431" s="49" t="s">
        <v>2901</v>
      </c>
      <c r="H431" s="49" t="s">
        <v>2827</v>
      </c>
      <c r="I431" s="50">
        <v>44238</v>
      </c>
      <c r="J431" s="50">
        <v>44315</v>
      </c>
      <c r="K431" s="50">
        <v>46140</v>
      </c>
      <c r="M431" s="49" t="s">
        <v>4255</v>
      </c>
    </row>
    <row r="432" spans="1:13" x14ac:dyDescent="0.35">
      <c r="A432" s="49" t="s">
        <v>4256</v>
      </c>
      <c r="B432" s="49" t="s">
        <v>4257</v>
      </c>
      <c r="C432" s="49" t="s">
        <v>4258</v>
      </c>
      <c r="D432" s="49" t="s">
        <v>1264</v>
      </c>
      <c r="E432" s="49" t="s">
        <v>2774</v>
      </c>
      <c r="F432" s="49" t="s">
        <v>4259</v>
      </c>
      <c r="G432" s="49" t="s">
        <v>2787</v>
      </c>
      <c r="H432" s="49" t="s">
        <v>980</v>
      </c>
      <c r="I432" s="50">
        <v>42373</v>
      </c>
      <c r="J432" s="50">
        <v>43623</v>
      </c>
      <c r="K432" s="50">
        <v>45083</v>
      </c>
      <c r="M432" s="49" t="s">
        <v>4260</v>
      </c>
    </row>
    <row r="433" spans="1:13" x14ac:dyDescent="0.35">
      <c r="A433" s="49" t="s">
        <v>4261</v>
      </c>
      <c r="B433" s="49" t="s">
        <v>4262</v>
      </c>
      <c r="C433" s="49" t="s">
        <v>4263</v>
      </c>
      <c r="D433" s="49" t="s">
        <v>1264</v>
      </c>
      <c r="E433" s="49" t="s">
        <v>2785</v>
      </c>
      <c r="F433" s="49" t="s">
        <v>4048</v>
      </c>
      <c r="G433" s="49" t="s">
        <v>2787</v>
      </c>
      <c r="H433" s="49" t="s">
        <v>973</v>
      </c>
      <c r="I433" s="50">
        <v>43573</v>
      </c>
      <c r="J433" s="50">
        <v>43826</v>
      </c>
      <c r="K433" s="50">
        <v>45511</v>
      </c>
      <c r="M433" s="49" t="s">
        <v>4264</v>
      </c>
    </row>
    <row r="434" spans="1:13" x14ac:dyDescent="0.35">
      <c r="A434" s="49" t="s">
        <v>4265</v>
      </c>
      <c r="C434" s="49" t="s">
        <v>4266</v>
      </c>
      <c r="D434" s="49" t="s">
        <v>1264</v>
      </c>
      <c r="E434" s="49" t="s">
        <v>2785</v>
      </c>
      <c r="F434" s="49" t="s">
        <v>2786</v>
      </c>
      <c r="G434" s="49" t="s">
        <v>2787</v>
      </c>
      <c r="H434" s="49" t="s">
        <v>8</v>
      </c>
      <c r="I434" s="50">
        <v>43739</v>
      </c>
      <c r="J434" s="50">
        <v>43777</v>
      </c>
      <c r="K434" s="50">
        <v>45428</v>
      </c>
      <c r="M434" s="49" t="s">
        <v>4267</v>
      </c>
    </row>
    <row r="435" spans="1:13" x14ac:dyDescent="0.35">
      <c r="A435" s="49" t="s">
        <v>4268</v>
      </c>
      <c r="B435" s="49" t="s">
        <v>4269</v>
      </c>
      <c r="C435" s="49" t="s">
        <v>4266</v>
      </c>
      <c r="D435" s="49" t="s">
        <v>1264</v>
      </c>
      <c r="E435" s="49" t="s">
        <v>2785</v>
      </c>
      <c r="F435" s="49" t="s">
        <v>2786</v>
      </c>
      <c r="G435" s="49" t="s">
        <v>2787</v>
      </c>
      <c r="H435" s="49" t="s">
        <v>8</v>
      </c>
      <c r="I435" s="50">
        <v>43845</v>
      </c>
      <c r="J435" s="50">
        <v>44285</v>
      </c>
      <c r="K435" s="50">
        <v>45428</v>
      </c>
      <c r="M435" s="49" t="s">
        <v>4270</v>
      </c>
    </row>
    <row r="436" spans="1:13" x14ac:dyDescent="0.35">
      <c r="A436" s="49" t="s">
        <v>4271</v>
      </c>
      <c r="C436" s="49" t="s">
        <v>4272</v>
      </c>
      <c r="D436" s="49" t="s">
        <v>1264</v>
      </c>
      <c r="E436" s="49" t="s">
        <v>2908</v>
      </c>
      <c r="F436" s="49" t="s">
        <v>2837</v>
      </c>
      <c r="G436" s="49" t="s">
        <v>2901</v>
      </c>
      <c r="H436" s="49" t="s">
        <v>2827</v>
      </c>
      <c r="I436" s="50">
        <v>43816</v>
      </c>
      <c r="J436" s="50">
        <v>44315</v>
      </c>
      <c r="K436" s="50">
        <v>46140</v>
      </c>
      <c r="M436" s="49" t="s">
        <v>4273</v>
      </c>
    </row>
    <row r="437" spans="1:13" x14ac:dyDescent="0.35">
      <c r="A437" s="49" t="s">
        <v>4274</v>
      </c>
      <c r="B437" s="49" t="s">
        <v>4275</v>
      </c>
      <c r="C437" s="49" t="s">
        <v>4276</v>
      </c>
      <c r="D437" s="49" t="s">
        <v>1264</v>
      </c>
      <c r="E437" s="49" t="s">
        <v>2908</v>
      </c>
      <c r="F437" s="49" t="s">
        <v>2939</v>
      </c>
      <c r="G437" s="49" t="s">
        <v>2820</v>
      </c>
      <c r="H437" s="49" t="s">
        <v>980</v>
      </c>
      <c r="I437" s="50">
        <v>40056</v>
      </c>
      <c r="J437" s="50">
        <v>40119</v>
      </c>
      <c r="K437" s="50">
        <v>41944</v>
      </c>
      <c r="M437" s="49" t="s">
        <v>4277</v>
      </c>
    </row>
    <row r="438" spans="1:13" x14ac:dyDescent="0.35">
      <c r="A438" s="49" t="s">
        <v>4278</v>
      </c>
      <c r="B438" s="49" t="s">
        <v>3218</v>
      </c>
      <c r="C438" s="49" t="s">
        <v>4279</v>
      </c>
      <c r="D438" s="49" t="s">
        <v>1264</v>
      </c>
      <c r="E438" s="49" t="s">
        <v>2785</v>
      </c>
      <c r="F438" s="49" t="s">
        <v>2786</v>
      </c>
      <c r="G438" s="49" t="s">
        <v>2787</v>
      </c>
      <c r="H438" s="49" t="s">
        <v>980</v>
      </c>
      <c r="I438" s="50">
        <v>43901</v>
      </c>
      <c r="K438" s="50">
        <v>45510</v>
      </c>
      <c r="M438" s="49" t="s">
        <v>4280</v>
      </c>
    </row>
    <row r="439" spans="1:13" x14ac:dyDescent="0.35">
      <c r="A439" s="49" t="s">
        <v>4281</v>
      </c>
      <c r="B439" s="49" t="s">
        <v>2849</v>
      </c>
      <c r="C439" s="49" t="s">
        <v>4282</v>
      </c>
      <c r="D439" s="49" t="s">
        <v>1264</v>
      </c>
      <c r="E439" s="49" t="s">
        <v>2785</v>
      </c>
      <c r="F439" s="49" t="s">
        <v>2792</v>
      </c>
      <c r="G439" s="49" t="s">
        <v>2787</v>
      </c>
      <c r="H439" s="49" t="s">
        <v>980</v>
      </c>
      <c r="I439" s="50">
        <v>43283</v>
      </c>
      <c r="M439" s="49" t="s">
        <v>4283</v>
      </c>
    </row>
    <row r="440" spans="1:13" x14ac:dyDescent="0.35">
      <c r="A440" s="49" t="s">
        <v>4284</v>
      </c>
      <c r="B440" s="49" t="s">
        <v>4285</v>
      </c>
      <c r="C440" s="49" t="s">
        <v>4286</v>
      </c>
      <c r="D440" s="49" t="s">
        <v>1264</v>
      </c>
      <c r="E440" s="49" t="s">
        <v>2785</v>
      </c>
      <c r="F440" s="49" t="s">
        <v>2792</v>
      </c>
      <c r="G440" s="49" t="s">
        <v>2787</v>
      </c>
      <c r="H440" s="49" t="s">
        <v>980</v>
      </c>
      <c r="I440" s="50">
        <v>44306</v>
      </c>
      <c r="J440" s="50">
        <v>45185</v>
      </c>
      <c r="K440" s="50">
        <v>45366</v>
      </c>
      <c r="M440" s="49" t="s">
        <v>4287</v>
      </c>
    </row>
    <row r="441" spans="1:13" x14ac:dyDescent="0.35">
      <c r="A441" s="49" t="s">
        <v>4288</v>
      </c>
      <c r="B441" s="49" t="s">
        <v>2803</v>
      </c>
      <c r="C441" s="49" t="s">
        <v>2804</v>
      </c>
      <c r="D441" s="49" t="s">
        <v>1264</v>
      </c>
      <c r="E441" s="49" t="s">
        <v>2785</v>
      </c>
      <c r="F441" s="49" t="s">
        <v>2805</v>
      </c>
      <c r="G441" s="49" t="s">
        <v>2787</v>
      </c>
      <c r="H441" s="49" t="s">
        <v>2806</v>
      </c>
      <c r="I441" s="50">
        <v>44238</v>
      </c>
      <c r="K441" s="50">
        <v>45510</v>
      </c>
      <c r="M441" s="49" t="s">
        <v>4289</v>
      </c>
    </row>
    <row r="442" spans="1:13" x14ac:dyDescent="0.35">
      <c r="A442" s="49" t="s">
        <v>4290</v>
      </c>
      <c r="B442" s="49" t="s">
        <v>2942</v>
      </c>
      <c r="C442" s="49" t="s">
        <v>4291</v>
      </c>
      <c r="D442" s="49" t="s">
        <v>1264</v>
      </c>
      <c r="E442" s="49" t="s">
        <v>2908</v>
      </c>
      <c r="F442" s="49" t="s">
        <v>2939</v>
      </c>
      <c r="G442" s="49" t="s">
        <v>2787</v>
      </c>
      <c r="H442" s="49" t="s">
        <v>980</v>
      </c>
      <c r="I442" s="50">
        <v>43116</v>
      </c>
      <c r="J442" s="50">
        <v>43494</v>
      </c>
      <c r="K442" s="50">
        <v>45319</v>
      </c>
      <c r="M442" s="49" t="s">
        <v>3871</v>
      </c>
    </row>
    <row r="443" spans="1:13" x14ac:dyDescent="0.35">
      <c r="A443" s="49" t="s">
        <v>4292</v>
      </c>
      <c r="B443" s="49" t="s">
        <v>4293</v>
      </c>
      <c r="C443" s="49" t="s">
        <v>4294</v>
      </c>
      <c r="D443" s="49" t="s">
        <v>1264</v>
      </c>
      <c r="E443" s="49" t="s">
        <v>2785</v>
      </c>
      <c r="F443" s="49" t="s">
        <v>2786</v>
      </c>
      <c r="G443" s="49" t="s">
        <v>2787</v>
      </c>
      <c r="H443" s="49" t="s">
        <v>980</v>
      </c>
      <c r="I443" s="50">
        <v>43804</v>
      </c>
      <c r="J443" s="50">
        <v>43881</v>
      </c>
      <c r="K443" s="50">
        <v>45511</v>
      </c>
      <c r="M443" s="49" t="s">
        <v>4295</v>
      </c>
    </row>
    <row r="444" spans="1:13" x14ac:dyDescent="0.35">
      <c r="A444" s="49" t="s">
        <v>4296</v>
      </c>
      <c r="C444" s="49" t="s">
        <v>2850</v>
      </c>
      <c r="D444" s="49" t="s">
        <v>1264</v>
      </c>
      <c r="E444" s="49" t="s">
        <v>2785</v>
      </c>
      <c r="F444" s="49" t="s">
        <v>2792</v>
      </c>
      <c r="G444" s="49" t="s">
        <v>2787</v>
      </c>
      <c r="H444" s="49" t="s">
        <v>8</v>
      </c>
      <c r="I444" s="50">
        <v>44294</v>
      </c>
      <c r="J444" s="50">
        <v>44337</v>
      </c>
      <c r="K444" s="50">
        <v>44701</v>
      </c>
      <c r="M444" s="49" t="s">
        <v>4297</v>
      </c>
    </row>
    <row r="445" spans="1:13" x14ac:dyDescent="0.35">
      <c r="A445" s="49" t="s">
        <v>4298</v>
      </c>
      <c r="C445" s="49" t="s">
        <v>4299</v>
      </c>
      <c r="D445" s="49" t="s">
        <v>1264</v>
      </c>
      <c r="E445" s="49" t="s">
        <v>2785</v>
      </c>
      <c r="F445" s="49" t="s">
        <v>2786</v>
      </c>
      <c r="G445" s="49" t="s">
        <v>2787</v>
      </c>
      <c r="H445" s="49" t="s">
        <v>980</v>
      </c>
      <c r="I445" s="50">
        <v>44277</v>
      </c>
      <c r="J445" s="50">
        <v>44403</v>
      </c>
      <c r="K445" s="50">
        <v>45428</v>
      </c>
      <c r="M445" s="49" t="s">
        <v>4300</v>
      </c>
    </row>
    <row r="446" spans="1:13" x14ac:dyDescent="0.35">
      <c r="A446" s="49" t="s">
        <v>4301</v>
      </c>
      <c r="B446" s="49" t="s">
        <v>4302</v>
      </c>
      <c r="C446" s="49" t="s">
        <v>2791</v>
      </c>
      <c r="D446" s="49" t="s">
        <v>1264</v>
      </c>
      <c r="E446" s="49" t="s">
        <v>2785</v>
      </c>
      <c r="F446" s="49" t="s">
        <v>2792</v>
      </c>
      <c r="G446" s="49" t="s">
        <v>2787</v>
      </c>
      <c r="H446" s="49" t="s">
        <v>857</v>
      </c>
      <c r="I446" s="50">
        <v>44250</v>
      </c>
      <c r="J446" s="50">
        <v>44305</v>
      </c>
      <c r="K446" s="50">
        <v>45510</v>
      </c>
      <c r="M446" s="49" t="s">
        <v>4303</v>
      </c>
    </row>
    <row r="447" spans="1:13" x14ac:dyDescent="0.35">
      <c r="A447" s="49" t="s">
        <v>4304</v>
      </c>
      <c r="B447" s="49" t="s">
        <v>4305</v>
      </c>
      <c r="C447" s="49" t="s">
        <v>4306</v>
      </c>
      <c r="D447" s="49" t="s">
        <v>1264</v>
      </c>
      <c r="E447" s="49" t="s">
        <v>2814</v>
      </c>
      <c r="F447" s="49" t="s">
        <v>2825</v>
      </c>
      <c r="G447" s="49" t="s">
        <v>2787</v>
      </c>
      <c r="H447" s="49" t="s">
        <v>2827</v>
      </c>
      <c r="I447" s="50">
        <v>44287</v>
      </c>
      <c r="J447" s="50">
        <v>44335</v>
      </c>
      <c r="K447" s="50">
        <v>44698</v>
      </c>
      <c r="M447" s="49" t="s">
        <v>4307</v>
      </c>
    </row>
    <row r="448" spans="1:13" x14ac:dyDescent="0.35">
      <c r="A448" s="49" t="s">
        <v>4308</v>
      </c>
      <c r="B448" s="49" t="s">
        <v>4309</v>
      </c>
      <c r="C448" s="49" t="s">
        <v>4310</v>
      </c>
      <c r="D448" s="49" t="s">
        <v>1264</v>
      </c>
      <c r="E448" s="49" t="s">
        <v>2814</v>
      </c>
      <c r="F448" s="49" t="s">
        <v>2825</v>
      </c>
      <c r="G448" s="49" t="s">
        <v>2787</v>
      </c>
      <c r="H448" s="49" t="s">
        <v>2827</v>
      </c>
      <c r="I448" s="50">
        <v>44326</v>
      </c>
      <c r="J448" s="50">
        <v>44342</v>
      </c>
      <c r="K448" s="50">
        <v>44525</v>
      </c>
      <c r="M448" s="49" t="s">
        <v>4311</v>
      </c>
    </row>
    <row r="449" spans="1:13" x14ac:dyDescent="0.35">
      <c r="A449" s="49" t="s">
        <v>4312</v>
      </c>
      <c r="B449" s="49" t="s">
        <v>4313</v>
      </c>
      <c r="C449" s="49" t="s">
        <v>4314</v>
      </c>
      <c r="D449" s="49" t="s">
        <v>1264</v>
      </c>
      <c r="E449" s="49" t="s">
        <v>2986</v>
      </c>
      <c r="F449" s="49" t="s">
        <v>2825</v>
      </c>
      <c r="G449" s="49" t="s">
        <v>2787</v>
      </c>
      <c r="H449" s="49" t="s">
        <v>2827</v>
      </c>
      <c r="I449" s="50">
        <v>44032</v>
      </c>
      <c r="J449" s="50">
        <v>44321</v>
      </c>
      <c r="K449" s="50">
        <v>45416</v>
      </c>
      <c r="M449" s="49" t="s">
        <v>4315</v>
      </c>
    </row>
    <row r="450" spans="1:13" x14ac:dyDescent="0.35">
      <c r="A450" s="49" t="s">
        <v>4316</v>
      </c>
      <c r="B450" s="49" t="s">
        <v>4317</v>
      </c>
      <c r="C450" s="49" t="s">
        <v>2850</v>
      </c>
      <c r="D450" s="49" t="s">
        <v>1264</v>
      </c>
      <c r="E450" s="49" t="s">
        <v>2785</v>
      </c>
      <c r="F450" s="49" t="s">
        <v>2792</v>
      </c>
      <c r="G450" s="49" t="s">
        <v>2787</v>
      </c>
      <c r="H450" s="49" t="s">
        <v>8</v>
      </c>
      <c r="I450" s="50">
        <v>44323</v>
      </c>
      <c r="J450" s="50">
        <v>44383</v>
      </c>
      <c r="K450" s="50">
        <v>45428</v>
      </c>
      <c r="M450" s="49" t="s">
        <v>4318</v>
      </c>
    </row>
    <row r="451" spans="1:13" x14ac:dyDescent="0.35">
      <c r="A451" s="49" t="s">
        <v>4319</v>
      </c>
      <c r="C451" s="49" t="s">
        <v>4320</v>
      </c>
      <c r="D451" s="49" t="s">
        <v>1264</v>
      </c>
      <c r="E451" s="49" t="s">
        <v>2785</v>
      </c>
      <c r="F451" s="49" t="s">
        <v>2792</v>
      </c>
      <c r="G451" s="49" t="s">
        <v>2787</v>
      </c>
      <c r="H451" s="49" t="s">
        <v>980</v>
      </c>
      <c r="I451" s="50">
        <v>43803</v>
      </c>
      <c r="J451" s="50">
        <v>43913</v>
      </c>
      <c r="K451" s="50">
        <v>44642</v>
      </c>
      <c r="M451" s="49" t="s">
        <v>4321</v>
      </c>
    </row>
    <row r="452" spans="1:13" x14ac:dyDescent="0.35">
      <c r="A452" s="49" t="s">
        <v>4322</v>
      </c>
      <c r="C452" s="49" t="s">
        <v>4323</v>
      </c>
      <c r="D452" s="49" t="s">
        <v>1264</v>
      </c>
      <c r="E452" s="49" t="s">
        <v>2785</v>
      </c>
      <c r="F452" s="49" t="s">
        <v>2792</v>
      </c>
      <c r="G452" s="49" t="s">
        <v>2787</v>
      </c>
      <c r="H452" s="49" t="s">
        <v>980</v>
      </c>
      <c r="I452" s="50">
        <v>43769</v>
      </c>
      <c r="K452" s="50">
        <v>44289</v>
      </c>
      <c r="M452" s="49" t="s">
        <v>4324</v>
      </c>
    </row>
    <row r="453" spans="1:13" x14ac:dyDescent="0.35">
      <c r="A453" s="49" t="s">
        <v>4325</v>
      </c>
      <c r="C453" s="49" t="s">
        <v>4326</v>
      </c>
      <c r="D453" s="49" t="s">
        <v>1264</v>
      </c>
      <c r="E453" s="49" t="s">
        <v>2785</v>
      </c>
      <c r="F453" s="49" t="s">
        <v>2792</v>
      </c>
      <c r="G453" s="49" t="s">
        <v>2787</v>
      </c>
      <c r="H453" s="49" t="s">
        <v>980</v>
      </c>
      <c r="I453" s="50">
        <v>44305</v>
      </c>
      <c r="J453" s="50">
        <v>44349</v>
      </c>
      <c r="K453" s="50">
        <v>45428</v>
      </c>
      <c r="M453" s="49" t="s">
        <v>4327</v>
      </c>
    </row>
    <row r="454" spans="1:13" x14ac:dyDescent="0.35">
      <c r="A454" s="49" t="s">
        <v>4328</v>
      </c>
      <c r="C454" s="49" t="s">
        <v>4329</v>
      </c>
      <c r="D454" s="49" t="s">
        <v>1264</v>
      </c>
      <c r="E454" s="49" t="s">
        <v>2908</v>
      </c>
      <c r="F454" s="49" t="s">
        <v>2837</v>
      </c>
      <c r="G454" s="49" t="s">
        <v>4330</v>
      </c>
      <c r="H454" s="49" t="s">
        <v>2827</v>
      </c>
      <c r="I454" s="50">
        <v>44313</v>
      </c>
      <c r="M454" s="49" t="s">
        <v>4331</v>
      </c>
    </row>
    <row r="455" spans="1:13" x14ac:dyDescent="0.35">
      <c r="A455" s="49" t="s">
        <v>4332</v>
      </c>
      <c r="C455" s="49" t="s">
        <v>4333</v>
      </c>
      <c r="D455" s="49" t="s">
        <v>1264</v>
      </c>
      <c r="E455" s="49" t="s">
        <v>2814</v>
      </c>
      <c r="F455" s="49" t="s">
        <v>2837</v>
      </c>
      <c r="G455" s="49" t="s">
        <v>2787</v>
      </c>
      <c r="H455" s="49" t="s">
        <v>2827</v>
      </c>
      <c r="I455" s="50">
        <v>44327</v>
      </c>
      <c r="J455" s="50">
        <v>44355</v>
      </c>
      <c r="K455" s="50">
        <v>44719</v>
      </c>
      <c r="M455" s="49" t="s">
        <v>4334</v>
      </c>
    </row>
    <row r="456" spans="1:13" x14ac:dyDescent="0.35">
      <c r="A456" s="49" t="s">
        <v>4335</v>
      </c>
      <c r="C456" s="49" t="s">
        <v>4336</v>
      </c>
      <c r="D456" s="49" t="s">
        <v>1264</v>
      </c>
      <c r="E456" s="49" t="s">
        <v>2986</v>
      </c>
      <c r="F456" s="49" t="s">
        <v>2825</v>
      </c>
      <c r="G456" s="49" t="s">
        <v>4330</v>
      </c>
      <c r="H456" s="49" t="s">
        <v>2827</v>
      </c>
      <c r="I456" s="50">
        <v>44076</v>
      </c>
      <c r="M456" s="49" t="s">
        <v>4337</v>
      </c>
    </row>
    <row r="457" spans="1:13" x14ac:dyDescent="0.35">
      <c r="A457" s="49" t="s">
        <v>4338</v>
      </c>
      <c r="C457" s="49" t="s">
        <v>4339</v>
      </c>
      <c r="D457" s="49" t="s">
        <v>1264</v>
      </c>
      <c r="E457" s="49" t="s">
        <v>2908</v>
      </c>
      <c r="F457" s="49" t="s">
        <v>2837</v>
      </c>
      <c r="G457" s="49" t="s">
        <v>2776</v>
      </c>
      <c r="H457" s="49" t="s">
        <v>980</v>
      </c>
      <c r="I457" s="50">
        <v>43133</v>
      </c>
      <c r="M457" s="49" t="s">
        <v>4340</v>
      </c>
    </row>
    <row r="458" spans="1:13" x14ac:dyDescent="0.35">
      <c r="A458" s="49" t="s">
        <v>4341</v>
      </c>
      <c r="C458" s="49" t="s">
        <v>3708</v>
      </c>
      <c r="D458" s="49" t="s">
        <v>1264</v>
      </c>
      <c r="E458" s="49" t="s">
        <v>2908</v>
      </c>
      <c r="F458" s="49" t="s">
        <v>2805</v>
      </c>
      <c r="G458" s="49" t="s">
        <v>2776</v>
      </c>
      <c r="H458" s="49" t="s">
        <v>2827</v>
      </c>
      <c r="I458" s="50">
        <v>43157</v>
      </c>
      <c r="M458" s="49" t="s">
        <v>4342</v>
      </c>
    </row>
    <row r="459" spans="1:13" x14ac:dyDescent="0.35">
      <c r="A459" s="49" t="s">
        <v>4343</v>
      </c>
      <c r="C459" s="49" t="s">
        <v>3494</v>
      </c>
      <c r="D459" s="49" t="s">
        <v>1264</v>
      </c>
      <c r="E459" s="49" t="s">
        <v>2908</v>
      </c>
      <c r="F459" s="49" t="s">
        <v>2939</v>
      </c>
      <c r="G459" s="49" t="s">
        <v>2776</v>
      </c>
      <c r="H459" s="49" t="s">
        <v>980</v>
      </c>
      <c r="I459" s="50">
        <v>43458</v>
      </c>
      <c r="M459" s="49" t="s">
        <v>3497</v>
      </c>
    </row>
    <row r="460" spans="1:13" x14ac:dyDescent="0.35">
      <c r="A460" s="49" t="s">
        <v>4344</v>
      </c>
      <c r="C460" s="49" t="s">
        <v>4345</v>
      </c>
      <c r="D460" s="49" t="s">
        <v>1264</v>
      </c>
      <c r="E460" s="49" t="s">
        <v>2908</v>
      </c>
      <c r="F460" s="49" t="s">
        <v>2837</v>
      </c>
      <c r="G460" s="49" t="s">
        <v>2901</v>
      </c>
      <c r="H460" s="49" t="s">
        <v>2827</v>
      </c>
      <c r="I460" s="50">
        <v>44312</v>
      </c>
      <c r="J460" s="50">
        <v>44439</v>
      </c>
      <c r="K460" s="50">
        <v>46264</v>
      </c>
      <c r="M460" s="49" t="s">
        <v>4346</v>
      </c>
    </row>
    <row r="461" spans="1:13" x14ac:dyDescent="0.35">
      <c r="A461" s="49" t="s">
        <v>4347</v>
      </c>
      <c r="C461" s="49" t="s">
        <v>4348</v>
      </c>
      <c r="D461" s="49" t="s">
        <v>1264</v>
      </c>
      <c r="E461" s="49" t="s">
        <v>2814</v>
      </c>
      <c r="F461" s="49" t="s">
        <v>2786</v>
      </c>
      <c r="G461" s="49" t="s">
        <v>2787</v>
      </c>
      <c r="H461" s="49" t="s">
        <v>980</v>
      </c>
      <c r="I461" s="50">
        <v>44327</v>
      </c>
      <c r="J461" s="50">
        <v>44362</v>
      </c>
      <c r="K461" s="50">
        <v>44544</v>
      </c>
      <c r="M461" s="49" t="s">
        <v>4349</v>
      </c>
    </row>
    <row r="462" spans="1:13" x14ac:dyDescent="0.35">
      <c r="A462" s="49" t="s">
        <v>4350</v>
      </c>
      <c r="B462" s="49" t="s">
        <v>4351</v>
      </c>
      <c r="C462" s="49" t="s">
        <v>4044</v>
      </c>
      <c r="D462" s="49" t="s">
        <v>1264</v>
      </c>
      <c r="E462" s="49" t="s">
        <v>2986</v>
      </c>
      <c r="F462" s="49" t="s">
        <v>2825</v>
      </c>
      <c r="G462" s="49" t="s">
        <v>2901</v>
      </c>
      <c r="H462" s="49" t="s">
        <v>2827</v>
      </c>
      <c r="I462" s="50">
        <v>44298</v>
      </c>
      <c r="J462" s="50">
        <v>44383</v>
      </c>
      <c r="K462" s="50">
        <v>45478</v>
      </c>
      <c r="M462" s="49" t="s">
        <v>4352</v>
      </c>
    </row>
    <row r="463" spans="1:13" x14ac:dyDescent="0.35">
      <c r="A463" s="49" t="s">
        <v>4353</v>
      </c>
      <c r="C463" s="49" t="s">
        <v>4004</v>
      </c>
      <c r="D463" s="49" t="s">
        <v>1264</v>
      </c>
      <c r="E463" s="49" t="s">
        <v>2908</v>
      </c>
      <c r="F463" s="49" t="s">
        <v>2837</v>
      </c>
      <c r="G463" s="49" t="s">
        <v>2776</v>
      </c>
      <c r="H463" s="49" t="s">
        <v>980</v>
      </c>
      <c r="I463" s="50">
        <v>43522</v>
      </c>
      <c r="M463" s="49" t="s">
        <v>4354</v>
      </c>
    </row>
    <row r="464" spans="1:13" x14ac:dyDescent="0.35">
      <c r="A464" s="49" t="s">
        <v>4355</v>
      </c>
      <c r="C464" s="49" t="s">
        <v>4356</v>
      </c>
      <c r="D464" s="49" t="s">
        <v>1264</v>
      </c>
      <c r="E464" s="49" t="s">
        <v>2908</v>
      </c>
      <c r="F464" s="49" t="s">
        <v>2837</v>
      </c>
      <c r="G464" s="49" t="s">
        <v>2901</v>
      </c>
      <c r="H464" s="49" t="s">
        <v>2827</v>
      </c>
      <c r="I464" s="50">
        <v>43269</v>
      </c>
      <c r="J464" s="50">
        <v>44379</v>
      </c>
      <c r="K464" s="50">
        <v>46204</v>
      </c>
      <c r="M464" s="49" t="s">
        <v>4357</v>
      </c>
    </row>
    <row r="465" spans="1:13" x14ac:dyDescent="0.35">
      <c r="A465" s="49" t="s">
        <v>4358</v>
      </c>
      <c r="C465" s="49" t="s">
        <v>4359</v>
      </c>
      <c r="D465" s="49" t="s">
        <v>1264</v>
      </c>
      <c r="E465" s="49" t="s">
        <v>2785</v>
      </c>
      <c r="F465" s="49" t="s">
        <v>2786</v>
      </c>
      <c r="G465" s="49" t="s">
        <v>2787</v>
      </c>
      <c r="H465" s="49" t="s">
        <v>980</v>
      </c>
      <c r="I465" s="50">
        <v>44278</v>
      </c>
      <c r="K465" s="50">
        <v>45510</v>
      </c>
      <c r="M465" s="49" t="s">
        <v>4360</v>
      </c>
    </row>
    <row r="466" spans="1:13" x14ac:dyDescent="0.35">
      <c r="A466" s="49" t="s">
        <v>4361</v>
      </c>
      <c r="B466" s="49" t="s">
        <v>4362</v>
      </c>
      <c r="C466" s="49" t="s">
        <v>2796</v>
      </c>
      <c r="D466" s="49" t="s">
        <v>1264</v>
      </c>
      <c r="E466" s="49" t="s">
        <v>2785</v>
      </c>
      <c r="F466" s="49" t="s">
        <v>2786</v>
      </c>
      <c r="G466" s="49" t="s">
        <v>2787</v>
      </c>
      <c r="H466" s="49" t="s">
        <v>8</v>
      </c>
      <c r="I466" s="50">
        <v>44133</v>
      </c>
      <c r="J466" s="50">
        <v>43861</v>
      </c>
      <c r="K466" s="50">
        <v>44226</v>
      </c>
      <c r="M466" s="49" t="s">
        <v>4363</v>
      </c>
    </row>
    <row r="467" spans="1:13" x14ac:dyDescent="0.35">
      <c r="A467" s="49" t="s">
        <v>4364</v>
      </c>
      <c r="C467" s="49" t="s">
        <v>4365</v>
      </c>
      <c r="D467" s="49" t="s">
        <v>1264</v>
      </c>
      <c r="E467" s="49" t="s">
        <v>2974</v>
      </c>
      <c r="F467" s="49" t="s">
        <v>2825</v>
      </c>
      <c r="G467" s="49" t="s">
        <v>2826</v>
      </c>
      <c r="H467" s="49" t="s">
        <v>2827</v>
      </c>
      <c r="I467" s="50">
        <v>44109</v>
      </c>
      <c r="M467" s="49" t="s">
        <v>3859</v>
      </c>
    </row>
    <row r="468" spans="1:13" x14ac:dyDescent="0.35">
      <c r="A468" s="49" t="s">
        <v>4366</v>
      </c>
      <c r="B468" s="49" t="s">
        <v>4367</v>
      </c>
      <c r="C468" s="49" t="s">
        <v>2973</v>
      </c>
      <c r="D468" s="49" t="s">
        <v>1264</v>
      </c>
      <c r="E468" s="49" t="s">
        <v>2814</v>
      </c>
      <c r="F468" s="49" t="s">
        <v>2825</v>
      </c>
      <c r="G468" s="49" t="s">
        <v>2787</v>
      </c>
      <c r="H468" s="49" t="s">
        <v>2827</v>
      </c>
      <c r="I468" s="50">
        <v>44335</v>
      </c>
      <c r="J468" s="50">
        <v>44369</v>
      </c>
      <c r="K468" s="50">
        <v>44733</v>
      </c>
      <c r="M468" s="49" t="s">
        <v>4368</v>
      </c>
    </row>
    <row r="469" spans="1:13" x14ac:dyDescent="0.35">
      <c r="A469" s="49" t="s">
        <v>4369</v>
      </c>
      <c r="B469" s="49" t="s">
        <v>2937</v>
      </c>
      <c r="C469" s="49" t="s">
        <v>4370</v>
      </c>
      <c r="D469" s="49" t="s">
        <v>1264</v>
      </c>
      <c r="E469" s="49" t="s">
        <v>2814</v>
      </c>
      <c r="F469" s="49" t="s">
        <v>2939</v>
      </c>
      <c r="G469" s="49" t="s">
        <v>2787</v>
      </c>
      <c r="H469" s="49" t="s">
        <v>980</v>
      </c>
      <c r="I469" s="50">
        <v>44368</v>
      </c>
      <c r="J469" s="50">
        <v>44372</v>
      </c>
      <c r="K469" s="50">
        <v>44736</v>
      </c>
      <c r="M469" s="49" t="s">
        <v>4371</v>
      </c>
    </row>
    <row r="470" spans="1:13" x14ac:dyDescent="0.35">
      <c r="A470" s="49" t="s">
        <v>4372</v>
      </c>
      <c r="C470" s="49" t="s">
        <v>3777</v>
      </c>
      <c r="D470" s="49" t="s">
        <v>1264</v>
      </c>
      <c r="E470" s="49" t="s">
        <v>2785</v>
      </c>
      <c r="F470" s="49" t="s">
        <v>3253</v>
      </c>
      <c r="G470" s="49" t="s">
        <v>2787</v>
      </c>
      <c r="H470" s="49" t="s">
        <v>973</v>
      </c>
      <c r="I470" s="50">
        <v>44230</v>
      </c>
      <c r="K470" s="50">
        <v>45510</v>
      </c>
      <c r="M470" s="49" t="s">
        <v>4373</v>
      </c>
    </row>
    <row r="471" spans="1:13" x14ac:dyDescent="0.35">
      <c r="A471" s="49" t="s">
        <v>4374</v>
      </c>
      <c r="B471" s="49" t="s">
        <v>4375</v>
      </c>
      <c r="C471" s="49" t="s">
        <v>4376</v>
      </c>
      <c r="D471" s="49" t="s">
        <v>1264</v>
      </c>
      <c r="E471" s="49" t="s">
        <v>2785</v>
      </c>
      <c r="F471" s="49" t="s">
        <v>2792</v>
      </c>
      <c r="G471" s="49" t="s">
        <v>2787</v>
      </c>
      <c r="H471" s="49" t="s">
        <v>8</v>
      </c>
      <c r="I471" s="50">
        <v>44364</v>
      </c>
      <c r="K471" s="50">
        <v>45510</v>
      </c>
      <c r="M471" s="49" t="s">
        <v>4377</v>
      </c>
    </row>
    <row r="472" spans="1:13" x14ac:dyDescent="0.35">
      <c r="A472" s="49" t="s">
        <v>4378</v>
      </c>
      <c r="B472" s="49" t="s">
        <v>4379</v>
      </c>
      <c r="C472" s="49" t="s">
        <v>4380</v>
      </c>
      <c r="D472" s="49" t="s">
        <v>1264</v>
      </c>
      <c r="E472" s="49" t="s">
        <v>2785</v>
      </c>
      <c r="F472" s="49" t="s">
        <v>2792</v>
      </c>
      <c r="G472" s="49" t="s">
        <v>2787</v>
      </c>
      <c r="H472" s="49" t="s">
        <v>8</v>
      </c>
      <c r="I472" s="50">
        <v>44032</v>
      </c>
      <c r="J472" s="50">
        <v>44377</v>
      </c>
      <c r="K472" s="50">
        <v>45428</v>
      </c>
      <c r="M472" s="49" t="s">
        <v>4381</v>
      </c>
    </row>
    <row r="473" spans="1:13" x14ac:dyDescent="0.35">
      <c r="A473" s="49" t="s">
        <v>4382</v>
      </c>
      <c r="C473" s="49" t="s">
        <v>4383</v>
      </c>
      <c r="D473" s="49" t="s">
        <v>1264</v>
      </c>
      <c r="E473" s="49" t="s">
        <v>3443</v>
      </c>
      <c r="F473" s="49" t="s">
        <v>3124</v>
      </c>
      <c r="G473" s="49" t="s">
        <v>2901</v>
      </c>
      <c r="H473" s="49" t="s">
        <v>980</v>
      </c>
      <c r="I473" s="50">
        <v>44294</v>
      </c>
      <c r="J473" s="50">
        <v>44315</v>
      </c>
      <c r="K473" s="50">
        <v>46140</v>
      </c>
    </row>
    <row r="474" spans="1:13" x14ac:dyDescent="0.35">
      <c r="A474" s="49" t="s">
        <v>4384</v>
      </c>
      <c r="C474" s="49" t="s">
        <v>4385</v>
      </c>
      <c r="D474" s="49" t="s">
        <v>1264</v>
      </c>
      <c r="E474" s="49" t="s">
        <v>3748</v>
      </c>
      <c r="F474" s="49" t="s">
        <v>2792</v>
      </c>
      <c r="G474" s="49" t="s">
        <v>2901</v>
      </c>
      <c r="H474" s="49" t="s">
        <v>973</v>
      </c>
      <c r="I474" s="50">
        <v>44280</v>
      </c>
      <c r="J474" s="50">
        <v>44315</v>
      </c>
      <c r="K474" s="50">
        <v>46140</v>
      </c>
      <c r="M474" s="49" t="s">
        <v>4386</v>
      </c>
    </row>
    <row r="475" spans="1:13" x14ac:dyDescent="0.35">
      <c r="A475" s="49" t="s">
        <v>4387</v>
      </c>
      <c r="C475" s="49" t="s">
        <v>4388</v>
      </c>
      <c r="D475" s="49" t="s">
        <v>1264</v>
      </c>
      <c r="E475" s="49" t="s">
        <v>3443</v>
      </c>
      <c r="F475" s="49" t="s">
        <v>3124</v>
      </c>
      <c r="G475" s="49" t="s">
        <v>4330</v>
      </c>
      <c r="H475" s="49" t="s">
        <v>980</v>
      </c>
      <c r="I475" s="50">
        <v>44181</v>
      </c>
      <c r="M475" s="49" t="s">
        <v>4389</v>
      </c>
    </row>
    <row r="476" spans="1:13" ht="29" x14ac:dyDescent="0.35">
      <c r="A476" s="49" t="s">
        <v>4390</v>
      </c>
      <c r="B476" s="51" t="s">
        <v>4391</v>
      </c>
      <c r="C476" s="49" t="s">
        <v>3882</v>
      </c>
      <c r="D476" s="49" t="s">
        <v>1264</v>
      </c>
      <c r="E476" s="49" t="s">
        <v>2785</v>
      </c>
      <c r="F476" s="49" t="s">
        <v>2805</v>
      </c>
      <c r="G476" s="49" t="s">
        <v>2787</v>
      </c>
      <c r="H476" s="49" t="s">
        <v>980</v>
      </c>
      <c r="I476" s="50">
        <v>44755</v>
      </c>
      <c r="J476" s="50">
        <v>44804</v>
      </c>
      <c r="K476" s="50">
        <v>44806</v>
      </c>
      <c r="L476" s="50">
        <v>45169</v>
      </c>
      <c r="M476" s="49" t="s">
        <v>4392</v>
      </c>
    </row>
    <row r="477" spans="1:13" x14ac:dyDescent="0.35">
      <c r="A477" s="49" t="s">
        <v>4393</v>
      </c>
      <c r="B477" s="49" t="s">
        <v>4394</v>
      </c>
      <c r="C477" s="49" t="s">
        <v>4395</v>
      </c>
      <c r="D477" s="49" t="s">
        <v>1264</v>
      </c>
      <c r="E477" s="49" t="s">
        <v>2873</v>
      </c>
      <c r="F477" s="49" t="s">
        <v>2792</v>
      </c>
      <c r="G477" s="49" t="s">
        <v>2787</v>
      </c>
      <c r="H477" s="49" t="s">
        <v>4225</v>
      </c>
      <c r="I477" s="50">
        <v>44358</v>
      </c>
      <c r="J477" s="50">
        <v>44417</v>
      </c>
      <c r="K477" s="50">
        <v>44781</v>
      </c>
      <c r="M477" s="49" t="s">
        <v>4396</v>
      </c>
    </row>
    <row r="478" spans="1:13" x14ac:dyDescent="0.35">
      <c r="A478" s="49" t="s">
        <v>4397</v>
      </c>
      <c r="B478" s="49" t="s">
        <v>4398</v>
      </c>
      <c r="C478" s="49" t="s">
        <v>4399</v>
      </c>
      <c r="D478" s="49" t="s">
        <v>1264</v>
      </c>
      <c r="E478" s="49" t="s">
        <v>2814</v>
      </c>
      <c r="F478" s="49" t="s">
        <v>2825</v>
      </c>
      <c r="G478" s="49" t="s">
        <v>2787</v>
      </c>
      <c r="H478" s="49" t="s">
        <v>2827</v>
      </c>
      <c r="I478" s="50">
        <v>44368</v>
      </c>
      <c r="J478" s="50">
        <v>44382</v>
      </c>
      <c r="K478" s="50">
        <v>44746</v>
      </c>
      <c r="M478" s="49" t="s">
        <v>4400</v>
      </c>
    </row>
    <row r="479" spans="1:13" x14ac:dyDescent="0.35">
      <c r="A479" s="49" t="s">
        <v>4401</v>
      </c>
      <c r="B479" s="49" t="s">
        <v>4184</v>
      </c>
      <c r="C479" s="49" t="s">
        <v>4161</v>
      </c>
      <c r="D479" s="49" t="s">
        <v>1264</v>
      </c>
      <c r="E479" s="49" t="s">
        <v>2785</v>
      </c>
      <c r="F479" s="49" t="s">
        <v>2786</v>
      </c>
      <c r="G479" s="49" t="s">
        <v>2776</v>
      </c>
      <c r="H479" s="49" t="s">
        <v>2827</v>
      </c>
      <c r="I479" s="50">
        <v>44229</v>
      </c>
      <c r="M479" s="49" t="s">
        <v>4402</v>
      </c>
    </row>
    <row r="480" spans="1:13" x14ac:dyDescent="0.35">
      <c r="A480" s="49" t="s">
        <v>4403</v>
      </c>
      <c r="B480" s="49" t="s">
        <v>4404</v>
      </c>
      <c r="C480" s="49" t="s">
        <v>4161</v>
      </c>
      <c r="D480" s="49" t="s">
        <v>1264</v>
      </c>
      <c r="E480" s="49" t="s">
        <v>2785</v>
      </c>
      <c r="F480" s="49" t="s">
        <v>2786</v>
      </c>
      <c r="G480" s="49" t="s">
        <v>2776</v>
      </c>
      <c r="H480" s="49" t="s">
        <v>2827</v>
      </c>
      <c r="I480" s="50">
        <v>44309</v>
      </c>
      <c r="M480" s="49" t="s">
        <v>4405</v>
      </c>
    </row>
    <row r="481" spans="1:13" x14ac:dyDescent="0.35">
      <c r="A481" s="49" t="s">
        <v>4406</v>
      </c>
      <c r="B481" s="49" t="s">
        <v>4407</v>
      </c>
      <c r="C481" s="49" t="s">
        <v>4408</v>
      </c>
      <c r="D481" s="49" t="s">
        <v>1264</v>
      </c>
      <c r="E481" s="49" t="s">
        <v>2785</v>
      </c>
      <c r="F481" s="49" t="s">
        <v>2792</v>
      </c>
      <c r="G481" s="49" t="s">
        <v>2776</v>
      </c>
      <c r="H481" s="49" t="s">
        <v>980</v>
      </c>
      <c r="I481" s="50">
        <v>44266</v>
      </c>
      <c r="M481" s="49" t="s">
        <v>4409</v>
      </c>
    </row>
    <row r="482" spans="1:13" x14ac:dyDescent="0.35">
      <c r="A482" s="49" t="s">
        <v>4410</v>
      </c>
      <c r="B482" s="49" t="s">
        <v>4411</v>
      </c>
      <c r="C482" s="49" t="s">
        <v>4412</v>
      </c>
      <c r="D482" s="49" t="s">
        <v>1264</v>
      </c>
      <c r="E482" s="49" t="s">
        <v>2814</v>
      </c>
      <c r="F482" s="49" t="s">
        <v>2837</v>
      </c>
      <c r="G482" s="49" t="s">
        <v>2787</v>
      </c>
      <c r="H482" s="49" t="s">
        <v>980</v>
      </c>
      <c r="I482" s="50">
        <v>44382</v>
      </c>
      <c r="J482" s="50">
        <v>44390</v>
      </c>
      <c r="K482" s="50">
        <v>44754</v>
      </c>
      <c r="M482" s="49" t="s">
        <v>4413</v>
      </c>
    </row>
    <row r="483" spans="1:13" x14ac:dyDescent="0.35">
      <c r="A483" s="49" t="s">
        <v>4414</v>
      </c>
      <c r="B483" s="49" t="s">
        <v>3776</v>
      </c>
      <c r="C483" s="49" t="s">
        <v>3693</v>
      </c>
      <c r="D483" s="49" t="s">
        <v>1264</v>
      </c>
      <c r="E483" s="49" t="s">
        <v>2814</v>
      </c>
      <c r="F483" s="49" t="s">
        <v>2837</v>
      </c>
      <c r="G483" s="49" t="s">
        <v>2787</v>
      </c>
      <c r="H483" s="49" t="s">
        <v>973</v>
      </c>
      <c r="I483" s="50">
        <v>44371</v>
      </c>
      <c r="J483" s="50">
        <v>44390</v>
      </c>
      <c r="K483" s="50">
        <v>44754</v>
      </c>
      <c r="M483" s="49" t="s">
        <v>4415</v>
      </c>
    </row>
    <row r="484" spans="1:13" x14ac:dyDescent="0.35">
      <c r="A484" s="49" t="s">
        <v>4416</v>
      </c>
      <c r="B484" s="49" t="s">
        <v>4417</v>
      </c>
      <c r="C484" s="49" t="s">
        <v>4310</v>
      </c>
      <c r="D484" s="49" t="s">
        <v>1264</v>
      </c>
      <c r="E484" s="49" t="s">
        <v>2986</v>
      </c>
      <c r="F484" s="49" t="s">
        <v>2825</v>
      </c>
      <c r="G484" s="49" t="s">
        <v>2921</v>
      </c>
      <c r="H484" s="49" t="s">
        <v>2827</v>
      </c>
      <c r="I484" s="50">
        <v>44251</v>
      </c>
      <c r="J484" s="50">
        <v>44413</v>
      </c>
      <c r="K484" s="50">
        <v>45508</v>
      </c>
      <c r="M484" s="49" t="s">
        <v>4418</v>
      </c>
    </row>
    <row r="485" spans="1:13" x14ac:dyDescent="0.35">
      <c r="A485" s="49" t="s">
        <v>4419</v>
      </c>
      <c r="B485" s="49" t="s">
        <v>4420</v>
      </c>
      <c r="C485" s="49" t="s">
        <v>4421</v>
      </c>
      <c r="D485" s="49" t="s">
        <v>1264</v>
      </c>
      <c r="E485" s="49" t="s">
        <v>2814</v>
      </c>
      <c r="F485" s="49" t="s">
        <v>3005</v>
      </c>
      <c r="G485" s="49" t="s">
        <v>2787</v>
      </c>
      <c r="H485" s="49" t="s">
        <v>980</v>
      </c>
      <c r="I485" s="50">
        <v>44370</v>
      </c>
      <c r="J485" s="50">
        <v>44392</v>
      </c>
      <c r="K485" s="50">
        <v>44575</v>
      </c>
      <c r="M485" s="49" t="s">
        <v>4422</v>
      </c>
    </row>
    <row r="486" spans="1:13" x14ac:dyDescent="0.35">
      <c r="A486" s="49" t="s">
        <v>4423</v>
      </c>
      <c r="C486" s="49" t="s">
        <v>2846</v>
      </c>
      <c r="D486" s="49" t="s">
        <v>1264</v>
      </c>
      <c r="E486" s="49" t="s">
        <v>2908</v>
      </c>
      <c r="F486" s="49" t="s">
        <v>2837</v>
      </c>
      <c r="G486" s="49" t="s">
        <v>4330</v>
      </c>
      <c r="H486" s="49" t="s">
        <v>2827</v>
      </c>
      <c r="I486" s="50">
        <v>43446</v>
      </c>
      <c r="M486" s="49" t="s">
        <v>4424</v>
      </c>
    </row>
    <row r="487" spans="1:13" x14ac:dyDescent="0.35">
      <c r="A487" s="49" t="s">
        <v>4425</v>
      </c>
      <c r="B487" s="49" t="s">
        <v>4426</v>
      </c>
      <c r="C487" s="49" t="s">
        <v>4427</v>
      </c>
      <c r="D487" s="49" t="s">
        <v>1264</v>
      </c>
      <c r="E487" s="49" t="s">
        <v>2974</v>
      </c>
      <c r="F487" s="49" t="s">
        <v>2825</v>
      </c>
      <c r="G487" s="49" t="s">
        <v>2901</v>
      </c>
      <c r="H487" s="49" t="s">
        <v>2827</v>
      </c>
      <c r="I487" s="50">
        <v>44198</v>
      </c>
      <c r="J487" s="50">
        <v>44384</v>
      </c>
      <c r="K487" s="50">
        <v>46209</v>
      </c>
      <c r="M487" s="49" t="s">
        <v>4428</v>
      </c>
    </row>
    <row r="488" spans="1:13" x14ac:dyDescent="0.35">
      <c r="A488" s="49" t="s">
        <v>4429</v>
      </c>
      <c r="C488" s="49" t="s">
        <v>4430</v>
      </c>
      <c r="D488" s="49" t="s">
        <v>1264</v>
      </c>
      <c r="E488" s="49" t="s">
        <v>2814</v>
      </c>
      <c r="F488" s="49" t="s">
        <v>2837</v>
      </c>
      <c r="G488" s="49" t="s">
        <v>2776</v>
      </c>
      <c r="H488" s="49" t="s">
        <v>980</v>
      </c>
      <c r="I488" s="50">
        <v>44158</v>
      </c>
      <c r="M488" s="49" t="s">
        <v>4431</v>
      </c>
    </row>
    <row r="489" spans="1:13" x14ac:dyDescent="0.35">
      <c r="A489" s="49" t="s">
        <v>4432</v>
      </c>
      <c r="C489" s="49" t="s">
        <v>4433</v>
      </c>
      <c r="D489" s="49" t="s">
        <v>1264</v>
      </c>
      <c r="E489" s="49" t="s">
        <v>2908</v>
      </c>
      <c r="F489" s="49" t="s">
        <v>3010</v>
      </c>
      <c r="G489" s="49" t="s">
        <v>2901</v>
      </c>
      <c r="H489" s="49" t="s">
        <v>2827</v>
      </c>
      <c r="I489" s="50">
        <v>44070</v>
      </c>
      <c r="J489" s="50">
        <v>44357</v>
      </c>
      <c r="K489" s="50">
        <v>46182</v>
      </c>
      <c r="M489" s="49" t="s">
        <v>4434</v>
      </c>
    </row>
    <row r="490" spans="1:13" x14ac:dyDescent="0.35">
      <c r="A490" s="49" t="s">
        <v>4435</v>
      </c>
      <c r="B490" s="49" t="s">
        <v>4436</v>
      </c>
      <c r="C490" s="49" t="s">
        <v>3934</v>
      </c>
      <c r="D490" s="49" t="s">
        <v>1264</v>
      </c>
      <c r="E490" s="49" t="s">
        <v>2785</v>
      </c>
      <c r="F490" s="49" t="s">
        <v>2786</v>
      </c>
      <c r="G490" s="49" t="s">
        <v>2787</v>
      </c>
      <c r="H490" s="49" t="s">
        <v>857</v>
      </c>
      <c r="I490" s="50">
        <v>44375</v>
      </c>
      <c r="J490" s="50">
        <v>44411</v>
      </c>
      <c r="K490" s="50">
        <v>44775</v>
      </c>
      <c r="M490" s="49" t="s">
        <v>4437</v>
      </c>
    </row>
    <row r="491" spans="1:13" x14ac:dyDescent="0.35">
      <c r="A491" s="49" t="s">
        <v>4438</v>
      </c>
      <c r="C491" s="49" t="s">
        <v>4439</v>
      </c>
      <c r="D491" s="49" t="s">
        <v>1264</v>
      </c>
      <c r="E491" s="49" t="s">
        <v>2785</v>
      </c>
      <c r="F491" s="49" t="s">
        <v>2786</v>
      </c>
      <c r="G491" s="49" t="s">
        <v>2787</v>
      </c>
      <c r="H491" s="49" t="s">
        <v>980</v>
      </c>
      <c r="I491" s="50">
        <v>44277</v>
      </c>
      <c r="K491" s="50">
        <v>45510</v>
      </c>
      <c r="M491" s="49" t="s">
        <v>4440</v>
      </c>
    </row>
    <row r="492" spans="1:13" x14ac:dyDescent="0.35">
      <c r="A492" s="49" t="s">
        <v>4441</v>
      </c>
      <c r="B492" s="49" t="s">
        <v>4442</v>
      </c>
      <c r="C492" s="49" t="s">
        <v>4443</v>
      </c>
      <c r="D492" s="49" t="s">
        <v>1264</v>
      </c>
      <c r="E492" s="49" t="s">
        <v>2785</v>
      </c>
      <c r="F492" s="49" t="s">
        <v>2792</v>
      </c>
      <c r="G492" s="49" t="s">
        <v>2787</v>
      </c>
      <c r="H492" s="49" t="s">
        <v>980</v>
      </c>
      <c r="I492" s="50">
        <v>44112</v>
      </c>
      <c r="J492" s="50">
        <v>44411</v>
      </c>
      <c r="K492" s="50">
        <v>45428</v>
      </c>
      <c r="M492" s="49" t="s">
        <v>4444</v>
      </c>
    </row>
    <row r="493" spans="1:13" x14ac:dyDescent="0.35">
      <c r="A493" s="49" t="s">
        <v>4445</v>
      </c>
      <c r="C493" s="49" t="s">
        <v>4446</v>
      </c>
      <c r="D493" s="49" t="s">
        <v>1264</v>
      </c>
      <c r="E493" s="49" t="s">
        <v>2785</v>
      </c>
      <c r="F493" s="49" t="s">
        <v>2786</v>
      </c>
      <c r="G493" s="49" t="s">
        <v>2787</v>
      </c>
      <c r="H493" s="49" t="s">
        <v>980</v>
      </c>
      <c r="I493" s="50">
        <v>44278</v>
      </c>
      <c r="K493" s="50">
        <v>45510</v>
      </c>
      <c r="M493" s="49" t="s">
        <v>4447</v>
      </c>
    </row>
    <row r="494" spans="1:13" x14ac:dyDescent="0.35">
      <c r="A494" s="49" t="s">
        <v>4448</v>
      </c>
      <c r="B494" s="49" t="s">
        <v>4449</v>
      </c>
      <c r="C494" s="49" t="s">
        <v>4450</v>
      </c>
      <c r="D494" s="49" t="s">
        <v>1264</v>
      </c>
      <c r="E494" s="49" t="s">
        <v>2814</v>
      </c>
      <c r="F494" s="49" t="s">
        <v>2825</v>
      </c>
      <c r="G494" s="49" t="s">
        <v>2787</v>
      </c>
      <c r="H494" s="49" t="s">
        <v>2827</v>
      </c>
      <c r="I494" s="50">
        <v>44393</v>
      </c>
      <c r="J494" s="50">
        <v>44407</v>
      </c>
      <c r="K494" s="50">
        <v>44590</v>
      </c>
      <c r="M494" s="49" t="s">
        <v>4451</v>
      </c>
    </row>
    <row r="495" spans="1:13" x14ac:dyDescent="0.35">
      <c r="A495" s="49" t="s">
        <v>4452</v>
      </c>
      <c r="B495" s="49" t="s">
        <v>4453</v>
      </c>
      <c r="C495" s="49" t="s">
        <v>4454</v>
      </c>
      <c r="D495" s="49" t="s">
        <v>1264</v>
      </c>
      <c r="E495" s="49" t="s">
        <v>2785</v>
      </c>
      <c r="F495" s="49" t="s">
        <v>2786</v>
      </c>
      <c r="G495" s="49" t="s">
        <v>2787</v>
      </c>
      <c r="H495" s="49" t="s">
        <v>980</v>
      </c>
      <c r="I495" s="50">
        <v>44271</v>
      </c>
      <c r="J495" s="50">
        <v>44414</v>
      </c>
      <c r="K495" s="50">
        <v>45428</v>
      </c>
      <c r="M495" s="49" t="s">
        <v>4455</v>
      </c>
    </row>
    <row r="496" spans="1:13" x14ac:dyDescent="0.35">
      <c r="A496" s="49" t="s">
        <v>4456</v>
      </c>
      <c r="C496" s="49" t="s">
        <v>4457</v>
      </c>
      <c r="D496" s="49" t="s">
        <v>1264</v>
      </c>
      <c r="E496" s="49" t="s">
        <v>2774</v>
      </c>
      <c r="F496" s="49" t="s">
        <v>4458</v>
      </c>
      <c r="G496" s="49" t="s">
        <v>2901</v>
      </c>
      <c r="H496" s="49" t="s">
        <v>835</v>
      </c>
      <c r="I496" s="50">
        <v>43833</v>
      </c>
      <c r="J496" s="50">
        <v>44476</v>
      </c>
      <c r="K496" s="50">
        <v>45936</v>
      </c>
      <c r="M496" s="49" t="s">
        <v>4459</v>
      </c>
    </row>
    <row r="497" spans="1:13" x14ac:dyDescent="0.35">
      <c r="A497" s="49" t="s">
        <v>4460</v>
      </c>
      <c r="C497" s="49" t="s">
        <v>4152</v>
      </c>
      <c r="D497" s="49" t="s">
        <v>1264</v>
      </c>
      <c r="E497" s="49" t="s">
        <v>2908</v>
      </c>
      <c r="F497" s="49" t="s">
        <v>3253</v>
      </c>
      <c r="G497" s="49" t="s">
        <v>2776</v>
      </c>
      <c r="H497" s="49" t="s">
        <v>2827</v>
      </c>
      <c r="I497" s="50">
        <v>44307</v>
      </c>
      <c r="M497" s="49" t="s">
        <v>4461</v>
      </c>
    </row>
    <row r="498" spans="1:13" x14ac:dyDescent="0.35">
      <c r="A498" s="49" t="s">
        <v>4462</v>
      </c>
      <c r="B498" s="49" t="s">
        <v>2849</v>
      </c>
      <c r="C498" s="49" t="s">
        <v>4463</v>
      </c>
      <c r="D498" s="49" t="s">
        <v>1264</v>
      </c>
      <c r="E498" s="49" t="s">
        <v>2785</v>
      </c>
      <c r="F498" s="49" t="s">
        <v>2792</v>
      </c>
      <c r="G498" s="49" t="s">
        <v>2787</v>
      </c>
      <c r="H498" s="49" t="s">
        <v>980</v>
      </c>
      <c r="I498" s="50">
        <v>44081</v>
      </c>
      <c r="J498" s="50">
        <v>44418</v>
      </c>
      <c r="K498" s="50">
        <v>44782</v>
      </c>
      <c r="M498" s="49" t="s">
        <v>4464</v>
      </c>
    </row>
    <row r="499" spans="1:13" x14ac:dyDescent="0.35">
      <c r="A499" s="49" t="s">
        <v>4465</v>
      </c>
      <c r="C499" s="49" t="s">
        <v>4466</v>
      </c>
      <c r="D499" s="49" t="s">
        <v>1264</v>
      </c>
      <c r="E499" s="49" t="s">
        <v>2785</v>
      </c>
      <c r="F499" s="49" t="s">
        <v>2792</v>
      </c>
      <c r="G499" s="49" t="s">
        <v>2787</v>
      </c>
      <c r="H499" s="49" t="s">
        <v>2827</v>
      </c>
      <c r="I499" s="50">
        <v>44225</v>
      </c>
      <c r="J499" s="50">
        <v>44249</v>
      </c>
      <c r="K499" s="50">
        <v>44613</v>
      </c>
      <c r="M499" s="49" t="s">
        <v>4467</v>
      </c>
    </row>
    <row r="500" spans="1:13" x14ac:dyDescent="0.35">
      <c r="A500" s="49" t="s">
        <v>4468</v>
      </c>
      <c r="B500" s="49" t="s">
        <v>4469</v>
      </c>
      <c r="C500" s="49" t="s">
        <v>4470</v>
      </c>
      <c r="D500" s="49" t="s">
        <v>1264</v>
      </c>
      <c r="E500" s="49" t="s">
        <v>2785</v>
      </c>
      <c r="F500" s="49" t="s">
        <v>2792</v>
      </c>
      <c r="G500" s="49" t="s">
        <v>2787</v>
      </c>
      <c r="H500" s="49" t="s">
        <v>8</v>
      </c>
      <c r="I500" s="50">
        <v>44068</v>
      </c>
      <c r="J500" s="50">
        <v>44419</v>
      </c>
      <c r="K500" s="50">
        <v>45428</v>
      </c>
      <c r="M500" s="49" t="s">
        <v>4471</v>
      </c>
    </row>
    <row r="501" spans="1:13" x14ac:dyDescent="0.35">
      <c r="A501" s="49" t="s">
        <v>4472</v>
      </c>
      <c r="C501" s="49" t="s">
        <v>4026</v>
      </c>
      <c r="D501" s="49" t="s">
        <v>1264</v>
      </c>
      <c r="E501" s="49" t="s">
        <v>2785</v>
      </c>
      <c r="F501" s="49" t="s">
        <v>2792</v>
      </c>
      <c r="G501" s="49" t="s">
        <v>2787</v>
      </c>
      <c r="H501" s="49" t="s">
        <v>8</v>
      </c>
      <c r="I501" s="50">
        <v>44356</v>
      </c>
      <c r="K501" s="50">
        <v>45510</v>
      </c>
      <c r="M501" s="49" t="s">
        <v>4473</v>
      </c>
    </row>
    <row r="502" spans="1:13" x14ac:dyDescent="0.35">
      <c r="A502" s="49" t="s">
        <v>4474</v>
      </c>
      <c r="B502" s="49" t="s">
        <v>2867</v>
      </c>
      <c r="C502" s="49" t="s">
        <v>4376</v>
      </c>
      <c r="D502" s="49" t="s">
        <v>1264</v>
      </c>
      <c r="E502" s="49" t="s">
        <v>2785</v>
      </c>
      <c r="F502" s="49" t="s">
        <v>2792</v>
      </c>
      <c r="G502" s="49" t="s">
        <v>2787</v>
      </c>
      <c r="H502" s="49" t="s">
        <v>8</v>
      </c>
      <c r="I502" s="50">
        <v>44405</v>
      </c>
      <c r="J502" s="50">
        <v>44463</v>
      </c>
      <c r="K502" s="50">
        <v>45428</v>
      </c>
      <c r="M502" s="49" t="s">
        <v>4475</v>
      </c>
    </row>
    <row r="503" spans="1:13" x14ac:dyDescent="0.35">
      <c r="A503" s="49" t="s">
        <v>4476</v>
      </c>
      <c r="B503" s="49" t="s">
        <v>3586</v>
      </c>
      <c r="C503" s="49" t="s">
        <v>4477</v>
      </c>
      <c r="D503" s="49" t="s">
        <v>1264</v>
      </c>
      <c r="E503" s="49" t="s">
        <v>2785</v>
      </c>
      <c r="F503" s="49" t="s">
        <v>2805</v>
      </c>
      <c r="G503" s="49" t="s">
        <v>2787</v>
      </c>
      <c r="H503" s="49" t="s">
        <v>980</v>
      </c>
      <c r="I503" s="50">
        <v>44216</v>
      </c>
      <c r="J503" s="50">
        <v>44441</v>
      </c>
      <c r="K503" s="50">
        <v>45511</v>
      </c>
      <c r="M503" s="49" t="s">
        <v>4478</v>
      </c>
    </row>
    <row r="504" spans="1:13" x14ac:dyDescent="0.35">
      <c r="A504" s="49" t="s">
        <v>4479</v>
      </c>
      <c r="C504" s="49" t="s">
        <v>4480</v>
      </c>
      <c r="D504" s="49" t="s">
        <v>1264</v>
      </c>
      <c r="E504" s="49" t="s">
        <v>2785</v>
      </c>
      <c r="F504" s="49" t="s">
        <v>2792</v>
      </c>
      <c r="G504" s="49" t="s">
        <v>2787</v>
      </c>
      <c r="H504" s="49" t="s">
        <v>4225</v>
      </c>
      <c r="I504" s="50">
        <v>44385</v>
      </c>
      <c r="K504" s="50">
        <v>45511</v>
      </c>
      <c r="M504" s="49" t="s">
        <v>4481</v>
      </c>
    </row>
    <row r="505" spans="1:13" x14ac:dyDescent="0.35">
      <c r="A505" s="49" t="s">
        <v>4482</v>
      </c>
      <c r="C505" s="49" t="s">
        <v>4483</v>
      </c>
      <c r="D505" s="49" t="s">
        <v>1264</v>
      </c>
      <c r="E505" s="49" t="s">
        <v>2785</v>
      </c>
      <c r="F505" s="49" t="s">
        <v>2792</v>
      </c>
      <c r="G505" s="49" t="s">
        <v>2787</v>
      </c>
      <c r="H505" s="49" t="s">
        <v>8</v>
      </c>
      <c r="I505" s="50">
        <v>44372</v>
      </c>
      <c r="J505" s="50">
        <v>44449</v>
      </c>
      <c r="K505" s="50">
        <v>45428</v>
      </c>
      <c r="M505" s="49" t="s">
        <v>4484</v>
      </c>
    </row>
    <row r="506" spans="1:13" x14ac:dyDescent="0.35">
      <c r="A506" s="49" t="s">
        <v>4485</v>
      </c>
      <c r="B506" s="49" t="s">
        <v>4486</v>
      </c>
      <c r="C506" s="49" t="s">
        <v>4446</v>
      </c>
      <c r="D506" s="49" t="s">
        <v>1264</v>
      </c>
      <c r="E506" s="49" t="s">
        <v>2785</v>
      </c>
      <c r="F506" s="49" t="s">
        <v>2786</v>
      </c>
      <c r="G506" s="49" t="s">
        <v>2787</v>
      </c>
      <c r="H506" s="49" t="s">
        <v>980</v>
      </c>
      <c r="I506" s="50">
        <v>44257</v>
      </c>
      <c r="J506" s="50">
        <v>44419</v>
      </c>
      <c r="K506" s="50">
        <v>45395</v>
      </c>
      <c r="M506" s="49" t="s">
        <v>4487</v>
      </c>
    </row>
    <row r="507" spans="1:13" x14ac:dyDescent="0.35">
      <c r="A507" s="49" t="s">
        <v>4488</v>
      </c>
      <c r="C507" s="49" t="s">
        <v>4383</v>
      </c>
      <c r="D507" s="49" t="s">
        <v>1264</v>
      </c>
      <c r="E507" s="49" t="s">
        <v>2908</v>
      </c>
      <c r="F507" s="49" t="s">
        <v>3010</v>
      </c>
      <c r="G507" s="49" t="s">
        <v>4330</v>
      </c>
      <c r="H507" s="49" t="s">
        <v>980</v>
      </c>
      <c r="I507" s="50">
        <v>44306</v>
      </c>
      <c r="M507" s="49" t="s">
        <v>4489</v>
      </c>
    </row>
    <row r="508" spans="1:13" x14ac:dyDescent="0.35">
      <c r="A508" s="49" t="s">
        <v>4490</v>
      </c>
      <c r="C508" s="49" t="s">
        <v>4491</v>
      </c>
      <c r="D508" s="49" t="s">
        <v>1264</v>
      </c>
      <c r="E508" s="49" t="s">
        <v>2908</v>
      </c>
      <c r="F508" s="49" t="s">
        <v>2837</v>
      </c>
      <c r="G508" s="49" t="s">
        <v>2901</v>
      </c>
      <c r="H508" s="49" t="s">
        <v>2827</v>
      </c>
      <c r="I508" s="50">
        <v>44351</v>
      </c>
      <c r="J508" s="50">
        <v>44405</v>
      </c>
      <c r="K508" s="50">
        <v>46230</v>
      </c>
      <c r="M508" s="49" t="s">
        <v>4492</v>
      </c>
    </row>
    <row r="509" spans="1:13" x14ac:dyDescent="0.35">
      <c r="A509" s="49" t="s">
        <v>4493</v>
      </c>
      <c r="B509" s="49" t="s">
        <v>3214</v>
      </c>
      <c r="C509" s="49" t="s">
        <v>4494</v>
      </c>
      <c r="D509" s="49" t="s">
        <v>1264</v>
      </c>
      <c r="E509" s="49" t="s">
        <v>2785</v>
      </c>
      <c r="F509" s="49" t="s">
        <v>2805</v>
      </c>
      <c r="G509" s="49" t="s">
        <v>2776</v>
      </c>
      <c r="H509" s="49" t="s">
        <v>980</v>
      </c>
      <c r="I509" s="50">
        <v>44419</v>
      </c>
      <c r="M509" s="49" t="s">
        <v>4495</v>
      </c>
    </row>
    <row r="510" spans="1:13" x14ac:dyDescent="0.35">
      <c r="A510" s="49" t="s">
        <v>4496</v>
      </c>
      <c r="B510" s="49" t="s">
        <v>4497</v>
      </c>
      <c r="C510" s="49" t="s">
        <v>4498</v>
      </c>
      <c r="D510" s="49" t="s">
        <v>1264</v>
      </c>
      <c r="E510" s="49" t="s">
        <v>2785</v>
      </c>
      <c r="F510" s="49" t="s">
        <v>2792</v>
      </c>
      <c r="G510" s="49" t="s">
        <v>2787</v>
      </c>
      <c r="H510" s="49" t="s">
        <v>980</v>
      </c>
      <c r="I510" s="50">
        <v>44364</v>
      </c>
      <c r="J510" s="50">
        <v>44417</v>
      </c>
      <c r="K510" s="50">
        <v>45510</v>
      </c>
      <c r="M510" s="49" t="s">
        <v>4499</v>
      </c>
    </row>
    <row r="511" spans="1:13" x14ac:dyDescent="0.35">
      <c r="A511" s="49" t="s">
        <v>4500</v>
      </c>
      <c r="B511" s="49" t="s">
        <v>2849</v>
      </c>
      <c r="C511" s="49" t="s">
        <v>4470</v>
      </c>
      <c r="D511" s="49" t="s">
        <v>1264</v>
      </c>
      <c r="E511" s="49" t="s">
        <v>2785</v>
      </c>
      <c r="F511" s="49" t="s">
        <v>2792</v>
      </c>
      <c r="G511" s="49" t="s">
        <v>2787</v>
      </c>
      <c r="H511" s="49" t="s">
        <v>980</v>
      </c>
      <c r="I511" s="50">
        <v>44369</v>
      </c>
      <c r="K511" s="50">
        <v>45511</v>
      </c>
      <c r="M511" s="49" t="s">
        <v>4501</v>
      </c>
    </row>
    <row r="512" spans="1:13" x14ac:dyDescent="0.35">
      <c r="A512" s="49" t="s">
        <v>4502</v>
      </c>
      <c r="B512" s="49" t="s">
        <v>4503</v>
      </c>
      <c r="C512" s="49" t="s">
        <v>4504</v>
      </c>
      <c r="D512" s="49" t="s">
        <v>1264</v>
      </c>
      <c r="E512" s="49" t="s">
        <v>2785</v>
      </c>
      <c r="F512" s="49" t="s">
        <v>2792</v>
      </c>
      <c r="G512" s="49" t="s">
        <v>2787</v>
      </c>
      <c r="H512" s="49" t="s">
        <v>1062</v>
      </c>
      <c r="I512" s="50">
        <v>43733</v>
      </c>
      <c r="J512" s="50">
        <v>44442</v>
      </c>
      <c r="K512" s="50">
        <v>45428</v>
      </c>
      <c r="M512" s="49" t="s">
        <v>4505</v>
      </c>
    </row>
    <row r="513" spans="1:13" x14ac:dyDescent="0.35">
      <c r="A513" s="49" t="s">
        <v>4506</v>
      </c>
      <c r="B513" s="49" t="s">
        <v>4293</v>
      </c>
      <c r="C513" s="49" t="s">
        <v>4446</v>
      </c>
      <c r="D513" s="49" t="s">
        <v>1264</v>
      </c>
      <c r="E513" s="49" t="s">
        <v>2785</v>
      </c>
      <c r="F513" s="49" t="s">
        <v>2805</v>
      </c>
      <c r="G513" s="49" t="s">
        <v>2787</v>
      </c>
      <c r="H513" s="49" t="s">
        <v>980</v>
      </c>
      <c r="I513" s="50">
        <v>44417</v>
      </c>
      <c r="K513" s="50">
        <v>45511</v>
      </c>
      <c r="M513" s="49" t="s">
        <v>4507</v>
      </c>
    </row>
    <row r="514" spans="1:13" x14ac:dyDescent="0.35">
      <c r="A514" s="49" t="s">
        <v>4508</v>
      </c>
      <c r="B514" s="49" t="s">
        <v>4509</v>
      </c>
      <c r="C514" s="49" t="s">
        <v>4510</v>
      </c>
      <c r="D514" s="49" t="s">
        <v>1264</v>
      </c>
      <c r="E514" s="49" t="s">
        <v>2785</v>
      </c>
      <c r="F514" s="49" t="s">
        <v>2792</v>
      </c>
      <c r="G514" s="49" t="s">
        <v>2787</v>
      </c>
      <c r="H514" s="49" t="s">
        <v>4225</v>
      </c>
      <c r="I514" s="50">
        <v>44432</v>
      </c>
      <c r="K514" s="50">
        <v>45511</v>
      </c>
      <c r="M514" s="49" t="s">
        <v>4511</v>
      </c>
    </row>
    <row r="515" spans="1:13" x14ac:dyDescent="0.35">
      <c r="A515" s="49" t="s">
        <v>4512</v>
      </c>
      <c r="C515" s="49" t="s">
        <v>3882</v>
      </c>
      <c r="D515" s="49" t="s">
        <v>1264</v>
      </c>
      <c r="E515" s="49" t="s">
        <v>2785</v>
      </c>
      <c r="F515" s="49" t="s">
        <v>2786</v>
      </c>
      <c r="G515" s="49" t="s">
        <v>2787</v>
      </c>
      <c r="H515" s="49" t="s">
        <v>980</v>
      </c>
      <c r="I515" s="50">
        <v>44435</v>
      </c>
      <c r="K515" s="50">
        <v>44492</v>
      </c>
      <c r="M515" s="49" t="s">
        <v>4513</v>
      </c>
    </row>
    <row r="516" spans="1:13" x14ac:dyDescent="0.35">
      <c r="A516" s="49" t="s">
        <v>4514</v>
      </c>
      <c r="C516" s="49" t="s">
        <v>3731</v>
      </c>
      <c r="D516" s="49" t="s">
        <v>1264</v>
      </c>
      <c r="E516" s="49" t="s">
        <v>2785</v>
      </c>
      <c r="F516" s="49" t="s">
        <v>2786</v>
      </c>
      <c r="G516" s="49" t="s">
        <v>2787</v>
      </c>
      <c r="H516" s="49" t="s">
        <v>973</v>
      </c>
      <c r="I516" s="50">
        <v>44439</v>
      </c>
      <c r="K516" s="50">
        <v>45511</v>
      </c>
      <c r="M516" s="49" t="s">
        <v>4515</v>
      </c>
    </row>
    <row r="517" spans="1:13" x14ac:dyDescent="0.35">
      <c r="A517" s="49" t="s">
        <v>4516</v>
      </c>
      <c r="B517" s="49" t="s">
        <v>3962</v>
      </c>
      <c r="C517" s="49" t="s">
        <v>4517</v>
      </c>
      <c r="D517" s="49" t="s">
        <v>1264</v>
      </c>
      <c r="E517" s="49" t="s">
        <v>2785</v>
      </c>
      <c r="F517" s="49" t="s">
        <v>2792</v>
      </c>
      <c r="G517" s="49" t="s">
        <v>2787</v>
      </c>
      <c r="H517" s="49" t="s">
        <v>980</v>
      </c>
      <c r="I517" s="50">
        <v>44158</v>
      </c>
      <c r="J517" s="50">
        <v>44630</v>
      </c>
      <c r="K517" s="50">
        <v>45428</v>
      </c>
      <c r="M517" s="49" t="s">
        <v>4518</v>
      </c>
    </row>
    <row r="518" spans="1:13" x14ac:dyDescent="0.35">
      <c r="A518" s="49" t="s">
        <v>4519</v>
      </c>
      <c r="C518" s="49" t="s">
        <v>2800</v>
      </c>
      <c r="D518" s="49" t="s">
        <v>1264</v>
      </c>
      <c r="E518" s="49" t="s">
        <v>2785</v>
      </c>
      <c r="F518" s="49" t="s">
        <v>2792</v>
      </c>
      <c r="G518" s="49" t="s">
        <v>2787</v>
      </c>
      <c r="H518" s="49" t="s">
        <v>980</v>
      </c>
      <c r="I518" s="50">
        <v>44242</v>
      </c>
      <c r="K518" s="50">
        <v>45510</v>
      </c>
      <c r="M518" s="49" t="s">
        <v>4520</v>
      </c>
    </row>
    <row r="519" spans="1:13" x14ac:dyDescent="0.35">
      <c r="A519" s="49" t="s">
        <v>4521</v>
      </c>
      <c r="B519" s="49" t="s">
        <v>4522</v>
      </c>
      <c r="C519" s="49" t="s">
        <v>3674</v>
      </c>
      <c r="D519" s="49" t="s">
        <v>1264</v>
      </c>
      <c r="E519" s="49" t="s">
        <v>2785</v>
      </c>
      <c r="F519" s="49" t="s">
        <v>2786</v>
      </c>
      <c r="G519" s="49" t="s">
        <v>2776</v>
      </c>
      <c r="H519" s="49" t="s">
        <v>980</v>
      </c>
      <c r="I519" s="50">
        <v>44447</v>
      </c>
      <c r="M519" s="49" t="s">
        <v>4523</v>
      </c>
    </row>
    <row r="520" spans="1:13" x14ac:dyDescent="0.35">
      <c r="A520" s="49" t="s">
        <v>4524</v>
      </c>
      <c r="C520" s="49" t="s">
        <v>4525</v>
      </c>
      <c r="D520" s="49" t="s">
        <v>1264</v>
      </c>
      <c r="E520" s="49" t="s">
        <v>2814</v>
      </c>
      <c r="F520" s="49" t="s">
        <v>2837</v>
      </c>
      <c r="G520" s="49" t="s">
        <v>2776</v>
      </c>
      <c r="H520" s="49" t="s">
        <v>980</v>
      </c>
      <c r="I520" s="50">
        <v>44447</v>
      </c>
      <c r="M520" s="49" t="s">
        <v>4526</v>
      </c>
    </row>
    <row r="521" spans="1:13" x14ac:dyDescent="0.35">
      <c r="A521" s="49" t="s">
        <v>4527</v>
      </c>
      <c r="C521" s="49" t="s">
        <v>4528</v>
      </c>
      <c r="D521" s="49" t="s">
        <v>1264</v>
      </c>
      <c r="E521" s="49" t="s">
        <v>2814</v>
      </c>
      <c r="F521" s="49" t="s">
        <v>2837</v>
      </c>
      <c r="G521" s="49" t="s">
        <v>3997</v>
      </c>
      <c r="H521" s="49" t="s">
        <v>980</v>
      </c>
      <c r="I521" s="50">
        <v>44421</v>
      </c>
      <c r="M521" s="49" t="s">
        <v>4529</v>
      </c>
    </row>
    <row r="522" spans="1:13" x14ac:dyDescent="0.35">
      <c r="A522" s="49" t="s">
        <v>4530</v>
      </c>
      <c r="B522" s="49" t="s">
        <v>2795</v>
      </c>
      <c r="C522" s="49" t="s">
        <v>4531</v>
      </c>
      <c r="D522" s="49" t="s">
        <v>1264</v>
      </c>
      <c r="E522" s="49" t="s">
        <v>2785</v>
      </c>
      <c r="F522" s="49" t="s">
        <v>2786</v>
      </c>
      <c r="G522" s="49" t="s">
        <v>2787</v>
      </c>
      <c r="H522" s="49" t="s">
        <v>8</v>
      </c>
      <c r="I522" s="50">
        <v>43672</v>
      </c>
      <c r="J522" s="50">
        <v>43859</v>
      </c>
      <c r="K522" s="50">
        <v>44827</v>
      </c>
      <c r="M522" s="49" t="s">
        <v>4532</v>
      </c>
    </row>
    <row r="523" spans="1:13" x14ac:dyDescent="0.35">
      <c r="A523" s="49" t="s">
        <v>4533</v>
      </c>
      <c r="B523" s="49" t="s">
        <v>4534</v>
      </c>
      <c r="C523" s="49" t="s">
        <v>4535</v>
      </c>
      <c r="D523" s="49" t="s">
        <v>1264</v>
      </c>
      <c r="E523" s="49" t="s">
        <v>2908</v>
      </c>
      <c r="F523" s="49" t="s">
        <v>4536</v>
      </c>
      <c r="G523" s="49" t="s">
        <v>2901</v>
      </c>
      <c r="H523" s="49" t="s">
        <v>980</v>
      </c>
      <c r="I523" s="50">
        <v>44379</v>
      </c>
      <c r="J523" s="50">
        <v>44439</v>
      </c>
      <c r="K523" s="50">
        <v>46264</v>
      </c>
      <c r="M523" s="49" t="s">
        <v>4537</v>
      </c>
    </row>
    <row r="524" spans="1:13" x14ac:dyDescent="0.35">
      <c r="A524" s="49" t="s">
        <v>4538</v>
      </c>
      <c r="B524" s="49" t="s">
        <v>4539</v>
      </c>
      <c r="C524" s="49" t="s">
        <v>2836</v>
      </c>
      <c r="D524" s="49" t="s">
        <v>1264</v>
      </c>
      <c r="E524" s="49" t="s">
        <v>3443</v>
      </c>
      <c r="F524" s="49" t="s">
        <v>3124</v>
      </c>
      <c r="G524" s="49" t="s">
        <v>2901</v>
      </c>
      <c r="H524" s="49" t="s">
        <v>980</v>
      </c>
      <c r="I524" s="50">
        <v>44417</v>
      </c>
      <c r="J524" s="50">
        <v>44481</v>
      </c>
      <c r="K524" s="50">
        <v>46306</v>
      </c>
    </row>
    <row r="525" spans="1:13" x14ac:dyDescent="0.35">
      <c r="A525" s="49" t="s">
        <v>4540</v>
      </c>
      <c r="C525" s="49" t="s">
        <v>4541</v>
      </c>
      <c r="D525" s="49" t="s">
        <v>1264</v>
      </c>
      <c r="E525" s="49" t="s">
        <v>2986</v>
      </c>
      <c r="F525" s="49" t="s">
        <v>2825</v>
      </c>
      <c r="G525" s="49" t="s">
        <v>2901</v>
      </c>
      <c r="H525" s="49" t="s">
        <v>2827</v>
      </c>
      <c r="I525" s="50">
        <v>44033</v>
      </c>
      <c r="J525" s="50">
        <v>44623</v>
      </c>
      <c r="K525" s="50">
        <v>45718</v>
      </c>
      <c r="M525" s="49" t="s">
        <v>4542</v>
      </c>
    </row>
    <row r="526" spans="1:13" x14ac:dyDescent="0.35">
      <c r="A526" s="49" t="s">
        <v>4543</v>
      </c>
      <c r="B526" s="49" t="s">
        <v>4544</v>
      </c>
      <c r="C526" s="49" t="s">
        <v>4545</v>
      </c>
      <c r="D526" s="49" t="s">
        <v>1264</v>
      </c>
      <c r="E526" s="49" t="s">
        <v>2785</v>
      </c>
      <c r="F526" s="49" t="s">
        <v>2786</v>
      </c>
      <c r="G526" s="49" t="s">
        <v>2787</v>
      </c>
      <c r="H526" s="49" t="s">
        <v>980</v>
      </c>
      <c r="I526" s="50">
        <v>44468</v>
      </c>
      <c r="J526" s="50">
        <v>44550</v>
      </c>
      <c r="K526" s="50">
        <v>45428</v>
      </c>
      <c r="M526" s="49" t="s">
        <v>4546</v>
      </c>
    </row>
    <row r="527" spans="1:13" x14ac:dyDescent="0.35">
      <c r="A527" s="49" t="s">
        <v>4547</v>
      </c>
      <c r="C527" s="49" t="s">
        <v>2850</v>
      </c>
      <c r="D527" s="49" t="s">
        <v>1264</v>
      </c>
      <c r="E527" s="49" t="s">
        <v>2785</v>
      </c>
      <c r="F527" s="49" t="s">
        <v>2792</v>
      </c>
      <c r="G527" s="49" t="s">
        <v>2787</v>
      </c>
      <c r="H527" s="49" t="s">
        <v>8</v>
      </c>
      <c r="I527" s="50">
        <v>44375</v>
      </c>
      <c r="J527" s="50">
        <v>44498</v>
      </c>
      <c r="K527" s="50">
        <v>45428</v>
      </c>
      <c r="M527" s="49" t="s">
        <v>4548</v>
      </c>
    </row>
    <row r="528" spans="1:13" x14ac:dyDescent="0.35">
      <c r="A528" s="49" t="s">
        <v>4549</v>
      </c>
      <c r="B528" s="49" t="s">
        <v>3768</v>
      </c>
      <c r="C528" s="49" t="s">
        <v>4550</v>
      </c>
      <c r="D528" s="49" t="s">
        <v>1264</v>
      </c>
      <c r="E528" s="49" t="s">
        <v>3443</v>
      </c>
      <c r="F528" s="49" t="s">
        <v>3124</v>
      </c>
      <c r="G528" s="49" t="s">
        <v>2901</v>
      </c>
      <c r="H528" s="49" t="s">
        <v>980</v>
      </c>
      <c r="I528" s="50">
        <v>44348</v>
      </c>
      <c r="J528" s="50">
        <v>44476</v>
      </c>
      <c r="K528" s="50">
        <v>46301</v>
      </c>
    </row>
    <row r="529" spans="1:13" x14ac:dyDescent="0.35">
      <c r="A529" s="49" t="s">
        <v>4551</v>
      </c>
      <c r="C529" s="49" t="s">
        <v>3116</v>
      </c>
      <c r="D529" s="49" t="s">
        <v>1264</v>
      </c>
      <c r="E529" s="49" t="s">
        <v>3443</v>
      </c>
      <c r="F529" s="49" t="s">
        <v>3124</v>
      </c>
      <c r="G529" s="49" t="s">
        <v>2901</v>
      </c>
      <c r="H529" s="49" t="s">
        <v>980</v>
      </c>
      <c r="I529" s="50">
        <v>44354</v>
      </c>
      <c r="J529" s="50">
        <v>44476</v>
      </c>
      <c r="K529" s="50">
        <v>46301</v>
      </c>
    </row>
    <row r="530" spans="1:13" x14ac:dyDescent="0.35">
      <c r="A530" s="49" t="s">
        <v>4552</v>
      </c>
      <c r="B530" s="49" t="s">
        <v>3768</v>
      </c>
      <c r="C530" s="49" t="s">
        <v>4553</v>
      </c>
      <c r="D530" s="49" t="s">
        <v>1264</v>
      </c>
      <c r="E530" s="49" t="s">
        <v>3443</v>
      </c>
      <c r="F530" s="49" t="s">
        <v>3124</v>
      </c>
      <c r="G530" s="49" t="s">
        <v>4330</v>
      </c>
      <c r="H530" s="49" t="s">
        <v>980</v>
      </c>
      <c r="I530" s="50">
        <v>44299</v>
      </c>
    </row>
    <row r="531" spans="1:13" x14ac:dyDescent="0.35">
      <c r="A531" s="49" t="s">
        <v>4554</v>
      </c>
      <c r="B531" s="49" t="s">
        <v>4555</v>
      </c>
      <c r="C531" s="49" t="s">
        <v>4556</v>
      </c>
      <c r="D531" s="49" t="s">
        <v>1264</v>
      </c>
      <c r="E531" s="49" t="s">
        <v>2785</v>
      </c>
      <c r="F531" s="49" t="s">
        <v>2792</v>
      </c>
      <c r="G531" s="49" t="s">
        <v>2787</v>
      </c>
      <c r="H531" s="49" t="s">
        <v>980</v>
      </c>
      <c r="I531" s="50">
        <v>44496</v>
      </c>
      <c r="J531" s="50">
        <v>44784</v>
      </c>
      <c r="K531" s="50">
        <v>45428</v>
      </c>
      <c r="M531" s="49" t="s">
        <v>4557</v>
      </c>
    </row>
    <row r="532" spans="1:13" x14ac:dyDescent="0.35">
      <c r="A532" s="49" t="s">
        <v>4558</v>
      </c>
      <c r="B532" s="49" t="s">
        <v>2849</v>
      </c>
      <c r="C532" s="49" t="s">
        <v>4559</v>
      </c>
      <c r="D532" s="49" t="s">
        <v>1264</v>
      </c>
      <c r="E532" s="49" t="s">
        <v>2785</v>
      </c>
      <c r="F532" s="49" t="s">
        <v>2792</v>
      </c>
      <c r="G532" s="49" t="s">
        <v>2787</v>
      </c>
      <c r="H532" s="49" t="s">
        <v>980</v>
      </c>
      <c r="I532" s="50">
        <v>44456</v>
      </c>
      <c r="J532" s="50">
        <v>44498</v>
      </c>
      <c r="K532" s="50">
        <v>45510</v>
      </c>
      <c r="M532" s="49" t="s">
        <v>4560</v>
      </c>
    </row>
    <row r="533" spans="1:13" x14ac:dyDescent="0.35">
      <c r="A533" s="49" t="s">
        <v>4561</v>
      </c>
      <c r="C533" s="49" t="s">
        <v>4562</v>
      </c>
      <c r="D533" s="49" t="s">
        <v>1264</v>
      </c>
      <c r="E533" s="49" t="s">
        <v>2814</v>
      </c>
      <c r="F533" s="49" t="s">
        <v>2837</v>
      </c>
      <c r="G533" s="49" t="s">
        <v>2787</v>
      </c>
      <c r="H533" s="49" t="s">
        <v>980</v>
      </c>
      <c r="I533" s="50">
        <v>44455</v>
      </c>
      <c r="J533" s="50">
        <v>44496</v>
      </c>
      <c r="K533" s="50">
        <v>44677</v>
      </c>
      <c r="M533" s="49" t="s">
        <v>4563</v>
      </c>
    </row>
    <row r="534" spans="1:13" x14ac:dyDescent="0.35">
      <c r="A534" s="49" t="s">
        <v>4564</v>
      </c>
      <c r="B534" s="49" t="s">
        <v>4565</v>
      </c>
      <c r="C534" s="49" t="s">
        <v>4061</v>
      </c>
      <c r="D534" s="49" t="s">
        <v>1264</v>
      </c>
      <c r="E534" s="49" t="s">
        <v>2785</v>
      </c>
      <c r="F534" s="49" t="s">
        <v>2792</v>
      </c>
      <c r="G534" s="49" t="s">
        <v>2787</v>
      </c>
      <c r="H534" s="49" t="s">
        <v>980</v>
      </c>
      <c r="I534" s="50">
        <v>44202</v>
      </c>
      <c r="K534" s="50">
        <v>45510</v>
      </c>
      <c r="M534" s="49" t="s">
        <v>4566</v>
      </c>
    </row>
    <row r="535" spans="1:13" x14ac:dyDescent="0.35">
      <c r="A535" s="49" t="s">
        <v>4567</v>
      </c>
      <c r="B535" s="49" t="s">
        <v>4568</v>
      </c>
      <c r="C535" s="49" t="s">
        <v>4569</v>
      </c>
      <c r="D535" s="49" t="s">
        <v>1264</v>
      </c>
      <c r="E535" s="49" t="s">
        <v>2814</v>
      </c>
      <c r="F535" s="49" t="s">
        <v>2825</v>
      </c>
      <c r="G535" s="49" t="s">
        <v>2787</v>
      </c>
      <c r="H535" s="49" t="s">
        <v>2827</v>
      </c>
      <c r="I535" s="50">
        <v>44407</v>
      </c>
      <c r="J535" s="50">
        <v>44553</v>
      </c>
      <c r="K535" s="50">
        <v>44734</v>
      </c>
      <c r="M535" s="49" t="s">
        <v>4570</v>
      </c>
    </row>
    <row r="536" spans="1:13" x14ac:dyDescent="0.35">
      <c r="A536" s="49" t="s">
        <v>4571</v>
      </c>
      <c r="B536" s="49" t="s">
        <v>4572</v>
      </c>
      <c r="C536" s="49" t="s">
        <v>4573</v>
      </c>
      <c r="D536" s="49" t="s">
        <v>1264</v>
      </c>
      <c r="E536" s="49" t="s">
        <v>2785</v>
      </c>
      <c r="F536" s="49" t="s">
        <v>2786</v>
      </c>
      <c r="G536" s="49" t="s">
        <v>2787</v>
      </c>
      <c r="H536" s="49" t="s">
        <v>980</v>
      </c>
      <c r="I536" s="50">
        <v>44378</v>
      </c>
      <c r="J536" s="50">
        <v>44529</v>
      </c>
      <c r="K536" s="50">
        <v>45428</v>
      </c>
      <c r="M536" s="49" t="s">
        <v>4574</v>
      </c>
    </row>
    <row r="537" spans="1:13" x14ac:dyDescent="0.35">
      <c r="A537" s="49" t="s">
        <v>4575</v>
      </c>
      <c r="B537" s="49" t="s">
        <v>4576</v>
      </c>
      <c r="C537" s="49" t="s">
        <v>4064</v>
      </c>
      <c r="D537" s="49" t="s">
        <v>1264</v>
      </c>
      <c r="E537" s="49" t="s">
        <v>2785</v>
      </c>
      <c r="F537" s="49" t="s">
        <v>2792</v>
      </c>
      <c r="G537" s="49" t="s">
        <v>2787</v>
      </c>
      <c r="H537" s="49" t="s">
        <v>980</v>
      </c>
      <c r="I537" s="50">
        <v>44503</v>
      </c>
      <c r="J537" s="50">
        <v>44540</v>
      </c>
      <c r="K537" s="50">
        <v>45428</v>
      </c>
      <c r="M537" s="49" t="s">
        <v>4577</v>
      </c>
    </row>
    <row r="538" spans="1:13" x14ac:dyDescent="0.35">
      <c r="A538" s="49" t="s">
        <v>4578</v>
      </c>
      <c r="B538" s="49" t="s">
        <v>4579</v>
      </c>
      <c r="C538" s="49" t="s">
        <v>4580</v>
      </c>
      <c r="D538" s="49" t="s">
        <v>1264</v>
      </c>
      <c r="E538" s="49" t="s">
        <v>2814</v>
      </c>
      <c r="F538" s="49" t="s">
        <v>2825</v>
      </c>
      <c r="G538" s="49" t="s">
        <v>2787</v>
      </c>
      <c r="H538" s="49" t="s">
        <v>2827</v>
      </c>
      <c r="I538" s="50">
        <v>44508</v>
      </c>
      <c r="J538" s="50">
        <v>44529</v>
      </c>
      <c r="K538" s="50">
        <v>44709</v>
      </c>
      <c r="M538" s="49" t="s">
        <v>4581</v>
      </c>
    </row>
    <row r="539" spans="1:13" x14ac:dyDescent="0.35">
      <c r="A539" s="49" t="s">
        <v>4582</v>
      </c>
      <c r="B539" s="49" t="s">
        <v>4583</v>
      </c>
      <c r="C539" s="49" t="s">
        <v>4584</v>
      </c>
      <c r="D539" s="49" t="s">
        <v>1264</v>
      </c>
      <c r="E539" s="49" t="s">
        <v>2785</v>
      </c>
      <c r="F539" s="49" t="s">
        <v>2786</v>
      </c>
      <c r="G539" s="49" t="s">
        <v>2787</v>
      </c>
      <c r="H539" s="49" t="s">
        <v>980</v>
      </c>
      <c r="I539" s="50">
        <v>44497</v>
      </c>
      <c r="K539" s="50">
        <v>45511</v>
      </c>
      <c r="M539" s="49" t="s">
        <v>4585</v>
      </c>
    </row>
    <row r="540" spans="1:13" x14ac:dyDescent="0.35">
      <c r="A540" s="49" t="s">
        <v>4586</v>
      </c>
      <c r="B540" s="49" t="s">
        <v>3768</v>
      </c>
      <c r="C540" s="49" t="s">
        <v>4587</v>
      </c>
      <c r="D540" s="49" t="s">
        <v>1264</v>
      </c>
      <c r="E540" s="49" t="s">
        <v>3443</v>
      </c>
      <c r="F540" s="49" t="s">
        <v>3124</v>
      </c>
      <c r="G540" s="49" t="s">
        <v>2901</v>
      </c>
      <c r="H540" s="49" t="s">
        <v>980</v>
      </c>
      <c r="I540" s="50">
        <v>44414</v>
      </c>
      <c r="J540" s="50">
        <v>44537</v>
      </c>
      <c r="K540" s="50">
        <v>46362</v>
      </c>
    </row>
    <row r="541" spans="1:13" x14ac:dyDescent="0.35">
      <c r="A541" s="49" t="s">
        <v>4588</v>
      </c>
      <c r="B541" s="49" t="s">
        <v>4589</v>
      </c>
      <c r="C541" s="49" t="s">
        <v>4590</v>
      </c>
      <c r="D541" s="49" t="s">
        <v>1264</v>
      </c>
      <c r="E541" s="49" t="s">
        <v>2785</v>
      </c>
      <c r="F541" s="49" t="s">
        <v>2786</v>
      </c>
      <c r="G541" s="49" t="s">
        <v>2787</v>
      </c>
      <c r="H541" s="49" t="s">
        <v>8</v>
      </c>
      <c r="I541" s="50">
        <v>44048</v>
      </c>
      <c r="J541" s="50">
        <v>44509</v>
      </c>
      <c r="K541" s="50">
        <v>45428</v>
      </c>
      <c r="M541" s="49" t="s">
        <v>4591</v>
      </c>
    </row>
    <row r="542" spans="1:13" x14ac:dyDescent="0.35">
      <c r="A542" s="49" t="s">
        <v>4592</v>
      </c>
      <c r="B542" s="49" t="s">
        <v>4593</v>
      </c>
      <c r="C542" s="49" t="s">
        <v>2791</v>
      </c>
      <c r="D542" s="49" t="s">
        <v>1264</v>
      </c>
      <c r="E542" s="49" t="s">
        <v>2785</v>
      </c>
      <c r="F542" s="49" t="s">
        <v>2792</v>
      </c>
      <c r="G542" s="49" t="s">
        <v>2787</v>
      </c>
      <c r="H542" s="49" t="s">
        <v>857</v>
      </c>
      <c r="I542" s="50">
        <v>44524</v>
      </c>
      <c r="J542" s="50">
        <v>44540</v>
      </c>
      <c r="K542" s="50">
        <v>45428</v>
      </c>
      <c r="M542" s="49" t="s">
        <v>4594</v>
      </c>
    </row>
    <row r="543" spans="1:13" x14ac:dyDescent="0.35">
      <c r="A543" s="49" t="s">
        <v>4595</v>
      </c>
      <c r="C543" s="49" t="s">
        <v>4596</v>
      </c>
      <c r="D543" s="49" t="s">
        <v>1264</v>
      </c>
      <c r="E543" s="49" t="s">
        <v>2785</v>
      </c>
      <c r="F543" s="49" t="s">
        <v>2786</v>
      </c>
      <c r="G543" s="49" t="s">
        <v>2787</v>
      </c>
      <c r="H543" s="49" t="s">
        <v>980</v>
      </c>
      <c r="I543" s="50">
        <v>44509</v>
      </c>
      <c r="J543" s="50">
        <v>44526</v>
      </c>
      <c r="K543" s="50">
        <v>45428</v>
      </c>
      <c r="M543" s="49" t="s">
        <v>4597</v>
      </c>
    </row>
    <row r="544" spans="1:13" x14ac:dyDescent="0.35">
      <c r="A544" s="49" t="s">
        <v>4598</v>
      </c>
      <c r="B544" s="49" t="s">
        <v>4599</v>
      </c>
      <c r="C544" s="49" t="s">
        <v>4600</v>
      </c>
      <c r="D544" s="49" t="s">
        <v>1264</v>
      </c>
      <c r="E544" s="49" t="s">
        <v>2785</v>
      </c>
      <c r="F544" s="49" t="s">
        <v>2786</v>
      </c>
      <c r="G544" s="49" t="s">
        <v>2787</v>
      </c>
      <c r="H544" s="49" t="s">
        <v>980</v>
      </c>
      <c r="I544" s="50">
        <v>44469</v>
      </c>
      <c r="J544" s="50">
        <v>44578</v>
      </c>
      <c r="K544" s="50">
        <v>45428</v>
      </c>
      <c r="M544" s="49" t="s">
        <v>4601</v>
      </c>
    </row>
    <row r="545" spans="1:13" x14ac:dyDescent="0.35">
      <c r="A545" s="49" t="s">
        <v>4602</v>
      </c>
      <c r="C545" s="49" t="s">
        <v>4603</v>
      </c>
      <c r="D545" s="49" t="s">
        <v>1264</v>
      </c>
      <c r="E545" s="49" t="s">
        <v>2814</v>
      </c>
      <c r="F545" s="49" t="s">
        <v>2837</v>
      </c>
      <c r="G545" s="49" t="s">
        <v>2787</v>
      </c>
      <c r="H545" s="49" t="s">
        <v>980</v>
      </c>
      <c r="I545" s="50">
        <v>44455</v>
      </c>
      <c r="J545" s="50">
        <v>44529</v>
      </c>
      <c r="K545" s="50">
        <v>44709</v>
      </c>
      <c r="M545" s="49" t="s">
        <v>4604</v>
      </c>
    </row>
    <row r="546" spans="1:13" x14ac:dyDescent="0.35">
      <c r="A546" s="49" t="s">
        <v>4605</v>
      </c>
      <c r="C546" s="49" t="s">
        <v>4603</v>
      </c>
      <c r="D546" s="49" t="s">
        <v>1264</v>
      </c>
      <c r="E546" s="49" t="s">
        <v>2814</v>
      </c>
      <c r="F546" s="49" t="s">
        <v>2837</v>
      </c>
      <c r="G546" s="49" t="s">
        <v>2787</v>
      </c>
      <c r="H546" s="49" t="s">
        <v>980</v>
      </c>
      <c r="I546" s="50">
        <v>44455</v>
      </c>
      <c r="J546" s="50">
        <v>44529</v>
      </c>
      <c r="K546" s="50">
        <v>44709</v>
      </c>
      <c r="M546" s="49" t="s">
        <v>4606</v>
      </c>
    </row>
    <row r="547" spans="1:13" x14ac:dyDescent="0.35">
      <c r="A547" s="49" t="s">
        <v>4607</v>
      </c>
      <c r="B547" s="49" t="s">
        <v>2823</v>
      </c>
      <c r="C547" s="49" t="s">
        <v>3777</v>
      </c>
      <c r="D547" s="49" t="s">
        <v>1264</v>
      </c>
      <c r="E547" s="49" t="s">
        <v>2908</v>
      </c>
      <c r="F547" s="49" t="s">
        <v>3898</v>
      </c>
      <c r="G547" s="49" t="s">
        <v>4330</v>
      </c>
      <c r="H547" s="49" t="s">
        <v>2827</v>
      </c>
      <c r="I547" s="50">
        <v>44344</v>
      </c>
      <c r="M547" s="49" t="s">
        <v>4608</v>
      </c>
    </row>
    <row r="548" spans="1:13" x14ac:dyDescent="0.35">
      <c r="A548" s="49" t="s">
        <v>4609</v>
      </c>
      <c r="C548" s="49" t="s">
        <v>4610</v>
      </c>
      <c r="D548" s="49" t="s">
        <v>1264</v>
      </c>
      <c r="E548" s="49" t="s">
        <v>2908</v>
      </c>
      <c r="F548" s="49" t="s">
        <v>4611</v>
      </c>
      <c r="G548" s="49" t="s">
        <v>2901</v>
      </c>
      <c r="H548" s="49" t="s">
        <v>980</v>
      </c>
      <c r="I548" s="50">
        <v>44320</v>
      </c>
      <c r="J548" s="50">
        <v>44392</v>
      </c>
      <c r="K548" s="50">
        <v>46217</v>
      </c>
      <c r="M548" s="49" t="s">
        <v>4612</v>
      </c>
    </row>
    <row r="549" spans="1:13" x14ac:dyDescent="0.35">
      <c r="A549" s="49" t="s">
        <v>4613</v>
      </c>
      <c r="C549" s="49" t="s">
        <v>4580</v>
      </c>
      <c r="D549" s="49" t="s">
        <v>1264</v>
      </c>
      <c r="E549" s="49" t="s">
        <v>2814</v>
      </c>
      <c r="F549" s="49" t="s">
        <v>2825</v>
      </c>
      <c r="G549" s="49" t="s">
        <v>2787</v>
      </c>
      <c r="H549" s="49" t="s">
        <v>2827</v>
      </c>
      <c r="I549" s="50">
        <v>44508</v>
      </c>
      <c r="J549" s="50">
        <v>44538</v>
      </c>
      <c r="K549" s="50">
        <v>44719</v>
      </c>
      <c r="M549" s="49" t="s">
        <v>4614</v>
      </c>
    </row>
    <row r="550" spans="1:13" x14ac:dyDescent="0.35">
      <c r="A550" s="49" t="s">
        <v>4615</v>
      </c>
      <c r="B550" s="49" t="s">
        <v>3768</v>
      </c>
      <c r="C550" s="49" t="s">
        <v>4616</v>
      </c>
      <c r="D550" s="49" t="s">
        <v>1264</v>
      </c>
      <c r="E550" s="49" t="s">
        <v>3443</v>
      </c>
      <c r="F550" s="49" t="s">
        <v>3124</v>
      </c>
      <c r="G550" s="49" t="s">
        <v>4330</v>
      </c>
      <c r="H550" s="49" t="s">
        <v>980</v>
      </c>
      <c r="I550" s="50">
        <v>44473</v>
      </c>
    </row>
    <row r="551" spans="1:13" x14ac:dyDescent="0.35">
      <c r="A551" s="49" t="s">
        <v>4617</v>
      </c>
      <c r="B551" s="49" t="s">
        <v>4618</v>
      </c>
      <c r="C551" s="49" t="s">
        <v>4619</v>
      </c>
      <c r="D551" s="49" t="s">
        <v>1264</v>
      </c>
      <c r="E551" s="49" t="s">
        <v>2785</v>
      </c>
      <c r="F551" s="49" t="s">
        <v>2792</v>
      </c>
      <c r="G551" s="49" t="s">
        <v>2787</v>
      </c>
      <c r="H551" s="49" t="s">
        <v>980</v>
      </c>
      <c r="I551" s="50">
        <v>44513</v>
      </c>
      <c r="J551" s="50">
        <v>44701</v>
      </c>
      <c r="K551" s="50">
        <v>45065</v>
      </c>
      <c r="M551" s="49" t="s">
        <v>4620</v>
      </c>
    </row>
    <row r="552" spans="1:13" x14ac:dyDescent="0.35">
      <c r="A552" s="49" t="s">
        <v>4621</v>
      </c>
      <c r="B552" s="49" t="s">
        <v>4622</v>
      </c>
      <c r="C552" s="49" t="s">
        <v>4623</v>
      </c>
      <c r="D552" s="49" t="s">
        <v>1264</v>
      </c>
      <c r="E552" s="49" t="s">
        <v>3443</v>
      </c>
      <c r="F552" s="49" t="s">
        <v>3124</v>
      </c>
      <c r="G552" s="49" t="s">
        <v>2901</v>
      </c>
      <c r="H552" s="49" t="s">
        <v>980</v>
      </c>
      <c r="I552" s="50">
        <v>44301</v>
      </c>
      <c r="J552" s="50">
        <v>44357</v>
      </c>
      <c r="K552" s="50">
        <v>46182</v>
      </c>
    </row>
    <row r="553" spans="1:13" x14ac:dyDescent="0.35">
      <c r="A553" s="49" t="s">
        <v>4624</v>
      </c>
      <c r="B553" s="49" t="s">
        <v>4625</v>
      </c>
      <c r="C553" s="49" t="s">
        <v>4626</v>
      </c>
      <c r="D553" s="49" t="s">
        <v>1264</v>
      </c>
      <c r="E553" s="49" t="s">
        <v>2785</v>
      </c>
      <c r="F553" s="49" t="s">
        <v>4048</v>
      </c>
      <c r="G553" s="49" t="s">
        <v>2787</v>
      </c>
      <c r="H553" s="49" t="s">
        <v>2832</v>
      </c>
      <c r="I553" s="50">
        <v>44526</v>
      </c>
      <c r="K553" s="50">
        <v>45510</v>
      </c>
      <c r="M553" s="49" t="s">
        <v>4627</v>
      </c>
    </row>
    <row r="554" spans="1:13" x14ac:dyDescent="0.35">
      <c r="A554" s="49" t="s">
        <v>4628</v>
      </c>
      <c r="B554" s="49" t="s">
        <v>4629</v>
      </c>
      <c r="C554" s="49" t="s">
        <v>4630</v>
      </c>
      <c r="D554" s="49" t="s">
        <v>1264</v>
      </c>
      <c r="E554" s="49" t="s">
        <v>2908</v>
      </c>
      <c r="F554" s="49" t="s">
        <v>2837</v>
      </c>
      <c r="G554" s="49" t="s">
        <v>4330</v>
      </c>
      <c r="H554" s="49" t="s">
        <v>980</v>
      </c>
      <c r="I554" s="50">
        <v>44522</v>
      </c>
      <c r="M554" s="49" t="s">
        <v>4631</v>
      </c>
    </row>
    <row r="555" spans="1:13" x14ac:dyDescent="0.35">
      <c r="A555" s="49" t="s">
        <v>4632</v>
      </c>
      <c r="B555" s="49" t="s">
        <v>3354</v>
      </c>
      <c r="C555" s="49" t="s">
        <v>4525</v>
      </c>
      <c r="D555" s="49" t="s">
        <v>1264</v>
      </c>
      <c r="E555" s="49" t="s">
        <v>2908</v>
      </c>
      <c r="F555" s="49" t="s">
        <v>2837</v>
      </c>
      <c r="G555" s="49" t="s">
        <v>2901</v>
      </c>
      <c r="H555" s="49" t="s">
        <v>980</v>
      </c>
      <c r="I555" s="50">
        <v>44540</v>
      </c>
      <c r="J555" s="50">
        <v>44572</v>
      </c>
      <c r="K555" s="50">
        <v>46397</v>
      </c>
      <c r="M555" s="49" t="s">
        <v>4633</v>
      </c>
    </row>
    <row r="556" spans="1:13" x14ac:dyDescent="0.35">
      <c r="A556" s="49" t="s">
        <v>4634</v>
      </c>
      <c r="C556" s="49" t="s">
        <v>4635</v>
      </c>
      <c r="D556" s="49" t="s">
        <v>1264</v>
      </c>
      <c r="E556" s="49" t="s">
        <v>2785</v>
      </c>
      <c r="F556" s="49" t="s">
        <v>2792</v>
      </c>
      <c r="G556" s="49" t="s">
        <v>2787</v>
      </c>
      <c r="H556" s="49" t="s">
        <v>980</v>
      </c>
      <c r="I556" s="50">
        <v>44302</v>
      </c>
      <c r="J556" s="50">
        <v>44614</v>
      </c>
      <c r="K556" s="50">
        <v>45428</v>
      </c>
      <c r="M556" s="49" t="s">
        <v>4636</v>
      </c>
    </row>
    <row r="557" spans="1:13" x14ac:dyDescent="0.35">
      <c r="A557" s="49" t="s">
        <v>4637</v>
      </c>
      <c r="B557" s="49" t="s">
        <v>980</v>
      </c>
      <c r="C557" s="49" t="s">
        <v>4638</v>
      </c>
      <c r="D557" s="49" t="s">
        <v>1264</v>
      </c>
      <c r="E557" s="49" t="s">
        <v>3443</v>
      </c>
      <c r="F557" s="49" t="s">
        <v>3124</v>
      </c>
      <c r="G557" s="49" t="s">
        <v>4330</v>
      </c>
      <c r="H557" s="49" t="s">
        <v>980</v>
      </c>
      <c r="I557" s="50">
        <v>44441</v>
      </c>
    </row>
    <row r="558" spans="1:13" x14ac:dyDescent="0.35">
      <c r="A558" s="49" t="s">
        <v>4639</v>
      </c>
      <c r="B558" s="49" t="s">
        <v>3962</v>
      </c>
      <c r="C558" s="49" t="s">
        <v>4635</v>
      </c>
      <c r="D558" s="49" t="s">
        <v>1264</v>
      </c>
      <c r="E558" s="49" t="s">
        <v>2785</v>
      </c>
      <c r="F558" s="49" t="s">
        <v>2792</v>
      </c>
      <c r="G558" s="49" t="s">
        <v>2787</v>
      </c>
      <c r="H558" s="49" t="s">
        <v>980</v>
      </c>
      <c r="I558" s="50">
        <v>44320</v>
      </c>
      <c r="J558" s="50">
        <v>44971</v>
      </c>
      <c r="K558" s="50">
        <v>45335</v>
      </c>
      <c r="M558" s="49" t="s">
        <v>4640</v>
      </c>
    </row>
    <row r="559" spans="1:13" x14ac:dyDescent="0.35">
      <c r="A559" s="49" t="s">
        <v>4641</v>
      </c>
      <c r="B559" s="49" t="s">
        <v>4642</v>
      </c>
      <c r="C559" s="49" t="s">
        <v>4450</v>
      </c>
      <c r="D559" s="49" t="s">
        <v>1264</v>
      </c>
      <c r="E559" s="49" t="s">
        <v>2814</v>
      </c>
      <c r="F559" s="49" t="s">
        <v>2825</v>
      </c>
      <c r="G559" s="49" t="s">
        <v>2787</v>
      </c>
      <c r="H559" s="49" t="s">
        <v>2827</v>
      </c>
      <c r="I559" s="50">
        <v>44407</v>
      </c>
      <c r="J559" s="50">
        <v>44553</v>
      </c>
      <c r="K559" s="50">
        <v>44734</v>
      </c>
      <c r="M559" s="49" t="s">
        <v>4643</v>
      </c>
    </row>
    <row r="560" spans="1:13" x14ac:dyDescent="0.35">
      <c r="A560" s="49" t="s">
        <v>4644</v>
      </c>
      <c r="B560" s="49" t="s">
        <v>4645</v>
      </c>
      <c r="C560" s="49" t="s">
        <v>4646</v>
      </c>
      <c r="D560" s="49" t="s">
        <v>1264</v>
      </c>
      <c r="E560" s="49" t="s">
        <v>2814</v>
      </c>
      <c r="F560" s="49" t="s">
        <v>2825</v>
      </c>
      <c r="G560" s="49" t="s">
        <v>2787</v>
      </c>
      <c r="H560" s="49" t="s">
        <v>2827</v>
      </c>
      <c r="I560" s="50">
        <v>44543</v>
      </c>
      <c r="J560" s="50">
        <v>44581</v>
      </c>
      <c r="K560" s="50">
        <v>44761</v>
      </c>
      <c r="M560" s="49" t="s">
        <v>4647</v>
      </c>
    </row>
    <row r="561" spans="1:13" x14ac:dyDescent="0.35">
      <c r="A561" s="49" t="s">
        <v>4648</v>
      </c>
      <c r="B561" s="49" t="s">
        <v>4649</v>
      </c>
      <c r="C561" s="49" t="s">
        <v>4650</v>
      </c>
      <c r="D561" s="49" t="s">
        <v>1264</v>
      </c>
      <c r="E561" s="49" t="s">
        <v>3443</v>
      </c>
      <c r="F561" s="49" t="s">
        <v>3124</v>
      </c>
      <c r="G561" s="49" t="s">
        <v>2901</v>
      </c>
      <c r="H561" s="49" t="s">
        <v>980</v>
      </c>
      <c r="I561" s="50">
        <v>44425</v>
      </c>
      <c r="J561" s="50">
        <v>44462</v>
      </c>
      <c r="K561" s="50">
        <v>46287</v>
      </c>
    </row>
    <row r="562" spans="1:13" x14ac:dyDescent="0.35">
      <c r="A562" s="49" t="s">
        <v>4651</v>
      </c>
      <c r="B562" s="49" t="s">
        <v>4652</v>
      </c>
      <c r="C562" s="49" t="s">
        <v>4086</v>
      </c>
      <c r="D562" s="49" t="s">
        <v>1264</v>
      </c>
      <c r="E562" s="49" t="s">
        <v>2785</v>
      </c>
      <c r="F562" s="49" t="s">
        <v>2786</v>
      </c>
      <c r="G562" s="49" t="s">
        <v>2787</v>
      </c>
      <c r="H562" s="49" t="s">
        <v>835</v>
      </c>
      <c r="I562" s="50">
        <v>44514</v>
      </c>
      <c r="K562" s="50">
        <v>45511</v>
      </c>
      <c r="M562" s="49" t="s">
        <v>4653</v>
      </c>
    </row>
    <row r="563" spans="1:13" x14ac:dyDescent="0.35">
      <c r="A563" s="49" t="s">
        <v>4654</v>
      </c>
      <c r="B563" s="49" t="s">
        <v>4655</v>
      </c>
      <c r="C563" s="49" t="s">
        <v>4656</v>
      </c>
      <c r="D563" s="49" t="s">
        <v>1264</v>
      </c>
      <c r="E563" s="49" t="s">
        <v>2814</v>
      </c>
      <c r="F563" s="49" t="s">
        <v>2825</v>
      </c>
      <c r="G563" s="49" t="s">
        <v>2787</v>
      </c>
      <c r="H563" s="49" t="s">
        <v>2827</v>
      </c>
      <c r="I563" s="50">
        <v>44526</v>
      </c>
      <c r="J563" s="50">
        <v>44924</v>
      </c>
      <c r="K563" s="50">
        <v>44740</v>
      </c>
      <c r="M563" s="49" t="s">
        <v>4657</v>
      </c>
    </row>
    <row r="564" spans="1:13" x14ac:dyDescent="0.35">
      <c r="A564" s="49" t="s">
        <v>4658</v>
      </c>
      <c r="B564" s="49" t="s">
        <v>4659</v>
      </c>
      <c r="C564" s="49" t="s">
        <v>4660</v>
      </c>
      <c r="D564" s="49" t="s">
        <v>1264</v>
      </c>
      <c r="E564" s="49" t="s">
        <v>3443</v>
      </c>
      <c r="F564" s="49" t="s">
        <v>3124</v>
      </c>
      <c r="G564" s="49" t="s">
        <v>2901</v>
      </c>
      <c r="H564" s="49" t="s">
        <v>980</v>
      </c>
      <c r="I564" s="50">
        <v>44385</v>
      </c>
      <c r="J564" s="50">
        <v>44890</v>
      </c>
      <c r="K564" s="50">
        <v>46715</v>
      </c>
    </row>
    <row r="565" spans="1:13" x14ac:dyDescent="0.35">
      <c r="A565" s="49" t="s">
        <v>4661</v>
      </c>
      <c r="B565" s="49" t="s">
        <v>4572</v>
      </c>
      <c r="C565" s="49" t="s">
        <v>4662</v>
      </c>
      <c r="D565" s="49" t="s">
        <v>1264</v>
      </c>
      <c r="E565" s="49" t="s">
        <v>2785</v>
      </c>
      <c r="F565" s="49" t="s">
        <v>2786</v>
      </c>
      <c r="G565" s="49" t="s">
        <v>2787</v>
      </c>
      <c r="H565" s="49" t="s">
        <v>980</v>
      </c>
      <c r="I565" s="50">
        <v>44550</v>
      </c>
      <c r="K565" s="50">
        <v>45510</v>
      </c>
      <c r="M565" s="49" t="s">
        <v>4663</v>
      </c>
    </row>
    <row r="566" spans="1:13" x14ac:dyDescent="0.35">
      <c r="A566" s="49" t="s">
        <v>4664</v>
      </c>
      <c r="B566" s="49" t="s">
        <v>4665</v>
      </c>
      <c r="C566" s="49" t="s">
        <v>4666</v>
      </c>
      <c r="D566" s="49" t="s">
        <v>1264</v>
      </c>
      <c r="E566" s="49" t="s">
        <v>2774</v>
      </c>
      <c r="F566" s="49" t="s">
        <v>2825</v>
      </c>
      <c r="G566" s="49" t="s">
        <v>2901</v>
      </c>
      <c r="H566" s="49" t="s">
        <v>2827</v>
      </c>
      <c r="I566" s="50">
        <v>44529</v>
      </c>
      <c r="J566" s="50">
        <v>45357</v>
      </c>
      <c r="K566" s="50">
        <v>46817</v>
      </c>
      <c r="M566" s="49" t="s">
        <v>4667</v>
      </c>
    </row>
    <row r="567" spans="1:13" x14ac:dyDescent="0.35">
      <c r="A567" s="49" t="s">
        <v>4668</v>
      </c>
      <c r="B567" s="49" t="s">
        <v>4669</v>
      </c>
      <c r="C567" s="49" t="s">
        <v>4670</v>
      </c>
      <c r="D567" s="49" t="s">
        <v>1264</v>
      </c>
      <c r="E567" s="49" t="s">
        <v>2785</v>
      </c>
      <c r="F567" s="49" t="s">
        <v>2792</v>
      </c>
      <c r="G567" s="49" t="s">
        <v>2787</v>
      </c>
      <c r="H567" s="49" t="s">
        <v>980</v>
      </c>
      <c r="I567" s="50">
        <v>44319</v>
      </c>
      <c r="J567" s="50">
        <v>44697</v>
      </c>
      <c r="K567" s="50">
        <v>45061</v>
      </c>
      <c r="M567" s="49" t="s">
        <v>4671</v>
      </c>
    </row>
    <row r="568" spans="1:13" x14ac:dyDescent="0.35">
      <c r="A568" s="49" t="s">
        <v>4672</v>
      </c>
      <c r="B568" s="49" t="s">
        <v>4673</v>
      </c>
      <c r="C568" s="49" t="s">
        <v>4674</v>
      </c>
      <c r="D568" s="49" t="s">
        <v>1264</v>
      </c>
      <c r="E568" s="49" t="s">
        <v>2785</v>
      </c>
      <c r="F568" s="49" t="s">
        <v>2786</v>
      </c>
      <c r="G568" s="49" t="s">
        <v>2787</v>
      </c>
      <c r="H568" s="49" t="s">
        <v>8</v>
      </c>
      <c r="I568" s="50">
        <v>44543</v>
      </c>
      <c r="K568" s="50">
        <v>45510</v>
      </c>
      <c r="M568" s="49" t="s">
        <v>4675</v>
      </c>
    </row>
    <row r="569" spans="1:13" x14ac:dyDescent="0.35">
      <c r="A569" s="49" t="s">
        <v>4676</v>
      </c>
      <c r="B569" s="49" t="s">
        <v>4677</v>
      </c>
      <c r="C569" s="49" t="s">
        <v>3660</v>
      </c>
      <c r="D569" s="49" t="s">
        <v>1264</v>
      </c>
      <c r="E569" s="49" t="s">
        <v>2785</v>
      </c>
      <c r="F569" s="49" t="s">
        <v>2792</v>
      </c>
      <c r="G569" s="49" t="s">
        <v>2787</v>
      </c>
      <c r="H569" s="49" t="s">
        <v>8</v>
      </c>
      <c r="I569" s="50">
        <v>44557</v>
      </c>
      <c r="K569" s="50">
        <v>45512</v>
      </c>
      <c r="M569" s="49" t="s">
        <v>4678</v>
      </c>
    </row>
    <row r="570" spans="1:13" x14ac:dyDescent="0.35">
      <c r="A570" s="49" t="s">
        <v>4679</v>
      </c>
      <c r="B570" s="49" t="s">
        <v>4680</v>
      </c>
      <c r="C570" s="49" t="s">
        <v>4681</v>
      </c>
      <c r="D570" s="49" t="s">
        <v>1264</v>
      </c>
      <c r="E570" s="49" t="s">
        <v>2986</v>
      </c>
      <c r="F570" s="49" t="s">
        <v>2825</v>
      </c>
      <c r="G570" s="49" t="s">
        <v>4330</v>
      </c>
      <c r="H570" s="49" t="s">
        <v>2827</v>
      </c>
      <c r="I570" s="50">
        <v>44546</v>
      </c>
      <c r="M570" s="49" t="s">
        <v>4682</v>
      </c>
    </row>
    <row r="571" spans="1:13" x14ac:dyDescent="0.35">
      <c r="A571" s="49" t="s">
        <v>4683</v>
      </c>
      <c r="B571" s="49" t="s">
        <v>4684</v>
      </c>
      <c r="C571" s="49" t="s">
        <v>4376</v>
      </c>
      <c r="D571" s="49" t="s">
        <v>1264</v>
      </c>
      <c r="E571" s="49" t="s">
        <v>2785</v>
      </c>
      <c r="F571" s="49" t="s">
        <v>2792</v>
      </c>
      <c r="G571" s="49" t="s">
        <v>2787</v>
      </c>
      <c r="H571" s="49" t="s">
        <v>8</v>
      </c>
      <c r="I571" s="50">
        <v>44566</v>
      </c>
      <c r="K571" s="50">
        <v>45510</v>
      </c>
      <c r="M571" s="49" t="s">
        <v>4685</v>
      </c>
    </row>
    <row r="572" spans="1:13" x14ac:dyDescent="0.35">
      <c r="A572" s="49" t="s">
        <v>4686</v>
      </c>
      <c r="B572" s="49" t="s">
        <v>4687</v>
      </c>
      <c r="C572" s="49" t="s">
        <v>4650</v>
      </c>
      <c r="D572" s="49" t="s">
        <v>1264</v>
      </c>
      <c r="E572" s="49" t="s">
        <v>2814</v>
      </c>
      <c r="F572" s="49" t="s">
        <v>2837</v>
      </c>
      <c r="G572" s="49" t="s">
        <v>2787</v>
      </c>
      <c r="H572" s="49" t="s">
        <v>980</v>
      </c>
      <c r="I572" s="50">
        <v>44420</v>
      </c>
      <c r="J572" s="50">
        <v>44456</v>
      </c>
      <c r="K572" s="50">
        <v>44636</v>
      </c>
      <c r="M572" s="49" t="s">
        <v>4688</v>
      </c>
    </row>
    <row r="573" spans="1:13" x14ac:dyDescent="0.35">
      <c r="A573" s="49" t="s">
        <v>4689</v>
      </c>
      <c r="B573" s="49" t="s">
        <v>4690</v>
      </c>
      <c r="C573" s="49" t="s">
        <v>4450</v>
      </c>
      <c r="D573" s="49" t="s">
        <v>1264</v>
      </c>
      <c r="E573" s="49" t="s">
        <v>2814</v>
      </c>
      <c r="F573" s="49" t="s">
        <v>2825</v>
      </c>
      <c r="G573" s="49" t="s">
        <v>2787</v>
      </c>
      <c r="H573" s="49" t="s">
        <v>2827</v>
      </c>
      <c r="I573" s="50">
        <v>44419</v>
      </c>
      <c r="J573" s="50">
        <v>44419</v>
      </c>
      <c r="K573" s="50">
        <v>44602</v>
      </c>
      <c r="M573" s="49" t="s">
        <v>4691</v>
      </c>
    </row>
    <row r="574" spans="1:13" x14ac:dyDescent="0.35">
      <c r="A574" s="49" t="s">
        <v>4692</v>
      </c>
      <c r="B574" s="49" t="s">
        <v>4693</v>
      </c>
      <c r="C574" s="49" t="s">
        <v>4376</v>
      </c>
      <c r="D574" s="49" t="s">
        <v>1264</v>
      </c>
      <c r="E574" s="49" t="s">
        <v>2785</v>
      </c>
      <c r="F574" s="49" t="s">
        <v>2792</v>
      </c>
      <c r="G574" s="49" t="s">
        <v>2787</v>
      </c>
      <c r="H574" s="49" t="s">
        <v>980</v>
      </c>
      <c r="I574" s="50">
        <v>44915</v>
      </c>
      <c r="J574" s="50">
        <v>44679</v>
      </c>
      <c r="K574" s="50">
        <v>45428</v>
      </c>
      <c r="M574" s="49" t="s">
        <v>4694</v>
      </c>
    </row>
    <row r="575" spans="1:13" x14ac:dyDescent="0.35">
      <c r="A575" s="49" t="s">
        <v>4695</v>
      </c>
      <c r="B575" s="49" t="s">
        <v>4696</v>
      </c>
      <c r="C575" s="49" t="s">
        <v>4001</v>
      </c>
      <c r="D575" s="49" t="s">
        <v>1264</v>
      </c>
      <c r="E575" s="49" t="s">
        <v>2986</v>
      </c>
      <c r="F575" s="49" t="s">
        <v>2825</v>
      </c>
      <c r="G575" s="49" t="s">
        <v>4330</v>
      </c>
      <c r="H575" s="49" t="s">
        <v>2827</v>
      </c>
      <c r="I575" s="50">
        <v>44546</v>
      </c>
      <c r="M575" s="49" t="s">
        <v>4697</v>
      </c>
    </row>
    <row r="576" spans="1:13" x14ac:dyDescent="0.35">
      <c r="A576" s="49" t="s">
        <v>4698</v>
      </c>
      <c r="B576" s="49" t="s">
        <v>3075</v>
      </c>
      <c r="C576" s="49" t="s">
        <v>4699</v>
      </c>
      <c r="D576" s="49" t="s">
        <v>1264</v>
      </c>
      <c r="E576" s="49" t="s">
        <v>2785</v>
      </c>
      <c r="F576" s="49" t="s">
        <v>4048</v>
      </c>
      <c r="G576" s="49" t="s">
        <v>2776</v>
      </c>
      <c r="H576" s="49" t="s">
        <v>2827</v>
      </c>
      <c r="I576" s="50">
        <v>44216</v>
      </c>
      <c r="M576" s="49" t="s">
        <v>4700</v>
      </c>
    </row>
    <row r="577" spans="1:13" x14ac:dyDescent="0.35">
      <c r="A577" s="49" t="s">
        <v>4701</v>
      </c>
      <c r="B577" s="49" t="s">
        <v>3075</v>
      </c>
      <c r="C577" s="49" t="s">
        <v>4702</v>
      </c>
      <c r="D577" s="49" t="s">
        <v>1264</v>
      </c>
      <c r="E577" s="49" t="s">
        <v>2785</v>
      </c>
      <c r="F577" s="49" t="s">
        <v>4048</v>
      </c>
      <c r="G577" s="49" t="s">
        <v>2787</v>
      </c>
      <c r="H577" s="49" t="s">
        <v>2827</v>
      </c>
      <c r="I577" s="50">
        <v>44200</v>
      </c>
      <c r="J577" s="50">
        <v>44561</v>
      </c>
      <c r="K577" s="50">
        <v>45428</v>
      </c>
      <c r="M577" s="49" t="s">
        <v>4703</v>
      </c>
    </row>
    <row r="578" spans="1:13" x14ac:dyDescent="0.35">
      <c r="A578" s="49" t="s">
        <v>4704</v>
      </c>
      <c r="B578" s="49" t="s">
        <v>4705</v>
      </c>
      <c r="C578" s="49" t="s">
        <v>3882</v>
      </c>
      <c r="D578" s="49" t="s">
        <v>1264</v>
      </c>
      <c r="E578" s="49" t="s">
        <v>2785</v>
      </c>
      <c r="F578" s="49" t="s">
        <v>2786</v>
      </c>
      <c r="G578" s="49" t="s">
        <v>2787</v>
      </c>
      <c r="H578" s="49" t="s">
        <v>980</v>
      </c>
      <c r="I578" s="50">
        <v>44435</v>
      </c>
      <c r="K578" s="50">
        <v>45511</v>
      </c>
      <c r="M578" s="49" t="s">
        <v>4706</v>
      </c>
    </row>
    <row r="579" spans="1:13" x14ac:dyDescent="0.35">
      <c r="A579" s="49" t="s">
        <v>4707</v>
      </c>
      <c r="B579" s="49" t="s">
        <v>2867</v>
      </c>
      <c r="C579" s="49" t="s">
        <v>2857</v>
      </c>
      <c r="D579" s="49" t="s">
        <v>1264</v>
      </c>
      <c r="E579" s="49" t="s">
        <v>2785</v>
      </c>
      <c r="F579" s="49" t="s">
        <v>2792</v>
      </c>
      <c r="G579" s="49" t="s">
        <v>2787</v>
      </c>
      <c r="H579" s="49" t="s">
        <v>8</v>
      </c>
      <c r="I579" s="50">
        <v>44573</v>
      </c>
      <c r="J579" s="50">
        <v>44615</v>
      </c>
      <c r="K579" s="50">
        <v>45510</v>
      </c>
      <c r="M579" s="49" t="s">
        <v>4708</v>
      </c>
    </row>
    <row r="580" spans="1:13" x14ac:dyDescent="0.35">
      <c r="A580" s="49" t="s">
        <v>4709</v>
      </c>
      <c r="C580" s="49" t="s">
        <v>4710</v>
      </c>
      <c r="D580" s="49" t="s">
        <v>1264</v>
      </c>
      <c r="E580" s="49" t="s">
        <v>3443</v>
      </c>
      <c r="F580" s="49" t="s">
        <v>3124</v>
      </c>
      <c r="G580" s="49" t="s">
        <v>2921</v>
      </c>
      <c r="H580" s="49" t="s">
        <v>980</v>
      </c>
      <c r="I580" s="50">
        <v>44305</v>
      </c>
      <c r="J580" s="50">
        <v>44326</v>
      </c>
      <c r="K580" s="50">
        <v>46151</v>
      </c>
    </row>
    <row r="581" spans="1:13" x14ac:dyDescent="0.35">
      <c r="A581" s="49" t="s">
        <v>4711</v>
      </c>
      <c r="B581" s="49" t="s">
        <v>4712</v>
      </c>
      <c r="C581" s="49" t="s">
        <v>4646</v>
      </c>
      <c r="D581" s="49" t="s">
        <v>1264</v>
      </c>
      <c r="E581" s="49" t="s">
        <v>2814</v>
      </c>
      <c r="F581" s="49" t="s">
        <v>2825</v>
      </c>
      <c r="G581" s="49" t="s">
        <v>2787</v>
      </c>
      <c r="H581" s="49" t="s">
        <v>2827</v>
      </c>
      <c r="I581" s="50">
        <v>44543</v>
      </c>
      <c r="J581" s="50">
        <v>44587</v>
      </c>
      <c r="K581" s="50">
        <v>44767</v>
      </c>
      <c r="M581" s="49" t="s">
        <v>4713</v>
      </c>
    </row>
    <row r="582" spans="1:13" x14ac:dyDescent="0.35">
      <c r="A582" s="49" t="s">
        <v>4714</v>
      </c>
      <c r="B582" s="49" t="s">
        <v>4715</v>
      </c>
      <c r="C582" s="49" t="s">
        <v>4057</v>
      </c>
      <c r="D582" s="49" t="s">
        <v>1264</v>
      </c>
      <c r="E582" s="49" t="s">
        <v>2785</v>
      </c>
      <c r="F582" s="49" t="s">
        <v>2792</v>
      </c>
      <c r="G582" s="49" t="s">
        <v>2787</v>
      </c>
      <c r="H582" s="49" t="s">
        <v>980</v>
      </c>
      <c r="I582" s="50">
        <v>44445</v>
      </c>
      <c r="J582" s="50">
        <v>44580</v>
      </c>
      <c r="K582" s="50">
        <v>45428</v>
      </c>
      <c r="M582" s="49" t="s">
        <v>4716</v>
      </c>
    </row>
    <row r="583" spans="1:13" x14ac:dyDescent="0.35">
      <c r="A583" s="49" t="s">
        <v>4717</v>
      </c>
      <c r="B583" s="49" t="s">
        <v>4718</v>
      </c>
      <c r="C583" s="49" t="s">
        <v>4719</v>
      </c>
      <c r="D583" s="49" t="s">
        <v>1264</v>
      </c>
      <c r="E583" s="49" t="s">
        <v>2785</v>
      </c>
      <c r="F583" s="49" t="s">
        <v>2792</v>
      </c>
      <c r="G583" s="49" t="s">
        <v>2787</v>
      </c>
      <c r="H583" s="49" t="s">
        <v>980</v>
      </c>
      <c r="I583" s="50">
        <v>44567</v>
      </c>
      <c r="J583" s="50">
        <v>44586</v>
      </c>
      <c r="K583" s="50">
        <v>45428</v>
      </c>
      <c r="M583" s="49" t="s">
        <v>4720</v>
      </c>
    </row>
    <row r="584" spans="1:13" x14ac:dyDescent="0.35">
      <c r="A584" s="49" t="s">
        <v>4721</v>
      </c>
      <c r="B584" s="49" t="s">
        <v>3730</v>
      </c>
      <c r="C584" s="49" t="s">
        <v>2933</v>
      </c>
      <c r="D584" s="49" t="s">
        <v>1264</v>
      </c>
      <c r="E584" s="49" t="s">
        <v>2908</v>
      </c>
      <c r="F584" s="49" t="s">
        <v>3253</v>
      </c>
      <c r="G584" s="49" t="s">
        <v>2901</v>
      </c>
      <c r="H584" s="49" t="s">
        <v>973</v>
      </c>
      <c r="I584" s="50">
        <v>43754</v>
      </c>
      <c r="J584" s="50">
        <v>44114</v>
      </c>
      <c r="K584" s="50">
        <v>45939</v>
      </c>
      <c r="M584" s="49" t="s">
        <v>4722</v>
      </c>
    </row>
    <row r="585" spans="1:13" x14ac:dyDescent="0.35">
      <c r="A585" s="49" t="s">
        <v>4723</v>
      </c>
      <c r="B585" s="49" t="s">
        <v>4724</v>
      </c>
      <c r="C585" s="49" t="s">
        <v>4725</v>
      </c>
      <c r="D585" s="49" t="s">
        <v>1264</v>
      </c>
      <c r="E585" s="49" t="s">
        <v>3443</v>
      </c>
      <c r="F585" s="49" t="s">
        <v>3124</v>
      </c>
      <c r="G585" s="49" t="s">
        <v>2901</v>
      </c>
      <c r="H585" s="49" t="s">
        <v>980</v>
      </c>
      <c r="I585" s="50">
        <v>44455</v>
      </c>
      <c r="J585" s="50">
        <v>44476</v>
      </c>
      <c r="K585" s="50">
        <v>46301</v>
      </c>
    </row>
    <row r="586" spans="1:13" x14ac:dyDescent="0.35">
      <c r="A586" s="49" t="s">
        <v>4726</v>
      </c>
      <c r="B586" s="49" t="s">
        <v>4724</v>
      </c>
      <c r="C586" s="49" t="s">
        <v>4535</v>
      </c>
      <c r="D586" s="49" t="s">
        <v>1264</v>
      </c>
      <c r="E586" s="49" t="s">
        <v>3443</v>
      </c>
      <c r="F586" s="49" t="s">
        <v>3124</v>
      </c>
      <c r="G586" s="49" t="s">
        <v>2901</v>
      </c>
      <c r="H586" s="49" t="s">
        <v>980</v>
      </c>
      <c r="I586" s="50">
        <v>44404</v>
      </c>
      <c r="J586" s="50">
        <v>44172</v>
      </c>
      <c r="K586" s="50">
        <v>45997</v>
      </c>
    </row>
    <row r="587" spans="1:13" x14ac:dyDescent="0.35">
      <c r="A587" s="49" t="s">
        <v>4727</v>
      </c>
      <c r="B587" s="49" t="s">
        <v>3218</v>
      </c>
      <c r="C587" s="49" t="s">
        <v>4279</v>
      </c>
      <c r="D587" s="49" t="s">
        <v>1264</v>
      </c>
      <c r="E587" s="49" t="s">
        <v>2785</v>
      </c>
      <c r="F587" s="49" t="s">
        <v>2786</v>
      </c>
      <c r="G587" s="49" t="s">
        <v>2787</v>
      </c>
      <c r="H587" s="49" t="s">
        <v>980</v>
      </c>
      <c r="I587" s="50">
        <v>44468</v>
      </c>
      <c r="J587" s="50">
        <v>44572</v>
      </c>
      <c r="K587" s="50">
        <v>45428</v>
      </c>
      <c r="M587" s="49" t="s">
        <v>4728</v>
      </c>
    </row>
    <row r="588" spans="1:13" x14ac:dyDescent="0.35">
      <c r="A588" s="49" t="s">
        <v>4729</v>
      </c>
      <c r="B588" s="49" t="s">
        <v>4718</v>
      </c>
      <c r="C588" s="49" t="s">
        <v>2850</v>
      </c>
      <c r="D588" s="49" t="s">
        <v>1264</v>
      </c>
      <c r="E588" s="49" t="s">
        <v>2785</v>
      </c>
      <c r="F588" s="49" t="s">
        <v>2792</v>
      </c>
      <c r="G588" s="49" t="s">
        <v>2787</v>
      </c>
      <c r="H588" s="49" t="s">
        <v>980</v>
      </c>
      <c r="I588" s="50">
        <v>44426</v>
      </c>
      <c r="J588" s="50">
        <v>44589</v>
      </c>
      <c r="K588" s="50">
        <v>44953</v>
      </c>
      <c r="M588" s="49" t="s">
        <v>4730</v>
      </c>
    </row>
    <row r="589" spans="1:13" x14ac:dyDescent="0.35">
      <c r="A589" s="49" t="s">
        <v>4731</v>
      </c>
      <c r="B589" s="49" t="s">
        <v>4732</v>
      </c>
      <c r="C589" s="49" t="s">
        <v>4306</v>
      </c>
      <c r="D589" s="49" t="s">
        <v>1264</v>
      </c>
      <c r="E589" s="49" t="s">
        <v>2814</v>
      </c>
      <c r="F589" s="49" t="s">
        <v>2825</v>
      </c>
      <c r="G589" s="49" t="s">
        <v>2776</v>
      </c>
      <c r="H589" s="49" t="s">
        <v>2827</v>
      </c>
      <c r="I589" s="50">
        <v>44287</v>
      </c>
      <c r="M589" s="49" t="s">
        <v>3270</v>
      </c>
    </row>
    <row r="590" spans="1:13" x14ac:dyDescent="0.35">
      <c r="A590" s="49" t="s">
        <v>4733</v>
      </c>
      <c r="C590" s="49" t="s">
        <v>4734</v>
      </c>
      <c r="D590" s="49" t="s">
        <v>1264</v>
      </c>
      <c r="E590" s="49" t="s">
        <v>2986</v>
      </c>
      <c r="F590" s="49" t="s">
        <v>2825</v>
      </c>
      <c r="G590" s="49" t="s">
        <v>2776</v>
      </c>
      <c r="H590" s="49" t="s">
        <v>2827</v>
      </c>
      <c r="I590" s="50">
        <v>44463</v>
      </c>
      <c r="M590" s="49" t="s">
        <v>3270</v>
      </c>
    </row>
    <row r="591" spans="1:13" x14ac:dyDescent="0.35">
      <c r="A591" s="49" t="s">
        <v>4735</v>
      </c>
      <c r="C591" s="49" t="s">
        <v>4736</v>
      </c>
      <c r="D591" s="49" t="s">
        <v>1264</v>
      </c>
      <c r="E591" s="49" t="s">
        <v>2814</v>
      </c>
      <c r="F591" s="49" t="s">
        <v>2837</v>
      </c>
      <c r="G591" s="49" t="s">
        <v>2787</v>
      </c>
      <c r="H591" s="49" t="s">
        <v>980</v>
      </c>
      <c r="I591" s="50">
        <v>44607</v>
      </c>
      <c r="K591" s="50">
        <v>44635</v>
      </c>
      <c r="M591" s="49" t="s">
        <v>4737</v>
      </c>
    </row>
    <row r="592" spans="1:13" x14ac:dyDescent="0.35">
      <c r="A592" s="49" t="s">
        <v>4738</v>
      </c>
      <c r="B592" s="49" t="s">
        <v>4739</v>
      </c>
      <c r="C592" s="49" t="s">
        <v>4740</v>
      </c>
      <c r="D592" s="49" t="s">
        <v>1264</v>
      </c>
      <c r="E592" s="49" t="s">
        <v>2774</v>
      </c>
      <c r="F592" s="49" t="s">
        <v>2825</v>
      </c>
      <c r="G592" s="49" t="s">
        <v>2901</v>
      </c>
      <c r="H592" s="49" t="s">
        <v>2827</v>
      </c>
      <c r="I592" s="50">
        <v>43269</v>
      </c>
      <c r="J592" s="50">
        <v>44623</v>
      </c>
      <c r="K592" s="50">
        <v>46083</v>
      </c>
      <c r="M592" s="49" t="s">
        <v>4741</v>
      </c>
    </row>
    <row r="593" spans="1:13" x14ac:dyDescent="0.35">
      <c r="A593" s="49" t="s">
        <v>4742</v>
      </c>
      <c r="B593" s="49" t="s">
        <v>4743</v>
      </c>
      <c r="C593" s="49" t="s">
        <v>4740</v>
      </c>
      <c r="D593" s="49" t="s">
        <v>1264</v>
      </c>
      <c r="E593" s="49" t="s">
        <v>2774</v>
      </c>
      <c r="F593" s="49" t="s">
        <v>2825</v>
      </c>
      <c r="G593" s="49" t="s">
        <v>2901</v>
      </c>
      <c r="H593" s="49" t="s">
        <v>973</v>
      </c>
      <c r="I593" s="50">
        <v>44431</v>
      </c>
      <c r="J593" s="50">
        <v>44623</v>
      </c>
      <c r="K593" s="50">
        <v>46083</v>
      </c>
      <c r="M593" s="49" t="s">
        <v>4744</v>
      </c>
    </row>
    <row r="594" spans="1:13" x14ac:dyDescent="0.35">
      <c r="A594" s="49" t="s">
        <v>4745</v>
      </c>
      <c r="B594" s="49" t="s">
        <v>3881</v>
      </c>
      <c r="C594" s="49" t="s">
        <v>4746</v>
      </c>
      <c r="D594" s="49" t="s">
        <v>1264</v>
      </c>
      <c r="E594" s="49" t="s">
        <v>2785</v>
      </c>
      <c r="F594" s="49" t="s">
        <v>2786</v>
      </c>
      <c r="G594" s="49" t="s">
        <v>2787</v>
      </c>
      <c r="H594" s="49" t="s">
        <v>980</v>
      </c>
      <c r="I594" s="50">
        <v>44292</v>
      </c>
      <c r="K594" s="50">
        <v>45510</v>
      </c>
      <c r="M594" s="49" t="s">
        <v>4747</v>
      </c>
    </row>
    <row r="595" spans="1:13" x14ac:dyDescent="0.35">
      <c r="A595" s="49" t="s">
        <v>4748</v>
      </c>
      <c r="C595" s="49" t="s">
        <v>4749</v>
      </c>
      <c r="D595" s="49" t="s">
        <v>1264</v>
      </c>
      <c r="E595" s="49" t="s">
        <v>2986</v>
      </c>
      <c r="F595" s="49" t="s">
        <v>2825</v>
      </c>
      <c r="G595" s="49" t="s">
        <v>2901</v>
      </c>
      <c r="H595" s="49" t="s">
        <v>2827</v>
      </c>
      <c r="I595" s="50">
        <v>44609</v>
      </c>
      <c r="J595" s="50">
        <v>44614</v>
      </c>
      <c r="K595" s="50">
        <v>45709</v>
      </c>
      <c r="M595" s="49" t="s">
        <v>4750</v>
      </c>
    </row>
    <row r="596" spans="1:13" x14ac:dyDescent="0.35">
      <c r="A596" s="49" t="s">
        <v>4751</v>
      </c>
      <c r="C596" s="49" t="s">
        <v>4752</v>
      </c>
      <c r="D596" s="49" t="s">
        <v>1264</v>
      </c>
      <c r="E596" s="49" t="s">
        <v>2774</v>
      </c>
      <c r="F596" s="49" t="s">
        <v>2900</v>
      </c>
      <c r="G596" s="49" t="s">
        <v>2901</v>
      </c>
      <c r="H596" s="49" t="s">
        <v>3229</v>
      </c>
      <c r="I596" s="50">
        <v>44459</v>
      </c>
      <c r="J596" s="50">
        <v>44615</v>
      </c>
      <c r="K596" s="50">
        <v>46075</v>
      </c>
      <c r="M596" s="49" t="s">
        <v>4753</v>
      </c>
    </row>
    <row r="597" spans="1:13" x14ac:dyDescent="0.35">
      <c r="A597" s="49" t="s">
        <v>4754</v>
      </c>
      <c r="B597" s="49" t="s">
        <v>4755</v>
      </c>
      <c r="C597" s="49" t="s">
        <v>4086</v>
      </c>
      <c r="D597" s="49" t="s">
        <v>1264</v>
      </c>
      <c r="E597" s="49" t="s">
        <v>2785</v>
      </c>
      <c r="F597" s="49" t="s">
        <v>2786</v>
      </c>
      <c r="G597" s="49" t="s">
        <v>2787</v>
      </c>
      <c r="H597" s="49" t="s">
        <v>4225</v>
      </c>
      <c r="I597" s="50">
        <v>44599</v>
      </c>
      <c r="K597" s="50">
        <v>45510</v>
      </c>
      <c r="M597" s="49" t="s">
        <v>4756</v>
      </c>
    </row>
    <row r="598" spans="1:13" x14ac:dyDescent="0.35">
      <c r="A598" s="49" t="s">
        <v>4757</v>
      </c>
      <c r="B598" s="49" t="s">
        <v>4758</v>
      </c>
      <c r="C598" s="49" t="s">
        <v>4749</v>
      </c>
      <c r="D598" s="49" t="s">
        <v>1264</v>
      </c>
      <c r="E598" s="49" t="s">
        <v>2986</v>
      </c>
      <c r="F598" s="49" t="s">
        <v>2825</v>
      </c>
      <c r="G598" s="49" t="s">
        <v>4330</v>
      </c>
      <c r="H598" s="49" t="s">
        <v>973</v>
      </c>
      <c r="I598" s="50">
        <v>44610</v>
      </c>
      <c r="M598" s="49" t="s">
        <v>4759</v>
      </c>
    </row>
    <row r="599" spans="1:13" x14ac:dyDescent="0.35">
      <c r="A599" s="49" t="s">
        <v>4760</v>
      </c>
      <c r="B599" s="49" t="s">
        <v>4761</v>
      </c>
      <c r="C599" s="49" t="s">
        <v>4749</v>
      </c>
      <c r="D599" s="49" t="s">
        <v>1264</v>
      </c>
      <c r="E599" s="49" t="s">
        <v>2986</v>
      </c>
      <c r="F599" s="49" t="s">
        <v>2825</v>
      </c>
      <c r="G599" s="49" t="s">
        <v>4330</v>
      </c>
      <c r="H599" s="49" t="s">
        <v>973</v>
      </c>
      <c r="I599" s="50">
        <v>44610</v>
      </c>
      <c r="M599" s="49" t="s">
        <v>4762</v>
      </c>
    </row>
    <row r="600" spans="1:13" x14ac:dyDescent="0.35">
      <c r="A600" s="49" t="s">
        <v>4763</v>
      </c>
      <c r="B600" s="49" t="s">
        <v>2818</v>
      </c>
      <c r="C600" s="49" t="s">
        <v>4095</v>
      </c>
      <c r="D600" s="49" t="s">
        <v>1264</v>
      </c>
      <c r="E600" s="49" t="s">
        <v>2785</v>
      </c>
      <c r="F600" s="49" t="s">
        <v>2792</v>
      </c>
      <c r="G600" s="49" t="s">
        <v>2787</v>
      </c>
      <c r="H600" s="49" t="s">
        <v>8</v>
      </c>
      <c r="I600" s="50">
        <v>44410</v>
      </c>
      <c r="J600" s="50">
        <v>44652</v>
      </c>
      <c r="K600" s="50">
        <v>45428</v>
      </c>
      <c r="M600" s="49" t="s">
        <v>4764</v>
      </c>
    </row>
    <row r="601" spans="1:13" x14ac:dyDescent="0.35">
      <c r="A601" s="49" t="s">
        <v>4765</v>
      </c>
      <c r="B601" s="49" t="s">
        <v>4766</v>
      </c>
      <c r="C601" s="49" t="s">
        <v>4086</v>
      </c>
      <c r="D601" s="49" t="s">
        <v>1264</v>
      </c>
      <c r="E601" s="49" t="s">
        <v>2785</v>
      </c>
      <c r="F601" s="49" t="s">
        <v>2786</v>
      </c>
      <c r="G601" s="49" t="s">
        <v>2787</v>
      </c>
      <c r="H601" s="49" t="s">
        <v>4225</v>
      </c>
      <c r="I601" s="50">
        <v>44599</v>
      </c>
      <c r="K601" s="50">
        <v>45510</v>
      </c>
      <c r="M601" s="49" t="s">
        <v>4767</v>
      </c>
    </row>
    <row r="602" spans="1:13" x14ac:dyDescent="0.35">
      <c r="A602" s="49" t="s">
        <v>4768</v>
      </c>
      <c r="C602" s="49" t="s">
        <v>4086</v>
      </c>
      <c r="D602" s="49" t="s">
        <v>1264</v>
      </c>
      <c r="E602" s="49" t="s">
        <v>2785</v>
      </c>
      <c r="F602" s="49" t="s">
        <v>2786</v>
      </c>
      <c r="G602" s="49" t="s">
        <v>2787</v>
      </c>
      <c r="H602" s="49" t="s">
        <v>4225</v>
      </c>
      <c r="I602" s="50">
        <v>44599</v>
      </c>
      <c r="K602" s="50">
        <v>45510</v>
      </c>
      <c r="M602" s="49" t="s">
        <v>4321</v>
      </c>
    </row>
    <row r="603" spans="1:13" ht="29" x14ac:dyDescent="0.35">
      <c r="A603" s="49" t="s">
        <v>4769</v>
      </c>
      <c r="B603" s="51" t="s">
        <v>4770</v>
      </c>
      <c r="C603" s="49" t="s">
        <v>4015</v>
      </c>
      <c r="D603" s="49" t="s">
        <v>1264</v>
      </c>
      <c r="E603" s="49" t="s">
        <v>2785</v>
      </c>
      <c r="F603" s="49" t="s">
        <v>2792</v>
      </c>
      <c r="G603" s="49" t="s">
        <v>2787</v>
      </c>
      <c r="H603" s="49" t="s">
        <v>980</v>
      </c>
      <c r="I603" s="50">
        <v>43873</v>
      </c>
      <c r="K603" s="50">
        <v>45510</v>
      </c>
      <c r="M603" s="49" t="s">
        <v>4771</v>
      </c>
    </row>
    <row r="604" spans="1:13" x14ac:dyDescent="0.35">
      <c r="A604" s="49" t="s">
        <v>4772</v>
      </c>
      <c r="C604" s="49" t="s">
        <v>4773</v>
      </c>
      <c r="D604" s="49" t="s">
        <v>1264</v>
      </c>
      <c r="E604" s="49" t="s">
        <v>2814</v>
      </c>
      <c r="F604" s="49" t="s">
        <v>4774</v>
      </c>
      <c r="G604" s="49" t="s">
        <v>2776</v>
      </c>
      <c r="H604" s="49" t="s">
        <v>3207</v>
      </c>
      <c r="I604" s="50">
        <v>44630</v>
      </c>
      <c r="M604" s="49" t="s">
        <v>4775</v>
      </c>
    </row>
    <row r="605" spans="1:13" x14ac:dyDescent="0.35">
      <c r="A605" s="49" t="s">
        <v>4776</v>
      </c>
      <c r="B605" s="49" t="s">
        <v>3768</v>
      </c>
      <c r="C605" s="49" t="s">
        <v>4777</v>
      </c>
      <c r="D605" s="49" t="s">
        <v>1264</v>
      </c>
      <c r="E605" s="49" t="s">
        <v>3443</v>
      </c>
      <c r="F605" s="49" t="s">
        <v>3124</v>
      </c>
      <c r="G605" s="49" t="s">
        <v>2901</v>
      </c>
      <c r="H605" s="49" t="s">
        <v>980</v>
      </c>
      <c r="I605" s="50">
        <v>44404</v>
      </c>
      <c r="J605" s="50">
        <v>44642</v>
      </c>
      <c r="K605" s="50">
        <v>46467</v>
      </c>
    </row>
    <row r="606" spans="1:13" x14ac:dyDescent="0.35">
      <c r="A606" s="49" t="s">
        <v>4778</v>
      </c>
      <c r="B606" s="49" t="s">
        <v>4779</v>
      </c>
      <c r="C606" s="49" t="s">
        <v>4001</v>
      </c>
      <c r="D606" s="49" t="s">
        <v>1264</v>
      </c>
      <c r="E606" s="49" t="s">
        <v>2986</v>
      </c>
      <c r="F606" s="49" t="s">
        <v>2825</v>
      </c>
      <c r="G606" s="49" t="s">
        <v>4330</v>
      </c>
      <c r="H606" s="49" t="s">
        <v>2827</v>
      </c>
      <c r="I606" s="50">
        <v>44546</v>
      </c>
      <c r="M606" s="49" t="s">
        <v>4780</v>
      </c>
    </row>
    <row r="607" spans="1:13" x14ac:dyDescent="0.35">
      <c r="A607" s="49" t="s">
        <v>4781</v>
      </c>
      <c r="C607" s="49" t="s">
        <v>4782</v>
      </c>
      <c r="D607" s="49" t="s">
        <v>1264</v>
      </c>
      <c r="E607" s="49" t="s">
        <v>2814</v>
      </c>
      <c r="F607" s="49" t="s">
        <v>2825</v>
      </c>
      <c r="G607" s="49" t="s">
        <v>2787</v>
      </c>
      <c r="H607" s="49" t="s">
        <v>2827</v>
      </c>
      <c r="I607" s="50">
        <v>44623</v>
      </c>
      <c r="J607" s="50">
        <v>44692</v>
      </c>
      <c r="K607" s="50">
        <v>44875</v>
      </c>
      <c r="M607" s="49" t="s">
        <v>4783</v>
      </c>
    </row>
    <row r="608" spans="1:13" x14ac:dyDescent="0.35">
      <c r="A608" s="49" t="s">
        <v>4784</v>
      </c>
      <c r="C608" s="49" t="s">
        <v>3563</v>
      </c>
      <c r="D608" s="49" t="s">
        <v>1264</v>
      </c>
      <c r="E608" s="49" t="s">
        <v>2986</v>
      </c>
      <c r="F608" s="49" t="s">
        <v>2825</v>
      </c>
      <c r="G608" s="49" t="s">
        <v>4330</v>
      </c>
      <c r="H608" s="49" t="s">
        <v>2827</v>
      </c>
      <c r="I608" s="50">
        <v>44635</v>
      </c>
      <c r="M608" s="49" t="s">
        <v>4785</v>
      </c>
    </row>
    <row r="609" spans="1:13" x14ac:dyDescent="0.35">
      <c r="A609" s="49" t="s">
        <v>4786</v>
      </c>
      <c r="B609" s="49" t="s">
        <v>3275</v>
      </c>
      <c r="C609" s="49" t="s">
        <v>4314</v>
      </c>
      <c r="D609" s="49" t="s">
        <v>1264</v>
      </c>
      <c r="E609" s="49" t="s">
        <v>2986</v>
      </c>
      <c r="F609" s="49" t="s">
        <v>2825</v>
      </c>
      <c r="G609" s="49" t="s">
        <v>2901</v>
      </c>
      <c r="H609" s="49" t="s">
        <v>2827</v>
      </c>
      <c r="I609" s="50">
        <v>44546</v>
      </c>
      <c r="J609" s="50">
        <v>44762</v>
      </c>
      <c r="K609" s="50">
        <v>45857</v>
      </c>
      <c r="M609" s="49" t="s">
        <v>4787</v>
      </c>
    </row>
    <row r="610" spans="1:13" x14ac:dyDescent="0.35">
      <c r="A610" s="49" t="s">
        <v>4788</v>
      </c>
      <c r="B610" s="49" t="s">
        <v>4789</v>
      </c>
      <c r="C610" s="49" t="s">
        <v>3606</v>
      </c>
      <c r="D610" s="49" t="s">
        <v>1264</v>
      </c>
      <c r="E610" s="49" t="s">
        <v>2974</v>
      </c>
      <c r="F610" s="49" t="s">
        <v>2825</v>
      </c>
      <c r="G610" s="49" t="s">
        <v>2901</v>
      </c>
      <c r="H610" s="49" t="s">
        <v>2827</v>
      </c>
      <c r="I610" s="50">
        <v>44494</v>
      </c>
      <c r="J610" s="50">
        <v>44572</v>
      </c>
      <c r="K610" s="50">
        <v>46397</v>
      </c>
      <c r="M610" s="49" t="s">
        <v>3607</v>
      </c>
    </row>
    <row r="611" spans="1:13" x14ac:dyDescent="0.35">
      <c r="A611" s="49" t="s">
        <v>4790</v>
      </c>
      <c r="B611" s="49" t="s">
        <v>4791</v>
      </c>
      <c r="C611" s="49" t="s">
        <v>4792</v>
      </c>
      <c r="D611" s="49" t="s">
        <v>1264</v>
      </c>
      <c r="E611" s="49" t="s">
        <v>2986</v>
      </c>
      <c r="F611" s="49" t="s">
        <v>2825</v>
      </c>
      <c r="G611" s="49" t="s">
        <v>2901</v>
      </c>
      <c r="H611" s="49" t="s">
        <v>2827</v>
      </c>
      <c r="I611" s="50">
        <v>44384</v>
      </c>
      <c r="J611" s="50">
        <v>44642</v>
      </c>
      <c r="K611" s="50">
        <v>45737</v>
      </c>
      <c r="M611" s="49" t="s">
        <v>4793</v>
      </c>
    </row>
    <row r="612" spans="1:13" x14ac:dyDescent="0.35">
      <c r="A612" s="49" t="s">
        <v>4794</v>
      </c>
      <c r="B612" s="49" t="s">
        <v>4795</v>
      </c>
      <c r="C612" s="49" t="s">
        <v>4796</v>
      </c>
      <c r="D612" s="49" t="s">
        <v>1264</v>
      </c>
      <c r="E612" s="49" t="s">
        <v>2986</v>
      </c>
      <c r="F612" s="49" t="s">
        <v>2825</v>
      </c>
      <c r="G612" s="49" t="s">
        <v>2921</v>
      </c>
      <c r="H612" s="49" t="s">
        <v>2827</v>
      </c>
      <c r="I612" s="50">
        <v>40045</v>
      </c>
      <c r="J612" s="50">
        <v>40119</v>
      </c>
      <c r="K612" s="50">
        <v>44136</v>
      </c>
      <c r="L612" s="50">
        <v>43041</v>
      </c>
      <c r="M612" s="49" t="s">
        <v>4797</v>
      </c>
    </row>
    <row r="613" spans="1:13" x14ac:dyDescent="0.35">
      <c r="A613" s="49" t="s">
        <v>4798</v>
      </c>
      <c r="B613" s="49" t="s">
        <v>4799</v>
      </c>
      <c r="C613" s="49" t="s">
        <v>4113</v>
      </c>
      <c r="D613" s="49" t="s">
        <v>1264</v>
      </c>
      <c r="E613" s="49" t="s">
        <v>2986</v>
      </c>
      <c r="F613" s="49" t="s">
        <v>2825</v>
      </c>
      <c r="G613" s="49" t="s">
        <v>4330</v>
      </c>
      <c r="H613" s="49" t="s">
        <v>2827</v>
      </c>
      <c r="I613" s="50">
        <v>44483</v>
      </c>
      <c r="M613" s="49" t="s">
        <v>4800</v>
      </c>
    </row>
    <row r="614" spans="1:13" x14ac:dyDescent="0.35">
      <c r="A614" s="49" t="s">
        <v>4801</v>
      </c>
      <c r="B614" s="49" t="s">
        <v>3461</v>
      </c>
      <c r="C614" s="49" t="s">
        <v>4408</v>
      </c>
      <c r="D614" s="49" t="s">
        <v>1264</v>
      </c>
      <c r="E614" s="49" t="s">
        <v>2785</v>
      </c>
      <c r="F614" s="49" t="s">
        <v>2792</v>
      </c>
      <c r="G614" s="49" t="s">
        <v>3997</v>
      </c>
      <c r="H614" s="49" t="s">
        <v>980</v>
      </c>
      <c r="I614" s="50">
        <v>44614</v>
      </c>
      <c r="M614" s="49" t="s">
        <v>4802</v>
      </c>
    </row>
    <row r="615" spans="1:13" x14ac:dyDescent="0.35">
      <c r="A615" s="49" t="s">
        <v>4803</v>
      </c>
      <c r="B615" s="49" t="s">
        <v>4804</v>
      </c>
      <c r="C615" s="49" t="s">
        <v>4805</v>
      </c>
      <c r="D615" s="49" t="s">
        <v>1264</v>
      </c>
      <c r="E615" s="49" t="s">
        <v>2774</v>
      </c>
      <c r="F615" s="49" t="s">
        <v>4806</v>
      </c>
      <c r="G615" s="49" t="s">
        <v>2826</v>
      </c>
      <c r="H615" s="49" t="s">
        <v>2827</v>
      </c>
      <c r="I615" s="50">
        <v>44627</v>
      </c>
      <c r="M615" s="49" t="s">
        <v>4807</v>
      </c>
    </row>
    <row r="616" spans="1:13" x14ac:dyDescent="0.35">
      <c r="A616" s="49" t="s">
        <v>4808</v>
      </c>
      <c r="B616" s="49" t="s">
        <v>4809</v>
      </c>
      <c r="C616" s="49" t="s">
        <v>4810</v>
      </c>
      <c r="D616" s="49" t="s">
        <v>1264</v>
      </c>
      <c r="E616" s="49" t="s">
        <v>2986</v>
      </c>
      <c r="F616" s="49" t="s">
        <v>2825</v>
      </c>
      <c r="G616" s="49" t="s">
        <v>2901</v>
      </c>
      <c r="H616" s="49" t="s">
        <v>2827</v>
      </c>
      <c r="I616" s="50">
        <v>44662</v>
      </c>
      <c r="J616" s="50">
        <v>44736</v>
      </c>
      <c r="K616" s="50">
        <v>45831</v>
      </c>
      <c r="M616" s="49" t="s">
        <v>4811</v>
      </c>
    </row>
    <row r="617" spans="1:13" x14ac:dyDescent="0.35">
      <c r="A617" s="49" t="s">
        <v>4812</v>
      </c>
      <c r="B617" s="49" t="s">
        <v>4813</v>
      </c>
      <c r="C617" s="49" t="s">
        <v>4814</v>
      </c>
      <c r="D617" s="49" t="s">
        <v>1264</v>
      </c>
      <c r="E617" s="49" t="s">
        <v>2785</v>
      </c>
      <c r="F617" s="49" t="s">
        <v>2792</v>
      </c>
      <c r="G617" s="49" t="s">
        <v>2787</v>
      </c>
      <c r="H617" s="49" t="s">
        <v>980</v>
      </c>
      <c r="I617" s="50">
        <v>44641</v>
      </c>
      <c r="J617" s="50">
        <v>44701</v>
      </c>
      <c r="K617" s="50">
        <v>45065</v>
      </c>
      <c r="M617" s="49" t="s">
        <v>4815</v>
      </c>
    </row>
    <row r="618" spans="1:13" x14ac:dyDescent="0.35">
      <c r="A618" s="49" t="s">
        <v>4816</v>
      </c>
      <c r="B618" s="49" t="s">
        <v>4817</v>
      </c>
      <c r="C618" s="49" t="s">
        <v>4810</v>
      </c>
      <c r="D618" s="49" t="s">
        <v>1264</v>
      </c>
      <c r="E618" s="49" t="s">
        <v>2986</v>
      </c>
      <c r="F618" s="49" t="s">
        <v>2825</v>
      </c>
      <c r="G618" s="49" t="s">
        <v>2901</v>
      </c>
      <c r="H618" s="49" t="s">
        <v>2827</v>
      </c>
      <c r="I618" s="50">
        <v>44662</v>
      </c>
      <c r="J618" s="50">
        <v>44736</v>
      </c>
      <c r="K618" s="50">
        <v>45831</v>
      </c>
      <c r="M618" s="49" t="s">
        <v>4818</v>
      </c>
    </row>
    <row r="619" spans="1:13" x14ac:dyDescent="0.35">
      <c r="A619" s="49" t="s">
        <v>4819</v>
      </c>
      <c r="C619" s="49" t="s">
        <v>4820</v>
      </c>
      <c r="D619" s="49" t="s">
        <v>1264</v>
      </c>
      <c r="E619" s="49" t="s">
        <v>2814</v>
      </c>
      <c r="F619" s="49" t="s">
        <v>2825</v>
      </c>
      <c r="G619" s="49" t="s">
        <v>2787</v>
      </c>
      <c r="H619" s="49" t="s">
        <v>2827</v>
      </c>
      <c r="I619" s="50">
        <v>44676</v>
      </c>
      <c r="J619" s="50">
        <v>44678</v>
      </c>
      <c r="K619" s="50">
        <v>44860</v>
      </c>
      <c r="M619" s="49" t="s">
        <v>4821</v>
      </c>
    </row>
    <row r="620" spans="1:13" x14ac:dyDescent="0.35">
      <c r="A620" s="49" t="s">
        <v>4822</v>
      </c>
      <c r="C620" s="49" t="s">
        <v>3878</v>
      </c>
      <c r="D620" s="49" t="s">
        <v>1264</v>
      </c>
      <c r="E620" s="49" t="s">
        <v>2785</v>
      </c>
      <c r="F620" s="49" t="s">
        <v>2792</v>
      </c>
      <c r="G620" s="49" t="s">
        <v>2787</v>
      </c>
      <c r="H620" s="49" t="s">
        <v>980</v>
      </c>
      <c r="I620" s="50">
        <v>44305</v>
      </c>
      <c r="J620" s="50">
        <v>45142</v>
      </c>
      <c r="K620" s="50">
        <v>45509</v>
      </c>
      <c r="M620" s="49" t="s">
        <v>4823</v>
      </c>
    </row>
    <row r="621" spans="1:13" x14ac:dyDescent="0.35">
      <c r="A621" s="49" t="s">
        <v>4824</v>
      </c>
      <c r="C621" s="49" t="s">
        <v>4825</v>
      </c>
      <c r="D621" s="49" t="s">
        <v>1264</v>
      </c>
      <c r="E621" s="49" t="s">
        <v>2814</v>
      </c>
      <c r="F621" s="49" t="s">
        <v>2825</v>
      </c>
      <c r="G621" s="49" t="s">
        <v>2787</v>
      </c>
      <c r="H621" s="49" t="s">
        <v>8</v>
      </c>
      <c r="I621" s="50">
        <v>44690</v>
      </c>
      <c r="J621" s="50">
        <v>44693</v>
      </c>
      <c r="K621" s="50">
        <v>44876</v>
      </c>
      <c r="M621" s="49" t="s">
        <v>4826</v>
      </c>
    </row>
    <row r="622" spans="1:13" x14ac:dyDescent="0.35">
      <c r="A622" s="49" t="s">
        <v>4827</v>
      </c>
      <c r="B622" s="49" t="s">
        <v>4828</v>
      </c>
      <c r="C622" s="49" t="s">
        <v>4829</v>
      </c>
      <c r="D622" s="49" t="s">
        <v>1264</v>
      </c>
      <c r="E622" s="49" t="s">
        <v>2774</v>
      </c>
      <c r="F622" s="49" t="s">
        <v>2825</v>
      </c>
      <c r="G622" s="49" t="s">
        <v>2901</v>
      </c>
      <c r="H622" s="49" t="s">
        <v>2827</v>
      </c>
      <c r="I622" s="50">
        <v>44692</v>
      </c>
      <c r="J622" s="50">
        <v>44789</v>
      </c>
      <c r="K622" s="50">
        <v>46249</v>
      </c>
      <c r="M622" s="49" t="s">
        <v>4830</v>
      </c>
    </row>
    <row r="623" spans="1:13" x14ac:dyDescent="0.35">
      <c r="A623" s="49" t="s">
        <v>4831</v>
      </c>
      <c r="C623" s="49" t="s">
        <v>4421</v>
      </c>
      <c r="D623" s="49" t="s">
        <v>1264</v>
      </c>
      <c r="E623" s="49" t="s">
        <v>2814</v>
      </c>
      <c r="F623" s="49" t="s">
        <v>3005</v>
      </c>
      <c r="G623" s="49" t="s">
        <v>2787</v>
      </c>
      <c r="H623" s="49" t="s">
        <v>980</v>
      </c>
      <c r="I623" s="50">
        <v>44692</v>
      </c>
      <c r="J623" s="50">
        <v>44693</v>
      </c>
      <c r="K623" s="50">
        <v>44876</v>
      </c>
      <c r="M623" s="49" t="s">
        <v>4832</v>
      </c>
    </row>
    <row r="624" spans="1:13" x14ac:dyDescent="0.35">
      <c r="A624" s="49" t="s">
        <v>4833</v>
      </c>
      <c r="B624" s="49" t="s">
        <v>4834</v>
      </c>
      <c r="C624" s="49" t="s">
        <v>4835</v>
      </c>
      <c r="D624" s="49" t="s">
        <v>1264</v>
      </c>
      <c r="E624" s="49" t="s">
        <v>2986</v>
      </c>
      <c r="F624" s="49" t="s">
        <v>2825</v>
      </c>
      <c r="G624" s="49" t="s">
        <v>2826</v>
      </c>
      <c r="H624" s="49" t="s">
        <v>2827</v>
      </c>
      <c r="I624" s="50">
        <v>44596</v>
      </c>
      <c r="J624" s="50">
        <v>44659</v>
      </c>
      <c r="K624" s="50">
        <v>44956</v>
      </c>
      <c r="M624" s="49" t="s">
        <v>4836</v>
      </c>
    </row>
    <row r="625" spans="1:13" x14ac:dyDescent="0.35">
      <c r="A625" s="49" t="s">
        <v>4837</v>
      </c>
      <c r="B625" s="49" t="s">
        <v>4838</v>
      </c>
      <c r="C625" s="49" t="s">
        <v>4835</v>
      </c>
      <c r="D625" s="49" t="s">
        <v>1264</v>
      </c>
      <c r="E625" s="49" t="s">
        <v>2986</v>
      </c>
      <c r="F625" s="49" t="s">
        <v>2825</v>
      </c>
      <c r="G625" s="49" t="s">
        <v>2826</v>
      </c>
      <c r="H625" s="49" t="s">
        <v>2827</v>
      </c>
      <c r="I625" s="50">
        <v>44596</v>
      </c>
      <c r="J625" s="50">
        <v>44659</v>
      </c>
      <c r="K625" s="50">
        <v>44957</v>
      </c>
      <c r="M625" s="49" t="s">
        <v>4839</v>
      </c>
    </row>
    <row r="626" spans="1:13" x14ac:dyDescent="0.35">
      <c r="A626" s="49" t="s">
        <v>4840</v>
      </c>
      <c r="B626" s="49" t="s">
        <v>4841</v>
      </c>
      <c r="C626" s="49" t="s">
        <v>3791</v>
      </c>
      <c r="D626" s="49" t="s">
        <v>1264</v>
      </c>
      <c r="E626" s="49" t="s">
        <v>2774</v>
      </c>
      <c r="F626" s="49" t="s">
        <v>4842</v>
      </c>
      <c r="G626" s="49" t="s">
        <v>2901</v>
      </c>
      <c r="H626" s="49" t="s">
        <v>2827</v>
      </c>
      <c r="I626" s="50">
        <v>43066</v>
      </c>
      <c r="J626" s="50">
        <v>43229</v>
      </c>
      <c r="K626" s="50">
        <v>45785</v>
      </c>
      <c r="M626" s="49" t="s">
        <v>4843</v>
      </c>
    </row>
    <row r="627" spans="1:13" x14ac:dyDescent="0.35">
      <c r="A627" s="49" t="s">
        <v>4844</v>
      </c>
      <c r="B627" s="49" t="s">
        <v>4845</v>
      </c>
      <c r="C627" s="49" t="s">
        <v>4650</v>
      </c>
      <c r="D627" s="49" t="s">
        <v>1264</v>
      </c>
      <c r="E627" s="49" t="s">
        <v>2774</v>
      </c>
      <c r="F627" s="49" t="s">
        <v>3188</v>
      </c>
      <c r="G627" s="49" t="s">
        <v>2826</v>
      </c>
      <c r="H627" s="49" t="s">
        <v>973</v>
      </c>
      <c r="I627" s="50">
        <v>44622</v>
      </c>
      <c r="M627" s="49" t="s">
        <v>4846</v>
      </c>
    </row>
    <row r="628" spans="1:13" x14ac:dyDescent="0.35">
      <c r="A628" s="49" t="s">
        <v>4847</v>
      </c>
      <c r="B628" s="49" t="s">
        <v>4848</v>
      </c>
      <c r="C628" s="49" t="s">
        <v>4849</v>
      </c>
      <c r="D628" s="49" t="s">
        <v>1264</v>
      </c>
      <c r="E628" s="49" t="s">
        <v>2986</v>
      </c>
      <c r="F628" s="49" t="s">
        <v>2825</v>
      </c>
      <c r="G628" s="49" t="s">
        <v>2901</v>
      </c>
      <c r="H628" s="49" t="s">
        <v>2827</v>
      </c>
      <c r="I628" s="50">
        <v>44697</v>
      </c>
      <c r="J628" s="50">
        <v>44714</v>
      </c>
      <c r="K628" s="50">
        <v>45809</v>
      </c>
      <c r="M628" s="49" t="s">
        <v>4850</v>
      </c>
    </row>
    <row r="629" spans="1:13" x14ac:dyDescent="0.35">
      <c r="A629" s="49" t="s">
        <v>4851</v>
      </c>
      <c r="B629" s="49" t="s">
        <v>4852</v>
      </c>
      <c r="C629" s="49" t="s">
        <v>4853</v>
      </c>
      <c r="D629" s="49" t="s">
        <v>1264</v>
      </c>
      <c r="E629" s="49" t="s">
        <v>2986</v>
      </c>
      <c r="F629" s="49" t="s">
        <v>2825</v>
      </c>
      <c r="G629" s="49" t="s">
        <v>2901</v>
      </c>
      <c r="H629" s="49" t="s">
        <v>2827</v>
      </c>
      <c r="I629" s="50">
        <v>44662</v>
      </c>
      <c r="J629" s="50">
        <v>44762</v>
      </c>
      <c r="K629" s="50">
        <v>45857</v>
      </c>
      <c r="M629" s="49" t="s">
        <v>4854</v>
      </c>
    </row>
    <row r="630" spans="1:13" x14ac:dyDescent="0.35">
      <c r="A630" s="49" t="s">
        <v>4855</v>
      </c>
      <c r="C630" s="49" t="s">
        <v>4856</v>
      </c>
      <c r="D630" s="49" t="s">
        <v>1264</v>
      </c>
      <c r="E630" s="49" t="s">
        <v>2986</v>
      </c>
      <c r="F630" s="49" t="s">
        <v>2825</v>
      </c>
      <c r="G630" s="49" t="s">
        <v>2901</v>
      </c>
      <c r="H630" s="49" t="s">
        <v>2827</v>
      </c>
      <c r="I630" s="50">
        <v>44509</v>
      </c>
      <c r="J630" s="50">
        <v>44796</v>
      </c>
      <c r="K630" s="50">
        <v>45891</v>
      </c>
      <c r="M630" s="49" t="s">
        <v>4857</v>
      </c>
    </row>
    <row r="631" spans="1:13" x14ac:dyDescent="0.35">
      <c r="A631" s="49" t="s">
        <v>4858</v>
      </c>
      <c r="B631" s="49" t="s">
        <v>4859</v>
      </c>
      <c r="C631" s="49" t="s">
        <v>4365</v>
      </c>
      <c r="D631" s="49" t="s">
        <v>1264</v>
      </c>
      <c r="E631" s="49" t="s">
        <v>2774</v>
      </c>
      <c r="F631" s="49" t="s">
        <v>2825</v>
      </c>
      <c r="G631" s="49" t="s">
        <v>2826</v>
      </c>
      <c r="H631" s="49" t="s">
        <v>2827</v>
      </c>
      <c r="I631" s="50">
        <v>40018</v>
      </c>
      <c r="J631" s="50">
        <v>40323</v>
      </c>
      <c r="K631" s="50">
        <v>43609</v>
      </c>
      <c r="M631" s="49" t="s">
        <v>4860</v>
      </c>
    </row>
    <row r="632" spans="1:13" x14ac:dyDescent="0.35">
      <c r="A632" s="49" t="s">
        <v>4861</v>
      </c>
      <c r="B632" s="49" t="s">
        <v>3946</v>
      </c>
      <c r="C632" s="49" t="s">
        <v>4862</v>
      </c>
      <c r="D632" s="49" t="s">
        <v>1264</v>
      </c>
      <c r="E632" s="49" t="s">
        <v>2814</v>
      </c>
      <c r="F632" s="49" t="s">
        <v>2825</v>
      </c>
      <c r="G632" s="49" t="s">
        <v>2787</v>
      </c>
      <c r="H632" s="49" t="s">
        <v>2827</v>
      </c>
      <c r="I632" s="50">
        <v>44697</v>
      </c>
      <c r="J632" s="50">
        <v>45027</v>
      </c>
      <c r="K632" s="50">
        <v>45392</v>
      </c>
      <c r="M632" s="49" t="s">
        <v>4863</v>
      </c>
    </row>
    <row r="633" spans="1:13" x14ac:dyDescent="0.35">
      <c r="A633" s="49" t="s">
        <v>4864</v>
      </c>
      <c r="B633" s="49" t="s">
        <v>2849</v>
      </c>
      <c r="C633" s="49" t="s">
        <v>4376</v>
      </c>
      <c r="D633" s="49" t="s">
        <v>1264</v>
      </c>
      <c r="E633" s="49" t="s">
        <v>2785</v>
      </c>
      <c r="F633" s="49" t="s">
        <v>2792</v>
      </c>
      <c r="G633" s="49" t="s">
        <v>2787</v>
      </c>
      <c r="H633" s="49" t="s">
        <v>980</v>
      </c>
      <c r="I633" s="50">
        <v>44679</v>
      </c>
      <c r="J633" s="50">
        <v>44732</v>
      </c>
      <c r="K633" s="50">
        <v>45428</v>
      </c>
      <c r="M633" s="49" t="s">
        <v>4865</v>
      </c>
    </row>
    <row r="634" spans="1:13" x14ac:dyDescent="0.35">
      <c r="A634" s="49" t="s">
        <v>4866</v>
      </c>
      <c r="B634" s="49" t="s">
        <v>3586</v>
      </c>
      <c r="C634" s="49" t="s">
        <v>3882</v>
      </c>
      <c r="D634" s="49" t="s">
        <v>1264</v>
      </c>
      <c r="E634" s="49" t="s">
        <v>2785</v>
      </c>
      <c r="F634" s="49" t="s">
        <v>2786</v>
      </c>
      <c r="G634" s="49" t="s">
        <v>2787</v>
      </c>
      <c r="H634" s="49" t="s">
        <v>980</v>
      </c>
      <c r="I634" s="50">
        <v>44614</v>
      </c>
      <c r="J634" s="50">
        <v>44783</v>
      </c>
      <c r="K634" s="50">
        <v>45428</v>
      </c>
      <c r="M634" s="49" t="s">
        <v>4867</v>
      </c>
    </row>
    <row r="635" spans="1:13" x14ac:dyDescent="0.35">
      <c r="A635" s="49" t="s">
        <v>4868</v>
      </c>
      <c r="B635" s="49" t="s">
        <v>4576</v>
      </c>
      <c r="C635" s="49" t="s">
        <v>4064</v>
      </c>
      <c r="D635" s="49" t="s">
        <v>1264</v>
      </c>
      <c r="E635" s="49" t="s">
        <v>2785</v>
      </c>
      <c r="F635" s="49" t="s">
        <v>2792</v>
      </c>
      <c r="G635" s="49" t="s">
        <v>2787</v>
      </c>
      <c r="H635" s="49" t="s">
        <v>980</v>
      </c>
      <c r="I635" s="50">
        <v>44676</v>
      </c>
      <c r="J635" s="50">
        <v>44748</v>
      </c>
      <c r="K635" s="50">
        <v>45505</v>
      </c>
      <c r="M635" s="49" t="s">
        <v>4289</v>
      </c>
    </row>
    <row r="636" spans="1:13" x14ac:dyDescent="0.35">
      <c r="A636" s="49" t="s">
        <v>4869</v>
      </c>
      <c r="B636" s="49" t="s">
        <v>4870</v>
      </c>
      <c r="C636" s="49" t="s">
        <v>4871</v>
      </c>
      <c r="D636" s="49" t="s">
        <v>1264</v>
      </c>
      <c r="E636" s="49" t="s">
        <v>2774</v>
      </c>
      <c r="F636" s="49" t="s">
        <v>2825</v>
      </c>
      <c r="G636" s="49" t="s">
        <v>2901</v>
      </c>
      <c r="H636" s="49" t="s">
        <v>2827</v>
      </c>
      <c r="I636" s="50">
        <v>44642</v>
      </c>
      <c r="J636" s="50">
        <v>44719</v>
      </c>
      <c r="K636" s="50">
        <v>46179</v>
      </c>
      <c r="M636" s="49" t="s">
        <v>3137</v>
      </c>
    </row>
    <row r="637" spans="1:13" x14ac:dyDescent="0.35">
      <c r="A637" s="49" t="s">
        <v>4872</v>
      </c>
      <c r="B637" s="49" t="s">
        <v>4873</v>
      </c>
      <c r="C637" s="49" t="s">
        <v>4874</v>
      </c>
      <c r="D637" s="49" t="s">
        <v>1264</v>
      </c>
      <c r="E637" s="49" t="s">
        <v>2774</v>
      </c>
      <c r="F637" s="49" t="s">
        <v>2900</v>
      </c>
      <c r="G637" s="49" t="s">
        <v>2901</v>
      </c>
      <c r="H637" s="49" t="s">
        <v>980</v>
      </c>
      <c r="I637" s="50">
        <v>44636</v>
      </c>
      <c r="J637" s="50">
        <v>44719</v>
      </c>
      <c r="K637" s="50">
        <v>46179</v>
      </c>
      <c r="M637" s="49" t="s">
        <v>4875</v>
      </c>
    </row>
    <row r="638" spans="1:13" x14ac:dyDescent="0.35">
      <c r="A638" s="49" t="s">
        <v>4876</v>
      </c>
      <c r="B638" s="49" t="s">
        <v>4877</v>
      </c>
      <c r="C638" s="49" t="s">
        <v>4810</v>
      </c>
      <c r="D638" s="49" t="s">
        <v>1264</v>
      </c>
      <c r="E638" s="49" t="s">
        <v>2986</v>
      </c>
      <c r="F638" s="49" t="s">
        <v>2825</v>
      </c>
      <c r="G638" s="49" t="s">
        <v>2901</v>
      </c>
      <c r="H638" s="49" t="s">
        <v>2827</v>
      </c>
      <c r="I638" s="50">
        <v>44662</v>
      </c>
      <c r="J638" s="50">
        <v>44736</v>
      </c>
      <c r="K638" s="50">
        <v>45831</v>
      </c>
      <c r="M638" s="49" t="s">
        <v>4878</v>
      </c>
    </row>
    <row r="639" spans="1:13" x14ac:dyDescent="0.35">
      <c r="A639" s="49" t="s">
        <v>4879</v>
      </c>
      <c r="B639" s="49" t="s">
        <v>3555</v>
      </c>
      <c r="C639" s="49" t="s">
        <v>4880</v>
      </c>
      <c r="D639" s="49" t="s">
        <v>1264</v>
      </c>
      <c r="E639" s="49" t="s">
        <v>2785</v>
      </c>
      <c r="F639" s="49" t="s">
        <v>2792</v>
      </c>
      <c r="G639" s="49" t="s">
        <v>2787</v>
      </c>
      <c r="H639" s="49" t="s">
        <v>8</v>
      </c>
      <c r="I639" s="50">
        <v>44713</v>
      </c>
      <c r="J639" s="50">
        <v>44729</v>
      </c>
      <c r="K639" s="50">
        <v>45093</v>
      </c>
      <c r="M639" s="49" t="s">
        <v>4881</v>
      </c>
    </row>
    <row r="640" spans="1:13" x14ac:dyDescent="0.35">
      <c r="A640" s="49" t="s">
        <v>4882</v>
      </c>
      <c r="B640" s="49" t="s">
        <v>3768</v>
      </c>
      <c r="C640" s="49" t="s">
        <v>2864</v>
      </c>
      <c r="D640" s="49" t="s">
        <v>1264</v>
      </c>
      <c r="E640" s="49" t="s">
        <v>3443</v>
      </c>
      <c r="F640" s="49" t="s">
        <v>3124</v>
      </c>
      <c r="G640" s="49" t="s">
        <v>2901</v>
      </c>
      <c r="H640" s="49" t="s">
        <v>980</v>
      </c>
      <c r="I640" s="50">
        <v>44538</v>
      </c>
      <c r="J640" s="50">
        <v>44642</v>
      </c>
      <c r="K640" s="50">
        <v>46467</v>
      </c>
    </row>
    <row r="641" spans="1:13" x14ac:dyDescent="0.35">
      <c r="A641" s="49" t="s">
        <v>4883</v>
      </c>
      <c r="B641" s="49" t="s">
        <v>3768</v>
      </c>
      <c r="C641" s="49" t="s">
        <v>4333</v>
      </c>
      <c r="D641" s="49" t="s">
        <v>1264</v>
      </c>
      <c r="E641" s="49" t="s">
        <v>3443</v>
      </c>
      <c r="F641" s="49" t="s">
        <v>3124</v>
      </c>
      <c r="G641" s="49" t="s">
        <v>2901</v>
      </c>
      <c r="H641" s="49" t="s">
        <v>980</v>
      </c>
      <c r="I641" s="50">
        <v>44532</v>
      </c>
      <c r="J641" s="50">
        <v>44594</v>
      </c>
      <c r="K641" s="50">
        <v>46419</v>
      </c>
    </row>
    <row r="642" spans="1:13" x14ac:dyDescent="0.35">
      <c r="A642" s="49" t="s">
        <v>4884</v>
      </c>
      <c r="C642" s="49" t="s">
        <v>2810</v>
      </c>
      <c r="D642" s="49" t="s">
        <v>1264</v>
      </c>
      <c r="E642" s="49" t="s">
        <v>2785</v>
      </c>
      <c r="F642" s="49" t="s">
        <v>2792</v>
      </c>
      <c r="G642" s="49" t="s">
        <v>2787</v>
      </c>
      <c r="H642" s="49" t="s">
        <v>980</v>
      </c>
      <c r="I642" s="50">
        <v>44733</v>
      </c>
      <c r="J642" s="50">
        <v>44746</v>
      </c>
      <c r="K642" s="50">
        <v>45511</v>
      </c>
      <c r="M642" s="49" t="s">
        <v>4885</v>
      </c>
    </row>
    <row r="643" spans="1:13" x14ac:dyDescent="0.35">
      <c r="A643" s="49" t="s">
        <v>4886</v>
      </c>
      <c r="C643" s="49" t="s">
        <v>4887</v>
      </c>
      <c r="D643" s="49" t="s">
        <v>1264</v>
      </c>
      <c r="E643" s="49" t="s">
        <v>2986</v>
      </c>
      <c r="F643" s="49" t="s">
        <v>2825</v>
      </c>
      <c r="G643" s="49" t="s">
        <v>2901</v>
      </c>
      <c r="H643" s="49" t="s">
        <v>2827</v>
      </c>
      <c r="I643" s="50">
        <v>44692</v>
      </c>
      <c r="J643" s="50">
        <v>45080</v>
      </c>
      <c r="K643" s="50">
        <v>46175</v>
      </c>
      <c r="M643" s="49" t="s">
        <v>4888</v>
      </c>
    </row>
    <row r="644" spans="1:13" x14ac:dyDescent="0.35">
      <c r="A644" s="49" t="s">
        <v>4889</v>
      </c>
      <c r="B644" s="49" t="s">
        <v>4890</v>
      </c>
      <c r="C644" s="49" t="s">
        <v>4146</v>
      </c>
      <c r="D644" s="49" t="s">
        <v>1264</v>
      </c>
      <c r="E644" s="49" t="s">
        <v>2986</v>
      </c>
      <c r="F644" s="49" t="s">
        <v>2825</v>
      </c>
      <c r="G644" s="49" t="s">
        <v>4891</v>
      </c>
      <c r="H644" s="49" t="s">
        <v>2827</v>
      </c>
      <c r="I644" s="50">
        <v>44477</v>
      </c>
      <c r="M644" s="49" t="s">
        <v>4892</v>
      </c>
    </row>
    <row r="645" spans="1:13" x14ac:dyDescent="0.35">
      <c r="A645" s="49" t="s">
        <v>4893</v>
      </c>
      <c r="B645" s="49" t="s">
        <v>4894</v>
      </c>
      <c r="C645" s="49" t="s">
        <v>4849</v>
      </c>
      <c r="D645" s="49" t="s">
        <v>1264</v>
      </c>
      <c r="E645" s="49" t="s">
        <v>2986</v>
      </c>
      <c r="F645" s="49" t="s">
        <v>2825</v>
      </c>
      <c r="G645" s="49" t="s">
        <v>2901</v>
      </c>
      <c r="H645" s="49" t="s">
        <v>2827</v>
      </c>
      <c r="I645" s="50">
        <v>44697</v>
      </c>
      <c r="J645" s="50">
        <v>44714</v>
      </c>
      <c r="K645" s="50">
        <v>45809</v>
      </c>
      <c r="M645" s="49" t="s">
        <v>4895</v>
      </c>
    </row>
    <row r="646" spans="1:13" x14ac:dyDescent="0.35">
      <c r="A646" s="49" t="s">
        <v>4896</v>
      </c>
      <c r="B646" s="49" t="s">
        <v>4897</v>
      </c>
      <c r="C646" s="49" t="s">
        <v>4646</v>
      </c>
      <c r="D646" s="49" t="s">
        <v>1264</v>
      </c>
      <c r="E646" s="49" t="s">
        <v>2986</v>
      </c>
      <c r="F646" s="49" t="s">
        <v>2825</v>
      </c>
      <c r="G646" s="49" t="s">
        <v>2901</v>
      </c>
      <c r="H646" s="49" t="s">
        <v>2827</v>
      </c>
      <c r="I646" s="50">
        <v>44509</v>
      </c>
      <c r="J646" s="50">
        <v>44704</v>
      </c>
      <c r="K646" s="50">
        <v>45799</v>
      </c>
      <c r="M646" s="49" t="s">
        <v>4898</v>
      </c>
    </row>
    <row r="647" spans="1:13" x14ac:dyDescent="0.35">
      <c r="A647" s="49" t="s">
        <v>4899</v>
      </c>
      <c r="C647" s="49" t="s">
        <v>4900</v>
      </c>
      <c r="D647" s="49" t="s">
        <v>1264</v>
      </c>
      <c r="E647" s="49" t="s">
        <v>4901</v>
      </c>
      <c r="F647" s="49" t="s">
        <v>2825</v>
      </c>
      <c r="G647" s="49" t="s">
        <v>2901</v>
      </c>
      <c r="H647" s="49" t="s">
        <v>2827</v>
      </c>
      <c r="I647" s="50">
        <v>44735</v>
      </c>
      <c r="J647" s="50">
        <v>44735</v>
      </c>
      <c r="K647" s="50">
        <v>48387</v>
      </c>
      <c r="M647" s="49" t="s">
        <v>4902</v>
      </c>
    </row>
    <row r="648" spans="1:13" x14ac:dyDescent="0.35">
      <c r="A648" s="49" t="s">
        <v>4903</v>
      </c>
      <c r="B648" s="49" t="s">
        <v>4724</v>
      </c>
      <c r="C648" s="49" t="s">
        <v>4603</v>
      </c>
      <c r="D648" s="49" t="s">
        <v>1264</v>
      </c>
      <c r="E648" s="49" t="s">
        <v>3443</v>
      </c>
      <c r="F648" s="49" t="s">
        <v>3124</v>
      </c>
      <c r="G648" s="49" t="s">
        <v>2901</v>
      </c>
      <c r="H648" s="49" t="s">
        <v>980</v>
      </c>
      <c r="I648" s="50">
        <v>44537</v>
      </c>
      <c r="J648" s="50">
        <v>44594</v>
      </c>
      <c r="K648" s="50">
        <v>46419</v>
      </c>
    </row>
    <row r="649" spans="1:13" x14ac:dyDescent="0.35">
      <c r="A649" s="49" t="s">
        <v>4904</v>
      </c>
      <c r="B649" s="49" t="s">
        <v>4905</v>
      </c>
      <c r="C649" s="49" t="s">
        <v>4862</v>
      </c>
      <c r="D649" s="49" t="s">
        <v>1264</v>
      </c>
      <c r="E649" s="49" t="s">
        <v>2814</v>
      </c>
      <c r="F649" s="49" t="s">
        <v>2825</v>
      </c>
      <c r="G649" s="49" t="s">
        <v>2787</v>
      </c>
      <c r="H649" s="49" t="s">
        <v>2827</v>
      </c>
      <c r="I649" s="50">
        <v>44739</v>
      </c>
      <c r="J649" s="50">
        <v>45029</v>
      </c>
      <c r="K649" s="50">
        <v>45394</v>
      </c>
      <c r="M649" s="49" t="s">
        <v>4906</v>
      </c>
    </row>
    <row r="650" spans="1:13" x14ac:dyDescent="0.35">
      <c r="A650" s="49" t="s">
        <v>4907</v>
      </c>
      <c r="B650" s="49" t="s">
        <v>3586</v>
      </c>
      <c r="C650" s="49" t="s">
        <v>4908</v>
      </c>
      <c r="D650" s="49" t="s">
        <v>1264</v>
      </c>
      <c r="E650" s="49" t="s">
        <v>2785</v>
      </c>
      <c r="F650" s="49" t="s">
        <v>2786</v>
      </c>
      <c r="G650" s="49" t="s">
        <v>2776</v>
      </c>
      <c r="H650" s="49" t="s">
        <v>980</v>
      </c>
      <c r="I650" s="50">
        <v>44719</v>
      </c>
      <c r="M650" s="49" t="s">
        <v>4909</v>
      </c>
    </row>
    <row r="651" spans="1:13" x14ac:dyDescent="0.35">
      <c r="A651" s="49" t="s">
        <v>4910</v>
      </c>
      <c r="C651" s="49" t="s">
        <v>4900</v>
      </c>
      <c r="D651" s="49" t="s">
        <v>1264</v>
      </c>
      <c r="E651" s="49" t="s">
        <v>4901</v>
      </c>
      <c r="F651" s="49" t="s">
        <v>2825</v>
      </c>
      <c r="G651" s="49" t="s">
        <v>2787</v>
      </c>
      <c r="H651" s="49" t="s">
        <v>2827</v>
      </c>
      <c r="I651" s="50">
        <v>44742</v>
      </c>
      <c r="J651" s="50">
        <v>44742</v>
      </c>
      <c r="K651" s="50">
        <v>45050</v>
      </c>
      <c r="M651" s="49" t="s">
        <v>4911</v>
      </c>
    </row>
    <row r="652" spans="1:13" x14ac:dyDescent="0.35">
      <c r="A652" s="49" t="s">
        <v>4912</v>
      </c>
      <c r="C652" s="49" t="s">
        <v>4900</v>
      </c>
      <c r="D652" s="49" t="s">
        <v>1264</v>
      </c>
      <c r="E652" s="49" t="s">
        <v>4901</v>
      </c>
      <c r="F652" s="49" t="s">
        <v>4913</v>
      </c>
      <c r="G652" s="49" t="s">
        <v>2901</v>
      </c>
      <c r="H652" s="49" t="s">
        <v>980</v>
      </c>
      <c r="I652" s="50">
        <v>44557</v>
      </c>
      <c r="J652" s="50">
        <v>44742</v>
      </c>
      <c r="K652" s="50">
        <v>48394</v>
      </c>
      <c r="M652" s="49" t="s">
        <v>4914</v>
      </c>
    </row>
    <row r="653" spans="1:13" x14ac:dyDescent="0.35">
      <c r="A653" s="49" t="s">
        <v>4915</v>
      </c>
      <c r="C653" s="49" t="s">
        <v>4916</v>
      </c>
      <c r="D653" s="49" t="s">
        <v>1264</v>
      </c>
      <c r="E653" s="49" t="s">
        <v>2814</v>
      </c>
      <c r="F653" s="49" t="s">
        <v>2825</v>
      </c>
      <c r="G653" s="49" t="s">
        <v>2787</v>
      </c>
      <c r="H653" s="49" t="s">
        <v>973</v>
      </c>
      <c r="I653" s="50">
        <v>44733</v>
      </c>
      <c r="J653" s="50">
        <v>44757</v>
      </c>
      <c r="K653" s="50">
        <v>44940</v>
      </c>
      <c r="M653" s="49" t="s">
        <v>4917</v>
      </c>
    </row>
    <row r="654" spans="1:13" x14ac:dyDescent="0.35">
      <c r="A654" s="49" t="s">
        <v>4918</v>
      </c>
      <c r="B654" s="49" t="s">
        <v>3768</v>
      </c>
      <c r="C654" s="49" t="s">
        <v>4919</v>
      </c>
      <c r="D654" s="49" t="s">
        <v>1264</v>
      </c>
      <c r="E654" s="49" t="s">
        <v>3443</v>
      </c>
      <c r="F654" s="49" t="s">
        <v>3124</v>
      </c>
      <c r="G654" s="49" t="s">
        <v>4330</v>
      </c>
      <c r="H654" s="49" t="s">
        <v>980</v>
      </c>
      <c r="I654" s="50">
        <v>44746</v>
      </c>
    </row>
    <row r="655" spans="1:13" x14ac:dyDescent="0.35">
      <c r="A655" s="49" t="s">
        <v>4920</v>
      </c>
      <c r="B655" s="49" t="s">
        <v>4921</v>
      </c>
      <c r="C655" s="49" t="s">
        <v>4922</v>
      </c>
      <c r="D655" s="49" t="s">
        <v>1264</v>
      </c>
      <c r="E655" s="49" t="s">
        <v>2785</v>
      </c>
      <c r="F655" s="49" t="s">
        <v>2792</v>
      </c>
      <c r="G655" s="49" t="s">
        <v>2787</v>
      </c>
      <c r="H655" s="49" t="s">
        <v>4225</v>
      </c>
      <c r="I655" s="50">
        <v>44726</v>
      </c>
      <c r="K655" s="50">
        <v>45511</v>
      </c>
      <c r="M655" s="49" t="s">
        <v>4923</v>
      </c>
    </row>
    <row r="656" spans="1:13" x14ac:dyDescent="0.35">
      <c r="A656" s="49" t="s">
        <v>4924</v>
      </c>
      <c r="B656" s="49" t="s">
        <v>4925</v>
      </c>
      <c r="C656" s="49" t="s">
        <v>4926</v>
      </c>
      <c r="D656" s="49" t="s">
        <v>1264</v>
      </c>
      <c r="E656" s="49" t="s">
        <v>2785</v>
      </c>
      <c r="F656" s="49" t="s">
        <v>2792</v>
      </c>
      <c r="G656" s="49" t="s">
        <v>2787</v>
      </c>
      <c r="H656" s="49" t="s">
        <v>980</v>
      </c>
      <c r="I656" s="50">
        <v>44750</v>
      </c>
      <c r="J656" s="50">
        <v>44750</v>
      </c>
      <c r="K656" s="50">
        <v>45511</v>
      </c>
      <c r="M656" s="49" t="s">
        <v>4927</v>
      </c>
    </row>
    <row r="657" spans="1:13" x14ac:dyDescent="0.35">
      <c r="A657" s="49" t="s">
        <v>4928</v>
      </c>
      <c r="B657" s="49" t="s">
        <v>3768</v>
      </c>
      <c r="C657" s="49" t="s">
        <v>4929</v>
      </c>
      <c r="D657" s="49" t="s">
        <v>1264</v>
      </c>
      <c r="E657" s="49" t="s">
        <v>3443</v>
      </c>
      <c r="F657" s="49" t="s">
        <v>3124</v>
      </c>
      <c r="G657" s="49" t="s">
        <v>4330</v>
      </c>
      <c r="H657" s="49" t="s">
        <v>980</v>
      </c>
      <c r="I657" s="50">
        <v>44711</v>
      </c>
    </row>
    <row r="658" spans="1:13" x14ac:dyDescent="0.35">
      <c r="A658" s="49" t="s">
        <v>4930</v>
      </c>
      <c r="B658" s="49" t="s">
        <v>4931</v>
      </c>
      <c r="C658" s="49" t="s">
        <v>4932</v>
      </c>
      <c r="D658" s="49" t="s">
        <v>1264</v>
      </c>
      <c r="E658" s="49" t="s">
        <v>2814</v>
      </c>
      <c r="F658" s="49" t="s">
        <v>2900</v>
      </c>
      <c r="G658" s="49" t="s">
        <v>2787</v>
      </c>
      <c r="H658" s="49" t="s">
        <v>980</v>
      </c>
      <c r="I658" s="50">
        <v>44756</v>
      </c>
      <c r="J658" s="50">
        <v>44784</v>
      </c>
      <c r="K658" s="50">
        <v>45520</v>
      </c>
      <c r="M658" s="49" t="s">
        <v>4933</v>
      </c>
    </row>
    <row r="659" spans="1:13" x14ac:dyDescent="0.35">
      <c r="A659" s="49" t="s">
        <v>4934</v>
      </c>
      <c r="C659" s="49" t="s">
        <v>4935</v>
      </c>
      <c r="D659" s="49" t="s">
        <v>1264</v>
      </c>
      <c r="E659" s="49" t="s">
        <v>2785</v>
      </c>
      <c r="F659" s="49" t="s">
        <v>2792</v>
      </c>
      <c r="G659" s="49" t="s">
        <v>2787</v>
      </c>
      <c r="H659" s="49" t="s">
        <v>3207</v>
      </c>
      <c r="I659" s="50">
        <v>44145</v>
      </c>
      <c r="K659" s="50">
        <v>45510</v>
      </c>
      <c r="M659" s="49" t="s">
        <v>4936</v>
      </c>
    </row>
    <row r="660" spans="1:13" x14ac:dyDescent="0.35">
      <c r="A660" s="49" t="s">
        <v>4937</v>
      </c>
      <c r="B660" s="49" t="s">
        <v>3768</v>
      </c>
      <c r="C660" s="49" t="s">
        <v>4938</v>
      </c>
      <c r="D660" s="49" t="s">
        <v>1264</v>
      </c>
      <c r="E660" s="49" t="s">
        <v>3443</v>
      </c>
      <c r="F660" s="49" t="s">
        <v>3124</v>
      </c>
      <c r="G660" s="49" t="s">
        <v>2901</v>
      </c>
      <c r="H660" s="49" t="s">
        <v>980</v>
      </c>
      <c r="I660" s="50">
        <v>44757</v>
      </c>
      <c r="J660" s="50">
        <v>44763</v>
      </c>
      <c r="K660" s="50">
        <v>46588</v>
      </c>
    </row>
    <row r="661" spans="1:13" x14ac:dyDescent="0.35">
      <c r="A661" s="49" t="s">
        <v>4939</v>
      </c>
      <c r="B661" s="49" t="s">
        <v>4379</v>
      </c>
      <c r="C661" s="49" t="s">
        <v>4095</v>
      </c>
      <c r="D661" s="49" t="s">
        <v>1264</v>
      </c>
      <c r="E661" s="49" t="s">
        <v>2785</v>
      </c>
      <c r="F661" s="49" t="s">
        <v>2792</v>
      </c>
      <c r="G661" s="49" t="s">
        <v>2787</v>
      </c>
      <c r="H661" s="49" t="s">
        <v>8</v>
      </c>
      <c r="I661" s="50">
        <v>44624</v>
      </c>
      <c r="J661" s="50">
        <v>44630</v>
      </c>
      <c r="K661" s="50">
        <v>45428</v>
      </c>
      <c r="M661" s="49" t="s">
        <v>4940</v>
      </c>
    </row>
    <row r="662" spans="1:13" x14ac:dyDescent="0.35">
      <c r="A662" s="49" t="s">
        <v>4941</v>
      </c>
      <c r="B662" s="49" t="s">
        <v>4014</v>
      </c>
      <c r="C662" s="49" t="s">
        <v>4942</v>
      </c>
      <c r="D662" s="49" t="s">
        <v>1264</v>
      </c>
      <c r="E662" s="49" t="s">
        <v>2785</v>
      </c>
      <c r="F662" s="49" t="s">
        <v>2792</v>
      </c>
      <c r="G662" s="49" t="s">
        <v>2787</v>
      </c>
      <c r="H662" s="49" t="s">
        <v>8</v>
      </c>
      <c r="I662" s="50">
        <v>44578</v>
      </c>
      <c r="J662" s="50">
        <v>44678</v>
      </c>
      <c r="K662" s="50">
        <v>45510</v>
      </c>
      <c r="M662" s="49" t="s">
        <v>4943</v>
      </c>
    </row>
    <row r="663" spans="1:13" x14ac:dyDescent="0.35">
      <c r="A663" s="49" t="s">
        <v>4944</v>
      </c>
      <c r="B663" s="49" t="s">
        <v>3768</v>
      </c>
      <c r="C663" s="49" t="s">
        <v>4945</v>
      </c>
      <c r="D663" s="49" t="s">
        <v>1264</v>
      </c>
      <c r="E663" s="49" t="s">
        <v>3443</v>
      </c>
      <c r="F663" s="49" t="s">
        <v>3124</v>
      </c>
      <c r="G663" s="49" t="s">
        <v>4330</v>
      </c>
      <c r="H663" s="49" t="s">
        <v>980</v>
      </c>
      <c r="I663" s="50">
        <v>44387</v>
      </c>
    </row>
    <row r="664" spans="1:13" x14ac:dyDescent="0.35">
      <c r="A664" s="49" t="s">
        <v>4946</v>
      </c>
      <c r="B664" s="49" t="s">
        <v>3768</v>
      </c>
      <c r="C664" s="49" t="s">
        <v>4947</v>
      </c>
      <c r="D664" s="49" t="s">
        <v>1264</v>
      </c>
      <c r="E664" s="49" t="s">
        <v>3443</v>
      </c>
      <c r="F664" s="49" t="s">
        <v>3124</v>
      </c>
      <c r="G664" s="49" t="s">
        <v>2901</v>
      </c>
      <c r="I664" s="50">
        <v>44357</v>
      </c>
      <c r="J664" s="50">
        <v>44614</v>
      </c>
      <c r="K664" s="50">
        <v>46439</v>
      </c>
    </row>
    <row r="665" spans="1:13" x14ac:dyDescent="0.35">
      <c r="A665" s="49" t="s">
        <v>4948</v>
      </c>
      <c r="C665" s="49" t="s">
        <v>4949</v>
      </c>
      <c r="D665" s="49" t="s">
        <v>1264</v>
      </c>
      <c r="E665" s="49" t="s">
        <v>2814</v>
      </c>
      <c r="F665" s="49" t="s">
        <v>4259</v>
      </c>
      <c r="G665" s="49" t="s">
        <v>2787</v>
      </c>
      <c r="H665" s="49" t="s">
        <v>980</v>
      </c>
      <c r="I665" s="50">
        <v>44642</v>
      </c>
      <c r="J665" s="50">
        <v>44743</v>
      </c>
      <c r="K665" s="50">
        <v>45107</v>
      </c>
      <c r="M665" s="49" t="s">
        <v>4950</v>
      </c>
    </row>
    <row r="666" spans="1:13" x14ac:dyDescent="0.35">
      <c r="A666" s="49" t="s">
        <v>4951</v>
      </c>
      <c r="C666" s="49" t="s">
        <v>4952</v>
      </c>
      <c r="D666" s="49" t="s">
        <v>1264</v>
      </c>
      <c r="E666" s="49" t="s">
        <v>2774</v>
      </c>
      <c r="F666" s="49" t="s">
        <v>3005</v>
      </c>
      <c r="G666" s="49" t="s">
        <v>4891</v>
      </c>
      <c r="H666" s="49" t="s">
        <v>3229</v>
      </c>
      <c r="I666" s="50">
        <v>44760</v>
      </c>
      <c r="M666" s="49" t="s">
        <v>4953</v>
      </c>
    </row>
    <row r="667" spans="1:13" x14ac:dyDescent="0.35">
      <c r="A667" s="49" t="s">
        <v>4954</v>
      </c>
      <c r="B667" s="49" t="s">
        <v>4955</v>
      </c>
      <c r="C667" s="49" t="s">
        <v>4956</v>
      </c>
      <c r="D667" s="49" t="s">
        <v>1264</v>
      </c>
      <c r="E667" s="49" t="s">
        <v>2986</v>
      </c>
      <c r="F667" s="49" t="s">
        <v>2825</v>
      </c>
      <c r="G667" s="49" t="s">
        <v>2975</v>
      </c>
      <c r="H667" s="49" t="s">
        <v>973</v>
      </c>
      <c r="I667" s="50">
        <v>44706</v>
      </c>
      <c r="K667" s="50">
        <v>45072</v>
      </c>
      <c r="M667" s="49" t="s">
        <v>4957</v>
      </c>
    </row>
    <row r="668" spans="1:13" x14ac:dyDescent="0.35">
      <c r="A668" s="49" t="s">
        <v>4958</v>
      </c>
      <c r="B668" s="49" t="s">
        <v>4959</v>
      </c>
      <c r="C668" s="49" t="s">
        <v>4956</v>
      </c>
      <c r="D668" s="49" t="s">
        <v>1264</v>
      </c>
      <c r="E668" s="49" t="s">
        <v>2986</v>
      </c>
      <c r="F668" s="49" t="s">
        <v>2825</v>
      </c>
      <c r="G668" s="49" t="s">
        <v>2776</v>
      </c>
      <c r="H668" s="49" t="s">
        <v>973</v>
      </c>
      <c r="I668" s="50">
        <v>44706</v>
      </c>
      <c r="M668" s="49" t="s">
        <v>4960</v>
      </c>
    </row>
    <row r="669" spans="1:13" x14ac:dyDescent="0.35">
      <c r="A669" s="49" t="s">
        <v>4961</v>
      </c>
      <c r="C669" s="49" t="s">
        <v>4962</v>
      </c>
      <c r="D669" s="49" t="s">
        <v>1264</v>
      </c>
      <c r="E669" s="49" t="s">
        <v>2814</v>
      </c>
      <c r="F669" s="49" t="s">
        <v>2825</v>
      </c>
      <c r="G669" s="49" t="s">
        <v>2787</v>
      </c>
      <c r="H669" s="49" t="s">
        <v>2827</v>
      </c>
      <c r="I669" s="50">
        <v>44733</v>
      </c>
      <c r="J669" s="50">
        <v>44770</v>
      </c>
      <c r="K669" s="50">
        <v>44953</v>
      </c>
      <c r="M669" s="49" t="s">
        <v>4963</v>
      </c>
    </row>
    <row r="670" spans="1:13" x14ac:dyDescent="0.35">
      <c r="A670" s="49" t="s">
        <v>4964</v>
      </c>
      <c r="C670" s="49" t="s">
        <v>4965</v>
      </c>
      <c r="D670" s="49" t="s">
        <v>1264</v>
      </c>
      <c r="E670" s="49" t="s">
        <v>2814</v>
      </c>
      <c r="F670" s="49" t="s">
        <v>4966</v>
      </c>
      <c r="G670" s="49" t="s">
        <v>2787</v>
      </c>
      <c r="H670" s="49" t="s">
        <v>980</v>
      </c>
      <c r="I670" s="50">
        <v>44769</v>
      </c>
      <c r="J670" s="50">
        <v>44774</v>
      </c>
      <c r="K670" s="50">
        <v>44957</v>
      </c>
      <c r="M670" s="49" t="s">
        <v>4967</v>
      </c>
    </row>
    <row r="671" spans="1:13" x14ac:dyDescent="0.35">
      <c r="A671" s="49" t="s">
        <v>4968</v>
      </c>
      <c r="B671" s="49" t="s">
        <v>4969</v>
      </c>
      <c r="C671" s="49" t="s">
        <v>4970</v>
      </c>
      <c r="D671" s="49" t="s">
        <v>1264</v>
      </c>
      <c r="E671" s="49" t="s">
        <v>2785</v>
      </c>
      <c r="F671" s="49" t="s">
        <v>2786</v>
      </c>
      <c r="G671" s="49" t="s">
        <v>2787</v>
      </c>
      <c r="H671" s="49" t="s">
        <v>980</v>
      </c>
      <c r="I671" s="50">
        <v>44609</v>
      </c>
      <c r="J671" s="50">
        <v>45160</v>
      </c>
      <c r="K671" s="50">
        <v>45525</v>
      </c>
      <c r="M671" s="49" t="s">
        <v>4971</v>
      </c>
    </row>
    <row r="672" spans="1:13" x14ac:dyDescent="0.35">
      <c r="A672" s="49" t="s">
        <v>4972</v>
      </c>
      <c r="C672" s="49" t="s">
        <v>4973</v>
      </c>
      <c r="D672" s="49" t="s">
        <v>1264</v>
      </c>
      <c r="E672" s="49" t="s">
        <v>3443</v>
      </c>
      <c r="F672" s="49" t="s">
        <v>3124</v>
      </c>
      <c r="G672" s="49" t="s">
        <v>2901</v>
      </c>
      <c r="H672" s="49" t="s">
        <v>980</v>
      </c>
      <c r="I672" s="50">
        <v>44771</v>
      </c>
      <c r="J672" s="50">
        <v>44670</v>
      </c>
      <c r="K672" s="50">
        <v>46495</v>
      </c>
    </row>
    <row r="673" spans="1:13" x14ac:dyDescent="0.35">
      <c r="A673" s="49" t="s">
        <v>4974</v>
      </c>
      <c r="C673" s="49" t="s">
        <v>4975</v>
      </c>
      <c r="D673" s="49" t="s">
        <v>1264</v>
      </c>
      <c r="E673" s="49" t="s">
        <v>3443</v>
      </c>
      <c r="F673" s="49" t="s">
        <v>3124</v>
      </c>
      <c r="G673" s="49" t="s">
        <v>2901</v>
      </c>
      <c r="H673" s="49" t="s">
        <v>980</v>
      </c>
      <c r="I673" s="50">
        <v>44771</v>
      </c>
      <c r="J673" s="50">
        <v>44676</v>
      </c>
      <c r="K673" s="50">
        <v>46501</v>
      </c>
    </row>
    <row r="674" spans="1:13" x14ac:dyDescent="0.35">
      <c r="A674" s="49" t="s">
        <v>4976</v>
      </c>
      <c r="C674" s="49" t="s">
        <v>4977</v>
      </c>
      <c r="D674" s="49" t="s">
        <v>1264</v>
      </c>
      <c r="E674" s="49" t="s">
        <v>2774</v>
      </c>
      <c r="F674" s="49" t="s">
        <v>2825</v>
      </c>
      <c r="G674" s="49" t="s">
        <v>4891</v>
      </c>
      <c r="H674" s="49" t="s">
        <v>2827</v>
      </c>
      <c r="I674" s="50">
        <v>44744</v>
      </c>
      <c r="M674" s="49" t="s">
        <v>4978</v>
      </c>
    </row>
    <row r="675" spans="1:13" x14ac:dyDescent="0.35">
      <c r="A675" s="49" t="s">
        <v>4979</v>
      </c>
      <c r="C675" s="49" t="s">
        <v>4980</v>
      </c>
      <c r="D675" s="49" t="s">
        <v>1264</v>
      </c>
      <c r="E675" s="49" t="s">
        <v>2814</v>
      </c>
      <c r="F675" s="49" t="s">
        <v>2837</v>
      </c>
      <c r="G675" s="49" t="s">
        <v>2787</v>
      </c>
      <c r="H675" s="49" t="s">
        <v>980</v>
      </c>
      <c r="I675" s="50">
        <v>44761</v>
      </c>
      <c r="J675" s="50">
        <v>44876</v>
      </c>
      <c r="K675" s="50">
        <v>45056</v>
      </c>
      <c r="M675" s="49" t="s">
        <v>4981</v>
      </c>
    </row>
    <row r="676" spans="1:13" x14ac:dyDescent="0.35">
      <c r="A676" s="49" t="s">
        <v>4982</v>
      </c>
      <c r="C676" s="49" t="s">
        <v>4983</v>
      </c>
      <c r="D676" s="49" t="s">
        <v>1264</v>
      </c>
      <c r="E676" s="49" t="s">
        <v>2974</v>
      </c>
      <c r="F676" s="49" t="s">
        <v>2825</v>
      </c>
      <c r="G676" s="49" t="s">
        <v>2901</v>
      </c>
      <c r="H676" s="49" t="s">
        <v>2827</v>
      </c>
      <c r="I676" s="50">
        <v>44770</v>
      </c>
      <c r="J676" s="50">
        <v>44783</v>
      </c>
      <c r="K676" s="50">
        <v>46608</v>
      </c>
      <c r="M676" s="49" t="s">
        <v>3859</v>
      </c>
    </row>
    <row r="677" spans="1:13" ht="29" x14ac:dyDescent="0.35">
      <c r="A677" s="49" t="s">
        <v>4984</v>
      </c>
      <c r="B677" s="51" t="s">
        <v>4985</v>
      </c>
      <c r="C677" s="49" t="s">
        <v>4348</v>
      </c>
      <c r="D677" s="49" t="s">
        <v>1264</v>
      </c>
      <c r="E677" s="49" t="s">
        <v>3443</v>
      </c>
      <c r="F677" s="49" t="s">
        <v>3124</v>
      </c>
      <c r="G677" s="49" t="s">
        <v>4330</v>
      </c>
      <c r="H677" s="49" t="s">
        <v>980</v>
      </c>
      <c r="I677" s="50">
        <v>44750</v>
      </c>
    </row>
    <row r="678" spans="1:13" x14ac:dyDescent="0.35">
      <c r="A678" s="49" t="s">
        <v>4986</v>
      </c>
      <c r="C678" s="49" t="s">
        <v>4987</v>
      </c>
      <c r="D678" s="49" t="s">
        <v>1264</v>
      </c>
      <c r="E678" s="49" t="s">
        <v>3443</v>
      </c>
      <c r="F678" s="49" t="s">
        <v>3124</v>
      </c>
      <c r="G678" s="49" t="s">
        <v>2901</v>
      </c>
      <c r="H678" s="49" t="s">
        <v>980</v>
      </c>
      <c r="I678" s="50">
        <v>44778</v>
      </c>
      <c r="J678" s="50">
        <v>44659</v>
      </c>
      <c r="K678" s="50">
        <v>46484</v>
      </c>
    </row>
    <row r="679" spans="1:13" x14ac:dyDescent="0.35">
      <c r="A679" s="49" t="s">
        <v>4988</v>
      </c>
      <c r="B679" s="49" t="s">
        <v>4989</v>
      </c>
      <c r="C679" s="49" t="s">
        <v>4990</v>
      </c>
      <c r="D679" s="49" t="s">
        <v>1264</v>
      </c>
      <c r="E679" s="49" t="s">
        <v>2774</v>
      </c>
      <c r="F679" s="49" t="s">
        <v>2825</v>
      </c>
      <c r="G679" s="49" t="s">
        <v>2901</v>
      </c>
      <c r="H679" s="49" t="s">
        <v>2827</v>
      </c>
      <c r="I679" s="50">
        <v>44642</v>
      </c>
      <c r="J679" s="50">
        <v>44792</v>
      </c>
      <c r="K679" s="50">
        <v>46252</v>
      </c>
      <c r="M679" s="49" t="s">
        <v>4991</v>
      </c>
    </row>
    <row r="680" spans="1:13" x14ac:dyDescent="0.35">
      <c r="A680" s="49" t="s">
        <v>4992</v>
      </c>
      <c r="B680" s="49" t="s">
        <v>4993</v>
      </c>
      <c r="C680" s="49" t="s">
        <v>4994</v>
      </c>
      <c r="D680" s="49" t="s">
        <v>1264</v>
      </c>
      <c r="E680" s="49" t="s">
        <v>2986</v>
      </c>
      <c r="F680" s="49" t="s">
        <v>2825</v>
      </c>
      <c r="G680" s="49" t="s">
        <v>2901</v>
      </c>
      <c r="H680" s="49" t="s">
        <v>2827</v>
      </c>
      <c r="I680" s="50">
        <v>44778</v>
      </c>
      <c r="J680" s="50">
        <v>44803</v>
      </c>
      <c r="K680" s="50">
        <v>45898</v>
      </c>
      <c r="M680" s="49" t="s">
        <v>4995</v>
      </c>
    </row>
    <row r="681" spans="1:13" x14ac:dyDescent="0.35">
      <c r="A681" s="49" t="s">
        <v>4996</v>
      </c>
      <c r="B681" s="49" t="s">
        <v>4997</v>
      </c>
      <c r="C681" s="49" t="s">
        <v>4994</v>
      </c>
      <c r="D681" s="49" t="s">
        <v>1264</v>
      </c>
      <c r="E681" s="49" t="s">
        <v>2986</v>
      </c>
      <c r="F681" s="49" t="s">
        <v>2825</v>
      </c>
      <c r="G681" s="49" t="s">
        <v>2901</v>
      </c>
      <c r="H681" s="49" t="s">
        <v>2827</v>
      </c>
      <c r="I681" s="50">
        <v>44778</v>
      </c>
      <c r="J681" s="50">
        <v>44803</v>
      </c>
      <c r="K681" s="50">
        <v>45898</v>
      </c>
      <c r="M681" s="49" t="s">
        <v>4998</v>
      </c>
    </row>
    <row r="682" spans="1:13" x14ac:dyDescent="0.35">
      <c r="A682" s="49" t="s">
        <v>4999</v>
      </c>
      <c r="B682" s="49" t="s">
        <v>5000</v>
      </c>
      <c r="C682" s="49" t="s">
        <v>5001</v>
      </c>
      <c r="D682" s="49" t="s">
        <v>1264</v>
      </c>
      <c r="E682" s="49" t="s">
        <v>2908</v>
      </c>
      <c r="F682" s="49" t="s">
        <v>5002</v>
      </c>
      <c r="G682" s="49" t="s">
        <v>2901</v>
      </c>
      <c r="H682" s="49" t="s">
        <v>980</v>
      </c>
      <c r="I682" s="50">
        <v>42100</v>
      </c>
      <c r="J682" s="50">
        <v>42920</v>
      </c>
      <c r="K682" s="50">
        <v>46178</v>
      </c>
      <c r="M682" s="49" t="s">
        <v>5003</v>
      </c>
    </row>
    <row r="683" spans="1:13" x14ac:dyDescent="0.35">
      <c r="A683" s="49" t="s">
        <v>5004</v>
      </c>
      <c r="C683" s="49" t="s">
        <v>3396</v>
      </c>
      <c r="D683" s="49" t="s">
        <v>1264</v>
      </c>
      <c r="E683" s="49" t="s">
        <v>3443</v>
      </c>
      <c r="F683" s="49" t="s">
        <v>3124</v>
      </c>
      <c r="G683" s="49" t="s">
        <v>2901</v>
      </c>
      <c r="H683" s="49" t="s">
        <v>980</v>
      </c>
      <c r="I683" s="50">
        <v>44789</v>
      </c>
      <c r="J683" s="50">
        <v>44650</v>
      </c>
      <c r="K683" s="50">
        <v>46475</v>
      </c>
    </row>
    <row r="684" spans="1:13" x14ac:dyDescent="0.35">
      <c r="A684" s="49" t="s">
        <v>5005</v>
      </c>
      <c r="C684" s="49" t="s">
        <v>5006</v>
      </c>
      <c r="D684" s="49" t="s">
        <v>1264</v>
      </c>
      <c r="E684" s="49" t="s">
        <v>2908</v>
      </c>
      <c r="F684" s="49" t="s">
        <v>2837</v>
      </c>
      <c r="G684" s="49" t="s">
        <v>2901</v>
      </c>
      <c r="H684" s="49" t="s">
        <v>973</v>
      </c>
      <c r="I684" s="50">
        <v>43517</v>
      </c>
      <c r="J684" s="50">
        <v>44594</v>
      </c>
      <c r="K684" s="50">
        <v>46419</v>
      </c>
      <c r="M684" s="49" t="s">
        <v>3104</v>
      </c>
    </row>
    <row r="685" spans="1:13" x14ac:dyDescent="0.35">
      <c r="A685" s="49" t="s">
        <v>5007</v>
      </c>
      <c r="C685" s="49" t="s">
        <v>5008</v>
      </c>
      <c r="D685" s="49" t="s">
        <v>1264</v>
      </c>
      <c r="E685" s="49" t="s">
        <v>3443</v>
      </c>
      <c r="F685" s="49" t="s">
        <v>3124</v>
      </c>
      <c r="G685" s="49" t="s">
        <v>2901</v>
      </c>
      <c r="H685" s="49" t="s">
        <v>980</v>
      </c>
      <c r="I685" s="50">
        <v>44789</v>
      </c>
      <c r="J685" s="50">
        <v>44054</v>
      </c>
      <c r="K685" s="50">
        <v>45879</v>
      </c>
    </row>
    <row r="686" spans="1:13" x14ac:dyDescent="0.35">
      <c r="A686" s="49" t="s">
        <v>5009</v>
      </c>
      <c r="C686" s="49" t="s">
        <v>4430</v>
      </c>
      <c r="D686" s="49" t="s">
        <v>1264</v>
      </c>
      <c r="E686" s="49" t="s">
        <v>2908</v>
      </c>
      <c r="F686" s="49" t="s">
        <v>2837</v>
      </c>
      <c r="G686" s="49" t="s">
        <v>4330</v>
      </c>
      <c r="H686" s="49" t="s">
        <v>980</v>
      </c>
      <c r="I686" s="50">
        <v>43938</v>
      </c>
      <c r="M686" s="49" t="s">
        <v>5010</v>
      </c>
    </row>
    <row r="687" spans="1:13" x14ac:dyDescent="0.35">
      <c r="A687" s="49" t="s">
        <v>5011</v>
      </c>
      <c r="C687" s="49" t="s">
        <v>5012</v>
      </c>
      <c r="D687" s="49" t="s">
        <v>1264</v>
      </c>
      <c r="E687" s="49" t="s">
        <v>3443</v>
      </c>
      <c r="F687" s="49" t="s">
        <v>3124</v>
      </c>
      <c r="G687" s="49" t="s">
        <v>2901</v>
      </c>
      <c r="H687" s="49" t="s">
        <v>980</v>
      </c>
      <c r="I687" s="50">
        <v>44529</v>
      </c>
      <c r="J687" s="50">
        <v>44594</v>
      </c>
      <c r="K687" s="50">
        <v>46419</v>
      </c>
    </row>
    <row r="688" spans="1:13" x14ac:dyDescent="0.35">
      <c r="A688" s="49" t="s">
        <v>5013</v>
      </c>
      <c r="C688" s="49" t="s">
        <v>5014</v>
      </c>
      <c r="D688" s="49" t="s">
        <v>1264</v>
      </c>
      <c r="E688" s="49" t="s">
        <v>2814</v>
      </c>
      <c r="F688" s="49" t="s">
        <v>4966</v>
      </c>
      <c r="G688" s="49" t="s">
        <v>2787</v>
      </c>
      <c r="H688" s="49" t="s">
        <v>2832</v>
      </c>
      <c r="I688" s="50">
        <v>44615</v>
      </c>
      <c r="J688" s="50">
        <v>44616</v>
      </c>
      <c r="K688" s="50">
        <v>44796</v>
      </c>
      <c r="M688" s="49" t="s">
        <v>5015</v>
      </c>
    </row>
    <row r="689" spans="1:13" x14ac:dyDescent="0.35">
      <c r="A689" s="49" t="s">
        <v>5016</v>
      </c>
      <c r="B689" s="49" t="s">
        <v>4293</v>
      </c>
      <c r="C689" s="49" t="s">
        <v>5017</v>
      </c>
      <c r="D689" s="49" t="s">
        <v>1264</v>
      </c>
      <c r="E689" s="49" t="s">
        <v>2785</v>
      </c>
      <c r="F689" s="49" t="s">
        <v>2786</v>
      </c>
      <c r="G689" s="49" t="s">
        <v>2787</v>
      </c>
      <c r="H689" s="49" t="s">
        <v>980</v>
      </c>
      <c r="I689" s="50">
        <v>44767</v>
      </c>
      <c r="J689" s="50">
        <v>44798</v>
      </c>
      <c r="K689" s="50">
        <v>45428</v>
      </c>
      <c r="M689" s="49" t="s">
        <v>5018</v>
      </c>
    </row>
    <row r="690" spans="1:13" x14ac:dyDescent="0.35">
      <c r="A690" s="49" t="s">
        <v>5019</v>
      </c>
      <c r="B690" s="49" t="s">
        <v>2937</v>
      </c>
      <c r="C690" s="49" t="s">
        <v>4383</v>
      </c>
      <c r="D690" s="49" t="s">
        <v>1264</v>
      </c>
      <c r="E690" s="49" t="s">
        <v>2908</v>
      </c>
      <c r="F690" s="49" t="s">
        <v>2939</v>
      </c>
      <c r="G690" s="49" t="s">
        <v>2901</v>
      </c>
      <c r="H690" s="49" t="s">
        <v>980</v>
      </c>
      <c r="I690" s="50">
        <v>44324</v>
      </c>
      <c r="J690" s="50">
        <v>44783</v>
      </c>
      <c r="K690" s="50">
        <v>46608</v>
      </c>
      <c r="M690" s="49" t="s">
        <v>5020</v>
      </c>
    </row>
    <row r="691" spans="1:13" x14ac:dyDescent="0.35">
      <c r="A691" s="49" t="s">
        <v>5021</v>
      </c>
      <c r="B691" s="49" t="s">
        <v>2937</v>
      </c>
      <c r="C691" s="49" t="s">
        <v>5022</v>
      </c>
      <c r="D691" s="49" t="s">
        <v>1264</v>
      </c>
      <c r="E691" s="49" t="s">
        <v>2908</v>
      </c>
      <c r="F691" s="49" t="s">
        <v>2939</v>
      </c>
      <c r="G691" s="49" t="s">
        <v>2901</v>
      </c>
      <c r="H691" s="49" t="s">
        <v>980</v>
      </c>
      <c r="I691" s="50">
        <v>40765</v>
      </c>
      <c r="J691" s="50">
        <v>41143</v>
      </c>
      <c r="K691" s="50">
        <v>46619</v>
      </c>
      <c r="L691" s="50">
        <v>44794</v>
      </c>
      <c r="M691" s="49" t="s">
        <v>5023</v>
      </c>
    </row>
    <row r="692" spans="1:13" x14ac:dyDescent="0.35">
      <c r="A692" s="49" t="s">
        <v>5024</v>
      </c>
      <c r="B692" s="49" t="s">
        <v>3768</v>
      </c>
      <c r="C692" s="49" t="s">
        <v>5025</v>
      </c>
      <c r="D692" s="49" t="s">
        <v>1264</v>
      </c>
      <c r="E692" s="49" t="s">
        <v>3443</v>
      </c>
      <c r="F692" s="49" t="s">
        <v>3124</v>
      </c>
      <c r="G692" s="49" t="s">
        <v>4891</v>
      </c>
      <c r="H692" s="49" t="s">
        <v>980</v>
      </c>
      <c r="I692" s="50">
        <v>44798</v>
      </c>
    </row>
    <row r="693" spans="1:13" x14ac:dyDescent="0.35">
      <c r="A693" s="49" t="s">
        <v>5026</v>
      </c>
      <c r="B693" s="49" t="s">
        <v>3768</v>
      </c>
      <c r="C693" s="49" t="s">
        <v>5027</v>
      </c>
      <c r="D693" s="49" t="s">
        <v>1264</v>
      </c>
      <c r="E693" s="49" t="s">
        <v>3443</v>
      </c>
      <c r="F693" s="49" t="s">
        <v>3124</v>
      </c>
      <c r="G693" s="49" t="s">
        <v>2901</v>
      </c>
      <c r="H693" s="49" t="s">
        <v>980</v>
      </c>
      <c r="I693" s="50">
        <v>44799</v>
      </c>
      <c r="J693" s="50">
        <v>44817</v>
      </c>
      <c r="K693" s="50">
        <v>46642</v>
      </c>
    </row>
    <row r="694" spans="1:13" x14ac:dyDescent="0.35">
      <c r="A694" s="49" t="s">
        <v>5028</v>
      </c>
      <c r="B694" s="49" t="s">
        <v>3768</v>
      </c>
      <c r="C694" s="49" t="s">
        <v>4970</v>
      </c>
      <c r="D694" s="49" t="s">
        <v>1264</v>
      </c>
      <c r="E694" s="49" t="s">
        <v>3443</v>
      </c>
      <c r="F694" s="49" t="s">
        <v>3124</v>
      </c>
      <c r="G694" s="49" t="s">
        <v>2901</v>
      </c>
      <c r="H694" s="49" t="s">
        <v>980</v>
      </c>
      <c r="I694" s="50">
        <v>44781</v>
      </c>
      <c r="J694" s="50">
        <v>44811</v>
      </c>
      <c r="K694" s="50">
        <v>46636</v>
      </c>
    </row>
    <row r="695" spans="1:13" x14ac:dyDescent="0.35">
      <c r="A695" s="49" t="s">
        <v>5029</v>
      </c>
      <c r="B695" s="49" t="s">
        <v>3626</v>
      </c>
      <c r="C695" s="49" t="s">
        <v>5030</v>
      </c>
      <c r="D695" s="49" t="s">
        <v>1264</v>
      </c>
      <c r="E695" s="49" t="s">
        <v>2774</v>
      </c>
      <c r="F695" s="49" t="s">
        <v>4842</v>
      </c>
      <c r="G695" s="49" t="s">
        <v>2901</v>
      </c>
      <c r="H695" s="49" t="s">
        <v>2827</v>
      </c>
      <c r="I695" s="50">
        <v>44763</v>
      </c>
      <c r="J695" s="50">
        <v>44956</v>
      </c>
      <c r="K695" s="50">
        <v>46416</v>
      </c>
      <c r="M695" s="49" t="s">
        <v>5031</v>
      </c>
    </row>
    <row r="696" spans="1:13" ht="43.5" x14ac:dyDescent="0.35">
      <c r="A696" s="49" t="s">
        <v>5032</v>
      </c>
      <c r="B696" s="51" t="s">
        <v>5033</v>
      </c>
      <c r="C696" s="49" t="s">
        <v>4853</v>
      </c>
      <c r="D696" s="49" t="s">
        <v>1264</v>
      </c>
      <c r="E696" s="49" t="s">
        <v>2774</v>
      </c>
      <c r="F696" s="49" t="s">
        <v>2825</v>
      </c>
      <c r="G696" s="49" t="s">
        <v>2901</v>
      </c>
      <c r="H696" s="49" t="s">
        <v>2827</v>
      </c>
      <c r="I696" s="50">
        <v>44789</v>
      </c>
      <c r="J696" s="50">
        <v>45006</v>
      </c>
      <c r="K696" s="50">
        <v>46466</v>
      </c>
      <c r="M696" s="49" t="s">
        <v>5034</v>
      </c>
    </row>
    <row r="697" spans="1:13" x14ac:dyDescent="0.35">
      <c r="A697" s="49" t="s">
        <v>5035</v>
      </c>
      <c r="B697" s="49" t="s">
        <v>5036</v>
      </c>
      <c r="C697" s="49" t="s">
        <v>4086</v>
      </c>
      <c r="D697" s="49" t="s">
        <v>1264</v>
      </c>
      <c r="E697" s="49" t="s">
        <v>2814</v>
      </c>
      <c r="F697" s="49" t="s">
        <v>2837</v>
      </c>
      <c r="G697" s="49" t="s">
        <v>2787</v>
      </c>
      <c r="H697" s="49" t="s">
        <v>980</v>
      </c>
      <c r="I697" s="50">
        <v>44803</v>
      </c>
      <c r="J697" s="50">
        <v>44803</v>
      </c>
      <c r="K697" s="50">
        <v>45165</v>
      </c>
      <c r="M697" s="49" t="s">
        <v>5037</v>
      </c>
    </row>
    <row r="698" spans="1:13" x14ac:dyDescent="0.35">
      <c r="A698" s="49" t="s">
        <v>5038</v>
      </c>
      <c r="B698" s="49" t="s">
        <v>5039</v>
      </c>
      <c r="C698" s="49" t="s">
        <v>4086</v>
      </c>
      <c r="D698" s="49" t="s">
        <v>1264</v>
      </c>
      <c r="E698" s="49" t="s">
        <v>2814</v>
      </c>
      <c r="F698" s="49" t="s">
        <v>2837</v>
      </c>
      <c r="G698" s="49" t="s">
        <v>2787</v>
      </c>
      <c r="H698" s="49" t="s">
        <v>980</v>
      </c>
      <c r="I698" s="50">
        <v>44803</v>
      </c>
      <c r="J698" s="50">
        <v>44803</v>
      </c>
      <c r="K698" s="50">
        <v>45166</v>
      </c>
      <c r="M698" s="49" t="s">
        <v>5040</v>
      </c>
    </row>
    <row r="699" spans="1:13" x14ac:dyDescent="0.35">
      <c r="A699" s="49" t="s">
        <v>5041</v>
      </c>
      <c r="B699" s="49" t="s">
        <v>5042</v>
      </c>
      <c r="C699" s="49" t="s">
        <v>5043</v>
      </c>
      <c r="D699" s="49" t="s">
        <v>1264</v>
      </c>
      <c r="E699" s="49" t="s">
        <v>2785</v>
      </c>
      <c r="F699" s="49" t="s">
        <v>2786</v>
      </c>
      <c r="G699" s="49" t="s">
        <v>2787</v>
      </c>
      <c r="H699" s="49" t="s">
        <v>980</v>
      </c>
      <c r="I699" s="50">
        <v>44771</v>
      </c>
      <c r="J699" s="50">
        <v>44804</v>
      </c>
      <c r="K699" s="50">
        <v>45168</v>
      </c>
      <c r="L699" s="50">
        <v>45169</v>
      </c>
      <c r="M699" s="49" t="s">
        <v>5044</v>
      </c>
    </row>
    <row r="700" spans="1:13" x14ac:dyDescent="0.35">
      <c r="A700" s="49" t="s">
        <v>5045</v>
      </c>
      <c r="C700" s="49" t="s">
        <v>5046</v>
      </c>
      <c r="D700" s="49" t="s">
        <v>1264</v>
      </c>
      <c r="E700" s="49" t="s">
        <v>2986</v>
      </c>
      <c r="F700" s="49" t="s">
        <v>2825</v>
      </c>
      <c r="G700" s="49" t="s">
        <v>4330</v>
      </c>
      <c r="H700" s="49" t="s">
        <v>2827</v>
      </c>
      <c r="I700" s="50">
        <v>44685</v>
      </c>
      <c r="M700" s="49" t="s">
        <v>5047</v>
      </c>
    </row>
    <row r="701" spans="1:13" x14ac:dyDescent="0.35">
      <c r="A701" s="49" t="s">
        <v>5048</v>
      </c>
      <c r="B701" s="49" t="s">
        <v>5049</v>
      </c>
      <c r="C701" s="49" t="s">
        <v>5050</v>
      </c>
      <c r="D701" s="49" t="s">
        <v>1264</v>
      </c>
      <c r="E701" s="49" t="s">
        <v>2986</v>
      </c>
      <c r="F701" s="49" t="s">
        <v>2825</v>
      </c>
      <c r="G701" s="49" t="s">
        <v>2901</v>
      </c>
      <c r="H701" s="49" t="s">
        <v>2827</v>
      </c>
      <c r="I701" s="50">
        <v>44796</v>
      </c>
      <c r="J701" s="50">
        <v>45000</v>
      </c>
      <c r="K701" s="50">
        <v>46095</v>
      </c>
      <c r="M701" s="49" t="s">
        <v>5051</v>
      </c>
    </row>
    <row r="702" spans="1:13" x14ac:dyDescent="0.35">
      <c r="A702" s="49" t="s">
        <v>5052</v>
      </c>
      <c r="B702" s="49" t="s">
        <v>5053</v>
      </c>
      <c r="C702" s="49" t="s">
        <v>5054</v>
      </c>
      <c r="D702" s="49" t="s">
        <v>1264</v>
      </c>
      <c r="E702" s="49" t="s">
        <v>2873</v>
      </c>
      <c r="F702" s="49" t="s">
        <v>2792</v>
      </c>
      <c r="G702" s="49" t="s">
        <v>2787</v>
      </c>
      <c r="H702" s="49" t="s">
        <v>3207</v>
      </c>
      <c r="I702" s="50">
        <v>45068</v>
      </c>
      <c r="J702" s="50">
        <v>45145</v>
      </c>
      <c r="K702" s="50">
        <v>45510</v>
      </c>
      <c r="M702" s="49" t="s">
        <v>5055</v>
      </c>
    </row>
    <row r="703" spans="1:13" x14ac:dyDescent="0.35">
      <c r="A703" s="49" t="s">
        <v>5056</v>
      </c>
      <c r="B703" s="49" t="s">
        <v>5057</v>
      </c>
      <c r="C703" s="49" t="s">
        <v>4376</v>
      </c>
      <c r="D703" s="49" t="s">
        <v>1264</v>
      </c>
      <c r="E703" s="49" t="s">
        <v>2785</v>
      </c>
      <c r="F703" s="49" t="s">
        <v>2792</v>
      </c>
      <c r="G703" s="49" t="s">
        <v>4330</v>
      </c>
      <c r="H703" s="49" t="s">
        <v>8</v>
      </c>
      <c r="I703" s="50">
        <v>44792</v>
      </c>
      <c r="M703" s="49" t="s">
        <v>5058</v>
      </c>
    </row>
    <row r="704" spans="1:13" x14ac:dyDescent="0.35">
      <c r="A704" s="49" t="s">
        <v>5059</v>
      </c>
      <c r="B704" s="49" t="s">
        <v>5060</v>
      </c>
      <c r="C704" s="49" t="s">
        <v>5061</v>
      </c>
      <c r="D704" s="49" t="s">
        <v>1264</v>
      </c>
      <c r="E704" s="49" t="s">
        <v>2785</v>
      </c>
      <c r="F704" s="49" t="s">
        <v>2786</v>
      </c>
      <c r="G704" s="49" t="s">
        <v>2787</v>
      </c>
      <c r="H704" s="49" t="s">
        <v>980</v>
      </c>
      <c r="I704" s="50">
        <v>44721</v>
      </c>
      <c r="K704" s="50">
        <v>45511</v>
      </c>
      <c r="M704" s="49" t="s">
        <v>4495</v>
      </c>
    </row>
    <row r="705" spans="1:13" x14ac:dyDescent="0.35">
      <c r="A705" s="49" t="s">
        <v>5062</v>
      </c>
      <c r="B705" s="49" t="s">
        <v>5063</v>
      </c>
      <c r="C705" s="49" t="s">
        <v>2850</v>
      </c>
      <c r="D705" s="49" t="s">
        <v>1264</v>
      </c>
      <c r="E705" s="49" t="s">
        <v>2785</v>
      </c>
      <c r="F705" s="49" t="s">
        <v>2792</v>
      </c>
      <c r="G705" s="49" t="s">
        <v>2787</v>
      </c>
      <c r="H705" s="49" t="s">
        <v>980</v>
      </c>
      <c r="I705" s="50">
        <v>44776</v>
      </c>
      <c r="K705" s="50">
        <v>45511</v>
      </c>
      <c r="M705" s="49" t="s">
        <v>5064</v>
      </c>
    </row>
    <row r="706" spans="1:13" x14ac:dyDescent="0.35">
      <c r="A706" s="49" t="s">
        <v>5065</v>
      </c>
      <c r="B706" s="49" t="s">
        <v>5066</v>
      </c>
      <c r="C706" s="49" t="s">
        <v>5067</v>
      </c>
      <c r="D706" s="49" t="s">
        <v>1264</v>
      </c>
      <c r="E706" s="49" t="s">
        <v>2785</v>
      </c>
      <c r="F706" s="49" t="s">
        <v>2792</v>
      </c>
      <c r="G706" s="49" t="s">
        <v>2787</v>
      </c>
      <c r="H706" s="49" t="s">
        <v>8</v>
      </c>
      <c r="I706" s="50">
        <v>44767</v>
      </c>
      <c r="J706" s="50">
        <v>44798</v>
      </c>
      <c r="K706" s="50">
        <v>45428</v>
      </c>
      <c r="M706" s="49" t="s">
        <v>5068</v>
      </c>
    </row>
    <row r="707" spans="1:13" x14ac:dyDescent="0.35">
      <c r="A707" s="49" t="s">
        <v>5069</v>
      </c>
      <c r="C707" s="49" t="s">
        <v>2850</v>
      </c>
      <c r="D707" s="49" t="s">
        <v>1264</v>
      </c>
      <c r="E707" s="49" t="s">
        <v>3443</v>
      </c>
      <c r="F707" s="49" t="s">
        <v>3124</v>
      </c>
      <c r="G707" s="49" t="s">
        <v>2901</v>
      </c>
      <c r="H707" s="49" t="s">
        <v>980</v>
      </c>
      <c r="I707" s="50">
        <v>44447</v>
      </c>
      <c r="J707" s="50">
        <v>44608</v>
      </c>
      <c r="K707" s="50">
        <v>46433</v>
      </c>
    </row>
    <row r="708" spans="1:13" x14ac:dyDescent="0.35">
      <c r="A708" s="49" t="s">
        <v>5070</v>
      </c>
      <c r="C708" s="49" t="s">
        <v>5071</v>
      </c>
      <c r="D708" s="49" t="s">
        <v>1264</v>
      </c>
      <c r="E708" s="49" t="s">
        <v>3443</v>
      </c>
      <c r="F708" s="49" t="s">
        <v>3124</v>
      </c>
      <c r="G708" s="49" t="s">
        <v>2901</v>
      </c>
      <c r="H708" s="49" t="s">
        <v>980</v>
      </c>
      <c r="I708" s="50">
        <v>44666</v>
      </c>
      <c r="J708" s="50">
        <v>44763</v>
      </c>
      <c r="K708" s="50">
        <v>46588</v>
      </c>
    </row>
    <row r="709" spans="1:13" x14ac:dyDescent="0.35">
      <c r="A709" s="49" t="s">
        <v>5072</v>
      </c>
      <c r="C709" s="49" t="s">
        <v>5073</v>
      </c>
      <c r="D709" s="49" t="s">
        <v>1264</v>
      </c>
      <c r="E709" s="49" t="s">
        <v>3443</v>
      </c>
      <c r="F709" s="49" t="s">
        <v>3124</v>
      </c>
      <c r="G709" s="49" t="s">
        <v>2901</v>
      </c>
      <c r="H709" s="49" t="s">
        <v>980</v>
      </c>
      <c r="I709" s="50">
        <v>44423</v>
      </c>
      <c r="J709" s="50">
        <v>44704</v>
      </c>
      <c r="K709" s="50">
        <v>46529</v>
      </c>
    </row>
    <row r="710" spans="1:13" x14ac:dyDescent="0.35">
      <c r="A710" s="49" t="s">
        <v>5074</v>
      </c>
      <c r="C710" s="49" t="s">
        <v>5075</v>
      </c>
      <c r="D710" s="49" t="s">
        <v>1264</v>
      </c>
      <c r="E710" s="49" t="s">
        <v>3443</v>
      </c>
      <c r="F710" s="49" t="s">
        <v>3124</v>
      </c>
      <c r="G710" s="49" t="s">
        <v>2901</v>
      </c>
      <c r="H710" s="49" t="s">
        <v>980</v>
      </c>
      <c r="I710" s="50">
        <v>44752</v>
      </c>
      <c r="J710" s="50">
        <v>44778</v>
      </c>
      <c r="K710" s="50">
        <v>46603</v>
      </c>
    </row>
    <row r="711" spans="1:13" x14ac:dyDescent="0.35">
      <c r="A711" s="49" t="s">
        <v>5076</v>
      </c>
      <c r="B711" s="49" t="s">
        <v>3075</v>
      </c>
      <c r="C711" s="49" t="s">
        <v>5077</v>
      </c>
      <c r="D711" s="49" t="s">
        <v>1264</v>
      </c>
      <c r="E711" s="49" t="s">
        <v>2908</v>
      </c>
      <c r="F711" s="49" t="s">
        <v>2837</v>
      </c>
      <c r="G711" s="49" t="s">
        <v>2901</v>
      </c>
      <c r="H711" s="49" t="s">
        <v>2827</v>
      </c>
      <c r="I711" s="50">
        <v>44770</v>
      </c>
      <c r="J711" s="50">
        <v>44789</v>
      </c>
      <c r="K711" s="50">
        <v>46614</v>
      </c>
      <c r="M711" s="49" t="s">
        <v>5078</v>
      </c>
    </row>
    <row r="712" spans="1:13" x14ac:dyDescent="0.35">
      <c r="A712" s="49" t="s">
        <v>5079</v>
      </c>
      <c r="B712" s="49" t="s">
        <v>2937</v>
      </c>
      <c r="C712" s="49" t="s">
        <v>5080</v>
      </c>
      <c r="D712" s="49" t="s">
        <v>1264</v>
      </c>
      <c r="E712" s="49" t="s">
        <v>2908</v>
      </c>
      <c r="F712" s="49" t="s">
        <v>2939</v>
      </c>
      <c r="G712" s="49" t="s">
        <v>4330</v>
      </c>
      <c r="H712" s="49" t="s">
        <v>980</v>
      </c>
      <c r="I712" s="50">
        <v>44777</v>
      </c>
      <c r="M712" s="49" t="s">
        <v>5081</v>
      </c>
    </row>
    <row r="713" spans="1:13" x14ac:dyDescent="0.35">
      <c r="A713" s="49" t="s">
        <v>5082</v>
      </c>
      <c r="C713" s="49" t="s">
        <v>5083</v>
      </c>
      <c r="D713" s="49" t="s">
        <v>1264</v>
      </c>
      <c r="E713" s="49" t="s">
        <v>3443</v>
      </c>
      <c r="F713" s="49" t="s">
        <v>3124</v>
      </c>
      <c r="G713" s="49" t="s">
        <v>2901</v>
      </c>
      <c r="H713" s="49" t="s">
        <v>980</v>
      </c>
      <c r="I713" s="50">
        <v>44750</v>
      </c>
      <c r="J713" s="50">
        <v>44747</v>
      </c>
      <c r="K713" s="50">
        <v>46572</v>
      </c>
    </row>
    <row r="714" spans="1:13" x14ac:dyDescent="0.35">
      <c r="A714" s="49" t="s">
        <v>5084</v>
      </c>
      <c r="C714" s="49" t="s">
        <v>5085</v>
      </c>
      <c r="D714" s="49" t="s">
        <v>1264</v>
      </c>
      <c r="E714" s="49" t="s">
        <v>3443</v>
      </c>
      <c r="F714" s="49" t="s">
        <v>3124</v>
      </c>
      <c r="G714" s="49" t="s">
        <v>2901</v>
      </c>
      <c r="H714" s="49" t="s">
        <v>980</v>
      </c>
      <c r="I714" s="50">
        <v>44571</v>
      </c>
      <c r="J714" s="50">
        <v>44796</v>
      </c>
      <c r="K714" s="50">
        <v>46621</v>
      </c>
    </row>
    <row r="715" spans="1:13" x14ac:dyDescent="0.35">
      <c r="A715" s="49" t="s">
        <v>5086</v>
      </c>
      <c r="B715" s="49" t="s">
        <v>4442</v>
      </c>
      <c r="C715" s="49" t="s">
        <v>5087</v>
      </c>
      <c r="D715" s="49" t="s">
        <v>1264</v>
      </c>
      <c r="E715" s="49" t="s">
        <v>2785</v>
      </c>
      <c r="F715" s="49" t="s">
        <v>2792</v>
      </c>
      <c r="G715" s="49" t="s">
        <v>2787</v>
      </c>
      <c r="H715" s="49" t="s">
        <v>980</v>
      </c>
      <c r="I715" s="50">
        <v>44854</v>
      </c>
      <c r="J715" s="50">
        <v>45251</v>
      </c>
      <c r="K715" s="50">
        <v>45195</v>
      </c>
      <c r="M715" s="49" t="s">
        <v>5088</v>
      </c>
    </row>
    <row r="716" spans="1:13" x14ac:dyDescent="0.35">
      <c r="A716" s="49" t="s">
        <v>5089</v>
      </c>
      <c r="C716" s="49" t="s">
        <v>5090</v>
      </c>
      <c r="D716" s="49" t="s">
        <v>1264</v>
      </c>
      <c r="E716" s="49" t="s">
        <v>3443</v>
      </c>
      <c r="F716" s="49" t="s">
        <v>3124</v>
      </c>
      <c r="G716" s="49" t="s">
        <v>4330</v>
      </c>
      <c r="H716" s="49" t="s">
        <v>980</v>
      </c>
      <c r="I716" s="50">
        <v>44423</v>
      </c>
    </row>
    <row r="717" spans="1:13" x14ac:dyDescent="0.35">
      <c r="A717" s="49" t="s">
        <v>5091</v>
      </c>
      <c r="B717" s="49" t="s">
        <v>5092</v>
      </c>
      <c r="C717" s="49" t="s">
        <v>3568</v>
      </c>
      <c r="D717" s="49" t="s">
        <v>1264</v>
      </c>
      <c r="E717" s="49" t="s">
        <v>2908</v>
      </c>
      <c r="F717" s="49" t="s">
        <v>2837</v>
      </c>
      <c r="G717" s="49" t="s">
        <v>2901</v>
      </c>
      <c r="H717" s="49" t="s">
        <v>2827</v>
      </c>
      <c r="I717" s="50">
        <v>42667</v>
      </c>
      <c r="J717" s="50">
        <v>44747</v>
      </c>
      <c r="K717" s="50">
        <v>46572</v>
      </c>
      <c r="M717" s="49" t="s">
        <v>5093</v>
      </c>
    </row>
    <row r="718" spans="1:13" x14ac:dyDescent="0.35">
      <c r="A718" s="49" t="s">
        <v>5094</v>
      </c>
      <c r="B718" s="49" t="s">
        <v>873</v>
      </c>
      <c r="C718" s="49" t="s">
        <v>5095</v>
      </c>
      <c r="D718" s="49" t="s">
        <v>1264</v>
      </c>
      <c r="E718" s="49" t="s">
        <v>2785</v>
      </c>
      <c r="F718" s="49" t="s">
        <v>3898</v>
      </c>
      <c r="G718" s="49" t="s">
        <v>2787</v>
      </c>
      <c r="H718" s="49" t="s">
        <v>2827</v>
      </c>
      <c r="I718" s="50">
        <v>44384</v>
      </c>
      <c r="K718" s="50">
        <v>45511</v>
      </c>
      <c r="M718" s="49" t="s">
        <v>5096</v>
      </c>
    </row>
    <row r="719" spans="1:13" x14ac:dyDescent="0.35">
      <c r="A719" s="49" t="s">
        <v>5097</v>
      </c>
      <c r="B719" s="49" t="s">
        <v>3461</v>
      </c>
      <c r="C719" s="49" t="s">
        <v>4408</v>
      </c>
      <c r="D719" s="49" t="s">
        <v>1264</v>
      </c>
      <c r="E719" s="49" t="s">
        <v>2785</v>
      </c>
      <c r="F719" s="49" t="s">
        <v>2792</v>
      </c>
      <c r="G719" s="49" t="s">
        <v>2921</v>
      </c>
      <c r="H719" s="49" t="s">
        <v>980</v>
      </c>
      <c r="I719" s="50">
        <v>44614</v>
      </c>
      <c r="J719" s="50">
        <v>44971</v>
      </c>
      <c r="K719" s="50">
        <v>45335</v>
      </c>
      <c r="M719" s="49" t="s">
        <v>5098</v>
      </c>
    </row>
    <row r="720" spans="1:13" x14ac:dyDescent="0.35">
      <c r="A720" s="49" t="s">
        <v>5099</v>
      </c>
      <c r="B720" s="49" t="s">
        <v>5100</v>
      </c>
      <c r="C720" s="49" t="s">
        <v>5101</v>
      </c>
      <c r="D720" s="49" t="s">
        <v>1264</v>
      </c>
      <c r="E720" s="49" t="s">
        <v>2785</v>
      </c>
      <c r="F720" s="49" t="s">
        <v>2805</v>
      </c>
      <c r="G720" s="49" t="s">
        <v>2787</v>
      </c>
      <c r="H720" s="49" t="s">
        <v>1062</v>
      </c>
      <c r="I720" s="50">
        <v>44685</v>
      </c>
      <c r="J720" s="50">
        <v>44748</v>
      </c>
      <c r="K720" s="50">
        <v>45428</v>
      </c>
      <c r="M720" s="49" t="s">
        <v>5102</v>
      </c>
    </row>
    <row r="721" spans="1:13" x14ac:dyDescent="0.35">
      <c r="A721" s="49" t="s">
        <v>5103</v>
      </c>
      <c r="B721" s="49" t="s">
        <v>4659</v>
      </c>
      <c r="C721" s="49" t="s">
        <v>3462</v>
      </c>
      <c r="D721" s="49" t="s">
        <v>1264</v>
      </c>
      <c r="E721" s="49" t="s">
        <v>2785</v>
      </c>
      <c r="F721" s="49" t="s">
        <v>2786</v>
      </c>
      <c r="G721" s="49" t="s">
        <v>2787</v>
      </c>
      <c r="H721" s="49" t="s">
        <v>980</v>
      </c>
      <c r="I721" s="50">
        <v>44298</v>
      </c>
      <c r="K721" s="50">
        <v>45510</v>
      </c>
      <c r="M721" s="49" t="s">
        <v>5104</v>
      </c>
    </row>
    <row r="722" spans="1:13" x14ac:dyDescent="0.35">
      <c r="A722" s="49" t="s">
        <v>5105</v>
      </c>
      <c r="B722" s="49" t="s">
        <v>5106</v>
      </c>
      <c r="C722" s="49" t="s">
        <v>5107</v>
      </c>
      <c r="D722" s="49" t="s">
        <v>1264</v>
      </c>
      <c r="E722" s="49" t="s">
        <v>2774</v>
      </c>
      <c r="F722" s="49" t="s">
        <v>2825</v>
      </c>
      <c r="G722" s="49" t="s">
        <v>2901</v>
      </c>
      <c r="H722" s="49" t="s">
        <v>2827</v>
      </c>
      <c r="I722" s="50">
        <v>44791</v>
      </c>
      <c r="J722" s="50">
        <v>44879</v>
      </c>
      <c r="K722" s="50">
        <v>46339</v>
      </c>
      <c r="M722" s="49" t="s">
        <v>5108</v>
      </c>
    </row>
    <row r="723" spans="1:13" x14ac:dyDescent="0.35">
      <c r="A723" s="49" t="s">
        <v>5109</v>
      </c>
      <c r="C723" s="49" t="s">
        <v>5110</v>
      </c>
      <c r="D723" s="49" t="s">
        <v>1264</v>
      </c>
      <c r="E723" s="49" t="s">
        <v>3443</v>
      </c>
      <c r="F723" s="49" t="s">
        <v>3124</v>
      </c>
      <c r="G723" s="49" t="s">
        <v>4330</v>
      </c>
      <c r="H723" s="49" t="s">
        <v>980</v>
      </c>
      <c r="I723" s="50">
        <v>44800</v>
      </c>
    </row>
    <row r="724" spans="1:13" x14ac:dyDescent="0.35">
      <c r="A724" s="49" t="s">
        <v>5111</v>
      </c>
      <c r="C724" s="49" t="s">
        <v>5112</v>
      </c>
      <c r="D724" s="49" t="s">
        <v>1264</v>
      </c>
      <c r="E724" s="49" t="s">
        <v>2986</v>
      </c>
      <c r="F724" s="49" t="s">
        <v>2825</v>
      </c>
      <c r="G724" s="49" t="s">
        <v>2901</v>
      </c>
      <c r="H724" s="49" t="s">
        <v>2827</v>
      </c>
      <c r="I724" s="50">
        <v>44812</v>
      </c>
      <c r="J724" s="50">
        <v>44904</v>
      </c>
      <c r="K724" s="50">
        <v>45999</v>
      </c>
      <c r="M724" s="49" t="s">
        <v>5113</v>
      </c>
    </row>
    <row r="725" spans="1:13" x14ac:dyDescent="0.35">
      <c r="A725" s="49" t="s">
        <v>5114</v>
      </c>
      <c r="C725" s="49" t="s">
        <v>4421</v>
      </c>
      <c r="D725" s="49" t="s">
        <v>1264</v>
      </c>
      <c r="E725" s="49" t="s">
        <v>3443</v>
      </c>
      <c r="F725" s="49" t="s">
        <v>3124</v>
      </c>
      <c r="G725" s="49" t="s">
        <v>4330</v>
      </c>
      <c r="H725" s="49" t="s">
        <v>980</v>
      </c>
      <c r="I725" s="50">
        <v>44423</v>
      </c>
    </row>
    <row r="726" spans="1:13" x14ac:dyDescent="0.35">
      <c r="A726" s="49" t="s">
        <v>5115</v>
      </c>
      <c r="C726" s="49" t="s">
        <v>5116</v>
      </c>
      <c r="D726" s="49" t="s">
        <v>1264</v>
      </c>
      <c r="E726" s="49" t="s">
        <v>2908</v>
      </c>
      <c r="F726" s="49" t="s">
        <v>3010</v>
      </c>
      <c r="G726" s="49" t="s">
        <v>2901</v>
      </c>
      <c r="H726" s="49" t="s">
        <v>980</v>
      </c>
      <c r="I726" s="50">
        <v>44420</v>
      </c>
      <c r="J726" s="50">
        <v>44811</v>
      </c>
      <c r="K726" s="50">
        <v>46636</v>
      </c>
      <c r="M726" s="49" t="s">
        <v>5117</v>
      </c>
    </row>
    <row r="727" spans="1:13" x14ac:dyDescent="0.35">
      <c r="A727" s="49" t="s">
        <v>5118</v>
      </c>
      <c r="B727" s="49" t="s">
        <v>5119</v>
      </c>
      <c r="C727" s="49" t="s">
        <v>5120</v>
      </c>
      <c r="D727" s="49" t="s">
        <v>1264</v>
      </c>
      <c r="E727" s="49" t="s">
        <v>2785</v>
      </c>
      <c r="F727" s="49" t="s">
        <v>2792</v>
      </c>
      <c r="G727" s="49" t="s">
        <v>2787</v>
      </c>
      <c r="H727" s="49" t="s">
        <v>980</v>
      </c>
      <c r="I727" s="50">
        <v>44733</v>
      </c>
      <c r="J727" s="50">
        <v>44833</v>
      </c>
      <c r="K727" s="50">
        <v>45197</v>
      </c>
      <c r="M727" s="49" t="s">
        <v>5121</v>
      </c>
    </row>
    <row r="728" spans="1:13" x14ac:dyDescent="0.35">
      <c r="A728" s="49" t="s">
        <v>5122</v>
      </c>
      <c r="C728" s="49" t="s">
        <v>2997</v>
      </c>
      <c r="D728" s="49" t="s">
        <v>1264</v>
      </c>
      <c r="E728" s="49" t="s">
        <v>2814</v>
      </c>
      <c r="F728" s="49" t="s">
        <v>5123</v>
      </c>
      <c r="G728" s="49" t="s">
        <v>2787</v>
      </c>
      <c r="H728" s="49" t="s">
        <v>980</v>
      </c>
      <c r="I728" s="50">
        <v>44684</v>
      </c>
      <c r="J728" s="50">
        <v>44783</v>
      </c>
      <c r="K728" s="50">
        <v>44966</v>
      </c>
      <c r="M728" s="49" t="s">
        <v>5124</v>
      </c>
    </row>
    <row r="729" spans="1:13" x14ac:dyDescent="0.35">
      <c r="A729" s="49" t="s">
        <v>5125</v>
      </c>
      <c r="C729" s="49" t="s">
        <v>2997</v>
      </c>
      <c r="D729" s="49" t="s">
        <v>1264</v>
      </c>
      <c r="E729" s="49" t="s">
        <v>2814</v>
      </c>
      <c r="F729" s="49" t="s">
        <v>2786</v>
      </c>
      <c r="G729" s="49" t="s">
        <v>2787</v>
      </c>
      <c r="H729" s="49" t="s">
        <v>980</v>
      </c>
      <c r="I729" s="50">
        <v>44704</v>
      </c>
      <c r="J729" s="50">
        <v>44728</v>
      </c>
      <c r="K729" s="50">
        <v>44910</v>
      </c>
      <c r="M729" s="49" t="s">
        <v>5126</v>
      </c>
    </row>
    <row r="730" spans="1:13" x14ac:dyDescent="0.35">
      <c r="A730" s="49" t="s">
        <v>5127</v>
      </c>
      <c r="C730" s="49" t="s">
        <v>5128</v>
      </c>
      <c r="D730" s="49" t="s">
        <v>1264</v>
      </c>
      <c r="E730" s="49" t="s">
        <v>2986</v>
      </c>
      <c r="F730" s="49" t="s">
        <v>2825</v>
      </c>
      <c r="G730" s="49" t="s">
        <v>2901</v>
      </c>
      <c r="H730" s="49" t="s">
        <v>2827</v>
      </c>
      <c r="I730" s="50">
        <v>44840</v>
      </c>
      <c r="J730" s="50">
        <v>45315</v>
      </c>
      <c r="K730" s="50">
        <v>46410</v>
      </c>
      <c r="M730" s="49" t="s">
        <v>5129</v>
      </c>
    </row>
    <row r="731" spans="1:13" x14ac:dyDescent="0.35">
      <c r="A731" s="49" t="s">
        <v>5130</v>
      </c>
      <c r="C731" s="49" t="s">
        <v>5131</v>
      </c>
      <c r="D731" s="49" t="s">
        <v>1264</v>
      </c>
      <c r="E731" s="49" t="s">
        <v>2785</v>
      </c>
      <c r="F731" s="49" t="s">
        <v>2805</v>
      </c>
      <c r="G731" s="49" t="s">
        <v>2787</v>
      </c>
      <c r="H731" s="49" t="s">
        <v>8</v>
      </c>
      <c r="I731" s="50">
        <v>44764</v>
      </c>
      <c r="J731" s="50">
        <v>44777</v>
      </c>
      <c r="K731" s="50">
        <v>45428</v>
      </c>
      <c r="M731" s="49" t="s">
        <v>5132</v>
      </c>
    </row>
    <row r="732" spans="1:13" x14ac:dyDescent="0.35">
      <c r="A732" s="49" t="s">
        <v>5133</v>
      </c>
      <c r="C732" s="49" t="s">
        <v>5134</v>
      </c>
      <c r="D732" s="49" t="s">
        <v>1264</v>
      </c>
      <c r="E732" s="49" t="s">
        <v>2908</v>
      </c>
      <c r="F732" s="49" t="s">
        <v>2786</v>
      </c>
      <c r="G732" s="49" t="s">
        <v>4330</v>
      </c>
      <c r="H732" s="49" t="s">
        <v>973</v>
      </c>
      <c r="I732" s="50">
        <v>44533</v>
      </c>
      <c r="M732" s="49" t="s">
        <v>5135</v>
      </c>
    </row>
    <row r="733" spans="1:13" x14ac:dyDescent="0.35">
      <c r="A733" s="49" t="s">
        <v>5136</v>
      </c>
      <c r="C733" s="49" t="s">
        <v>5137</v>
      </c>
      <c r="D733" s="49" t="s">
        <v>1264</v>
      </c>
      <c r="E733" s="49" t="s">
        <v>2785</v>
      </c>
      <c r="F733" s="49" t="s">
        <v>3010</v>
      </c>
      <c r="G733" s="49" t="s">
        <v>2787</v>
      </c>
      <c r="H733" s="49" t="s">
        <v>2827</v>
      </c>
      <c r="I733" s="50">
        <v>44298</v>
      </c>
      <c r="J733" s="50">
        <v>44390</v>
      </c>
      <c r="K733" s="50">
        <v>45428</v>
      </c>
      <c r="L733" s="50">
        <v>44755</v>
      </c>
      <c r="M733" s="49" t="s">
        <v>5138</v>
      </c>
    </row>
    <row r="734" spans="1:13" x14ac:dyDescent="0.35">
      <c r="A734" s="49" t="s">
        <v>5139</v>
      </c>
      <c r="C734" s="49" t="s">
        <v>5140</v>
      </c>
      <c r="D734" s="49" t="s">
        <v>1264</v>
      </c>
      <c r="E734" s="49" t="s">
        <v>2785</v>
      </c>
      <c r="F734" s="49" t="s">
        <v>2786</v>
      </c>
      <c r="G734" s="49" t="s">
        <v>2787</v>
      </c>
      <c r="H734" s="49" t="s">
        <v>973</v>
      </c>
      <c r="I734" s="50">
        <v>44610</v>
      </c>
      <c r="K734" s="50">
        <v>45510</v>
      </c>
      <c r="M734" s="49" t="s">
        <v>5141</v>
      </c>
    </row>
    <row r="735" spans="1:13" x14ac:dyDescent="0.35">
      <c r="A735" s="49" t="s">
        <v>5142</v>
      </c>
      <c r="B735" s="49" t="s">
        <v>5143</v>
      </c>
      <c r="C735" s="49" t="s">
        <v>3878</v>
      </c>
      <c r="D735" s="49" t="s">
        <v>1264</v>
      </c>
      <c r="E735" s="49" t="s">
        <v>2785</v>
      </c>
      <c r="F735" s="49" t="s">
        <v>2792</v>
      </c>
      <c r="G735" s="49" t="s">
        <v>2787</v>
      </c>
      <c r="H735" s="49" t="s">
        <v>835</v>
      </c>
      <c r="I735" s="50">
        <v>44599</v>
      </c>
      <c r="J735" s="50">
        <v>44300</v>
      </c>
      <c r="K735" s="50">
        <v>45510</v>
      </c>
      <c r="M735" s="49" t="s">
        <v>5144</v>
      </c>
    </row>
    <row r="736" spans="1:13" x14ac:dyDescent="0.35">
      <c r="A736" s="49" t="s">
        <v>5145</v>
      </c>
      <c r="C736" s="49" t="s">
        <v>5146</v>
      </c>
      <c r="D736" s="49" t="s">
        <v>1264</v>
      </c>
      <c r="E736" s="49" t="s">
        <v>2814</v>
      </c>
      <c r="F736" s="49" t="s">
        <v>3188</v>
      </c>
      <c r="G736" s="49" t="s">
        <v>2787</v>
      </c>
      <c r="H736" s="49" t="s">
        <v>973</v>
      </c>
      <c r="I736" s="50">
        <v>44851</v>
      </c>
      <c r="J736" s="50">
        <v>44873</v>
      </c>
      <c r="K736" s="50">
        <v>45237</v>
      </c>
      <c r="M736" s="49" t="s">
        <v>5147</v>
      </c>
    </row>
    <row r="737" spans="1:13" x14ac:dyDescent="0.35">
      <c r="A737" s="49" t="s">
        <v>5148</v>
      </c>
      <c r="B737" s="49" t="s">
        <v>5149</v>
      </c>
      <c r="C737" s="49" t="s">
        <v>5150</v>
      </c>
      <c r="D737" s="49" t="s">
        <v>1264</v>
      </c>
      <c r="E737" s="49" t="s">
        <v>2785</v>
      </c>
      <c r="F737" s="49" t="s">
        <v>2792</v>
      </c>
      <c r="G737" s="49" t="s">
        <v>2787</v>
      </c>
      <c r="H737" s="49" t="s">
        <v>857</v>
      </c>
      <c r="I737" s="50">
        <v>44728</v>
      </c>
      <c r="J737" s="50">
        <v>44848</v>
      </c>
      <c r="K737" s="50">
        <v>45511</v>
      </c>
      <c r="M737" s="49" t="s">
        <v>5151</v>
      </c>
    </row>
    <row r="738" spans="1:13" x14ac:dyDescent="0.35">
      <c r="A738" s="49" t="s">
        <v>5152</v>
      </c>
      <c r="B738" s="49" t="s">
        <v>5153</v>
      </c>
      <c r="C738" s="49" t="s">
        <v>5154</v>
      </c>
      <c r="D738" s="49" t="s">
        <v>1264</v>
      </c>
      <c r="E738" s="49" t="s">
        <v>2986</v>
      </c>
      <c r="F738" s="49" t="s">
        <v>2825</v>
      </c>
      <c r="G738" s="49" t="s">
        <v>4330</v>
      </c>
      <c r="H738" s="49" t="s">
        <v>2827</v>
      </c>
      <c r="I738" s="50">
        <v>44527</v>
      </c>
      <c r="M738" s="49" t="s">
        <v>5155</v>
      </c>
    </row>
    <row r="739" spans="1:13" x14ac:dyDescent="0.35">
      <c r="A739" s="49" t="s">
        <v>5156</v>
      </c>
      <c r="B739" s="49" t="s">
        <v>4593</v>
      </c>
      <c r="C739" s="49" t="s">
        <v>2791</v>
      </c>
      <c r="D739" s="49" t="s">
        <v>1264</v>
      </c>
      <c r="E739" s="49" t="s">
        <v>2785</v>
      </c>
      <c r="F739" s="49" t="s">
        <v>2792</v>
      </c>
      <c r="G739" s="49" t="s">
        <v>2901</v>
      </c>
      <c r="H739" s="49" t="s">
        <v>857</v>
      </c>
      <c r="I739" s="50">
        <v>44882</v>
      </c>
      <c r="J739" s="50">
        <v>44908</v>
      </c>
      <c r="K739" s="50">
        <v>45638</v>
      </c>
      <c r="L739" s="50">
        <v>45273</v>
      </c>
      <c r="M739" s="49" t="s">
        <v>5157</v>
      </c>
    </row>
    <row r="740" spans="1:13" x14ac:dyDescent="0.35">
      <c r="A740" s="49" t="s">
        <v>5158</v>
      </c>
      <c r="B740" s="49" t="s">
        <v>3768</v>
      </c>
      <c r="C740" s="49" t="s">
        <v>5159</v>
      </c>
      <c r="D740" s="49" t="s">
        <v>1264</v>
      </c>
      <c r="E740" s="49" t="s">
        <v>3443</v>
      </c>
      <c r="F740" s="49" t="s">
        <v>3124</v>
      </c>
      <c r="G740" s="49" t="s">
        <v>4330</v>
      </c>
      <c r="H740" s="49" t="s">
        <v>980</v>
      </c>
      <c r="I740" s="50">
        <v>44811</v>
      </c>
    </row>
    <row r="741" spans="1:13" x14ac:dyDescent="0.35">
      <c r="A741" s="49" t="s">
        <v>5160</v>
      </c>
      <c r="B741" s="49" t="s">
        <v>5161</v>
      </c>
      <c r="C741" s="49" t="s">
        <v>5162</v>
      </c>
      <c r="D741" s="49" t="s">
        <v>1264</v>
      </c>
      <c r="E741" s="49" t="s">
        <v>2785</v>
      </c>
      <c r="F741" s="49" t="s">
        <v>2786</v>
      </c>
      <c r="G741" s="49" t="s">
        <v>4330</v>
      </c>
      <c r="H741" s="49" t="s">
        <v>980</v>
      </c>
      <c r="I741" s="50">
        <v>44837</v>
      </c>
      <c r="M741" s="49" t="s">
        <v>5163</v>
      </c>
    </row>
    <row r="742" spans="1:13" x14ac:dyDescent="0.35">
      <c r="A742" s="49" t="s">
        <v>5164</v>
      </c>
      <c r="C742" s="49" t="s">
        <v>5165</v>
      </c>
      <c r="D742" s="49" t="s">
        <v>1264</v>
      </c>
      <c r="E742" s="49" t="s">
        <v>3443</v>
      </c>
      <c r="F742" s="49" t="s">
        <v>3124</v>
      </c>
      <c r="G742" s="49" t="s">
        <v>2901</v>
      </c>
      <c r="H742" s="49" t="s">
        <v>980</v>
      </c>
      <c r="I742" s="50">
        <v>44814</v>
      </c>
      <c r="J742" s="50">
        <v>44872</v>
      </c>
      <c r="K742" s="50">
        <v>46697</v>
      </c>
    </row>
    <row r="743" spans="1:13" x14ac:dyDescent="0.35">
      <c r="A743" s="49" t="s">
        <v>5166</v>
      </c>
      <c r="C743" s="49" t="s">
        <v>5146</v>
      </c>
      <c r="D743" s="49" t="s">
        <v>1264</v>
      </c>
      <c r="E743" s="49" t="s">
        <v>3443</v>
      </c>
      <c r="F743" s="49" t="s">
        <v>3124</v>
      </c>
      <c r="G743" s="49" t="s">
        <v>2901</v>
      </c>
      <c r="H743" s="49" t="s">
        <v>980</v>
      </c>
      <c r="I743" s="50">
        <v>44814</v>
      </c>
      <c r="J743" s="50">
        <v>44873</v>
      </c>
      <c r="K743" s="50">
        <v>46698</v>
      </c>
    </row>
    <row r="744" spans="1:13" x14ac:dyDescent="0.35">
      <c r="A744" s="49" t="s">
        <v>5167</v>
      </c>
      <c r="B744" s="49" t="s">
        <v>5168</v>
      </c>
      <c r="C744" s="49" t="s">
        <v>2804</v>
      </c>
      <c r="D744" s="49" t="s">
        <v>1264</v>
      </c>
      <c r="E744" s="49" t="s">
        <v>2785</v>
      </c>
      <c r="F744" s="49" t="s">
        <v>2805</v>
      </c>
      <c r="G744" s="49" t="s">
        <v>2787</v>
      </c>
      <c r="H744" s="49" t="s">
        <v>3717</v>
      </c>
      <c r="I744" s="50">
        <v>44779</v>
      </c>
      <c r="K744" s="50">
        <v>45511</v>
      </c>
      <c r="M744" s="49" t="s">
        <v>5169</v>
      </c>
    </row>
    <row r="745" spans="1:13" x14ac:dyDescent="0.35">
      <c r="A745" s="49" t="s">
        <v>5170</v>
      </c>
      <c r="B745" s="49" t="s">
        <v>4572</v>
      </c>
      <c r="C745" s="49" t="s">
        <v>5159</v>
      </c>
      <c r="D745" s="49" t="s">
        <v>1264</v>
      </c>
      <c r="E745" s="49" t="s">
        <v>2785</v>
      </c>
      <c r="F745" s="49" t="s">
        <v>2786</v>
      </c>
      <c r="G745" s="49" t="s">
        <v>4330</v>
      </c>
      <c r="H745" s="49" t="s">
        <v>980</v>
      </c>
      <c r="I745" s="50">
        <v>44811</v>
      </c>
      <c r="M745" s="49" t="s">
        <v>5171</v>
      </c>
    </row>
    <row r="746" spans="1:13" x14ac:dyDescent="0.35">
      <c r="A746" s="49" t="s">
        <v>5172</v>
      </c>
      <c r="B746" s="49" t="s">
        <v>5173</v>
      </c>
      <c r="C746" s="49" t="s">
        <v>3693</v>
      </c>
      <c r="D746" s="49" t="s">
        <v>1264</v>
      </c>
      <c r="E746" s="49" t="s">
        <v>2908</v>
      </c>
      <c r="F746" s="49" t="s">
        <v>2837</v>
      </c>
      <c r="G746" s="49" t="s">
        <v>2901</v>
      </c>
      <c r="H746" s="49" t="s">
        <v>973</v>
      </c>
      <c r="I746" s="50">
        <v>44215</v>
      </c>
      <c r="J746" s="50">
        <v>44862</v>
      </c>
      <c r="K746" s="50">
        <v>46687</v>
      </c>
      <c r="M746" s="49" t="s">
        <v>5174</v>
      </c>
    </row>
    <row r="747" spans="1:13" x14ac:dyDescent="0.35">
      <c r="A747" s="49" t="s">
        <v>5175</v>
      </c>
      <c r="B747" s="49" t="s">
        <v>5176</v>
      </c>
      <c r="C747" s="49" t="s">
        <v>2933</v>
      </c>
      <c r="D747" s="49" t="s">
        <v>1264</v>
      </c>
      <c r="E747" s="49" t="s">
        <v>2785</v>
      </c>
      <c r="F747" s="49" t="s">
        <v>3010</v>
      </c>
      <c r="G747" s="49" t="s">
        <v>2787</v>
      </c>
      <c r="H747" s="49" t="s">
        <v>973</v>
      </c>
      <c r="I747" s="50">
        <v>44775</v>
      </c>
      <c r="K747" s="50">
        <v>45511</v>
      </c>
      <c r="M747" s="49" t="s">
        <v>5177</v>
      </c>
    </row>
    <row r="748" spans="1:13" x14ac:dyDescent="0.35">
      <c r="A748" s="49" t="s">
        <v>5178</v>
      </c>
      <c r="C748" s="49" t="s">
        <v>5179</v>
      </c>
      <c r="D748" s="49" t="s">
        <v>1264</v>
      </c>
      <c r="E748" s="49" t="s">
        <v>3443</v>
      </c>
      <c r="F748" s="49" t="s">
        <v>3124</v>
      </c>
      <c r="G748" s="49" t="s">
        <v>4330</v>
      </c>
      <c r="H748" s="49" t="s">
        <v>980</v>
      </c>
      <c r="I748" s="50">
        <v>44814</v>
      </c>
    </row>
    <row r="749" spans="1:13" x14ac:dyDescent="0.35">
      <c r="A749" s="49" t="s">
        <v>5180</v>
      </c>
      <c r="C749" s="49" t="s">
        <v>5181</v>
      </c>
      <c r="D749" s="49" t="s">
        <v>1264</v>
      </c>
      <c r="E749" s="49" t="s">
        <v>3443</v>
      </c>
      <c r="F749" s="49" t="s">
        <v>3124</v>
      </c>
      <c r="G749" s="49" t="s">
        <v>2901</v>
      </c>
      <c r="H749" s="49" t="s">
        <v>980</v>
      </c>
      <c r="I749" s="50">
        <v>44868</v>
      </c>
      <c r="J749" s="50">
        <v>44868</v>
      </c>
      <c r="K749" s="50">
        <v>46693</v>
      </c>
    </row>
    <row r="750" spans="1:13" x14ac:dyDescent="0.35">
      <c r="A750" s="49" t="s">
        <v>5182</v>
      </c>
      <c r="B750" s="49" t="s">
        <v>4684</v>
      </c>
      <c r="C750" s="49" t="s">
        <v>4376</v>
      </c>
      <c r="D750" s="49" t="s">
        <v>1264</v>
      </c>
      <c r="E750" s="49" t="s">
        <v>2785</v>
      </c>
      <c r="F750" s="49" t="s">
        <v>2792</v>
      </c>
      <c r="G750" s="49" t="s">
        <v>4330</v>
      </c>
      <c r="H750" s="49" t="s">
        <v>8</v>
      </c>
      <c r="I750" s="50">
        <v>44886</v>
      </c>
      <c r="M750" s="49" t="s">
        <v>5183</v>
      </c>
    </row>
    <row r="751" spans="1:13" x14ac:dyDescent="0.35">
      <c r="A751" s="49" t="s">
        <v>5184</v>
      </c>
      <c r="B751" s="49" t="s">
        <v>5185</v>
      </c>
      <c r="C751" s="49" t="s">
        <v>5107</v>
      </c>
      <c r="D751" s="49" t="s">
        <v>1264</v>
      </c>
      <c r="E751" s="49" t="s">
        <v>2986</v>
      </c>
      <c r="F751" s="49" t="s">
        <v>2825</v>
      </c>
      <c r="G751" s="49" t="s">
        <v>2901</v>
      </c>
      <c r="H751" s="49" t="s">
        <v>2827</v>
      </c>
      <c r="I751" s="50">
        <v>44874</v>
      </c>
      <c r="J751" s="50">
        <v>44890</v>
      </c>
      <c r="K751" s="50">
        <v>45985</v>
      </c>
      <c r="M751" s="49" t="s">
        <v>5186</v>
      </c>
    </row>
    <row r="752" spans="1:13" x14ac:dyDescent="0.35">
      <c r="A752" s="49" t="s">
        <v>5187</v>
      </c>
      <c r="B752" s="49" t="s">
        <v>5188</v>
      </c>
      <c r="C752" s="49" t="s">
        <v>5107</v>
      </c>
      <c r="D752" s="49" t="s">
        <v>1264</v>
      </c>
      <c r="E752" s="49" t="s">
        <v>2986</v>
      </c>
      <c r="F752" s="49" t="s">
        <v>2825</v>
      </c>
      <c r="G752" s="49" t="s">
        <v>2901</v>
      </c>
      <c r="H752" s="49" t="s">
        <v>2827</v>
      </c>
      <c r="I752" s="50">
        <v>44874</v>
      </c>
      <c r="J752" s="50">
        <v>44890</v>
      </c>
      <c r="K752" s="50">
        <v>45985</v>
      </c>
      <c r="M752" s="49" t="s">
        <v>5189</v>
      </c>
    </row>
    <row r="753" spans="1:13" x14ac:dyDescent="0.35">
      <c r="A753" s="49" t="s">
        <v>5190</v>
      </c>
      <c r="C753" s="49" t="s">
        <v>5191</v>
      </c>
      <c r="D753" s="49" t="s">
        <v>1264</v>
      </c>
      <c r="E753" s="49" t="s">
        <v>3443</v>
      </c>
      <c r="F753" s="49" t="s">
        <v>3124</v>
      </c>
      <c r="G753" s="49" t="s">
        <v>2901</v>
      </c>
      <c r="H753" s="49" t="s">
        <v>980</v>
      </c>
      <c r="I753" s="50">
        <v>44880</v>
      </c>
      <c r="J753" s="50">
        <v>44879</v>
      </c>
      <c r="K753" s="50">
        <v>46704</v>
      </c>
    </row>
    <row r="754" spans="1:13" x14ac:dyDescent="0.35">
      <c r="A754" s="49" t="s">
        <v>5192</v>
      </c>
      <c r="C754" s="49" t="s">
        <v>5137</v>
      </c>
      <c r="D754" s="49" t="s">
        <v>1264</v>
      </c>
      <c r="E754" s="49" t="s">
        <v>2785</v>
      </c>
      <c r="F754" s="49" t="s">
        <v>2786</v>
      </c>
      <c r="G754" s="49" t="s">
        <v>2787</v>
      </c>
      <c r="H754" s="49" t="s">
        <v>2827</v>
      </c>
      <c r="I754" s="50">
        <v>44821</v>
      </c>
      <c r="J754" s="50">
        <v>44875</v>
      </c>
      <c r="K754" s="50">
        <v>45239</v>
      </c>
      <c r="L754" s="50">
        <v>45240</v>
      </c>
      <c r="M754" s="49" t="s">
        <v>5193</v>
      </c>
    </row>
    <row r="755" spans="1:13" x14ac:dyDescent="0.35">
      <c r="A755" s="49" t="s">
        <v>5194</v>
      </c>
      <c r="C755" s="49" t="s">
        <v>5137</v>
      </c>
      <c r="D755" s="49" t="s">
        <v>1264</v>
      </c>
      <c r="E755" s="49" t="s">
        <v>2785</v>
      </c>
      <c r="F755" s="49" t="s">
        <v>2786</v>
      </c>
      <c r="G755" s="49" t="s">
        <v>2787</v>
      </c>
      <c r="H755" s="49" t="s">
        <v>2827</v>
      </c>
      <c r="I755" s="50">
        <v>44821</v>
      </c>
      <c r="J755" s="50">
        <v>44875</v>
      </c>
      <c r="K755" s="50">
        <v>45239</v>
      </c>
      <c r="M755" s="49" t="s">
        <v>5195</v>
      </c>
    </row>
    <row r="756" spans="1:13" x14ac:dyDescent="0.35">
      <c r="A756" s="49" t="s">
        <v>5196</v>
      </c>
      <c r="C756" s="49" t="s">
        <v>5137</v>
      </c>
      <c r="D756" s="49" t="s">
        <v>1264</v>
      </c>
      <c r="E756" s="49" t="s">
        <v>2785</v>
      </c>
      <c r="F756" s="49" t="s">
        <v>2786</v>
      </c>
      <c r="G756" s="49" t="s">
        <v>2787</v>
      </c>
      <c r="H756" s="49" t="s">
        <v>2827</v>
      </c>
      <c r="I756" s="50">
        <v>44821</v>
      </c>
      <c r="J756" s="50">
        <v>44875</v>
      </c>
      <c r="K756" s="50">
        <v>45239</v>
      </c>
      <c r="M756" s="49" t="s">
        <v>5197</v>
      </c>
    </row>
    <row r="757" spans="1:13" x14ac:dyDescent="0.35">
      <c r="A757" s="49" t="s">
        <v>5198</v>
      </c>
      <c r="C757" s="49" t="s">
        <v>5137</v>
      </c>
      <c r="D757" s="49" t="s">
        <v>1264</v>
      </c>
      <c r="E757" s="49" t="s">
        <v>2785</v>
      </c>
      <c r="F757" s="49" t="s">
        <v>2786</v>
      </c>
      <c r="G757" s="49" t="s">
        <v>2787</v>
      </c>
      <c r="H757" s="49" t="s">
        <v>2827</v>
      </c>
      <c r="I757" s="50">
        <v>44821</v>
      </c>
      <c r="J757" s="50">
        <v>44875</v>
      </c>
      <c r="K757" s="50">
        <v>45239</v>
      </c>
      <c r="M757" s="49" t="s">
        <v>5199</v>
      </c>
    </row>
    <row r="758" spans="1:13" x14ac:dyDescent="0.35">
      <c r="A758" s="49" t="s">
        <v>5200</v>
      </c>
      <c r="C758" s="49" t="s">
        <v>5201</v>
      </c>
      <c r="D758" s="49" t="s">
        <v>1264</v>
      </c>
      <c r="E758" s="49" t="s">
        <v>2785</v>
      </c>
      <c r="F758" s="49" t="s">
        <v>2805</v>
      </c>
      <c r="G758" s="49" t="s">
        <v>2787</v>
      </c>
      <c r="H758" s="49" t="s">
        <v>3717</v>
      </c>
      <c r="I758" s="50">
        <v>44874</v>
      </c>
      <c r="J758" s="50">
        <v>44628</v>
      </c>
      <c r="K758" s="50">
        <v>45511</v>
      </c>
      <c r="M758" s="49" t="s">
        <v>5202</v>
      </c>
    </row>
    <row r="759" spans="1:13" x14ac:dyDescent="0.35">
      <c r="A759" s="49" t="s">
        <v>5203</v>
      </c>
      <c r="C759" s="49" t="s">
        <v>4749</v>
      </c>
      <c r="D759" s="49" t="s">
        <v>1264</v>
      </c>
      <c r="E759" s="49" t="s">
        <v>2986</v>
      </c>
      <c r="F759" s="49" t="s">
        <v>2825</v>
      </c>
      <c r="G759" s="49" t="s">
        <v>2901</v>
      </c>
      <c r="H759" s="49" t="s">
        <v>2827</v>
      </c>
      <c r="I759" s="50">
        <v>44902</v>
      </c>
      <c r="J759" s="50">
        <v>44922</v>
      </c>
      <c r="K759" s="50">
        <v>46017</v>
      </c>
      <c r="M759" s="49" t="s">
        <v>5204</v>
      </c>
    </row>
    <row r="760" spans="1:13" x14ac:dyDescent="0.35">
      <c r="A760" s="49" t="s">
        <v>5205</v>
      </c>
      <c r="C760" s="49" t="s">
        <v>4749</v>
      </c>
      <c r="D760" s="49" t="s">
        <v>1264</v>
      </c>
      <c r="E760" s="49" t="s">
        <v>2986</v>
      </c>
      <c r="F760" s="49" t="s">
        <v>2825</v>
      </c>
      <c r="G760" s="49" t="s">
        <v>2901</v>
      </c>
      <c r="H760" s="49" t="s">
        <v>2827</v>
      </c>
      <c r="I760" s="50">
        <v>44902</v>
      </c>
      <c r="J760" s="50">
        <v>44908</v>
      </c>
      <c r="K760" s="50">
        <v>46003</v>
      </c>
      <c r="M760" s="49" t="s">
        <v>5206</v>
      </c>
    </row>
    <row r="761" spans="1:13" x14ac:dyDescent="0.35">
      <c r="A761" s="49" t="s">
        <v>5207</v>
      </c>
      <c r="C761" s="49" t="s">
        <v>5208</v>
      </c>
      <c r="D761" s="49" t="s">
        <v>1264</v>
      </c>
      <c r="E761" s="49" t="s">
        <v>2814</v>
      </c>
      <c r="F761" s="49" t="s">
        <v>2780</v>
      </c>
      <c r="G761" s="49" t="s">
        <v>2787</v>
      </c>
      <c r="H761" s="49" t="s">
        <v>1062</v>
      </c>
      <c r="I761" s="50">
        <v>44812</v>
      </c>
      <c r="J761" s="50">
        <v>44844</v>
      </c>
      <c r="K761" s="50">
        <v>45025</v>
      </c>
      <c r="M761" s="49" t="s">
        <v>5209</v>
      </c>
    </row>
    <row r="762" spans="1:13" x14ac:dyDescent="0.35">
      <c r="A762" s="49" t="s">
        <v>5210</v>
      </c>
      <c r="C762" s="49" t="s">
        <v>5211</v>
      </c>
      <c r="D762" s="49" t="s">
        <v>1264</v>
      </c>
      <c r="E762" s="49" t="s">
        <v>2908</v>
      </c>
      <c r="F762" s="49" t="s">
        <v>2939</v>
      </c>
      <c r="G762" s="49" t="s">
        <v>2787</v>
      </c>
      <c r="H762" s="49" t="s">
        <v>980</v>
      </c>
      <c r="I762" s="50">
        <v>44728</v>
      </c>
      <c r="J762" s="50">
        <v>43633</v>
      </c>
      <c r="K762" s="50">
        <v>45459</v>
      </c>
      <c r="M762" s="49" t="s">
        <v>3876</v>
      </c>
    </row>
    <row r="763" spans="1:13" x14ac:dyDescent="0.35">
      <c r="A763" s="49" t="s">
        <v>5212</v>
      </c>
      <c r="B763" s="49" t="s">
        <v>3776</v>
      </c>
      <c r="C763" s="49" t="s">
        <v>3731</v>
      </c>
      <c r="D763" s="49" t="s">
        <v>1264</v>
      </c>
      <c r="E763" s="49" t="s">
        <v>2908</v>
      </c>
      <c r="F763" s="49" t="s">
        <v>2837</v>
      </c>
      <c r="G763" s="49" t="s">
        <v>2901</v>
      </c>
      <c r="H763" s="49" t="s">
        <v>973</v>
      </c>
      <c r="I763" s="50">
        <v>44284</v>
      </c>
      <c r="J763" s="50">
        <v>44462</v>
      </c>
      <c r="K763" s="50">
        <v>46287</v>
      </c>
      <c r="M763" s="49" t="s">
        <v>5213</v>
      </c>
    </row>
    <row r="764" spans="1:13" x14ac:dyDescent="0.35">
      <c r="A764" s="49" t="s">
        <v>5214</v>
      </c>
      <c r="C764" s="49" t="s">
        <v>5215</v>
      </c>
      <c r="D764" s="49" t="s">
        <v>1264</v>
      </c>
      <c r="E764" s="49" t="s">
        <v>2814</v>
      </c>
      <c r="F764" s="49" t="s">
        <v>2837</v>
      </c>
      <c r="G764" s="49" t="s">
        <v>2826</v>
      </c>
      <c r="H764" s="49" t="s">
        <v>980</v>
      </c>
      <c r="I764" s="50">
        <v>44791</v>
      </c>
      <c r="M764" s="49" t="s">
        <v>5216</v>
      </c>
    </row>
    <row r="765" spans="1:13" x14ac:dyDescent="0.35">
      <c r="A765" s="49" t="s">
        <v>5217</v>
      </c>
      <c r="C765" s="49" t="s">
        <v>5215</v>
      </c>
      <c r="D765" s="49" t="s">
        <v>1264</v>
      </c>
      <c r="E765" s="49" t="s">
        <v>2814</v>
      </c>
      <c r="F765" s="49" t="s">
        <v>2939</v>
      </c>
      <c r="G765" s="49" t="s">
        <v>2826</v>
      </c>
      <c r="H765" s="49" t="s">
        <v>8</v>
      </c>
      <c r="I765" s="50">
        <v>44791</v>
      </c>
      <c r="M765" s="49" t="s">
        <v>5218</v>
      </c>
    </row>
    <row r="766" spans="1:13" x14ac:dyDescent="0.35">
      <c r="A766" s="49" t="s">
        <v>5219</v>
      </c>
      <c r="C766" s="49" t="s">
        <v>2997</v>
      </c>
      <c r="D766" s="49" t="s">
        <v>1264</v>
      </c>
      <c r="E766" s="49" t="s">
        <v>2814</v>
      </c>
      <c r="F766" s="49" t="s">
        <v>4966</v>
      </c>
      <c r="G766" s="49" t="s">
        <v>2787</v>
      </c>
      <c r="H766" s="49" t="s">
        <v>980</v>
      </c>
      <c r="I766" s="50">
        <v>44915</v>
      </c>
      <c r="J766" s="50">
        <v>45288</v>
      </c>
      <c r="K766" s="50">
        <v>45440</v>
      </c>
      <c r="M766" s="49" t="s">
        <v>5220</v>
      </c>
    </row>
    <row r="767" spans="1:13" x14ac:dyDescent="0.35">
      <c r="A767" s="49" t="s">
        <v>5221</v>
      </c>
      <c r="B767" s="49" t="s">
        <v>5222</v>
      </c>
      <c r="C767" s="49" t="s">
        <v>5223</v>
      </c>
      <c r="D767" s="49" t="s">
        <v>1264</v>
      </c>
      <c r="E767" s="49" t="s">
        <v>2814</v>
      </c>
      <c r="F767" s="49" t="s">
        <v>3188</v>
      </c>
      <c r="G767" s="49" t="s">
        <v>2787</v>
      </c>
      <c r="H767" s="49" t="s">
        <v>973</v>
      </c>
      <c r="I767" s="50">
        <v>44895</v>
      </c>
      <c r="J767" s="50">
        <v>44915</v>
      </c>
      <c r="K767" s="50">
        <v>45096</v>
      </c>
      <c r="M767" s="49" t="s">
        <v>5224</v>
      </c>
    </row>
    <row r="768" spans="1:13" x14ac:dyDescent="0.35">
      <c r="A768" s="49" t="s">
        <v>5225</v>
      </c>
      <c r="C768" s="49" t="s">
        <v>5226</v>
      </c>
      <c r="D768" s="49" t="s">
        <v>1264</v>
      </c>
      <c r="E768" s="49" t="s">
        <v>2814</v>
      </c>
      <c r="F768" s="49" t="s">
        <v>2825</v>
      </c>
      <c r="G768" s="49" t="s">
        <v>2787</v>
      </c>
      <c r="H768" s="49" t="s">
        <v>2827</v>
      </c>
      <c r="I768" s="50">
        <v>44897</v>
      </c>
      <c r="J768" s="50">
        <v>44915</v>
      </c>
      <c r="K768" s="50">
        <v>45279</v>
      </c>
      <c r="M768" s="49" t="s">
        <v>5227</v>
      </c>
    </row>
    <row r="769" spans="1:13" x14ac:dyDescent="0.35">
      <c r="A769" s="49" t="s">
        <v>5228</v>
      </c>
      <c r="B769" s="49" t="s">
        <v>5229</v>
      </c>
      <c r="C769" s="49" t="s">
        <v>5230</v>
      </c>
      <c r="D769" s="49" t="s">
        <v>1264</v>
      </c>
      <c r="E769" s="49" t="s">
        <v>2785</v>
      </c>
      <c r="F769" s="49" t="s">
        <v>2786</v>
      </c>
      <c r="G769" s="49" t="s">
        <v>4330</v>
      </c>
      <c r="H769" s="49" t="s">
        <v>835</v>
      </c>
      <c r="I769" s="50">
        <v>44904</v>
      </c>
      <c r="M769" s="49" t="s">
        <v>5231</v>
      </c>
    </row>
    <row r="770" spans="1:13" x14ac:dyDescent="0.35">
      <c r="A770" s="49" t="s">
        <v>5232</v>
      </c>
      <c r="C770" s="49" t="s">
        <v>5233</v>
      </c>
      <c r="D770" s="49" t="s">
        <v>1264</v>
      </c>
      <c r="E770" s="49" t="s">
        <v>2785</v>
      </c>
      <c r="F770" s="49" t="s">
        <v>2805</v>
      </c>
      <c r="G770" s="49" t="s">
        <v>2787</v>
      </c>
      <c r="H770" s="49" t="s">
        <v>8</v>
      </c>
      <c r="I770" s="50">
        <v>44896</v>
      </c>
      <c r="J770" s="50">
        <v>44930</v>
      </c>
      <c r="K770" s="50">
        <v>45294</v>
      </c>
      <c r="M770" s="49" t="s">
        <v>5234</v>
      </c>
    </row>
    <row r="771" spans="1:13" x14ac:dyDescent="0.35">
      <c r="A771" s="49" t="s">
        <v>5235</v>
      </c>
      <c r="C771" s="49" t="s">
        <v>4470</v>
      </c>
      <c r="D771" s="49" t="s">
        <v>1264</v>
      </c>
      <c r="E771" s="49" t="s">
        <v>2785</v>
      </c>
      <c r="F771" s="49" t="s">
        <v>2792</v>
      </c>
      <c r="G771" s="49" t="s">
        <v>2787</v>
      </c>
      <c r="H771" s="49" t="s">
        <v>980</v>
      </c>
      <c r="I771" s="50">
        <v>44907</v>
      </c>
      <c r="J771" s="50">
        <v>44911</v>
      </c>
      <c r="K771" s="50">
        <v>45275</v>
      </c>
      <c r="M771" s="49" t="s">
        <v>4464</v>
      </c>
    </row>
    <row r="772" spans="1:13" x14ac:dyDescent="0.35">
      <c r="A772" s="49" t="s">
        <v>5236</v>
      </c>
      <c r="C772" s="49" t="s">
        <v>2933</v>
      </c>
      <c r="D772" s="49" t="s">
        <v>1264</v>
      </c>
      <c r="E772" s="49" t="s">
        <v>2908</v>
      </c>
      <c r="F772" s="49" t="s">
        <v>2837</v>
      </c>
      <c r="G772" s="49" t="s">
        <v>2826</v>
      </c>
      <c r="H772" s="49" t="s">
        <v>980</v>
      </c>
      <c r="I772" s="50">
        <v>43767</v>
      </c>
      <c r="M772" s="49" t="s">
        <v>5237</v>
      </c>
    </row>
    <row r="773" spans="1:13" x14ac:dyDescent="0.35">
      <c r="A773" s="49" t="s">
        <v>5238</v>
      </c>
      <c r="B773" s="49" t="s">
        <v>5239</v>
      </c>
      <c r="C773" s="49" t="s">
        <v>5240</v>
      </c>
      <c r="D773" s="49" t="s">
        <v>1264</v>
      </c>
      <c r="E773" s="49" t="s">
        <v>2785</v>
      </c>
      <c r="F773" s="49" t="s">
        <v>2786</v>
      </c>
      <c r="G773" s="49" t="s">
        <v>2787</v>
      </c>
      <c r="H773" s="49" t="s">
        <v>864</v>
      </c>
      <c r="I773" s="50">
        <v>44743</v>
      </c>
      <c r="K773" s="50">
        <v>45511</v>
      </c>
      <c r="M773" s="49" t="s">
        <v>5241</v>
      </c>
    </row>
    <row r="774" spans="1:13" x14ac:dyDescent="0.35">
      <c r="A774" s="49" t="s">
        <v>5242</v>
      </c>
      <c r="C774" s="49" t="s">
        <v>2997</v>
      </c>
      <c r="D774" s="49" t="s">
        <v>1264</v>
      </c>
      <c r="E774" s="49" t="s">
        <v>2908</v>
      </c>
      <c r="F774" s="49" t="s">
        <v>2939</v>
      </c>
      <c r="G774" s="49" t="s">
        <v>2901</v>
      </c>
      <c r="H774" s="49" t="s">
        <v>980</v>
      </c>
      <c r="I774" s="50">
        <v>44361</v>
      </c>
      <c r="J774" s="50">
        <v>44383</v>
      </c>
      <c r="K774" s="50">
        <v>46208</v>
      </c>
      <c r="M774" s="49" t="s">
        <v>5243</v>
      </c>
    </row>
    <row r="775" spans="1:13" x14ac:dyDescent="0.35">
      <c r="A775" s="49" t="s">
        <v>5244</v>
      </c>
      <c r="B775" s="49" t="s">
        <v>5245</v>
      </c>
      <c r="C775" s="49" t="s">
        <v>5240</v>
      </c>
      <c r="D775" s="49" t="s">
        <v>1264</v>
      </c>
      <c r="E775" s="49" t="s">
        <v>2785</v>
      </c>
      <c r="F775" s="49" t="s">
        <v>2786</v>
      </c>
      <c r="G775" s="49" t="s">
        <v>2787</v>
      </c>
      <c r="H775" s="49" t="s">
        <v>864</v>
      </c>
      <c r="I775" s="50">
        <v>44731</v>
      </c>
      <c r="K775" s="50">
        <v>45511</v>
      </c>
      <c r="M775" s="49" t="s">
        <v>5246</v>
      </c>
    </row>
    <row r="776" spans="1:13" x14ac:dyDescent="0.35">
      <c r="A776" s="49" t="s">
        <v>5247</v>
      </c>
      <c r="C776" s="49" t="s">
        <v>4736</v>
      </c>
      <c r="D776" s="49" t="s">
        <v>1264</v>
      </c>
      <c r="E776" s="49" t="s">
        <v>3443</v>
      </c>
      <c r="F776" s="49" t="s">
        <v>3124</v>
      </c>
      <c r="G776" s="49" t="s">
        <v>2901</v>
      </c>
      <c r="H776" s="49" t="s">
        <v>980</v>
      </c>
      <c r="I776" s="50">
        <v>44382</v>
      </c>
      <c r="J776" s="50">
        <v>44778</v>
      </c>
      <c r="K776" s="50">
        <v>46603</v>
      </c>
    </row>
    <row r="777" spans="1:13" x14ac:dyDescent="0.35">
      <c r="A777" s="49" t="s">
        <v>5248</v>
      </c>
      <c r="C777" s="49" t="s">
        <v>5249</v>
      </c>
      <c r="D777" s="49" t="s">
        <v>1264</v>
      </c>
      <c r="E777" s="49" t="s">
        <v>2908</v>
      </c>
      <c r="F777" s="49" t="s">
        <v>2837</v>
      </c>
      <c r="G777" s="49" t="s">
        <v>2901</v>
      </c>
      <c r="H777" s="49" t="s">
        <v>2827</v>
      </c>
      <c r="I777" s="50">
        <v>43131</v>
      </c>
      <c r="J777" s="50">
        <v>44790</v>
      </c>
      <c r="K777" s="50">
        <v>46615</v>
      </c>
      <c r="M777" s="49" t="s">
        <v>5250</v>
      </c>
    </row>
    <row r="778" spans="1:13" x14ac:dyDescent="0.35">
      <c r="A778" s="49" t="s">
        <v>5251</v>
      </c>
      <c r="B778" s="49" t="s">
        <v>5252</v>
      </c>
      <c r="C778" s="49" t="s">
        <v>5253</v>
      </c>
      <c r="D778" s="49" t="s">
        <v>1264</v>
      </c>
      <c r="E778" s="49" t="s">
        <v>2774</v>
      </c>
      <c r="F778" s="49" t="s">
        <v>5254</v>
      </c>
      <c r="G778" s="49" t="s">
        <v>2901</v>
      </c>
      <c r="H778" s="49" t="s">
        <v>973</v>
      </c>
      <c r="I778" s="50">
        <v>44127</v>
      </c>
      <c r="J778" s="50">
        <v>44747</v>
      </c>
      <c r="K778" s="50">
        <v>46208</v>
      </c>
      <c r="M778" s="49" t="s">
        <v>5255</v>
      </c>
    </row>
    <row r="779" spans="1:13" x14ac:dyDescent="0.35">
      <c r="A779" s="49" t="s">
        <v>5256</v>
      </c>
      <c r="C779" s="49" t="s">
        <v>5257</v>
      </c>
      <c r="D779" s="49" t="s">
        <v>1264</v>
      </c>
      <c r="E779" s="49" t="s">
        <v>3443</v>
      </c>
      <c r="F779" s="49" t="s">
        <v>3124</v>
      </c>
      <c r="G779" s="49" t="s">
        <v>4330</v>
      </c>
      <c r="H779" s="49" t="s">
        <v>980</v>
      </c>
      <c r="I779" s="50">
        <v>44479</v>
      </c>
    </row>
    <row r="780" spans="1:13" x14ac:dyDescent="0.35">
      <c r="A780" s="49" t="s">
        <v>5258</v>
      </c>
      <c r="B780" s="49" t="s">
        <v>4817</v>
      </c>
      <c r="C780" s="49" t="s">
        <v>5101</v>
      </c>
      <c r="D780" s="49" t="s">
        <v>1264</v>
      </c>
      <c r="E780" s="49" t="s">
        <v>2986</v>
      </c>
      <c r="F780" s="49" t="s">
        <v>2825</v>
      </c>
      <c r="G780" s="49" t="s">
        <v>4330</v>
      </c>
      <c r="H780" s="49" t="s">
        <v>2827</v>
      </c>
      <c r="I780" s="50">
        <v>44546</v>
      </c>
      <c r="M780" s="49" t="s">
        <v>5259</v>
      </c>
    </row>
    <row r="781" spans="1:13" x14ac:dyDescent="0.35">
      <c r="A781" s="49" t="s">
        <v>5260</v>
      </c>
      <c r="B781" s="49" t="s">
        <v>5261</v>
      </c>
      <c r="C781" s="49" t="s">
        <v>5262</v>
      </c>
      <c r="D781" s="49" t="s">
        <v>1264</v>
      </c>
      <c r="E781" s="49" t="s">
        <v>2774</v>
      </c>
      <c r="F781" s="49" t="s">
        <v>2825</v>
      </c>
      <c r="G781" s="49" t="s">
        <v>2901</v>
      </c>
      <c r="H781" s="49" t="s">
        <v>2827</v>
      </c>
      <c r="I781" s="50">
        <v>43377</v>
      </c>
      <c r="J781" s="50">
        <v>43500</v>
      </c>
      <c r="K781" s="50">
        <v>46056</v>
      </c>
      <c r="M781" s="49" t="s">
        <v>5263</v>
      </c>
    </row>
    <row r="782" spans="1:13" x14ac:dyDescent="0.35">
      <c r="A782" s="49" t="s">
        <v>5264</v>
      </c>
      <c r="C782" s="49" t="s">
        <v>5265</v>
      </c>
      <c r="D782" s="49" t="s">
        <v>1264</v>
      </c>
      <c r="E782" s="49" t="s">
        <v>3443</v>
      </c>
      <c r="F782" s="49" t="s">
        <v>3124</v>
      </c>
      <c r="G782" s="49" t="s">
        <v>2901</v>
      </c>
      <c r="H782" s="49" t="s">
        <v>980</v>
      </c>
      <c r="I782" s="50">
        <v>44800</v>
      </c>
      <c r="J782" s="50">
        <v>45055</v>
      </c>
      <c r="K782" s="50">
        <v>46881</v>
      </c>
    </row>
    <row r="783" spans="1:13" x14ac:dyDescent="0.35">
      <c r="A783" s="49" t="s">
        <v>5266</v>
      </c>
      <c r="B783" s="49" t="s">
        <v>3420</v>
      </c>
      <c r="C783" s="49" t="s">
        <v>5267</v>
      </c>
      <c r="D783" s="49" t="s">
        <v>1264</v>
      </c>
      <c r="E783" s="49" t="s">
        <v>2908</v>
      </c>
      <c r="F783" s="49" t="s">
        <v>2837</v>
      </c>
      <c r="G783" s="49" t="s">
        <v>4330</v>
      </c>
      <c r="H783" s="49" t="s">
        <v>980</v>
      </c>
      <c r="I783" s="50">
        <v>44582</v>
      </c>
      <c r="M783" s="49" t="s">
        <v>5268</v>
      </c>
    </row>
    <row r="784" spans="1:13" x14ac:dyDescent="0.35">
      <c r="A784" s="49" t="s">
        <v>5269</v>
      </c>
      <c r="C784" s="49" t="s">
        <v>5270</v>
      </c>
      <c r="D784" s="49" t="s">
        <v>1264</v>
      </c>
      <c r="E784" s="49" t="s">
        <v>2908</v>
      </c>
      <c r="F784" s="49" t="s">
        <v>2837</v>
      </c>
      <c r="G784" s="49" t="s">
        <v>2901</v>
      </c>
      <c r="H784" s="49" t="s">
        <v>2827</v>
      </c>
      <c r="I784" s="50">
        <v>43552</v>
      </c>
      <c r="J784" s="50">
        <v>44789</v>
      </c>
      <c r="K784" s="50">
        <v>46614</v>
      </c>
      <c r="M784" s="49" t="s">
        <v>5271</v>
      </c>
    </row>
    <row r="785" spans="1:13" x14ac:dyDescent="0.35">
      <c r="A785" s="49" t="s">
        <v>5272</v>
      </c>
      <c r="B785" s="49" t="s">
        <v>3768</v>
      </c>
      <c r="C785" s="49" t="s">
        <v>523</v>
      </c>
      <c r="D785" s="49" t="s">
        <v>1264</v>
      </c>
      <c r="E785" s="49" t="s">
        <v>3443</v>
      </c>
      <c r="F785" s="49" t="s">
        <v>3124</v>
      </c>
      <c r="G785" s="49" t="s">
        <v>2901</v>
      </c>
      <c r="H785" s="49" t="s">
        <v>980</v>
      </c>
      <c r="I785" s="50">
        <v>44715</v>
      </c>
      <c r="J785" s="50">
        <v>44879</v>
      </c>
      <c r="K785" s="50">
        <v>46704</v>
      </c>
    </row>
    <row r="786" spans="1:13" x14ac:dyDescent="0.35">
      <c r="A786" s="49" t="s">
        <v>5273</v>
      </c>
      <c r="C786" s="49" t="s">
        <v>4749</v>
      </c>
      <c r="D786" s="49" t="s">
        <v>1264</v>
      </c>
      <c r="E786" s="49" t="s">
        <v>2986</v>
      </c>
      <c r="F786" s="49" t="s">
        <v>2825</v>
      </c>
      <c r="G786" s="49" t="s">
        <v>2901</v>
      </c>
      <c r="H786" s="49" t="s">
        <v>2827</v>
      </c>
      <c r="I786" s="50">
        <v>44902</v>
      </c>
      <c r="J786" s="50">
        <v>44908</v>
      </c>
      <c r="K786" s="50">
        <v>46003</v>
      </c>
      <c r="M786" s="49" t="s">
        <v>3270</v>
      </c>
    </row>
    <row r="787" spans="1:13" x14ac:dyDescent="0.35">
      <c r="A787" s="49" t="s">
        <v>5274</v>
      </c>
      <c r="C787" s="49" t="s">
        <v>5275</v>
      </c>
      <c r="D787" s="49" t="s">
        <v>1264</v>
      </c>
      <c r="E787" s="49" t="s">
        <v>3443</v>
      </c>
      <c r="F787" s="49" t="s">
        <v>3124</v>
      </c>
      <c r="G787" s="49" t="s">
        <v>4330</v>
      </c>
      <c r="H787" s="49" t="s">
        <v>980</v>
      </c>
      <c r="I787" s="50">
        <v>44861</v>
      </c>
    </row>
    <row r="788" spans="1:13" x14ac:dyDescent="0.35">
      <c r="A788" s="49" t="s">
        <v>5276</v>
      </c>
      <c r="C788" s="49" t="s">
        <v>5277</v>
      </c>
      <c r="D788" s="49" t="s">
        <v>1264</v>
      </c>
      <c r="E788" s="49" t="s">
        <v>2974</v>
      </c>
      <c r="F788" s="49" t="s">
        <v>2825</v>
      </c>
      <c r="G788" s="49" t="s">
        <v>4330</v>
      </c>
      <c r="H788" s="49" t="s">
        <v>2827</v>
      </c>
      <c r="I788" s="50">
        <v>44278</v>
      </c>
      <c r="M788" s="49" t="s">
        <v>5278</v>
      </c>
    </row>
    <row r="789" spans="1:13" x14ac:dyDescent="0.35">
      <c r="A789" s="49" t="s">
        <v>5279</v>
      </c>
      <c r="C789" s="49" t="s">
        <v>5280</v>
      </c>
      <c r="D789" s="49" t="s">
        <v>1264</v>
      </c>
      <c r="E789" s="49" t="s">
        <v>3443</v>
      </c>
      <c r="F789" s="49" t="s">
        <v>3124</v>
      </c>
      <c r="G789" s="49" t="s">
        <v>2901</v>
      </c>
      <c r="H789" s="49" t="s">
        <v>980</v>
      </c>
      <c r="I789" s="50">
        <v>44905</v>
      </c>
      <c r="J789" s="50">
        <v>44918</v>
      </c>
      <c r="K789" s="50">
        <v>46743</v>
      </c>
    </row>
    <row r="790" spans="1:13" x14ac:dyDescent="0.35">
      <c r="A790" s="49" t="s">
        <v>5281</v>
      </c>
      <c r="C790" s="49" t="s">
        <v>4994</v>
      </c>
      <c r="D790" s="49" t="s">
        <v>1264</v>
      </c>
      <c r="E790" s="49" t="s">
        <v>3443</v>
      </c>
      <c r="F790" s="49" t="s">
        <v>3124</v>
      </c>
      <c r="G790" s="49" t="s">
        <v>2901</v>
      </c>
      <c r="H790" s="49" t="s">
        <v>980</v>
      </c>
      <c r="I790" s="50">
        <v>44870</v>
      </c>
      <c r="J790" s="50">
        <v>44901</v>
      </c>
      <c r="K790" s="50">
        <v>46726</v>
      </c>
    </row>
    <row r="791" spans="1:13" x14ac:dyDescent="0.35">
      <c r="A791" s="49" t="s">
        <v>5282</v>
      </c>
      <c r="C791" s="49" t="s">
        <v>5283</v>
      </c>
      <c r="D791" s="49" t="s">
        <v>1264</v>
      </c>
      <c r="E791" s="49" t="s">
        <v>3443</v>
      </c>
      <c r="F791" s="49" t="s">
        <v>3124</v>
      </c>
      <c r="G791" s="49" t="s">
        <v>2901</v>
      </c>
      <c r="H791" s="49" t="s">
        <v>980</v>
      </c>
      <c r="I791" s="50">
        <v>44898</v>
      </c>
      <c r="J791" s="50">
        <v>44930</v>
      </c>
      <c r="K791" s="50">
        <v>46755</v>
      </c>
    </row>
    <row r="792" spans="1:13" x14ac:dyDescent="0.35">
      <c r="A792" s="49" t="s">
        <v>5284</v>
      </c>
      <c r="C792" s="49" t="s">
        <v>5285</v>
      </c>
      <c r="D792" s="49" t="s">
        <v>1264</v>
      </c>
      <c r="E792" s="49" t="s">
        <v>3443</v>
      </c>
      <c r="F792" s="49" t="s">
        <v>3124</v>
      </c>
      <c r="G792" s="49" t="s">
        <v>2901</v>
      </c>
      <c r="H792" s="49" t="s">
        <v>980</v>
      </c>
      <c r="I792" s="50">
        <v>44911</v>
      </c>
      <c r="J792" s="50">
        <v>44918</v>
      </c>
      <c r="K792" s="50">
        <v>46743</v>
      </c>
    </row>
    <row r="793" spans="1:13" x14ac:dyDescent="0.35">
      <c r="A793" s="49" t="s">
        <v>5286</v>
      </c>
      <c r="C793" s="49" t="s">
        <v>5287</v>
      </c>
      <c r="D793" s="49" t="s">
        <v>1264</v>
      </c>
      <c r="E793" s="49" t="s">
        <v>3443</v>
      </c>
      <c r="F793" s="49" t="s">
        <v>3124</v>
      </c>
      <c r="G793" s="49" t="s">
        <v>4330</v>
      </c>
      <c r="H793" s="49" t="s">
        <v>980</v>
      </c>
      <c r="I793" s="50">
        <v>44896</v>
      </c>
    </row>
    <row r="794" spans="1:13" x14ac:dyDescent="0.35">
      <c r="A794" s="49" t="s">
        <v>5288</v>
      </c>
      <c r="B794" s="49" t="s">
        <v>5289</v>
      </c>
      <c r="C794" s="49" t="s">
        <v>5290</v>
      </c>
      <c r="D794" s="49" t="s">
        <v>1264</v>
      </c>
      <c r="E794" s="49" t="s">
        <v>2785</v>
      </c>
      <c r="F794" s="49" t="s">
        <v>4048</v>
      </c>
      <c r="G794" s="49" t="s">
        <v>2787</v>
      </c>
      <c r="H794" s="49" t="s">
        <v>2827</v>
      </c>
      <c r="I794" s="50">
        <v>44754</v>
      </c>
      <c r="K794" s="50">
        <v>45511</v>
      </c>
      <c r="M794" s="49" t="s">
        <v>5291</v>
      </c>
    </row>
    <row r="795" spans="1:13" x14ac:dyDescent="0.35">
      <c r="A795" s="49" t="s">
        <v>5292</v>
      </c>
      <c r="B795" s="49" t="s">
        <v>3586</v>
      </c>
      <c r="C795" s="49" t="s">
        <v>5293</v>
      </c>
      <c r="D795" s="49" t="s">
        <v>1264</v>
      </c>
      <c r="E795" s="49" t="s">
        <v>2785</v>
      </c>
      <c r="F795" s="49" t="s">
        <v>2786</v>
      </c>
      <c r="G795" s="49" t="s">
        <v>2787</v>
      </c>
      <c r="H795" s="49" t="s">
        <v>980</v>
      </c>
      <c r="I795" s="50">
        <v>44721</v>
      </c>
      <c r="J795" s="50">
        <v>44925</v>
      </c>
      <c r="K795" s="50">
        <v>45589</v>
      </c>
      <c r="M795" s="49" t="s">
        <v>5294</v>
      </c>
    </row>
    <row r="796" spans="1:13" x14ac:dyDescent="0.35">
      <c r="A796" s="49" t="s">
        <v>5295</v>
      </c>
      <c r="B796" s="49" t="s">
        <v>5296</v>
      </c>
      <c r="C796" s="49" t="s">
        <v>4835</v>
      </c>
      <c r="D796" s="49" t="s">
        <v>1264</v>
      </c>
      <c r="E796" s="49" t="s">
        <v>2986</v>
      </c>
      <c r="F796" s="49" t="s">
        <v>2825</v>
      </c>
      <c r="G796" s="49" t="s">
        <v>2901</v>
      </c>
      <c r="H796" s="49" t="s">
        <v>2827</v>
      </c>
      <c r="I796" s="50">
        <v>44942</v>
      </c>
      <c r="J796" s="50">
        <v>45041</v>
      </c>
      <c r="K796" s="50">
        <v>46136</v>
      </c>
      <c r="M796" s="49" t="s">
        <v>5297</v>
      </c>
    </row>
    <row r="797" spans="1:13" x14ac:dyDescent="0.35">
      <c r="A797" s="49" t="s">
        <v>5298</v>
      </c>
      <c r="B797" s="49" t="s">
        <v>5299</v>
      </c>
      <c r="C797" s="49" t="s">
        <v>4835</v>
      </c>
      <c r="D797" s="49" t="s">
        <v>1264</v>
      </c>
      <c r="E797" s="49" t="s">
        <v>2986</v>
      </c>
      <c r="F797" s="49" t="s">
        <v>2825</v>
      </c>
      <c r="G797" s="49" t="s">
        <v>2901</v>
      </c>
      <c r="H797" s="49" t="s">
        <v>2827</v>
      </c>
      <c r="I797" s="50">
        <v>44942</v>
      </c>
      <c r="J797" s="50">
        <v>44959</v>
      </c>
      <c r="K797" s="50">
        <v>46054</v>
      </c>
      <c r="M797" s="49" t="s">
        <v>5300</v>
      </c>
    </row>
    <row r="798" spans="1:13" x14ac:dyDescent="0.35">
      <c r="A798" s="49" t="s">
        <v>5301</v>
      </c>
      <c r="B798" s="49" t="s">
        <v>3626</v>
      </c>
      <c r="C798" s="49" t="s">
        <v>4491</v>
      </c>
      <c r="D798" s="49" t="s">
        <v>1264</v>
      </c>
      <c r="E798" s="49" t="s">
        <v>2774</v>
      </c>
      <c r="F798" s="49" t="s">
        <v>2825</v>
      </c>
      <c r="G798" s="49" t="s">
        <v>2901</v>
      </c>
      <c r="H798" s="49" t="s">
        <v>2827</v>
      </c>
      <c r="I798" s="50">
        <v>44833</v>
      </c>
      <c r="J798" s="50">
        <v>44958</v>
      </c>
      <c r="K798" s="50">
        <v>46418</v>
      </c>
      <c r="M798" s="49" t="s">
        <v>5302</v>
      </c>
    </row>
    <row r="799" spans="1:13" x14ac:dyDescent="0.35">
      <c r="A799" s="49" t="s">
        <v>5303</v>
      </c>
      <c r="B799" s="49" t="s">
        <v>5304</v>
      </c>
      <c r="C799" s="49" t="s">
        <v>4237</v>
      </c>
      <c r="D799" s="49" t="s">
        <v>1264</v>
      </c>
      <c r="E799" s="49" t="s">
        <v>2785</v>
      </c>
      <c r="F799" s="49" t="s">
        <v>2792</v>
      </c>
      <c r="G799" s="49" t="s">
        <v>2787</v>
      </c>
      <c r="H799" s="49" t="s">
        <v>980</v>
      </c>
      <c r="I799" s="50">
        <v>44918</v>
      </c>
      <c r="J799" s="50">
        <v>44957</v>
      </c>
      <c r="K799" s="50">
        <v>45321</v>
      </c>
      <c r="L799" s="50">
        <v>45322</v>
      </c>
      <c r="M799" s="49" t="s">
        <v>5305</v>
      </c>
    </row>
    <row r="800" spans="1:13" x14ac:dyDescent="0.35">
      <c r="A800" s="49" t="s">
        <v>5306</v>
      </c>
      <c r="C800" s="49" t="s">
        <v>5307</v>
      </c>
      <c r="D800" s="49" t="s">
        <v>1264</v>
      </c>
      <c r="E800" s="49" t="s">
        <v>2974</v>
      </c>
      <c r="F800" s="49" t="s">
        <v>2825</v>
      </c>
      <c r="G800" s="49" t="s">
        <v>2901</v>
      </c>
      <c r="H800" s="49" t="s">
        <v>2827</v>
      </c>
      <c r="I800" s="50">
        <v>44817</v>
      </c>
      <c r="J800" s="50">
        <v>44820</v>
      </c>
      <c r="K800" s="50">
        <v>46645</v>
      </c>
      <c r="M800" s="49" t="s">
        <v>5308</v>
      </c>
    </row>
    <row r="801" spans="1:13" x14ac:dyDescent="0.35">
      <c r="A801" s="49" t="s">
        <v>5309</v>
      </c>
      <c r="B801" s="49" t="s">
        <v>5310</v>
      </c>
      <c r="C801" s="49" t="s">
        <v>5311</v>
      </c>
      <c r="D801" s="49" t="s">
        <v>1264</v>
      </c>
      <c r="E801" s="49" t="s">
        <v>2986</v>
      </c>
      <c r="F801" s="49" t="s">
        <v>2825</v>
      </c>
      <c r="G801" s="49" t="s">
        <v>4330</v>
      </c>
      <c r="H801" s="49" t="s">
        <v>2827</v>
      </c>
      <c r="I801" s="50">
        <v>44728</v>
      </c>
      <c r="M801" s="49" t="s">
        <v>5312</v>
      </c>
    </row>
    <row r="802" spans="1:13" x14ac:dyDescent="0.35">
      <c r="A802" s="49" t="s">
        <v>5313</v>
      </c>
      <c r="C802" s="49" t="s">
        <v>5314</v>
      </c>
      <c r="D802" s="49" t="s">
        <v>1264</v>
      </c>
      <c r="E802" s="49" t="s">
        <v>2785</v>
      </c>
      <c r="F802" s="49" t="s">
        <v>2805</v>
      </c>
      <c r="G802" s="49" t="s">
        <v>2787</v>
      </c>
      <c r="H802" s="49" t="s">
        <v>2827</v>
      </c>
      <c r="I802" s="50">
        <v>44923</v>
      </c>
      <c r="J802" s="50">
        <v>45216</v>
      </c>
      <c r="K802" s="50">
        <v>45581</v>
      </c>
      <c r="M802" s="49" t="s">
        <v>5315</v>
      </c>
    </row>
    <row r="803" spans="1:13" x14ac:dyDescent="0.35">
      <c r="A803" s="49" t="s">
        <v>5316</v>
      </c>
      <c r="B803" s="49" t="s">
        <v>3218</v>
      </c>
      <c r="C803" s="49" t="s">
        <v>5317</v>
      </c>
      <c r="D803" s="49" t="s">
        <v>1264</v>
      </c>
      <c r="E803" s="49" t="s">
        <v>2785</v>
      </c>
      <c r="F803" s="49" t="s">
        <v>2786</v>
      </c>
      <c r="G803" s="49" t="s">
        <v>2787</v>
      </c>
      <c r="H803" s="49" t="s">
        <v>980</v>
      </c>
      <c r="I803" s="50">
        <v>44935</v>
      </c>
      <c r="J803" s="50">
        <v>45028</v>
      </c>
      <c r="K803" s="50">
        <v>45393</v>
      </c>
      <c r="M803" s="49" t="s">
        <v>5318</v>
      </c>
    </row>
    <row r="804" spans="1:13" x14ac:dyDescent="0.35">
      <c r="A804" s="49" t="s">
        <v>5319</v>
      </c>
      <c r="C804" s="49" t="s">
        <v>5320</v>
      </c>
      <c r="D804" s="49" t="s">
        <v>1264</v>
      </c>
      <c r="E804" s="49" t="s">
        <v>2986</v>
      </c>
      <c r="F804" s="49" t="s">
        <v>2825</v>
      </c>
      <c r="G804" s="49" t="s">
        <v>2901</v>
      </c>
      <c r="H804" s="49" t="s">
        <v>2827</v>
      </c>
      <c r="I804" s="50">
        <v>44861</v>
      </c>
      <c r="J804" s="50">
        <v>45006</v>
      </c>
      <c r="K804" s="50">
        <v>46101</v>
      </c>
      <c r="M804" s="49" t="s">
        <v>5321</v>
      </c>
    </row>
    <row r="805" spans="1:13" x14ac:dyDescent="0.35">
      <c r="A805" s="49" t="s">
        <v>5322</v>
      </c>
      <c r="C805" s="49" t="s">
        <v>5267</v>
      </c>
      <c r="D805" s="49" t="s">
        <v>1264</v>
      </c>
      <c r="E805" s="49" t="s">
        <v>2908</v>
      </c>
      <c r="F805" s="49" t="s">
        <v>2939</v>
      </c>
      <c r="G805" s="49" t="s">
        <v>4330</v>
      </c>
      <c r="H805" s="49" t="s">
        <v>980</v>
      </c>
      <c r="I805" s="50">
        <v>44595</v>
      </c>
      <c r="M805" s="49" t="s">
        <v>5323</v>
      </c>
    </row>
    <row r="806" spans="1:13" x14ac:dyDescent="0.35">
      <c r="A806" s="49" t="s">
        <v>5324</v>
      </c>
      <c r="B806" s="49" t="s">
        <v>5325</v>
      </c>
      <c r="C806" s="49" t="s">
        <v>4887</v>
      </c>
      <c r="D806" s="49" t="s">
        <v>1264</v>
      </c>
      <c r="E806" s="49" t="s">
        <v>2908</v>
      </c>
      <c r="F806" s="49" t="s">
        <v>2837</v>
      </c>
      <c r="G806" s="49" t="s">
        <v>2901</v>
      </c>
      <c r="H806" s="49" t="s">
        <v>2827</v>
      </c>
      <c r="I806" s="50">
        <v>44715</v>
      </c>
      <c r="J806" s="50">
        <v>44904</v>
      </c>
      <c r="K806" s="50">
        <v>46729</v>
      </c>
      <c r="M806" s="49" t="s">
        <v>5326</v>
      </c>
    </row>
    <row r="807" spans="1:13" x14ac:dyDescent="0.35">
      <c r="A807" s="49" t="s">
        <v>5327</v>
      </c>
      <c r="B807" s="49" t="s">
        <v>2823</v>
      </c>
      <c r="C807" s="49" t="s">
        <v>4333</v>
      </c>
      <c r="D807" s="49" t="s">
        <v>1264</v>
      </c>
      <c r="E807" s="49" t="s">
        <v>2785</v>
      </c>
      <c r="F807" s="49" t="s">
        <v>3898</v>
      </c>
      <c r="G807" s="49" t="s">
        <v>2787</v>
      </c>
      <c r="H807" s="49" t="s">
        <v>2827</v>
      </c>
      <c r="I807" s="50">
        <v>44406</v>
      </c>
      <c r="J807" s="50">
        <v>45057</v>
      </c>
      <c r="K807" s="50">
        <v>45422</v>
      </c>
      <c r="M807" s="49" t="s">
        <v>5328</v>
      </c>
    </row>
    <row r="808" spans="1:13" x14ac:dyDescent="0.35">
      <c r="A808" s="49" t="s">
        <v>5329</v>
      </c>
      <c r="C808" s="49" t="s">
        <v>2997</v>
      </c>
      <c r="D808" s="49" t="s">
        <v>1264</v>
      </c>
      <c r="E808" s="49" t="s">
        <v>2908</v>
      </c>
      <c r="F808" s="49" t="s">
        <v>2939</v>
      </c>
      <c r="G808" s="49" t="s">
        <v>4330</v>
      </c>
      <c r="H808" s="49" t="s">
        <v>980</v>
      </c>
      <c r="I808" s="50">
        <v>44446</v>
      </c>
      <c r="J808" s="50">
        <v>44452</v>
      </c>
      <c r="K808" s="50">
        <v>46277</v>
      </c>
      <c r="M808" s="49" t="s">
        <v>3634</v>
      </c>
    </row>
    <row r="809" spans="1:13" x14ac:dyDescent="0.35">
      <c r="A809" s="49" t="s">
        <v>5330</v>
      </c>
      <c r="C809" s="49" t="s">
        <v>4158</v>
      </c>
      <c r="D809" s="49" t="s">
        <v>1264</v>
      </c>
      <c r="E809" s="49" t="s">
        <v>3443</v>
      </c>
      <c r="F809" s="49" t="s">
        <v>2792</v>
      </c>
      <c r="G809" s="49" t="s">
        <v>2901</v>
      </c>
      <c r="H809" s="49" t="s">
        <v>980</v>
      </c>
      <c r="I809" s="50">
        <v>43738</v>
      </c>
      <c r="J809" s="50">
        <v>43812</v>
      </c>
      <c r="K809" s="50">
        <v>45638</v>
      </c>
    </row>
    <row r="810" spans="1:13" x14ac:dyDescent="0.35">
      <c r="A810" s="49" t="s">
        <v>5331</v>
      </c>
      <c r="C810" s="49" t="s">
        <v>4525</v>
      </c>
      <c r="D810" s="49" t="s">
        <v>1264</v>
      </c>
      <c r="E810" s="49" t="s">
        <v>2908</v>
      </c>
      <c r="F810" s="49" t="s">
        <v>2837</v>
      </c>
      <c r="G810" s="49" t="s">
        <v>2901</v>
      </c>
      <c r="H810" s="49" t="s">
        <v>980</v>
      </c>
      <c r="I810" s="50">
        <v>44882</v>
      </c>
      <c r="J810" s="50">
        <v>44890</v>
      </c>
      <c r="K810" s="50">
        <v>46715</v>
      </c>
      <c r="M810" s="49" t="s">
        <v>5332</v>
      </c>
    </row>
    <row r="811" spans="1:13" x14ac:dyDescent="0.35">
      <c r="A811" s="49" t="s">
        <v>5333</v>
      </c>
      <c r="B811" s="49" t="s">
        <v>5334</v>
      </c>
      <c r="C811" s="49" t="s">
        <v>3791</v>
      </c>
      <c r="D811" s="49" t="s">
        <v>1264</v>
      </c>
      <c r="E811" s="49" t="s">
        <v>2974</v>
      </c>
      <c r="F811" s="49" t="s">
        <v>4842</v>
      </c>
      <c r="G811" s="49" t="s">
        <v>2901</v>
      </c>
      <c r="H811" s="49" t="s">
        <v>2827</v>
      </c>
      <c r="I811" s="50">
        <v>44796</v>
      </c>
      <c r="J811" s="50">
        <v>44797</v>
      </c>
      <c r="K811" s="50">
        <v>46622</v>
      </c>
      <c r="M811" s="49" t="s">
        <v>5335</v>
      </c>
    </row>
    <row r="812" spans="1:13" x14ac:dyDescent="0.35">
      <c r="A812" s="49" t="s">
        <v>5336</v>
      </c>
      <c r="B812" s="49" t="s">
        <v>2849</v>
      </c>
      <c r="C812" s="49" t="s">
        <v>5337</v>
      </c>
      <c r="D812" s="49" t="s">
        <v>1264</v>
      </c>
      <c r="E812" s="49" t="s">
        <v>2785</v>
      </c>
      <c r="F812" s="49" t="s">
        <v>2792</v>
      </c>
      <c r="G812" s="49" t="s">
        <v>2787</v>
      </c>
      <c r="H812" s="49" t="s">
        <v>980</v>
      </c>
      <c r="I812" s="50">
        <v>44284</v>
      </c>
      <c r="J812" s="50">
        <v>44973</v>
      </c>
      <c r="K812" s="50">
        <v>45337</v>
      </c>
      <c r="M812" s="49" t="s">
        <v>5338</v>
      </c>
    </row>
    <row r="813" spans="1:13" x14ac:dyDescent="0.35">
      <c r="A813" s="49" t="s">
        <v>5339</v>
      </c>
      <c r="B813" s="49" t="s">
        <v>5340</v>
      </c>
      <c r="C813" s="49" t="s">
        <v>5208</v>
      </c>
      <c r="D813" s="49" t="s">
        <v>1264</v>
      </c>
      <c r="E813" s="49" t="s">
        <v>2974</v>
      </c>
      <c r="F813" s="49" t="s">
        <v>3005</v>
      </c>
      <c r="G813" s="49" t="s">
        <v>2901</v>
      </c>
      <c r="H813" s="49" t="s">
        <v>1062</v>
      </c>
      <c r="I813" s="50">
        <v>44970</v>
      </c>
      <c r="J813" s="50">
        <v>44977</v>
      </c>
      <c r="K813" s="50">
        <v>46802</v>
      </c>
      <c r="M813" s="49" t="s">
        <v>5341</v>
      </c>
    </row>
    <row r="814" spans="1:13" x14ac:dyDescent="0.35">
      <c r="A814" s="49" t="s">
        <v>5342</v>
      </c>
      <c r="B814" s="49" t="s">
        <v>5343</v>
      </c>
      <c r="C814" s="49" t="s">
        <v>3955</v>
      </c>
      <c r="D814" s="49" t="s">
        <v>1264</v>
      </c>
      <c r="E814" s="49" t="s">
        <v>2785</v>
      </c>
      <c r="F814" s="49" t="s">
        <v>2792</v>
      </c>
      <c r="G814" s="49" t="s">
        <v>2776</v>
      </c>
      <c r="H814" s="49" t="s">
        <v>980</v>
      </c>
      <c r="I814" s="50">
        <v>44739</v>
      </c>
      <c r="M814" s="49" t="s">
        <v>5344</v>
      </c>
    </row>
    <row r="815" spans="1:13" x14ac:dyDescent="0.35">
      <c r="A815" s="49" t="s">
        <v>5345</v>
      </c>
      <c r="B815" s="49" t="s">
        <v>5346</v>
      </c>
      <c r="C815" s="49" t="s">
        <v>5347</v>
      </c>
      <c r="D815" s="49" t="s">
        <v>1264</v>
      </c>
      <c r="E815" s="49" t="s">
        <v>2774</v>
      </c>
      <c r="F815" s="49" t="s">
        <v>4842</v>
      </c>
      <c r="G815" s="49" t="s">
        <v>2901</v>
      </c>
      <c r="H815" s="49" t="s">
        <v>2827</v>
      </c>
      <c r="I815" s="50">
        <v>44915</v>
      </c>
      <c r="J815" s="50">
        <v>44950</v>
      </c>
      <c r="K815" s="50">
        <v>46410</v>
      </c>
      <c r="M815" s="49" t="s">
        <v>5348</v>
      </c>
    </row>
    <row r="816" spans="1:13" x14ac:dyDescent="0.35">
      <c r="A816" s="49" t="s">
        <v>5349</v>
      </c>
      <c r="B816" s="49" t="s">
        <v>5350</v>
      </c>
      <c r="C816" s="49" t="s">
        <v>5347</v>
      </c>
      <c r="D816" s="49" t="s">
        <v>1264</v>
      </c>
      <c r="E816" s="49" t="s">
        <v>2774</v>
      </c>
      <c r="F816" s="49" t="s">
        <v>4842</v>
      </c>
      <c r="G816" s="49" t="s">
        <v>2901</v>
      </c>
      <c r="H816" s="49" t="s">
        <v>973</v>
      </c>
      <c r="I816" s="50">
        <v>44916</v>
      </c>
      <c r="J816" s="50">
        <v>44950</v>
      </c>
      <c r="K816" s="50">
        <v>46410</v>
      </c>
      <c r="M816" s="49" t="s">
        <v>5351</v>
      </c>
    </row>
    <row r="817" spans="1:13" x14ac:dyDescent="0.35">
      <c r="A817" s="49" t="s">
        <v>5352</v>
      </c>
      <c r="B817" s="49" t="s">
        <v>3135</v>
      </c>
      <c r="C817" s="49" t="s">
        <v>4106</v>
      </c>
      <c r="D817" s="49" t="s">
        <v>1264</v>
      </c>
      <c r="E817" s="49" t="s">
        <v>2785</v>
      </c>
      <c r="F817" s="49" t="s">
        <v>2786</v>
      </c>
      <c r="G817" s="49" t="s">
        <v>2787</v>
      </c>
      <c r="H817" s="49" t="s">
        <v>835</v>
      </c>
      <c r="I817" s="50">
        <v>44766</v>
      </c>
      <c r="K817" s="50">
        <v>45511</v>
      </c>
      <c r="M817" s="49" t="s">
        <v>5353</v>
      </c>
    </row>
    <row r="818" spans="1:13" x14ac:dyDescent="0.35">
      <c r="A818" s="49" t="s">
        <v>5354</v>
      </c>
      <c r="B818" s="49" t="s">
        <v>5355</v>
      </c>
      <c r="C818" s="49" t="s">
        <v>5356</v>
      </c>
      <c r="D818" s="49" t="s">
        <v>1264</v>
      </c>
      <c r="E818" s="49" t="s">
        <v>2785</v>
      </c>
      <c r="F818" s="49" t="s">
        <v>2792</v>
      </c>
      <c r="G818" s="49" t="s">
        <v>2787</v>
      </c>
      <c r="H818" s="49" t="s">
        <v>8</v>
      </c>
      <c r="I818" s="50">
        <v>44868</v>
      </c>
      <c r="J818" s="50">
        <v>44995</v>
      </c>
      <c r="K818" s="50">
        <v>45360</v>
      </c>
      <c r="M818" s="49" t="s">
        <v>5357</v>
      </c>
    </row>
    <row r="819" spans="1:13" x14ac:dyDescent="0.35">
      <c r="A819" s="49" t="s">
        <v>5358</v>
      </c>
      <c r="B819" s="49" t="s">
        <v>5359</v>
      </c>
      <c r="C819" s="49" t="s">
        <v>4749</v>
      </c>
      <c r="D819" s="49" t="s">
        <v>1264</v>
      </c>
      <c r="E819" s="49" t="s">
        <v>2986</v>
      </c>
      <c r="F819" s="49" t="s">
        <v>2825</v>
      </c>
      <c r="G819" s="49" t="s">
        <v>2901</v>
      </c>
      <c r="H819" s="49" t="s">
        <v>2827</v>
      </c>
      <c r="I819" s="50">
        <v>44972</v>
      </c>
      <c r="J819" s="50">
        <v>45028</v>
      </c>
      <c r="K819" s="50">
        <v>46123</v>
      </c>
      <c r="M819" s="49" t="s">
        <v>5360</v>
      </c>
    </row>
    <row r="820" spans="1:13" x14ac:dyDescent="0.35">
      <c r="A820" s="49" t="s">
        <v>5361</v>
      </c>
      <c r="B820" s="49" t="s">
        <v>5362</v>
      </c>
      <c r="C820" s="49" t="s">
        <v>4749</v>
      </c>
      <c r="D820" s="49" t="s">
        <v>1264</v>
      </c>
      <c r="E820" s="49" t="s">
        <v>2986</v>
      </c>
      <c r="F820" s="49" t="s">
        <v>2825</v>
      </c>
      <c r="G820" s="49" t="s">
        <v>2901</v>
      </c>
      <c r="H820" s="49" t="s">
        <v>2827</v>
      </c>
      <c r="I820" s="50">
        <v>44972</v>
      </c>
      <c r="J820" s="50">
        <v>45028</v>
      </c>
      <c r="K820" s="50">
        <v>46123</v>
      </c>
      <c r="M820" s="49" t="s">
        <v>5363</v>
      </c>
    </row>
    <row r="821" spans="1:13" x14ac:dyDescent="0.35">
      <c r="A821" s="49" t="s">
        <v>5364</v>
      </c>
      <c r="B821" s="49" t="s">
        <v>5365</v>
      </c>
      <c r="C821" s="49" t="s">
        <v>4306</v>
      </c>
      <c r="D821" s="49" t="s">
        <v>1264</v>
      </c>
      <c r="E821" s="49" t="s">
        <v>2986</v>
      </c>
      <c r="F821" s="49" t="s">
        <v>2825</v>
      </c>
      <c r="G821" s="49" t="s">
        <v>2901</v>
      </c>
      <c r="H821" s="49" t="s">
        <v>2827</v>
      </c>
      <c r="I821" s="50">
        <v>44529</v>
      </c>
      <c r="J821" s="50">
        <v>45041</v>
      </c>
      <c r="K821" s="50">
        <v>46136</v>
      </c>
      <c r="M821" s="49" t="s">
        <v>5366</v>
      </c>
    </row>
    <row r="822" spans="1:13" x14ac:dyDescent="0.35">
      <c r="A822" s="49" t="s">
        <v>5367</v>
      </c>
      <c r="C822" s="49" t="s">
        <v>5368</v>
      </c>
      <c r="D822" s="49" t="s">
        <v>1264</v>
      </c>
      <c r="E822" s="49" t="s">
        <v>2785</v>
      </c>
      <c r="F822" s="49" t="s">
        <v>2792</v>
      </c>
      <c r="G822" s="49" t="s">
        <v>2787</v>
      </c>
      <c r="H822" s="49" t="s">
        <v>8</v>
      </c>
      <c r="I822" s="50">
        <v>44335</v>
      </c>
      <c r="J822" s="50">
        <v>44980</v>
      </c>
      <c r="K822" s="50">
        <v>45344</v>
      </c>
      <c r="M822" s="49" t="s">
        <v>5369</v>
      </c>
    </row>
    <row r="823" spans="1:13" x14ac:dyDescent="0.35">
      <c r="A823" s="49" t="s">
        <v>5370</v>
      </c>
      <c r="C823" s="49" t="s">
        <v>5240</v>
      </c>
      <c r="D823" s="49" t="s">
        <v>1264</v>
      </c>
      <c r="E823" s="49" t="s">
        <v>2785</v>
      </c>
      <c r="F823" s="49" t="s">
        <v>2792</v>
      </c>
      <c r="G823" s="49" t="s">
        <v>2787</v>
      </c>
      <c r="H823" s="49" t="s">
        <v>980</v>
      </c>
      <c r="I823" s="50">
        <v>44896</v>
      </c>
      <c r="J823" s="50">
        <v>44911</v>
      </c>
      <c r="K823" s="50">
        <v>45428</v>
      </c>
      <c r="M823" s="49" t="s">
        <v>5371</v>
      </c>
    </row>
    <row r="824" spans="1:13" x14ac:dyDescent="0.35">
      <c r="A824" s="49" t="s">
        <v>5372</v>
      </c>
      <c r="C824" s="49" t="s">
        <v>5240</v>
      </c>
      <c r="D824" s="49" t="s">
        <v>1264</v>
      </c>
      <c r="E824" s="49" t="s">
        <v>2785</v>
      </c>
      <c r="F824" s="49" t="s">
        <v>2792</v>
      </c>
      <c r="G824" s="49" t="s">
        <v>2787</v>
      </c>
      <c r="H824" s="49" t="s">
        <v>980</v>
      </c>
      <c r="I824" s="50">
        <v>44896</v>
      </c>
      <c r="J824" s="50">
        <v>44911</v>
      </c>
      <c r="K824" s="50">
        <v>45428</v>
      </c>
      <c r="M824" s="49" t="s">
        <v>5373</v>
      </c>
    </row>
    <row r="825" spans="1:13" x14ac:dyDescent="0.35">
      <c r="A825" s="49" t="s">
        <v>5374</v>
      </c>
      <c r="B825" s="49" t="s">
        <v>4293</v>
      </c>
      <c r="C825" s="49" t="s">
        <v>5375</v>
      </c>
      <c r="D825" s="49" t="s">
        <v>1264</v>
      </c>
      <c r="E825" s="49" t="s">
        <v>2785</v>
      </c>
      <c r="F825" s="49" t="s">
        <v>2792</v>
      </c>
      <c r="G825" s="49" t="s">
        <v>2787</v>
      </c>
      <c r="H825" s="49" t="s">
        <v>980</v>
      </c>
      <c r="I825" s="50">
        <v>44851</v>
      </c>
      <c r="J825" s="50">
        <v>44992</v>
      </c>
      <c r="K825" s="50">
        <v>45511</v>
      </c>
      <c r="M825" s="49" t="s">
        <v>5376</v>
      </c>
    </row>
    <row r="826" spans="1:13" x14ac:dyDescent="0.35">
      <c r="A826" s="49" t="s">
        <v>5377</v>
      </c>
      <c r="C826" s="49" t="s">
        <v>5378</v>
      </c>
      <c r="D826" s="49" t="s">
        <v>1264</v>
      </c>
      <c r="E826" s="49" t="s">
        <v>3443</v>
      </c>
      <c r="F826" s="49" t="s">
        <v>3124</v>
      </c>
      <c r="G826" s="49" t="s">
        <v>2901</v>
      </c>
      <c r="H826" s="49" t="s">
        <v>980</v>
      </c>
      <c r="I826" s="50">
        <v>43702</v>
      </c>
      <c r="J826" s="50">
        <v>43854</v>
      </c>
      <c r="K826" s="50">
        <v>45680</v>
      </c>
    </row>
    <row r="827" spans="1:13" x14ac:dyDescent="0.35">
      <c r="A827" s="49" t="s">
        <v>5379</v>
      </c>
      <c r="B827" s="49" t="s">
        <v>3962</v>
      </c>
      <c r="C827" s="49" t="s">
        <v>5380</v>
      </c>
      <c r="D827" s="49" t="s">
        <v>1264</v>
      </c>
      <c r="E827" s="49" t="s">
        <v>2785</v>
      </c>
      <c r="F827" s="49" t="s">
        <v>2792</v>
      </c>
      <c r="G827" s="49" t="s">
        <v>2787</v>
      </c>
      <c r="H827" s="49" t="s">
        <v>980</v>
      </c>
      <c r="I827" s="50">
        <v>44242</v>
      </c>
      <c r="K827" s="50">
        <v>45510</v>
      </c>
      <c r="M827" s="49" t="s">
        <v>5381</v>
      </c>
    </row>
    <row r="828" spans="1:13" x14ac:dyDescent="0.35">
      <c r="A828" s="49" t="s">
        <v>5382</v>
      </c>
      <c r="B828" s="49" t="s">
        <v>4817</v>
      </c>
      <c r="C828" s="49" t="s">
        <v>4749</v>
      </c>
      <c r="D828" s="49" t="s">
        <v>1264</v>
      </c>
      <c r="E828" s="49" t="s">
        <v>2986</v>
      </c>
      <c r="F828" s="49" t="s">
        <v>2825</v>
      </c>
      <c r="G828" s="49" t="s">
        <v>2901</v>
      </c>
      <c r="H828" s="49" t="s">
        <v>2827</v>
      </c>
      <c r="I828" s="50">
        <v>44972</v>
      </c>
      <c r="J828" s="50">
        <v>45028</v>
      </c>
      <c r="K828" s="50">
        <v>46123</v>
      </c>
      <c r="M828" s="49" t="s">
        <v>5383</v>
      </c>
    </row>
    <row r="829" spans="1:13" x14ac:dyDescent="0.35">
      <c r="A829" s="49" t="s">
        <v>5384</v>
      </c>
      <c r="B829" s="49" t="s">
        <v>5385</v>
      </c>
      <c r="C829" s="49" t="s">
        <v>4977</v>
      </c>
      <c r="D829" s="49" t="s">
        <v>1264</v>
      </c>
      <c r="E829" s="49" t="s">
        <v>2986</v>
      </c>
      <c r="F829" s="49" t="s">
        <v>2825</v>
      </c>
      <c r="G829" s="49" t="s">
        <v>2901</v>
      </c>
      <c r="H829" s="49" t="s">
        <v>2827</v>
      </c>
      <c r="I829" s="50">
        <v>44005</v>
      </c>
      <c r="J829" s="50">
        <v>44719</v>
      </c>
      <c r="K829" s="50">
        <v>45814</v>
      </c>
      <c r="M829" s="49" t="s">
        <v>5386</v>
      </c>
    </row>
    <row r="830" spans="1:13" x14ac:dyDescent="0.35">
      <c r="A830" s="49" t="s">
        <v>5387</v>
      </c>
      <c r="C830" s="49" t="s">
        <v>5388</v>
      </c>
      <c r="D830" s="49" t="s">
        <v>1264</v>
      </c>
      <c r="E830" s="49" t="s">
        <v>3443</v>
      </c>
      <c r="F830" s="49" t="s">
        <v>3124</v>
      </c>
      <c r="G830" s="49" t="s">
        <v>2901</v>
      </c>
      <c r="H830" s="49" t="s">
        <v>980</v>
      </c>
      <c r="I830" s="50">
        <v>44834</v>
      </c>
      <c r="J830" s="50">
        <v>44957</v>
      </c>
      <c r="K830" s="50">
        <v>46782</v>
      </c>
    </row>
    <row r="831" spans="1:13" x14ac:dyDescent="0.35">
      <c r="A831" s="49" t="s">
        <v>5389</v>
      </c>
      <c r="B831" s="49" t="s">
        <v>5390</v>
      </c>
      <c r="C831" s="49" t="s">
        <v>3970</v>
      </c>
      <c r="D831" s="49" t="s">
        <v>1264</v>
      </c>
      <c r="E831" s="49" t="s">
        <v>2986</v>
      </c>
      <c r="F831" s="49" t="s">
        <v>2825</v>
      </c>
      <c r="G831" s="49" t="s">
        <v>2901</v>
      </c>
      <c r="H831" s="49" t="s">
        <v>2827</v>
      </c>
      <c r="I831" s="50">
        <v>44938</v>
      </c>
      <c r="J831" s="50">
        <v>44991</v>
      </c>
      <c r="K831" s="50">
        <v>46086</v>
      </c>
      <c r="M831" s="49" t="s">
        <v>5391</v>
      </c>
    </row>
    <row r="832" spans="1:13" x14ac:dyDescent="0.35">
      <c r="A832" s="49" t="s">
        <v>5392</v>
      </c>
      <c r="B832" s="49" t="s">
        <v>5393</v>
      </c>
      <c r="C832" s="49" t="s">
        <v>3970</v>
      </c>
      <c r="D832" s="49" t="s">
        <v>1264</v>
      </c>
      <c r="E832" s="49" t="s">
        <v>2986</v>
      </c>
      <c r="F832" s="49" t="s">
        <v>2825</v>
      </c>
      <c r="G832" s="49" t="s">
        <v>2901</v>
      </c>
      <c r="H832" s="49" t="s">
        <v>2827</v>
      </c>
      <c r="I832" s="50">
        <v>44911</v>
      </c>
      <c r="J832" s="50">
        <v>44991</v>
      </c>
      <c r="K832" s="50">
        <v>46086</v>
      </c>
      <c r="M832" s="49" t="s">
        <v>5394</v>
      </c>
    </row>
    <row r="833" spans="1:13" x14ac:dyDescent="0.35">
      <c r="A833" s="49" t="s">
        <v>5395</v>
      </c>
      <c r="C833" s="49" t="s">
        <v>5396</v>
      </c>
      <c r="D833" s="49" t="s">
        <v>1264</v>
      </c>
      <c r="E833" s="49" t="s">
        <v>3443</v>
      </c>
      <c r="F833" s="49" t="s">
        <v>3124</v>
      </c>
      <c r="G833" s="49" t="s">
        <v>2901</v>
      </c>
      <c r="H833" s="49" t="s">
        <v>980</v>
      </c>
      <c r="I833" s="50">
        <v>44640</v>
      </c>
      <c r="J833" s="50">
        <v>44930</v>
      </c>
      <c r="K833" s="50">
        <v>46755</v>
      </c>
    </row>
    <row r="834" spans="1:13" x14ac:dyDescent="0.35">
      <c r="A834" s="49" t="s">
        <v>5397</v>
      </c>
      <c r="C834" s="49" t="s">
        <v>5398</v>
      </c>
      <c r="D834" s="49" t="s">
        <v>1264</v>
      </c>
      <c r="E834" s="49" t="s">
        <v>2986</v>
      </c>
      <c r="F834" s="49" t="s">
        <v>2825</v>
      </c>
      <c r="G834" s="49" t="s">
        <v>2901</v>
      </c>
      <c r="H834" s="49" t="s">
        <v>2827</v>
      </c>
      <c r="I834" s="50">
        <v>44965</v>
      </c>
      <c r="J834" s="50">
        <v>45000</v>
      </c>
      <c r="K834" s="50">
        <v>46095</v>
      </c>
      <c r="M834" s="49" t="s">
        <v>5399</v>
      </c>
    </row>
    <row r="835" spans="1:13" x14ac:dyDescent="0.35">
      <c r="A835" s="49" t="s">
        <v>5400</v>
      </c>
      <c r="B835" s="49" t="s">
        <v>5401</v>
      </c>
      <c r="C835" s="49" t="s">
        <v>5240</v>
      </c>
      <c r="D835" s="49" t="s">
        <v>1264</v>
      </c>
      <c r="E835" s="49" t="s">
        <v>2785</v>
      </c>
      <c r="F835" s="49" t="s">
        <v>2792</v>
      </c>
      <c r="G835" s="49" t="s">
        <v>2787</v>
      </c>
      <c r="H835" s="49" t="s">
        <v>857</v>
      </c>
      <c r="I835" s="50">
        <v>44985</v>
      </c>
      <c r="J835" s="50">
        <v>44994</v>
      </c>
      <c r="K835" s="50">
        <v>45359</v>
      </c>
      <c r="M835" s="49" t="s">
        <v>5402</v>
      </c>
    </row>
    <row r="836" spans="1:13" x14ac:dyDescent="0.35">
      <c r="A836" s="49" t="s">
        <v>5403</v>
      </c>
      <c r="C836" s="49" t="s">
        <v>5404</v>
      </c>
      <c r="D836" s="49" t="s">
        <v>1264</v>
      </c>
      <c r="E836" s="49" t="s">
        <v>2814</v>
      </c>
      <c r="F836" s="49" t="s">
        <v>2939</v>
      </c>
      <c r="G836" s="49" t="s">
        <v>2787</v>
      </c>
      <c r="H836" s="49" t="s">
        <v>3229</v>
      </c>
      <c r="I836" s="50">
        <v>44915</v>
      </c>
      <c r="J836" s="50">
        <v>44944</v>
      </c>
      <c r="K836" s="50">
        <v>45124</v>
      </c>
      <c r="M836" s="49" t="s">
        <v>5405</v>
      </c>
    </row>
    <row r="837" spans="1:13" x14ac:dyDescent="0.35">
      <c r="A837" s="49" t="s">
        <v>5406</v>
      </c>
      <c r="B837" s="49" t="s">
        <v>5407</v>
      </c>
      <c r="C837" s="49" t="s">
        <v>5408</v>
      </c>
      <c r="D837" s="49" t="s">
        <v>1264</v>
      </c>
      <c r="E837" s="49" t="s">
        <v>2774</v>
      </c>
      <c r="F837" s="49" t="s">
        <v>2900</v>
      </c>
      <c r="G837" s="49" t="s">
        <v>4891</v>
      </c>
      <c r="H837" s="49" t="s">
        <v>835</v>
      </c>
      <c r="I837" s="50">
        <v>44739</v>
      </c>
      <c r="M837" s="49" t="s">
        <v>5409</v>
      </c>
    </row>
    <row r="838" spans="1:13" x14ac:dyDescent="0.35">
      <c r="A838" s="49" t="s">
        <v>5410</v>
      </c>
      <c r="C838" s="49" t="s">
        <v>5411</v>
      </c>
      <c r="D838" s="49" t="s">
        <v>1264</v>
      </c>
      <c r="E838" s="49" t="s">
        <v>2814</v>
      </c>
      <c r="F838" s="49" t="s">
        <v>3188</v>
      </c>
      <c r="G838" s="49" t="s">
        <v>2787</v>
      </c>
      <c r="H838" s="49" t="s">
        <v>973</v>
      </c>
      <c r="I838" s="50">
        <v>44952</v>
      </c>
      <c r="J838" s="50">
        <v>44960</v>
      </c>
      <c r="K838" s="50">
        <v>45140</v>
      </c>
      <c r="M838" s="49" t="s">
        <v>5412</v>
      </c>
    </row>
    <row r="839" spans="1:13" x14ac:dyDescent="0.35">
      <c r="A839" s="49" t="s">
        <v>5413</v>
      </c>
      <c r="B839" s="49" t="s">
        <v>5414</v>
      </c>
      <c r="C839" s="49" t="s">
        <v>5415</v>
      </c>
      <c r="D839" s="49" t="s">
        <v>1264</v>
      </c>
      <c r="E839" s="49" t="s">
        <v>2986</v>
      </c>
      <c r="F839" s="49" t="s">
        <v>2825</v>
      </c>
      <c r="G839" s="49" t="s">
        <v>2901</v>
      </c>
      <c r="H839" s="49" t="s">
        <v>2827</v>
      </c>
      <c r="I839" s="50">
        <v>44019</v>
      </c>
      <c r="J839" s="50">
        <v>45103</v>
      </c>
      <c r="K839" s="50">
        <v>46198</v>
      </c>
      <c r="M839" s="49" t="s">
        <v>5416</v>
      </c>
    </row>
    <row r="840" spans="1:13" x14ac:dyDescent="0.35">
      <c r="A840" s="49" t="s">
        <v>5417</v>
      </c>
      <c r="B840" s="49" t="s">
        <v>5418</v>
      </c>
      <c r="C840" s="49" t="s">
        <v>5419</v>
      </c>
      <c r="D840" s="49" t="s">
        <v>1264</v>
      </c>
      <c r="E840" s="49" t="s">
        <v>2785</v>
      </c>
      <c r="F840" s="49" t="s">
        <v>2792</v>
      </c>
      <c r="G840" s="49" t="s">
        <v>2787</v>
      </c>
      <c r="H840" s="49" t="s">
        <v>3207</v>
      </c>
      <c r="I840" s="50">
        <v>44764</v>
      </c>
      <c r="K840" s="50">
        <v>45510</v>
      </c>
      <c r="M840" s="49" t="s">
        <v>5420</v>
      </c>
    </row>
    <row r="841" spans="1:13" x14ac:dyDescent="0.35">
      <c r="A841" s="49" t="s">
        <v>5421</v>
      </c>
      <c r="C841" s="49" t="s">
        <v>5422</v>
      </c>
      <c r="D841" s="49" t="s">
        <v>1264</v>
      </c>
      <c r="E841" s="49" t="s">
        <v>2785</v>
      </c>
      <c r="F841" s="49" t="s">
        <v>5423</v>
      </c>
      <c r="G841" s="49" t="s">
        <v>4330</v>
      </c>
      <c r="H841" s="49" t="s">
        <v>2806</v>
      </c>
      <c r="I841" s="50">
        <v>45006</v>
      </c>
      <c r="M841" s="49" t="s">
        <v>5424</v>
      </c>
    </row>
    <row r="842" spans="1:13" x14ac:dyDescent="0.35">
      <c r="A842" s="49" t="s">
        <v>5425</v>
      </c>
      <c r="B842" s="49" t="s">
        <v>3717</v>
      </c>
      <c r="C842" s="49" t="s">
        <v>5426</v>
      </c>
      <c r="D842" s="49" t="s">
        <v>1264</v>
      </c>
      <c r="E842" s="49" t="s">
        <v>2785</v>
      </c>
      <c r="F842" s="49" t="s">
        <v>2805</v>
      </c>
      <c r="G842" s="49" t="s">
        <v>2787</v>
      </c>
      <c r="H842" s="49" t="s">
        <v>3717</v>
      </c>
      <c r="I842" s="50">
        <v>44984</v>
      </c>
      <c r="J842" s="50">
        <v>45019</v>
      </c>
      <c r="K842" s="50">
        <v>45384</v>
      </c>
      <c r="M842" s="49" t="s">
        <v>5427</v>
      </c>
    </row>
    <row r="843" spans="1:13" x14ac:dyDescent="0.35">
      <c r="A843" s="49" t="s">
        <v>5428</v>
      </c>
      <c r="B843" s="49" t="s">
        <v>2937</v>
      </c>
      <c r="C843" s="49" t="s">
        <v>5429</v>
      </c>
      <c r="D843" s="49" t="s">
        <v>1264</v>
      </c>
      <c r="E843" s="49" t="s">
        <v>2774</v>
      </c>
      <c r="F843" s="49" t="s">
        <v>2939</v>
      </c>
      <c r="G843" s="49" t="s">
        <v>2901</v>
      </c>
      <c r="H843" s="49" t="s">
        <v>980</v>
      </c>
      <c r="I843" s="50">
        <v>44904</v>
      </c>
      <c r="J843" s="50">
        <v>44974</v>
      </c>
      <c r="K843" s="50">
        <v>46434</v>
      </c>
      <c r="M843" s="49" t="s">
        <v>5430</v>
      </c>
    </row>
    <row r="844" spans="1:13" x14ac:dyDescent="0.35">
      <c r="A844" s="49" t="s">
        <v>5431</v>
      </c>
      <c r="B844" s="49" t="s">
        <v>5432</v>
      </c>
      <c r="C844" s="49" t="s">
        <v>5433</v>
      </c>
      <c r="D844" s="49" t="s">
        <v>1264</v>
      </c>
      <c r="E844" s="49" t="s">
        <v>2986</v>
      </c>
      <c r="F844" s="49" t="s">
        <v>2825</v>
      </c>
      <c r="G844" s="49" t="s">
        <v>2901</v>
      </c>
      <c r="H844" s="49" t="s">
        <v>2827</v>
      </c>
      <c r="I844" s="50">
        <v>45006</v>
      </c>
      <c r="J844" s="50">
        <v>45041</v>
      </c>
      <c r="K844" s="50">
        <v>46136</v>
      </c>
      <c r="M844" s="49" t="s">
        <v>5434</v>
      </c>
    </row>
    <row r="845" spans="1:13" x14ac:dyDescent="0.35">
      <c r="A845" s="49" t="s">
        <v>5435</v>
      </c>
      <c r="B845" s="49" t="s">
        <v>5436</v>
      </c>
      <c r="C845" s="49" t="s">
        <v>5437</v>
      </c>
      <c r="D845" s="49" t="s">
        <v>1264</v>
      </c>
      <c r="E845" s="49" t="s">
        <v>2986</v>
      </c>
      <c r="F845" s="49" t="s">
        <v>2825</v>
      </c>
      <c r="G845" s="49" t="s">
        <v>2901</v>
      </c>
      <c r="H845" s="49" t="s">
        <v>2827</v>
      </c>
      <c r="I845" s="50">
        <v>45006</v>
      </c>
      <c r="J845" s="50">
        <v>45041</v>
      </c>
      <c r="K845" s="50">
        <v>46136</v>
      </c>
      <c r="M845" s="49" t="s">
        <v>5438</v>
      </c>
    </row>
    <row r="846" spans="1:13" x14ac:dyDescent="0.35">
      <c r="A846" s="49" t="s">
        <v>5439</v>
      </c>
      <c r="C846" s="49" t="s">
        <v>4887</v>
      </c>
      <c r="D846" s="49" t="s">
        <v>1264</v>
      </c>
      <c r="E846" s="49" t="s">
        <v>2974</v>
      </c>
      <c r="F846" s="49" t="s">
        <v>2825</v>
      </c>
      <c r="G846" s="49" t="s">
        <v>2901</v>
      </c>
      <c r="H846" s="49" t="s">
        <v>2827</v>
      </c>
      <c r="I846" s="50">
        <v>44767</v>
      </c>
      <c r="J846" s="50">
        <v>44789</v>
      </c>
      <c r="K846" s="50">
        <v>46614</v>
      </c>
      <c r="M846" s="49" t="s">
        <v>5440</v>
      </c>
    </row>
    <row r="847" spans="1:13" x14ac:dyDescent="0.35">
      <c r="A847" s="49" t="s">
        <v>5441</v>
      </c>
      <c r="B847" s="49" t="s">
        <v>5442</v>
      </c>
      <c r="C847" s="49" t="s">
        <v>5443</v>
      </c>
      <c r="D847" s="49" t="s">
        <v>1264</v>
      </c>
      <c r="E847" s="49" t="s">
        <v>2774</v>
      </c>
      <c r="F847" s="49" t="s">
        <v>4842</v>
      </c>
      <c r="G847" s="49" t="s">
        <v>4330</v>
      </c>
      <c r="H847" s="49" t="s">
        <v>2827</v>
      </c>
      <c r="I847" s="50">
        <v>44970</v>
      </c>
      <c r="M847" s="49" t="s">
        <v>5444</v>
      </c>
    </row>
    <row r="848" spans="1:13" x14ac:dyDescent="0.35">
      <c r="A848" s="49" t="s">
        <v>5445</v>
      </c>
      <c r="B848" s="49" t="s">
        <v>5446</v>
      </c>
      <c r="C848" s="49" t="s">
        <v>5447</v>
      </c>
      <c r="D848" s="49" t="s">
        <v>1264</v>
      </c>
      <c r="E848" s="49" t="s">
        <v>2774</v>
      </c>
      <c r="F848" s="49" t="s">
        <v>2900</v>
      </c>
      <c r="G848" s="49" t="s">
        <v>2901</v>
      </c>
      <c r="H848" s="49" t="s">
        <v>2832</v>
      </c>
      <c r="I848" s="50">
        <v>44692</v>
      </c>
      <c r="J848" s="50">
        <v>44958</v>
      </c>
      <c r="K848" s="50">
        <v>46418</v>
      </c>
      <c r="M848" s="49" t="s">
        <v>5448</v>
      </c>
    </row>
    <row r="849" spans="1:13" x14ac:dyDescent="0.35">
      <c r="A849" s="49" t="s">
        <v>5449</v>
      </c>
      <c r="B849" s="49" t="s">
        <v>5450</v>
      </c>
      <c r="C849" s="49" t="s">
        <v>5451</v>
      </c>
      <c r="D849" s="49" t="s">
        <v>1264</v>
      </c>
      <c r="E849" s="49" t="s">
        <v>2986</v>
      </c>
      <c r="F849" s="49" t="s">
        <v>2825</v>
      </c>
      <c r="G849" s="49" t="s">
        <v>2921</v>
      </c>
      <c r="H849" s="49" t="s">
        <v>2827</v>
      </c>
      <c r="I849" s="50">
        <v>42907</v>
      </c>
      <c r="J849" s="50">
        <v>43179</v>
      </c>
      <c r="K849" s="50">
        <v>44274</v>
      </c>
      <c r="M849" s="49" t="s">
        <v>5452</v>
      </c>
    </row>
    <row r="850" spans="1:13" x14ac:dyDescent="0.35">
      <c r="A850" s="49" t="s">
        <v>5453</v>
      </c>
      <c r="B850" s="49" t="s">
        <v>5454</v>
      </c>
      <c r="C850" s="49" t="s">
        <v>5455</v>
      </c>
      <c r="D850" s="49" t="s">
        <v>1264</v>
      </c>
      <c r="E850" s="49" t="s">
        <v>2986</v>
      </c>
      <c r="F850" s="49" t="s">
        <v>2825</v>
      </c>
      <c r="G850" s="49" t="s">
        <v>4330</v>
      </c>
      <c r="H850" s="49" t="s">
        <v>2827</v>
      </c>
      <c r="I850" s="50">
        <v>45002</v>
      </c>
      <c r="M850" s="49" t="s">
        <v>5456</v>
      </c>
    </row>
    <row r="851" spans="1:13" x14ac:dyDescent="0.35">
      <c r="A851" s="49" t="s">
        <v>5457</v>
      </c>
      <c r="B851" s="49" t="s">
        <v>5458</v>
      </c>
      <c r="C851" s="49" t="s">
        <v>5459</v>
      </c>
      <c r="D851" s="49" t="s">
        <v>1264</v>
      </c>
      <c r="E851" s="49" t="s">
        <v>2986</v>
      </c>
      <c r="F851" s="49" t="s">
        <v>2825</v>
      </c>
      <c r="G851" s="49" t="s">
        <v>2901</v>
      </c>
      <c r="H851" s="49" t="s">
        <v>2827</v>
      </c>
      <c r="I851" s="50">
        <v>44999</v>
      </c>
      <c r="J851" s="50">
        <v>45070</v>
      </c>
      <c r="K851" s="50">
        <v>46165</v>
      </c>
      <c r="M851" s="49" t="s">
        <v>5460</v>
      </c>
    </row>
    <row r="852" spans="1:13" x14ac:dyDescent="0.35">
      <c r="A852" s="49" t="s">
        <v>5461</v>
      </c>
      <c r="B852" s="49" t="s">
        <v>5462</v>
      </c>
      <c r="C852" s="49" t="s">
        <v>5463</v>
      </c>
      <c r="D852" s="49" t="s">
        <v>1264</v>
      </c>
      <c r="E852" s="49" t="s">
        <v>2774</v>
      </c>
      <c r="F852" s="49" t="s">
        <v>2825</v>
      </c>
      <c r="G852" s="49" t="s">
        <v>2901</v>
      </c>
      <c r="H852" s="49" t="s">
        <v>2827</v>
      </c>
      <c r="I852" s="50">
        <v>44648</v>
      </c>
      <c r="J852" s="50">
        <v>44977</v>
      </c>
      <c r="K852" s="50">
        <v>46437</v>
      </c>
      <c r="M852" s="49" t="s">
        <v>5464</v>
      </c>
    </row>
    <row r="853" spans="1:13" x14ac:dyDescent="0.35">
      <c r="A853" s="49" t="s">
        <v>5465</v>
      </c>
      <c r="B853" s="49" t="s">
        <v>5466</v>
      </c>
      <c r="C853" s="49" t="s">
        <v>5467</v>
      </c>
      <c r="D853" s="49" t="s">
        <v>1264</v>
      </c>
      <c r="E853" s="49" t="s">
        <v>2774</v>
      </c>
      <c r="F853" s="49" t="s">
        <v>2825</v>
      </c>
      <c r="G853" s="49" t="s">
        <v>4330</v>
      </c>
      <c r="H853" s="49" t="s">
        <v>2827</v>
      </c>
      <c r="I853" s="50">
        <v>44789</v>
      </c>
      <c r="M853" s="49" t="s">
        <v>5468</v>
      </c>
    </row>
    <row r="854" spans="1:13" x14ac:dyDescent="0.35">
      <c r="A854" s="49" t="s">
        <v>5469</v>
      </c>
      <c r="B854" s="49" t="s">
        <v>5470</v>
      </c>
      <c r="C854" s="49" t="s">
        <v>4805</v>
      </c>
      <c r="D854" s="49" t="s">
        <v>1264</v>
      </c>
      <c r="E854" s="49" t="s">
        <v>2774</v>
      </c>
      <c r="F854" s="49" t="s">
        <v>2825</v>
      </c>
      <c r="G854" s="49" t="s">
        <v>4330</v>
      </c>
      <c r="H854" s="49" t="s">
        <v>2827</v>
      </c>
      <c r="I854" s="50">
        <v>44662</v>
      </c>
      <c r="M854" s="49" t="s">
        <v>5471</v>
      </c>
    </row>
    <row r="855" spans="1:13" x14ac:dyDescent="0.35">
      <c r="A855" s="49" t="s">
        <v>5472</v>
      </c>
      <c r="B855" s="49" t="s">
        <v>4809</v>
      </c>
      <c r="C855" s="49" t="s">
        <v>5473</v>
      </c>
      <c r="D855" s="49" t="s">
        <v>1264</v>
      </c>
      <c r="E855" s="49" t="s">
        <v>2986</v>
      </c>
      <c r="F855" s="49" t="s">
        <v>2825</v>
      </c>
      <c r="G855" s="49" t="s">
        <v>2901</v>
      </c>
      <c r="H855" s="49" t="s">
        <v>2827</v>
      </c>
      <c r="I855" s="50">
        <v>45013</v>
      </c>
      <c r="J855" s="50">
        <v>45030</v>
      </c>
      <c r="K855" s="50">
        <v>46125</v>
      </c>
      <c r="M855" s="49" t="s">
        <v>5474</v>
      </c>
    </row>
    <row r="856" spans="1:13" x14ac:dyDescent="0.35">
      <c r="A856" s="49" t="s">
        <v>5475</v>
      </c>
      <c r="B856" s="49" t="s">
        <v>5476</v>
      </c>
      <c r="C856" s="49" t="s">
        <v>5477</v>
      </c>
      <c r="D856" s="49" t="s">
        <v>1264</v>
      </c>
      <c r="E856" s="49" t="s">
        <v>2986</v>
      </c>
      <c r="F856" s="49" t="s">
        <v>2825</v>
      </c>
      <c r="G856" s="49" t="s">
        <v>2901</v>
      </c>
      <c r="H856" s="49" t="s">
        <v>2827</v>
      </c>
      <c r="I856" s="50">
        <v>44867</v>
      </c>
      <c r="J856" s="50">
        <v>45357</v>
      </c>
      <c r="K856" s="50">
        <v>46451</v>
      </c>
      <c r="M856" s="49" t="s">
        <v>3270</v>
      </c>
    </row>
    <row r="857" spans="1:13" x14ac:dyDescent="0.35">
      <c r="A857" s="49" t="s">
        <v>5478</v>
      </c>
      <c r="C857" s="49" t="s">
        <v>5014</v>
      </c>
      <c r="D857" s="49" t="s">
        <v>1264</v>
      </c>
      <c r="E857" s="49" t="s">
        <v>2814</v>
      </c>
      <c r="F857" s="49" t="s">
        <v>5479</v>
      </c>
      <c r="G857" s="49" t="s">
        <v>2787</v>
      </c>
      <c r="H857" s="49" t="s">
        <v>2832</v>
      </c>
      <c r="I857" s="50">
        <v>45022</v>
      </c>
      <c r="J857" s="50">
        <v>45022</v>
      </c>
      <c r="K857" s="50">
        <v>45204</v>
      </c>
      <c r="M857" s="49" t="s">
        <v>5480</v>
      </c>
    </row>
    <row r="858" spans="1:13" x14ac:dyDescent="0.35">
      <c r="A858" s="49" t="s">
        <v>5481</v>
      </c>
      <c r="C858" s="49" t="s">
        <v>5482</v>
      </c>
      <c r="D858" s="49" t="s">
        <v>1264</v>
      </c>
      <c r="E858" s="49" t="s">
        <v>2814</v>
      </c>
      <c r="F858" s="49" t="s">
        <v>2825</v>
      </c>
      <c r="G858" s="49" t="s">
        <v>2787</v>
      </c>
      <c r="H858" s="49" t="s">
        <v>2827</v>
      </c>
      <c r="I858" s="50">
        <v>45014</v>
      </c>
      <c r="J858" s="50">
        <v>45022</v>
      </c>
      <c r="K858" s="50">
        <v>45204</v>
      </c>
      <c r="M858" s="49" t="s">
        <v>5483</v>
      </c>
    </row>
    <row r="859" spans="1:13" x14ac:dyDescent="0.35">
      <c r="A859" s="49" t="s">
        <v>5484</v>
      </c>
      <c r="D859" s="49" t="s">
        <v>1264</v>
      </c>
      <c r="E859" s="49" t="s">
        <v>2785</v>
      </c>
      <c r="F859" s="49" t="s">
        <v>2786</v>
      </c>
      <c r="G859" s="49" t="s">
        <v>2787</v>
      </c>
      <c r="H859" s="49" t="s">
        <v>8</v>
      </c>
      <c r="I859" s="50">
        <v>44830</v>
      </c>
      <c r="J859" s="50">
        <v>44879</v>
      </c>
      <c r="K859" s="50">
        <v>45428</v>
      </c>
      <c r="M859" s="49" t="s">
        <v>5485</v>
      </c>
    </row>
    <row r="860" spans="1:13" x14ac:dyDescent="0.35">
      <c r="A860" s="49" t="s">
        <v>5486</v>
      </c>
      <c r="B860" s="49" t="s">
        <v>3730</v>
      </c>
      <c r="C860" s="49" t="s">
        <v>3731</v>
      </c>
      <c r="D860" s="49" t="s">
        <v>1264</v>
      </c>
      <c r="E860" s="49" t="s">
        <v>2908</v>
      </c>
      <c r="F860" s="49" t="s">
        <v>3253</v>
      </c>
      <c r="G860" s="49" t="s">
        <v>4330</v>
      </c>
      <c r="H860" s="49" t="s">
        <v>973</v>
      </c>
      <c r="I860" s="50">
        <v>44445</v>
      </c>
      <c r="M860" s="49" t="s">
        <v>5487</v>
      </c>
    </row>
    <row r="861" spans="1:13" x14ac:dyDescent="0.35">
      <c r="A861" s="49" t="s">
        <v>5488</v>
      </c>
      <c r="C861" s="49" t="s">
        <v>5489</v>
      </c>
      <c r="D861" s="49" t="s">
        <v>1264</v>
      </c>
      <c r="E861" s="49" t="s">
        <v>2814</v>
      </c>
      <c r="F861" s="49" t="s">
        <v>2837</v>
      </c>
      <c r="G861" s="49" t="s">
        <v>2787</v>
      </c>
      <c r="H861" s="49" t="s">
        <v>980</v>
      </c>
      <c r="I861" s="50">
        <v>45028</v>
      </c>
      <c r="J861" s="50">
        <v>45058</v>
      </c>
      <c r="K861" s="50">
        <v>45241</v>
      </c>
      <c r="M861" s="49" t="s">
        <v>5490</v>
      </c>
    </row>
    <row r="862" spans="1:13" x14ac:dyDescent="0.35">
      <c r="A862" s="49" t="s">
        <v>5491</v>
      </c>
      <c r="B862" s="49" t="s">
        <v>5492</v>
      </c>
      <c r="C862" s="49" t="s">
        <v>5493</v>
      </c>
      <c r="D862" s="49" t="s">
        <v>1264</v>
      </c>
      <c r="E862" s="49" t="s">
        <v>2774</v>
      </c>
      <c r="F862" s="49" t="s">
        <v>2825</v>
      </c>
      <c r="G862" s="49" t="s">
        <v>2901</v>
      </c>
      <c r="H862" s="49" t="s">
        <v>2827</v>
      </c>
      <c r="I862" s="50">
        <v>44831</v>
      </c>
      <c r="J862" s="50">
        <v>44959</v>
      </c>
      <c r="K862" s="50">
        <v>46419</v>
      </c>
      <c r="M862" s="49" t="s">
        <v>3766</v>
      </c>
    </row>
    <row r="863" spans="1:13" x14ac:dyDescent="0.35">
      <c r="A863" s="49" t="s">
        <v>5494</v>
      </c>
      <c r="B863" s="49" t="s">
        <v>5495</v>
      </c>
      <c r="C863" s="49" t="s">
        <v>5496</v>
      </c>
      <c r="D863" s="49" t="s">
        <v>1264</v>
      </c>
      <c r="E863" s="49" t="s">
        <v>2774</v>
      </c>
      <c r="F863" s="49" t="s">
        <v>2825</v>
      </c>
      <c r="G863" s="49" t="s">
        <v>2901</v>
      </c>
      <c r="H863" s="49" t="s">
        <v>2827</v>
      </c>
      <c r="I863" s="50">
        <v>44887</v>
      </c>
      <c r="J863" s="50">
        <v>45195</v>
      </c>
      <c r="K863" s="50">
        <v>46655</v>
      </c>
      <c r="M863" s="49" t="s">
        <v>5497</v>
      </c>
    </row>
    <row r="864" spans="1:13" x14ac:dyDescent="0.35">
      <c r="A864" s="49" t="s">
        <v>5498</v>
      </c>
      <c r="C864" s="49" t="s">
        <v>4820</v>
      </c>
      <c r="D864" s="49" t="s">
        <v>1264</v>
      </c>
      <c r="E864" s="49" t="s">
        <v>2986</v>
      </c>
      <c r="F864" s="49" t="s">
        <v>2825</v>
      </c>
      <c r="G864" s="49" t="s">
        <v>2901</v>
      </c>
      <c r="H864" s="49" t="s">
        <v>2827</v>
      </c>
      <c r="I864" s="50">
        <v>45029</v>
      </c>
      <c r="J864" s="50">
        <v>45055</v>
      </c>
      <c r="K864" s="50">
        <v>46150</v>
      </c>
      <c r="M864" s="49" t="s">
        <v>5499</v>
      </c>
    </row>
    <row r="865" spans="1:13" x14ac:dyDescent="0.35">
      <c r="A865" s="49" t="s">
        <v>5500</v>
      </c>
      <c r="B865" s="49" t="s">
        <v>4231</v>
      </c>
      <c r="C865" s="49" t="s">
        <v>4161</v>
      </c>
      <c r="D865" s="49" t="s">
        <v>1264</v>
      </c>
      <c r="E865" s="49" t="s">
        <v>2785</v>
      </c>
      <c r="F865" s="49" t="s">
        <v>2786</v>
      </c>
      <c r="G865" s="49" t="s">
        <v>2787</v>
      </c>
      <c r="H865" s="49" t="s">
        <v>2827</v>
      </c>
      <c r="I865" s="50">
        <v>44229</v>
      </c>
      <c r="K865" s="50">
        <v>45510</v>
      </c>
      <c r="M865" s="49" t="s">
        <v>5501</v>
      </c>
    </row>
    <row r="866" spans="1:13" x14ac:dyDescent="0.35">
      <c r="A866" s="49" t="s">
        <v>5502</v>
      </c>
      <c r="B866" s="49" t="s">
        <v>5503</v>
      </c>
      <c r="C866" s="49" t="s">
        <v>5504</v>
      </c>
      <c r="D866" s="49" t="s">
        <v>1264</v>
      </c>
      <c r="E866" s="49" t="s">
        <v>2785</v>
      </c>
      <c r="F866" s="49" t="s">
        <v>2786</v>
      </c>
      <c r="G866" s="49" t="s">
        <v>2820</v>
      </c>
      <c r="H866" s="49" t="s">
        <v>8</v>
      </c>
      <c r="I866" s="50">
        <v>45007</v>
      </c>
      <c r="J866" s="50">
        <v>45402</v>
      </c>
      <c r="K866" s="50">
        <v>45766</v>
      </c>
      <c r="M866" s="49" t="s">
        <v>5505</v>
      </c>
    </row>
    <row r="867" spans="1:13" x14ac:dyDescent="0.35">
      <c r="A867" s="49" t="s">
        <v>5506</v>
      </c>
      <c r="B867" s="49" t="s">
        <v>2867</v>
      </c>
      <c r="D867" s="49" t="s">
        <v>1264</v>
      </c>
      <c r="E867" s="49" t="s">
        <v>2785</v>
      </c>
      <c r="F867" s="49" t="s">
        <v>2792</v>
      </c>
      <c r="G867" s="49" t="s">
        <v>2787</v>
      </c>
      <c r="H867" s="49" t="s">
        <v>8</v>
      </c>
      <c r="I867" s="50">
        <v>44929</v>
      </c>
      <c r="J867" s="50">
        <v>44994</v>
      </c>
      <c r="K867" s="50">
        <v>45359</v>
      </c>
      <c r="M867" s="49" t="s">
        <v>5507</v>
      </c>
    </row>
    <row r="868" spans="1:13" x14ac:dyDescent="0.35">
      <c r="A868" s="49" t="s">
        <v>5508</v>
      </c>
      <c r="B868" s="49" t="s">
        <v>5509</v>
      </c>
      <c r="C868" s="49" t="s">
        <v>5510</v>
      </c>
      <c r="D868" s="49" t="s">
        <v>1264</v>
      </c>
      <c r="E868" s="49" t="s">
        <v>2774</v>
      </c>
      <c r="F868" s="49" t="s">
        <v>4842</v>
      </c>
      <c r="G868" s="49" t="s">
        <v>2901</v>
      </c>
      <c r="H868" s="49" t="s">
        <v>2827</v>
      </c>
      <c r="I868" s="50">
        <v>45005</v>
      </c>
      <c r="J868" s="50">
        <v>45070</v>
      </c>
      <c r="K868" s="50">
        <v>46530</v>
      </c>
      <c r="M868" s="49" t="s">
        <v>5511</v>
      </c>
    </row>
    <row r="869" spans="1:13" x14ac:dyDescent="0.35">
      <c r="A869" s="49" t="s">
        <v>5512</v>
      </c>
      <c r="B869" s="49" t="s">
        <v>5513</v>
      </c>
      <c r="C869" s="49" t="s">
        <v>5514</v>
      </c>
      <c r="D869" s="49" t="s">
        <v>1264</v>
      </c>
      <c r="E869" s="49" t="s">
        <v>2873</v>
      </c>
      <c r="F869" s="49" t="s">
        <v>2792</v>
      </c>
      <c r="G869" s="49" t="s">
        <v>2787</v>
      </c>
      <c r="H869" s="49" t="s">
        <v>864</v>
      </c>
      <c r="I869" s="50">
        <v>45031</v>
      </c>
      <c r="J869" s="50">
        <v>45044</v>
      </c>
      <c r="K869" s="50">
        <v>45409</v>
      </c>
      <c r="M869" s="49" t="s">
        <v>5515</v>
      </c>
    </row>
    <row r="870" spans="1:13" x14ac:dyDescent="0.35">
      <c r="A870" s="49" t="s">
        <v>5516</v>
      </c>
      <c r="B870" s="49" t="s">
        <v>3636</v>
      </c>
      <c r="C870" s="49" t="s">
        <v>4040</v>
      </c>
      <c r="D870" s="49" t="s">
        <v>1264</v>
      </c>
      <c r="E870" s="49" t="s">
        <v>2974</v>
      </c>
      <c r="F870" s="49" t="s">
        <v>2825</v>
      </c>
      <c r="G870" s="49" t="s">
        <v>2901</v>
      </c>
      <c r="H870" s="49" t="s">
        <v>973</v>
      </c>
      <c r="I870" s="50">
        <v>44795</v>
      </c>
      <c r="J870" s="50">
        <v>45028</v>
      </c>
      <c r="K870" s="50">
        <v>46854</v>
      </c>
      <c r="M870" s="49" t="s">
        <v>3910</v>
      </c>
    </row>
    <row r="871" spans="1:13" x14ac:dyDescent="0.35">
      <c r="A871" s="49" t="s">
        <v>5517</v>
      </c>
      <c r="C871" s="49" t="s">
        <v>5518</v>
      </c>
      <c r="D871" s="49" t="s">
        <v>1264</v>
      </c>
      <c r="E871" s="49" t="s">
        <v>2986</v>
      </c>
      <c r="F871" s="49" t="s">
        <v>2825</v>
      </c>
      <c r="G871" s="49" t="s">
        <v>2901</v>
      </c>
      <c r="H871" s="49" t="s">
        <v>2827</v>
      </c>
      <c r="I871" s="50">
        <v>44986</v>
      </c>
      <c r="J871" s="50">
        <v>45103</v>
      </c>
      <c r="K871" s="50">
        <v>46198</v>
      </c>
      <c r="M871" s="49" t="s">
        <v>5519</v>
      </c>
    </row>
    <row r="872" spans="1:13" x14ac:dyDescent="0.35">
      <c r="A872" s="49" t="s">
        <v>5520</v>
      </c>
      <c r="B872" s="49" t="s">
        <v>4809</v>
      </c>
      <c r="C872" s="49" t="s">
        <v>5521</v>
      </c>
      <c r="D872" s="49" t="s">
        <v>1264</v>
      </c>
      <c r="E872" s="49" t="s">
        <v>2986</v>
      </c>
      <c r="F872" s="49" t="s">
        <v>2825</v>
      </c>
      <c r="G872" s="49" t="s">
        <v>4330</v>
      </c>
      <c r="H872" s="49" t="s">
        <v>2827</v>
      </c>
      <c r="I872" s="50">
        <v>45029</v>
      </c>
      <c r="M872" s="49" t="s">
        <v>5522</v>
      </c>
    </row>
    <row r="873" spans="1:13" x14ac:dyDescent="0.35">
      <c r="A873" s="49" t="s">
        <v>5523</v>
      </c>
      <c r="B873" s="49" t="s">
        <v>4877</v>
      </c>
      <c r="C873" s="49" t="s">
        <v>5521</v>
      </c>
      <c r="D873" s="49" t="s">
        <v>1264</v>
      </c>
      <c r="E873" s="49" t="s">
        <v>2986</v>
      </c>
      <c r="F873" s="49" t="s">
        <v>2825</v>
      </c>
      <c r="G873" s="49" t="s">
        <v>2901</v>
      </c>
      <c r="H873" s="49" t="s">
        <v>2827</v>
      </c>
      <c r="I873" s="50">
        <v>45029</v>
      </c>
      <c r="J873" s="50">
        <v>45090</v>
      </c>
      <c r="K873" s="50">
        <v>46185</v>
      </c>
      <c r="M873" s="49" t="s">
        <v>5524</v>
      </c>
    </row>
    <row r="874" spans="1:13" x14ac:dyDescent="0.35">
      <c r="A874" s="49" t="s">
        <v>5525</v>
      </c>
      <c r="B874" s="49" t="s">
        <v>4817</v>
      </c>
      <c r="C874" s="49" t="s">
        <v>5521</v>
      </c>
      <c r="D874" s="49" t="s">
        <v>1264</v>
      </c>
      <c r="E874" s="49" t="s">
        <v>2986</v>
      </c>
      <c r="F874" s="49" t="s">
        <v>2825</v>
      </c>
      <c r="G874" s="49" t="s">
        <v>4330</v>
      </c>
      <c r="H874" s="49" t="s">
        <v>2827</v>
      </c>
      <c r="I874" s="50">
        <v>45029</v>
      </c>
      <c r="M874" s="49" t="s">
        <v>5526</v>
      </c>
    </row>
    <row r="875" spans="1:13" x14ac:dyDescent="0.35">
      <c r="A875" s="49" t="s">
        <v>5527</v>
      </c>
      <c r="B875" s="49" t="s">
        <v>5528</v>
      </c>
      <c r="C875" s="49" t="s">
        <v>4480</v>
      </c>
      <c r="D875" s="49" t="s">
        <v>1264</v>
      </c>
      <c r="E875" s="49" t="s">
        <v>2785</v>
      </c>
      <c r="F875" s="49" t="s">
        <v>2792</v>
      </c>
      <c r="G875" s="49" t="s">
        <v>4330</v>
      </c>
      <c r="H875" s="49" t="s">
        <v>4225</v>
      </c>
      <c r="I875" s="50">
        <v>45016</v>
      </c>
      <c r="M875" s="49" t="s">
        <v>5529</v>
      </c>
    </row>
    <row r="876" spans="1:13" x14ac:dyDescent="0.35">
      <c r="A876" s="49" t="s">
        <v>5530</v>
      </c>
      <c r="C876" s="49" t="s">
        <v>5531</v>
      </c>
      <c r="D876" s="49" t="s">
        <v>1264</v>
      </c>
      <c r="E876" s="49" t="s">
        <v>2986</v>
      </c>
      <c r="F876" s="49" t="s">
        <v>2825</v>
      </c>
      <c r="G876" s="49" t="s">
        <v>2901</v>
      </c>
      <c r="H876" s="49" t="s">
        <v>2827</v>
      </c>
      <c r="I876" s="50">
        <v>44960</v>
      </c>
      <c r="J876" s="50">
        <v>45041</v>
      </c>
      <c r="K876" s="50">
        <v>46136</v>
      </c>
      <c r="M876" s="49" t="s">
        <v>5532</v>
      </c>
    </row>
    <row r="877" spans="1:13" x14ac:dyDescent="0.35">
      <c r="A877" s="49" t="s">
        <v>5533</v>
      </c>
      <c r="B877" s="49" t="s">
        <v>5458</v>
      </c>
      <c r="C877" s="49" t="s">
        <v>5085</v>
      </c>
      <c r="D877" s="49" t="s">
        <v>1264</v>
      </c>
      <c r="E877" s="49" t="s">
        <v>2986</v>
      </c>
      <c r="F877" s="49" t="s">
        <v>2825</v>
      </c>
      <c r="G877" s="49" t="s">
        <v>2901</v>
      </c>
      <c r="H877" s="49" t="s">
        <v>2827</v>
      </c>
      <c r="I877" s="50">
        <v>45049</v>
      </c>
      <c r="J877" s="50">
        <v>45097</v>
      </c>
      <c r="K877" s="50">
        <v>46192</v>
      </c>
      <c r="M877" s="49" t="s">
        <v>5534</v>
      </c>
    </row>
    <row r="878" spans="1:13" x14ac:dyDescent="0.35">
      <c r="A878" s="49" t="s">
        <v>5535</v>
      </c>
      <c r="B878" s="49" t="s">
        <v>5536</v>
      </c>
      <c r="C878" s="49" t="s">
        <v>5537</v>
      </c>
      <c r="D878" s="49" t="s">
        <v>1264</v>
      </c>
      <c r="E878" s="49" t="s">
        <v>2785</v>
      </c>
      <c r="F878" s="49" t="s">
        <v>2792</v>
      </c>
      <c r="G878" s="49" t="s">
        <v>4330</v>
      </c>
      <c r="H878" s="49" t="s">
        <v>3207</v>
      </c>
      <c r="I878" s="50">
        <v>45007</v>
      </c>
      <c r="M878" s="49" t="s">
        <v>5538</v>
      </c>
    </row>
    <row r="879" spans="1:13" x14ac:dyDescent="0.35">
      <c r="A879" s="49" t="s">
        <v>5539</v>
      </c>
      <c r="B879" s="49" t="s">
        <v>5540</v>
      </c>
      <c r="C879" s="49" t="s">
        <v>5541</v>
      </c>
      <c r="D879" s="49" t="s">
        <v>1264</v>
      </c>
      <c r="E879" s="49" t="s">
        <v>2814</v>
      </c>
      <c r="F879" s="49" t="s">
        <v>2805</v>
      </c>
      <c r="G879" s="49" t="s">
        <v>2787</v>
      </c>
      <c r="H879" s="49" t="s">
        <v>2832</v>
      </c>
      <c r="I879" s="50">
        <v>45049</v>
      </c>
      <c r="J879" s="50">
        <v>45054</v>
      </c>
      <c r="K879" s="50">
        <v>45237</v>
      </c>
      <c r="M879" s="49" t="s">
        <v>5542</v>
      </c>
    </row>
    <row r="880" spans="1:13" x14ac:dyDescent="0.35">
      <c r="A880" s="49" t="s">
        <v>5543</v>
      </c>
      <c r="C880" s="49" t="s">
        <v>5544</v>
      </c>
      <c r="D880" s="49" t="s">
        <v>1264</v>
      </c>
      <c r="E880" s="49" t="s">
        <v>2974</v>
      </c>
      <c r="F880" s="49" t="s">
        <v>3188</v>
      </c>
      <c r="G880" s="49" t="s">
        <v>4330</v>
      </c>
      <c r="H880" s="49" t="s">
        <v>973</v>
      </c>
      <c r="I880" s="50">
        <v>45062</v>
      </c>
      <c r="M880" s="49" t="s">
        <v>5545</v>
      </c>
    </row>
    <row r="881" spans="1:13" x14ac:dyDescent="0.35">
      <c r="A881" s="49" t="s">
        <v>5546</v>
      </c>
      <c r="C881" s="49" t="s">
        <v>2973</v>
      </c>
      <c r="D881" s="49" t="s">
        <v>1264</v>
      </c>
      <c r="E881" s="49" t="s">
        <v>2974</v>
      </c>
      <c r="F881" s="49" t="s">
        <v>2825</v>
      </c>
      <c r="G881" s="49" t="s">
        <v>2901</v>
      </c>
      <c r="H881" s="49" t="s">
        <v>2827</v>
      </c>
      <c r="I881" s="50">
        <v>45043</v>
      </c>
      <c r="J881" s="50">
        <v>45431</v>
      </c>
      <c r="K881" s="50">
        <v>47256</v>
      </c>
      <c r="M881" s="49" t="s">
        <v>5547</v>
      </c>
    </row>
    <row r="882" spans="1:13" x14ac:dyDescent="0.35">
      <c r="A882" s="49" t="s">
        <v>5548</v>
      </c>
      <c r="B882" s="49" t="s">
        <v>5549</v>
      </c>
      <c r="C882" s="49" t="s">
        <v>5550</v>
      </c>
      <c r="D882" s="49" t="s">
        <v>1264</v>
      </c>
      <c r="E882" s="49" t="s">
        <v>2785</v>
      </c>
      <c r="F882" s="49" t="s">
        <v>2805</v>
      </c>
      <c r="G882" s="49" t="s">
        <v>2787</v>
      </c>
      <c r="H882" s="49" t="s">
        <v>3717</v>
      </c>
      <c r="I882" s="50">
        <v>45044</v>
      </c>
      <c r="J882" s="50">
        <v>45065</v>
      </c>
      <c r="K882" s="50">
        <v>45430</v>
      </c>
      <c r="M882" s="49" t="s">
        <v>5551</v>
      </c>
    </row>
    <row r="883" spans="1:13" x14ac:dyDescent="0.35">
      <c r="A883" s="49" t="s">
        <v>5552</v>
      </c>
      <c r="C883" s="49" t="s">
        <v>4835</v>
      </c>
      <c r="D883" s="49" t="s">
        <v>1264</v>
      </c>
      <c r="E883" s="49" t="s">
        <v>2986</v>
      </c>
      <c r="F883" s="49" t="s">
        <v>2825</v>
      </c>
      <c r="G883" s="49" t="s">
        <v>4330</v>
      </c>
      <c r="H883" s="49" t="s">
        <v>2827</v>
      </c>
      <c r="I883" s="50">
        <v>45063</v>
      </c>
      <c r="M883" s="49" t="s">
        <v>5553</v>
      </c>
    </row>
    <row r="884" spans="1:13" x14ac:dyDescent="0.35">
      <c r="A884" s="49" t="s">
        <v>5554</v>
      </c>
      <c r="B884" s="49" t="s">
        <v>5555</v>
      </c>
      <c r="C884" s="49" t="s">
        <v>5556</v>
      </c>
      <c r="D884" s="49" t="s">
        <v>1264</v>
      </c>
      <c r="E884" s="49" t="s">
        <v>2986</v>
      </c>
      <c r="F884" s="49" t="s">
        <v>2825</v>
      </c>
      <c r="G884" s="49" t="s">
        <v>2901</v>
      </c>
      <c r="H884" s="49" t="s">
        <v>2827</v>
      </c>
      <c r="I884" s="50">
        <v>45062</v>
      </c>
      <c r="J884" s="50">
        <v>45436</v>
      </c>
      <c r="K884" s="50">
        <v>46530</v>
      </c>
      <c r="M884" s="49" t="s">
        <v>3270</v>
      </c>
    </row>
    <row r="885" spans="1:13" x14ac:dyDescent="0.35">
      <c r="A885" s="49" t="s">
        <v>5557</v>
      </c>
      <c r="C885" s="49" t="s">
        <v>2933</v>
      </c>
      <c r="D885" s="49" t="s">
        <v>1264</v>
      </c>
      <c r="E885" s="49" t="s">
        <v>2814</v>
      </c>
      <c r="F885" s="49" t="s">
        <v>2837</v>
      </c>
      <c r="G885" s="49" t="s">
        <v>2787</v>
      </c>
      <c r="H885" s="49" t="s">
        <v>973</v>
      </c>
      <c r="I885" s="50">
        <v>45062</v>
      </c>
      <c r="J885" s="50">
        <v>45063</v>
      </c>
      <c r="K885" s="50">
        <v>45246</v>
      </c>
      <c r="M885" s="49" t="s">
        <v>5558</v>
      </c>
    </row>
    <row r="886" spans="1:13" x14ac:dyDescent="0.35">
      <c r="A886" s="49" t="s">
        <v>5559</v>
      </c>
      <c r="B886" s="49" t="s">
        <v>5560</v>
      </c>
      <c r="C886" s="49" t="s">
        <v>5561</v>
      </c>
      <c r="D886" s="49" t="s">
        <v>1264</v>
      </c>
      <c r="E886" s="49" t="s">
        <v>2774</v>
      </c>
      <c r="F886" s="49" t="s">
        <v>4774</v>
      </c>
      <c r="G886" s="49" t="s">
        <v>2901</v>
      </c>
      <c r="H886" s="49" t="s">
        <v>980</v>
      </c>
      <c r="I886" s="50">
        <v>44421</v>
      </c>
      <c r="J886" s="50">
        <v>44433</v>
      </c>
      <c r="K886" s="50">
        <v>45893</v>
      </c>
      <c r="M886" s="49" t="s">
        <v>5562</v>
      </c>
    </row>
    <row r="887" spans="1:13" x14ac:dyDescent="0.35">
      <c r="A887" s="49" t="s">
        <v>5563</v>
      </c>
      <c r="C887" s="49" t="s">
        <v>5564</v>
      </c>
      <c r="D887" s="49" t="s">
        <v>1264</v>
      </c>
      <c r="E887" s="49" t="s">
        <v>2986</v>
      </c>
      <c r="F887" s="49" t="s">
        <v>2825</v>
      </c>
      <c r="G887" s="49" t="s">
        <v>4330</v>
      </c>
      <c r="H887" s="49" t="s">
        <v>2827</v>
      </c>
      <c r="I887" s="50">
        <v>45035</v>
      </c>
      <c r="M887" s="49" t="s">
        <v>5565</v>
      </c>
    </row>
    <row r="888" spans="1:13" x14ac:dyDescent="0.35">
      <c r="A888" s="49" t="s">
        <v>5566</v>
      </c>
      <c r="B888" s="49" t="s">
        <v>5567</v>
      </c>
      <c r="C888" s="49" t="s">
        <v>5568</v>
      </c>
      <c r="D888" s="49" t="s">
        <v>1264</v>
      </c>
      <c r="E888" s="49" t="s">
        <v>2986</v>
      </c>
      <c r="F888" s="49" t="s">
        <v>2825</v>
      </c>
      <c r="G888" s="49" t="s">
        <v>4330</v>
      </c>
      <c r="H888" s="49" t="s">
        <v>973</v>
      </c>
      <c r="I888" s="50">
        <v>45072</v>
      </c>
      <c r="M888" s="49" t="s">
        <v>5569</v>
      </c>
    </row>
    <row r="889" spans="1:13" x14ac:dyDescent="0.35">
      <c r="A889" s="49" t="s">
        <v>5570</v>
      </c>
      <c r="B889" s="49" t="s">
        <v>5571</v>
      </c>
      <c r="C889" s="49" t="s">
        <v>5572</v>
      </c>
      <c r="D889" s="49" t="s">
        <v>1264</v>
      </c>
      <c r="E889" s="49" t="s">
        <v>2986</v>
      </c>
      <c r="F889" s="49" t="s">
        <v>2825</v>
      </c>
      <c r="G889" s="49" t="s">
        <v>2901</v>
      </c>
      <c r="H889" s="49" t="s">
        <v>973</v>
      </c>
      <c r="I889" s="50">
        <v>45071</v>
      </c>
      <c r="J889" s="50">
        <v>45117</v>
      </c>
      <c r="K889" s="50">
        <v>46212</v>
      </c>
      <c r="M889" s="49" t="s">
        <v>5573</v>
      </c>
    </row>
    <row r="890" spans="1:13" x14ac:dyDescent="0.35">
      <c r="A890" s="49" t="s">
        <v>5574</v>
      </c>
      <c r="C890" s="49" t="s">
        <v>5575</v>
      </c>
      <c r="D890" s="49" t="s">
        <v>1264</v>
      </c>
      <c r="E890" s="49" t="s">
        <v>2814</v>
      </c>
      <c r="F890" s="49" t="s">
        <v>2825</v>
      </c>
      <c r="G890" s="49" t="s">
        <v>2787</v>
      </c>
      <c r="H890" s="49" t="s">
        <v>2827</v>
      </c>
      <c r="I890" s="50">
        <v>45029</v>
      </c>
      <c r="J890" s="50">
        <v>45048</v>
      </c>
      <c r="K890" s="50">
        <v>45231</v>
      </c>
      <c r="M890" s="49" t="s">
        <v>5576</v>
      </c>
    </row>
    <row r="891" spans="1:13" x14ac:dyDescent="0.35">
      <c r="A891" s="49" t="s">
        <v>5577</v>
      </c>
      <c r="C891" s="49" t="s">
        <v>4286</v>
      </c>
      <c r="D891" s="49" t="s">
        <v>1264</v>
      </c>
      <c r="E891" s="49" t="s">
        <v>2785</v>
      </c>
      <c r="F891" s="49" t="s">
        <v>2792</v>
      </c>
      <c r="G891" s="49" t="s">
        <v>4330</v>
      </c>
      <c r="H891" s="49" t="s">
        <v>980</v>
      </c>
      <c r="I891" s="50">
        <v>45069</v>
      </c>
      <c r="M891" s="49" t="s">
        <v>5578</v>
      </c>
    </row>
    <row r="892" spans="1:13" x14ac:dyDescent="0.35">
      <c r="A892" s="49" t="s">
        <v>5579</v>
      </c>
      <c r="B892" s="49" t="s">
        <v>2818</v>
      </c>
      <c r="C892" s="49" t="s">
        <v>4376</v>
      </c>
      <c r="D892" s="49" t="s">
        <v>1264</v>
      </c>
      <c r="E892" s="49" t="s">
        <v>2785</v>
      </c>
      <c r="F892" s="49" t="s">
        <v>2792</v>
      </c>
      <c r="G892" s="49" t="s">
        <v>4330</v>
      </c>
      <c r="H892" s="49" t="s">
        <v>8</v>
      </c>
      <c r="I892" s="50">
        <v>45043</v>
      </c>
      <c r="M892" s="49" t="s">
        <v>5580</v>
      </c>
    </row>
    <row r="893" spans="1:13" x14ac:dyDescent="0.35">
      <c r="A893" s="49" t="s">
        <v>5581</v>
      </c>
      <c r="B893" s="49" t="s">
        <v>3586</v>
      </c>
      <c r="C893" s="49" t="s">
        <v>3882</v>
      </c>
      <c r="D893" s="49" t="s">
        <v>1264</v>
      </c>
      <c r="E893" s="49" t="s">
        <v>2785</v>
      </c>
      <c r="F893" s="49" t="s">
        <v>2786</v>
      </c>
      <c r="G893" s="49" t="s">
        <v>2787</v>
      </c>
      <c r="H893" s="49" t="s">
        <v>980</v>
      </c>
      <c r="I893" s="50">
        <v>44916</v>
      </c>
      <c r="J893" s="50">
        <v>45090</v>
      </c>
      <c r="K893" s="50">
        <v>45455</v>
      </c>
      <c r="M893" s="49" t="s">
        <v>5582</v>
      </c>
    </row>
    <row r="894" spans="1:13" x14ac:dyDescent="0.35">
      <c r="A894" s="49" t="s">
        <v>5583</v>
      </c>
      <c r="C894" s="49" t="s">
        <v>5584</v>
      </c>
      <c r="D894" s="49" t="s">
        <v>1264</v>
      </c>
      <c r="E894" s="49" t="s">
        <v>2814</v>
      </c>
      <c r="F894" s="49" t="s">
        <v>3188</v>
      </c>
      <c r="G894" s="49" t="s">
        <v>2787</v>
      </c>
      <c r="H894" s="49" t="s">
        <v>973</v>
      </c>
      <c r="I894" s="50">
        <v>45083</v>
      </c>
      <c r="J894" s="50">
        <v>45230</v>
      </c>
      <c r="K894" s="50">
        <v>45411</v>
      </c>
      <c r="M894" s="49" t="s">
        <v>5585</v>
      </c>
    </row>
    <row r="895" spans="1:13" x14ac:dyDescent="0.35">
      <c r="A895" s="49" t="s">
        <v>5586</v>
      </c>
      <c r="B895" s="49" t="s">
        <v>5587</v>
      </c>
      <c r="C895" s="49" t="s">
        <v>5588</v>
      </c>
      <c r="D895" s="49" t="s">
        <v>1264</v>
      </c>
      <c r="E895" s="49" t="s">
        <v>2986</v>
      </c>
      <c r="F895" s="49" t="s">
        <v>2825</v>
      </c>
      <c r="G895" s="49" t="s">
        <v>4330</v>
      </c>
      <c r="H895" s="49" t="s">
        <v>2827</v>
      </c>
      <c r="I895" s="50">
        <v>45071</v>
      </c>
      <c r="M895" s="49" t="s">
        <v>5589</v>
      </c>
    </row>
    <row r="896" spans="1:13" x14ac:dyDescent="0.35">
      <c r="A896" s="49" t="s">
        <v>5590</v>
      </c>
      <c r="C896" s="49" t="s">
        <v>5591</v>
      </c>
      <c r="D896" s="49" t="s">
        <v>1264</v>
      </c>
      <c r="E896" s="49" t="s">
        <v>2986</v>
      </c>
      <c r="F896" s="49" t="s">
        <v>2825</v>
      </c>
      <c r="G896" s="49" t="s">
        <v>2901</v>
      </c>
      <c r="H896" s="49" t="s">
        <v>2827</v>
      </c>
      <c r="I896" s="50">
        <v>45083</v>
      </c>
      <c r="J896" s="50">
        <v>45090</v>
      </c>
      <c r="K896" s="50">
        <v>46185</v>
      </c>
      <c r="M896" s="49" t="s">
        <v>5592</v>
      </c>
    </row>
    <row r="897" spans="1:13" x14ac:dyDescent="0.35">
      <c r="A897" s="49" t="s">
        <v>5593</v>
      </c>
      <c r="B897" s="49" t="s">
        <v>5594</v>
      </c>
      <c r="C897" s="49" t="s">
        <v>5595</v>
      </c>
      <c r="D897" s="49" t="s">
        <v>1264</v>
      </c>
      <c r="E897" s="49" t="s">
        <v>2774</v>
      </c>
      <c r="F897" s="49" t="s">
        <v>2825</v>
      </c>
      <c r="G897" s="49" t="s">
        <v>2901</v>
      </c>
      <c r="H897" s="49" t="s">
        <v>973</v>
      </c>
      <c r="I897" s="50">
        <v>44998</v>
      </c>
      <c r="J897" s="50">
        <v>45195</v>
      </c>
      <c r="K897" s="50">
        <v>46655</v>
      </c>
      <c r="M897" s="49" t="s">
        <v>5596</v>
      </c>
    </row>
    <row r="898" spans="1:13" x14ac:dyDescent="0.35">
      <c r="A898" s="49" t="s">
        <v>5597</v>
      </c>
      <c r="B898" s="49" t="s">
        <v>5598</v>
      </c>
      <c r="C898" s="49" t="s">
        <v>4376</v>
      </c>
      <c r="D898" s="49" t="s">
        <v>1264</v>
      </c>
      <c r="E898" s="49" t="s">
        <v>2785</v>
      </c>
      <c r="F898" s="49" t="s">
        <v>2792</v>
      </c>
      <c r="G898" s="49" t="s">
        <v>4330</v>
      </c>
      <c r="H898" s="49" t="s">
        <v>8</v>
      </c>
      <c r="I898" s="50">
        <v>44929</v>
      </c>
      <c r="M898" s="49" t="s">
        <v>5599</v>
      </c>
    </row>
    <row r="899" spans="1:13" x14ac:dyDescent="0.35">
      <c r="A899" s="49" t="s">
        <v>5600</v>
      </c>
      <c r="C899" s="49" t="s">
        <v>5601</v>
      </c>
      <c r="D899" s="49" t="s">
        <v>1264</v>
      </c>
      <c r="E899" s="49" t="s">
        <v>2986</v>
      </c>
      <c r="F899" s="49" t="s">
        <v>2825</v>
      </c>
      <c r="G899" s="49" t="s">
        <v>4330</v>
      </c>
      <c r="H899" s="49" t="s">
        <v>2827</v>
      </c>
      <c r="I899" s="50">
        <v>45083</v>
      </c>
      <c r="M899" s="49" t="s">
        <v>5602</v>
      </c>
    </row>
    <row r="900" spans="1:13" x14ac:dyDescent="0.35">
      <c r="A900" s="49" t="s">
        <v>5603</v>
      </c>
      <c r="C900" s="49" t="s">
        <v>5482</v>
      </c>
      <c r="D900" s="49" t="s">
        <v>1264</v>
      </c>
      <c r="E900" s="49" t="s">
        <v>2986</v>
      </c>
      <c r="F900" s="49" t="s">
        <v>2825</v>
      </c>
      <c r="G900" s="49" t="s">
        <v>2901</v>
      </c>
      <c r="H900" s="49" t="s">
        <v>2827</v>
      </c>
      <c r="I900" s="50">
        <v>45062</v>
      </c>
      <c r="J900" s="50">
        <v>45070</v>
      </c>
      <c r="K900" s="50">
        <v>46165</v>
      </c>
      <c r="M900" s="49" t="s">
        <v>5604</v>
      </c>
    </row>
    <row r="901" spans="1:13" x14ac:dyDescent="0.35">
      <c r="A901" s="49" t="s">
        <v>5605</v>
      </c>
      <c r="B901" s="49" t="s">
        <v>5606</v>
      </c>
      <c r="C901" s="49" t="s">
        <v>5607</v>
      </c>
      <c r="D901" s="49" t="s">
        <v>1264</v>
      </c>
      <c r="E901" s="49" t="s">
        <v>2774</v>
      </c>
      <c r="F901" s="49" t="s">
        <v>4842</v>
      </c>
      <c r="G901" s="49" t="s">
        <v>2901</v>
      </c>
      <c r="H901" s="49" t="s">
        <v>2827</v>
      </c>
      <c r="I901" s="50">
        <v>45033</v>
      </c>
      <c r="J901" s="50">
        <v>45070</v>
      </c>
      <c r="K901" s="50">
        <v>46530</v>
      </c>
      <c r="M901" s="49" t="s">
        <v>5608</v>
      </c>
    </row>
    <row r="902" spans="1:13" x14ac:dyDescent="0.35">
      <c r="A902" s="49" t="s">
        <v>5609</v>
      </c>
      <c r="B902" s="49" t="s">
        <v>5610</v>
      </c>
      <c r="C902" s="49" t="s">
        <v>5611</v>
      </c>
      <c r="D902" s="49" t="s">
        <v>1264</v>
      </c>
      <c r="E902" s="49" t="s">
        <v>2974</v>
      </c>
      <c r="F902" s="49" t="s">
        <v>2900</v>
      </c>
      <c r="G902" s="49" t="s">
        <v>2901</v>
      </c>
      <c r="H902" s="49" t="s">
        <v>2832</v>
      </c>
      <c r="I902" s="50">
        <v>44392</v>
      </c>
      <c r="J902" s="50">
        <v>44594</v>
      </c>
      <c r="K902" s="50">
        <v>46419</v>
      </c>
      <c r="M902" s="49" t="s">
        <v>5612</v>
      </c>
    </row>
    <row r="903" spans="1:13" ht="29" x14ac:dyDescent="0.35">
      <c r="A903" s="49" t="s">
        <v>5613</v>
      </c>
      <c r="B903" s="51" t="s">
        <v>5614</v>
      </c>
      <c r="C903" s="49" t="s">
        <v>4935</v>
      </c>
      <c r="D903" s="49" t="s">
        <v>1264</v>
      </c>
      <c r="E903" s="49" t="s">
        <v>2785</v>
      </c>
      <c r="F903" s="49" t="s">
        <v>2792</v>
      </c>
      <c r="G903" s="49" t="s">
        <v>2787</v>
      </c>
      <c r="H903" s="49" t="s">
        <v>3207</v>
      </c>
      <c r="I903" s="50">
        <v>44720</v>
      </c>
      <c r="K903" s="50">
        <v>45511</v>
      </c>
      <c r="M903" s="49" t="s">
        <v>5615</v>
      </c>
    </row>
    <row r="904" spans="1:13" x14ac:dyDescent="0.35">
      <c r="A904" s="49" t="s">
        <v>5616</v>
      </c>
      <c r="B904" s="49" t="s">
        <v>5617</v>
      </c>
      <c r="C904" s="49" t="s">
        <v>3963</v>
      </c>
      <c r="D904" s="49" t="s">
        <v>1264</v>
      </c>
      <c r="E904" s="49" t="s">
        <v>2785</v>
      </c>
      <c r="F904" s="49" t="s">
        <v>2792</v>
      </c>
      <c r="G904" s="49" t="s">
        <v>4330</v>
      </c>
      <c r="H904" s="49" t="s">
        <v>8</v>
      </c>
      <c r="I904" s="50">
        <v>45054</v>
      </c>
      <c r="M904" s="49" t="s">
        <v>5618</v>
      </c>
    </row>
    <row r="905" spans="1:13" x14ac:dyDescent="0.35">
      <c r="A905" s="49" t="s">
        <v>5619</v>
      </c>
      <c r="B905" s="49" t="s">
        <v>5620</v>
      </c>
      <c r="C905" s="49" t="s">
        <v>5621</v>
      </c>
      <c r="D905" s="49" t="s">
        <v>1264</v>
      </c>
      <c r="E905" s="49" t="s">
        <v>2785</v>
      </c>
      <c r="F905" s="49" t="s">
        <v>2792</v>
      </c>
      <c r="G905" s="49" t="s">
        <v>2787</v>
      </c>
      <c r="H905" s="49" t="s">
        <v>835</v>
      </c>
      <c r="I905" s="50">
        <v>44978</v>
      </c>
      <c r="J905" s="50">
        <v>45093</v>
      </c>
      <c r="K905" s="50">
        <v>45458</v>
      </c>
      <c r="M905" s="49" t="s">
        <v>5622</v>
      </c>
    </row>
    <row r="906" spans="1:13" x14ac:dyDescent="0.35">
      <c r="A906" s="49" t="s">
        <v>5623</v>
      </c>
      <c r="C906" s="49" t="s">
        <v>5624</v>
      </c>
      <c r="D906" s="49" t="s">
        <v>1264</v>
      </c>
      <c r="E906" s="49" t="s">
        <v>2986</v>
      </c>
      <c r="F906" s="49" t="s">
        <v>2825</v>
      </c>
      <c r="G906" s="49" t="s">
        <v>4330</v>
      </c>
      <c r="H906" s="49" t="s">
        <v>2827</v>
      </c>
      <c r="I906" s="50">
        <v>45042</v>
      </c>
      <c r="M906" s="49" t="s">
        <v>5625</v>
      </c>
    </row>
    <row r="907" spans="1:13" x14ac:dyDescent="0.35">
      <c r="A907" s="49" t="s">
        <v>5626</v>
      </c>
      <c r="C907" s="49" t="s">
        <v>4638</v>
      </c>
      <c r="D907" s="49" t="s">
        <v>1264</v>
      </c>
      <c r="E907" s="49" t="s">
        <v>2908</v>
      </c>
      <c r="F907" s="49" t="s">
        <v>2837</v>
      </c>
      <c r="G907" s="49" t="s">
        <v>2901</v>
      </c>
      <c r="H907" s="49" t="s">
        <v>980</v>
      </c>
      <c r="I907" s="50">
        <v>45055</v>
      </c>
      <c r="J907" s="50">
        <v>45065</v>
      </c>
      <c r="K907" s="50">
        <v>46891</v>
      </c>
      <c r="M907" s="49" t="s">
        <v>5627</v>
      </c>
    </row>
    <row r="908" spans="1:13" x14ac:dyDescent="0.35">
      <c r="A908" s="49" t="s">
        <v>5628</v>
      </c>
      <c r="C908" s="49" t="s">
        <v>5146</v>
      </c>
      <c r="D908" s="49" t="s">
        <v>1264</v>
      </c>
      <c r="E908" s="49" t="s">
        <v>2986</v>
      </c>
      <c r="F908" s="49" t="s">
        <v>2825</v>
      </c>
      <c r="G908" s="49" t="s">
        <v>4330</v>
      </c>
      <c r="H908" s="49" t="s">
        <v>2827</v>
      </c>
      <c r="I908" s="50">
        <v>44977</v>
      </c>
      <c r="M908" s="49" t="s">
        <v>5629</v>
      </c>
    </row>
    <row r="909" spans="1:13" x14ac:dyDescent="0.35">
      <c r="A909" s="49" t="s">
        <v>5630</v>
      </c>
      <c r="C909" s="49" t="s">
        <v>4835</v>
      </c>
      <c r="D909" s="49" t="s">
        <v>1264</v>
      </c>
      <c r="E909" s="49" t="s">
        <v>2986</v>
      </c>
      <c r="F909" s="49" t="s">
        <v>2825</v>
      </c>
      <c r="G909" s="49" t="s">
        <v>2776</v>
      </c>
      <c r="H909" s="49" t="s">
        <v>2827</v>
      </c>
      <c r="I909" s="50">
        <v>45063</v>
      </c>
      <c r="M909" s="49" t="s">
        <v>5631</v>
      </c>
    </row>
    <row r="910" spans="1:13" x14ac:dyDescent="0.35">
      <c r="A910" s="49" t="s">
        <v>5632</v>
      </c>
      <c r="B910" s="49" t="s">
        <v>5633</v>
      </c>
      <c r="C910" s="49" t="s">
        <v>5634</v>
      </c>
      <c r="D910" s="49" t="s">
        <v>1264</v>
      </c>
      <c r="E910" s="49" t="s">
        <v>2774</v>
      </c>
      <c r="F910" s="49" t="s">
        <v>2825</v>
      </c>
      <c r="G910" s="49" t="s">
        <v>2901</v>
      </c>
      <c r="H910" s="49" t="s">
        <v>2827</v>
      </c>
      <c r="I910" s="50">
        <v>45083</v>
      </c>
      <c r="J910" s="50">
        <v>45112</v>
      </c>
      <c r="K910" s="50">
        <v>46572</v>
      </c>
      <c r="M910" s="49" t="s">
        <v>5635</v>
      </c>
    </row>
    <row r="911" spans="1:13" x14ac:dyDescent="0.35">
      <c r="A911" s="49" t="s">
        <v>5636</v>
      </c>
      <c r="B911" s="49" t="s">
        <v>4572</v>
      </c>
      <c r="C911" s="49" t="s">
        <v>5637</v>
      </c>
      <c r="D911" s="49" t="s">
        <v>1264</v>
      </c>
      <c r="E911" s="49" t="s">
        <v>2785</v>
      </c>
      <c r="F911" s="49" t="s">
        <v>2786</v>
      </c>
      <c r="G911" s="49" t="s">
        <v>4330</v>
      </c>
      <c r="H911" s="49" t="s">
        <v>980</v>
      </c>
      <c r="I911" s="50">
        <v>45055</v>
      </c>
      <c r="M911" s="49" t="s">
        <v>5638</v>
      </c>
    </row>
    <row r="912" spans="1:13" x14ac:dyDescent="0.35">
      <c r="A912" s="49" t="s">
        <v>5639</v>
      </c>
      <c r="B912" s="49" t="s">
        <v>5640</v>
      </c>
      <c r="C912" s="49" t="s">
        <v>5641</v>
      </c>
      <c r="D912" s="49" t="s">
        <v>1264</v>
      </c>
      <c r="E912" s="49" t="s">
        <v>2814</v>
      </c>
      <c r="F912" s="49" t="s">
        <v>2837</v>
      </c>
      <c r="G912" s="49" t="s">
        <v>2787</v>
      </c>
      <c r="H912" s="49" t="s">
        <v>980</v>
      </c>
      <c r="I912" s="50">
        <v>45077</v>
      </c>
      <c r="J912" s="50">
        <v>45100</v>
      </c>
      <c r="K912" s="50">
        <v>45282</v>
      </c>
      <c r="M912" s="49" t="s">
        <v>5642</v>
      </c>
    </row>
    <row r="913" spans="1:13" x14ac:dyDescent="0.35">
      <c r="A913" s="49" t="s">
        <v>5643</v>
      </c>
      <c r="B913" s="49" t="s">
        <v>5644</v>
      </c>
      <c r="C913" s="49" t="s">
        <v>5641</v>
      </c>
      <c r="D913" s="49" t="s">
        <v>1264</v>
      </c>
      <c r="E913" s="49" t="s">
        <v>2814</v>
      </c>
      <c r="F913" s="49" t="s">
        <v>2837</v>
      </c>
      <c r="G913" s="49" t="s">
        <v>2787</v>
      </c>
      <c r="H913" s="49" t="s">
        <v>980</v>
      </c>
      <c r="I913" s="50">
        <v>45084</v>
      </c>
      <c r="J913" s="50">
        <v>45100</v>
      </c>
      <c r="K913" s="50">
        <v>45282</v>
      </c>
      <c r="M913" s="49" t="s">
        <v>5645</v>
      </c>
    </row>
    <row r="914" spans="1:13" x14ac:dyDescent="0.35">
      <c r="A914" s="49" t="s">
        <v>5646</v>
      </c>
      <c r="B914" s="49" t="s">
        <v>5355</v>
      </c>
      <c r="C914" s="49" t="s">
        <v>4080</v>
      </c>
      <c r="D914" s="49" t="s">
        <v>1264</v>
      </c>
      <c r="E914" s="49" t="s">
        <v>2785</v>
      </c>
      <c r="F914" s="49" t="s">
        <v>2792</v>
      </c>
      <c r="G914" s="49" t="s">
        <v>2787</v>
      </c>
      <c r="H914" s="49" t="s">
        <v>8</v>
      </c>
      <c r="I914" s="50">
        <v>45044</v>
      </c>
      <c r="J914" s="50">
        <v>45089</v>
      </c>
      <c r="K914" s="50">
        <v>45454</v>
      </c>
      <c r="M914" s="49" t="s">
        <v>5647</v>
      </c>
    </row>
    <row r="915" spans="1:13" x14ac:dyDescent="0.35">
      <c r="A915" s="49" t="s">
        <v>5648</v>
      </c>
      <c r="B915" s="49" t="s">
        <v>5649</v>
      </c>
      <c r="C915" s="49" t="s">
        <v>5650</v>
      </c>
      <c r="D915" s="49" t="s">
        <v>1264</v>
      </c>
      <c r="E915" s="49" t="s">
        <v>2785</v>
      </c>
      <c r="F915" s="49" t="s">
        <v>2792</v>
      </c>
      <c r="G915" s="49" t="s">
        <v>2787</v>
      </c>
      <c r="H915" s="49" t="s">
        <v>980</v>
      </c>
      <c r="I915" s="50">
        <v>45049</v>
      </c>
      <c r="J915" s="50">
        <v>45092</v>
      </c>
      <c r="K915" s="50">
        <v>45457</v>
      </c>
      <c r="M915" s="49" t="s">
        <v>5651</v>
      </c>
    </row>
    <row r="916" spans="1:13" x14ac:dyDescent="0.35">
      <c r="A916" s="49" t="s">
        <v>5652</v>
      </c>
      <c r="B916" s="49" t="s">
        <v>5640</v>
      </c>
      <c r="C916" s="49" t="s">
        <v>5653</v>
      </c>
      <c r="D916" s="49" t="s">
        <v>1264</v>
      </c>
      <c r="E916" s="49" t="s">
        <v>2785</v>
      </c>
      <c r="F916" s="49" t="s">
        <v>2792</v>
      </c>
      <c r="G916" s="49" t="s">
        <v>2787</v>
      </c>
      <c r="H916" s="49" t="s">
        <v>980</v>
      </c>
      <c r="I916" s="50">
        <v>45070</v>
      </c>
      <c r="J916" s="50">
        <v>45099</v>
      </c>
      <c r="K916" s="50">
        <v>45464</v>
      </c>
      <c r="M916" s="49" t="s">
        <v>5654</v>
      </c>
    </row>
    <row r="917" spans="1:13" x14ac:dyDescent="0.35">
      <c r="A917" s="49" t="s">
        <v>5655</v>
      </c>
      <c r="B917" s="49" t="s">
        <v>5656</v>
      </c>
      <c r="C917" s="49" t="s">
        <v>5657</v>
      </c>
      <c r="D917" s="49" t="s">
        <v>1264</v>
      </c>
      <c r="E917" s="49" t="s">
        <v>2774</v>
      </c>
      <c r="F917" s="49" t="s">
        <v>2825</v>
      </c>
      <c r="G917" s="49" t="s">
        <v>2901</v>
      </c>
      <c r="H917" s="49" t="s">
        <v>2827</v>
      </c>
      <c r="I917" s="50">
        <v>44691</v>
      </c>
      <c r="J917" s="50">
        <v>45113</v>
      </c>
      <c r="K917" s="50">
        <v>46573</v>
      </c>
      <c r="M917" s="49" t="s">
        <v>5658</v>
      </c>
    </row>
    <row r="918" spans="1:13" x14ac:dyDescent="0.35">
      <c r="A918" s="49" t="s">
        <v>5659</v>
      </c>
      <c r="C918" s="49" t="s">
        <v>520</v>
      </c>
      <c r="D918" s="49" t="s">
        <v>1264</v>
      </c>
      <c r="E918" s="49" t="s">
        <v>2986</v>
      </c>
      <c r="F918" s="49" t="s">
        <v>2825</v>
      </c>
      <c r="G918" s="49" t="s">
        <v>4330</v>
      </c>
      <c r="H918" s="49" t="s">
        <v>2827</v>
      </c>
      <c r="I918" s="50">
        <v>45097</v>
      </c>
      <c r="M918" s="49" t="s">
        <v>5660</v>
      </c>
    </row>
    <row r="919" spans="1:13" x14ac:dyDescent="0.35">
      <c r="A919" s="49" t="s">
        <v>5661</v>
      </c>
      <c r="C919" s="49" t="s">
        <v>3206</v>
      </c>
      <c r="D919" s="49" t="s">
        <v>1264</v>
      </c>
      <c r="E919" s="49" t="s">
        <v>2774</v>
      </c>
      <c r="F919" s="49" t="s">
        <v>3005</v>
      </c>
      <c r="G919" s="49" t="s">
        <v>2901</v>
      </c>
      <c r="H919" s="49" t="s">
        <v>3207</v>
      </c>
      <c r="I919" s="50">
        <v>44831</v>
      </c>
      <c r="J919" s="50">
        <v>45112</v>
      </c>
      <c r="K919" s="50">
        <v>46572</v>
      </c>
      <c r="M919" s="49" t="s">
        <v>5662</v>
      </c>
    </row>
    <row r="920" spans="1:13" x14ac:dyDescent="0.35">
      <c r="A920" s="49" t="s">
        <v>5663</v>
      </c>
      <c r="B920" s="49" t="s">
        <v>3962</v>
      </c>
      <c r="C920" s="49" t="s">
        <v>5664</v>
      </c>
      <c r="D920" s="49" t="s">
        <v>1264</v>
      </c>
      <c r="E920" s="49" t="s">
        <v>2785</v>
      </c>
      <c r="F920" s="49" t="s">
        <v>2792</v>
      </c>
      <c r="G920" s="49" t="s">
        <v>2787</v>
      </c>
      <c r="H920" s="49" t="s">
        <v>980</v>
      </c>
      <c r="I920" s="50">
        <v>45055</v>
      </c>
      <c r="J920" s="50">
        <v>45117</v>
      </c>
      <c r="K920" s="50">
        <v>45505</v>
      </c>
      <c r="M920" s="49" t="s">
        <v>5665</v>
      </c>
    </row>
    <row r="921" spans="1:13" x14ac:dyDescent="0.35">
      <c r="A921" s="49" t="s">
        <v>5666</v>
      </c>
      <c r="C921" s="49" t="s">
        <v>3693</v>
      </c>
      <c r="D921" s="49" t="s">
        <v>1264</v>
      </c>
      <c r="E921" s="49" t="s">
        <v>2908</v>
      </c>
      <c r="F921" s="49" t="s">
        <v>2837</v>
      </c>
      <c r="G921" s="49" t="s">
        <v>2901</v>
      </c>
      <c r="H921" s="49" t="s">
        <v>980</v>
      </c>
      <c r="I921" s="50">
        <v>45085</v>
      </c>
      <c r="J921" s="50">
        <v>45184</v>
      </c>
      <c r="K921" s="50">
        <v>47010</v>
      </c>
      <c r="M921" s="49" t="s">
        <v>5667</v>
      </c>
    </row>
    <row r="922" spans="1:13" x14ac:dyDescent="0.35">
      <c r="A922" s="49" t="s">
        <v>5668</v>
      </c>
      <c r="C922" s="49" t="s">
        <v>4103</v>
      </c>
      <c r="D922" s="49" t="s">
        <v>1264</v>
      </c>
      <c r="E922" s="49" t="s">
        <v>2986</v>
      </c>
      <c r="F922" s="49" t="s">
        <v>2825</v>
      </c>
      <c r="G922" s="49" t="s">
        <v>4891</v>
      </c>
      <c r="H922" s="49" t="s">
        <v>2827</v>
      </c>
      <c r="I922" s="50">
        <v>44616</v>
      </c>
      <c r="M922" s="49" t="s">
        <v>5669</v>
      </c>
    </row>
    <row r="923" spans="1:13" x14ac:dyDescent="0.35">
      <c r="A923" s="49" t="s">
        <v>5670</v>
      </c>
      <c r="B923" s="49" t="s">
        <v>3420</v>
      </c>
      <c r="C923" s="49" t="s">
        <v>5671</v>
      </c>
      <c r="D923" s="49" t="s">
        <v>1264</v>
      </c>
      <c r="E923" s="49" t="s">
        <v>3413</v>
      </c>
      <c r="F923" s="49" t="s">
        <v>5672</v>
      </c>
      <c r="G923" s="49" t="s">
        <v>2901</v>
      </c>
      <c r="H923" s="49" t="s">
        <v>980</v>
      </c>
      <c r="I923" s="50">
        <v>44640</v>
      </c>
      <c r="J923" s="50">
        <v>44712</v>
      </c>
      <c r="K923" s="50">
        <v>52016</v>
      </c>
      <c r="M923" s="49" t="s">
        <v>5673</v>
      </c>
    </row>
    <row r="924" spans="1:13" x14ac:dyDescent="0.35">
      <c r="A924" s="49" t="s">
        <v>5674</v>
      </c>
      <c r="C924" s="49" t="s">
        <v>5675</v>
      </c>
      <c r="D924" s="49" t="s">
        <v>1264</v>
      </c>
      <c r="E924" s="49" t="s">
        <v>2814</v>
      </c>
      <c r="F924" s="49" t="s">
        <v>2837</v>
      </c>
      <c r="G924" s="49" t="s">
        <v>2776</v>
      </c>
      <c r="H924" s="49" t="s">
        <v>980</v>
      </c>
      <c r="I924" s="50">
        <v>45133</v>
      </c>
      <c r="M924" s="49" t="s">
        <v>5676</v>
      </c>
    </row>
    <row r="925" spans="1:13" x14ac:dyDescent="0.35">
      <c r="A925" s="49" t="s">
        <v>5677</v>
      </c>
      <c r="B925" s="49" t="s">
        <v>5678</v>
      </c>
      <c r="C925" s="49" t="s">
        <v>5422</v>
      </c>
      <c r="D925" s="49" t="s">
        <v>1264</v>
      </c>
      <c r="E925" s="49" t="s">
        <v>2785</v>
      </c>
      <c r="F925" s="49" t="s">
        <v>2786</v>
      </c>
      <c r="G925" s="49" t="s">
        <v>4330</v>
      </c>
      <c r="H925" s="49" t="s">
        <v>973</v>
      </c>
      <c r="I925" s="50">
        <v>45085</v>
      </c>
      <c r="M925" s="49" t="s">
        <v>5679</v>
      </c>
    </row>
    <row r="926" spans="1:13" x14ac:dyDescent="0.35">
      <c r="A926" s="49" t="s">
        <v>5680</v>
      </c>
      <c r="B926" s="49" t="s">
        <v>5681</v>
      </c>
      <c r="C926" s="49" t="s">
        <v>5682</v>
      </c>
      <c r="D926" s="49" t="s">
        <v>1264</v>
      </c>
      <c r="E926" s="49" t="s">
        <v>2814</v>
      </c>
      <c r="F926" s="49" t="s">
        <v>3124</v>
      </c>
      <c r="G926" s="49" t="s">
        <v>2787</v>
      </c>
      <c r="H926" s="49" t="s">
        <v>980</v>
      </c>
      <c r="I926" s="50">
        <v>45120</v>
      </c>
      <c r="J926" s="50">
        <v>45142</v>
      </c>
      <c r="K926" s="50">
        <v>45325</v>
      </c>
      <c r="M926" s="49" t="s">
        <v>5683</v>
      </c>
    </row>
    <row r="927" spans="1:13" x14ac:dyDescent="0.35">
      <c r="A927" s="49" t="s">
        <v>5684</v>
      </c>
      <c r="C927" s="49" t="s">
        <v>5685</v>
      </c>
      <c r="D927" s="49" t="s">
        <v>1264</v>
      </c>
      <c r="E927" s="49" t="s">
        <v>3443</v>
      </c>
      <c r="F927" s="49" t="s">
        <v>3124</v>
      </c>
      <c r="G927" s="49" t="s">
        <v>2901</v>
      </c>
      <c r="H927" s="49" t="s">
        <v>980</v>
      </c>
      <c r="I927" s="50">
        <v>45061</v>
      </c>
      <c r="J927" s="50">
        <v>45090</v>
      </c>
      <c r="K927" s="50">
        <v>46916</v>
      </c>
    </row>
    <row r="928" spans="1:13" x14ac:dyDescent="0.35">
      <c r="A928" s="49" t="s">
        <v>5686</v>
      </c>
      <c r="C928" s="49" t="s">
        <v>5687</v>
      </c>
      <c r="D928" s="49" t="s">
        <v>1264</v>
      </c>
      <c r="E928" s="49" t="s">
        <v>3443</v>
      </c>
      <c r="F928" s="49" t="s">
        <v>3124</v>
      </c>
      <c r="G928" s="49" t="s">
        <v>2901</v>
      </c>
      <c r="H928" s="49" t="s">
        <v>980</v>
      </c>
      <c r="I928" s="50">
        <v>45063</v>
      </c>
      <c r="J928" s="50">
        <v>45090</v>
      </c>
      <c r="K928" s="50">
        <v>46916</v>
      </c>
    </row>
    <row r="929" spans="1:13" x14ac:dyDescent="0.35">
      <c r="A929" s="49" t="s">
        <v>5688</v>
      </c>
      <c r="C929" s="49" t="s">
        <v>5689</v>
      </c>
      <c r="D929" s="49" t="s">
        <v>1264</v>
      </c>
      <c r="E929" s="49" t="s">
        <v>3443</v>
      </c>
      <c r="F929" s="49" t="s">
        <v>3124</v>
      </c>
      <c r="G929" s="49" t="s">
        <v>2901</v>
      </c>
      <c r="H929" s="49" t="s">
        <v>980</v>
      </c>
      <c r="I929" s="50">
        <v>45102</v>
      </c>
      <c r="J929" s="50">
        <v>45117</v>
      </c>
      <c r="K929" s="50">
        <v>46943</v>
      </c>
    </row>
    <row r="930" spans="1:13" x14ac:dyDescent="0.35">
      <c r="A930" s="49" t="s">
        <v>5690</v>
      </c>
      <c r="B930" s="49" t="s">
        <v>5691</v>
      </c>
      <c r="C930" s="49" t="s">
        <v>5692</v>
      </c>
      <c r="D930" s="49" t="s">
        <v>1264</v>
      </c>
      <c r="E930" s="49" t="s">
        <v>2785</v>
      </c>
      <c r="F930" s="49" t="s">
        <v>2792</v>
      </c>
      <c r="G930" s="49" t="s">
        <v>4330</v>
      </c>
      <c r="H930" s="49" t="s">
        <v>835</v>
      </c>
      <c r="I930" s="50">
        <v>45007</v>
      </c>
      <c r="M930" s="49" t="s">
        <v>5693</v>
      </c>
    </row>
    <row r="931" spans="1:13" x14ac:dyDescent="0.35">
      <c r="A931" s="49" t="s">
        <v>5694</v>
      </c>
      <c r="B931" s="49" t="s">
        <v>5695</v>
      </c>
      <c r="C931" s="49" t="s">
        <v>5696</v>
      </c>
      <c r="D931" s="49" t="s">
        <v>1264</v>
      </c>
      <c r="E931" s="49" t="s">
        <v>2774</v>
      </c>
      <c r="F931" s="49" t="s">
        <v>3681</v>
      </c>
      <c r="G931" s="49" t="s">
        <v>2901</v>
      </c>
      <c r="H931" s="49" t="s">
        <v>2827</v>
      </c>
      <c r="I931" s="50">
        <v>44790</v>
      </c>
      <c r="J931" s="50">
        <v>45117</v>
      </c>
      <c r="K931" s="50">
        <v>46577</v>
      </c>
      <c r="M931" s="49" t="s">
        <v>5697</v>
      </c>
    </row>
    <row r="932" spans="1:13" x14ac:dyDescent="0.35">
      <c r="A932" s="49" t="s">
        <v>5698</v>
      </c>
      <c r="C932" s="49" t="s">
        <v>5080</v>
      </c>
      <c r="D932" s="49" t="s">
        <v>1264</v>
      </c>
      <c r="E932" s="49" t="s">
        <v>2908</v>
      </c>
      <c r="F932" s="49" t="s">
        <v>2939</v>
      </c>
      <c r="G932" s="49" t="s">
        <v>2901</v>
      </c>
      <c r="H932" s="49" t="s">
        <v>980</v>
      </c>
      <c r="I932" s="50">
        <v>45092</v>
      </c>
      <c r="J932" s="50">
        <v>45103</v>
      </c>
      <c r="K932" s="50">
        <v>46929</v>
      </c>
      <c r="M932" s="49" t="s">
        <v>5699</v>
      </c>
    </row>
    <row r="933" spans="1:13" x14ac:dyDescent="0.35">
      <c r="A933" s="49" t="s">
        <v>5700</v>
      </c>
      <c r="C933" s="49" t="s">
        <v>4329</v>
      </c>
      <c r="D933" s="49" t="s">
        <v>1264</v>
      </c>
      <c r="E933" s="49" t="s">
        <v>2908</v>
      </c>
      <c r="F933" s="49" t="s">
        <v>2939</v>
      </c>
      <c r="G933" s="49" t="s">
        <v>2901</v>
      </c>
      <c r="H933" s="49" t="s">
        <v>980</v>
      </c>
      <c r="I933" s="50">
        <v>45041</v>
      </c>
      <c r="J933" s="50">
        <v>45104</v>
      </c>
      <c r="K933" s="50">
        <v>46930</v>
      </c>
      <c r="M933" s="49" t="s">
        <v>5701</v>
      </c>
    </row>
    <row r="934" spans="1:13" x14ac:dyDescent="0.35">
      <c r="A934" s="49" t="s">
        <v>5702</v>
      </c>
      <c r="B934" s="49" t="s">
        <v>2867</v>
      </c>
      <c r="C934" s="49" t="s">
        <v>4814</v>
      </c>
      <c r="D934" s="49" t="s">
        <v>1264</v>
      </c>
      <c r="E934" s="49" t="s">
        <v>2785</v>
      </c>
      <c r="F934" s="49" t="s">
        <v>2792</v>
      </c>
      <c r="G934" s="49" t="s">
        <v>4330</v>
      </c>
      <c r="H934" s="49" t="s">
        <v>8</v>
      </c>
      <c r="I934" s="50">
        <v>45121</v>
      </c>
      <c r="M934" s="49" t="s">
        <v>5703</v>
      </c>
    </row>
    <row r="935" spans="1:13" x14ac:dyDescent="0.35">
      <c r="A935" s="49" t="s">
        <v>5704</v>
      </c>
      <c r="B935" s="49" t="s">
        <v>5705</v>
      </c>
      <c r="C935" s="49" t="s">
        <v>5240</v>
      </c>
      <c r="D935" s="49" t="s">
        <v>1264</v>
      </c>
      <c r="E935" s="49" t="s">
        <v>2785</v>
      </c>
      <c r="F935" s="49" t="s">
        <v>2792</v>
      </c>
      <c r="G935" s="49" t="s">
        <v>4330</v>
      </c>
      <c r="H935" s="49" t="s">
        <v>980</v>
      </c>
      <c r="I935" s="50">
        <v>45092</v>
      </c>
      <c r="M935" s="49" t="s">
        <v>5706</v>
      </c>
    </row>
    <row r="936" spans="1:13" x14ac:dyDescent="0.35">
      <c r="A936" s="49" t="s">
        <v>5707</v>
      </c>
      <c r="B936" s="49" t="s">
        <v>5708</v>
      </c>
      <c r="C936" s="49" t="s">
        <v>5240</v>
      </c>
      <c r="D936" s="49" t="s">
        <v>1264</v>
      </c>
      <c r="E936" s="49" t="s">
        <v>2785</v>
      </c>
      <c r="F936" s="49" t="s">
        <v>2786</v>
      </c>
      <c r="G936" s="49" t="s">
        <v>4330</v>
      </c>
      <c r="H936" s="49" t="s">
        <v>4225</v>
      </c>
      <c r="I936" s="50">
        <v>45068</v>
      </c>
      <c r="M936" s="49" t="s">
        <v>5709</v>
      </c>
    </row>
    <row r="937" spans="1:13" x14ac:dyDescent="0.35">
      <c r="A937" s="49" t="s">
        <v>5710</v>
      </c>
      <c r="B937" s="49" t="s">
        <v>5711</v>
      </c>
      <c r="C937" s="49" t="s">
        <v>5240</v>
      </c>
      <c r="D937" s="49" t="s">
        <v>1264</v>
      </c>
      <c r="E937" s="49" t="s">
        <v>2785</v>
      </c>
      <c r="F937" s="49" t="s">
        <v>2792</v>
      </c>
      <c r="G937" s="49" t="s">
        <v>4330</v>
      </c>
      <c r="H937" s="49" t="s">
        <v>857</v>
      </c>
      <c r="I937" s="50">
        <v>45092</v>
      </c>
      <c r="M937" s="49" t="s">
        <v>5712</v>
      </c>
    </row>
    <row r="938" spans="1:13" x14ac:dyDescent="0.35">
      <c r="A938" s="49" t="s">
        <v>5713</v>
      </c>
      <c r="B938" s="49" t="s">
        <v>5714</v>
      </c>
      <c r="C938" s="49" t="s">
        <v>5240</v>
      </c>
      <c r="D938" s="49" t="s">
        <v>1264</v>
      </c>
      <c r="E938" s="49" t="s">
        <v>2785</v>
      </c>
      <c r="F938" s="49" t="s">
        <v>2792</v>
      </c>
      <c r="G938" s="49" t="s">
        <v>4330</v>
      </c>
      <c r="H938" s="49" t="s">
        <v>857</v>
      </c>
      <c r="I938" s="50">
        <v>45092</v>
      </c>
      <c r="M938" s="49" t="s">
        <v>5715</v>
      </c>
    </row>
    <row r="939" spans="1:13" x14ac:dyDescent="0.35">
      <c r="A939" s="49" t="s">
        <v>5716</v>
      </c>
      <c r="B939" s="49" t="s">
        <v>5717</v>
      </c>
      <c r="C939" s="49" t="s">
        <v>5223</v>
      </c>
      <c r="D939" s="49" t="s">
        <v>1264</v>
      </c>
      <c r="E939" s="49" t="s">
        <v>2974</v>
      </c>
      <c r="F939" s="49" t="s">
        <v>2825</v>
      </c>
      <c r="G939" s="49" t="s">
        <v>2901</v>
      </c>
      <c r="H939" s="49" t="s">
        <v>973</v>
      </c>
      <c r="I939" s="50">
        <v>45098</v>
      </c>
      <c r="J939" s="50">
        <v>45145</v>
      </c>
      <c r="K939" s="50">
        <v>46971</v>
      </c>
      <c r="M939" s="49" t="s">
        <v>5718</v>
      </c>
    </row>
    <row r="940" spans="1:13" x14ac:dyDescent="0.35">
      <c r="A940" s="49" t="s">
        <v>5719</v>
      </c>
      <c r="B940" s="49" t="s">
        <v>5705</v>
      </c>
      <c r="C940" s="49" t="s">
        <v>5240</v>
      </c>
      <c r="D940" s="49" t="s">
        <v>1264</v>
      </c>
      <c r="E940" s="49" t="s">
        <v>2785</v>
      </c>
      <c r="F940" s="49" t="s">
        <v>2792</v>
      </c>
      <c r="G940" s="49" t="s">
        <v>4330</v>
      </c>
      <c r="H940" s="49" t="s">
        <v>980</v>
      </c>
      <c r="I940" s="50">
        <v>45117</v>
      </c>
      <c r="M940" s="49" t="s">
        <v>5720</v>
      </c>
    </row>
    <row r="941" spans="1:13" x14ac:dyDescent="0.35">
      <c r="A941" s="49" t="s">
        <v>5721</v>
      </c>
      <c r="C941" s="49" t="s">
        <v>5722</v>
      </c>
      <c r="D941" s="49" t="s">
        <v>1264</v>
      </c>
      <c r="E941" s="49" t="s">
        <v>2986</v>
      </c>
      <c r="F941" s="49" t="s">
        <v>2825</v>
      </c>
      <c r="G941" s="49" t="s">
        <v>2901</v>
      </c>
      <c r="H941" s="49" t="s">
        <v>2827</v>
      </c>
      <c r="I941" s="50">
        <v>45126</v>
      </c>
      <c r="J941" s="50">
        <v>45329</v>
      </c>
      <c r="K941" s="50">
        <v>46424</v>
      </c>
      <c r="M941" s="49" t="s">
        <v>5723</v>
      </c>
    </row>
    <row r="942" spans="1:13" x14ac:dyDescent="0.35">
      <c r="A942" s="49" t="s">
        <v>5724</v>
      </c>
      <c r="C942" s="49" t="s">
        <v>5725</v>
      </c>
      <c r="D942" s="49" t="s">
        <v>1264</v>
      </c>
      <c r="E942" s="49" t="s">
        <v>2986</v>
      </c>
      <c r="F942" s="49" t="s">
        <v>2825</v>
      </c>
      <c r="G942" s="49" t="s">
        <v>4330</v>
      </c>
      <c r="H942" s="49" t="s">
        <v>2827</v>
      </c>
      <c r="I942" s="50">
        <v>45152</v>
      </c>
      <c r="M942" s="49" t="s">
        <v>5726</v>
      </c>
    </row>
    <row r="943" spans="1:13" x14ac:dyDescent="0.35">
      <c r="A943" s="49" t="s">
        <v>5727</v>
      </c>
      <c r="B943" s="49" t="s">
        <v>5728</v>
      </c>
      <c r="C943" s="49" t="s">
        <v>5729</v>
      </c>
      <c r="D943" s="49" t="s">
        <v>1264</v>
      </c>
      <c r="E943" s="49" t="s">
        <v>2986</v>
      </c>
      <c r="F943" s="49" t="s">
        <v>2825</v>
      </c>
      <c r="G943" s="49" t="s">
        <v>4330</v>
      </c>
      <c r="H943" s="49" t="s">
        <v>973</v>
      </c>
      <c r="I943" s="50">
        <v>45162</v>
      </c>
      <c r="M943" s="49" t="s">
        <v>5730</v>
      </c>
    </row>
    <row r="944" spans="1:13" x14ac:dyDescent="0.35">
      <c r="A944" s="49" t="s">
        <v>5731</v>
      </c>
      <c r="B944" s="49" t="s">
        <v>5732</v>
      </c>
      <c r="C944" s="49" t="s">
        <v>5521</v>
      </c>
      <c r="D944" s="49" t="s">
        <v>1264</v>
      </c>
      <c r="E944" s="49" t="s">
        <v>2986</v>
      </c>
      <c r="F944" s="49" t="s">
        <v>2825</v>
      </c>
      <c r="G944" s="49" t="s">
        <v>4330</v>
      </c>
      <c r="H944" s="49" t="s">
        <v>973</v>
      </c>
      <c r="I944" s="50">
        <v>45162</v>
      </c>
      <c r="M944" s="49" t="s">
        <v>5733</v>
      </c>
    </row>
    <row r="945" spans="1:13" x14ac:dyDescent="0.35">
      <c r="A945" s="49" t="s">
        <v>5734</v>
      </c>
      <c r="B945" s="49" t="s">
        <v>4809</v>
      </c>
      <c r="C945" s="49" t="s">
        <v>5735</v>
      </c>
      <c r="D945" s="49" t="s">
        <v>1264</v>
      </c>
      <c r="E945" s="49" t="s">
        <v>2986</v>
      </c>
      <c r="F945" s="49" t="s">
        <v>2825</v>
      </c>
      <c r="G945" s="49" t="s">
        <v>2901</v>
      </c>
      <c r="H945" s="49" t="s">
        <v>2827</v>
      </c>
      <c r="I945" s="50">
        <v>45152</v>
      </c>
      <c r="J945" s="50">
        <v>45194</v>
      </c>
      <c r="K945" s="50">
        <v>46289</v>
      </c>
      <c r="M945" s="49" t="s">
        <v>5736</v>
      </c>
    </row>
    <row r="946" spans="1:13" x14ac:dyDescent="0.35">
      <c r="A946" s="49" t="s">
        <v>5737</v>
      </c>
      <c r="B946" s="49" t="s">
        <v>5738</v>
      </c>
      <c r="C946" s="49" t="s">
        <v>5739</v>
      </c>
      <c r="D946" s="49" t="s">
        <v>1264</v>
      </c>
      <c r="E946" s="49" t="s">
        <v>2986</v>
      </c>
      <c r="F946" s="49" t="s">
        <v>2825</v>
      </c>
      <c r="G946" s="49" t="s">
        <v>2901</v>
      </c>
      <c r="H946" s="49" t="s">
        <v>2827</v>
      </c>
      <c r="I946" s="50">
        <v>45092</v>
      </c>
      <c r="J946" s="50">
        <v>45134</v>
      </c>
      <c r="K946" s="50">
        <v>46229</v>
      </c>
      <c r="M946" s="49" t="s">
        <v>5740</v>
      </c>
    </row>
    <row r="947" spans="1:13" x14ac:dyDescent="0.35">
      <c r="A947" s="49" t="s">
        <v>5741</v>
      </c>
      <c r="C947" s="49" t="s">
        <v>3696</v>
      </c>
      <c r="D947" s="49" t="s">
        <v>1264</v>
      </c>
      <c r="E947" s="49" t="s">
        <v>2908</v>
      </c>
      <c r="F947" s="49" t="s">
        <v>2837</v>
      </c>
      <c r="G947" s="49" t="s">
        <v>4330</v>
      </c>
      <c r="H947" s="49" t="s">
        <v>2827</v>
      </c>
      <c r="I947" s="50">
        <v>44929</v>
      </c>
      <c r="M947" s="49" t="s">
        <v>5742</v>
      </c>
    </row>
    <row r="948" spans="1:13" x14ac:dyDescent="0.35">
      <c r="A948" s="49" t="s">
        <v>5743</v>
      </c>
      <c r="C948" s="49" t="s">
        <v>5744</v>
      </c>
      <c r="D948" s="49" t="s">
        <v>1264</v>
      </c>
      <c r="E948" s="49" t="s">
        <v>2986</v>
      </c>
      <c r="F948" s="49" t="s">
        <v>2825</v>
      </c>
      <c r="G948" s="49" t="s">
        <v>2901</v>
      </c>
      <c r="H948" s="49" t="s">
        <v>973</v>
      </c>
      <c r="I948" s="50">
        <v>45120</v>
      </c>
      <c r="J948" s="50">
        <v>45169</v>
      </c>
      <c r="K948" s="50">
        <v>46264</v>
      </c>
      <c r="M948" s="49" t="s">
        <v>5745</v>
      </c>
    </row>
    <row r="949" spans="1:13" x14ac:dyDescent="0.35">
      <c r="A949" s="49" t="s">
        <v>5746</v>
      </c>
      <c r="B949" s="49" t="s">
        <v>5747</v>
      </c>
      <c r="C949" s="49" t="s">
        <v>5748</v>
      </c>
      <c r="D949" s="49" t="s">
        <v>1264</v>
      </c>
      <c r="E949" s="49" t="s">
        <v>2986</v>
      </c>
      <c r="F949" s="49" t="s">
        <v>2825</v>
      </c>
      <c r="G949" s="49" t="s">
        <v>4330</v>
      </c>
      <c r="H949" s="49" t="s">
        <v>2827</v>
      </c>
      <c r="I949" s="50">
        <v>45083</v>
      </c>
      <c r="M949" s="49" t="s">
        <v>5749</v>
      </c>
    </row>
    <row r="950" spans="1:13" x14ac:dyDescent="0.35">
      <c r="A950" s="49" t="s">
        <v>5750</v>
      </c>
      <c r="B950" s="49" t="s">
        <v>5751</v>
      </c>
      <c r="C950" s="49" t="s">
        <v>5752</v>
      </c>
      <c r="D950" s="49" t="s">
        <v>1264</v>
      </c>
      <c r="E950" s="49" t="s">
        <v>2986</v>
      </c>
      <c r="F950" s="49" t="s">
        <v>2825</v>
      </c>
      <c r="G950" s="49" t="s">
        <v>4330</v>
      </c>
      <c r="H950" s="49" t="s">
        <v>973</v>
      </c>
      <c r="I950" s="50">
        <v>45166</v>
      </c>
      <c r="M950" s="49" t="s">
        <v>5753</v>
      </c>
    </row>
    <row r="951" spans="1:13" x14ac:dyDescent="0.35">
      <c r="A951" s="49" t="s">
        <v>5754</v>
      </c>
      <c r="C951" s="49" t="s">
        <v>5755</v>
      </c>
      <c r="D951" s="49" t="s">
        <v>1264</v>
      </c>
      <c r="E951" s="49" t="s">
        <v>2986</v>
      </c>
      <c r="F951" s="49" t="s">
        <v>2825</v>
      </c>
      <c r="G951" s="49" t="s">
        <v>2901</v>
      </c>
      <c r="H951" s="49" t="s">
        <v>2827</v>
      </c>
      <c r="I951" s="50">
        <v>45183</v>
      </c>
      <c r="J951" s="50">
        <v>45299</v>
      </c>
      <c r="K951" s="50">
        <v>46394</v>
      </c>
      <c r="M951" s="49" t="s">
        <v>5756</v>
      </c>
    </row>
    <row r="952" spans="1:13" x14ac:dyDescent="0.35">
      <c r="A952" s="49" t="s">
        <v>5757</v>
      </c>
      <c r="B952" s="49" t="s">
        <v>5758</v>
      </c>
      <c r="C952" s="49" t="s">
        <v>5759</v>
      </c>
      <c r="D952" s="49" t="s">
        <v>1264</v>
      </c>
      <c r="E952" s="49" t="s">
        <v>2785</v>
      </c>
      <c r="F952" s="49" t="s">
        <v>2792</v>
      </c>
      <c r="G952" s="49" t="s">
        <v>2787</v>
      </c>
      <c r="H952" s="49" t="s">
        <v>980</v>
      </c>
      <c r="I952" s="50">
        <v>45175</v>
      </c>
      <c r="J952" s="50">
        <v>45183</v>
      </c>
      <c r="K952" s="50">
        <v>45548</v>
      </c>
      <c r="M952" s="49" t="s">
        <v>5760</v>
      </c>
    </row>
    <row r="953" spans="1:13" x14ac:dyDescent="0.35">
      <c r="A953" s="49" t="s">
        <v>5761</v>
      </c>
      <c r="C953" s="49" t="s">
        <v>5762</v>
      </c>
      <c r="D953" s="49" t="s">
        <v>1264</v>
      </c>
      <c r="E953" s="49" t="s">
        <v>2814</v>
      </c>
      <c r="F953" s="49" t="s">
        <v>2825</v>
      </c>
      <c r="G953" s="49" t="s">
        <v>2787</v>
      </c>
      <c r="H953" s="49" t="s">
        <v>2827</v>
      </c>
      <c r="I953" s="50">
        <v>44708</v>
      </c>
      <c r="M953" s="49" t="s">
        <v>5763</v>
      </c>
    </row>
    <row r="954" spans="1:13" x14ac:dyDescent="0.35">
      <c r="A954" s="49" t="s">
        <v>5764</v>
      </c>
      <c r="C954" s="49" t="s">
        <v>5765</v>
      </c>
      <c r="D954" s="49" t="s">
        <v>1264</v>
      </c>
      <c r="E954" s="49" t="s">
        <v>2908</v>
      </c>
      <c r="F954" s="49" t="s">
        <v>2837</v>
      </c>
      <c r="G954" s="49" t="s">
        <v>2901</v>
      </c>
      <c r="H954" s="49" t="s">
        <v>980</v>
      </c>
      <c r="I954" s="50">
        <v>45061</v>
      </c>
      <c r="J954" s="50">
        <v>45169</v>
      </c>
      <c r="K954" s="50">
        <v>46995</v>
      </c>
      <c r="M954" s="49" t="s">
        <v>5766</v>
      </c>
    </row>
    <row r="955" spans="1:13" x14ac:dyDescent="0.35">
      <c r="A955" s="49" t="s">
        <v>5767</v>
      </c>
      <c r="C955" s="49" t="s">
        <v>4525</v>
      </c>
      <c r="D955" s="49" t="s">
        <v>1264</v>
      </c>
      <c r="E955" s="49" t="s">
        <v>2908</v>
      </c>
      <c r="F955" s="49" t="s">
        <v>2837</v>
      </c>
      <c r="G955" s="49" t="s">
        <v>2901</v>
      </c>
      <c r="H955" s="49" t="s">
        <v>980</v>
      </c>
      <c r="I955" s="50">
        <v>45154</v>
      </c>
      <c r="J955" s="50">
        <v>45184</v>
      </c>
      <c r="K955" s="50">
        <v>47010</v>
      </c>
      <c r="M955" s="49" t="s">
        <v>5768</v>
      </c>
    </row>
    <row r="956" spans="1:13" x14ac:dyDescent="0.35">
      <c r="A956" s="49" t="s">
        <v>5769</v>
      </c>
      <c r="C956" s="49" t="s">
        <v>5770</v>
      </c>
      <c r="D956" s="49" t="s">
        <v>1264</v>
      </c>
      <c r="E956" s="49" t="s">
        <v>2908</v>
      </c>
      <c r="F956" s="49" t="s">
        <v>2837</v>
      </c>
      <c r="G956" s="49" t="s">
        <v>2901</v>
      </c>
      <c r="H956" s="49" t="s">
        <v>980</v>
      </c>
      <c r="I956" s="50">
        <v>45103</v>
      </c>
      <c r="J956" s="50">
        <v>45184</v>
      </c>
      <c r="K956" s="50">
        <v>47010</v>
      </c>
      <c r="M956" s="49" t="s">
        <v>5771</v>
      </c>
    </row>
    <row r="957" spans="1:13" x14ac:dyDescent="0.35">
      <c r="A957" s="49" t="s">
        <v>5772</v>
      </c>
      <c r="C957" s="49" t="s">
        <v>5773</v>
      </c>
      <c r="D957" s="49" t="s">
        <v>1264</v>
      </c>
      <c r="E957" s="49" t="s">
        <v>2908</v>
      </c>
      <c r="F957" s="49" t="s">
        <v>2837</v>
      </c>
      <c r="G957" s="49" t="s">
        <v>2975</v>
      </c>
      <c r="H957" s="49" t="s">
        <v>980</v>
      </c>
      <c r="I957" s="50">
        <v>45103</v>
      </c>
      <c r="K957" s="50">
        <v>45148</v>
      </c>
      <c r="M957" s="49" t="s">
        <v>5774</v>
      </c>
    </row>
    <row r="958" spans="1:13" x14ac:dyDescent="0.35">
      <c r="A958" s="49" t="s">
        <v>5775</v>
      </c>
      <c r="B958" s="49" t="s">
        <v>3768</v>
      </c>
      <c r="C958" s="49" t="s">
        <v>5776</v>
      </c>
      <c r="D958" s="49" t="s">
        <v>1264</v>
      </c>
      <c r="E958" s="49" t="s">
        <v>3443</v>
      </c>
      <c r="F958" s="49" t="s">
        <v>3124</v>
      </c>
      <c r="G958" s="49" t="s">
        <v>4330</v>
      </c>
      <c r="H958" s="49" t="s">
        <v>980</v>
      </c>
      <c r="I958" s="50">
        <v>44834</v>
      </c>
    </row>
    <row r="959" spans="1:13" x14ac:dyDescent="0.35">
      <c r="A959" s="49" t="s">
        <v>5777</v>
      </c>
      <c r="B959" s="49" t="s">
        <v>5778</v>
      </c>
      <c r="C959" s="49" t="s">
        <v>5779</v>
      </c>
      <c r="D959" s="49" t="s">
        <v>1264</v>
      </c>
      <c r="E959" s="49" t="s">
        <v>2785</v>
      </c>
      <c r="F959" s="49" t="s">
        <v>2792</v>
      </c>
      <c r="G959" s="49" t="s">
        <v>4330</v>
      </c>
      <c r="H959" s="49" t="s">
        <v>8</v>
      </c>
      <c r="I959" s="50">
        <v>45131</v>
      </c>
      <c r="M959" s="49" t="s">
        <v>5780</v>
      </c>
    </row>
    <row r="960" spans="1:13" x14ac:dyDescent="0.35">
      <c r="A960" s="49" t="s">
        <v>5781</v>
      </c>
      <c r="B960" s="49" t="s">
        <v>5782</v>
      </c>
      <c r="C960" s="49" t="s">
        <v>5779</v>
      </c>
      <c r="D960" s="49" t="s">
        <v>1264</v>
      </c>
      <c r="E960" s="49" t="s">
        <v>2785</v>
      </c>
      <c r="F960" s="49" t="s">
        <v>2792</v>
      </c>
      <c r="G960" s="49" t="s">
        <v>4330</v>
      </c>
      <c r="H960" s="49" t="s">
        <v>8</v>
      </c>
      <c r="I960" s="50">
        <v>45131</v>
      </c>
      <c r="M960" s="49" t="s">
        <v>5783</v>
      </c>
    </row>
    <row r="961" spans="1:13" x14ac:dyDescent="0.35">
      <c r="A961" s="49" t="s">
        <v>5784</v>
      </c>
      <c r="B961" s="49" t="s">
        <v>5785</v>
      </c>
      <c r="C961" s="49" t="s">
        <v>5786</v>
      </c>
      <c r="D961" s="49" t="s">
        <v>1264</v>
      </c>
      <c r="E961" s="49" t="s">
        <v>2785</v>
      </c>
      <c r="F961" s="49" t="s">
        <v>2792</v>
      </c>
      <c r="G961" s="49" t="s">
        <v>2787</v>
      </c>
      <c r="H961" s="49" t="s">
        <v>980</v>
      </c>
      <c r="I961" s="50">
        <v>44945</v>
      </c>
      <c r="J961" s="50">
        <v>45063</v>
      </c>
      <c r="K961" s="50">
        <v>45428</v>
      </c>
      <c r="M961" s="49" t="s">
        <v>5787</v>
      </c>
    </row>
    <row r="962" spans="1:13" x14ac:dyDescent="0.35">
      <c r="A962" s="49" t="s">
        <v>5788</v>
      </c>
      <c r="B962" s="49" t="s">
        <v>5789</v>
      </c>
      <c r="C962" s="49" t="s">
        <v>5240</v>
      </c>
      <c r="D962" s="49" t="s">
        <v>1264</v>
      </c>
      <c r="E962" s="49" t="s">
        <v>2785</v>
      </c>
      <c r="F962" s="49" t="s">
        <v>2792</v>
      </c>
      <c r="G962" s="49" t="s">
        <v>4330</v>
      </c>
      <c r="H962" s="49" t="s">
        <v>980</v>
      </c>
      <c r="I962" s="50">
        <v>45055</v>
      </c>
      <c r="M962" s="49" t="s">
        <v>5790</v>
      </c>
    </row>
    <row r="963" spans="1:13" x14ac:dyDescent="0.35">
      <c r="A963" s="49" t="s">
        <v>5791</v>
      </c>
      <c r="B963" s="49" t="s">
        <v>5792</v>
      </c>
      <c r="C963" s="49" t="s">
        <v>4480</v>
      </c>
      <c r="D963" s="49" t="s">
        <v>1264</v>
      </c>
      <c r="E963" s="49" t="s">
        <v>2785</v>
      </c>
      <c r="F963" s="49" t="s">
        <v>2792</v>
      </c>
      <c r="G963" s="49" t="s">
        <v>4330</v>
      </c>
      <c r="H963" s="49" t="s">
        <v>864</v>
      </c>
      <c r="I963" s="50">
        <v>44931</v>
      </c>
      <c r="M963" s="49" t="s">
        <v>5793</v>
      </c>
    </row>
    <row r="964" spans="1:13" x14ac:dyDescent="0.35">
      <c r="A964" s="49" t="s">
        <v>5794</v>
      </c>
      <c r="B964" s="49" t="s">
        <v>5789</v>
      </c>
      <c r="C964" s="49" t="s">
        <v>5240</v>
      </c>
      <c r="D964" s="49" t="s">
        <v>1264</v>
      </c>
      <c r="E964" s="49" t="s">
        <v>2785</v>
      </c>
      <c r="F964" s="49" t="s">
        <v>2792</v>
      </c>
      <c r="G964" s="49" t="s">
        <v>4330</v>
      </c>
      <c r="H964" s="49" t="s">
        <v>980</v>
      </c>
      <c r="I964" s="50">
        <v>45055</v>
      </c>
      <c r="M964" s="49" t="s">
        <v>5795</v>
      </c>
    </row>
    <row r="965" spans="1:13" x14ac:dyDescent="0.35">
      <c r="A965" s="49" t="s">
        <v>5796</v>
      </c>
      <c r="B965" s="49" t="s">
        <v>5797</v>
      </c>
      <c r="C965" s="49" t="s">
        <v>5240</v>
      </c>
      <c r="D965" s="49" t="s">
        <v>1264</v>
      </c>
      <c r="E965" s="49" t="s">
        <v>2785</v>
      </c>
      <c r="F965" s="49" t="s">
        <v>2792</v>
      </c>
      <c r="G965" s="49" t="s">
        <v>4330</v>
      </c>
      <c r="H965" s="49" t="s">
        <v>857</v>
      </c>
      <c r="I965" s="50">
        <v>45028</v>
      </c>
      <c r="M965" s="49" t="s">
        <v>5798</v>
      </c>
    </row>
    <row r="966" spans="1:13" x14ac:dyDescent="0.35">
      <c r="A966" s="49" t="s">
        <v>5799</v>
      </c>
      <c r="B966" s="49" t="s">
        <v>5800</v>
      </c>
      <c r="C966" s="49" t="s">
        <v>3930</v>
      </c>
      <c r="D966" s="49" t="s">
        <v>1264</v>
      </c>
      <c r="E966" s="49" t="s">
        <v>2785</v>
      </c>
      <c r="F966" s="49" t="s">
        <v>2786</v>
      </c>
      <c r="G966" s="49" t="s">
        <v>4330</v>
      </c>
      <c r="H966" s="49" t="s">
        <v>980</v>
      </c>
      <c r="I966" s="50">
        <v>44727</v>
      </c>
      <c r="M966" s="49" t="s">
        <v>5801</v>
      </c>
    </row>
    <row r="967" spans="1:13" x14ac:dyDescent="0.35">
      <c r="A967" s="49" t="s">
        <v>5802</v>
      </c>
      <c r="B967" s="49" t="s">
        <v>5803</v>
      </c>
      <c r="C967" s="49" t="s">
        <v>5804</v>
      </c>
      <c r="D967" s="49" t="s">
        <v>1264</v>
      </c>
      <c r="E967" s="49" t="s">
        <v>2986</v>
      </c>
      <c r="F967" s="49" t="s">
        <v>2825</v>
      </c>
      <c r="G967" s="49" t="s">
        <v>2901</v>
      </c>
      <c r="H967" s="49" t="s">
        <v>2827</v>
      </c>
      <c r="I967" s="50">
        <v>45058</v>
      </c>
      <c r="J967" s="50">
        <v>45083</v>
      </c>
      <c r="K967" s="50">
        <v>46178</v>
      </c>
      <c r="M967" s="49" t="s">
        <v>5805</v>
      </c>
    </row>
    <row r="968" spans="1:13" x14ac:dyDescent="0.35">
      <c r="A968" s="49" t="s">
        <v>5806</v>
      </c>
      <c r="B968" s="49" t="s">
        <v>3626</v>
      </c>
      <c r="C968" s="49" t="s">
        <v>5807</v>
      </c>
      <c r="D968" s="49" t="s">
        <v>1264</v>
      </c>
      <c r="E968" s="49" t="s">
        <v>2785</v>
      </c>
      <c r="F968" s="49" t="s">
        <v>3898</v>
      </c>
      <c r="G968" s="49" t="s">
        <v>2787</v>
      </c>
      <c r="H968" s="49" t="s">
        <v>2827</v>
      </c>
      <c r="I968" s="50">
        <v>45126</v>
      </c>
      <c r="J968" s="50">
        <v>45152</v>
      </c>
      <c r="K968" s="50">
        <v>45517</v>
      </c>
      <c r="M968" s="49" t="s">
        <v>5808</v>
      </c>
    </row>
    <row r="969" spans="1:13" x14ac:dyDescent="0.35">
      <c r="A969" s="49" t="s">
        <v>5809</v>
      </c>
      <c r="B969" s="49" t="s">
        <v>5810</v>
      </c>
      <c r="C969" s="49" t="s">
        <v>5811</v>
      </c>
      <c r="D969" s="49" t="s">
        <v>1264</v>
      </c>
      <c r="E969" s="49" t="s">
        <v>2785</v>
      </c>
      <c r="F969" s="49" t="s">
        <v>2786</v>
      </c>
      <c r="G969" s="49" t="s">
        <v>4330</v>
      </c>
      <c r="H969" s="49" t="s">
        <v>980</v>
      </c>
      <c r="I969" s="50">
        <v>45058</v>
      </c>
      <c r="M969" s="49" t="s">
        <v>5812</v>
      </c>
    </row>
    <row r="970" spans="1:13" x14ac:dyDescent="0.35">
      <c r="A970" s="49" t="s">
        <v>5813</v>
      </c>
      <c r="C970" s="49" t="s">
        <v>5814</v>
      </c>
      <c r="D970" s="49" t="s">
        <v>1264</v>
      </c>
      <c r="E970" s="49" t="s">
        <v>3443</v>
      </c>
      <c r="F970" s="49" t="s">
        <v>3124</v>
      </c>
      <c r="G970" s="49" t="s">
        <v>2901</v>
      </c>
      <c r="H970" s="49" t="s">
        <v>980</v>
      </c>
      <c r="I970" s="50">
        <v>45124</v>
      </c>
      <c r="J970" s="50">
        <v>45169</v>
      </c>
      <c r="K970" s="50">
        <v>46995</v>
      </c>
    </row>
    <row r="971" spans="1:13" x14ac:dyDescent="0.35">
      <c r="A971" s="49" t="s">
        <v>5815</v>
      </c>
      <c r="C971" s="49" t="s">
        <v>5816</v>
      </c>
      <c r="D971" s="49" t="s">
        <v>1264</v>
      </c>
      <c r="E971" s="49" t="s">
        <v>3443</v>
      </c>
      <c r="F971" s="49" t="s">
        <v>3124</v>
      </c>
      <c r="G971" s="49" t="s">
        <v>4330</v>
      </c>
      <c r="H971" s="49" t="s">
        <v>980</v>
      </c>
      <c r="I971" s="50">
        <v>45127</v>
      </c>
    </row>
    <row r="972" spans="1:13" x14ac:dyDescent="0.35">
      <c r="A972" s="49" t="s">
        <v>5817</v>
      </c>
      <c r="C972" s="49" t="s">
        <v>5818</v>
      </c>
      <c r="D972" s="49" t="s">
        <v>1264</v>
      </c>
      <c r="E972" s="49" t="s">
        <v>3443</v>
      </c>
      <c r="F972" s="49" t="s">
        <v>3124</v>
      </c>
      <c r="G972" s="49" t="s">
        <v>2901</v>
      </c>
      <c r="H972" s="49" t="s">
        <v>980</v>
      </c>
      <c r="I972" s="50">
        <v>45097</v>
      </c>
      <c r="J972" s="50">
        <v>45145</v>
      </c>
      <c r="K972" s="50">
        <v>46971</v>
      </c>
    </row>
    <row r="973" spans="1:13" x14ac:dyDescent="0.35">
      <c r="A973" s="49" t="s">
        <v>5819</v>
      </c>
      <c r="B973" s="49" t="s">
        <v>5797</v>
      </c>
      <c r="C973" s="49" t="s">
        <v>5240</v>
      </c>
      <c r="D973" s="49" t="s">
        <v>1264</v>
      </c>
      <c r="E973" s="49" t="s">
        <v>2785</v>
      </c>
      <c r="F973" s="49" t="s">
        <v>2792</v>
      </c>
      <c r="G973" s="49" t="s">
        <v>4330</v>
      </c>
      <c r="H973" s="49" t="s">
        <v>857</v>
      </c>
      <c r="I973" s="50">
        <v>45134</v>
      </c>
      <c r="M973" s="49" t="s">
        <v>5820</v>
      </c>
    </row>
    <row r="974" spans="1:13" x14ac:dyDescent="0.35">
      <c r="A974" s="49" t="s">
        <v>5821</v>
      </c>
      <c r="C974" s="49" t="s">
        <v>5822</v>
      </c>
      <c r="D974" s="49" t="s">
        <v>1264</v>
      </c>
      <c r="E974" s="49" t="s">
        <v>2785</v>
      </c>
      <c r="F974" s="49" t="s">
        <v>2805</v>
      </c>
      <c r="G974" s="49" t="s">
        <v>4330</v>
      </c>
      <c r="H974" s="49" t="s">
        <v>2832</v>
      </c>
      <c r="I974" s="50">
        <v>44917</v>
      </c>
      <c r="M974" s="49" t="s">
        <v>5823</v>
      </c>
    </row>
    <row r="975" spans="1:13" x14ac:dyDescent="0.35">
      <c r="A975" s="49" t="s">
        <v>5824</v>
      </c>
      <c r="B975" s="49" t="s">
        <v>5825</v>
      </c>
      <c r="C975" s="49" t="s">
        <v>4480</v>
      </c>
      <c r="D975" s="49" t="s">
        <v>1264</v>
      </c>
      <c r="E975" s="49" t="s">
        <v>2785</v>
      </c>
      <c r="F975" s="49" t="s">
        <v>2792</v>
      </c>
      <c r="G975" s="49" t="s">
        <v>4330</v>
      </c>
      <c r="H975" s="49" t="s">
        <v>835</v>
      </c>
      <c r="I975" s="50">
        <v>45063</v>
      </c>
      <c r="M975" s="49" t="s">
        <v>5826</v>
      </c>
    </row>
    <row r="976" spans="1:13" x14ac:dyDescent="0.35">
      <c r="A976" s="49" t="s">
        <v>5827</v>
      </c>
      <c r="C976" s="49" t="s">
        <v>5828</v>
      </c>
      <c r="D976" s="49" t="s">
        <v>1264</v>
      </c>
      <c r="E976" s="49" t="s">
        <v>3443</v>
      </c>
      <c r="F976" s="49" t="s">
        <v>3124</v>
      </c>
      <c r="G976" s="49" t="s">
        <v>4330</v>
      </c>
      <c r="H976" s="49" t="s">
        <v>980</v>
      </c>
      <c r="I976" s="50">
        <v>44803</v>
      </c>
    </row>
    <row r="977" spans="1:13" x14ac:dyDescent="0.35">
      <c r="A977" s="49" t="s">
        <v>5829</v>
      </c>
      <c r="B977" s="49" t="s">
        <v>5830</v>
      </c>
      <c r="C977" s="49" t="s">
        <v>4908</v>
      </c>
      <c r="D977" s="49" t="s">
        <v>1264</v>
      </c>
      <c r="E977" s="49" t="s">
        <v>2785</v>
      </c>
      <c r="F977" s="49" t="s">
        <v>2786</v>
      </c>
      <c r="G977" s="49" t="s">
        <v>4330</v>
      </c>
      <c r="H977" s="49" t="s">
        <v>980</v>
      </c>
      <c r="I977" s="50">
        <v>45120</v>
      </c>
      <c r="M977" s="49" t="s">
        <v>5831</v>
      </c>
    </row>
    <row r="978" spans="1:13" x14ac:dyDescent="0.35">
      <c r="A978" s="49" t="s">
        <v>5832</v>
      </c>
      <c r="B978" s="49" t="s">
        <v>5833</v>
      </c>
      <c r="C978" s="49" t="s">
        <v>4922</v>
      </c>
      <c r="D978" s="49" t="s">
        <v>1264</v>
      </c>
      <c r="E978" s="49" t="s">
        <v>2785</v>
      </c>
      <c r="F978" s="49" t="s">
        <v>2792</v>
      </c>
      <c r="G978" s="49" t="s">
        <v>2787</v>
      </c>
      <c r="H978" s="49" t="s">
        <v>835</v>
      </c>
      <c r="I978" s="50">
        <v>45149</v>
      </c>
      <c r="J978" s="50">
        <v>45163</v>
      </c>
      <c r="K978" s="50">
        <v>45528</v>
      </c>
      <c r="M978" s="49" t="s">
        <v>5834</v>
      </c>
    </row>
    <row r="979" spans="1:13" x14ac:dyDescent="0.35">
      <c r="A979" s="49" t="s">
        <v>5835</v>
      </c>
      <c r="B979" s="49" t="s">
        <v>5836</v>
      </c>
      <c r="C979" s="49" t="s">
        <v>5837</v>
      </c>
      <c r="D979" s="49" t="s">
        <v>1264</v>
      </c>
      <c r="E979" s="49" t="s">
        <v>2785</v>
      </c>
      <c r="F979" s="49" t="s">
        <v>2792</v>
      </c>
      <c r="G979" s="49" t="s">
        <v>2787</v>
      </c>
      <c r="H979" s="49" t="s">
        <v>980</v>
      </c>
      <c r="I979" s="50">
        <v>44917</v>
      </c>
      <c r="J979" s="50">
        <v>45145</v>
      </c>
      <c r="K979" s="50">
        <v>45510</v>
      </c>
      <c r="M979" s="49" t="s">
        <v>5838</v>
      </c>
    </row>
    <row r="980" spans="1:13" x14ac:dyDescent="0.35">
      <c r="A980" s="49" t="s">
        <v>5839</v>
      </c>
      <c r="B980" s="49" t="s">
        <v>5800</v>
      </c>
      <c r="C980" s="49" t="s">
        <v>3882</v>
      </c>
      <c r="D980" s="49" t="s">
        <v>1264</v>
      </c>
      <c r="E980" s="49" t="s">
        <v>2785</v>
      </c>
      <c r="F980" s="49" t="s">
        <v>2786</v>
      </c>
      <c r="G980" s="49" t="s">
        <v>2787</v>
      </c>
      <c r="H980" s="49" t="s">
        <v>980</v>
      </c>
      <c r="I980" s="50">
        <v>44984</v>
      </c>
      <c r="J980" s="50">
        <v>45090</v>
      </c>
      <c r="K980" s="50">
        <v>45455</v>
      </c>
      <c r="M980" s="49" t="s">
        <v>5582</v>
      </c>
    </row>
    <row r="981" spans="1:13" x14ac:dyDescent="0.35">
      <c r="A981" s="49" t="s">
        <v>5840</v>
      </c>
      <c r="C981" s="49" t="s">
        <v>5270</v>
      </c>
      <c r="D981" s="49" t="s">
        <v>1264</v>
      </c>
      <c r="E981" s="49" t="s">
        <v>3443</v>
      </c>
      <c r="F981" s="49" t="s">
        <v>3124</v>
      </c>
      <c r="G981" s="49" t="s">
        <v>2901</v>
      </c>
      <c r="H981" s="49" t="s">
        <v>980</v>
      </c>
      <c r="I981" s="50">
        <v>45261</v>
      </c>
      <c r="J981" s="50">
        <v>45145</v>
      </c>
      <c r="K981" s="50">
        <v>46971</v>
      </c>
    </row>
    <row r="982" spans="1:13" x14ac:dyDescent="0.35">
      <c r="A982" s="49" t="s">
        <v>5841</v>
      </c>
      <c r="B982" s="49" t="s">
        <v>5842</v>
      </c>
      <c r="C982" s="49" t="s">
        <v>5843</v>
      </c>
      <c r="D982" s="49" t="s">
        <v>1264</v>
      </c>
      <c r="E982" s="49" t="s">
        <v>2986</v>
      </c>
      <c r="F982" s="49" t="s">
        <v>2825</v>
      </c>
      <c r="G982" s="49" t="s">
        <v>2901</v>
      </c>
      <c r="H982" s="49" t="s">
        <v>2827</v>
      </c>
      <c r="I982" s="50">
        <v>45188</v>
      </c>
      <c r="J982" s="50">
        <v>45202</v>
      </c>
      <c r="K982" s="50">
        <v>46297</v>
      </c>
      <c r="M982" s="49" t="s">
        <v>5844</v>
      </c>
    </row>
    <row r="983" spans="1:13" x14ac:dyDescent="0.35">
      <c r="A983" s="49" t="s">
        <v>5845</v>
      </c>
      <c r="C983" s="49" t="s">
        <v>5846</v>
      </c>
      <c r="D983" s="49" t="s">
        <v>1264</v>
      </c>
      <c r="E983" s="49" t="s">
        <v>2785</v>
      </c>
      <c r="F983" s="49" t="s">
        <v>2786</v>
      </c>
      <c r="G983" s="49" t="s">
        <v>2787</v>
      </c>
      <c r="H983" s="49" t="s">
        <v>980</v>
      </c>
      <c r="I983" s="50">
        <v>43977</v>
      </c>
      <c r="K983" s="50">
        <v>45510</v>
      </c>
      <c r="M983" s="49" t="s">
        <v>5847</v>
      </c>
    </row>
    <row r="984" spans="1:13" x14ac:dyDescent="0.35">
      <c r="A984" s="49" t="s">
        <v>5848</v>
      </c>
      <c r="B984" s="49" t="s">
        <v>5849</v>
      </c>
      <c r="C984" s="49" t="s">
        <v>5850</v>
      </c>
      <c r="D984" s="49" t="s">
        <v>1264</v>
      </c>
      <c r="E984" s="49" t="s">
        <v>2785</v>
      </c>
      <c r="F984" s="49" t="s">
        <v>2792</v>
      </c>
      <c r="G984" s="49" t="s">
        <v>4330</v>
      </c>
      <c r="H984" s="49" t="s">
        <v>864</v>
      </c>
      <c r="I984" s="50">
        <v>44923</v>
      </c>
      <c r="M984" s="49" t="s">
        <v>5851</v>
      </c>
    </row>
    <row r="985" spans="1:13" x14ac:dyDescent="0.35">
      <c r="A985" s="49" t="s">
        <v>5852</v>
      </c>
      <c r="B985" s="49" t="s">
        <v>5853</v>
      </c>
      <c r="C985" s="49" t="s">
        <v>5140</v>
      </c>
      <c r="D985" s="49" t="s">
        <v>1264</v>
      </c>
      <c r="E985" s="49" t="s">
        <v>2785</v>
      </c>
      <c r="F985" s="49" t="s">
        <v>2786</v>
      </c>
      <c r="G985" s="49" t="s">
        <v>2787</v>
      </c>
      <c r="H985" s="49" t="s">
        <v>973</v>
      </c>
      <c r="I985" s="50">
        <v>45084</v>
      </c>
      <c r="J985" s="50">
        <v>45189</v>
      </c>
      <c r="K985" s="50">
        <v>45554</v>
      </c>
      <c r="M985" s="49" t="s">
        <v>5854</v>
      </c>
    </row>
    <row r="986" spans="1:13" x14ac:dyDescent="0.35">
      <c r="A986" s="49" t="s">
        <v>5855</v>
      </c>
      <c r="B986" s="49" t="s">
        <v>5856</v>
      </c>
      <c r="C986" s="49" t="s">
        <v>5857</v>
      </c>
      <c r="D986" s="49" t="s">
        <v>1264</v>
      </c>
      <c r="E986" s="49" t="s">
        <v>2785</v>
      </c>
      <c r="F986" s="49" t="s">
        <v>4048</v>
      </c>
      <c r="G986" s="49" t="s">
        <v>2787</v>
      </c>
      <c r="H986" s="49" t="s">
        <v>2832</v>
      </c>
      <c r="I986" s="50">
        <v>45117</v>
      </c>
      <c r="J986" s="50">
        <v>45240</v>
      </c>
      <c r="K986" s="50">
        <v>45605</v>
      </c>
      <c r="M986" s="49" t="s">
        <v>5858</v>
      </c>
    </row>
    <row r="987" spans="1:13" x14ac:dyDescent="0.35">
      <c r="A987" s="49" t="s">
        <v>5859</v>
      </c>
      <c r="B987" s="49" t="s">
        <v>2849</v>
      </c>
      <c r="C987" s="49" t="s">
        <v>5860</v>
      </c>
      <c r="D987" s="49" t="s">
        <v>1264</v>
      </c>
      <c r="E987" s="49" t="s">
        <v>2785</v>
      </c>
      <c r="F987" s="49" t="s">
        <v>2792</v>
      </c>
      <c r="G987" s="49" t="s">
        <v>2776</v>
      </c>
      <c r="H987" s="49" t="s">
        <v>980</v>
      </c>
      <c r="I987" s="50">
        <v>44993</v>
      </c>
      <c r="M987" s="49" t="s">
        <v>5861</v>
      </c>
    </row>
    <row r="988" spans="1:13" x14ac:dyDescent="0.35">
      <c r="A988" s="49" t="s">
        <v>5862</v>
      </c>
      <c r="C988" s="49" t="s">
        <v>5137</v>
      </c>
      <c r="D988" s="49" t="s">
        <v>1264</v>
      </c>
      <c r="E988" s="49" t="s">
        <v>2785</v>
      </c>
      <c r="F988" s="49" t="s">
        <v>3010</v>
      </c>
      <c r="G988" s="49" t="s">
        <v>2901</v>
      </c>
      <c r="H988" s="49" t="s">
        <v>2827</v>
      </c>
      <c r="I988" s="50">
        <v>45051</v>
      </c>
      <c r="J988" s="50">
        <v>45187</v>
      </c>
      <c r="K988" s="50">
        <v>45917</v>
      </c>
      <c r="L988" s="50">
        <v>45553</v>
      </c>
      <c r="M988" s="49" t="s">
        <v>5863</v>
      </c>
    </row>
    <row r="989" spans="1:13" x14ac:dyDescent="0.35">
      <c r="A989" s="49" t="s">
        <v>5864</v>
      </c>
      <c r="B989" s="49" t="s">
        <v>5865</v>
      </c>
      <c r="C989" s="49" t="s">
        <v>5866</v>
      </c>
      <c r="D989" s="49" t="s">
        <v>1264</v>
      </c>
      <c r="E989" s="49" t="s">
        <v>2986</v>
      </c>
      <c r="F989" s="49" t="s">
        <v>2825</v>
      </c>
      <c r="G989" s="49" t="s">
        <v>2901</v>
      </c>
      <c r="H989" s="49" t="s">
        <v>2827</v>
      </c>
      <c r="I989" s="50">
        <v>45190</v>
      </c>
      <c r="J989" s="50">
        <v>45196</v>
      </c>
      <c r="K989" s="50">
        <v>46291</v>
      </c>
      <c r="M989" s="49" t="s">
        <v>5867</v>
      </c>
    </row>
    <row r="990" spans="1:13" x14ac:dyDescent="0.35">
      <c r="A990" s="49" t="s">
        <v>5868</v>
      </c>
      <c r="B990" s="49" t="s">
        <v>4877</v>
      </c>
      <c r="C990" s="49" t="s">
        <v>5866</v>
      </c>
      <c r="D990" s="49" t="s">
        <v>1264</v>
      </c>
      <c r="E990" s="49" t="s">
        <v>2986</v>
      </c>
      <c r="F990" s="49" t="s">
        <v>2825</v>
      </c>
      <c r="G990" s="49" t="s">
        <v>2901</v>
      </c>
      <c r="H990" s="49" t="s">
        <v>2827</v>
      </c>
      <c r="I990" s="50">
        <v>45190</v>
      </c>
      <c r="J990" s="50">
        <v>45196</v>
      </c>
      <c r="K990" s="50">
        <v>46291</v>
      </c>
      <c r="M990" s="49" t="s">
        <v>5869</v>
      </c>
    </row>
    <row r="991" spans="1:13" x14ac:dyDescent="0.35">
      <c r="A991" s="49" t="s">
        <v>5870</v>
      </c>
      <c r="B991" s="49" t="s">
        <v>5871</v>
      </c>
      <c r="C991" s="49" t="s">
        <v>5843</v>
      </c>
      <c r="D991" s="49" t="s">
        <v>1264</v>
      </c>
      <c r="E991" s="49" t="s">
        <v>2986</v>
      </c>
      <c r="F991" s="49" t="s">
        <v>2825</v>
      </c>
      <c r="G991" s="49" t="s">
        <v>2901</v>
      </c>
      <c r="H991" s="49" t="s">
        <v>2827</v>
      </c>
      <c r="I991" s="50">
        <v>45190</v>
      </c>
      <c r="J991" s="50">
        <v>45202</v>
      </c>
      <c r="K991" s="50">
        <v>46297</v>
      </c>
      <c r="M991" s="49" t="s">
        <v>5872</v>
      </c>
    </row>
    <row r="992" spans="1:13" x14ac:dyDescent="0.35">
      <c r="A992" s="49" t="s">
        <v>5873</v>
      </c>
      <c r="B992" s="49" t="s">
        <v>5874</v>
      </c>
      <c r="C992" s="49" t="s">
        <v>5240</v>
      </c>
      <c r="D992" s="49" t="s">
        <v>1264</v>
      </c>
      <c r="E992" s="49" t="s">
        <v>2785</v>
      </c>
      <c r="F992" s="49" t="s">
        <v>2786</v>
      </c>
      <c r="G992" s="49" t="s">
        <v>4330</v>
      </c>
      <c r="H992" s="49" t="s">
        <v>4225</v>
      </c>
      <c r="I992" s="50">
        <v>45152</v>
      </c>
      <c r="M992" s="49" t="s">
        <v>5875</v>
      </c>
    </row>
    <row r="993" spans="1:13" x14ac:dyDescent="0.35">
      <c r="A993" s="49" t="s">
        <v>5876</v>
      </c>
      <c r="C993" s="49" t="s">
        <v>5729</v>
      </c>
      <c r="D993" s="49" t="s">
        <v>1264</v>
      </c>
      <c r="E993" s="49" t="s">
        <v>2986</v>
      </c>
      <c r="F993" s="49" t="s">
        <v>2825</v>
      </c>
      <c r="G993" s="49" t="s">
        <v>2901</v>
      </c>
      <c r="H993" s="49" t="s">
        <v>973</v>
      </c>
      <c r="I993" s="50">
        <v>45117</v>
      </c>
      <c r="J993" s="50">
        <v>45121</v>
      </c>
      <c r="K993" s="50">
        <v>46216</v>
      </c>
      <c r="M993" s="49" t="s">
        <v>5877</v>
      </c>
    </row>
    <row r="994" spans="1:13" x14ac:dyDescent="0.35">
      <c r="A994" s="49" t="s">
        <v>5878</v>
      </c>
      <c r="B994" s="49" t="s">
        <v>5879</v>
      </c>
      <c r="C994" s="49" t="s">
        <v>5880</v>
      </c>
      <c r="D994" s="49" t="s">
        <v>1264</v>
      </c>
      <c r="E994" s="49" t="s">
        <v>2785</v>
      </c>
      <c r="F994" s="49" t="s">
        <v>2792</v>
      </c>
      <c r="G994" s="49" t="s">
        <v>4330</v>
      </c>
      <c r="H994" s="49" t="s">
        <v>980</v>
      </c>
      <c r="I994" s="50">
        <v>44789</v>
      </c>
      <c r="M994" s="49" t="s">
        <v>5881</v>
      </c>
    </row>
    <row r="995" spans="1:13" x14ac:dyDescent="0.35">
      <c r="A995" s="49" t="s">
        <v>5882</v>
      </c>
      <c r="C995" s="49" t="s">
        <v>5883</v>
      </c>
      <c r="D995" s="49" t="s">
        <v>1264</v>
      </c>
      <c r="E995" s="49" t="s">
        <v>3443</v>
      </c>
      <c r="F995" s="49" t="s">
        <v>3124</v>
      </c>
      <c r="G995" s="49" t="s">
        <v>4330</v>
      </c>
      <c r="H995" s="49" t="s">
        <v>980</v>
      </c>
      <c r="I995" s="50">
        <v>45163</v>
      </c>
    </row>
    <row r="996" spans="1:13" x14ac:dyDescent="0.35">
      <c r="A996" s="49" t="s">
        <v>5884</v>
      </c>
      <c r="B996" s="49" t="s">
        <v>5885</v>
      </c>
      <c r="C996" s="49" t="s">
        <v>5886</v>
      </c>
      <c r="D996" s="49" t="s">
        <v>1264</v>
      </c>
      <c r="E996" s="49" t="s">
        <v>2785</v>
      </c>
      <c r="F996" s="49" t="s">
        <v>2805</v>
      </c>
      <c r="G996" s="49" t="s">
        <v>4330</v>
      </c>
      <c r="H996" s="49" t="s">
        <v>3717</v>
      </c>
      <c r="I996" s="50">
        <v>45008</v>
      </c>
      <c r="M996" s="49" t="s">
        <v>5887</v>
      </c>
    </row>
    <row r="997" spans="1:13" x14ac:dyDescent="0.35">
      <c r="A997" s="49" t="s">
        <v>5888</v>
      </c>
      <c r="B997" s="49" t="s">
        <v>3962</v>
      </c>
      <c r="C997" s="49" t="s">
        <v>5889</v>
      </c>
      <c r="D997" s="49" t="s">
        <v>1264</v>
      </c>
      <c r="E997" s="49" t="s">
        <v>2785</v>
      </c>
      <c r="F997" s="49" t="s">
        <v>2792</v>
      </c>
      <c r="G997" s="49" t="s">
        <v>2787</v>
      </c>
      <c r="H997" s="49" t="s">
        <v>980</v>
      </c>
      <c r="I997" s="50">
        <v>44943</v>
      </c>
      <c r="J997" s="50">
        <v>45063</v>
      </c>
      <c r="K997" s="50">
        <v>45511</v>
      </c>
      <c r="M997" s="49" t="s">
        <v>5890</v>
      </c>
    </row>
    <row r="998" spans="1:13" x14ac:dyDescent="0.35">
      <c r="A998" s="49" t="s">
        <v>5891</v>
      </c>
      <c r="B998" s="49" t="s">
        <v>5892</v>
      </c>
      <c r="C998" s="49" t="s">
        <v>5893</v>
      </c>
      <c r="D998" s="49" t="s">
        <v>1264</v>
      </c>
      <c r="E998" s="49" t="s">
        <v>2986</v>
      </c>
      <c r="F998" s="49" t="s">
        <v>2825</v>
      </c>
      <c r="G998" s="49" t="s">
        <v>2901</v>
      </c>
      <c r="H998" s="49" t="s">
        <v>2827</v>
      </c>
      <c r="I998" s="50">
        <v>45098</v>
      </c>
      <c r="J998" s="50">
        <v>45189</v>
      </c>
      <c r="K998" s="50">
        <v>46284</v>
      </c>
      <c r="M998" s="49" t="s">
        <v>5894</v>
      </c>
    </row>
    <row r="999" spans="1:13" x14ac:dyDescent="0.35">
      <c r="A999" s="49" t="s">
        <v>5895</v>
      </c>
      <c r="B999" s="49" t="s">
        <v>2849</v>
      </c>
      <c r="C999" s="49" t="s">
        <v>5896</v>
      </c>
      <c r="D999" s="49" t="s">
        <v>1264</v>
      </c>
      <c r="E999" s="49" t="s">
        <v>2785</v>
      </c>
      <c r="F999" s="49" t="s">
        <v>2792</v>
      </c>
      <c r="G999" s="49" t="s">
        <v>2787</v>
      </c>
      <c r="H999" s="49" t="s">
        <v>980</v>
      </c>
      <c r="I999" s="50">
        <v>44991</v>
      </c>
      <c r="J999" s="50">
        <v>45041</v>
      </c>
      <c r="K999" s="50">
        <v>45511</v>
      </c>
      <c r="M999" s="49" t="s">
        <v>5897</v>
      </c>
    </row>
    <row r="1000" spans="1:13" x14ac:dyDescent="0.35">
      <c r="A1000" s="49" t="s">
        <v>5898</v>
      </c>
      <c r="C1000" s="49" t="s">
        <v>4329</v>
      </c>
      <c r="D1000" s="49" t="s">
        <v>1264</v>
      </c>
      <c r="E1000" s="49" t="s">
        <v>2908</v>
      </c>
      <c r="F1000" s="49" t="s">
        <v>2939</v>
      </c>
      <c r="G1000" s="49" t="s">
        <v>2901</v>
      </c>
      <c r="H1000" s="49" t="s">
        <v>980</v>
      </c>
      <c r="I1000" s="50">
        <v>45047</v>
      </c>
      <c r="J1000" s="50">
        <v>45196</v>
      </c>
      <c r="K1000" s="50">
        <v>47022</v>
      </c>
      <c r="M1000" s="49" t="s">
        <v>5899</v>
      </c>
    </row>
    <row r="1001" spans="1:13" x14ac:dyDescent="0.35">
      <c r="A1001" s="49" t="s">
        <v>5900</v>
      </c>
      <c r="B1001" s="49" t="s">
        <v>5901</v>
      </c>
      <c r="C1001" s="49" t="s">
        <v>5902</v>
      </c>
      <c r="D1001" s="49" t="s">
        <v>1264</v>
      </c>
      <c r="E1001" s="49" t="s">
        <v>2785</v>
      </c>
      <c r="F1001" s="49" t="s">
        <v>2792</v>
      </c>
      <c r="G1001" s="49" t="s">
        <v>2787</v>
      </c>
      <c r="H1001" s="49" t="s">
        <v>980</v>
      </c>
      <c r="I1001" s="50">
        <v>45121</v>
      </c>
      <c r="J1001" s="50">
        <v>45211</v>
      </c>
      <c r="K1001" s="50">
        <v>45576</v>
      </c>
      <c r="M1001" s="49" t="s">
        <v>5903</v>
      </c>
    </row>
    <row r="1002" spans="1:13" x14ac:dyDescent="0.35">
      <c r="A1002" s="49" t="s">
        <v>5904</v>
      </c>
      <c r="B1002" s="49" t="s">
        <v>5905</v>
      </c>
      <c r="C1002" s="49" t="s">
        <v>5317</v>
      </c>
      <c r="D1002" s="49" t="s">
        <v>1264</v>
      </c>
      <c r="E1002" s="49" t="s">
        <v>2785</v>
      </c>
      <c r="F1002" s="49" t="s">
        <v>2786</v>
      </c>
      <c r="G1002" s="49" t="s">
        <v>2787</v>
      </c>
      <c r="H1002" s="49" t="s">
        <v>980</v>
      </c>
      <c r="I1002" s="50">
        <v>45215</v>
      </c>
      <c r="J1002" s="50">
        <v>45217</v>
      </c>
      <c r="K1002" s="50">
        <v>45582</v>
      </c>
      <c r="M1002" s="49" t="s">
        <v>5906</v>
      </c>
    </row>
    <row r="1003" spans="1:13" x14ac:dyDescent="0.35">
      <c r="A1003" s="49" t="s">
        <v>5907</v>
      </c>
      <c r="B1003" s="49" t="s">
        <v>4809</v>
      </c>
      <c r="C1003" s="49" t="s">
        <v>5908</v>
      </c>
      <c r="D1003" s="49" t="s">
        <v>1264</v>
      </c>
      <c r="E1003" s="49" t="s">
        <v>2986</v>
      </c>
      <c r="F1003" s="49" t="s">
        <v>2825</v>
      </c>
      <c r="G1003" s="49" t="s">
        <v>2901</v>
      </c>
      <c r="H1003" s="49" t="s">
        <v>2827</v>
      </c>
      <c r="I1003" s="50">
        <v>45218</v>
      </c>
      <c r="J1003" s="50">
        <v>45294</v>
      </c>
      <c r="K1003" s="50">
        <v>46389</v>
      </c>
      <c r="M1003" s="49" t="s">
        <v>5909</v>
      </c>
    </row>
    <row r="1004" spans="1:13" x14ac:dyDescent="0.35">
      <c r="A1004" s="49" t="s">
        <v>5910</v>
      </c>
      <c r="B1004" s="49" t="s">
        <v>5865</v>
      </c>
      <c r="C1004" s="49" t="s">
        <v>5908</v>
      </c>
      <c r="D1004" s="49" t="s">
        <v>1264</v>
      </c>
      <c r="E1004" s="49" t="s">
        <v>2986</v>
      </c>
      <c r="F1004" s="49" t="s">
        <v>2825</v>
      </c>
      <c r="G1004" s="49" t="s">
        <v>2901</v>
      </c>
      <c r="H1004" s="49" t="s">
        <v>2827</v>
      </c>
      <c r="I1004" s="50">
        <v>45218</v>
      </c>
      <c r="J1004" s="50">
        <v>45275</v>
      </c>
      <c r="K1004" s="50">
        <v>46370</v>
      </c>
      <c r="M1004" s="49" t="s">
        <v>5911</v>
      </c>
    </row>
    <row r="1005" spans="1:13" x14ac:dyDescent="0.35">
      <c r="A1005" s="49" t="s">
        <v>5912</v>
      </c>
      <c r="B1005" s="49" t="s">
        <v>5913</v>
      </c>
      <c r="C1005" s="49" t="s">
        <v>5914</v>
      </c>
      <c r="D1005" s="49" t="s">
        <v>1264</v>
      </c>
      <c r="E1005" s="49" t="s">
        <v>2785</v>
      </c>
      <c r="F1005" s="49" t="s">
        <v>2792</v>
      </c>
      <c r="G1005" s="49" t="s">
        <v>4330</v>
      </c>
      <c r="H1005" s="49" t="s">
        <v>980</v>
      </c>
      <c r="I1005" s="50">
        <v>45224</v>
      </c>
      <c r="M1005" s="49" t="s">
        <v>5915</v>
      </c>
    </row>
    <row r="1006" spans="1:13" x14ac:dyDescent="0.35">
      <c r="A1006" s="49" t="s">
        <v>5916</v>
      </c>
      <c r="B1006" s="49" t="s">
        <v>5917</v>
      </c>
      <c r="C1006" s="49" t="s">
        <v>3951</v>
      </c>
      <c r="D1006" s="49" t="s">
        <v>1264</v>
      </c>
      <c r="E1006" s="49" t="s">
        <v>2785</v>
      </c>
      <c r="F1006" s="49" t="s">
        <v>4048</v>
      </c>
      <c r="G1006" s="49" t="s">
        <v>2787</v>
      </c>
      <c r="H1006" s="49" t="s">
        <v>2827</v>
      </c>
      <c r="I1006" s="50">
        <v>44694</v>
      </c>
      <c r="J1006" s="50">
        <v>45230</v>
      </c>
      <c r="K1006" s="50">
        <v>45595</v>
      </c>
      <c r="M1006" s="49" t="s">
        <v>5918</v>
      </c>
    </row>
    <row r="1007" spans="1:13" x14ac:dyDescent="0.35">
      <c r="A1007" s="49" t="s">
        <v>5919</v>
      </c>
      <c r="B1007" s="49" t="s">
        <v>5920</v>
      </c>
      <c r="C1007" s="49" t="s">
        <v>4086</v>
      </c>
      <c r="D1007" s="49" t="s">
        <v>1264</v>
      </c>
      <c r="E1007" s="49" t="s">
        <v>2785</v>
      </c>
      <c r="F1007" s="49" t="s">
        <v>2786</v>
      </c>
      <c r="G1007" s="49" t="s">
        <v>4330</v>
      </c>
      <c r="H1007" s="49" t="s">
        <v>973</v>
      </c>
      <c r="I1007" s="50">
        <v>45128</v>
      </c>
      <c r="M1007" s="49" t="s">
        <v>5921</v>
      </c>
    </row>
    <row r="1008" spans="1:13" x14ac:dyDescent="0.35">
      <c r="A1008" s="49" t="s">
        <v>5922</v>
      </c>
      <c r="B1008" s="49" t="s">
        <v>5923</v>
      </c>
      <c r="C1008" s="49" t="s">
        <v>5924</v>
      </c>
      <c r="D1008" s="49" t="s">
        <v>1264</v>
      </c>
      <c r="E1008" s="49" t="s">
        <v>2785</v>
      </c>
      <c r="F1008" s="49" t="s">
        <v>2805</v>
      </c>
      <c r="G1008" s="49" t="s">
        <v>2787</v>
      </c>
      <c r="H1008" s="49" t="s">
        <v>980</v>
      </c>
      <c r="I1008" s="50">
        <v>44729</v>
      </c>
      <c r="J1008" s="50">
        <v>45226</v>
      </c>
      <c r="K1008" s="50">
        <v>45252</v>
      </c>
      <c r="M1008" s="49" t="s">
        <v>5925</v>
      </c>
    </row>
    <row r="1009" spans="1:13" ht="29" x14ac:dyDescent="0.35">
      <c r="A1009" s="49" t="s">
        <v>5926</v>
      </c>
      <c r="B1009" s="51" t="s">
        <v>5927</v>
      </c>
      <c r="C1009" s="49" t="s">
        <v>5928</v>
      </c>
      <c r="D1009" s="49" t="s">
        <v>1264</v>
      </c>
      <c r="E1009" s="49" t="s">
        <v>2785</v>
      </c>
      <c r="F1009" s="49" t="s">
        <v>2786</v>
      </c>
      <c r="G1009" s="49" t="s">
        <v>4330</v>
      </c>
      <c r="H1009" s="49" t="s">
        <v>4225</v>
      </c>
      <c r="I1009" s="50">
        <v>45156</v>
      </c>
      <c r="M1009" s="49" t="s">
        <v>5929</v>
      </c>
    </row>
    <row r="1010" spans="1:13" ht="43.5" x14ac:dyDescent="0.35">
      <c r="A1010" s="49" t="s">
        <v>5930</v>
      </c>
      <c r="B1010" s="51" t="s">
        <v>5931</v>
      </c>
      <c r="C1010" s="49" t="s">
        <v>3731</v>
      </c>
      <c r="D1010" s="49" t="s">
        <v>1264</v>
      </c>
      <c r="E1010" s="49" t="s">
        <v>2785</v>
      </c>
      <c r="F1010" s="49" t="s">
        <v>2786</v>
      </c>
      <c r="G1010" s="49" t="s">
        <v>4330</v>
      </c>
      <c r="H1010" s="49" t="s">
        <v>4225</v>
      </c>
      <c r="I1010" s="50">
        <v>45155</v>
      </c>
      <c r="M1010" s="49" t="s">
        <v>5932</v>
      </c>
    </row>
    <row r="1011" spans="1:13" x14ac:dyDescent="0.35">
      <c r="A1011" s="49" t="s">
        <v>5933</v>
      </c>
      <c r="B1011" s="49" t="s">
        <v>5934</v>
      </c>
      <c r="C1011" s="49" t="s">
        <v>3731</v>
      </c>
      <c r="D1011" s="49" t="s">
        <v>1264</v>
      </c>
      <c r="E1011" s="49" t="s">
        <v>2785</v>
      </c>
      <c r="F1011" s="49" t="s">
        <v>2786</v>
      </c>
      <c r="G1011" s="49" t="s">
        <v>4330</v>
      </c>
      <c r="H1011" s="49" t="s">
        <v>4225</v>
      </c>
      <c r="I1011" s="50">
        <v>45155</v>
      </c>
      <c r="M1011" s="49" t="s">
        <v>5935</v>
      </c>
    </row>
    <row r="1012" spans="1:13" ht="29" x14ac:dyDescent="0.35">
      <c r="A1012" s="49" t="s">
        <v>5936</v>
      </c>
      <c r="B1012" s="51" t="s">
        <v>5937</v>
      </c>
      <c r="C1012" s="49" t="s">
        <v>3731</v>
      </c>
      <c r="D1012" s="49" t="s">
        <v>1264</v>
      </c>
      <c r="E1012" s="49" t="s">
        <v>2785</v>
      </c>
      <c r="F1012" s="49" t="s">
        <v>2786</v>
      </c>
      <c r="G1012" s="49" t="s">
        <v>4330</v>
      </c>
      <c r="H1012" s="49" t="s">
        <v>4225</v>
      </c>
      <c r="I1012" s="50">
        <v>45155</v>
      </c>
      <c r="M1012" s="49" t="s">
        <v>5938</v>
      </c>
    </row>
    <row r="1013" spans="1:13" x14ac:dyDescent="0.35">
      <c r="A1013" s="49" t="s">
        <v>5939</v>
      </c>
      <c r="B1013" s="49" t="s">
        <v>5940</v>
      </c>
      <c r="C1013" s="49" t="s">
        <v>5941</v>
      </c>
      <c r="D1013" s="49" t="s">
        <v>1264</v>
      </c>
      <c r="E1013" s="49" t="s">
        <v>2785</v>
      </c>
      <c r="F1013" s="49" t="s">
        <v>2786</v>
      </c>
      <c r="G1013" s="49" t="s">
        <v>2787</v>
      </c>
      <c r="H1013" s="49" t="s">
        <v>980</v>
      </c>
      <c r="I1013" s="50">
        <v>45141</v>
      </c>
      <c r="J1013" s="50">
        <v>45209</v>
      </c>
      <c r="K1013" s="50">
        <v>45574</v>
      </c>
      <c r="M1013" s="49" t="s">
        <v>5942</v>
      </c>
    </row>
    <row r="1014" spans="1:13" x14ac:dyDescent="0.35">
      <c r="A1014" s="49" t="s">
        <v>5943</v>
      </c>
      <c r="B1014" s="49" t="s">
        <v>5944</v>
      </c>
      <c r="C1014" s="49" t="s">
        <v>5455</v>
      </c>
      <c r="D1014" s="49" t="s">
        <v>1264</v>
      </c>
      <c r="E1014" s="49" t="s">
        <v>2785</v>
      </c>
      <c r="F1014" s="49" t="s">
        <v>2786</v>
      </c>
      <c r="G1014" s="49" t="s">
        <v>4330</v>
      </c>
      <c r="H1014" s="49" t="s">
        <v>980</v>
      </c>
      <c r="I1014" s="50">
        <v>45022</v>
      </c>
      <c r="M1014" s="49" t="s">
        <v>5945</v>
      </c>
    </row>
    <row r="1015" spans="1:13" x14ac:dyDescent="0.35">
      <c r="A1015" s="49" t="s">
        <v>5946</v>
      </c>
      <c r="C1015" s="49" t="s">
        <v>5947</v>
      </c>
      <c r="D1015" s="49" t="s">
        <v>1264</v>
      </c>
      <c r="E1015" s="49" t="s">
        <v>2986</v>
      </c>
      <c r="F1015" s="49" t="s">
        <v>2825</v>
      </c>
      <c r="G1015" s="49" t="s">
        <v>4891</v>
      </c>
      <c r="H1015" s="49" t="s">
        <v>2827</v>
      </c>
      <c r="I1015" s="50">
        <v>45224</v>
      </c>
      <c r="M1015" s="49" t="s">
        <v>5948</v>
      </c>
    </row>
    <row r="1016" spans="1:13" x14ac:dyDescent="0.35">
      <c r="A1016" s="49" t="s">
        <v>5949</v>
      </c>
      <c r="B1016" s="49" t="s">
        <v>5950</v>
      </c>
      <c r="C1016" s="49" t="s">
        <v>5951</v>
      </c>
      <c r="D1016" s="49" t="s">
        <v>1264</v>
      </c>
      <c r="E1016" s="49" t="s">
        <v>2785</v>
      </c>
      <c r="F1016" s="49" t="s">
        <v>2792</v>
      </c>
      <c r="G1016" s="49" t="s">
        <v>2787</v>
      </c>
      <c r="H1016" s="49" t="s">
        <v>980</v>
      </c>
      <c r="I1016" s="50">
        <v>44979</v>
      </c>
      <c r="J1016" s="50">
        <v>45044</v>
      </c>
      <c r="K1016" s="50">
        <v>45511</v>
      </c>
      <c r="M1016" s="49" t="s">
        <v>5952</v>
      </c>
    </row>
    <row r="1017" spans="1:13" x14ac:dyDescent="0.35">
      <c r="A1017" s="49" t="s">
        <v>5953</v>
      </c>
      <c r="B1017" s="49" t="s">
        <v>5954</v>
      </c>
      <c r="C1017" s="49" t="s">
        <v>5955</v>
      </c>
      <c r="D1017" s="49" t="s">
        <v>1264</v>
      </c>
      <c r="E1017" s="49" t="s">
        <v>2785</v>
      </c>
      <c r="F1017" s="49" t="s">
        <v>2786</v>
      </c>
      <c r="G1017" s="49" t="s">
        <v>2787</v>
      </c>
      <c r="H1017" s="49" t="s">
        <v>980</v>
      </c>
      <c r="I1017" s="50">
        <v>45224</v>
      </c>
      <c r="J1017" s="50">
        <v>45236</v>
      </c>
      <c r="K1017" s="50">
        <v>45601</v>
      </c>
      <c r="M1017" s="49" t="s">
        <v>5956</v>
      </c>
    </row>
    <row r="1018" spans="1:13" x14ac:dyDescent="0.35">
      <c r="A1018" s="49" t="s">
        <v>5957</v>
      </c>
      <c r="B1018" s="49" t="s">
        <v>4262</v>
      </c>
      <c r="C1018" s="49" t="s">
        <v>4263</v>
      </c>
      <c r="D1018" s="49" t="s">
        <v>1264</v>
      </c>
      <c r="E1018" s="49" t="s">
        <v>2785</v>
      </c>
      <c r="F1018" s="49" t="s">
        <v>2805</v>
      </c>
      <c r="G1018" s="49" t="s">
        <v>2787</v>
      </c>
      <c r="H1018" s="49" t="s">
        <v>973</v>
      </c>
      <c r="I1018" s="50">
        <v>45013</v>
      </c>
      <c r="J1018" s="50">
        <v>45077</v>
      </c>
      <c r="K1018" s="50">
        <v>45442</v>
      </c>
      <c r="M1018" s="49" t="s">
        <v>4264</v>
      </c>
    </row>
    <row r="1019" spans="1:13" x14ac:dyDescent="0.35">
      <c r="A1019" s="49" t="s">
        <v>5958</v>
      </c>
      <c r="B1019" s="49" t="s">
        <v>5959</v>
      </c>
      <c r="C1019" s="49" t="s">
        <v>5960</v>
      </c>
      <c r="D1019" s="49" t="s">
        <v>1264</v>
      </c>
      <c r="E1019" s="49" t="s">
        <v>2785</v>
      </c>
      <c r="F1019" s="49" t="s">
        <v>2792</v>
      </c>
      <c r="G1019" s="49" t="s">
        <v>2787</v>
      </c>
      <c r="H1019" s="49" t="s">
        <v>835</v>
      </c>
      <c r="I1019" s="50">
        <v>45222</v>
      </c>
      <c r="J1019" s="50">
        <v>45239</v>
      </c>
      <c r="K1019" s="50">
        <v>45604</v>
      </c>
      <c r="M1019" s="49" t="s">
        <v>3104</v>
      </c>
    </row>
    <row r="1020" spans="1:13" x14ac:dyDescent="0.35">
      <c r="A1020" s="49" t="s">
        <v>5961</v>
      </c>
      <c r="B1020" s="49" t="s">
        <v>5962</v>
      </c>
      <c r="C1020" s="49" t="s">
        <v>5634</v>
      </c>
      <c r="D1020" s="49" t="s">
        <v>1264</v>
      </c>
      <c r="E1020" s="49" t="s">
        <v>2974</v>
      </c>
      <c r="F1020" s="49" t="s">
        <v>2825</v>
      </c>
      <c r="G1020" s="49" t="s">
        <v>2901</v>
      </c>
      <c r="H1020" s="49" t="s">
        <v>2827</v>
      </c>
      <c r="I1020" s="50">
        <v>45210</v>
      </c>
      <c r="J1020" s="50">
        <v>45224</v>
      </c>
      <c r="K1020" s="50">
        <v>47050</v>
      </c>
      <c r="M1020" s="49" t="s">
        <v>5963</v>
      </c>
    </row>
    <row r="1021" spans="1:13" x14ac:dyDescent="0.35">
      <c r="A1021" s="49" t="s">
        <v>5964</v>
      </c>
      <c r="B1021" s="49" t="s">
        <v>5965</v>
      </c>
      <c r="C1021" s="49" t="s">
        <v>5634</v>
      </c>
      <c r="D1021" s="49" t="s">
        <v>1264</v>
      </c>
      <c r="E1021" s="49" t="s">
        <v>2974</v>
      </c>
      <c r="F1021" s="49" t="s">
        <v>2825</v>
      </c>
      <c r="G1021" s="49" t="s">
        <v>2901</v>
      </c>
      <c r="H1021" s="49" t="s">
        <v>2827</v>
      </c>
      <c r="I1021" s="50">
        <v>45218</v>
      </c>
      <c r="J1021" s="50">
        <v>45226</v>
      </c>
      <c r="K1021" s="50">
        <v>47052</v>
      </c>
      <c r="M1021" s="49" t="s">
        <v>5966</v>
      </c>
    </row>
    <row r="1022" spans="1:13" x14ac:dyDescent="0.35">
      <c r="A1022" s="49" t="s">
        <v>5967</v>
      </c>
      <c r="B1022" s="49" t="s">
        <v>5042</v>
      </c>
      <c r="C1022" s="49" t="s">
        <v>3985</v>
      </c>
      <c r="D1022" s="49" t="s">
        <v>1264</v>
      </c>
      <c r="E1022" s="49" t="s">
        <v>2974</v>
      </c>
      <c r="F1022" s="49" t="s">
        <v>2900</v>
      </c>
      <c r="G1022" s="49" t="s">
        <v>2901</v>
      </c>
      <c r="H1022" s="49" t="s">
        <v>980</v>
      </c>
      <c r="I1022" s="50">
        <v>45013</v>
      </c>
      <c r="J1022" s="50">
        <v>45224</v>
      </c>
      <c r="K1022" s="50">
        <v>47050</v>
      </c>
      <c r="M1022" s="49" t="s">
        <v>5968</v>
      </c>
    </row>
    <row r="1023" spans="1:13" x14ac:dyDescent="0.35">
      <c r="A1023" s="49" t="s">
        <v>5969</v>
      </c>
      <c r="B1023" s="49" t="s">
        <v>3768</v>
      </c>
      <c r="C1023" s="49" t="s">
        <v>5970</v>
      </c>
      <c r="D1023" s="49" t="s">
        <v>1264</v>
      </c>
      <c r="E1023" s="49" t="s">
        <v>3443</v>
      </c>
      <c r="F1023" s="49" t="s">
        <v>3124</v>
      </c>
      <c r="G1023" s="49" t="s">
        <v>4330</v>
      </c>
      <c r="H1023" s="49" t="s">
        <v>980</v>
      </c>
      <c r="I1023" s="50">
        <v>45092</v>
      </c>
    </row>
    <row r="1024" spans="1:13" x14ac:dyDescent="0.35">
      <c r="A1024" s="49" t="s">
        <v>5971</v>
      </c>
      <c r="C1024" s="49" t="s">
        <v>5140</v>
      </c>
      <c r="D1024" s="49" t="s">
        <v>1264</v>
      </c>
      <c r="E1024" s="49" t="s">
        <v>2785</v>
      </c>
      <c r="F1024" s="49" t="s">
        <v>2786</v>
      </c>
      <c r="G1024" s="49" t="s">
        <v>4330</v>
      </c>
      <c r="H1024" s="49" t="s">
        <v>2827</v>
      </c>
      <c r="I1024" s="50">
        <v>45084</v>
      </c>
      <c r="M1024" s="49" t="s">
        <v>5972</v>
      </c>
    </row>
    <row r="1025" spans="1:13" x14ac:dyDescent="0.35">
      <c r="A1025" s="49" t="s">
        <v>5973</v>
      </c>
      <c r="B1025" s="49" t="s">
        <v>5974</v>
      </c>
      <c r="C1025" s="49" t="s">
        <v>5975</v>
      </c>
      <c r="D1025" s="49" t="s">
        <v>1264</v>
      </c>
      <c r="E1025" s="49" t="s">
        <v>2785</v>
      </c>
      <c r="F1025" s="49" t="s">
        <v>2786</v>
      </c>
      <c r="G1025" s="49" t="s">
        <v>4330</v>
      </c>
      <c r="H1025" s="49" t="s">
        <v>980</v>
      </c>
      <c r="I1025" s="50">
        <v>45226</v>
      </c>
      <c r="M1025" s="49" t="s">
        <v>5976</v>
      </c>
    </row>
    <row r="1026" spans="1:13" x14ac:dyDescent="0.35">
      <c r="A1026" s="49" t="s">
        <v>5977</v>
      </c>
      <c r="B1026" s="49" t="s">
        <v>5978</v>
      </c>
      <c r="C1026" s="49" t="s">
        <v>5979</v>
      </c>
      <c r="D1026" s="49" t="s">
        <v>1264</v>
      </c>
      <c r="E1026" s="49" t="s">
        <v>2785</v>
      </c>
      <c r="F1026" s="49" t="s">
        <v>2792</v>
      </c>
      <c r="G1026" s="49" t="s">
        <v>2787</v>
      </c>
      <c r="H1026" s="49" t="s">
        <v>980</v>
      </c>
      <c r="I1026" s="50">
        <v>45236</v>
      </c>
      <c r="J1026" s="50">
        <v>45247</v>
      </c>
      <c r="K1026" s="50">
        <v>45612</v>
      </c>
      <c r="M1026" s="49" t="s">
        <v>5980</v>
      </c>
    </row>
    <row r="1027" spans="1:13" x14ac:dyDescent="0.35">
      <c r="A1027" s="49" t="s">
        <v>5981</v>
      </c>
      <c r="B1027" s="49" t="s">
        <v>5982</v>
      </c>
      <c r="C1027" s="49" t="s">
        <v>5983</v>
      </c>
      <c r="D1027" s="49" t="s">
        <v>1264</v>
      </c>
      <c r="E1027" s="49" t="s">
        <v>2785</v>
      </c>
      <c r="F1027" s="49" t="s">
        <v>2792</v>
      </c>
      <c r="G1027" s="49" t="s">
        <v>2787</v>
      </c>
      <c r="H1027" s="49" t="s">
        <v>980</v>
      </c>
      <c r="I1027" s="50">
        <v>45236</v>
      </c>
      <c r="J1027" s="50">
        <v>45246</v>
      </c>
      <c r="K1027" s="50">
        <v>45611</v>
      </c>
      <c r="M1027" s="49" t="s">
        <v>5984</v>
      </c>
    </row>
    <row r="1028" spans="1:13" x14ac:dyDescent="0.35">
      <c r="A1028" s="49" t="s">
        <v>5985</v>
      </c>
      <c r="C1028" s="49" t="s">
        <v>5986</v>
      </c>
      <c r="D1028" s="49" t="s">
        <v>1264</v>
      </c>
      <c r="E1028" s="49" t="s">
        <v>2986</v>
      </c>
      <c r="F1028" s="49" t="s">
        <v>2825</v>
      </c>
      <c r="G1028" s="49" t="s">
        <v>2901</v>
      </c>
      <c r="H1028" s="49" t="s">
        <v>973</v>
      </c>
      <c r="I1028" s="50">
        <v>45233</v>
      </c>
      <c r="J1028" s="50">
        <v>45366</v>
      </c>
      <c r="K1028" s="50">
        <v>46460</v>
      </c>
      <c r="M1028" s="49" t="s">
        <v>5051</v>
      </c>
    </row>
    <row r="1029" spans="1:13" x14ac:dyDescent="0.35">
      <c r="A1029" s="49" t="s">
        <v>5987</v>
      </c>
      <c r="B1029" s="49" t="s">
        <v>4817</v>
      </c>
      <c r="C1029" s="49" t="s">
        <v>5988</v>
      </c>
      <c r="D1029" s="49" t="s">
        <v>1264</v>
      </c>
      <c r="E1029" s="49" t="s">
        <v>2986</v>
      </c>
      <c r="F1029" s="49" t="s">
        <v>2825</v>
      </c>
      <c r="G1029" s="49" t="s">
        <v>2901</v>
      </c>
      <c r="H1029" s="49" t="s">
        <v>2827</v>
      </c>
      <c r="I1029" s="50">
        <v>45217</v>
      </c>
      <c r="J1029" s="50">
        <v>45236</v>
      </c>
      <c r="K1029" s="50">
        <v>46331</v>
      </c>
      <c r="M1029" s="49" t="s">
        <v>5565</v>
      </c>
    </row>
    <row r="1030" spans="1:13" x14ac:dyDescent="0.35">
      <c r="A1030" s="49" t="s">
        <v>5989</v>
      </c>
      <c r="B1030" s="49" t="s">
        <v>4809</v>
      </c>
      <c r="C1030" s="49" t="s">
        <v>5729</v>
      </c>
      <c r="D1030" s="49" t="s">
        <v>1264</v>
      </c>
      <c r="E1030" s="49" t="s">
        <v>2986</v>
      </c>
      <c r="F1030" s="49" t="s">
        <v>2825</v>
      </c>
      <c r="G1030" s="49" t="s">
        <v>2901</v>
      </c>
      <c r="H1030" s="49" t="s">
        <v>973</v>
      </c>
      <c r="I1030" s="50">
        <v>45117</v>
      </c>
      <c r="J1030" s="50">
        <v>45121</v>
      </c>
      <c r="K1030" s="50">
        <v>46216</v>
      </c>
      <c r="M1030" s="49" t="s">
        <v>5990</v>
      </c>
    </row>
    <row r="1031" spans="1:13" x14ac:dyDescent="0.35">
      <c r="A1031" s="49" t="s">
        <v>5991</v>
      </c>
      <c r="B1031" s="49" t="s">
        <v>4877</v>
      </c>
      <c r="C1031" s="49" t="s">
        <v>5729</v>
      </c>
      <c r="D1031" s="49" t="s">
        <v>1264</v>
      </c>
      <c r="E1031" s="49" t="s">
        <v>2986</v>
      </c>
      <c r="F1031" s="49" t="s">
        <v>2825</v>
      </c>
      <c r="G1031" s="49" t="s">
        <v>4330</v>
      </c>
      <c r="H1031" s="49" t="s">
        <v>973</v>
      </c>
      <c r="I1031" s="50">
        <v>45117</v>
      </c>
      <c r="M1031" s="49" t="s">
        <v>5992</v>
      </c>
    </row>
    <row r="1032" spans="1:13" x14ac:dyDescent="0.35">
      <c r="A1032" s="49" t="s">
        <v>5993</v>
      </c>
      <c r="B1032" s="49" t="s">
        <v>5865</v>
      </c>
      <c r="C1032" s="49" t="s">
        <v>5729</v>
      </c>
      <c r="D1032" s="49" t="s">
        <v>1264</v>
      </c>
      <c r="E1032" s="49" t="s">
        <v>2986</v>
      </c>
      <c r="F1032" s="49" t="s">
        <v>2825</v>
      </c>
      <c r="G1032" s="49" t="s">
        <v>2901</v>
      </c>
      <c r="H1032" s="49" t="s">
        <v>973</v>
      </c>
      <c r="I1032" s="50">
        <v>45117</v>
      </c>
      <c r="J1032" s="50">
        <v>45121</v>
      </c>
      <c r="K1032" s="50">
        <v>46216</v>
      </c>
      <c r="M1032" s="49" t="s">
        <v>5994</v>
      </c>
    </row>
    <row r="1033" spans="1:13" x14ac:dyDescent="0.35">
      <c r="A1033" s="49" t="s">
        <v>5995</v>
      </c>
      <c r="B1033" s="49" t="s">
        <v>5996</v>
      </c>
      <c r="C1033" s="49" t="s">
        <v>4470</v>
      </c>
      <c r="D1033" s="49" t="s">
        <v>1264</v>
      </c>
      <c r="E1033" s="49" t="s">
        <v>2785</v>
      </c>
      <c r="F1033" s="49" t="s">
        <v>2792</v>
      </c>
      <c r="G1033" s="49" t="s">
        <v>2787</v>
      </c>
      <c r="H1033" s="49" t="s">
        <v>980</v>
      </c>
      <c r="I1033" s="50">
        <v>45208</v>
      </c>
      <c r="J1033" s="50">
        <v>45254</v>
      </c>
      <c r="K1033" s="50">
        <v>45619</v>
      </c>
      <c r="M1033" s="49" t="s">
        <v>5997</v>
      </c>
    </row>
    <row r="1034" spans="1:13" x14ac:dyDescent="0.35">
      <c r="A1034" s="49" t="s">
        <v>5998</v>
      </c>
      <c r="B1034" s="49" t="s">
        <v>5800</v>
      </c>
      <c r="C1034" s="49" t="s">
        <v>5999</v>
      </c>
      <c r="D1034" s="49" t="s">
        <v>1264</v>
      </c>
      <c r="E1034" s="49" t="s">
        <v>2785</v>
      </c>
      <c r="F1034" s="49" t="s">
        <v>2786</v>
      </c>
      <c r="G1034" s="49" t="s">
        <v>4330</v>
      </c>
      <c r="H1034" s="49" t="s">
        <v>980</v>
      </c>
      <c r="I1034" s="50">
        <v>45253</v>
      </c>
      <c r="M1034" s="49" t="s">
        <v>6000</v>
      </c>
    </row>
    <row r="1035" spans="1:13" x14ac:dyDescent="0.35">
      <c r="A1035" s="49" t="s">
        <v>6001</v>
      </c>
      <c r="B1035" s="49" t="s">
        <v>6002</v>
      </c>
      <c r="C1035" s="49" t="s">
        <v>5017</v>
      </c>
      <c r="D1035" s="49" t="s">
        <v>1264</v>
      </c>
      <c r="E1035" s="49" t="s">
        <v>2785</v>
      </c>
      <c r="F1035" s="49" t="s">
        <v>2786</v>
      </c>
      <c r="G1035" s="49" t="s">
        <v>4330</v>
      </c>
      <c r="H1035" s="49" t="s">
        <v>980</v>
      </c>
      <c r="I1035" s="50">
        <v>45189</v>
      </c>
      <c r="M1035" s="49" t="s">
        <v>6003</v>
      </c>
    </row>
    <row r="1036" spans="1:13" x14ac:dyDescent="0.35">
      <c r="A1036" s="49" t="s">
        <v>6004</v>
      </c>
      <c r="B1036" s="49" t="s">
        <v>6005</v>
      </c>
      <c r="C1036" s="49" t="s">
        <v>5233</v>
      </c>
      <c r="D1036" s="49" t="s">
        <v>1264</v>
      </c>
      <c r="E1036" s="49" t="s">
        <v>2785</v>
      </c>
      <c r="F1036" s="49" t="s">
        <v>2805</v>
      </c>
      <c r="G1036" s="49" t="s">
        <v>2787</v>
      </c>
      <c r="H1036" s="49" t="s">
        <v>973</v>
      </c>
      <c r="I1036" s="50">
        <v>45188</v>
      </c>
      <c r="J1036" s="50">
        <v>45230</v>
      </c>
      <c r="K1036" s="50">
        <v>45595</v>
      </c>
      <c r="M1036" s="49" t="s">
        <v>6006</v>
      </c>
    </row>
    <row r="1037" spans="1:13" x14ac:dyDescent="0.35">
      <c r="A1037" s="49" t="s">
        <v>6007</v>
      </c>
      <c r="B1037" s="49" t="s">
        <v>6008</v>
      </c>
      <c r="C1037" s="49" t="s">
        <v>3951</v>
      </c>
      <c r="D1037" s="49" t="s">
        <v>1264</v>
      </c>
      <c r="E1037" s="49" t="s">
        <v>2785</v>
      </c>
      <c r="F1037" s="49" t="s">
        <v>2805</v>
      </c>
      <c r="G1037" s="49" t="s">
        <v>2787</v>
      </c>
      <c r="H1037" s="49" t="s">
        <v>1062</v>
      </c>
      <c r="I1037" s="50">
        <v>44802</v>
      </c>
      <c r="J1037" s="50">
        <v>45230</v>
      </c>
      <c r="K1037" s="50">
        <v>45595</v>
      </c>
      <c r="M1037" s="49" t="s">
        <v>6009</v>
      </c>
    </row>
    <row r="1038" spans="1:13" x14ac:dyDescent="0.35">
      <c r="A1038" s="49" t="s">
        <v>6010</v>
      </c>
      <c r="B1038" s="49" t="s">
        <v>6011</v>
      </c>
      <c r="C1038" s="49" t="s">
        <v>6012</v>
      </c>
      <c r="D1038" s="49" t="s">
        <v>1264</v>
      </c>
      <c r="E1038" s="49" t="s">
        <v>2785</v>
      </c>
      <c r="F1038" s="49" t="s">
        <v>2792</v>
      </c>
      <c r="G1038" s="49" t="s">
        <v>4330</v>
      </c>
      <c r="H1038" s="49" t="s">
        <v>980</v>
      </c>
      <c r="I1038" s="50">
        <v>45189</v>
      </c>
      <c r="M1038" s="49" t="s">
        <v>6013</v>
      </c>
    </row>
    <row r="1039" spans="1:13" x14ac:dyDescent="0.35">
      <c r="A1039" s="49" t="s">
        <v>6014</v>
      </c>
      <c r="B1039" s="49" t="s">
        <v>6015</v>
      </c>
      <c r="C1039" s="49" t="s">
        <v>5134</v>
      </c>
      <c r="D1039" s="49" t="s">
        <v>1264</v>
      </c>
      <c r="E1039" s="49" t="s">
        <v>2785</v>
      </c>
      <c r="F1039" s="49" t="s">
        <v>2786</v>
      </c>
      <c r="G1039" s="49" t="s">
        <v>2787</v>
      </c>
      <c r="H1039" s="49" t="s">
        <v>973</v>
      </c>
      <c r="I1039" s="50">
        <v>45229</v>
      </c>
      <c r="J1039" s="50">
        <v>45259</v>
      </c>
      <c r="K1039" s="50">
        <v>45624</v>
      </c>
      <c r="M1039" s="49" t="s">
        <v>6016</v>
      </c>
    </row>
    <row r="1040" spans="1:13" x14ac:dyDescent="0.35">
      <c r="A1040" s="49" t="s">
        <v>6017</v>
      </c>
      <c r="B1040" s="49" t="s">
        <v>6018</v>
      </c>
      <c r="C1040" s="49" t="s">
        <v>6019</v>
      </c>
      <c r="D1040" s="49" t="s">
        <v>1264</v>
      </c>
      <c r="E1040" s="49" t="s">
        <v>2785</v>
      </c>
      <c r="F1040" s="49" t="s">
        <v>2792</v>
      </c>
      <c r="G1040" s="49" t="s">
        <v>2787</v>
      </c>
      <c r="H1040" s="49" t="s">
        <v>8</v>
      </c>
      <c r="I1040" s="50">
        <v>45221</v>
      </c>
      <c r="J1040" s="50">
        <v>45259</v>
      </c>
      <c r="K1040" s="50">
        <v>45624</v>
      </c>
      <c r="M1040" s="49" t="s">
        <v>6020</v>
      </c>
    </row>
    <row r="1041" spans="1:13" x14ac:dyDescent="0.35">
      <c r="A1041" s="49" t="s">
        <v>6021</v>
      </c>
      <c r="B1041" s="49" t="s">
        <v>6022</v>
      </c>
      <c r="C1041" s="49" t="s">
        <v>6023</v>
      </c>
      <c r="D1041" s="49" t="s">
        <v>1264</v>
      </c>
      <c r="E1041" s="49" t="s">
        <v>2785</v>
      </c>
      <c r="F1041" s="49" t="s">
        <v>2792</v>
      </c>
      <c r="G1041" s="49" t="s">
        <v>4330</v>
      </c>
      <c r="H1041" s="49" t="s">
        <v>980</v>
      </c>
      <c r="I1041" s="50">
        <v>45204</v>
      </c>
      <c r="M1041" s="49" t="s">
        <v>4560</v>
      </c>
    </row>
    <row r="1042" spans="1:13" x14ac:dyDescent="0.35">
      <c r="A1042" s="49" t="s">
        <v>6024</v>
      </c>
      <c r="B1042" s="49" t="s">
        <v>6025</v>
      </c>
      <c r="C1042" s="49" t="s">
        <v>6026</v>
      </c>
      <c r="D1042" s="49" t="s">
        <v>1264</v>
      </c>
      <c r="E1042" s="49" t="s">
        <v>2785</v>
      </c>
      <c r="F1042" s="49" t="s">
        <v>2792</v>
      </c>
      <c r="G1042" s="49" t="s">
        <v>4330</v>
      </c>
      <c r="H1042" s="49" t="s">
        <v>4225</v>
      </c>
      <c r="I1042" s="50">
        <v>45229</v>
      </c>
      <c r="M1042" s="49" t="s">
        <v>6027</v>
      </c>
    </row>
    <row r="1043" spans="1:13" x14ac:dyDescent="0.35">
      <c r="A1043" s="49" t="s">
        <v>6028</v>
      </c>
      <c r="B1043" s="49" t="s">
        <v>6029</v>
      </c>
      <c r="C1043" s="49" t="s">
        <v>4849</v>
      </c>
      <c r="D1043" s="49" t="s">
        <v>1264</v>
      </c>
      <c r="E1043" s="49" t="s">
        <v>2908</v>
      </c>
      <c r="F1043" s="49" t="s">
        <v>3010</v>
      </c>
      <c r="G1043" s="49" t="s">
        <v>2901</v>
      </c>
      <c r="H1043" s="49" t="s">
        <v>980</v>
      </c>
      <c r="I1043" s="50">
        <v>45253</v>
      </c>
      <c r="J1043" s="50">
        <v>45289</v>
      </c>
      <c r="K1043" s="50">
        <v>47115</v>
      </c>
      <c r="M1043" s="49" t="s">
        <v>6030</v>
      </c>
    </row>
    <row r="1044" spans="1:13" x14ac:dyDescent="0.35">
      <c r="A1044" s="49" t="s">
        <v>6031</v>
      </c>
      <c r="B1044" s="49" t="s">
        <v>6032</v>
      </c>
      <c r="C1044" s="49" t="s">
        <v>2804</v>
      </c>
      <c r="D1044" s="49" t="s">
        <v>1264</v>
      </c>
      <c r="E1044" s="49" t="s">
        <v>2785</v>
      </c>
      <c r="F1044" s="49" t="s">
        <v>2805</v>
      </c>
      <c r="G1044" s="49" t="s">
        <v>4330</v>
      </c>
      <c r="H1044" s="49" t="s">
        <v>3717</v>
      </c>
      <c r="I1044" s="50">
        <v>45239</v>
      </c>
      <c r="M1044" s="49" t="s">
        <v>6033</v>
      </c>
    </row>
    <row r="1045" spans="1:13" x14ac:dyDescent="0.35">
      <c r="A1045" s="49" t="s">
        <v>6034</v>
      </c>
      <c r="B1045" s="49" t="s">
        <v>4724</v>
      </c>
      <c r="C1045" s="49" t="s">
        <v>6035</v>
      </c>
      <c r="D1045" s="49" t="s">
        <v>1264</v>
      </c>
      <c r="E1045" s="49" t="s">
        <v>3443</v>
      </c>
      <c r="F1045" s="49" t="s">
        <v>3124</v>
      </c>
      <c r="G1045" s="49" t="s">
        <v>2901</v>
      </c>
      <c r="H1045" s="49" t="s">
        <v>980</v>
      </c>
      <c r="I1045" s="50">
        <v>45233</v>
      </c>
      <c r="J1045" s="50">
        <v>45259</v>
      </c>
      <c r="K1045" s="50">
        <v>47085</v>
      </c>
    </row>
    <row r="1046" spans="1:13" x14ac:dyDescent="0.35">
      <c r="A1046" s="49" t="s">
        <v>6036</v>
      </c>
      <c r="B1046" s="49" t="s">
        <v>6037</v>
      </c>
      <c r="C1046" s="49" t="s">
        <v>5664</v>
      </c>
      <c r="D1046" s="49" t="s">
        <v>1264</v>
      </c>
      <c r="E1046" s="49" t="s">
        <v>2785</v>
      </c>
      <c r="F1046" s="49" t="s">
        <v>2792</v>
      </c>
      <c r="G1046" s="49" t="s">
        <v>2901</v>
      </c>
      <c r="H1046" s="49" t="s">
        <v>980</v>
      </c>
      <c r="I1046" s="50">
        <v>45055</v>
      </c>
      <c r="J1046" s="50">
        <v>45286</v>
      </c>
      <c r="K1046" s="50">
        <v>45651</v>
      </c>
      <c r="M1046" s="49" t="s">
        <v>6038</v>
      </c>
    </row>
    <row r="1047" spans="1:13" x14ac:dyDescent="0.35">
      <c r="A1047" s="49" t="s">
        <v>6039</v>
      </c>
      <c r="B1047" s="49" t="s">
        <v>6040</v>
      </c>
      <c r="C1047" s="49" t="s">
        <v>6041</v>
      </c>
      <c r="D1047" s="49" t="s">
        <v>1264</v>
      </c>
      <c r="E1047" s="49" t="s">
        <v>3443</v>
      </c>
      <c r="F1047" s="49" t="s">
        <v>3124</v>
      </c>
      <c r="G1047" s="49" t="s">
        <v>2901</v>
      </c>
      <c r="H1047" s="49" t="s">
        <v>980</v>
      </c>
      <c r="I1047" s="50">
        <v>45181</v>
      </c>
      <c r="J1047" s="50">
        <v>45194</v>
      </c>
      <c r="K1047" s="50">
        <v>47020</v>
      </c>
    </row>
    <row r="1048" spans="1:13" x14ac:dyDescent="0.35">
      <c r="A1048" s="49" t="s">
        <v>6042</v>
      </c>
      <c r="B1048" s="49" t="s">
        <v>6040</v>
      </c>
      <c r="C1048" s="49" t="s">
        <v>5970</v>
      </c>
      <c r="D1048" s="49" t="s">
        <v>1264</v>
      </c>
      <c r="E1048" s="49" t="s">
        <v>3443</v>
      </c>
      <c r="F1048" s="49" t="s">
        <v>3124</v>
      </c>
      <c r="G1048" s="49" t="s">
        <v>4330</v>
      </c>
      <c r="H1048" s="49" t="s">
        <v>980</v>
      </c>
      <c r="I1048" s="50">
        <v>45154</v>
      </c>
    </row>
    <row r="1049" spans="1:13" x14ac:dyDescent="0.35">
      <c r="A1049" s="49" t="s">
        <v>6043</v>
      </c>
      <c r="B1049" s="49" t="s">
        <v>6044</v>
      </c>
      <c r="C1049" s="49" t="s">
        <v>6045</v>
      </c>
      <c r="D1049" s="49" t="s">
        <v>1264</v>
      </c>
      <c r="E1049" s="49" t="s">
        <v>2785</v>
      </c>
      <c r="F1049" s="49" t="s">
        <v>2805</v>
      </c>
      <c r="G1049" s="49" t="s">
        <v>4330</v>
      </c>
      <c r="H1049" s="49" t="s">
        <v>2832</v>
      </c>
      <c r="I1049" s="50">
        <v>45238</v>
      </c>
      <c r="M1049" s="49" t="s">
        <v>6046</v>
      </c>
    </row>
    <row r="1050" spans="1:13" x14ac:dyDescent="0.35">
      <c r="A1050" s="49" t="s">
        <v>6047</v>
      </c>
      <c r="B1050" s="49" t="s">
        <v>3768</v>
      </c>
      <c r="C1050" s="49" t="s">
        <v>6048</v>
      </c>
      <c r="D1050" s="49" t="s">
        <v>1264</v>
      </c>
      <c r="E1050" s="49" t="s">
        <v>3443</v>
      </c>
      <c r="F1050" s="49" t="s">
        <v>3124</v>
      </c>
      <c r="G1050" s="49" t="s">
        <v>2901</v>
      </c>
      <c r="H1050" s="49" t="s">
        <v>980</v>
      </c>
      <c r="I1050" s="50">
        <v>45194</v>
      </c>
      <c r="J1050" s="50">
        <v>45202</v>
      </c>
      <c r="K1050" s="50">
        <v>47028</v>
      </c>
    </row>
    <row r="1051" spans="1:13" x14ac:dyDescent="0.35">
      <c r="A1051" s="49" t="s">
        <v>6049</v>
      </c>
      <c r="B1051" s="49" t="s">
        <v>5944</v>
      </c>
      <c r="C1051" s="49" t="s">
        <v>6050</v>
      </c>
      <c r="D1051" s="49" t="s">
        <v>1264</v>
      </c>
      <c r="E1051" s="49" t="s">
        <v>2785</v>
      </c>
      <c r="F1051" s="49" t="s">
        <v>2786</v>
      </c>
      <c r="G1051" s="49" t="s">
        <v>2901</v>
      </c>
      <c r="H1051" s="49" t="s">
        <v>980</v>
      </c>
      <c r="I1051" s="50">
        <v>45132</v>
      </c>
      <c r="J1051" s="50">
        <v>45271</v>
      </c>
      <c r="K1051" s="50">
        <v>45636</v>
      </c>
      <c r="M1051" s="49" t="s">
        <v>6051</v>
      </c>
    </row>
    <row r="1052" spans="1:13" x14ac:dyDescent="0.35">
      <c r="A1052" s="49" t="s">
        <v>6052</v>
      </c>
      <c r="B1052" s="49" t="s">
        <v>6040</v>
      </c>
      <c r="C1052" s="49" t="s">
        <v>6053</v>
      </c>
      <c r="D1052" s="49" t="s">
        <v>1264</v>
      </c>
      <c r="E1052" s="49" t="s">
        <v>3443</v>
      </c>
      <c r="F1052" s="49" t="s">
        <v>3124</v>
      </c>
      <c r="G1052" s="49" t="s">
        <v>2901</v>
      </c>
      <c r="H1052" s="49" t="s">
        <v>980</v>
      </c>
      <c r="I1052" s="50">
        <v>45154</v>
      </c>
      <c r="J1052" s="50">
        <v>45195</v>
      </c>
      <c r="K1052" s="50">
        <v>47021</v>
      </c>
    </row>
    <row r="1053" spans="1:13" x14ac:dyDescent="0.35">
      <c r="A1053" s="49" t="s">
        <v>6054</v>
      </c>
      <c r="B1053" s="49" t="s">
        <v>6055</v>
      </c>
      <c r="C1053" s="49" t="s">
        <v>3597</v>
      </c>
      <c r="D1053" s="49" t="s">
        <v>1264</v>
      </c>
      <c r="E1053" s="49" t="s">
        <v>2774</v>
      </c>
      <c r="F1053" s="49" t="s">
        <v>2825</v>
      </c>
      <c r="G1053" s="49" t="s">
        <v>2901</v>
      </c>
      <c r="H1053" s="49" t="s">
        <v>2827</v>
      </c>
      <c r="I1053" s="50">
        <v>45251</v>
      </c>
      <c r="J1053" s="50">
        <v>45260</v>
      </c>
      <c r="K1053" s="50">
        <v>46720</v>
      </c>
      <c r="M1053" s="49" t="s">
        <v>6056</v>
      </c>
    </row>
    <row r="1054" spans="1:13" x14ac:dyDescent="0.35">
      <c r="A1054" s="49" t="s">
        <v>6057</v>
      </c>
      <c r="C1054" s="49" t="s">
        <v>5843</v>
      </c>
      <c r="D1054" s="49" t="s">
        <v>1264</v>
      </c>
      <c r="E1054" s="49" t="s">
        <v>2986</v>
      </c>
      <c r="F1054" s="49" t="s">
        <v>2825</v>
      </c>
      <c r="G1054" s="49" t="s">
        <v>2776</v>
      </c>
      <c r="H1054" s="49" t="s">
        <v>2827</v>
      </c>
      <c r="I1054" s="50">
        <v>45272</v>
      </c>
      <c r="M1054" s="49" t="s">
        <v>3270</v>
      </c>
    </row>
    <row r="1055" spans="1:13" x14ac:dyDescent="0.35">
      <c r="A1055" s="49" t="s">
        <v>6058</v>
      </c>
      <c r="C1055" s="49" t="s">
        <v>6059</v>
      </c>
      <c r="D1055" s="49" t="s">
        <v>1264</v>
      </c>
      <c r="E1055" s="49" t="s">
        <v>2986</v>
      </c>
      <c r="F1055" s="49" t="s">
        <v>2825</v>
      </c>
      <c r="G1055" s="49" t="s">
        <v>2901</v>
      </c>
      <c r="H1055" s="49" t="s">
        <v>2827</v>
      </c>
      <c r="I1055" s="50">
        <v>45194</v>
      </c>
      <c r="J1055" s="50">
        <v>45287</v>
      </c>
      <c r="K1055" s="50">
        <v>46382</v>
      </c>
      <c r="M1055" s="49" t="s">
        <v>3270</v>
      </c>
    </row>
    <row r="1056" spans="1:13" x14ac:dyDescent="0.35">
      <c r="A1056" s="49" t="s">
        <v>6060</v>
      </c>
      <c r="B1056" s="49" t="s">
        <v>6040</v>
      </c>
      <c r="C1056" s="49" t="s">
        <v>6061</v>
      </c>
      <c r="D1056" s="49" t="s">
        <v>1264</v>
      </c>
      <c r="E1056" s="49" t="s">
        <v>3443</v>
      </c>
      <c r="F1056" s="49" t="s">
        <v>3124</v>
      </c>
      <c r="G1056" s="49" t="s">
        <v>4330</v>
      </c>
      <c r="H1056" s="49" t="s">
        <v>980</v>
      </c>
      <c r="I1056" s="50">
        <v>45100</v>
      </c>
    </row>
    <row r="1057" spans="1:13" x14ac:dyDescent="0.35">
      <c r="A1057" s="49" t="s">
        <v>6062</v>
      </c>
      <c r="B1057" s="49" t="s">
        <v>3768</v>
      </c>
      <c r="C1057" s="49" t="s">
        <v>6063</v>
      </c>
      <c r="D1057" s="49" t="s">
        <v>1264</v>
      </c>
      <c r="E1057" s="49" t="s">
        <v>3443</v>
      </c>
      <c r="F1057" s="49" t="s">
        <v>3124</v>
      </c>
      <c r="G1057" s="49" t="s">
        <v>4330</v>
      </c>
      <c r="H1057" s="49" t="s">
        <v>980</v>
      </c>
      <c r="I1057" s="50">
        <v>44992</v>
      </c>
    </row>
    <row r="1058" spans="1:13" x14ac:dyDescent="0.35">
      <c r="A1058" s="49" t="s">
        <v>6064</v>
      </c>
      <c r="B1058" s="49" t="s">
        <v>4817</v>
      </c>
      <c r="C1058" s="49" t="s">
        <v>6065</v>
      </c>
      <c r="D1058" s="49" t="s">
        <v>1264</v>
      </c>
      <c r="E1058" s="49" t="s">
        <v>2986</v>
      </c>
      <c r="F1058" s="49" t="s">
        <v>2825</v>
      </c>
      <c r="G1058" s="49" t="s">
        <v>2901</v>
      </c>
      <c r="H1058" s="49" t="s">
        <v>973</v>
      </c>
      <c r="I1058" s="50">
        <v>45217</v>
      </c>
      <c r="J1058" s="50">
        <v>45230</v>
      </c>
      <c r="K1058" s="50">
        <v>46325</v>
      </c>
      <c r="M1058" s="49" t="s">
        <v>6066</v>
      </c>
    </row>
    <row r="1059" spans="1:13" x14ac:dyDescent="0.35">
      <c r="A1059" s="49" t="s">
        <v>6067</v>
      </c>
      <c r="B1059" s="49" t="s">
        <v>3768</v>
      </c>
      <c r="C1059" s="49" t="s">
        <v>6068</v>
      </c>
      <c r="D1059" s="49" t="s">
        <v>1264</v>
      </c>
      <c r="E1059" s="49" t="s">
        <v>3443</v>
      </c>
      <c r="F1059" s="49" t="s">
        <v>3124</v>
      </c>
      <c r="G1059" s="49" t="s">
        <v>4330</v>
      </c>
      <c r="H1059" s="49" t="s">
        <v>980</v>
      </c>
      <c r="I1059" s="50">
        <v>45152</v>
      </c>
    </row>
    <row r="1060" spans="1:13" x14ac:dyDescent="0.35">
      <c r="A1060" s="49" t="s">
        <v>6069</v>
      </c>
      <c r="B1060" s="49" t="s">
        <v>3768</v>
      </c>
      <c r="C1060" s="49" t="s">
        <v>6070</v>
      </c>
      <c r="D1060" s="49" t="s">
        <v>1264</v>
      </c>
      <c r="E1060" s="49" t="s">
        <v>3443</v>
      </c>
      <c r="F1060" s="49" t="s">
        <v>3124</v>
      </c>
      <c r="G1060" s="49" t="s">
        <v>2901</v>
      </c>
      <c r="H1060" s="49" t="s">
        <v>980</v>
      </c>
      <c r="I1060" s="50">
        <v>45230</v>
      </c>
      <c r="J1060" s="50">
        <v>45252</v>
      </c>
      <c r="K1060" s="50">
        <v>47078</v>
      </c>
    </row>
    <row r="1061" spans="1:13" x14ac:dyDescent="0.35">
      <c r="A1061" s="49" t="s">
        <v>6071</v>
      </c>
      <c r="B1061" s="49" t="s">
        <v>3768</v>
      </c>
      <c r="C1061" s="49" t="s">
        <v>6072</v>
      </c>
      <c r="D1061" s="49" t="s">
        <v>1264</v>
      </c>
      <c r="E1061" s="49" t="s">
        <v>3443</v>
      </c>
      <c r="F1061" s="49" t="s">
        <v>3124</v>
      </c>
      <c r="G1061" s="49" t="s">
        <v>4330</v>
      </c>
      <c r="H1061" s="49" t="s">
        <v>980</v>
      </c>
      <c r="I1061" s="50">
        <v>45180</v>
      </c>
    </row>
    <row r="1062" spans="1:13" x14ac:dyDescent="0.35">
      <c r="A1062" s="49" t="s">
        <v>6073</v>
      </c>
      <c r="B1062" s="49" t="s">
        <v>6074</v>
      </c>
      <c r="C1062" s="49" t="s">
        <v>5692</v>
      </c>
      <c r="D1062" s="49" t="s">
        <v>1264</v>
      </c>
      <c r="E1062" s="49" t="s">
        <v>2785</v>
      </c>
      <c r="F1062" s="49" t="s">
        <v>2792</v>
      </c>
      <c r="G1062" s="49" t="s">
        <v>4330</v>
      </c>
      <c r="H1062" s="49" t="s">
        <v>835</v>
      </c>
      <c r="I1062" s="50">
        <v>45007</v>
      </c>
      <c r="M1062" s="49" t="s">
        <v>6075</v>
      </c>
    </row>
    <row r="1063" spans="1:13" x14ac:dyDescent="0.35">
      <c r="A1063" s="49" t="s">
        <v>6076</v>
      </c>
      <c r="B1063" s="49" t="s">
        <v>6077</v>
      </c>
      <c r="C1063" s="49" t="s">
        <v>3761</v>
      </c>
      <c r="D1063" s="49" t="s">
        <v>1264</v>
      </c>
      <c r="E1063" s="49" t="s">
        <v>2974</v>
      </c>
      <c r="F1063" s="49" t="s">
        <v>3005</v>
      </c>
      <c r="G1063" s="49" t="s">
        <v>2826</v>
      </c>
      <c r="H1063" s="49" t="s">
        <v>980</v>
      </c>
      <c r="I1063" s="50">
        <v>45271</v>
      </c>
      <c r="M1063" s="49" t="s">
        <v>6078</v>
      </c>
    </row>
    <row r="1064" spans="1:13" x14ac:dyDescent="0.35">
      <c r="A1064" s="49" t="s">
        <v>6079</v>
      </c>
      <c r="B1064" s="49" t="s">
        <v>6080</v>
      </c>
      <c r="C1064" s="49" t="s">
        <v>5822</v>
      </c>
      <c r="D1064" s="49" t="s">
        <v>1264</v>
      </c>
      <c r="E1064" s="49" t="s">
        <v>2785</v>
      </c>
      <c r="F1064" s="49" t="s">
        <v>2805</v>
      </c>
      <c r="G1064" s="49" t="s">
        <v>4891</v>
      </c>
      <c r="H1064" s="49" t="s">
        <v>3717</v>
      </c>
      <c r="I1064" s="50">
        <v>45280</v>
      </c>
      <c r="M1064" s="49" t="s">
        <v>6081</v>
      </c>
    </row>
    <row r="1065" spans="1:13" x14ac:dyDescent="0.35">
      <c r="A1065" s="49" t="s">
        <v>6082</v>
      </c>
      <c r="B1065" s="49" t="s">
        <v>6083</v>
      </c>
      <c r="C1065" s="49" t="s">
        <v>6084</v>
      </c>
      <c r="D1065" s="49" t="s">
        <v>1264</v>
      </c>
      <c r="E1065" s="49" t="s">
        <v>2785</v>
      </c>
      <c r="F1065" s="49" t="s">
        <v>2786</v>
      </c>
      <c r="G1065" s="49" t="s">
        <v>4330</v>
      </c>
      <c r="H1065" s="49" t="s">
        <v>835</v>
      </c>
      <c r="I1065" s="50">
        <v>45280</v>
      </c>
      <c r="M1065" s="49" t="s">
        <v>6085</v>
      </c>
    </row>
    <row r="1066" spans="1:13" x14ac:dyDescent="0.35">
      <c r="A1066" s="49" t="s">
        <v>6086</v>
      </c>
      <c r="C1066" s="49" t="s">
        <v>5988</v>
      </c>
      <c r="D1066" s="49" t="s">
        <v>1264</v>
      </c>
      <c r="E1066" s="49" t="s">
        <v>2986</v>
      </c>
      <c r="F1066" s="49" t="s">
        <v>2825</v>
      </c>
      <c r="G1066" s="49" t="s">
        <v>2901</v>
      </c>
      <c r="H1066" s="49" t="s">
        <v>2827</v>
      </c>
      <c r="I1066" s="50">
        <v>45240</v>
      </c>
      <c r="J1066" s="50">
        <v>45267</v>
      </c>
      <c r="K1066" s="50">
        <v>46362</v>
      </c>
      <c r="M1066" s="49" t="s">
        <v>6087</v>
      </c>
    </row>
    <row r="1067" spans="1:13" x14ac:dyDescent="0.35">
      <c r="A1067" s="49" t="s">
        <v>6088</v>
      </c>
      <c r="B1067" s="49" t="s">
        <v>4257</v>
      </c>
      <c r="C1067" s="49" t="s">
        <v>6089</v>
      </c>
      <c r="D1067" s="49" t="s">
        <v>1264</v>
      </c>
      <c r="E1067" s="49" t="s">
        <v>2785</v>
      </c>
      <c r="F1067" s="49" t="s">
        <v>2792</v>
      </c>
      <c r="G1067" s="49" t="s">
        <v>2901</v>
      </c>
      <c r="H1067" s="49" t="s">
        <v>980</v>
      </c>
      <c r="I1067" s="50">
        <v>45130</v>
      </c>
      <c r="J1067" s="50">
        <v>45267</v>
      </c>
      <c r="K1067" s="50">
        <v>45632</v>
      </c>
      <c r="M1067" s="49" t="s">
        <v>6090</v>
      </c>
    </row>
    <row r="1068" spans="1:13" x14ac:dyDescent="0.35">
      <c r="A1068" s="49" t="s">
        <v>6091</v>
      </c>
      <c r="B1068" s="49" t="s">
        <v>6092</v>
      </c>
      <c r="C1068" s="49" t="s">
        <v>5226</v>
      </c>
      <c r="D1068" s="49" t="s">
        <v>1264</v>
      </c>
      <c r="E1068" s="49" t="s">
        <v>2785</v>
      </c>
      <c r="F1068" s="49" t="s">
        <v>3898</v>
      </c>
      <c r="G1068" s="49" t="s">
        <v>2776</v>
      </c>
      <c r="H1068" s="49" t="s">
        <v>2827</v>
      </c>
      <c r="I1068" s="50">
        <v>45287</v>
      </c>
      <c r="M1068" s="49" t="s">
        <v>6093</v>
      </c>
    </row>
    <row r="1069" spans="1:13" x14ac:dyDescent="0.35">
      <c r="A1069" s="49" t="s">
        <v>6094</v>
      </c>
      <c r="C1069" s="49" t="s">
        <v>4970</v>
      </c>
      <c r="D1069" s="49" t="s">
        <v>1264</v>
      </c>
      <c r="E1069" s="49" t="s">
        <v>2785</v>
      </c>
      <c r="F1069" s="49" t="s">
        <v>2792</v>
      </c>
      <c r="G1069" s="49" t="s">
        <v>4330</v>
      </c>
      <c r="H1069" s="49" t="s">
        <v>980</v>
      </c>
      <c r="I1069" s="50">
        <v>44949</v>
      </c>
      <c r="M1069" s="49" t="s">
        <v>6095</v>
      </c>
    </row>
    <row r="1070" spans="1:13" x14ac:dyDescent="0.35">
      <c r="A1070" s="49" t="s">
        <v>6096</v>
      </c>
      <c r="B1070" s="49" t="s">
        <v>6097</v>
      </c>
      <c r="C1070" s="49" t="s">
        <v>6098</v>
      </c>
      <c r="D1070" s="49" t="s">
        <v>1264</v>
      </c>
      <c r="E1070" s="49" t="s">
        <v>2986</v>
      </c>
      <c r="F1070" s="49" t="s">
        <v>2825</v>
      </c>
      <c r="G1070" s="49" t="s">
        <v>4330</v>
      </c>
      <c r="H1070" s="49" t="s">
        <v>2827</v>
      </c>
      <c r="I1070" s="50">
        <v>44489</v>
      </c>
      <c r="M1070" s="49" t="s">
        <v>6099</v>
      </c>
    </row>
    <row r="1071" spans="1:13" x14ac:dyDescent="0.35">
      <c r="A1071" s="49" t="s">
        <v>6100</v>
      </c>
      <c r="B1071" s="49" t="s">
        <v>6101</v>
      </c>
      <c r="C1071" s="49" t="s">
        <v>6102</v>
      </c>
      <c r="D1071" s="49" t="s">
        <v>1264</v>
      </c>
      <c r="E1071" s="49" t="s">
        <v>2774</v>
      </c>
      <c r="F1071" s="49" t="s">
        <v>2825</v>
      </c>
      <c r="G1071" s="49" t="s">
        <v>2901</v>
      </c>
      <c r="H1071" s="49" t="s">
        <v>2827</v>
      </c>
      <c r="I1071" s="50">
        <v>45126</v>
      </c>
      <c r="J1071" s="50">
        <v>45259</v>
      </c>
      <c r="K1071" s="50">
        <v>46719</v>
      </c>
      <c r="M1071" s="49" t="s">
        <v>6103</v>
      </c>
    </row>
    <row r="1072" spans="1:13" x14ac:dyDescent="0.35">
      <c r="A1072" s="49" t="s">
        <v>6104</v>
      </c>
      <c r="B1072" s="49" t="s">
        <v>6105</v>
      </c>
      <c r="C1072" s="49" t="s">
        <v>6106</v>
      </c>
      <c r="D1072" s="49" t="s">
        <v>1264</v>
      </c>
      <c r="E1072" s="49" t="s">
        <v>2974</v>
      </c>
      <c r="F1072" s="49" t="s">
        <v>2900</v>
      </c>
      <c r="G1072" s="49" t="s">
        <v>2901</v>
      </c>
      <c r="H1072" s="49" t="s">
        <v>2832</v>
      </c>
      <c r="I1072" s="50">
        <v>45287</v>
      </c>
      <c r="J1072" s="50">
        <v>45294</v>
      </c>
      <c r="K1072" s="50">
        <v>47120</v>
      </c>
      <c r="M1072" s="49" t="s">
        <v>6107</v>
      </c>
    </row>
    <row r="1073" spans="1:13" x14ac:dyDescent="0.35">
      <c r="A1073" s="49" t="s">
        <v>6108</v>
      </c>
      <c r="B1073" s="49" t="s">
        <v>6109</v>
      </c>
      <c r="C1073" s="49" t="s">
        <v>6106</v>
      </c>
      <c r="D1073" s="49" t="s">
        <v>1264</v>
      </c>
      <c r="E1073" s="49" t="s">
        <v>2974</v>
      </c>
      <c r="F1073" s="49" t="s">
        <v>2900</v>
      </c>
      <c r="G1073" s="49" t="s">
        <v>2901</v>
      </c>
      <c r="H1073" s="49" t="s">
        <v>2832</v>
      </c>
      <c r="I1073" s="50">
        <v>45287</v>
      </c>
      <c r="J1073" s="50">
        <v>45294</v>
      </c>
      <c r="K1073" s="50">
        <v>47120</v>
      </c>
      <c r="M1073" s="49" t="s">
        <v>6110</v>
      </c>
    </row>
    <row r="1074" spans="1:13" x14ac:dyDescent="0.35">
      <c r="A1074" s="49" t="s">
        <v>6111</v>
      </c>
      <c r="B1074" s="49" t="s">
        <v>6112</v>
      </c>
      <c r="C1074" s="49" t="s">
        <v>5779</v>
      </c>
      <c r="D1074" s="49" t="s">
        <v>1264</v>
      </c>
      <c r="E1074" s="49" t="s">
        <v>2785</v>
      </c>
      <c r="F1074" s="49" t="s">
        <v>2792</v>
      </c>
      <c r="G1074" s="49" t="s">
        <v>2901</v>
      </c>
      <c r="H1074" s="49" t="s">
        <v>8</v>
      </c>
      <c r="I1074" s="50">
        <v>45213</v>
      </c>
      <c r="J1074" s="50">
        <v>45268</v>
      </c>
      <c r="K1074" s="50">
        <v>45633</v>
      </c>
      <c r="M1074" s="49" t="s">
        <v>6113</v>
      </c>
    </row>
    <row r="1075" spans="1:13" x14ac:dyDescent="0.35">
      <c r="A1075" s="49" t="s">
        <v>6114</v>
      </c>
      <c r="B1075" s="49" t="s">
        <v>6115</v>
      </c>
      <c r="C1075" s="49" t="s">
        <v>5779</v>
      </c>
      <c r="D1075" s="49" t="s">
        <v>1264</v>
      </c>
      <c r="E1075" s="49" t="s">
        <v>2785</v>
      </c>
      <c r="F1075" s="49" t="s">
        <v>2792</v>
      </c>
      <c r="G1075" s="49" t="s">
        <v>2901</v>
      </c>
      <c r="H1075" s="49" t="s">
        <v>8</v>
      </c>
      <c r="I1075" s="50">
        <v>45167</v>
      </c>
      <c r="J1075" s="50">
        <v>45268</v>
      </c>
      <c r="K1075" s="50">
        <v>45633</v>
      </c>
      <c r="M1075" s="49" t="s">
        <v>6116</v>
      </c>
    </row>
    <row r="1076" spans="1:13" x14ac:dyDescent="0.35">
      <c r="A1076" s="49" t="s">
        <v>6117</v>
      </c>
      <c r="B1076" s="49" t="s">
        <v>6118</v>
      </c>
      <c r="C1076" s="49" t="s">
        <v>5822</v>
      </c>
      <c r="D1076" s="49" t="s">
        <v>1264</v>
      </c>
      <c r="E1076" s="49" t="s">
        <v>2785</v>
      </c>
      <c r="F1076" s="49" t="s">
        <v>2805</v>
      </c>
      <c r="G1076" s="49" t="s">
        <v>4330</v>
      </c>
      <c r="H1076" s="49" t="s">
        <v>2832</v>
      </c>
      <c r="I1076" s="50">
        <v>45295</v>
      </c>
      <c r="M1076" s="49" t="s">
        <v>6119</v>
      </c>
    </row>
    <row r="1077" spans="1:13" x14ac:dyDescent="0.35">
      <c r="A1077" s="49" t="s">
        <v>6120</v>
      </c>
      <c r="B1077" s="49" t="s">
        <v>2937</v>
      </c>
      <c r="C1077" s="49" t="s">
        <v>6121</v>
      </c>
      <c r="D1077" s="49" t="s">
        <v>1264</v>
      </c>
      <c r="E1077" s="49" t="s">
        <v>2785</v>
      </c>
      <c r="F1077" s="49" t="s">
        <v>2792</v>
      </c>
      <c r="G1077" s="49" t="s">
        <v>2787</v>
      </c>
      <c r="H1077" s="49" t="s">
        <v>980</v>
      </c>
      <c r="I1077" s="50">
        <v>44131</v>
      </c>
      <c r="K1077" s="50">
        <v>45510</v>
      </c>
      <c r="M1077" s="49" t="s">
        <v>6122</v>
      </c>
    </row>
    <row r="1078" spans="1:13" x14ac:dyDescent="0.35">
      <c r="A1078" s="49" t="s">
        <v>6123</v>
      </c>
      <c r="B1078" s="49" t="s">
        <v>6124</v>
      </c>
      <c r="C1078" s="49" t="s">
        <v>6125</v>
      </c>
      <c r="D1078" s="49" t="s">
        <v>1264</v>
      </c>
      <c r="E1078" s="49" t="s">
        <v>2785</v>
      </c>
      <c r="F1078" s="49" t="s">
        <v>2792</v>
      </c>
      <c r="G1078" s="49" t="s">
        <v>4330</v>
      </c>
      <c r="H1078" s="49" t="s">
        <v>8</v>
      </c>
      <c r="I1078" s="50">
        <v>45278</v>
      </c>
      <c r="M1078" s="49" t="s">
        <v>6126</v>
      </c>
    </row>
    <row r="1079" spans="1:13" x14ac:dyDescent="0.35">
      <c r="A1079" s="49" t="s">
        <v>6127</v>
      </c>
      <c r="B1079" s="49" t="s">
        <v>3768</v>
      </c>
      <c r="C1079" s="49" t="s">
        <v>6128</v>
      </c>
      <c r="D1079" s="49" t="s">
        <v>1264</v>
      </c>
      <c r="E1079" s="49" t="s">
        <v>3443</v>
      </c>
      <c r="F1079" s="49" t="s">
        <v>3124</v>
      </c>
      <c r="G1079" s="49" t="s">
        <v>4330</v>
      </c>
      <c r="H1079" s="49" t="s">
        <v>980</v>
      </c>
      <c r="I1079" s="50">
        <v>43845</v>
      </c>
      <c r="M1079" s="49" t="s">
        <v>6129</v>
      </c>
    </row>
    <row r="1080" spans="1:13" x14ac:dyDescent="0.35">
      <c r="A1080" s="49" t="s">
        <v>6130</v>
      </c>
      <c r="B1080" s="49" t="s">
        <v>4572</v>
      </c>
      <c r="C1080" s="49" t="s">
        <v>5043</v>
      </c>
      <c r="D1080" s="49" t="s">
        <v>1264</v>
      </c>
      <c r="E1080" s="49" t="s">
        <v>2785</v>
      </c>
      <c r="F1080" s="49" t="s">
        <v>2786</v>
      </c>
      <c r="G1080" s="49" t="s">
        <v>2787</v>
      </c>
      <c r="H1080" s="49" t="s">
        <v>980</v>
      </c>
      <c r="I1080" s="50">
        <v>45138</v>
      </c>
      <c r="J1080" s="50">
        <v>45163</v>
      </c>
      <c r="K1080" s="50">
        <v>45528</v>
      </c>
      <c r="M1080" s="49" t="s">
        <v>6131</v>
      </c>
    </row>
    <row r="1081" spans="1:13" x14ac:dyDescent="0.35">
      <c r="A1081" s="49" t="s">
        <v>6132</v>
      </c>
      <c r="B1081" s="49" t="s">
        <v>6133</v>
      </c>
      <c r="C1081" s="49" t="s">
        <v>6134</v>
      </c>
      <c r="D1081" s="49" t="s">
        <v>1264</v>
      </c>
      <c r="E1081" s="49" t="s">
        <v>2785</v>
      </c>
      <c r="F1081" s="49" t="s">
        <v>2792</v>
      </c>
      <c r="G1081" s="49" t="s">
        <v>4330</v>
      </c>
      <c r="H1081" s="49" t="s">
        <v>980</v>
      </c>
      <c r="I1081" s="50">
        <v>45278</v>
      </c>
      <c r="M1081" s="49" t="s">
        <v>6135</v>
      </c>
    </row>
    <row r="1082" spans="1:13" ht="29" x14ac:dyDescent="0.35">
      <c r="A1082" s="49" t="s">
        <v>6136</v>
      </c>
      <c r="B1082" s="51" t="s">
        <v>6137</v>
      </c>
      <c r="C1082" s="49" t="s">
        <v>6138</v>
      </c>
      <c r="D1082" s="49" t="s">
        <v>1264</v>
      </c>
      <c r="E1082" s="49" t="s">
        <v>2785</v>
      </c>
      <c r="F1082" s="49" t="s">
        <v>2792</v>
      </c>
      <c r="G1082" s="49" t="s">
        <v>4330</v>
      </c>
      <c r="H1082" s="49" t="s">
        <v>8</v>
      </c>
      <c r="I1082" s="50">
        <v>45275</v>
      </c>
      <c r="M1082" s="49" t="s">
        <v>6139</v>
      </c>
    </row>
    <row r="1083" spans="1:13" x14ac:dyDescent="0.35">
      <c r="A1083" s="49" t="s">
        <v>6140</v>
      </c>
      <c r="C1083" s="49" t="s">
        <v>2997</v>
      </c>
      <c r="D1083" s="49" t="s">
        <v>1264</v>
      </c>
      <c r="E1083" s="49" t="s">
        <v>2908</v>
      </c>
      <c r="F1083" s="49" t="s">
        <v>2805</v>
      </c>
      <c r="G1083" s="49" t="s">
        <v>2901</v>
      </c>
      <c r="H1083" s="49" t="s">
        <v>973</v>
      </c>
      <c r="I1083" s="50">
        <v>44715</v>
      </c>
      <c r="J1083" s="50">
        <v>44708</v>
      </c>
      <c r="K1083" s="50">
        <v>46533</v>
      </c>
      <c r="M1083" s="49" t="s">
        <v>6141</v>
      </c>
    </row>
    <row r="1084" spans="1:13" x14ac:dyDescent="0.35">
      <c r="A1084" s="49" t="s">
        <v>6142</v>
      </c>
      <c r="C1084" s="49" t="s">
        <v>5211</v>
      </c>
      <c r="D1084" s="49" t="s">
        <v>1264</v>
      </c>
      <c r="E1084" s="49" t="s">
        <v>2908</v>
      </c>
      <c r="F1084" s="49" t="s">
        <v>2939</v>
      </c>
      <c r="G1084" s="49" t="s">
        <v>2901</v>
      </c>
      <c r="H1084" s="49" t="s">
        <v>980</v>
      </c>
      <c r="I1084" s="50">
        <v>44518</v>
      </c>
      <c r="J1084" s="50">
        <v>44470</v>
      </c>
      <c r="K1084" s="50">
        <v>46295</v>
      </c>
      <c r="M1084" s="49" t="s">
        <v>6143</v>
      </c>
    </row>
    <row r="1085" spans="1:13" x14ac:dyDescent="0.35">
      <c r="A1085" s="49" t="s">
        <v>6144</v>
      </c>
      <c r="B1085" s="49" t="s">
        <v>6145</v>
      </c>
      <c r="C1085" s="49" t="s">
        <v>6146</v>
      </c>
      <c r="D1085" s="49" t="s">
        <v>1264</v>
      </c>
      <c r="E1085" s="49" t="s">
        <v>2785</v>
      </c>
      <c r="F1085" s="49" t="s">
        <v>2805</v>
      </c>
      <c r="G1085" s="49" t="s">
        <v>4330</v>
      </c>
      <c r="H1085" s="49" t="s">
        <v>973</v>
      </c>
      <c r="I1085" s="50">
        <v>45287</v>
      </c>
      <c r="M1085" s="49" t="s">
        <v>4892</v>
      </c>
    </row>
    <row r="1086" spans="1:13" x14ac:dyDescent="0.35">
      <c r="A1086" s="49" t="s">
        <v>6147</v>
      </c>
      <c r="B1086" s="49" t="s">
        <v>6148</v>
      </c>
      <c r="C1086" s="49" t="s">
        <v>6045</v>
      </c>
      <c r="D1086" s="49" t="s">
        <v>1264</v>
      </c>
      <c r="E1086" s="49" t="s">
        <v>2785</v>
      </c>
      <c r="F1086" s="49" t="s">
        <v>2805</v>
      </c>
      <c r="G1086" s="49" t="s">
        <v>2787</v>
      </c>
      <c r="H1086" s="49" t="s">
        <v>2832</v>
      </c>
      <c r="I1086" s="50">
        <v>45275</v>
      </c>
      <c r="J1086" s="50">
        <v>45303</v>
      </c>
      <c r="K1086" s="50">
        <v>46114</v>
      </c>
      <c r="M1086" s="49" t="s">
        <v>6149</v>
      </c>
    </row>
    <row r="1087" spans="1:13" x14ac:dyDescent="0.35">
      <c r="A1087" s="49" t="s">
        <v>6150</v>
      </c>
      <c r="B1087" s="49" t="s">
        <v>2937</v>
      </c>
      <c r="C1087" s="49" t="s">
        <v>2997</v>
      </c>
      <c r="D1087" s="49" t="s">
        <v>1264</v>
      </c>
      <c r="E1087" s="49" t="s">
        <v>2908</v>
      </c>
      <c r="F1087" s="49" t="s">
        <v>2939</v>
      </c>
      <c r="G1087" s="49" t="s">
        <v>4330</v>
      </c>
      <c r="H1087" s="49" t="s">
        <v>980</v>
      </c>
      <c r="I1087" s="50">
        <v>44446</v>
      </c>
      <c r="M1087" s="49" t="s">
        <v>6151</v>
      </c>
    </row>
    <row r="1088" spans="1:13" x14ac:dyDescent="0.35">
      <c r="A1088" s="49" t="s">
        <v>6152</v>
      </c>
      <c r="B1088" s="49" t="s">
        <v>2937</v>
      </c>
      <c r="C1088" s="49" t="s">
        <v>3925</v>
      </c>
      <c r="D1088" s="49" t="s">
        <v>1264</v>
      </c>
      <c r="E1088" s="49" t="s">
        <v>2908</v>
      </c>
      <c r="F1088" s="49" t="s">
        <v>2939</v>
      </c>
      <c r="G1088" s="49" t="s">
        <v>2901</v>
      </c>
      <c r="H1088" s="49" t="s">
        <v>980</v>
      </c>
      <c r="I1088" s="50">
        <v>44550</v>
      </c>
      <c r="J1088" s="50">
        <v>44602</v>
      </c>
      <c r="K1088" s="50">
        <v>46427</v>
      </c>
      <c r="M1088" s="49" t="s">
        <v>6153</v>
      </c>
    </row>
    <row r="1089" spans="1:13" x14ac:dyDescent="0.35">
      <c r="A1089" s="49" t="s">
        <v>6154</v>
      </c>
      <c r="C1089" s="49" t="s">
        <v>2927</v>
      </c>
      <c r="D1089" s="49" t="s">
        <v>1264</v>
      </c>
      <c r="E1089" s="49" t="s">
        <v>2908</v>
      </c>
      <c r="F1089" s="49" t="s">
        <v>2837</v>
      </c>
      <c r="G1089" s="49" t="s">
        <v>2901</v>
      </c>
      <c r="H1089" s="49" t="s">
        <v>980</v>
      </c>
      <c r="I1089" s="50">
        <v>39629</v>
      </c>
      <c r="J1089" s="50">
        <v>43280</v>
      </c>
      <c r="K1089" s="50">
        <v>46931</v>
      </c>
      <c r="M1089" s="49" t="s">
        <v>6155</v>
      </c>
    </row>
    <row r="1090" spans="1:13" x14ac:dyDescent="0.35">
      <c r="A1090" s="49" t="s">
        <v>6156</v>
      </c>
      <c r="C1090" s="49" t="s">
        <v>6053</v>
      </c>
      <c r="D1090" s="49" t="s">
        <v>1264</v>
      </c>
      <c r="E1090" s="49" t="s">
        <v>2986</v>
      </c>
      <c r="F1090" s="49" t="s">
        <v>2825</v>
      </c>
      <c r="G1090" s="49" t="s">
        <v>4330</v>
      </c>
      <c r="H1090" s="49" t="s">
        <v>2827</v>
      </c>
      <c r="I1090" s="50">
        <v>45303</v>
      </c>
      <c r="M1090" s="49" t="s">
        <v>6157</v>
      </c>
    </row>
    <row r="1091" spans="1:13" x14ac:dyDescent="0.35">
      <c r="A1091" s="49" t="s">
        <v>6158</v>
      </c>
      <c r="B1091" s="49" t="s">
        <v>3063</v>
      </c>
      <c r="C1091" s="49" t="s">
        <v>2857</v>
      </c>
      <c r="D1091" s="49" t="s">
        <v>1264</v>
      </c>
      <c r="E1091" s="49" t="s">
        <v>2908</v>
      </c>
      <c r="F1091" s="49" t="s">
        <v>2837</v>
      </c>
      <c r="G1091" s="49" t="s">
        <v>2901</v>
      </c>
      <c r="H1091" s="49" t="s">
        <v>980</v>
      </c>
      <c r="I1091" s="50">
        <v>39876</v>
      </c>
      <c r="J1091" s="50">
        <v>44879</v>
      </c>
      <c r="K1091" s="50">
        <v>46704</v>
      </c>
      <c r="M1091" s="49" t="s">
        <v>6159</v>
      </c>
    </row>
    <row r="1092" spans="1:13" x14ac:dyDescent="0.35">
      <c r="A1092" s="49" t="s">
        <v>6160</v>
      </c>
      <c r="C1092" s="49" t="s">
        <v>2997</v>
      </c>
      <c r="D1092" s="49" t="s">
        <v>1264</v>
      </c>
      <c r="E1092" s="49" t="s">
        <v>2908</v>
      </c>
      <c r="F1092" s="49" t="s">
        <v>2805</v>
      </c>
      <c r="G1092" s="49" t="s">
        <v>2901</v>
      </c>
      <c r="H1092" s="49" t="s">
        <v>973</v>
      </c>
      <c r="I1092" s="50">
        <v>44704</v>
      </c>
      <c r="J1092" s="50">
        <v>44708</v>
      </c>
      <c r="K1092" s="50">
        <v>46533</v>
      </c>
      <c r="M1092" s="49" t="s">
        <v>6161</v>
      </c>
    </row>
    <row r="1093" spans="1:13" x14ac:dyDescent="0.35">
      <c r="A1093" s="49" t="s">
        <v>6162</v>
      </c>
      <c r="B1093" s="49" t="s">
        <v>3218</v>
      </c>
      <c r="C1093" s="49" t="s">
        <v>2997</v>
      </c>
      <c r="D1093" s="49" t="s">
        <v>1264</v>
      </c>
      <c r="E1093" s="49" t="s">
        <v>2814</v>
      </c>
      <c r="F1093" s="49" t="s">
        <v>4611</v>
      </c>
      <c r="G1093" s="49" t="s">
        <v>2787</v>
      </c>
      <c r="H1093" s="49" t="s">
        <v>980</v>
      </c>
      <c r="I1093" s="50">
        <v>45229</v>
      </c>
      <c r="J1093" s="50">
        <v>45253</v>
      </c>
      <c r="K1093" s="50">
        <v>45434</v>
      </c>
      <c r="M1093" s="49" t="s">
        <v>6163</v>
      </c>
    </row>
    <row r="1094" spans="1:13" x14ac:dyDescent="0.35">
      <c r="A1094" s="49" t="s">
        <v>6164</v>
      </c>
      <c r="B1094" s="49" t="s">
        <v>3586</v>
      </c>
      <c r="C1094" s="49" t="s">
        <v>5317</v>
      </c>
      <c r="D1094" s="49" t="s">
        <v>1264</v>
      </c>
      <c r="E1094" s="49" t="s">
        <v>2785</v>
      </c>
      <c r="F1094" s="49" t="s">
        <v>2786</v>
      </c>
      <c r="G1094" s="49" t="s">
        <v>4330</v>
      </c>
      <c r="H1094" s="49" t="s">
        <v>980</v>
      </c>
      <c r="I1094" s="50">
        <v>45303</v>
      </c>
      <c r="M1094" s="49" t="s">
        <v>6165</v>
      </c>
    </row>
    <row r="1095" spans="1:13" x14ac:dyDescent="0.35">
      <c r="A1095" s="49" t="s">
        <v>6166</v>
      </c>
      <c r="B1095" s="49" t="s">
        <v>3962</v>
      </c>
      <c r="C1095" s="49" t="s">
        <v>6167</v>
      </c>
      <c r="D1095" s="49" t="s">
        <v>1264</v>
      </c>
      <c r="E1095" s="49" t="s">
        <v>2785</v>
      </c>
      <c r="F1095" s="49" t="s">
        <v>2792</v>
      </c>
      <c r="G1095" s="49" t="s">
        <v>2901</v>
      </c>
      <c r="H1095" s="49" t="s">
        <v>980</v>
      </c>
      <c r="I1095" s="50">
        <v>45287</v>
      </c>
      <c r="J1095" s="50">
        <v>45317</v>
      </c>
      <c r="K1095" s="50">
        <v>45682</v>
      </c>
      <c r="M1095" s="49" t="s">
        <v>6168</v>
      </c>
    </row>
    <row r="1096" spans="1:13" x14ac:dyDescent="0.35">
      <c r="A1096" s="49" t="s">
        <v>6169</v>
      </c>
      <c r="C1096" s="49" t="s">
        <v>6170</v>
      </c>
      <c r="D1096" s="49" t="s">
        <v>1264</v>
      </c>
      <c r="E1096" s="49" t="s">
        <v>2986</v>
      </c>
      <c r="F1096" s="49" t="s">
        <v>2825</v>
      </c>
      <c r="G1096" s="49" t="s">
        <v>2901</v>
      </c>
      <c r="H1096" s="49" t="s">
        <v>2827</v>
      </c>
      <c r="I1096" s="50">
        <v>45098</v>
      </c>
      <c r="J1096" s="50">
        <v>45289</v>
      </c>
      <c r="K1096" s="50">
        <v>46384</v>
      </c>
      <c r="M1096" s="49" t="s">
        <v>6171</v>
      </c>
    </row>
    <row r="1097" spans="1:13" x14ac:dyDescent="0.35">
      <c r="A1097" s="49" t="s">
        <v>6172</v>
      </c>
      <c r="C1097" s="49" t="s">
        <v>4001</v>
      </c>
      <c r="D1097" s="49" t="s">
        <v>1264</v>
      </c>
      <c r="E1097" s="49" t="s">
        <v>2974</v>
      </c>
      <c r="F1097" s="49" t="s">
        <v>2825</v>
      </c>
      <c r="G1097" s="49" t="s">
        <v>2901</v>
      </c>
      <c r="H1097" s="49" t="s">
        <v>2827</v>
      </c>
      <c r="I1097" s="50">
        <v>45294</v>
      </c>
      <c r="J1097" s="50">
        <v>45308</v>
      </c>
      <c r="K1097" s="50">
        <v>47134</v>
      </c>
      <c r="M1097" s="49" t="s">
        <v>6173</v>
      </c>
    </row>
    <row r="1098" spans="1:13" x14ac:dyDescent="0.35">
      <c r="A1098" s="49" t="s">
        <v>6174</v>
      </c>
      <c r="C1098" s="49" t="s">
        <v>5223</v>
      </c>
      <c r="D1098" s="49" t="s">
        <v>1264</v>
      </c>
      <c r="E1098" s="49" t="s">
        <v>2974</v>
      </c>
      <c r="F1098" s="49" t="s">
        <v>3188</v>
      </c>
      <c r="G1098" s="49" t="s">
        <v>2901</v>
      </c>
      <c r="H1098" s="49" t="s">
        <v>973</v>
      </c>
      <c r="I1098" s="50">
        <v>45099</v>
      </c>
      <c r="J1098" s="50">
        <v>45308</v>
      </c>
      <c r="K1098" s="50">
        <v>47134</v>
      </c>
      <c r="M1098" s="49" t="s">
        <v>6175</v>
      </c>
    </row>
    <row r="1099" spans="1:13" x14ac:dyDescent="0.35">
      <c r="A1099" s="49" t="s">
        <v>6176</v>
      </c>
      <c r="C1099" s="49" t="s">
        <v>6177</v>
      </c>
      <c r="D1099" s="49" t="s">
        <v>1264</v>
      </c>
      <c r="E1099" s="49" t="s">
        <v>3443</v>
      </c>
      <c r="F1099" s="49" t="s">
        <v>3124</v>
      </c>
      <c r="G1099" s="49" t="s">
        <v>2901</v>
      </c>
      <c r="H1099" s="49" t="s">
        <v>980</v>
      </c>
      <c r="I1099" s="50">
        <v>44809</v>
      </c>
      <c r="J1099" s="50">
        <v>44872</v>
      </c>
      <c r="K1099" s="50">
        <v>46697</v>
      </c>
    </row>
    <row r="1100" spans="1:13" x14ac:dyDescent="0.35">
      <c r="A1100" s="49" t="s">
        <v>6178</v>
      </c>
      <c r="B1100" s="49" t="s">
        <v>6179</v>
      </c>
      <c r="C1100" s="49" t="s">
        <v>4161</v>
      </c>
      <c r="D1100" s="49" t="s">
        <v>1264</v>
      </c>
      <c r="E1100" s="49" t="s">
        <v>2785</v>
      </c>
      <c r="F1100" s="49" t="s">
        <v>2786</v>
      </c>
      <c r="G1100" s="49" t="s">
        <v>2776</v>
      </c>
      <c r="H1100" s="49" t="s">
        <v>2827</v>
      </c>
      <c r="I1100" s="50">
        <v>44403</v>
      </c>
      <c r="M1100" s="49" t="s">
        <v>6180</v>
      </c>
    </row>
    <row r="1101" spans="1:13" x14ac:dyDescent="0.35">
      <c r="A1101" s="49" t="s">
        <v>6181</v>
      </c>
      <c r="B1101" s="49" t="s">
        <v>4231</v>
      </c>
      <c r="C1101" s="49" t="s">
        <v>4161</v>
      </c>
      <c r="D1101" s="49" t="s">
        <v>1264</v>
      </c>
      <c r="E1101" s="49" t="s">
        <v>2785</v>
      </c>
      <c r="F1101" s="49" t="s">
        <v>2786</v>
      </c>
      <c r="G1101" s="49" t="s">
        <v>4330</v>
      </c>
      <c r="H1101" s="49" t="s">
        <v>2827</v>
      </c>
      <c r="I1101" s="50">
        <v>45223</v>
      </c>
      <c r="M1101" s="49" t="s">
        <v>6182</v>
      </c>
    </row>
    <row r="1102" spans="1:13" x14ac:dyDescent="0.35">
      <c r="A1102" s="49" t="s">
        <v>6183</v>
      </c>
      <c r="B1102" s="49" t="s">
        <v>6184</v>
      </c>
      <c r="C1102" s="49" t="s">
        <v>6185</v>
      </c>
      <c r="D1102" s="49" t="s">
        <v>1264</v>
      </c>
      <c r="E1102" s="49" t="s">
        <v>2785</v>
      </c>
      <c r="F1102" s="49" t="s">
        <v>2792</v>
      </c>
      <c r="G1102" s="49" t="s">
        <v>2901</v>
      </c>
      <c r="H1102" s="49" t="s">
        <v>3207</v>
      </c>
      <c r="I1102" s="50">
        <v>44993</v>
      </c>
      <c r="J1102" s="50">
        <v>45323</v>
      </c>
      <c r="K1102" s="50">
        <v>45688</v>
      </c>
      <c r="M1102" s="49" t="s">
        <v>6186</v>
      </c>
    </row>
    <row r="1103" spans="1:13" x14ac:dyDescent="0.35">
      <c r="A1103" s="49" t="s">
        <v>6187</v>
      </c>
      <c r="C1103" s="49" t="s">
        <v>5101</v>
      </c>
      <c r="D1103" s="49" t="s">
        <v>1264</v>
      </c>
      <c r="E1103" s="49" t="s">
        <v>2908</v>
      </c>
      <c r="F1103" s="49" t="s">
        <v>2837</v>
      </c>
      <c r="G1103" s="49" t="s">
        <v>2901</v>
      </c>
      <c r="H1103" s="49" t="s">
        <v>980</v>
      </c>
      <c r="I1103" s="50">
        <v>44887</v>
      </c>
      <c r="J1103" s="50">
        <v>45000</v>
      </c>
      <c r="K1103" s="50">
        <v>46826</v>
      </c>
      <c r="M1103" s="49" t="s">
        <v>6188</v>
      </c>
    </row>
    <row r="1104" spans="1:13" x14ac:dyDescent="0.35">
      <c r="A1104" s="49" t="s">
        <v>6189</v>
      </c>
      <c r="B1104" s="49" t="s">
        <v>3615</v>
      </c>
      <c r="C1104" s="49" t="s">
        <v>6190</v>
      </c>
      <c r="D1104" s="49" t="s">
        <v>1264</v>
      </c>
      <c r="E1104" s="49" t="s">
        <v>2785</v>
      </c>
      <c r="F1104" s="49" t="s">
        <v>2786</v>
      </c>
      <c r="G1104" s="49" t="s">
        <v>2901</v>
      </c>
      <c r="H1104" s="49" t="s">
        <v>980</v>
      </c>
      <c r="I1104" s="50">
        <v>45260</v>
      </c>
      <c r="J1104" s="50">
        <v>45336</v>
      </c>
      <c r="K1104" s="50">
        <v>45701</v>
      </c>
      <c r="M1104" s="49" t="s">
        <v>6191</v>
      </c>
    </row>
    <row r="1105" spans="1:13" x14ac:dyDescent="0.35">
      <c r="A1105" s="49" t="s">
        <v>6192</v>
      </c>
      <c r="B1105" s="49" t="s">
        <v>6193</v>
      </c>
      <c r="C1105" s="49" t="s">
        <v>4124</v>
      </c>
      <c r="D1105" s="49" t="s">
        <v>1264</v>
      </c>
      <c r="E1105" s="49" t="s">
        <v>2974</v>
      </c>
      <c r="F1105" s="49" t="s">
        <v>2900</v>
      </c>
      <c r="G1105" s="49" t="s">
        <v>2826</v>
      </c>
      <c r="H1105" s="49" t="s">
        <v>2806</v>
      </c>
      <c r="I1105" s="50">
        <v>45301</v>
      </c>
      <c r="M1105" s="49" t="s">
        <v>6194</v>
      </c>
    </row>
    <row r="1106" spans="1:13" x14ac:dyDescent="0.35">
      <c r="A1106" s="49" t="s">
        <v>6195</v>
      </c>
      <c r="B1106" s="49" t="s">
        <v>3428</v>
      </c>
      <c r="C1106" s="49" t="s">
        <v>6196</v>
      </c>
      <c r="D1106" s="49" t="s">
        <v>1264</v>
      </c>
      <c r="E1106" s="49" t="s">
        <v>2974</v>
      </c>
      <c r="F1106" s="49" t="s">
        <v>2900</v>
      </c>
      <c r="G1106" s="49" t="s">
        <v>2901</v>
      </c>
      <c r="H1106" s="49" t="s">
        <v>980</v>
      </c>
      <c r="I1106" s="50">
        <v>45272</v>
      </c>
      <c r="J1106" s="50">
        <v>45308</v>
      </c>
      <c r="K1106" s="50">
        <v>47134</v>
      </c>
      <c r="M1106" s="49" t="s">
        <v>6197</v>
      </c>
    </row>
    <row r="1107" spans="1:13" x14ac:dyDescent="0.35">
      <c r="A1107" s="49" t="s">
        <v>6198</v>
      </c>
      <c r="B1107" s="49" t="s">
        <v>6199</v>
      </c>
      <c r="C1107" s="49" t="s">
        <v>3206</v>
      </c>
      <c r="D1107" s="49" t="s">
        <v>1264</v>
      </c>
      <c r="E1107" s="49" t="s">
        <v>2974</v>
      </c>
      <c r="F1107" s="49" t="s">
        <v>3005</v>
      </c>
      <c r="G1107" s="49" t="s">
        <v>4330</v>
      </c>
      <c r="H1107" s="49" t="s">
        <v>3229</v>
      </c>
      <c r="I1107" s="50">
        <v>45190</v>
      </c>
      <c r="M1107" s="49" t="s">
        <v>6200</v>
      </c>
    </row>
    <row r="1108" spans="1:13" x14ac:dyDescent="0.35">
      <c r="A1108" s="49" t="s">
        <v>6201</v>
      </c>
      <c r="B1108" s="49" t="s">
        <v>6202</v>
      </c>
      <c r="C1108" s="49" t="s">
        <v>6203</v>
      </c>
      <c r="D1108" s="49" t="s">
        <v>1264</v>
      </c>
      <c r="E1108" s="49" t="s">
        <v>2986</v>
      </c>
      <c r="F1108" s="49" t="s">
        <v>2825</v>
      </c>
      <c r="G1108" s="49" t="s">
        <v>2901</v>
      </c>
      <c r="H1108" s="49" t="s">
        <v>973</v>
      </c>
      <c r="I1108" s="50">
        <v>45316</v>
      </c>
      <c r="J1108" s="50">
        <v>45366</v>
      </c>
      <c r="K1108" s="50">
        <v>46460</v>
      </c>
      <c r="M1108" s="49" t="s">
        <v>6204</v>
      </c>
    </row>
    <row r="1109" spans="1:13" x14ac:dyDescent="0.35">
      <c r="A1109" s="49" t="s">
        <v>6205</v>
      </c>
      <c r="B1109" s="49" t="s">
        <v>4877</v>
      </c>
      <c r="C1109" s="49" t="s">
        <v>6206</v>
      </c>
      <c r="D1109" s="49" t="s">
        <v>1264</v>
      </c>
      <c r="E1109" s="49" t="s">
        <v>2986</v>
      </c>
      <c r="F1109" s="49" t="s">
        <v>2825</v>
      </c>
      <c r="G1109" s="49" t="s">
        <v>2901</v>
      </c>
      <c r="H1109" s="49" t="s">
        <v>2827</v>
      </c>
      <c r="I1109" s="50">
        <v>45299</v>
      </c>
      <c r="J1109" s="50">
        <v>45315</v>
      </c>
      <c r="K1109" s="50">
        <v>46410</v>
      </c>
      <c r="M1109" s="49" t="s">
        <v>6207</v>
      </c>
    </row>
    <row r="1110" spans="1:13" x14ac:dyDescent="0.35">
      <c r="A1110" s="49" t="s">
        <v>6208</v>
      </c>
      <c r="B1110" s="49" t="s">
        <v>4809</v>
      </c>
      <c r="C1110" s="49" t="s">
        <v>6206</v>
      </c>
      <c r="D1110" s="49" t="s">
        <v>1264</v>
      </c>
      <c r="E1110" s="49" t="s">
        <v>2986</v>
      </c>
      <c r="F1110" s="49" t="s">
        <v>2825</v>
      </c>
      <c r="G1110" s="49" t="s">
        <v>2901</v>
      </c>
      <c r="H1110" s="49" t="s">
        <v>2827</v>
      </c>
      <c r="I1110" s="50">
        <v>45299</v>
      </c>
      <c r="J1110" s="50">
        <v>45315</v>
      </c>
      <c r="K1110" s="50">
        <v>46410</v>
      </c>
      <c r="M1110" s="49" t="s">
        <v>6209</v>
      </c>
    </row>
    <row r="1111" spans="1:13" x14ac:dyDescent="0.35">
      <c r="A1111" s="49" t="s">
        <v>6210</v>
      </c>
      <c r="B1111" s="49" t="s">
        <v>4817</v>
      </c>
      <c r="C1111" s="49" t="s">
        <v>6206</v>
      </c>
      <c r="D1111" s="49" t="s">
        <v>1264</v>
      </c>
      <c r="E1111" s="49" t="s">
        <v>2986</v>
      </c>
      <c r="F1111" s="49" t="s">
        <v>2825</v>
      </c>
      <c r="G1111" s="49" t="s">
        <v>2901</v>
      </c>
      <c r="H1111" s="49" t="s">
        <v>2827</v>
      </c>
      <c r="I1111" s="50">
        <v>45299</v>
      </c>
      <c r="J1111" s="50">
        <v>45315</v>
      </c>
      <c r="K1111" s="50">
        <v>46410</v>
      </c>
      <c r="M1111" s="49" t="s">
        <v>6211</v>
      </c>
    </row>
    <row r="1112" spans="1:13" x14ac:dyDescent="0.35">
      <c r="A1112" s="49" t="s">
        <v>6212</v>
      </c>
      <c r="C1112" s="49" t="s">
        <v>6213</v>
      </c>
      <c r="D1112" s="49" t="s">
        <v>1264</v>
      </c>
      <c r="E1112" s="49" t="s">
        <v>2986</v>
      </c>
      <c r="F1112" s="49" t="s">
        <v>2825</v>
      </c>
      <c r="G1112" s="49" t="s">
        <v>2901</v>
      </c>
      <c r="H1112" s="49" t="s">
        <v>2827</v>
      </c>
      <c r="I1112" s="50">
        <v>45302</v>
      </c>
      <c r="J1112" s="50">
        <v>45315</v>
      </c>
      <c r="K1112" s="50">
        <v>46410</v>
      </c>
      <c r="M1112" s="49" t="s">
        <v>6214</v>
      </c>
    </row>
    <row r="1113" spans="1:13" x14ac:dyDescent="0.35">
      <c r="A1113" s="49" t="s">
        <v>6215</v>
      </c>
      <c r="C1113" s="49" t="s">
        <v>6206</v>
      </c>
      <c r="D1113" s="49" t="s">
        <v>1264</v>
      </c>
      <c r="E1113" s="49" t="s">
        <v>2986</v>
      </c>
      <c r="F1113" s="49" t="s">
        <v>2825</v>
      </c>
      <c r="G1113" s="49" t="s">
        <v>2901</v>
      </c>
      <c r="H1113" s="49" t="s">
        <v>2827</v>
      </c>
      <c r="I1113" s="50">
        <v>45299</v>
      </c>
      <c r="J1113" s="50">
        <v>45315</v>
      </c>
      <c r="K1113" s="50">
        <v>46410</v>
      </c>
      <c r="M1113" s="49" t="s">
        <v>6216</v>
      </c>
    </row>
    <row r="1114" spans="1:13" x14ac:dyDescent="0.35">
      <c r="A1114" s="49" t="s">
        <v>6217</v>
      </c>
      <c r="C1114" s="49" t="s">
        <v>6218</v>
      </c>
      <c r="D1114" s="49" t="s">
        <v>1264</v>
      </c>
      <c r="E1114" s="49" t="s">
        <v>2986</v>
      </c>
      <c r="F1114" s="49" t="s">
        <v>2825</v>
      </c>
      <c r="G1114" s="49" t="s">
        <v>4330</v>
      </c>
      <c r="H1114" s="49" t="s">
        <v>973</v>
      </c>
      <c r="I1114" s="50">
        <v>44929</v>
      </c>
      <c r="M1114" s="49" t="s">
        <v>6219</v>
      </c>
    </row>
    <row r="1115" spans="1:13" x14ac:dyDescent="0.35">
      <c r="A1115" s="49" t="s">
        <v>6220</v>
      </c>
      <c r="C1115" s="49" t="s">
        <v>6218</v>
      </c>
      <c r="D1115" s="49" t="s">
        <v>1264</v>
      </c>
      <c r="E1115" s="49" t="s">
        <v>2986</v>
      </c>
      <c r="F1115" s="49" t="s">
        <v>2825</v>
      </c>
      <c r="G1115" s="49" t="s">
        <v>4330</v>
      </c>
      <c r="H1115" s="49" t="s">
        <v>973</v>
      </c>
      <c r="I1115" s="50">
        <v>45294</v>
      </c>
      <c r="M1115" s="49" t="s">
        <v>6221</v>
      </c>
    </row>
    <row r="1116" spans="1:13" x14ac:dyDescent="0.35">
      <c r="A1116" s="49" t="s">
        <v>6222</v>
      </c>
      <c r="C1116" s="49" t="s">
        <v>6223</v>
      </c>
      <c r="D1116" s="49" t="s">
        <v>1264</v>
      </c>
      <c r="E1116" s="49" t="s">
        <v>2908</v>
      </c>
      <c r="F1116" s="49" t="s">
        <v>2837</v>
      </c>
      <c r="G1116" s="49" t="s">
        <v>4330</v>
      </c>
      <c r="H1116" s="49" t="s">
        <v>980</v>
      </c>
      <c r="I1116" s="50">
        <v>44913</v>
      </c>
      <c r="M1116" s="49" t="s">
        <v>6224</v>
      </c>
    </row>
    <row r="1117" spans="1:13" x14ac:dyDescent="0.35">
      <c r="A1117" s="49" t="s">
        <v>6225</v>
      </c>
      <c r="C1117" s="49" t="s">
        <v>2997</v>
      </c>
      <c r="D1117" s="49" t="s">
        <v>1264</v>
      </c>
      <c r="E1117" s="49" t="s">
        <v>2908</v>
      </c>
      <c r="F1117" s="49" t="s">
        <v>2786</v>
      </c>
      <c r="G1117" s="49" t="s">
        <v>2901</v>
      </c>
      <c r="H1117" s="49" t="s">
        <v>980</v>
      </c>
      <c r="I1117" s="50">
        <v>45016</v>
      </c>
      <c r="J1117" s="50">
        <v>45034</v>
      </c>
      <c r="K1117" s="50">
        <v>46860</v>
      </c>
      <c r="M1117" s="49" t="s">
        <v>6226</v>
      </c>
    </row>
    <row r="1118" spans="1:13" x14ac:dyDescent="0.35">
      <c r="A1118" s="49" t="s">
        <v>6227</v>
      </c>
      <c r="B1118" s="49" t="s">
        <v>4877</v>
      </c>
      <c r="C1118" s="49" t="s">
        <v>5735</v>
      </c>
      <c r="D1118" s="49" t="s">
        <v>1264</v>
      </c>
      <c r="E1118" s="49" t="s">
        <v>2986</v>
      </c>
      <c r="F1118" s="49" t="s">
        <v>2825</v>
      </c>
      <c r="G1118" s="49" t="s">
        <v>2901</v>
      </c>
      <c r="H1118" s="49" t="s">
        <v>2827</v>
      </c>
      <c r="I1118" s="50">
        <v>45306</v>
      </c>
      <c r="J1118" s="50">
        <v>45349</v>
      </c>
      <c r="K1118" s="50">
        <v>46444</v>
      </c>
      <c r="M1118" s="49" t="s">
        <v>6228</v>
      </c>
    </row>
    <row r="1119" spans="1:13" x14ac:dyDescent="0.35">
      <c r="A1119" s="49" t="s">
        <v>6229</v>
      </c>
      <c r="C1119" s="49" t="s">
        <v>2997</v>
      </c>
      <c r="D1119" s="49" t="s">
        <v>1264</v>
      </c>
      <c r="E1119" s="49" t="s">
        <v>2908</v>
      </c>
      <c r="F1119" s="49" t="s">
        <v>2939</v>
      </c>
      <c r="G1119" s="49" t="s">
        <v>2901</v>
      </c>
      <c r="H1119" s="49" t="s">
        <v>980</v>
      </c>
      <c r="I1119" s="50">
        <v>45000</v>
      </c>
      <c r="J1119" s="50">
        <v>45034</v>
      </c>
      <c r="K1119" s="50">
        <v>46860</v>
      </c>
      <c r="M1119" s="49" t="s">
        <v>6230</v>
      </c>
    </row>
    <row r="1120" spans="1:13" x14ac:dyDescent="0.35">
      <c r="A1120" s="49" t="s">
        <v>6231</v>
      </c>
      <c r="B1120" s="49" t="s">
        <v>6232</v>
      </c>
      <c r="C1120" s="49" t="s">
        <v>6233</v>
      </c>
      <c r="D1120" s="49" t="s">
        <v>1264</v>
      </c>
      <c r="E1120" s="49" t="s">
        <v>2986</v>
      </c>
      <c r="F1120" s="49" t="s">
        <v>2825</v>
      </c>
      <c r="G1120" s="49" t="s">
        <v>2901</v>
      </c>
      <c r="H1120" s="49" t="s">
        <v>2827</v>
      </c>
      <c r="I1120" s="50">
        <v>45012</v>
      </c>
      <c r="J1120" s="50">
        <v>45294</v>
      </c>
      <c r="K1120" s="50">
        <v>46389</v>
      </c>
      <c r="M1120" s="49" t="s">
        <v>3270</v>
      </c>
    </row>
    <row r="1121" spans="1:13" x14ac:dyDescent="0.35">
      <c r="A1121" s="49" t="s">
        <v>6234</v>
      </c>
      <c r="B1121" s="49" t="s">
        <v>5865</v>
      </c>
      <c r="C1121" s="49" t="s">
        <v>6235</v>
      </c>
      <c r="D1121" s="49" t="s">
        <v>1264</v>
      </c>
      <c r="E1121" s="49" t="s">
        <v>2986</v>
      </c>
      <c r="F1121" s="49" t="s">
        <v>2825</v>
      </c>
      <c r="G1121" s="49" t="s">
        <v>2901</v>
      </c>
      <c r="H1121" s="49" t="s">
        <v>2827</v>
      </c>
      <c r="I1121" s="50">
        <v>45217</v>
      </c>
      <c r="J1121" s="50">
        <v>45287</v>
      </c>
      <c r="K1121" s="50">
        <v>46382</v>
      </c>
      <c r="M1121" s="49" t="s">
        <v>6236</v>
      </c>
    </row>
    <row r="1122" spans="1:13" x14ac:dyDescent="0.35">
      <c r="A1122" s="49" t="s">
        <v>6237</v>
      </c>
      <c r="B1122" s="49" t="s">
        <v>6238</v>
      </c>
      <c r="C1122" s="49" t="s">
        <v>6239</v>
      </c>
      <c r="D1122" s="49" t="s">
        <v>1264</v>
      </c>
      <c r="E1122" s="49" t="s">
        <v>2785</v>
      </c>
      <c r="F1122" s="49" t="s">
        <v>2792</v>
      </c>
      <c r="G1122" s="49" t="s">
        <v>4330</v>
      </c>
      <c r="H1122" s="49" t="s">
        <v>8</v>
      </c>
      <c r="I1122" s="50">
        <v>45268</v>
      </c>
      <c r="M1122" s="49" t="s">
        <v>6240</v>
      </c>
    </row>
    <row r="1123" spans="1:13" x14ac:dyDescent="0.35">
      <c r="A1123" s="49" t="s">
        <v>6241</v>
      </c>
      <c r="B1123" s="49" t="s">
        <v>6242</v>
      </c>
      <c r="C1123" s="49" t="s">
        <v>6243</v>
      </c>
      <c r="D1123" s="49" t="s">
        <v>1264</v>
      </c>
      <c r="E1123" s="49" t="s">
        <v>2785</v>
      </c>
      <c r="F1123" s="49" t="s">
        <v>2805</v>
      </c>
      <c r="G1123" s="49" t="s">
        <v>4330</v>
      </c>
      <c r="H1123" s="49" t="s">
        <v>3717</v>
      </c>
      <c r="I1123" s="50">
        <v>45200</v>
      </c>
      <c r="M1123" s="49" t="s">
        <v>6244</v>
      </c>
    </row>
    <row r="1124" spans="1:13" x14ac:dyDescent="0.35">
      <c r="A1124" s="49" t="s">
        <v>6245</v>
      </c>
      <c r="B1124" s="49" t="s">
        <v>6246</v>
      </c>
      <c r="C1124" s="49" t="s">
        <v>6247</v>
      </c>
      <c r="D1124" s="49" t="s">
        <v>1264</v>
      </c>
      <c r="E1124" s="49" t="s">
        <v>2873</v>
      </c>
      <c r="F1124" s="49" t="s">
        <v>2792</v>
      </c>
      <c r="G1124" s="49" t="s">
        <v>2901</v>
      </c>
      <c r="H1124" s="49" t="s">
        <v>3207</v>
      </c>
      <c r="I1124" s="50">
        <v>45183</v>
      </c>
      <c r="J1124" s="50">
        <v>45336</v>
      </c>
      <c r="K1124" s="50">
        <v>45701</v>
      </c>
      <c r="M1124" s="49" t="s">
        <v>6248</v>
      </c>
    </row>
    <row r="1125" spans="1:13" x14ac:dyDescent="0.35">
      <c r="A1125" s="49" t="s">
        <v>6249</v>
      </c>
      <c r="B1125" s="49" t="s">
        <v>6250</v>
      </c>
      <c r="C1125" s="49" t="s">
        <v>5422</v>
      </c>
      <c r="D1125" s="49" t="s">
        <v>1264</v>
      </c>
      <c r="E1125" s="49" t="s">
        <v>2785</v>
      </c>
      <c r="F1125" s="49" t="s">
        <v>2786</v>
      </c>
      <c r="G1125" s="49" t="s">
        <v>4330</v>
      </c>
      <c r="H1125" s="49" t="s">
        <v>4225</v>
      </c>
      <c r="I1125" s="50">
        <v>45299</v>
      </c>
      <c r="M1125" s="49" t="s">
        <v>6251</v>
      </c>
    </row>
    <row r="1126" spans="1:13" x14ac:dyDescent="0.35">
      <c r="A1126" s="49" t="s">
        <v>6252</v>
      </c>
      <c r="B1126" s="49" t="s">
        <v>6253</v>
      </c>
      <c r="C1126" s="49" t="s">
        <v>6254</v>
      </c>
      <c r="D1126" s="49" t="s">
        <v>1264</v>
      </c>
      <c r="E1126" s="49" t="s">
        <v>2785</v>
      </c>
      <c r="F1126" s="49" t="s">
        <v>2939</v>
      </c>
      <c r="G1126" s="49" t="s">
        <v>2901</v>
      </c>
      <c r="H1126" s="49" t="s">
        <v>2832</v>
      </c>
      <c r="I1126" s="50">
        <v>45240</v>
      </c>
      <c r="J1126" s="50">
        <v>45327</v>
      </c>
      <c r="K1126" s="50">
        <v>45692</v>
      </c>
      <c r="M1126" s="49" t="s">
        <v>6255</v>
      </c>
    </row>
    <row r="1127" spans="1:13" x14ac:dyDescent="0.35">
      <c r="A1127" s="49" t="s">
        <v>6256</v>
      </c>
      <c r="C1127" s="49" t="s">
        <v>5624</v>
      </c>
      <c r="D1127" s="49" t="s">
        <v>1264</v>
      </c>
      <c r="E1127" s="49" t="s">
        <v>2986</v>
      </c>
      <c r="F1127" s="49" t="s">
        <v>2825</v>
      </c>
      <c r="G1127" s="49" t="s">
        <v>4330</v>
      </c>
      <c r="H1127" s="49" t="s">
        <v>2827</v>
      </c>
      <c r="I1127" s="50">
        <v>45042</v>
      </c>
      <c r="M1127" s="49" t="s">
        <v>6257</v>
      </c>
    </row>
    <row r="1128" spans="1:13" x14ac:dyDescent="0.35">
      <c r="A1128" s="49" t="s">
        <v>6258</v>
      </c>
      <c r="C1128" s="49" t="s">
        <v>2997</v>
      </c>
      <c r="D1128" s="49" t="s">
        <v>1264</v>
      </c>
      <c r="E1128" s="49" t="s">
        <v>2908</v>
      </c>
      <c r="F1128" s="49" t="s">
        <v>2939</v>
      </c>
      <c r="G1128" s="49" t="s">
        <v>2901</v>
      </c>
      <c r="H1128" s="49" t="s">
        <v>980</v>
      </c>
      <c r="I1128" s="50">
        <v>45016</v>
      </c>
      <c r="J1128" s="50">
        <v>45040</v>
      </c>
      <c r="K1128" s="50">
        <v>46866</v>
      </c>
      <c r="M1128" s="49" t="s">
        <v>6259</v>
      </c>
    </row>
    <row r="1129" spans="1:13" x14ac:dyDescent="0.35">
      <c r="A1129" s="49" t="s">
        <v>6260</v>
      </c>
      <c r="B1129" s="49" t="s">
        <v>6261</v>
      </c>
      <c r="C1129" s="49" t="s">
        <v>3731</v>
      </c>
      <c r="D1129" s="49" t="s">
        <v>1264</v>
      </c>
      <c r="E1129" s="49" t="s">
        <v>2785</v>
      </c>
      <c r="F1129" s="49" t="s">
        <v>2786</v>
      </c>
      <c r="G1129" s="49" t="s">
        <v>4330</v>
      </c>
      <c r="H1129" s="49" t="s">
        <v>4225</v>
      </c>
      <c r="I1129" s="50">
        <v>45288</v>
      </c>
      <c r="M1129" s="49" t="s">
        <v>6262</v>
      </c>
    </row>
    <row r="1130" spans="1:13" x14ac:dyDescent="0.35">
      <c r="A1130" s="49" t="s">
        <v>6263</v>
      </c>
      <c r="B1130" s="49" t="s">
        <v>6264</v>
      </c>
      <c r="C1130" s="49" t="s">
        <v>5240</v>
      </c>
      <c r="D1130" s="49" t="s">
        <v>1264</v>
      </c>
      <c r="E1130" s="49" t="s">
        <v>2785</v>
      </c>
      <c r="F1130" s="49" t="s">
        <v>2786</v>
      </c>
      <c r="G1130" s="49" t="s">
        <v>4330</v>
      </c>
      <c r="H1130" s="49" t="s">
        <v>835</v>
      </c>
      <c r="I1130" s="50">
        <v>45317</v>
      </c>
      <c r="M1130" s="49" t="s">
        <v>6265</v>
      </c>
    </row>
    <row r="1131" spans="1:13" x14ac:dyDescent="0.35">
      <c r="A1131" s="49" t="s">
        <v>6266</v>
      </c>
      <c r="C1131" s="49" t="s">
        <v>6267</v>
      </c>
      <c r="D1131" s="49" t="s">
        <v>1264</v>
      </c>
      <c r="E1131" s="49" t="s">
        <v>2986</v>
      </c>
      <c r="F1131" s="49" t="s">
        <v>2825</v>
      </c>
      <c r="G1131" s="49" t="s">
        <v>2901</v>
      </c>
      <c r="H1131" s="49" t="s">
        <v>2827</v>
      </c>
      <c r="I1131" s="50">
        <v>45296</v>
      </c>
      <c r="J1131" s="50">
        <v>45342</v>
      </c>
      <c r="K1131" s="50">
        <v>46437</v>
      </c>
      <c r="M1131" s="49" t="s">
        <v>6268</v>
      </c>
    </row>
    <row r="1132" spans="1:13" x14ac:dyDescent="0.35">
      <c r="A1132" s="49" t="s">
        <v>6269</v>
      </c>
      <c r="B1132" s="49" t="s">
        <v>6270</v>
      </c>
      <c r="C1132" s="49" t="s">
        <v>5960</v>
      </c>
      <c r="D1132" s="49" t="s">
        <v>1264</v>
      </c>
      <c r="E1132" s="49" t="s">
        <v>2785</v>
      </c>
      <c r="F1132" s="49" t="s">
        <v>2792</v>
      </c>
      <c r="G1132" s="49" t="s">
        <v>4330</v>
      </c>
      <c r="H1132" s="49" t="s">
        <v>3207</v>
      </c>
      <c r="I1132" s="50">
        <v>45113</v>
      </c>
      <c r="M1132" s="49" t="s">
        <v>6271</v>
      </c>
    </row>
    <row r="1133" spans="1:13" x14ac:dyDescent="0.35">
      <c r="A1133" s="49" t="s">
        <v>6272</v>
      </c>
      <c r="B1133" s="49" t="s">
        <v>5800</v>
      </c>
      <c r="C1133" s="49" t="s">
        <v>6273</v>
      </c>
      <c r="D1133" s="49" t="s">
        <v>1264</v>
      </c>
      <c r="E1133" s="49" t="s">
        <v>2785</v>
      </c>
      <c r="F1133" s="49" t="s">
        <v>2786</v>
      </c>
      <c r="G1133" s="49" t="s">
        <v>4330</v>
      </c>
      <c r="H1133" s="49" t="s">
        <v>980</v>
      </c>
      <c r="I1133" s="50">
        <v>45309</v>
      </c>
      <c r="M1133" s="49" t="s">
        <v>6274</v>
      </c>
    </row>
    <row r="1134" spans="1:13" x14ac:dyDescent="0.35">
      <c r="A1134" s="49" t="s">
        <v>6275</v>
      </c>
      <c r="B1134" s="49" t="s">
        <v>3615</v>
      </c>
      <c r="C1134" s="49" t="s">
        <v>6276</v>
      </c>
      <c r="D1134" s="49" t="s">
        <v>1264</v>
      </c>
      <c r="E1134" s="49" t="s">
        <v>2908</v>
      </c>
      <c r="F1134" s="49" t="s">
        <v>3010</v>
      </c>
      <c r="G1134" s="49" t="s">
        <v>2787</v>
      </c>
      <c r="H1134" s="49" t="s">
        <v>980</v>
      </c>
      <c r="I1134" s="50">
        <v>41704</v>
      </c>
      <c r="J1134" s="50">
        <v>41808</v>
      </c>
      <c r="K1134" s="50">
        <v>45459</v>
      </c>
      <c r="M1134" s="49" t="s">
        <v>6277</v>
      </c>
    </row>
    <row r="1135" spans="1:13" x14ac:dyDescent="0.35">
      <c r="A1135" s="49" t="s">
        <v>6278</v>
      </c>
      <c r="B1135" s="49" t="s">
        <v>3768</v>
      </c>
      <c r="C1135" s="49" t="s">
        <v>5267</v>
      </c>
      <c r="D1135" s="49" t="s">
        <v>1264</v>
      </c>
      <c r="E1135" s="49" t="s">
        <v>3443</v>
      </c>
      <c r="F1135" s="49" t="s">
        <v>3124</v>
      </c>
      <c r="G1135" s="49" t="s">
        <v>4330</v>
      </c>
      <c r="H1135" s="49" t="s">
        <v>980</v>
      </c>
      <c r="I1135" s="50">
        <v>45070</v>
      </c>
    </row>
    <row r="1136" spans="1:13" x14ac:dyDescent="0.35">
      <c r="A1136" s="49" t="s">
        <v>6279</v>
      </c>
      <c r="B1136" s="49" t="s">
        <v>3615</v>
      </c>
      <c r="C1136" s="49" t="s">
        <v>6280</v>
      </c>
      <c r="D1136" s="49" t="s">
        <v>1264</v>
      </c>
      <c r="E1136" s="49" t="s">
        <v>2908</v>
      </c>
      <c r="F1136" s="49" t="s">
        <v>3010</v>
      </c>
      <c r="G1136" s="49" t="s">
        <v>2901</v>
      </c>
      <c r="H1136" s="49" t="s">
        <v>980</v>
      </c>
      <c r="I1136" s="50">
        <v>45233</v>
      </c>
      <c r="J1136" s="50">
        <v>45294</v>
      </c>
      <c r="K1136" s="50">
        <v>47120</v>
      </c>
      <c r="M1136" s="49" t="s">
        <v>6281</v>
      </c>
    </row>
    <row r="1137" spans="1:13" x14ac:dyDescent="0.35">
      <c r="A1137" s="49" t="s">
        <v>6282</v>
      </c>
      <c r="B1137" s="49" t="s">
        <v>4555</v>
      </c>
      <c r="C1137" s="49" t="s">
        <v>2836</v>
      </c>
      <c r="D1137" s="49" t="s">
        <v>1264</v>
      </c>
      <c r="E1137" s="49" t="s">
        <v>2908</v>
      </c>
      <c r="F1137" s="49" t="s">
        <v>2837</v>
      </c>
      <c r="G1137" s="49" t="s">
        <v>2901</v>
      </c>
      <c r="H1137" s="49" t="s">
        <v>980</v>
      </c>
      <c r="I1137" s="50">
        <v>45222</v>
      </c>
      <c r="J1137" s="50">
        <v>45287</v>
      </c>
      <c r="K1137" s="50">
        <v>47113</v>
      </c>
      <c r="M1137" s="49" t="s">
        <v>6283</v>
      </c>
    </row>
    <row r="1138" spans="1:13" x14ac:dyDescent="0.35">
      <c r="A1138" s="49" t="s">
        <v>6284</v>
      </c>
      <c r="B1138" s="49" t="s">
        <v>3768</v>
      </c>
      <c r="C1138" s="49" t="s">
        <v>6285</v>
      </c>
      <c r="D1138" s="49" t="s">
        <v>1264</v>
      </c>
      <c r="E1138" s="49" t="s">
        <v>3443</v>
      </c>
      <c r="F1138" s="49" t="s">
        <v>3124</v>
      </c>
      <c r="G1138" s="49" t="s">
        <v>2901</v>
      </c>
      <c r="H1138" s="49" t="s">
        <v>980</v>
      </c>
      <c r="I1138" s="50">
        <v>45241</v>
      </c>
      <c r="J1138" s="50">
        <v>45287</v>
      </c>
      <c r="K1138" s="50">
        <v>47113</v>
      </c>
    </row>
    <row r="1139" spans="1:13" x14ac:dyDescent="0.35">
      <c r="A1139" s="49" t="s">
        <v>6286</v>
      </c>
      <c r="C1139" s="49" t="s">
        <v>6287</v>
      </c>
      <c r="D1139" s="49" t="s">
        <v>1264</v>
      </c>
      <c r="E1139" s="49" t="s">
        <v>3443</v>
      </c>
      <c r="F1139" s="49" t="s">
        <v>3124</v>
      </c>
      <c r="G1139" s="49" t="s">
        <v>4330</v>
      </c>
      <c r="H1139" s="49" t="s">
        <v>980</v>
      </c>
      <c r="I1139" s="50">
        <v>45240</v>
      </c>
    </row>
    <row r="1140" spans="1:13" x14ac:dyDescent="0.35">
      <c r="A1140" s="49" t="s">
        <v>6288</v>
      </c>
      <c r="B1140" s="49" t="s">
        <v>3768</v>
      </c>
      <c r="C1140" s="49" t="s">
        <v>6289</v>
      </c>
      <c r="D1140" s="49" t="s">
        <v>1264</v>
      </c>
      <c r="E1140" s="49" t="s">
        <v>3443</v>
      </c>
      <c r="F1140" s="49" t="s">
        <v>3124</v>
      </c>
      <c r="G1140" s="49" t="s">
        <v>4330</v>
      </c>
      <c r="H1140" s="49" t="s">
        <v>980</v>
      </c>
      <c r="I1140" s="50">
        <v>45160</v>
      </c>
    </row>
    <row r="1141" spans="1:13" x14ac:dyDescent="0.35">
      <c r="A1141" s="49" t="s">
        <v>6290</v>
      </c>
      <c r="B1141" s="49" t="s">
        <v>3768</v>
      </c>
      <c r="C1141" s="49" t="s">
        <v>4623</v>
      </c>
      <c r="D1141" s="49" t="s">
        <v>1264</v>
      </c>
      <c r="E1141" s="49" t="s">
        <v>3443</v>
      </c>
      <c r="F1141" s="49" t="s">
        <v>3124</v>
      </c>
      <c r="G1141" s="49" t="s">
        <v>4330</v>
      </c>
      <c r="H1141" s="49" t="s">
        <v>980</v>
      </c>
      <c r="I1141" s="50">
        <v>45258</v>
      </c>
    </row>
    <row r="1142" spans="1:13" x14ac:dyDescent="0.35">
      <c r="A1142" s="49" t="s">
        <v>6291</v>
      </c>
      <c r="C1142" s="49" t="s">
        <v>4491</v>
      </c>
      <c r="D1142" s="49" t="s">
        <v>1264</v>
      </c>
      <c r="E1142" s="49" t="s">
        <v>2908</v>
      </c>
      <c r="F1142" s="49" t="s">
        <v>2837</v>
      </c>
      <c r="G1142" s="49" t="s">
        <v>2901</v>
      </c>
      <c r="H1142" s="49" t="s">
        <v>980</v>
      </c>
      <c r="I1142" s="50">
        <v>45168</v>
      </c>
      <c r="J1142" s="50">
        <v>45267</v>
      </c>
      <c r="K1142" s="50">
        <v>47093</v>
      </c>
      <c r="M1142" s="49" t="s">
        <v>6292</v>
      </c>
    </row>
    <row r="1143" spans="1:13" x14ac:dyDescent="0.35">
      <c r="A1143" s="49" t="s">
        <v>6293</v>
      </c>
      <c r="C1143" s="49" t="s">
        <v>6294</v>
      </c>
      <c r="D1143" s="49" t="s">
        <v>1264</v>
      </c>
      <c r="E1143" s="49" t="s">
        <v>2986</v>
      </c>
      <c r="F1143" s="49" t="s">
        <v>2825</v>
      </c>
      <c r="G1143" s="49" t="s">
        <v>4330</v>
      </c>
      <c r="H1143" s="49" t="s">
        <v>2827</v>
      </c>
      <c r="I1143" s="50">
        <v>45322</v>
      </c>
      <c r="M1143" s="49" t="s">
        <v>6295</v>
      </c>
    </row>
    <row r="1144" spans="1:13" x14ac:dyDescent="0.35">
      <c r="A1144" s="49" t="s">
        <v>6296</v>
      </c>
      <c r="B1144" s="49" t="s">
        <v>6297</v>
      </c>
      <c r="C1144" s="49" t="s">
        <v>6298</v>
      </c>
      <c r="D1144" s="49" t="s">
        <v>1264</v>
      </c>
      <c r="E1144" s="49" t="s">
        <v>2785</v>
      </c>
      <c r="F1144" s="49" t="s">
        <v>2792</v>
      </c>
      <c r="G1144" s="49" t="s">
        <v>4330</v>
      </c>
      <c r="H1144" s="49" t="s">
        <v>835</v>
      </c>
      <c r="I1144" s="50">
        <v>45309</v>
      </c>
      <c r="M1144" s="49" t="s">
        <v>6299</v>
      </c>
    </row>
    <row r="1145" spans="1:13" x14ac:dyDescent="0.35">
      <c r="A1145" s="49" t="s">
        <v>6300</v>
      </c>
      <c r="C1145" s="49" t="s">
        <v>6301</v>
      </c>
      <c r="D1145" s="49" t="s">
        <v>1264</v>
      </c>
      <c r="E1145" s="49" t="s">
        <v>2986</v>
      </c>
      <c r="F1145" s="49" t="s">
        <v>2825</v>
      </c>
      <c r="G1145" s="49" t="s">
        <v>2901</v>
      </c>
      <c r="H1145" s="49" t="s">
        <v>2827</v>
      </c>
      <c r="I1145" s="50">
        <v>45316</v>
      </c>
      <c r="J1145" s="50">
        <v>45329</v>
      </c>
      <c r="K1145" s="50">
        <v>46424</v>
      </c>
      <c r="M1145" s="49" t="s">
        <v>3181</v>
      </c>
    </row>
    <row r="1146" spans="1:13" x14ac:dyDescent="0.35">
      <c r="A1146" s="49" t="s">
        <v>6302</v>
      </c>
      <c r="B1146" s="49" t="s">
        <v>6303</v>
      </c>
      <c r="C1146" s="49" t="s">
        <v>6203</v>
      </c>
      <c r="D1146" s="49" t="s">
        <v>1264</v>
      </c>
      <c r="E1146" s="49" t="s">
        <v>2986</v>
      </c>
      <c r="F1146" s="49" t="s">
        <v>2825</v>
      </c>
      <c r="G1146" s="49" t="s">
        <v>2901</v>
      </c>
      <c r="H1146" s="49" t="s">
        <v>2827</v>
      </c>
      <c r="I1146" s="50">
        <v>45253</v>
      </c>
      <c r="J1146" s="50">
        <v>45322</v>
      </c>
      <c r="K1146" s="50">
        <v>46417</v>
      </c>
      <c r="M1146" s="49" t="s">
        <v>6304</v>
      </c>
    </row>
    <row r="1147" spans="1:13" x14ac:dyDescent="0.35">
      <c r="A1147" s="49" t="s">
        <v>6305</v>
      </c>
      <c r="B1147" s="49" t="s">
        <v>6306</v>
      </c>
      <c r="C1147" s="49" t="s">
        <v>6307</v>
      </c>
      <c r="D1147" s="49" t="s">
        <v>1264</v>
      </c>
      <c r="E1147" s="49" t="s">
        <v>2774</v>
      </c>
      <c r="F1147" s="49" t="s">
        <v>2825</v>
      </c>
      <c r="G1147" s="49" t="s">
        <v>2901</v>
      </c>
      <c r="H1147" s="49" t="s">
        <v>2827</v>
      </c>
      <c r="I1147" s="50">
        <v>45048</v>
      </c>
      <c r="J1147" s="50">
        <v>45324</v>
      </c>
      <c r="K1147" s="50">
        <v>46784</v>
      </c>
      <c r="M1147" s="49" t="s">
        <v>6308</v>
      </c>
    </row>
    <row r="1148" spans="1:13" x14ac:dyDescent="0.35">
      <c r="A1148" s="49" t="s">
        <v>6309</v>
      </c>
      <c r="B1148" s="49" t="s">
        <v>3171</v>
      </c>
      <c r="C1148" s="49" t="s">
        <v>6310</v>
      </c>
      <c r="D1148" s="49" t="s">
        <v>1264</v>
      </c>
      <c r="E1148" s="49" t="s">
        <v>2785</v>
      </c>
      <c r="F1148" s="49" t="s">
        <v>2805</v>
      </c>
      <c r="G1148" s="49" t="s">
        <v>2787</v>
      </c>
      <c r="H1148" s="49" t="s">
        <v>3717</v>
      </c>
      <c r="I1148" s="50">
        <v>45302</v>
      </c>
      <c r="J1148" s="50">
        <v>45338</v>
      </c>
      <c r="K1148" s="50">
        <v>45703</v>
      </c>
      <c r="M1148" s="49" t="s">
        <v>6311</v>
      </c>
    </row>
    <row r="1149" spans="1:13" x14ac:dyDescent="0.35">
      <c r="A1149" s="49" t="s">
        <v>6312</v>
      </c>
      <c r="B1149" s="49" t="s">
        <v>6313</v>
      </c>
      <c r="C1149" s="49" t="s">
        <v>6314</v>
      </c>
      <c r="D1149" s="49" t="s">
        <v>1264</v>
      </c>
      <c r="E1149" s="49" t="s">
        <v>2986</v>
      </c>
      <c r="F1149" s="49" t="s">
        <v>2825</v>
      </c>
      <c r="G1149" s="49" t="s">
        <v>4330</v>
      </c>
      <c r="H1149" s="49" t="s">
        <v>2827</v>
      </c>
      <c r="I1149" s="50">
        <v>44637</v>
      </c>
      <c r="M1149" s="49" t="s">
        <v>6315</v>
      </c>
    </row>
    <row r="1150" spans="1:13" x14ac:dyDescent="0.35">
      <c r="A1150" s="49" t="s">
        <v>6316</v>
      </c>
      <c r="C1150" s="49" t="s">
        <v>6317</v>
      </c>
      <c r="D1150" s="49" t="s">
        <v>1264</v>
      </c>
      <c r="E1150" s="49" t="s">
        <v>2986</v>
      </c>
      <c r="F1150" s="49" t="s">
        <v>2825</v>
      </c>
      <c r="G1150" s="49" t="s">
        <v>2901</v>
      </c>
      <c r="H1150" s="49" t="s">
        <v>2827</v>
      </c>
      <c r="I1150" s="50">
        <v>44865</v>
      </c>
      <c r="J1150" s="50">
        <v>45324</v>
      </c>
      <c r="K1150" s="50">
        <v>46419</v>
      </c>
      <c r="M1150" s="49" t="s">
        <v>6318</v>
      </c>
    </row>
    <row r="1151" spans="1:13" x14ac:dyDescent="0.35">
      <c r="A1151" s="49" t="s">
        <v>6319</v>
      </c>
      <c r="B1151" s="49" t="s">
        <v>6320</v>
      </c>
      <c r="C1151" s="49" t="s">
        <v>4849</v>
      </c>
      <c r="D1151" s="49" t="s">
        <v>1264</v>
      </c>
      <c r="E1151" s="49" t="s">
        <v>2986</v>
      </c>
      <c r="F1151" s="49" t="s">
        <v>2825</v>
      </c>
      <c r="G1151" s="49" t="s">
        <v>4330</v>
      </c>
      <c r="H1151" s="49" t="s">
        <v>2827</v>
      </c>
      <c r="I1151" s="50">
        <v>45258</v>
      </c>
      <c r="M1151" s="49" t="s">
        <v>6321</v>
      </c>
    </row>
    <row r="1152" spans="1:13" x14ac:dyDescent="0.35">
      <c r="A1152" s="49" t="s">
        <v>6322</v>
      </c>
      <c r="C1152" s="49" t="s">
        <v>5307</v>
      </c>
      <c r="D1152" s="49" t="s">
        <v>1264</v>
      </c>
      <c r="E1152" s="49" t="s">
        <v>2986</v>
      </c>
      <c r="F1152" s="49" t="s">
        <v>2825</v>
      </c>
      <c r="G1152" s="49" t="s">
        <v>4330</v>
      </c>
      <c r="H1152" s="49" t="s">
        <v>2827</v>
      </c>
      <c r="I1152" s="50">
        <v>44941</v>
      </c>
      <c r="M1152" s="49" t="s">
        <v>6323</v>
      </c>
    </row>
    <row r="1153" spans="1:13" x14ac:dyDescent="0.35">
      <c r="A1153" s="49" t="s">
        <v>6324</v>
      </c>
      <c r="C1153" s="49" t="s">
        <v>6325</v>
      </c>
      <c r="D1153" s="49" t="s">
        <v>1264</v>
      </c>
      <c r="E1153" s="49" t="s">
        <v>2986</v>
      </c>
      <c r="F1153" s="49" t="s">
        <v>2825</v>
      </c>
      <c r="G1153" s="49" t="s">
        <v>2901</v>
      </c>
      <c r="H1153" s="49" t="s">
        <v>2827</v>
      </c>
      <c r="I1153" s="50">
        <v>45316</v>
      </c>
      <c r="J1153" s="50">
        <v>45324</v>
      </c>
      <c r="K1153" s="50">
        <v>46419</v>
      </c>
      <c r="M1153" s="49" t="s">
        <v>6326</v>
      </c>
    </row>
    <row r="1154" spans="1:13" x14ac:dyDescent="0.35">
      <c r="A1154" s="49" t="s">
        <v>6327</v>
      </c>
      <c r="B1154" s="49" t="s">
        <v>6328</v>
      </c>
      <c r="C1154" s="49" t="s">
        <v>4152</v>
      </c>
      <c r="D1154" s="49" t="s">
        <v>1264</v>
      </c>
      <c r="E1154" s="49" t="s">
        <v>2785</v>
      </c>
      <c r="F1154" s="49" t="s">
        <v>2792</v>
      </c>
      <c r="G1154" s="49" t="s">
        <v>2787</v>
      </c>
      <c r="H1154" s="49" t="s">
        <v>8</v>
      </c>
      <c r="I1154" s="50">
        <v>44848</v>
      </c>
      <c r="J1154" s="50">
        <v>45030</v>
      </c>
      <c r="K1154" s="50">
        <v>45759</v>
      </c>
      <c r="M1154" s="49" t="s">
        <v>6329</v>
      </c>
    </row>
    <row r="1155" spans="1:13" x14ac:dyDescent="0.35">
      <c r="A1155" s="49" t="s">
        <v>6330</v>
      </c>
      <c r="C1155" s="49" t="s">
        <v>6331</v>
      </c>
      <c r="D1155" s="49" t="s">
        <v>1264</v>
      </c>
      <c r="E1155" s="49" t="s">
        <v>2986</v>
      </c>
      <c r="F1155" s="49" t="s">
        <v>2825</v>
      </c>
      <c r="G1155" s="49" t="s">
        <v>2901</v>
      </c>
      <c r="H1155" s="49" t="s">
        <v>2827</v>
      </c>
      <c r="I1155" s="50">
        <v>45313</v>
      </c>
      <c r="J1155" s="50">
        <v>45324</v>
      </c>
      <c r="K1155" s="50">
        <v>46419</v>
      </c>
      <c r="M1155" s="49" t="s">
        <v>6332</v>
      </c>
    </row>
    <row r="1156" spans="1:13" x14ac:dyDescent="0.35">
      <c r="A1156" s="49" t="s">
        <v>6333</v>
      </c>
      <c r="C1156" s="49" t="s">
        <v>6334</v>
      </c>
      <c r="D1156" s="49" t="s">
        <v>1264</v>
      </c>
      <c r="E1156" s="49" t="s">
        <v>2986</v>
      </c>
      <c r="F1156" s="49" t="s">
        <v>2825</v>
      </c>
      <c r="G1156" s="49" t="s">
        <v>4330</v>
      </c>
      <c r="H1156" s="49" t="s">
        <v>2827</v>
      </c>
      <c r="I1156" s="50">
        <v>45098</v>
      </c>
      <c r="M1156" s="49" t="s">
        <v>6335</v>
      </c>
    </row>
    <row r="1157" spans="1:13" x14ac:dyDescent="0.35">
      <c r="A1157" s="49" t="s">
        <v>6336</v>
      </c>
      <c r="B1157" s="49" t="s">
        <v>3354</v>
      </c>
      <c r="C1157" s="49" t="s">
        <v>6337</v>
      </c>
      <c r="D1157" s="49" t="s">
        <v>1264</v>
      </c>
      <c r="E1157" s="49" t="s">
        <v>2908</v>
      </c>
      <c r="F1157" s="49" t="s">
        <v>2837</v>
      </c>
      <c r="G1157" s="49" t="s">
        <v>4330</v>
      </c>
      <c r="H1157" s="49" t="s">
        <v>980</v>
      </c>
      <c r="I1157" s="50">
        <v>45324</v>
      </c>
      <c r="M1157" s="49" t="s">
        <v>6338</v>
      </c>
    </row>
    <row r="1158" spans="1:13" x14ac:dyDescent="0.35">
      <c r="A1158" s="49" t="s">
        <v>6339</v>
      </c>
      <c r="B1158" s="49" t="s">
        <v>6340</v>
      </c>
      <c r="C1158" s="49" t="s">
        <v>6341</v>
      </c>
      <c r="D1158" s="49" t="s">
        <v>1264</v>
      </c>
      <c r="E1158" s="49" t="s">
        <v>2785</v>
      </c>
      <c r="F1158" s="49" t="s">
        <v>2805</v>
      </c>
      <c r="G1158" s="49" t="s">
        <v>2787</v>
      </c>
      <c r="H1158" s="49" t="s">
        <v>1062</v>
      </c>
      <c r="I1158" s="50">
        <v>45288</v>
      </c>
      <c r="J1158" s="50">
        <v>45342</v>
      </c>
      <c r="K1158" s="50">
        <v>45707</v>
      </c>
      <c r="M1158" s="49" t="s">
        <v>6342</v>
      </c>
    </row>
    <row r="1159" spans="1:13" x14ac:dyDescent="0.35">
      <c r="A1159" s="49" t="s">
        <v>6343</v>
      </c>
      <c r="B1159" s="49" t="s">
        <v>6344</v>
      </c>
      <c r="C1159" s="49" t="s">
        <v>6345</v>
      </c>
      <c r="D1159" s="49" t="s">
        <v>1264</v>
      </c>
      <c r="E1159" s="49" t="s">
        <v>2785</v>
      </c>
      <c r="F1159" s="49" t="s">
        <v>2792</v>
      </c>
      <c r="G1159" s="49" t="s">
        <v>4330</v>
      </c>
      <c r="H1159" s="49" t="s">
        <v>4225</v>
      </c>
      <c r="I1159" s="50">
        <v>45337</v>
      </c>
      <c r="M1159" s="49" t="s">
        <v>6346</v>
      </c>
    </row>
    <row r="1160" spans="1:13" x14ac:dyDescent="0.35">
      <c r="A1160" s="49" t="s">
        <v>6347</v>
      </c>
      <c r="B1160" s="49" t="s">
        <v>6348</v>
      </c>
      <c r="C1160" s="49" t="s">
        <v>4646</v>
      </c>
      <c r="D1160" s="49" t="s">
        <v>1264</v>
      </c>
      <c r="E1160" s="49" t="s">
        <v>2974</v>
      </c>
      <c r="F1160" s="49" t="s">
        <v>2825</v>
      </c>
      <c r="G1160" s="49" t="s">
        <v>2901</v>
      </c>
      <c r="H1160" s="49" t="s">
        <v>2827</v>
      </c>
      <c r="I1160" s="50">
        <v>45190</v>
      </c>
      <c r="J1160" s="50">
        <v>45334</v>
      </c>
      <c r="K1160" s="50">
        <v>47160</v>
      </c>
      <c r="M1160" s="49" t="s">
        <v>6349</v>
      </c>
    </row>
    <row r="1161" spans="1:13" x14ac:dyDescent="0.35">
      <c r="A1161" s="49" t="s">
        <v>6350</v>
      </c>
      <c r="B1161" s="49" t="s">
        <v>6351</v>
      </c>
      <c r="C1161" s="49" t="s">
        <v>6352</v>
      </c>
      <c r="D1161" s="49" t="s">
        <v>1264</v>
      </c>
      <c r="E1161" s="49" t="s">
        <v>2785</v>
      </c>
      <c r="F1161" s="49" t="s">
        <v>2805</v>
      </c>
      <c r="G1161" s="49" t="s">
        <v>2901</v>
      </c>
      <c r="H1161" s="49" t="s">
        <v>980</v>
      </c>
      <c r="I1161" s="50">
        <v>45259</v>
      </c>
      <c r="J1161" s="50">
        <v>45309</v>
      </c>
      <c r="K1161" s="50">
        <v>45674</v>
      </c>
      <c r="M1161" s="49" t="s">
        <v>6353</v>
      </c>
    </row>
    <row r="1162" spans="1:13" x14ac:dyDescent="0.35">
      <c r="A1162" s="49" t="s">
        <v>6354</v>
      </c>
      <c r="B1162" s="49" t="s">
        <v>6355</v>
      </c>
      <c r="C1162" s="49" t="s">
        <v>5664</v>
      </c>
      <c r="D1162" s="49" t="s">
        <v>1264</v>
      </c>
      <c r="E1162" s="49" t="s">
        <v>2785</v>
      </c>
      <c r="F1162" s="49" t="s">
        <v>2792</v>
      </c>
      <c r="G1162" s="49" t="s">
        <v>2901</v>
      </c>
      <c r="H1162" s="49" t="s">
        <v>980</v>
      </c>
      <c r="I1162" s="50">
        <v>44517</v>
      </c>
      <c r="J1162" s="50">
        <v>45343</v>
      </c>
      <c r="K1162" s="50">
        <v>45708</v>
      </c>
      <c r="M1162" s="49" t="s">
        <v>6356</v>
      </c>
    </row>
    <row r="1163" spans="1:13" x14ac:dyDescent="0.35">
      <c r="A1163" s="49" t="s">
        <v>6357</v>
      </c>
      <c r="B1163" s="49" t="s">
        <v>6358</v>
      </c>
      <c r="C1163" s="49" t="s">
        <v>4470</v>
      </c>
      <c r="D1163" s="49" t="s">
        <v>1264</v>
      </c>
      <c r="E1163" s="49" t="s">
        <v>2785</v>
      </c>
      <c r="F1163" s="49" t="s">
        <v>2792</v>
      </c>
      <c r="G1163" s="49" t="s">
        <v>2901</v>
      </c>
      <c r="H1163" s="49" t="s">
        <v>980</v>
      </c>
      <c r="I1163" s="50">
        <v>45253</v>
      </c>
      <c r="J1163" s="50">
        <v>45342</v>
      </c>
      <c r="K1163" s="50">
        <v>45707</v>
      </c>
      <c r="M1163" s="49" t="s">
        <v>6359</v>
      </c>
    </row>
    <row r="1164" spans="1:13" x14ac:dyDescent="0.35">
      <c r="A1164" s="49" t="s">
        <v>6360</v>
      </c>
      <c r="B1164" s="49" t="s">
        <v>3768</v>
      </c>
      <c r="C1164" s="49" t="s">
        <v>6361</v>
      </c>
      <c r="D1164" s="49" t="s">
        <v>1264</v>
      </c>
      <c r="E1164" s="49" t="s">
        <v>3443</v>
      </c>
      <c r="F1164" s="49" t="s">
        <v>3124</v>
      </c>
      <c r="G1164" s="49" t="s">
        <v>2901</v>
      </c>
      <c r="H1164" s="49" t="s">
        <v>980</v>
      </c>
      <c r="I1164" s="50">
        <v>45320</v>
      </c>
      <c r="J1164" s="50">
        <v>45324</v>
      </c>
      <c r="K1164" s="50">
        <v>47150</v>
      </c>
    </row>
    <row r="1165" spans="1:13" x14ac:dyDescent="0.35">
      <c r="A1165" s="49" t="s">
        <v>6362</v>
      </c>
      <c r="B1165" s="49" t="s">
        <v>3768</v>
      </c>
      <c r="C1165" s="49" t="s">
        <v>6363</v>
      </c>
      <c r="D1165" s="49" t="s">
        <v>1264</v>
      </c>
      <c r="E1165" s="49" t="s">
        <v>3443</v>
      </c>
      <c r="F1165" s="49" t="s">
        <v>3124</v>
      </c>
      <c r="G1165" s="49" t="s">
        <v>2901</v>
      </c>
      <c r="H1165" s="49" t="s">
        <v>980</v>
      </c>
      <c r="I1165" s="50">
        <v>45320</v>
      </c>
      <c r="J1165" s="50">
        <v>45324</v>
      </c>
      <c r="K1165" s="50">
        <v>47150</v>
      </c>
    </row>
    <row r="1166" spans="1:13" x14ac:dyDescent="0.35">
      <c r="A1166" s="49" t="s">
        <v>6364</v>
      </c>
      <c r="B1166" s="49" t="s">
        <v>4555</v>
      </c>
      <c r="C1166" s="49" t="s">
        <v>6365</v>
      </c>
      <c r="D1166" s="49" t="s">
        <v>1264</v>
      </c>
      <c r="E1166" s="49" t="s">
        <v>2908</v>
      </c>
      <c r="F1166" s="49" t="s">
        <v>2837</v>
      </c>
      <c r="G1166" s="49" t="s">
        <v>4330</v>
      </c>
      <c r="H1166" s="49" t="s">
        <v>980</v>
      </c>
      <c r="I1166" s="50">
        <v>45191</v>
      </c>
      <c r="M1166" s="49" t="s">
        <v>6366</v>
      </c>
    </row>
    <row r="1167" spans="1:13" x14ac:dyDescent="0.35">
      <c r="A1167" s="49" t="s">
        <v>6367</v>
      </c>
      <c r="B1167" s="49" t="s">
        <v>6368</v>
      </c>
      <c r="C1167" s="49" t="s">
        <v>5983</v>
      </c>
      <c r="D1167" s="49" t="s">
        <v>1264</v>
      </c>
      <c r="E1167" s="49" t="s">
        <v>2785</v>
      </c>
      <c r="F1167" s="49" t="s">
        <v>2792</v>
      </c>
      <c r="G1167" s="49" t="s">
        <v>4330</v>
      </c>
      <c r="H1167" s="49" t="s">
        <v>980</v>
      </c>
      <c r="I1167" s="50">
        <v>45343</v>
      </c>
      <c r="M1167" s="49" t="s">
        <v>6369</v>
      </c>
    </row>
    <row r="1168" spans="1:13" x14ac:dyDescent="0.35">
      <c r="A1168" s="49" t="s">
        <v>6370</v>
      </c>
      <c r="B1168" s="49" t="s">
        <v>3218</v>
      </c>
      <c r="C1168" s="49" t="s">
        <v>6371</v>
      </c>
      <c r="D1168" s="49" t="s">
        <v>1264</v>
      </c>
      <c r="E1168" s="49" t="s">
        <v>2785</v>
      </c>
      <c r="F1168" s="49" t="s">
        <v>2786</v>
      </c>
      <c r="G1168" s="49" t="s">
        <v>2901</v>
      </c>
      <c r="H1168" s="49" t="s">
        <v>980</v>
      </c>
      <c r="I1168" s="50">
        <v>45334</v>
      </c>
      <c r="J1168" s="50">
        <v>45344</v>
      </c>
      <c r="K1168" s="50">
        <v>45709</v>
      </c>
      <c r="M1168" s="49" t="s">
        <v>6372</v>
      </c>
    </row>
    <row r="1169" spans="1:13" x14ac:dyDescent="0.35">
      <c r="A1169" s="49" t="s">
        <v>6373</v>
      </c>
      <c r="B1169" s="49" t="s">
        <v>3768</v>
      </c>
      <c r="C1169" s="49" t="s">
        <v>6374</v>
      </c>
      <c r="D1169" s="49" t="s">
        <v>1264</v>
      </c>
      <c r="E1169" s="49" t="s">
        <v>3443</v>
      </c>
      <c r="F1169" s="49" t="s">
        <v>3124</v>
      </c>
      <c r="G1169" s="49" t="s">
        <v>4330</v>
      </c>
      <c r="H1169" s="49" t="s">
        <v>980</v>
      </c>
      <c r="I1169" s="50">
        <v>45348</v>
      </c>
    </row>
    <row r="1170" spans="1:13" x14ac:dyDescent="0.35">
      <c r="A1170" s="49" t="s">
        <v>6375</v>
      </c>
      <c r="B1170" s="49" t="s">
        <v>5830</v>
      </c>
      <c r="C1170" s="49" t="s">
        <v>6376</v>
      </c>
      <c r="D1170" s="49" t="s">
        <v>1264</v>
      </c>
      <c r="E1170" s="49" t="s">
        <v>2785</v>
      </c>
      <c r="F1170" s="49" t="s">
        <v>2786</v>
      </c>
      <c r="G1170" s="49" t="s">
        <v>2901</v>
      </c>
      <c r="H1170" s="49" t="s">
        <v>980</v>
      </c>
      <c r="I1170" s="50">
        <v>45324</v>
      </c>
      <c r="J1170" s="50">
        <v>45348</v>
      </c>
      <c r="K1170" s="50">
        <v>45713</v>
      </c>
      <c r="M1170" s="49" t="s">
        <v>6377</v>
      </c>
    </row>
    <row r="1171" spans="1:13" x14ac:dyDescent="0.35">
      <c r="A1171" s="49" t="s">
        <v>6378</v>
      </c>
      <c r="B1171" s="49" t="s">
        <v>6379</v>
      </c>
      <c r="C1171" s="49" t="s">
        <v>6380</v>
      </c>
      <c r="D1171" s="49" t="s">
        <v>1264</v>
      </c>
      <c r="E1171" s="49" t="s">
        <v>2785</v>
      </c>
      <c r="F1171" s="49" t="s">
        <v>2786</v>
      </c>
      <c r="G1171" s="49" t="s">
        <v>2901</v>
      </c>
      <c r="H1171" s="49" t="s">
        <v>8</v>
      </c>
      <c r="I1171" s="50">
        <v>45337</v>
      </c>
      <c r="J1171" s="50">
        <v>45348</v>
      </c>
      <c r="K1171" s="50">
        <v>45713</v>
      </c>
      <c r="M1171" s="49" t="s">
        <v>6381</v>
      </c>
    </row>
    <row r="1172" spans="1:13" x14ac:dyDescent="0.35">
      <c r="A1172" s="49" t="s">
        <v>6382</v>
      </c>
      <c r="B1172" s="49" t="s">
        <v>6383</v>
      </c>
      <c r="C1172" s="49" t="s">
        <v>5073</v>
      </c>
      <c r="D1172" s="49" t="s">
        <v>1264</v>
      </c>
      <c r="E1172" s="49" t="s">
        <v>2908</v>
      </c>
      <c r="F1172" s="49" t="s">
        <v>2837</v>
      </c>
      <c r="G1172" s="49" t="s">
        <v>2901</v>
      </c>
      <c r="H1172" s="49" t="s">
        <v>2827</v>
      </c>
      <c r="I1172" s="50">
        <v>45257</v>
      </c>
      <c r="J1172" s="50">
        <v>44612</v>
      </c>
      <c r="K1172" s="50">
        <v>46437</v>
      </c>
      <c r="M1172" s="49" t="s">
        <v>6384</v>
      </c>
    </row>
    <row r="1173" spans="1:13" x14ac:dyDescent="0.35">
      <c r="A1173" s="49" t="s">
        <v>6385</v>
      </c>
      <c r="B1173" s="49" t="s">
        <v>5800</v>
      </c>
      <c r="C1173" s="49" t="s">
        <v>6386</v>
      </c>
      <c r="D1173" s="49" t="s">
        <v>1264</v>
      </c>
      <c r="E1173" s="49" t="s">
        <v>2785</v>
      </c>
      <c r="F1173" s="49" t="s">
        <v>2786</v>
      </c>
      <c r="G1173" s="49" t="s">
        <v>4330</v>
      </c>
      <c r="H1173" s="49" t="s">
        <v>980</v>
      </c>
      <c r="I1173" s="50">
        <v>45342</v>
      </c>
      <c r="M1173" s="49" t="s">
        <v>6387</v>
      </c>
    </row>
    <row r="1174" spans="1:13" x14ac:dyDescent="0.35">
      <c r="A1174" s="49" t="s">
        <v>6388</v>
      </c>
      <c r="B1174" s="49" t="s">
        <v>4555</v>
      </c>
      <c r="C1174" s="49" t="s">
        <v>6389</v>
      </c>
      <c r="D1174" s="49" t="s">
        <v>1264</v>
      </c>
      <c r="E1174" s="49" t="s">
        <v>2908</v>
      </c>
      <c r="F1174" s="49" t="s">
        <v>2837</v>
      </c>
      <c r="G1174" s="49" t="s">
        <v>4330</v>
      </c>
      <c r="H1174" s="49" t="s">
        <v>980</v>
      </c>
      <c r="I1174" s="50">
        <v>45278</v>
      </c>
      <c r="M1174" s="49" t="s">
        <v>6390</v>
      </c>
    </row>
    <row r="1175" spans="1:13" x14ac:dyDescent="0.35">
      <c r="A1175" s="49" t="s">
        <v>6391</v>
      </c>
      <c r="C1175" s="49" t="s">
        <v>5080</v>
      </c>
      <c r="D1175" s="49" t="s">
        <v>1264</v>
      </c>
      <c r="E1175" s="49" t="s">
        <v>2908</v>
      </c>
      <c r="F1175" s="49" t="s">
        <v>2837</v>
      </c>
      <c r="G1175" s="49" t="s">
        <v>4330</v>
      </c>
      <c r="H1175" s="49" t="s">
        <v>980</v>
      </c>
      <c r="I1175" s="50">
        <v>45350</v>
      </c>
      <c r="M1175" s="49" t="s">
        <v>6392</v>
      </c>
    </row>
    <row r="1176" spans="1:13" x14ac:dyDescent="0.35">
      <c r="A1176" s="49" t="s">
        <v>6393</v>
      </c>
      <c r="B1176" s="49" t="s">
        <v>6394</v>
      </c>
      <c r="C1176" s="49" t="s">
        <v>4015</v>
      </c>
      <c r="D1176" s="49" t="s">
        <v>1264</v>
      </c>
      <c r="E1176" s="49" t="s">
        <v>2785</v>
      </c>
      <c r="F1176" s="49" t="s">
        <v>2792</v>
      </c>
      <c r="G1176" s="49" t="s">
        <v>2787</v>
      </c>
      <c r="H1176" s="49" t="s">
        <v>980</v>
      </c>
      <c r="I1176" s="50">
        <v>44987</v>
      </c>
      <c r="J1176" s="50">
        <v>45016</v>
      </c>
      <c r="K1176" s="50">
        <v>45381</v>
      </c>
      <c r="M1176" s="49" t="s">
        <v>6395</v>
      </c>
    </row>
    <row r="1177" spans="1:13" x14ac:dyDescent="0.35">
      <c r="A1177" s="49" t="s">
        <v>6396</v>
      </c>
      <c r="B1177" s="49" t="s">
        <v>6397</v>
      </c>
      <c r="C1177" s="49" t="s">
        <v>5240</v>
      </c>
      <c r="D1177" s="49" t="s">
        <v>1264</v>
      </c>
      <c r="E1177" s="49" t="s">
        <v>2785</v>
      </c>
      <c r="F1177" s="49" t="s">
        <v>2792</v>
      </c>
      <c r="G1177" s="49" t="s">
        <v>4330</v>
      </c>
      <c r="H1177" s="49" t="s">
        <v>864</v>
      </c>
      <c r="I1177" s="50">
        <v>44788</v>
      </c>
      <c r="M1177" s="49" t="s">
        <v>6398</v>
      </c>
    </row>
    <row r="1178" spans="1:13" x14ac:dyDescent="0.35">
      <c r="A1178" s="49" t="s">
        <v>6399</v>
      </c>
      <c r="B1178" s="49" t="s">
        <v>6400</v>
      </c>
      <c r="C1178" s="49" t="s">
        <v>6401</v>
      </c>
      <c r="D1178" s="49" t="s">
        <v>1264</v>
      </c>
      <c r="E1178" s="49" t="s">
        <v>2785</v>
      </c>
      <c r="F1178" s="49" t="s">
        <v>2792</v>
      </c>
      <c r="G1178" s="49" t="s">
        <v>4330</v>
      </c>
      <c r="H1178" s="49" t="s">
        <v>864</v>
      </c>
      <c r="I1178" s="50">
        <v>45002</v>
      </c>
      <c r="M1178" s="49" t="s">
        <v>6402</v>
      </c>
    </row>
    <row r="1179" spans="1:13" x14ac:dyDescent="0.35">
      <c r="A1179" s="49" t="s">
        <v>6403</v>
      </c>
      <c r="B1179" s="49" t="s">
        <v>6404</v>
      </c>
      <c r="C1179" s="49" t="s">
        <v>3731</v>
      </c>
      <c r="D1179" s="49" t="s">
        <v>1264</v>
      </c>
      <c r="E1179" s="49" t="s">
        <v>2785</v>
      </c>
      <c r="F1179" s="49" t="s">
        <v>2786</v>
      </c>
      <c r="G1179" s="49" t="s">
        <v>4330</v>
      </c>
      <c r="H1179" s="49" t="s">
        <v>980</v>
      </c>
      <c r="I1179" s="50">
        <v>45202</v>
      </c>
      <c r="M1179" s="49" t="s">
        <v>6405</v>
      </c>
    </row>
    <row r="1180" spans="1:13" x14ac:dyDescent="0.35">
      <c r="A1180" s="49" t="s">
        <v>6406</v>
      </c>
      <c r="C1180" s="49" t="s">
        <v>5137</v>
      </c>
      <c r="D1180" s="49" t="s">
        <v>1264</v>
      </c>
      <c r="E1180" s="49" t="s">
        <v>2785</v>
      </c>
      <c r="F1180" s="49" t="s">
        <v>2786</v>
      </c>
      <c r="G1180" s="49" t="s">
        <v>2787</v>
      </c>
      <c r="H1180" s="49" t="s">
        <v>2827</v>
      </c>
      <c r="I1180" s="50">
        <v>44768</v>
      </c>
      <c r="J1180" s="50">
        <v>45216</v>
      </c>
      <c r="K1180" s="50">
        <v>45581</v>
      </c>
      <c r="M1180" s="49" t="s">
        <v>6407</v>
      </c>
    </row>
    <row r="1181" spans="1:13" x14ac:dyDescent="0.35">
      <c r="A1181" s="49" t="s">
        <v>6408</v>
      </c>
      <c r="B1181" s="49" t="s">
        <v>6409</v>
      </c>
      <c r="C1181" s="49" t="s">
        <v>5240</v>
      </c>
      <c r="D1181" s="49" t="s">
        <v>1264</v>
      </c>
      <c r="E1181" s="49" t="s">
        <v>2785</v>
      </c>
      <c r="F1181" s="49" t="s">
        <v>2792</v>
      </c>
      <c r="G1181" s="49" t="s">
        <v>2787</v>
      </c>
      <c r="H1181" s="49" t="s">
        <v>857</v>
      </c>
      <c r="I1181" s="50">
        <v>44985</v>
      </c>
      <c r="J1181" s="50">
        <v>44994</v>
      </c>
      <c r="K1181" s="50">
        <v>45359</v>
      </c>
      <c r="M1181" s="49" t="s">
        <v>6410</v>
      </c>
    </row>
    <row r="1182" spans="1:13" x14ac:dyDescent="0.35">
      <c r="A1182" s="49" t="s">
        <v>6411</v>
      </c>
      <c r="B1182" s="49" t="s">
        <v>6412</v>
      </c>
      <c r="C1182" s="49" t="s">
        <v>5240</v>
      </c>
      <c r="D1182" s="49" t="s">
        <v>1264</v>
      </c>
      <c r="E1182" s="49" t="s">
        <v>2785</v>
      </c>
      <c r="F1182" s="49" t="s">
        <v>2792</v>
      </c>
      <c r="G1182" s="49" t="s">
        <v>2787</v>
      </c>
      <c r="H1182" s="49" t="s">
        <v>857</v>
      </c>
      <c r="I1182" s="50">
        <v>44985</v>
      </c>
      <c r="J1182" s="50">
        <v>44994</v>
      </c>
      <c r="K1182" s="50">
        <v>45359</v>
      </c>
      <c r="M1182" s="49" t="s">
        <v>6413</v>
      </c>
    </row>
    <row r="1183" spans="1:13" x14ac:dyDescent="0.35">
      <c r="A1183" s="49" t="s">
        <v>6414</v>
      </c>
      <c r="B1183" s="49" t="s">
        <v>6415</v>
      </c>
      <c r="C1183" s="49" t="s">
        <v>5240</v>
      </c>
      <c r="D1183" s="49" t="s">
        <v>1264</v>
      </c>
      <c r="E1183" s="49" t="s">
        <v>2785</v>
      </c>
      <c r="F1183" s="49" t="s">
        <v>2792</v>
      </c>
      <c r="G1183" s="49" t="s">
        <v>2787</v>
      </c>
      <c r="H1183" s="49" t="s">
        <v>857</v>
      </c>
      <c r="I1183" s="50">
        <v>44985</v>
      </c>
      <c r="J1183" s="50">
        <v>45009</v>
      </c>
      <c r="K1183" s="50">
        <v>45374</v>
      </c>
      <c r="M1183" s="49" t="s">
        <v>6416</v>
      </c>
    </row>
    <row r="1184" spans="1:13" x14ac:dyDescent="0.35">
      <c r="A1184" s="49" t="s">
        <v>6417</v>
      </c>
      <c r="B1184" s="49" t="s">
        <v>6418</v>
      </c>
      <c r="C1184" s="49" t="s">
        <v>2850</v>
      </c>
      <c r="D1184" s="49" t="s">
        <v>1264</v>
      </c>
      <c r="E1184" s="49" t="s">
        <v>2785</v>
      </c>
      <c r="F1184" s="49" t="s">
        <v>2792</v>
      </c>
      <c r="G1184" s="49" t="s">
        <v>2787</v>
      </c>
      <c r="H1184" s="49" t="s">
        <v>8</v>
      </c>
      <c r="I1184" s="50">
        <v>44287</v>
      </c>
      <c r="K1184" s="50">
        <v>45510</v>
      </c>
      <c r="M1184" s="49" t="s">
        <v>4730</v>
      </c>
    </row>
    <row r="1185" spans="1:13" x14ac:dyDescent="0.35">
      <c r="A1185" s="49" t="s">
        <v>6419</v>
      </c>
      <c r="B1185" s="49" t="s">
        <v>4905</v>
      </c>
      <c r="C1185" s="49" t="s">
        <v>3731</v>
      </c>
      <c r="D1185" s="49" t="s">
        <v>1264</v>
      </c>
      <c r="E1185" s="49" t="s">
        <v>2785</v>
      </c>
      <c r="F1185" s="49" t="s">
        <v>2786</v>
      </c>
      <c r="G1185" s="49" t="s">
        <v>2787</v>
      </c>
      <c r="H1185" s="49" t="s">
        <v>2827</v>
      </c>
      <c r="I1185" s="50">
        <v>45001</v>
      </c>
      <c r="J1185" s="50">
        <v>45077</v>
      </c>
      <c r="K1185" s="50">
        <v>45442</v>
      </c>
      <c r="M1185" s="49" t="s">
        <v>6420</v>
      </c>
    </row>
    <row r="1186" spans="1:13" x14ac:dyDescent="0.35">
      <c r="A1186" s="49" t="s">
        <v>6421</v>
      </c>
      <c r="C1186" s="49" t="s">
        <v>6422</v>
      </c>
      <c r="D1186" s="49" t="s">
        <v>1264</v>
      </c>
      <c r="E1186" s="49" t="s">
        <v>2814</v>
      </c>
      <c r="F1186" s="49" t="s">
        <v>2825</v>
      </c>
      <c r="G1186" s="49" t="s">
        <v>2787</v>
      </c>
      <c r="H1186" s="49" t="s">
        <v>2827</v>
      </c>
      <c r="I1186" s="50">
        <v>45236</v>
      </c>
      <c r="J1186" s="50">
        <v>45351</v>
      </c>
      <c r="K1186" s="50">
        <v>45532</v>
      </c>
      <c r="M1186" s="49" t="s">
        <v>6423</v>
      </c>
    </row>
    <row r="1187" spans="1:13" x14ac:dyDescent="0.35">
      <c r="A1187" s="49" t="s">
        <v>6424</v>
      </c>
      <c r="B1187" s="49" t="s">
        <v>3354</v>
      </c>
      <c r="C1187" s="49" t="s">
        <v>3469</v>
      </c>
      <c r="D1187" s="49" t="s">
        <v>1264</v>
      </c>
      <c r="E1187" s="49" t="s">
        <v>2785</v>
      </c>
      <c r="F1187" s="49" t="s">
        <v>2786</v>
      </c>
      <c r="G1187" s="49" t="s">
        <v>4330</v>
      </c>
      <c r="H1187" s="49" t="s">
        <v>980</v>
      </c>
      <c r="I1187" s="50">
        <v>45357</v>
      </c>
      <c r="M1187" s="49" t="s">
        <v>6425</v>
      </c>
    </row>
    <row r="1188" spans="1:13" x14ac:dyDescent="0.35">
      <c r="A1188" s="49" t="s">
        <v>6426</v>
      </c>
      <c r="B1188" s="49" t="s">
        <v>6427</v>
      </c>
      <c r="C1188" s="49" t="s">
        <v>1103</v>
      </c>
      <c r="D1188" s="49" t="s">
        <v>1264</v>
      </c>
      <c r="E1188" s="49" t="s">
        <v>2785</v>
      </c>
      <c r="F1188" s="49" t="s">
        <v>2792</v>
      </c>
      <c r="G1188" s="49" t="s">
        <v>2901</v>
      </c>
      <c r="H1188" s="49" t="s">
        <v>980</v>
      </c>
      <c r="I1188" s="50">
        <v>45336</v>
      </c>
      <c r="J1188" s="50">
        <v>45356</v>
      </c>
      <c r="K1188" s="50">
        <v>45720</v>
      </c>
      <c r="M1188" s="49" t="s">
        <v>6428</v>
      </c>
    </row>
    <row r="1189" spans="1:13" x14ac:dyDescent="0.35">
      <c r="A1189" s="49" t="s">
        <v>6429</v>
      </c>
      <c r="B1189" s="49" t="s">
        <v>6430</v>
      </c>
      <c r="C1189" s="49" t="s">
        <v>5240</v>
      </c>
      <c r="D1189" s="49" t="s">
        <v>1264</v>
      </c>
      <c r="E1189" s="49" t="s">
        <v>2785</v>
      </c>
      <c r="F1189" s="49" t="s">
        <v>2792</v>
      </c>
      <c r="G1189" s="49" t="s">
        <v>4330</v>
      </c>
      <c r="H1189" s="49" t="s">
        <v>864</v>
      </c>
      <c r="I1189" s="50">
        <v>45405</v>
      </c>
      <c r="M1189" s="49" t="s">
        <v>6431</v>
      </c>
    </row>
    <row r="1190" spans="1:13" x14ac:dyDescent="0.35">
      <c r="A1190" s="49" t="s">
        <v>6432</v>
      </c>
      <c r="B1190" s="49" t="s">
        <v>6433</v>
      </c>
      <c r="C1190" s="49" t="s">
        <v>5240</v>
      </c>
      <c r="D1190" s="49" t="s">
        <v>1264</v>
      </c>
      <c r="E1190" s="49" t="s">
        <v>2785</v>
      </c>
      <c r="F1190" s="49" t="s">
        <v>2792</v>
      </c>
      <c r="G1190" s="49" t="s">
        <v>4330</v>
      </c>
      <c r="H1190" s="49" t="s">
        <v>857</v>
      </c>
      <c r="I1190" s="50">
        <v>45013</v>
      </c>
      <c r="M1190" s="49" t="s">
        <v>6434</v>
      </c>
    </row>
    <row r="1191" spans="1:13" x14ac:dyDescent="0.35">
      <c r="A1191" s="49" t="s">
        <v>6435</v>
      </c>
      <c r="B1191" s="49" t="s">
        <v>3615</v>
      </c>
      <c r="C1191" s="49" t="s">
        <v>6436</v>
      </c>
      <c r="D1191" s="49" t="s">
        <v>1264</v>
      </c>
      <c r="E1191" s="49" t="s">
        <v>2785</v>
      </c>
      <c r="F1191" s="49" t="s">
        <v>2786</v>
      </c>
      <c r="G1191" s="49" t="s">
        <v>2901</v>
      </c>
      <c r="H1191" s="49" t="s">
        <v>980</v>
      </c>
      <c r="I1191" s="50">
        <v>45358</v>
      </c>
      <c r="J1191" s="50">
        <v>45385</v>
      </c>
      <c r="K1191" s="50">
        <v>45749</v>
      </c>
      <c r="M1191" s="49" t="s">
        <v>6437</v>
      </c>
    </row>
    <row r="1192" spans="1:13" x14ac:dyDescent="0.35">
      <c r="A1192" s="49" t="s">
        <v>6438</v>
      </c>
      <c r="B1192" s="49" t="s">
        <v>4572</v>
      </c>
      <c r="C1192" s="49" t="s">
        <v>5637</v>
      </c>
      <c r="D1192" s="49" t="s">
        <v>1264</v>
      </c>
      <c r="E1192" s="49" t="s">
        <v>2785</v>
      </c>
      <c r="F1192" s="49" t="s">
        <v>2786</v>
      </c>
      <c r="G1192" s="49" t="s">
        <v>2901</v>
      </c>
      <c r="H1192" s="49" t="s">
        <v>980</v>
      </c>
      <c r="I1192" s="50">
        <v>45357</v>
      </c>
      <c r="J1192" s="50">
        <v>45358</v>
      </c>
      <c r="K1192" s="50">
        <v>45722</v>
      </c>
      <c r="M1192" s="49" t="s">
        <v>6439</v>
      </c>
    </row>
    <row r="1193" spans="1:13" x14ac:dyDescent="0.35">
      <c r="A1193" s="49" t="s">
        <v>6440</v>
      </c>
      <c r="B1193" s="49" t="s">
        <v>6441</v>
      </c>
      <c r="C1193" s="49" t="s">
        <v>6442</v>
      </c>
      <c r="D1193" s="49" t="s">
        <v>1264</v>
      </c>
      <c r="E1193" s="49" t="s">
        <v>2785</v>
      </c>
      <c r="F1193" s="49" t="s">
        <v>2792</v>
      </c>
      <c r="G1193" s="49" t="s">
        <v>2901</v>
      </c>
      <c r="H1193" s="49" t="s">
        <v>980</v>
      </c>
      <c r="I1193" s="50">
        <v>45357</v>
      </c>
      <c r="J1193" s="50">
        <v>45359</v>
      </c>
      <c r="K1193" s="50">
        <v>45723</v>
      </c>
      <c r="M1193" s="49" t="s">
        <v>6443</v>
      </c>
    </row>
    <row r="1194" spans="1:13" x14ac:dyDescent="0.35">
      <c r="A1194" s="49" t="s">
        <v>6444</v>
      </c>
      <c r="B1194" s="49" t="s">
        <v>6445</v>
      </c>
      <c r="C1194" s="49" t="s">
        <v>6442</v>
      </c>
      <c r="D1194" s="49" t="s">
        <v>1264</v>
      </c>
      <c r="E1194" s="49" t="s">
        <v>2785</v>
      </c>
      <c r="F1194" s="49" t="s">
        <v>2792</v>
      </c>
      <c r="G1194" s="49" t="s">
        <v>2901</v>
      </c>
      <c r="H1194" s="49" t="s">
        <v>980</v>
      </c>
      <c r="I1194" s="50">
        <v>45355</v>
      </c>
      <c r="J1194" s="50">
        <v>45359</v>
      </c>
      <c r="K1194" s="50">
        <v>45723</v>
      </c>
      <c r="M1194" s="49" t="s">
        <v>6446</v>
      </c>
    </row>
    <row r="1195" spans="1:13" x14ac:dyDescent="0.35">
      <c r="A1195" s="49" t="s">
        <v>6447</v>
      </c>
      <c r="B1195" s="49" t="s">
        <v>6448</v>
      </c>
      <c r="C1195" s="49" t="s">
        <v>5951</v>
      </c>
      <c r="D1195" s="49" t="s">
        <v>1264</v>
      </c>
      <c r="E1195" s="49" t="s">
        <v>2785</v>
      </c>
      <c r="F1195" s="49" t="s">
        <v>2792</v>
      </c>
      <c r="G1195" s="49" t="s">
        <v>2787</v>
      </c>
      <c r="H1195" s="49" t="s">
        <v>980</v>
      </c>
      <c r="I1195" s="50">
        <v>45363</v>
      </c>
      <c r="J1195" s="50">
        <v>45364</v>
      </c>
      <c r="K1195" s="50">
        <v>45951</v>
      </c>
      <c r="M1195" s="49" t="s">
        <v>6449</v>
      </c>
    </row>
    <row r="1196" spans="1:13" x14ac:dyDescent="0.35">
      <c r="A1196" s="49" t="s">
        <v>6450</v>
      </c>
      <c r="B1196" s="49" t="s">
        <v>4293</v>
      </c>
      <c r="C1196" s="49" t="s">
        <v>6451</v>
      </c>
      <c r="D1196" s="49" t="s">
        <v>1264</v>
      </c>
      <c r="E1196" s="49" t="s">
        <v>2785</v>
      </c>
      <c r="F1196" s="49" t="s">
        <v>2786</v>
      </c>
      <c r="G1196" s="49" t="s">
        <v>2901</v>
      </c>
      <c r="H1196" s="49" t="s">
        <v>980</v>
      </c>
      <c r="I1196" s="50">
        <v>45356</v>
      </c>
      <c r="J1196" s="50">
        <v>45359</v>
      </c>
      <c r="K1196" s="50">
        <v>45723</v>
      </c>
      <c r="M1196" s="49" t="s">
        <v>6420</v>
      </c>
    </row>
    <row r="1197" spans="1:13" x14ac:dyDescent="0.35">
      <c r="A1197" s="49" t="s">
        <v>6452</v>
      </c>
      <c r="B1197" s="49" t="s">
        <v>6453</v>
      </c>
      <c r="C1197" s="49" t="s">
        <v>5880</v>
      </c>
      <c r="D1197" s="49" t="s">
        <v>1264</v>
      </c>
      <c r="E1197" s="49" t="s">
        <v>2785</v>
      </c>
      <c r="F1197" s="49" t="s">
        <v>2792</v>
      </c>
      <c r="G1197" s="49" t="s">
        <v>2901</v>
      </c>
      <c r="H1197" s="49" t="s">
        <v>980</v>
      </c>
      <c r="I1197" s="50">
        <v>45358</v>
      </c>
      <c r="J1197" s="50">
        <v>45363</v>
      </c>
      <c r="K1197" s="50">
        <v>45727</v>
      </c>
      <c r="M1197" s="49" t="s">
        <v>6454</v>
      </c>
    </row>
    <row r="1198" spans="1:13" x14ac:dyDescent="0.35">
      <c r="A1198" s="49" t="s">
        <v>6455</v>
      </c>
      <c r="B1198" s="49" t="s">
        <v>5905</v>
      </c>
      <c r="C1198" s="49" t="s">
        <v>4279</v>
      </c>
      <c r="D1198" s="49" t="s">
        <v>1264</v>
      </c>
      <c r="E1198" s="49" t="s">
        <v>2785</v>
      </c>
      <c r="F1198" s="49" t="s">
        <v>2786</v>
      </c>
      <c r="G1198" s="49" t="s">
        <v>4330</v>
      </c>
      <c r="H1198" s="49" t="s">
        <v>980</v>
      </c>
      <c r="I1198" s="50">
        <v>45358</v>
      </c>
      <c r="M1198" s="49" t="s">
        <v>6456</v>
      </c>
    </row>
    <row r="1199" spans="1:13" x14ac:dyDescent="0.35">
      <c r="A1199" s="49" t="s">
        <v>6457</v>
      </c>
      <c r="B1199" s="49" t="s">
        <v>6458</v>
      </c>
      <c r="C1199" s="49" t="s">
        <v>6459</v>
      </c>
      <c r="D1199" s="49" t="s">
        <v>1264</v>
      </c>
      <c r="E1199" s="49" t="s">
        <v>3443</v>
      </c>
      <c r="F1199" s="49" t="s">
        <v>3124</v>
      </c>
      <c r="G1199" s="49" t="s">
        <v>2901</v>
      </c>
      <c r="H1199" s="49" t="s">
        <v>980</v>
      </c>
      <c r="I1199" s="50">
        <v>45355</v>
      </c>
      <c r="J1199" s="50">
        <v>45362</v>
      </c>
      <c r="K1199" s="50">
        <v>45726</v>
      </c>
    </row>
    <row r="1200" spans="1:13" x14ac:dyDescent="0.35">
      <c r="A1200" s="49" t="s">
        <v>6460</v>
      </c>
      <c r="B1200" s="49" t="s">
        <v>6461</v>
      </c>
      <c r="C1200" s="49" t="s">
        <v>2796</v>
      </c>
      <c r="D1200" s="49" t="s">
        <v>1264</v>
      </c>
      <c r="E1200" s="49" t="s">
        <v>2785</v>
      </c>
      <c r="F1200" s="49" t="s">
        <v>2786</v>
      </c>
      <c r="G1200" s="49" t="s">
        <v>4330</v>
      </c>
      <c r="H1200" s="49" t="s">
        <v>980</v>
      </c>
      <c r="I1200" s="50">
        <v>45363</v>
      </c>
      <c r="M1200" s="49" t="s">
        <v>6462</v>
      </c>
    </row>
    <row r="1201" spans="1:13" x14ac:dyDescent="0.35">
      <c r="A1201" s="49" t="s">
        <v>6463</v>
      </c>
      <c r="B1201" s="49" t="s">
        <v>6464</v>
      </c>
      <c r="C1201" s="49" t="s">
        <v>6465</v>
      </c>
      <c r="D1201" s="49" t="s">
        <v>1264</v>
      </c>
      <c r="E1201" s="49" t="s">
        <v>2986</v>
      </c>
      <c r="F1201" s="49" t="s">
        <v>2825</v>
      </c>
      <c r="G1201" s="49" t="s">
        <v>2901</v>
      </c>
      <c r="H1201" s="49" t="s">
        <v>2827</v>
      </c>
      <c r="I1201" s="50">
        <v>45119</v>
      </c>
      <c r="J1201" s="50">
        <v>45357</v>
      </c>
      <c r="K1201" s="50">
        <v>46451</v>
      </c>
      <c r="M1201" s="49" t="s">
        <v>6466</v>
      </c>
    </row>
    <row r="1202" spans="1:13" x14ac:dyDescent="0.35">
      <c r="A1202" s="49" t="s">
        <v>6467</v>
      </c>
      <c r="B1202" s="49" t="s">
        <v>4522</v>
      </c>
      <c r="C1202" s="49" t="s">
        <v>6468</v>
      </c>
      <c r="D1202" s="49" t="s">
        <v>1264</v>
      </c>
      <c r="E1202" s="49" t="s">
        <v>2785</v>
      </c>
      <c r="F1202" s="49" t="s">
        <v>2786</v>
      </c>
      <c r="G1202" s="49" t="s">
        <v>4330</v>
      </c>
      <c r="H1202" s="49" t="s">
        <v>980</v>
      </c>
      <c r="I1202" s="50">
        <v>44602</v>
      </c>
      <c r="M1202" s="49" t="s">
        <v>6469</v>
      </c>
    </row>
    <row r="1203" spans="1:13" x14ac:dyDescent="0.35">
      <c r="A1203" s="49" t="s">
        <v>6470</v>
      </c>
      <c r="B1203" s="49" t="s">
        <v>6471</v>
      </c>
      <c r="C1203" s="49" t="s">
        <v>5240</v>
      </c>
      <c r="D1203" s="49" t="s">
        <v>1264</v>
      </c>
      <c r="E1203" s="49" t="s">
        <v>2785</v>
      </c>
      <c r="F1203" s="49" t="s">
        <v>2786</v>
      </c>
      <c r="G1203" s="49" t="s">
        <v>4330</v>
      </c>
      <c r="H1203" s="49" t="s">
        <v>4225</v>
      </c>
      <c r="I1203" s="50">
        <v>45365</v>
      </c>
      <c r="M1203" s="49" t="s">
        <v>6472</v>
      </c>
    </row>
    <row r="1204" spans="1:13" x14ac:dyDescent="0.35">
      <c r="A1204" s="49" t="s">
        <v>6473</v>
      </c>
      <c r="B1204" s="49" t="s">
        <v>6474</v>
      </c>
      <c r="C1204" s="49" t="s">
        <v>5017</v>
      </c>
      <c r="D1204" s="49" t="s">
        <v>1264</v>
      </c>
      <c r="E1204" s="49" t="s">
        <v>2785</v>
      </c>
      <c r="F1204" s="49" t="s">
        <v>2786</v>
      </c>
      <c r="G1204" s="49" t="s">
        <v>4330</v>
      </c>
      <c r="H1204" s="49" t="s">
        <v>980</v>
      </c>
      <c r="I1204" s="50">
        <v>45271</v>
      </c>
      <c r="M1204" s="49" t="s">
        <v>6475</v>
      </c>
    </row>
    <row r="1205" spans="1:13" x14ac:dyDescent="0.35">
      <c r="A1205" s="49" t="s">
        <v>6476</v>
      </c>
      <c r="B1205" s="49" t="s">
        <v>3768</v>
      </c>
      <c r="C1205" s="49" t="s">
        <v>6477</v>
      </c>
      <c r="D1205" s="49" t="s">
        <v>1264</v>
      </c>
      <c r="E1205" s="49" t="s">
        <v>3443</v>
      </c>
      <c r="F1205" s="49" t="s">
        <v>3124</v>
      </c>
      <c r="G1205" s="49" t="s">
        <v>4330</v>
      </c>
      <c r="H1205" s="49" t="s">
        <v>980</v>
      </c>
      <c r="I1205" s="50">
        <v>45306</v>
      </c>
    </row>
    <row r="1206" spans="1:13" x14ac:dyDescent="0.35">
      <c r="A1206" s="49" t="s">
        <v>6478</v>
      </c>
      <c r="B1206" s="49" t="s">
        <v>3582</v>
      </c>
      <c r="C1206" s="49" t="s">
        <v>6479</v>
      </c>
      <c r="D1206" s="49" t="s">
        <v>1264</v>
      </c>
      <c r="E1206" s="49" t="s">
        <v>3443</v>
      </c>
      <c r="F1206" s="49" t="s">
        <v>2792</v>
      </c>
      <c r="G1206" s="49" t="s">
        <v>2901</v>
      </c>
      <c r="H1206" s="49" t="s">
        <v>980</v>
      </c>
      <c r="I1206" s="50">
        <v>43129</v>
      </c>
      <c r="J1206" s="50">
        <v>45287</v>
      </c>
      <c r="K1206" s="50">
        <v>47113</v>
      </c>
      <c r="M1206" s="49" t="s">
        <v>3826</v>
      </c>
    </row>
    <row r="1207" spans="1:13" x14ac:dyDescent="0.35">
      <c r="A1207" s="49" t="s">
        <v>6480</v>
      </c>
      <c r="C1207" s="49" t="s">
        <v>4725</v>
      </c>
      <c r="D1207" s="49" t="s">
        <v>1264</v>
      </c>
      <c r="E1207" s="49" t="s">
        <v>2986</v>
      </c>
      <c r="F1207" s="49" t="s">
        <v>2825</v>
      </c>
      <c r="G1207" s="49" t="s">
        <v>4330</v>
      </c>
      <c r="H1207" s="49" t="s">
        <v>973</v>
      </c>
      <c r="I1207" s="50">
        <v>45343</v>
      </c>
      <c r="M1207" s="49" t="s">
        <v>6481</v>
      </c>
    </row>
    <row r="1208" spans="1:13" x14ac:dyDescent="0.35">
      <c r="A1208" s="49" t="s">
        <v>6482</v>
      </c>
      <c r="B1208" s="49" t="s">
        <v>6483</v>
      </c>
      <c r="C1208" s="49" t="s">
        <v>6484</v>
      </c>
      <c r="D1208" s="49" t="s">
        <v>1264</v>
      </c>
      <c r="E1208" s="49" t="s">
        <v>2986</v>
      </c>
      <c r="F1208" s="49" t="s">
        <v>2825</v>
      </c>
      <c r="G1208" s="49" t="s">
        <v>4330</v>
      </c>
      <c r="H1208" s="49" t="s">
        <v>8</v>
      </c>
      <c r="I1208" s="50">
        <v>45303</v>
      </c>
      <c r="M1208" s="49" t="s">
        <v>6485</v>
      </c>
    </row>
    <row r="1209" spans="1:13" x14ac:dyDescent="0.35">
      <c r="A1209" s="49" t="s">
        <v>6486</v>
      </c>
      <c r="B1209" s="49" t="s">
        <v>6487</v>
      </c>
      <c r="C1209" s="49" t="s">
        <v>6484</v>
      </c>
      <c r="D1209" s="49" t="s">
        <v>1264</v>
      </c>
      <c r="E1209" s="49" t="s">
        <v>2986</v>
      </c>
      <c r="F1209" s="49" t="s">
        <v>2825</v>
      </c>
      <c r="G1209" s="49" t="s">
        <v>4330</v>
      </c>
      <c r="H1209" s="49" t="s">
        <v>973</v>
      </c>
      <c r="I1209" s="50">
        <v>45303</v>
      </c>
      <c r="M1209" s="49" t="s">
        <v>6488</v>
      </c>
    </row>
    <row r="1210" spans="1:13" x14ac:dyDescent="0.35">
      <c r="A1210" s="49" t="s">
        <v>6489</v>
      </c>
      <c r="B1210" s="49" t="s">
        <v>5503</v>
      </c>
      <c r="C1210" s="49" t="s">
        <v>6490</v>
      </c>
      <c r="D1210" s="49" t="s">
        <v>1264</v>
      </c>
      <c r="E1210" s="49" t="s">
        <v>2785</v>
      </c>
      <c r="F1210" s="49" t="s">
        <v>4048</v>
      </c>
      <c r="G1210" s="49" t="s">
        <v>4330</v>
      </c>
      <c r="H1210" s="49" t="s">
        <v>8</v>
      </c>
      <c r="I1210" s="50">
        <v>45035</v>
      </c>
      <c r="M1210" s="49" t="s">
        <v>6491</v>
      </c>
    </row>
    <row r="1211" spans="1:13" x14ac:dyDescent="0.35">
      <c r="A1211" s="49" t="s">
        <v>6492</v>
      </c>
      <c r="B1211" s="49" t="s">
        <v>3586</v>
      </c>
      <c r="C1211" s="49" t="s">
        <v>6314</v>
      </c>
      <c r="D1211" s="49" t="s">
        <v>1264</v>
      </c>
      <c r="E1211" s="49" t="s">
        <v>2785</v>
      </c>
      <c r="F1211" s="49" t="s">
        <v>2786</v>
      </c>
      <c r="G1211" s="49" t="s">
        <v>4330</v>
      </c>
      <c r="H1211" s="49" t="s">
        <v>980</v>
      </c>
      <c r="I1211" s="50">
        <v>45276</v>
      </c>
      <c r="M1211" s="49" t="s">
        <v>6493</v>
      </c>
    </row>
    <row r="1212" spans="1:13" x14ac:dyDescent="0.35">
      <c r="A1212" s="49" t="s">
        <v>6494</v>
      </c>
      <c r="B1212" s="49" t="s">
        <v>5810</v>
      </c>
      <c r="C1212" s="49" t="s">
        <v>6495</v>
      </c>
      <c r="D1212" s="49" t="s">
        <v>1264</v>
      </c>
      <c r="E1212" s="49" t="s">
        <v>2785</v>
      </c>
      <c r="F1212" s="49" t="s">
        <v>2786</v>
      </c>
      <c r="G1212" s="49" t="s">
        <v>2901</v>
      </c>
      <c r="H1212" s="49" t="s">
        <v>980</v>
      </c>
      <c r="I1212" s="50">
        <v>45315</v>
      </c>
      <c r="J1212" s="50">
        <v>45369</v>
      </c>
      <c r="K1212" s="50">
        <v>45733</v>
      </c>
      <c r="M1212" s="49" t="s">
        <v>6496</v>
      </c>
    </row>
    <row r="1213" spans="1:13" x14ac:dyDescent="0.35">
      <c r="A1213" s="49" t="s">
        <v>6497</v>
      </c>
      <c r="B1213" s="49" t="s">
        <v>3962</v>
      </c>
      <c r="C1213" s="49" t="s">
        <v>5955</v>
      </c>
      <c r="D1213" s="49" t="s">
        <v>1264</v>
      </c>
      <c r="E1213" s="49" t="s">
        <v>2785</v>
      </c>
      <c r="F1213" s="49" t="s">
        <v>2786</v>
      </c>
      <c r="G1213" s="49" t="s">
        <v>2901</v>
      </c>
      <c r="H1213" s="49" t="s">
        <v>980</v>
      </c>
      <c r="I1213" s="50">
        <v>45254</v>
      </c>
      <c r="J1213" s="50">
        <v>45372</v>
      </c>
      <c r="K1213" s="50">
        <v>45736</v>
      </c>
      <c r="M1213" s="49" t="s">
        <v>6498</v>
      </c>
    </row>
    <row r="1214" spans="1:13" x14ac:dyDescent="0.35">
      <c r="A1214" s="49" t="s">
        <v>6499</v>
      </c>
      <c r="C1214" s="49" t="s">
        <v>4015</v>
      </c>
      <c r="D1214" s="49" t="s">
        <v>1264</v>
      </c>
      <c r="E1214" s="49" t="s">
        <v>2785</v>
      </c>
      <c r="F1214" s="49" t="s">
        <v>2792</v>
      </c>
      <c r="G1214" s="49" t="s">
        <v>2901</v>
      </c>
      <c r="H1214" s="49" t="s">
        <v>980</v>
      </c>
      <c r="I1214" s="50">
        <v>45358</v>
      </c>
      <c r="J1214" s="50">
        <v>45372</v>
      </c>
      <c r="K1214" s="50">
        <v>45736</v>
      </c>
      <c r="M1214" s="49" t="s">
        <v>6500</v>
      </c>
    </row>
    <row r="1215" spans="1:13" x14ac:dyDescent="0.35">
      <c r="A1215" s="49" t="s">
        <v>6501</v>
      </c>
      <c r="B1215" s="49" t="s">
        <v>6502</v>
      </c>
      <c r="C1215" s="49" t="s">
        <v>6503</v>
      </c>
      <c r="D1215" s="49" t="s">
        <v>1264</v>
      </c>
      <c r="E1215" s="49" t="s">
        <v>2785</v>
      </c>
      <c r="F1215" s="49" t="s">
        <v>2786</v>
      </c>
      <c r="G1215" s="49" t="s">
        <v>4330</v>
      </c>
      <c r="H1215" s="49" t="s">
        <v>980</v>
      </c>
      <c r="I1215" s="50">
        <v>45371</v>
      </c>
      <c r="M1215" s="49" t="s">
        <v>6504</v>
      </c>
    </row>
    <row r="1216" spans="1:13" x14ac:dyDescent="0.35">
      <c r="A1216" s="49" t="s">
        <v>6505</v>
      </c>
      <c r="B1216" s="49" t="s">
        <v>6506</v>
      </c>
      <c r="C1216" s="49" t="s">
        <v>5447</v>
      </c>
      <c r="D1216" s="49" t="s">
        <v>1264</v>
      </c>
      <c r="E1216" s="49" t="s">
        <v>2774</v>
      </c>
      <c r="F1216" s="49" t="s">
        <v>2900</v>
      </c>
      <c r="G1216" s="49" t="s">
        <v>2901</v>
      </c>
      <c r="H1216" s="49" t="s">
        <v>2827</v>
      </c>
      <c r="I1216" s="50">
        <v>45140</v>
      </c>
      <c r="J1216" s="50">
        <v>45357</v>
      </c>
      <c r="K1216" s="50">
        <v>46817</v>
      </c>
      <c r="M1216" s="49" t="s">
        <v>6507</v>
      </c>
    </row>
    <row r="1217" spans="1:13" x14ac:dyDescent="0.35">
      <c r="A1217" s="49" t="s">
        <v>6508</v>
      </c>
      <c r="B1217" s="49" t="s">
        <v>6509</v>
      </c>
      <c r="C1217" s="49" t="s">
        <v>6510</v>
      </c>
      <c r="D1217" s="49" t="s">
        <v>1264</v>
      </c>
      <c r="E1217" s="49" t="s">
        <v>2774</v>
      </c>
      <c r="F1217" s="49" t="s">
        <v>3188</v>
      </c>
      <c r="G1217" s="49" t="s">
        <v>2901</v>
      </c>
      <c r="H1217" s="49" t="s">
        <v>2827</v>
      </c>
      <c r="I1217" s="50">
        <v>45176</v>
      </c>
      <c r="J1217" s="50">
        <v>45357</v>
      </c>
      <c r="K1217" s="50">
        <v>46817</v>
      </c>
      <c r="M1217" s="49" t="s">
        <v>6511</v>
      </c>
    </row>
    <row r="1218" spans="1:13" x14ac:dyDescent="0.35">
      <c r="A1218" s="49" t="s">
        <v>6512</v>
      </c>
      <c r="B1218" s="49" t="s">
        <v>6513</v>
      </c>
      <c r="C1218" s="49" t="s">
        <v>6514</v>
      </c>
      <c r="D1218" s="49" t="s">
        <v>1264</v>
      </c>
      <c r="E1218" s="49" t="s">
        <v>2785</v>
      </c>
      <c r="F1218" s="49" t="s">
        <v>2805</v>
      </c>
      <c r="G1218" s="49" t="s">
        <v>2776</v>
      </c>
      <c r="H1218" s="49" t="s">
        <v>8</v>
      </c>
      <c r="I1218" s="50">
        <v>45069</v>
      </c>
      <c r="M1218" s="49" t="s">
        <v>6515</v>
      </c>
    </row>
    <row r="1219" spans="1:13" x14ac:dyDescent="0.35">
      <c r="A1219" s="49" t="s">
        <v>6516</v>
      </c>
      <c r="B1219" s="49" t="s">
        <v>6517</v>
      </c>
      <c r="C1219" s="49" t="s">
        <v>6518</v>
      </c>
      <c r="D1219" s="49" t="s">
        <v>1264</v>
      </c>
      <c r="E1219" s="49" t="s">
        <v>2785</v>
      </c>
      <c r="F1219" s="49" t="s">
        <v>2792</v>
      </c>
      <c r="G1219" s="49" t="s">
        <v>2901</v>
      </c>
      <c r="H1219" s="49" t="s">
        <v>857</v>
      </c>
      <c r="I1219" s="50">
        <v>45379</v>
      </c>
      <c r="J1219" s="50">
        <v>45385</v>
      </c>
      <c r="K1219" s="50">
        <v>45749</v>
      </c>
      <c r="M1219" s="49" t="s">
        <v>6519</v>
      </c>
    </row>
    <row r="1220" spans="1:13" x14ac:dyDescent="0.35">
      <c r="A1220" s="49" t="s">
        <v>6520</v>
      </c>
      <c r="B1220" s="49" t="s">
        <v>3768</v>
      </c>
      <c r="C1220" s="49" t="s">
        <v>6521</v>
      </c>
      <c r="D1220" s="49" t="s">
        <v>1264</v>
      </c>
      <c r="E1220" s="49" t="s">
        <v>3443</v>
      </c>
      <c r="F1220" s="49" t="s">
        <v>3124</v>
      </c>
      <c r="G1220" s="49" t="s">
        <v>2901</v>
      </c>
      <c r="H1220" s="49" t="s">
        <v>980</v>
      </c>
      <c r="I1220" s="50">
        <v>45306</v>
      </c>
      <c r="J1220" s="50">
        <v>45366</v>
      </c>
      <c r="K1220" s="50">
        <v>46095</v>
      </c>
    </row>
    <row r="1221" spans="1:13" x14ac:dyDescent="0.35">
      <c r="A1221" s="49" t="s">
        <v>6522</v>
      </c>
      <c r="B1221" s="49" t="s">
        <v>3768</v>
      </c>
      <c r="C1221" s="49" t="s">
        <v>6523</v>
      </c>
      <c r="D1221" s="49" t="s">
        <v>1264</v>
      </c>
      <c r="E1221" s="49" t="s">
        <v>3443</v>
      </c>
      <c r="F1221" s="49" t="s">
        <v>3124</v>
      </c>
      <c r="G1221" s="49" t="s">
        <v>2901</v>
      </c>
      <c r="H1221" s="49" t="s">
        <v>980</v>
      </c>
      <c r="I1221" s="50">
        <v>45362</v>
      </c>
      <c r="J1221" s="50">
        <v>45366</v>
      </c>
      <c r="K1221" s="50">
        <v>47191</v>
      </c>
    </row>
    <row r="1222" spans="1:13" x14ac:dyDescent="0.35">
      <c r="A1222" s="49" t="s">
        <v>6524</v>
      </c>
      <c r="B1222" s="49" t="s">
        <v>3768</v>
      </c>
      <c r="C1222" s="49" t="s">
        <v>6525</v>
      </c>
      <c r="D1222" s="49" t="s">
        <v>1264</v>
      </c>
      <c r="E1222" s="49" t="s">
        <v>3443</v>
      </c>
      <c r="F1222" s="49" t="s">
        <v>3124</v>
      </c>
      <c r="G1222" s="49" t="s">
        <v>4330</v>
      </c>
      <c r="H1222" s="49" t="s">
        <v>980</v>
      </c>
      <c r="I1222" s="50">
        <v>45313</v>
      </c>
    </row>
    <row r="1223" spans="1:13" x14ac:dyDescent="0.35">
      <c r="A1223" s="49" t="s">
        <v>6526</v>
      </c>
      <c r="B1223" s="49" t="s">
        <v>3615</v>
      </c>
      <c r="C1223" s="49" t="s">
        <v>6527</v>
      </c>
      <c r="D1223" s="49" t="s">
        <v>1264</v>
      </c>
      <c r="E1223" s="49" t="s">
        <v>2908</v>
      </c>
      <c r="F1223" s="49" t="s">
        <v>3010</v>
      </c>
      <c r="G1223" s="49" t="s">
        <v>4330</v>
      </c>
      <c r="H1223" s="49" t="s">
        <v>980</v>
      </c>
      <c r="I1223" s="50">
        <v>45363</v>
      </c>
      <c r="M1223" s="49" t="s">
        <v>6528</v>
      </c>
    </row>
    <row r="1224" spans="1:13" x14ac:dyDescent="0.35">
      <c r="A1224" s="49" t="s">
        <v>6529</v>
      </c>
      <c r="B1224" s="49" t="s">
        <v>3768</v>
      </c>
      <c r="C1224" s="49" t="s">
        <v>6530</v>
      </c>
      <c r="D1224" s="49" t="s">
        <v>1264</v>
      </c>
      <c r="E1224" s="49" t="s">
        <v>3443</v>
      </c>
      <c r="F1224" s="49" t="s">
        <v>3124</v>
      </c>
      <c r="G1224" s="49" t="s">
        <v>2901</v>
      </c>
      <c r="H1224" s="49" t="s">
        <v>980</v>
      </c>
      <c r="I1224" s="50">
        <v>45362</v>
      </c>
      <c r="J1224" s="50">
        <v>45366</v>
      </c>
      <c r="K1224" s="50">
        <v>46095</v>
      </c>
    </row>
    <row r="1225" spans="1:13" x14ac:dyDescent="0.35">
      <c r="A1225" s="49" t="s">
        <v>6531</v>
      </c>
      <c r="B1225" s="49" t="s">
        <v>3768</v>
      </c>
      <c r="C1225" s="49" t="s">
        <v>6532</v>
      </c>
      <c r="D1225" s="49" t="s">
        <v>1264</v>
      </c>
      <c r="E1225" s="49" t="s">
        <v>3443</v>
      </c>
      <c r="F1225" s="49" t="s">
        <v>3124</v>
      </c>
      <c r="G1225" s="49" t="s">
        <v>2901</v>
      </c>
      <c r="H1225" s="49" t="s">
        <v>980</v>
      </c>
      <c r="I1225" s="50">
        <v>45387</v>
      </c>
      <c r="J1225" s="50">
        <v>45366</v>
      </c>
      <c r="K1225" s="50">
        <v>47191</v>
      </c>
    </row>
    <row r="1226" spans="1:13" x14ac:dyDescent="0.35">
      <c r="A1226" s="49" t="s">
        <v>6533</v>
      </c>
      <c r="C1226" s="49" t="s">
        <v>5223</v>
      </c>
      <c r="D1226" s="49" t="s">
        <v>1264</v>
      </c>
      <c r="E1226" s="49" t="s">
        <v>2814</v>
      </c>
      <c r="F1226" s="49" t="s">
        <v>5254</v>
      </c>
      <c r="G1226" s="49" t="s">
        <v>2787</v>
      </c>
      <c r="H1226" s="49" t="s">
        <v>2827</v>
      </c>
      <c r="I1226" s="50">
        <v>45295</v>
      </c>
      <c r="J1226" s="50">
        <v>45296</v>
      </c>
      <c r="K1226" s="50">
        <v>45477</v>
      </c>
      <c r="M1226" s="49" t="s">
        <v>6534</v>
      </c>
    </row>
    <row r="1227" spans="1:13" x14ac:dyDescent="0.35">
      <c r="A1227" s="49" t="s">
        <v>6535</v>
      </c>
      <c r="B1227" s="49" t="s">
        <v>6536</v>
      </c>
      <c r="C1227" s="49" t="s">
        <v>6537</v>
      </c>
      <c r="D1227" s="49" t="s">
        <v>1264</v>
      </c>
      <c r="E1227" s="49" t="s">
        <v>2814</v>
      </c>
      <c r="F1227" s="49" t="s">
        <v>2837</v>
      </c>
      <c r="G1227" s="49" t="s">
        <v>2787</v>
      </c>
      <c r="H1227" s="49" t="s">
        <v>980</v>
      </c>
      <c r="I1227" s="50">
        <v>45156</v>
      </c>
      <c r="J1227" s="50">
        <v>45315</v>
      </c>
      <c r="K1227" s="50">
        <v>45496</v>
      </c>
      <c r="M1227" s="49" t="s">
        <v>6538</v>
      </c>
    </row>
    <row r="1228" spans="1:13" x14ac:dyDescent="0.35">
      <c r="A1228" s="49" t="s">
        <v>6539</v>
      </c>
      <c r="C1228" s="49" t="s">
        <v>2997</v>
      </c>
      <c r="D1228" s="49" t="s">
        <v>1264</v>
      </c>
      <c r="E1228" s="49" t="s">
        <v>2814</v>
      </c>
      <c r="F1228" s="49" t="s">
        <v>2805</v>
      </c>
      <c r="G1228" s="49" t="s">
        <v>2787</v>
      </c>
      <c r="H1228" s="49" t="s">
        <v>8</v>
      </c>
      <c r="I1228" s="50">
        <v>45288</v>
      </c>
      <c r="J1228" s="50">
        <v>45307</v>
      </c>
      <c r="K1228" s="50">
        <v>45488</v>
      </c>
      <c r="M1228" s="49" t="s">
        <v>6540</v>
      </c>
    </row>
    <row r="1229" spans="1:13" x14ac:dyDescent="0.35">
      <c r="A1229" s="49" t="s">
        <v>6541</v>
      </c>
      <c r="B1229" s="49" t="s">
        <v>6542</v>
      </c>
      <c r="C1229" s="49" t="s">
        <v>6543</v>
      </c>
      <c r="D1229" s="49" t="s">
        <v>1264</v>
      </c>
      <c r="E1229" s="49" t="s">
        <v>2986</v>
      </c>
      <c r="F1229" s="49" t="s">
        <v>2825</v>
      </c>
      <c r="G1229" s="49" t="s">
        <v>4330</v>
      </c>
      <c r="H1229" s="49" t="s">
        <v>2827</v>
      </c>
      <c r="I1229" s="50">
        <v>45324</v>
      </c>
      <c r="M1229" s="49" t="s">
        <v>6544</v>
      </c>
    </row>
    <row r="1230" spans="1:13" x14ac:dyDescent="0.35">
      <c r="A1230" s="49" t="s">
        <v>6545</v>
      </c>
      <c r="B1230" s="49" t="s">
        <v>4877</v>
      </c>
      <c r="C1230" s="49" t="s">
        <v>6543</v>
      </c>
      <c r="D1230" s="49" t="s">
        <v>1264</v>
      </c>
      <c r="E1230" s="49" t="s">
        <v>2986</v>
      </c>
      <c r="F1230" s="49" t="s">
        <v>2825</v>
      </c>
      <c r="G1230" s="49" t="s">
        <v>4330</v>
      </c>
      <c r="H1230" s="49" t="s">
        <v>2827</v>
      </c>
      <c r="I1230" s="50">
        <v>45324</v>
      </c>
      <c r="M1230" s="49" t="s">
        <v>6546</v>
      </c>
    </row>
    <row r="1231" spans="1:13" x14ac:dyDescent="0.35">
      <c r="A1231" s="49" t="s">
        <v>6547</v>
      </c>
      <c r="B1231" s="49" t="s">
        <v>6548</v>
      </c>
      <c r="C1231" s="49" t="s">
        <v>6549</v>
      </c>
      <c r="D1231" s="49" t="s">
        <v>1264</v>
      </c>
      <c r="E1231" s="49" t="s">
        <v>2774</v>
      </c>
      <c r="F1231" s="49" t="s">
        <v>4842</v>
      </c>
      <c r="G1231" s="49" t="s">
        <v>4330</v>
      </c>
      <c r="H1231" s="49" t="s">
        <v>2827</v>
      </c>
      <c r="I1231" s="50">
        <v>45271</v>
      </c>
      <c r="M1231" s="49" t="s">
        <v>6550</v>
      </c>
    </row>
    <row r="1232" spans="1:13" x14ac:dyDescent="0.35">
      <c r="A1232" s="49" t="s">
        <v>6551</v>
      </c>
      <c r="B1232" s="49" t="s">
        <v>6552</v>
      </c>
      <c r="C1232" s="49" t="s">
        <v>6514</v>
      </c>
      <c r="D1232" s="49" t="s">
        <v>1264</v>
      </c>
      <c r="E1232" s="49" t="s">
        <v>2785</v>
      </c>
      <c r="F1232" s="49" t="s">
        <v>2805</v>
      </c>
      <c r="G1232" s="49" t="s">
        <v>4330</v>
      </c>
      <c r="H1232" s="49" t="s">
        <v>8</v>
      </c>
      <c r="I1232" s="50">
        <v>45379</v>
      </c>
      <c r="M1232" s="49" t="s">
        <v>6553</v>
      </c>
    </row>
    <row r="1233" spans="1:13" x14ac:dyDescent="0.35">
      <c r="A1233" s="49" t="s">
        <v>6554</v>
      </c>
      <c r="B1233" s="49" t="s">
        <v>3586</v>
      </c>
      <c r="C1233" s="49" t="s">
        <v>6521</v>
      </c>
      <c r="D1233" s="49" t="s">
        <v>1264</v>
      </c>
      <c r="E1233" s="49" t="s">
        <v>2908</v>
      </c>
      <c r="F1233" s="49" t="s">
        <v>3010</v>
      </c>
      <c r="G1233" s="49" t="s">
        <v>2901</v>
      </c>
      <c r="H1233" s="49" t="s">
        <v>980</v>
      </c>
      <c r="I1233" s="50">
        <v>45315</v>
      </c>
      <c r="J1233" s="50">
        <v>45373</v>
      </c>
      <c r="K1233" s="50">
        <v>47198</v>
      </c>
      <c r="M1233" s="49" t="s">
        <v>6555</v>
      </c>
    </row>
    <row r="1234" spans="1:13" x14ac:dyDescent="0.35">
      <c r="A1234" s="49" t="s">
        <v>6556</v>
      </c>
      <c r="B1234" s="49" t="s">
        <v>6557</v>
      </c>
      <c r="C1234" s="49" t="s">
        <v>5843</v>
      </c>
      <c r="D1234" s="49" t="s">
        <v>1264</v>
      </c>
      <c r="E1234" s="49" t="s">
        <v>2986</v>
      </c>
      <c r="F1234" s="49" t="s">
        <v>2825</v>
      </c>
      <c r="G1234" s="49" t="s">
        <v>2901</v>
      </c>
      <c r="H1234" s="49" t="s">
        <v>2827</v>
      </c>
      <c r="I1234" s="50">
        <v>45279</v>
      </c>
      <c r="J1234" s="50">
        <v>45366</v>
      </c>
      <c r="K1234" s="50">
        <v>46460</v>
      </c>
      <c r="M1234" s="49" t="s">
        <v>6558</v>
      </c>
    </row>
    <row r="1235" spans="1:13" x14ac:dyDescent="0.35">
      <c r="A1235" s="49" t="s">
        <v>6559</v>
      </c>
      <c r="B1235" s="49" t="s">
        <v>6560</v>
      </c>
      <c r="C1235" s="49" t="s">
        <v>6561</v>
      </c>
      <c r="D1235" s="49" t="s">
        <v>1264</v>
      </c>
      <c r="E1235" s="49" t="s">
        <v>2785</v>
      </c>
      <c r="F1235" s="49" t="s">
        <v>2786</v>
      </c>
      <c r="G1235" s="49" t="s">
        <v>2901</v>
      </c>
      <c r="H1235" s="49" t="s">
        <v>980</v>
      </c>
      <c r="I1235" s="50">
        <v>45362</v>
      </c>
      <c r="J1235" s="50">
        <v>45380</v>
      </c>
      <c r="K1235" s="50">
        <v>45744</v>
      </c>
      <c r="M1235" s="49" t="s">
        <v>6562</v>
      </c>
    </row>
    <row r="1236" spans="1:13" x14ac:dyDescent="0.35">
      <c r="A1236" s="49" t="s">
        <v>6563</v>
      </c>
      <c r="B1236" s="49" t="s">
        <v>6564</v>
      </c>
      <c r="C1236" s="49" t="s">
        <v>4086</v>
      </c>
      <c r="D1236" s="49" t="s">
        <v>1264</v>
      </c>
      <c r="E1236" s="49" t="s">
        <v>2908</v>
      </c>
      <c r="F1236" s="49" t="s">
        <v>2837</v>
      </c>
      <c r="G1236" s="49" t="s">
        <v>2901</v>
      </c>
      <c r="H1236" s="49" t="s">
        <v>973</v>
      </c>
      <c r="I1236" s="50">
        <v>44762</v>
      </c>
      <c r="J1236" s="50">
        <v>45380</v>
      </c>
      <c r="K1236" s="50">
        <v>47205</v>
      </c>
      <c r="M1236" s="49" t="s">
        <v>6565</v>
      </c>
    </row>
    <row r="1237" spans="1:13" x14ac:dyDescent="0.35">
      <c r="A1237" s="49" t="s">
        <v>6566</v>
      </c>
      <c r="B1237" s="49" t="s">
        <v>6567</v>
      </c>
      <c r="C1237" s="49" t="s">
        <v>4086</v>
      </c>
      <c r="D1237" s="49" t="s">
        <v>1264</v>
      </c>
      <c r="E1237" s="49" t="s">
        <v>2908</v>
      </c>
      <c r="F1237" s="49" t="s">
        <v>2837</v>
      </c>
      <c r="G1237" s="49" t="s">
        <v>2901</v>
      </c>
      <c r="H1237" s="49" t="s">
        <v>973</v>
      </c>
      <c r="I1237" s="50">
        <v>44762</v>
      </c>
      <c r="J1237" s="50">
        <v>45380</v>
      </c>
      <c r="K1237" s="50">
        <v>47205</v>
      </c>
      <c r="M1237" s="49" t="s">
        <v>6568</v>
      </c>
    </row>
    <row r="1238" spans="1:13" x14ac:dyDescent="0.35">
      <c r="A1238" s="49" t="s">
        <v>6569</v>
      </c>
      <c r="B1238" s="49" t="s">
        <v>3768</v>
      </c>
      <c r="C1238" s="49" t="s">
        <v>4922</v>
      </c>
      <c r="D1238" s="49" t="s">
        <v>1264</v>
      </c>
      <c r="E1238" s="49" t="s">
        <v>3443</v>
      </c>
      <c r="F1238" s="49" t="s">
        <v>3124</v>
      </c>
      <c r="G1238" s="49" t="s">
        <v>2901</v>
      </c>
      <c r="H1238" s="49" t="s">
        <v>980</v>
      </c>
      <c r="I1238" s="50">
        <v>45370</v>
      </c>
      <c r="J1238" s="50">
        <v>45380</v>
      </c>
      <c r="K1238" s="50">
        <v>47205</v>
      </c>
    </row>
    <row r="1239" spans="1:13" x14ac:dyDescent="0.35">
      <c r="A1239" s="49" t="s">
        <v>6570</v>
      </c>
      <c r="B1239" s="49" t="s">
        <v>3768</v>
      </c>
      <c r="C1239" s="49" t="s">
        <v>6571</v>
      </c>
      <c r="D1239" s="49" t="s">
        <v>1264</v>
      </c>
      <c r="E1239" s="49" t="s">
        <v>3443</v>
      </c>
      <c r="F1239" s="49" t="s">
        <v>3124</v>
      </c>
      <c r="G1239" s="49" t="s">
        <v>4330</v>
      </c>
      <c r="H1239" s="49" t="s">
        <v>980</v>
      </c>
      <c r="I1239" s="50">
        <v>45404</v>
      </c>
    </row>
    <row r="1240" spans="1:13" x14ac:dyDescent="0.35">
      <c r="A1240" s="49" t="s">
        <v>6572</v>
      </c>
      <c r="B1240" s="49" t="s">
        <v>6573</v>
      </c>
      <c r="C1240" s="49" t="s">
        <v>6503</v>
      </c>
      <c r="D1240" s="49" t="s">
        <v>1264</v>
      </c>
      <c r="E1240" s="49" t="s">
        <v>2908</v>
      </c>
      <c r="F1240" s="49" t="s">
        <v>3010</v>
      </c>
      <c r="G1240" s="49" t="s">
        <v>4330</v>
      </c>
      <c r="H1240" s="49" t="s">
        <v>980</v>
      </c>
      <c r="I1240" s="50">
        <v>45404</v>
      </c>
      <c r="M1240" s="49" t="s">
        <v>6574</v>
      </c>
    </row>
    <row r="1241" spans="1:13" x14ac:dyDescent="0.35">
      <c r="A1241" s="49" t="s">
        <v>6575</v>
      </c>
      <c r="B1241" s="49" t="s">
        <v>3768</v>
      </c>
      <c r="C1241" s="49" t="s">
        <v>6576</v>
      </c>
      <c r="D1241" s="49" t="s">
        <v>1264</v>
      </c>
      <c r="E1241" s="49" t="s">
        <v>3443</v>
      </c>
      <c r="F1241" s="49" t="s">
        <v>3124</v>
      </c>
      <c r="G1241" s="49" t="s">
        <v>2901</v>
      </c>
      <c r="H1241" s="49" t="s">
        <v>980</v>
      </c>
      <c r="I1241" s="50">
        <v>45405</v>
      </c>
      <c r="J1241" s="50">
        <v>45380</v>
      </c>
      <c r="K1241" s="50">
        <v>47205</v>
      </c>
    </row>
    <row r="1242" spans="1:13" x14ac:dyDescent="0.35">
      <c r="A1242" s="49" t="s">
        <v>6577</v>
      </c>
      <c r="B1242" s="49" t="s">
        <v>3768</v>
      </c>
      <c r="C1242" s="49" t="s">
        <v>6578</v>
      </c>
      <c r="D1242" s="49" t="s">
        <v>1264</v>
      </c>
      <c r="E1242" s="49" t="s">
        <v>3443</v>
      </c>
      <c r="F1242" s="49" t="s">
        <v>3124</v>
      </c>
      <c r="G1242" s="49" t="s">
        <v>4330</v>
      </c>
      <c r="H1242" s="49" t="s">
        <v>980</v>
      </c>
      <c r="I1242" s="50">
        <v>45405</v>
      </c>
    </row>
    <row r="1243" spans="1:13" x14ac:dyDescent="0.35">
      <c r="A1243" s="49" t="s">
        <v>6579</v>
      </c>
      <c r="B1243" s="49" t="s">
        <v>3776</v>
      </c>
      <c r="C1243" s="49" t="s">
        <v>3925</v>
      </c>
      <c r="D1243" s="49" t="s">
        <v>1264</v>
      </c>
      <c r="E1243" s="49" t="s">
        <v>2908</v>
      </c>
      <c r="F1243" s="49" t="s">
        <v>2837</v>
      </c>
      <c r="G1243" s="49" t="s">
        <v>4330</v>
      </c>
      <c r="H1243" s="49" t="s">
        <v>973</v>
      </c>
      <c r="I1243" s="50">
        <v>45377</v>
      </c>
      <c r="M1243" s="49" t="s">
        <v>6580</v>
      </c>
    </row>
    <row r="1244" spans="1:13" x14ac:dyDescent="0.35">
      <c r="A1244" s="49" t="s">
        <v>6581</v>
      </c>
      <c r="B1244" s="49" t="s">
        <v>3768</v>
      </c>
      <c r="C1244" s="49" t="s">
        <v>6582</v>
      </c>
      <c r="D1244" s="49" t="s">
        <v>1264</v>
      </c>
      <c r="E1244" s="49" t="s">
        <v>3443</v>
      </c>
      <c r="F1244" s="49" t="s">
        <v>3124</v>
      </c>
      <c r="G1244" s="49" t="s">
        <v>4330</v>
      </c>
      <c r="H1244" s="49" t="s">
        <v>980</v>
      </c>
      <c r="I1244" s="50">
        <v>45405</v>
      </c>
    </row>
    <row r="1245" spans="1:13" x14ac:dyDescent="0.35">
      <c r="A1245" s="49" t="s">
        <v>6583</v>
      </c>
      <c r="B1245" s="49" t="s">
        <v>3768</v>
      </c>
      <c r="C1245" s="49" t="s">
        <v>3727</v>
      </c>
      <c r="D1245" s="49" t="s">
        <v>1264</v>
      </c>
      <c r="E1245" s="49" t="s">
        <v>3443</v>
      </c>
      <c r="F1245" s="49" t="s">
        <v>3124</v>
      </c>
      <c r="G1245" s="49" t="s">
        <v>4330</v>
      </c>
      <c r="H1245" s="49" t="s">
        <v>980</v>
      </c>
      <c r="I1245" s="50">
        <v>45405</v>
      </c>
    </row>
    <row r="1246" spans="1:13" x14ac:dyDescent="0.35">
      <c r="A1246" s="49" t="s">
        <v>6584</v>
      </c>
      <c r="B1246" s="49" t="s">
        <v>5714</v>
      </c>
      <c r="C1246" s="49" t="s">
        <v>5240</v>
      </c>
      <c r="D1246" s="49" t="s">
        <v>1264</v>
      </c>
      <c r="E1246" s="49" t="s">
        <v>2785</v>
      </c>
      <c r="F1246" s="49" t="s">
        <v>2792</v>
      </c>
      <c r="G1246" s="49" t="s">
        <v>4330</v>
      </c>
      <c r="H1246" s="49" t="s">
        <v>857</v>
      </c>
      <c r="I1246" s="50">
        <v>45372</v>
      </c>
      <c r="M1246" s="49" t="s">
        <v>6585</v>
      </c>
    </row>
    <row r="1247" spans="1:13" x14ac:dyDescent="0.35">
      <c r="A1247" s="49" t="s">
        <v>6586</v>
      </c>
      <c r="B1247" s="49" t="s">
        <v>6587</v>
      </c>
      <c r="C1247" s="49" t="s">
        <v>6588</v>
      </c>
      <c r="D1247" s="49" t="s">
        <v>1264</v>
      </c>
      <c r="E1247" s="49" t="s">
        <v>2785</v>
      </c>
      <c r="F1247" s="49" t="s">
        <v>2792</v>
      </c>
      <c r="G1247" s="49" t="s">
        <v>4330</v>
      </c>
      <c r="H1247" s="49" t="s">
        <v>864</v>
      </c>
      <c r="I1247" s="50">
        <v>45373</v>
      </c>
      <c r="M1247" s="49" t="s">
        <v>6589</v>
      </c>
    </row>
    <row r="1248" spans="1:13" x14ac:dyDescent="0.35">
      <c r="A1248" s="49" t="s">
        <v>6590</v>
      </c>
      <c r="B1248" s="49" t="s">
        <v>6591</v>
      </c>
      <c r="C1248" s="49" t="s">
        <v>5426</v>
      </c>
      <c r="D1248" s="49" t="s">
        <v>1264</v>
      </c>
      <c r="E1248" s="49" t="s">
        <v>2785</v>
      </c>
      <c r="F1248" s="49" t="s">
        <v>2805</v>
      </c>
      <c r="G1248" s="49" t="s">
        <v>4330</v>
      </c>
      <c r="H1248" s="49" t="s">
        <v>3717</v>
      </c>
      <c r="I1248" s="50">
        <v>45372</v>
      </c>
      <c r="M1248" s="49" t="s">
        <v>6592</v>
      </c>
    </row>
    <row r="1249" spans="1:13" x14ac:dyDescent="0.35">
      <c r="A1249" s="49" t="s">
        <v>6593</v>
      </c>
      <c r="B1249" s="49" t="s">
        <v>6594</v>
      </c>
      <c r="C1249" s="49" t="s">
        <v>6595</v>
      </c>
      <c r="D1249" s="49" t="s">
        <v>1264</v>
      </c>
      <c r="E1249" s="49" t="s">
        <v>2785</v>
      </c>
      <c r="F1249" s="49" t="s">
        <v>2786</v>
      </c>
      <c r="G1249" s="49" t="s">
        <v>2901</v>
      </c>
      <c r="H1249" s="49" t="s">
        <v>980</v>
      </c>
      <c r="I1249" s="50">
        <v>45343</v>
      </c>
      <c r="J1249" s="50">
        <v>45350</v>
      </c>
      <c r="K1249" s="50">
        <v>45715</v>
      </c>
      <c r="M1249" s="49" t="s">
        <v>6596</v>
      </c>
    </row>
    <row r="1250" spans="1:13" x14ac:dyDescent="0.35">
      <c r="A1250" s="49" t="s">
        <v>6597</v>
      </c>
      <c r="B1250" s="49" t="s">
        <v>6598</v>
      </c>
      <c r="C1250" s="49" t="s">
        <v>5447</v>
      </c>
      <c r="D1250" s="49" t="s">
        <v>1264</v>
      </c>
      <c r="E1250" s="49" t="s">
        <v>2974</v>
      </c>
      <c r="F1250" s="49" t="s">
        <v>2900</v>
      </c>
      <c r="G1250" s="49" t="s">
        <v>2901</v>
      </c>
      <c r="H1250" s="49" t="s">
        <v>2832</v>
      </c>
      <c r="I1250" s="50">
        <v>45345</v>
      </c>
      <c r="J1250" s="50">
        <v>45378</v>
      </c>
      <c r="K1250" s="50">
        <v>47203</v>
      </c>
      <c r="M1250" s="49" t="s">
        <v>6599</v>
      </c>
    </row>
    <row r="1251" spans="1:13" x14ac:dyDescent="0.35">
      <c r="A1251" s="49" t="s">
        <v>6600</v>
      </c>
      <c r="C1251" s="49" t="s">
        <v>3342</v>
      </c>
      <c r="D1251" s="49" t="s">
        <v>1264</v>
      </c>
      <c r="E1251" s="49" t="s">
        <v>2974</v>
      </c>
      <c r="F1251" s="49" t="s">
        <v>2825</v>
      </c>
      <c r="G1251" s="49" t="s">
        <v>2901</v>
      </c>
      <c r="H1251" s="49" t="s">
        <v>2827</v>
      </c>
      <c r="I1251" s="50">
        <v>44747</v>
      </c>
      <c r="J1251" s="50">
        <v>44811</v>
      </c>
      <c r="K1251" s="50">
        <v>46636</v>
      </c>
      <c r="M1251" s="49" t="s">
        <v>6601</v>
      </c>
    </row>
    <row r="1252" spans="1:13" x14ac:dyDescent="0.35">
      <c r="A1252" s="49" t="s">
        <v>6602</v>
      </c>
      <c r="C1252" s="49" t="s">
        <v>4874</v>
      </c>
      <c r="D1252" s="49" t="s">
        <v>1264</v>
      </c>
      <c r="E1252" s="49" t="s">
        <v>2974</v>
      </c>
      <c r="F1252" s="49" t="s">
        <v>2900</v>
      </c>
      <c r="G1252" s="49" t="s">
        <v>2901</v>
      </c>
      <c r="H1252" s="49" t="s">
        <v>980</v>
      </c>
      <c r="I1252" s="50">
        <v>45377</v>
      </c>
      <c r="J1252" s="50">
        <v>45378</v>
      </c>
      <c r="K1252" s="50">
        <v>47203</v>
      </c>
      <c r="M1252" s="49" t="s">
        <v>6603</v>
      </c>
    </row>
    <row r="1253" spans="1:13" x14ac:dyDescent="0.35">
      <c r="A1253" s="49" t="s">
        <v>6604</v>
      </c>
      <c r="B1253" s="49" t="s">
        <v>6605</v>
      </c>
      <c r="C1253" s="49" t="s">
        <v>6606</v>
      </c>
      <c r="D1253" s="49" t="s">
        <v>1264</v>
      </c>
      <c r="E1253" s="49" t="s">
        <v>2986</v>
      </c>
      <c r="F1253" s="49" t="s">
        <v>2825</v>
      </c>
      <c r="G1253" s="49" t="s">
        <v>2901</v>
      </c>
      <c r="H1253" s="49" t="s">
        <v>2827</v>
      </c>
      <c r="I1253" s="50">
        <v>44998</v>
      </c>
      <c r="J1253" s="50">
        <v>45099</v>
      </c>
      <c r="K1253" s="50">
        <v>46194</v>
      </c>
      <c r="M1253" s="49" t="s">
        <v>6607</v>
      </c>
    </row>
    <row r="1254" spans="1:13" x14ac:dyDescent="0.35">
      <c r="A1254" s="49" t="s">
        <v>6608</v>
      </c>
      <c r="B1254" s="49" t="s">
        <v>3264</v>
      </c>
      <c r="C1254" s="49" t="s">
        <v>6609</v>
      </c>
      <c r="D1254" s="49" t="s">
        <v>1264</v>
      </c>
      <c r="E1254" s="49" t="s">
        <v>2774</v>
      </c>
      <c r="F1254" s="49" t="s">
        <v>3188</v>
      </c>
      <c r="G1254" s="49" t="s">
        <v>2901</v>
      </c>
      <c r="H1254" s="49" t="s">
        <v>973</v>
      </c>
      <c r="I1254" s="50">
        <v>45307</v>
      </c>
      <c r="J1254" s="50">
        <v>45365</v>
      </c>
      <c r="K1254" s="50">
        <v>46825</v>
      </c>
      <c r="M1254" s="49" t="s">
        <v>6610</v>
      </c>
    </row>
    <row r="1255" spans="1:13" x14ac:dyDescent="0.35">
      <c r="A1255" s="49" t="s">
        <v>6611</v>
      </c>
      <c r="B1255" s="49" t="s">
        <v>6612</v>
      </c>
      <c r="C1255" s="49" t="s">
        <v>6613</v>
      </c>
      <c r="D1255" s="49" t="s">
        <v>1264</v>
      </c>
      <c r="E1255" s="49" t="s">
        <v>2774</v>
      </c>
      <c r="F1255" s="49" t="s">
        <v>4842</v>
      </c>
      <c r="G1255" s="49" t="s">
        <v>2901</v>
      </c>
      <c r="H1255" s="49" t="s">
        <v>2827</v>
      </c>
      <c r="I1255" s="50">
        <v>44841</v>
      </c>
      <c r="J1255" s="50">
        <v>44959</v>
      </c>
      <c r="K1255" s="50">
        <v>46419</v>
      </c>
      <c r="M1255" s="49" t="s">
        <v>6614</v>
      </c>
    </row>
    <row r="1256" spans="1:13" x14ac:dyDescent="0.35">
      <c r="A1256" s="49" t="s">
        <v>6615</v>
      </c>
      <c r="C1256" s="49" t="s">
        <v>6616</v>
      </c>
      <c r="D1256" s="49" t="s">
        <v>1264</v>
      </c>
      <c r="E1256" s="49" t="s">
        <v>2986</v>
      </c>
      <c r="F1256" s="49" t="s">
        <v>2825</v>
      </c>
      <c r="G1256" s="49" t="s">
        <v>2901</v>
      </c>
      <c r="H1256" s="49" t="s">
        <v>973</v>
      </c>
      <c r="I1256" s="50">
        <v>45338</v>
      </c>
      <c r="J1256" s="50">
        <v>45373</v>
      </c>
      <c r="K1256" s="50">
        <v>46467</v>
      </c>
      <c r="M1256" s="49" t="s">
        <v>6617</v>
      </c>
    </row>
    <row r="1257" spans="1:13" x14ac:dyDescent="0.35">
      <c r="A1257" s="49" t="s">
        <v>6618</v>
      </c>
      <c r="C1257" s="49" t="s">
        <v>6619</v>
      </c>
      <c r="D1257" s="49" t="s">
        <v>1264</v>
      </c>
      <c r="E1257" s="49" t="s">
        <v>2774</v>
      </c>
      <c r="F1257" s="49" t="s">
        <v>2805</v>
      </c>
      <c r="G1257" s="49" t="s">
        <v>2826</v>
      </c>
      <c r="H1257" s="49" t="s">
        <v>8</v>
      </c>
      <c r="I1257" s="50">
        <v>45425</v>
      </c>
      <c r="J1257" s="50">
        <v>45425</v>
      </c>
      <c r="K1257" s="50">
        <v>46885</v>
      </c>
      <c r="M1257" s="49" t="s">
        <v>6620</v>
      </c>
    </row>
    <row r="1258" spans="1:13" x14ac:dyDescent="0.35">
      <c r="A1258" s="49" t="s">
        <v>6621</v>
      </c>
      <c r="C1258" s="49" t="s">
        <v>5233</v>
      </c>
      <c r="D1258" s="49" t="s">
        <v>1264</v>
      </c>
      <c r="E1258" s="49" t="s">
        <v>2986</v>
      </c>
      <c r="F1258" s="49" t="s">
        <v>2825</v>
      </c>
      <c r="G1258" s="49" t="s">
        <v>4330</v>
      </c>
      <c r="H1258" s="49" t="s">
        <v>2827</v>
      </c>
      <c r="I1258" s="50">
        <v>45328</v>
      </c>
      <c r="M1258" s="49" t="s">
        <v>6157</v>
      </c>
    </row>
    <row r="1259" spans="1:13" x14ac:dyDescent="0.35">
      <c r="A1259" s="49" t="s">
        <v>6622</v>
      </c>
      <c r="B1259" s="49" t="s">
        <v>4293</v>
      </c>
      <c r="C1259" s="49" t="s">
        <v>6495</v>
      </c>
      <c r="D1259" s="49" t="s">
        <v>1264</v>
      </c>
      <c r="E1259" s="49" t="s">
        <v>2785</v>
      </c>
      <c r="F1259" s="49" t="s">
        <v>2786</v>
      </c>
      <c r="G1259" s="49" t="s">
        <v>4330</v>
      </c>
      <c r="H1259" s="49" t="s">
        <v>980</v>
      </c>
      <c r="I1259" s="50">
        <v>45426</v>
      </c>
      <c r="M1259" s="49" t="s">
        <v>6623</v>
      </c>
    </row>
    <row r="1260" spans="1:13" x14ac:dyDescent="0.35">
      <c r="A1260" s="49" t="s">
        <v>6624</v>
      </c>
      <c r="B1260" s="49" t="s">
        <v>6625</v>
      </c>
      <c r="C1260" s="49" t="s">
        <v>6626</v>
      </c>
      <c r="D1260" s="49" t="s">
        <v>1264</v>
      </c>
      <c r="E1260" s="49" t="s">
        <v>2785</v>
      </c>
      <c r="F1260" s="49" t="s">
        <v>2786</v>
      </c>
      <c r="G1260" s="49" t="s">
        <v>4330</v>
      </c>
      <c r="H1260" s="49" t="s">
        <v>980</v>
      </c>
      <c r="I1260" s="50">
        <v>45418</v>
      </c>
      <c r="M1260" s="49" t="s">
        <v>6627</v>
      </c>
    </row>
    <row r="1261" spans="1:13" x14ac:dyDescent="0.35">
      <c r="A1261" s="49" t="s">
        <v>6628</v>
      </c>
      <c r="B1261" s="49" t="s">
        <v>5810</v>
      </c>
      <c r="C1261" s="49" t="s">
        <v>6629</v>
      </c>
      <c r="D1261" s="49" t="s">
        <v>1264</v>
      </c>
      <c r="E1261" s="49" t="s">
        <v>2785</v>
      </c>
      <c r="F1261" s="49" t="s">
        <v>2786</v>
      </c>
      <c r="G1261" s="49" t="s">
        <v>4330</v>
      </c>
      <c r="H1261" s="49" t="s">
        <v>980</v>
      </c>
      <c r="I1261" s="50">
        <v>45418</v>
      </c>
      <c r="M1261" s="49" t="s">
        <v>6630</v>
      </c>
    </row>
    <row r="1262" spans="1:13" x14ac:dyDescent="0.35">
      <c r="A1262" s="49" t="s">
        <v>6631</v>
      </c>
      <c r="B1262" s="49" t="s">
        <v>3904</v>
      </c>
      <c r="C1262" s="49" t="s">
        <v>6632</v>
      </c>
      <c r="D1262" s="49" t="s">
        <v>1264</v>
      </c>
      <c r="E1262" s="49" t="s">
        <v>2774</v>
      </c>
      <c r="F1262" s="49" t="s">
        <v>2825</v>
      </c>
      <c r="G1262" s="49" t="s">
        <v>2901</v>
      </c>
      <c r="H1262" s="49" t="s">
        <v>2827</v>
      </c>
      <c r="I1262" s="50">
        <v>45306</v>
      </c>
      <c r="J1262" s="50">
        <v>45380</v>
      </c>
      <c r="K1262" s="50">
        <v>46840</v>
      </c>
      <c r="M1262" s="49" t="s">
        <v>6633</v>
      </c>
    </row>
    <row r="1263" spans="1:13" x14ac:dyDescent="0.35">
      <c r="A1263" s="49" t="s">
        <v>6634</v>
      </c>
      <c r="B1263" s="49" t="s">
        <v>6635</v>
      </c>
      <c r="C1263" s="49" t="s">
        <v>6636</v>
      </c>
      <c r="D1263" s="49" t="s">
        <v>1264</v>
      </c>
      <c r="E1263" s="49" t="s">
        <v>2774</v>
      </c>
      <c r="F1263" s="49" t="s">
        <v>4842</v>
      </c>
      <c r="G1263" s="49" t="s">
        <v>4330</v>
      </c>
      <c r="H1263" s="49" t="s">
        <v>2827</v>
      </c>
      <c r="I1263" s="50">
        <v>45271</v>
      </c>
      <c r="M1263" s="49" t="s">
        <v>6637</v>
      </c>
    </row>
    <row r="1264" spans="1:13" x14ac:dyDescent="0.35">
      <c r="A1264" s="49" t="s">
        <v>6638</v>
      </c>
      <c r="C1264" s="49" t="s">
        <v>6639</v>
      </c>
      <c r="D1264" s="49" t="s">
        <v>1264</v>
      </c>
      <c r="E1264" s="49" t="s">
        <v>2908</v>
      </c>
      <c r="F1264" s="49" t="s">
        <v>3010</v>
      </c>
      <c r="G1264" s="49" t="s">
        <v>2901</v>
      </c>
      <c r="H1264" s="49" t="s">
        <v>980</v>
      </c>
      <c r="I1264" s="50">
        <v>45007</v>
      </c>
      <c r="J1264" s="50">
        <v>45054</v>
      </c>
      <c r="K1264" s="50">
        <v>46880</v>
      </c>
      <c r="M1264" s="49" t="s">
        <v>6640</v>
      </c>
    </row>
    <row r="1265" spans="1:13" x14ac:dyDescent="0.35">
      <c r="A1265" s="49" t="s">
        <v>6641</v>
      </c>
      <c r="B1265" s="49" t="s">
        <v>6642</v>
      </c>
      <c r="C1265" s="49" t="s">
        <v>6643</v>
      </c>
      <c r="D1265" s="49" t="s">
        <v>1264</v>
      </c>
      <c r="E1265" s="49" t="s">
        <v>3443</v>
      </c>
      <c r="F1265" s="49" t="s">
        <v>3124</v>
      </c>
      <c r="G1265" s="49" t="s">
        <v>2901</v>
      </c>
      <c r="H1265" s="49" t="s">
        <v>980</v>
      </c>
      <c r="I1265" s="50">
        <v>45439</v>
      </c>
      <c r="J1265" s="50">
        <v>45057</v>
      </c>
      <c r="K1265" s="50">
        <v>46883</v>
      </c>
    </row>
    <row r="1266" spans="1:13" x14ac:dyDescent="0.35">
      <c r="A1266" s="49" t="s">
        <v>6644</v>
      </c>
      <c r="C1266" s="49" t="s">
        <v>6645</v>
      </c>
      <c r="D1266" s="49" t="s">
        <v>1264</v>
      </c>
      <c r="E1266" s="49" t="s">
        <v>2908</v>
      </c>
      <c r="F1266" s="49" t="s">
        <v>4611</v>
      </c>
      <c r="G1266" s="49" t="s">
        <v>2901</v>
      </c>
      <c r="H1266" s="49" t="s">
        <v>980</v>
      </c>
      <c r="I1266" s="50">
        <v>45047</v>
      </c>
      <c r="J1266" s="50">
        <v>45090</v>
      </c>
      <c r="K1266" s="50">
        <v>46916</v>
      </c>
      <c r="M1266" s="49" t="s">
        <v>6646</v>
      </c>
    </row>
    <row r="1267" spans="1:13" x14ac:dyDescent="0.35">
      <c r="A1267" s="49" t="s">
        <v>6647</v>
      </c>
      <c r="B1267" s="49" t="s">
        <v>6648</v>
      </c>
      <c r="C1267" s="49" t="s">
        <v>6649</v>
      </c>
      <c r="D1267" s="49" t="s">
        <v>1264</v>
      </c>
      <c r="E1267" s="49" t="s">
        <v>2774</v>
      </c>
      <c r="F1267" s="49" t="s">
        <v>2825</v>
      </c>
      <c r="G1267" s="49" t="s">
        <v>2901</v>
      </c>
      <c r="H1267" s="49" t="s">
        <v>2827</v>
      </c>
      <c r="I1267" s="50">
        <v>45369</v>
      </c>
      <c r="J1267" s="50">
        <v>45380</v>
      </c>
      <c r="K1267" s="50">
        <v>46840</v>
      </c>
      <c r="M1267" s="49" t="s">
        <v>6650</v>
      </c>
    </row>
    <row r="1268" spans="1:13" x14ac:dyDescent="0.35">
      <c r="A1268" s="49" t="s">
        <v>6651</v>
      </c>
      <c r="C1268" s="49" t="s">
        <v>6652</v>
      </c>
      <c r="D1268" s="49" t="s">
        <v>1264</v>
      </c>
      <c r="E1268" s="49" t="s">
        <v>2908</v>
      </c>
      <c r="F1268" s="49" t="s">
        <v>2939</v>
      </c>
      <c r="G1268" s="49" t="s">
        <v>2787</v>
      </c>
      <c r="H1268" s="49" t="s">
        <v>980</v>
      </c>
      <c r="I1268" s="50">
        <v>43445</v>
      </c>
      <c r="J1268" s="50">
        <v>43474</v>
      </c>
      <c r="K1268" s="50">
        <v>45299</v>
      </c>
      <c r="M1268" s="49" t="s">
        <v>6653</v>
      </c>
    </row>
    <row r="1269" spans="1:13" x14ac:dyDescent="0.35">
      <c r="A1269" s="49" t="s">
        <v>6654</v>
      </c>
      <c r="B1269" s="49" t="s">
        <v>6655</v>
      </c>
      <c r="C1269" s="49" t="s">
        <v>5621</v>
      </c>
      <c r="D1269" s="49" t="s">
        <v>1264</v>
      </c>
      <c r="E1269" s="49" t="s">
        <v>2785</v>
      </c>
      <c r="F1269" s="49" t="s">
        <v>2792</v>
      </c>
      <c r="G1269" s="49" t="s">
        <v>2787</v>
      </c>
      <c r="H1269" s="49" t="s">
        <v>835</v>
      </c>
      <c r="I1269" s="50">
        <v>44962</v>
      </c>
      <c r="J1269" s="50">
        <v>45093</v>
      </c>
      <c r="K1269" s="50">
        <v>45458</v>
      </c>
      <c r="M1269" s="49" t="s">
        <v>6656</v>
      </c>
    </row>
    <row r="1270" spans="1:13" x14ac:dyDescent="0.35">
      <c r="A1270" s="49" t="s">
        <v>6657</v>
      </c>
      <c r="B1270" s="49" t="s">
        <v>6658</v>
      </c>
      <c r="C1270" s="49" t="s">
        <v>4736</v>
      </c>
      <c r="D1270" s="49" t="s">
        <v>1264</v>
      </c>
      <c r="E1270" s="49" t="s">
        <v>2908</v>
      </c>
      <c r="F1270" s="49" t="s">
        <v>2837</v>
      </c>
      <c r="G1270" s="49" t="s">
        <v>2776</v>
      </c>
      <c r="H1270" s="49" t="s">
        <v>2827</v>
      </c>
      <c r="I1270" s="50">
        <v>44425</v>
      </c>
      <c r="M1270" s="49" t="s">
        <v>5081</v>
      </c>
    </row>
    <row r="1271" spans="1:13" x14ac:dyDescent="0.35">
      <c r="A1271" s="49" t="s">
        <v>6659</v>
      </c>
      <c r="B1271" s="49" t="s">
        <v>6660</v>
      </c>
      <c r="C1271" s="49" t="s">
        <v>5657</v>
      </c>
      <c r="D1271" s="49" t="s">
        <v>1264</v>
      </c>
      <c r="E1271" s="49" t="s">
        <v>2774</v>
      </c>
      <c r="F1271" s="49" t="s">
        <v>4842</v>
      </c>
      <c r="G1271" s="49" t="s">
        <v>2901</v>
      </c>
      <c r="H1271" s="49" t="s">
        <v>2827</v>
      </c>
      <c r="I1271" s="50">
        <v>44837</v>
      </c>
      <c r="J1271" s="50">
        <v>44956</v>
      </c>
      <c r="K1271" s="50">
        <v>46416</v>
      </c>
      <c r="M1271" s="49" t="s">
        <v>6661</v>
      </c>
    </row>
    <row r="1272" spans="1:13" x14ac:dyDescent="0.35">
      <c r="A1272" s="49" t="s">
        <v>6662</v>
      </c>
      <c r="B1272" s="49" t="s">
        <v>6663</v>
      </c>
      <c r="C1272" s="49" t="s">
        <v>5240</v>
      </c>
      <c r="D1272" s="49" t="s">
        <v>1264</v>
      </c>
      <c r="E1272" s="49" t="s">
        <v>2785</v>
      </c>
      <c r="F1272" s="49" t="s">
        <v>2786</v>
      </c>
      <c r="G1272" s="49" t="s">
        <v>2901</v>
      </c>
      <c r="H1272" s="49" t="s">
        <v>3207</v>
      </c>
      <c r="I1272" s="50">
        <v>45433</v>
      </c>
      <c r="J1272" s="50">
        <v>45431</v>
      </c>
      <c r="K1272" s="50">
        <v>46293</v>
      </c>
      <c r="L1272" s="50">
        <v>45796</v>
      </c>
      <c r="M1272" s="49" t="s">
        <v>6664</v>
      </c>
    </row>
    <row r="1273" spans="1:13" x14ac:dyDescent="0.35">
      <c r="A1273" s="49" t="s">
        <v>6665</v>
      </c>
      <c r="B1273" s="49" t="s">
        <v>6663</v>
      </c>
      <c r="C1273" s="49" t="s">
        <v>5240</v>
      </c>
      <c r="D1273" s="49" t="s">
        <v>1264</v>
      </c>
      <c r="E1273" s="49" t="s">
        <v>2785</v>
      </c>
      <c r="F1273" s="49" t="s">
        <v>2786</v>
      </c>
      <c r="G1273" s="49" t="s">
        <v>4330</v>
      </c>
      <c r="H1273" s="49" t="s">
        <v>3207</v>
      </c>
      <c r="I1273" s="50">
        <v>45434</v>
      </c>
      <c r="M1273" s="49" t="s">
        <v>6666</v>
      </c>
    </row>
    <row r="1274" spans="1:13" x14ac:dyDescent="0.35">
      <c r="A1274" s="49" t="s">
        <v>6667</v>
      </c>
      <c r="B1274" s="49" t="s">
        <v>6663</v>
      </c>
      <c r="C1274" s="49" t="s">
        <v>5240</v>
      </c>
      <c r="D1274" s="49" t="s">
        <v>1264</v>
      </c>
      <c r="E1274" s="49" t="s">
        <v>2785</v>
      </c>
      <c r="F1274" s="49" t="s">
        <v>2786</v>
      </c>
      <c r="G1274" s="49" t="s">
        <v>2901</v>
      </c>
      <c r="H1274" s="49" t="s">
        <v>3207</v>
      </c>
      <c r="I1274" s="50">
        <v>45456</v>
      </c>
      <c r="J1274" s="50">
        <v>45431</v>
      </c>
      <c r="K1274" s="50">
        <v>46293</v>
      </c>
      <c r="L1274" s="50">
        <v>45796</v>
      </c>
      <c r="M1274" s="49" t="s">
        <v>6668</v>
      </c>
    </row>
    <row r="1275" spans="1:13" x14ac:dyDescent="0.35">
      <c r="A1275" s="49" t="s">
        <v>6669</v>
      </c>
      <c r="B1275" s="49" t="s">
        <v>6670</v>
      </c>
      <c r="C1275" s="49" t="s">
        <v>6671</v>
      </c>
      <c r="D1275" s="49" t="s">
        <v>1264</v>
      </c>
      <c r="E1275" s="49" t="s">
        <v>2774</v>
      </c>
      <c r="F1275" s="49" t="s">
        <v>2825</v>
      </c>
      <c r="G1275" s="49" t="s">
        <v>2901</v>
      </c>
      <c r="H1275" s="49" t="s">
        <v>2827</v>
      </c>
      <c r="I1275" s="50">
        <v>44217</v>
      </c>
      <c r="J1275" s="50">
        <v>44413</v>
      </c>
      <c r="K1275" s="50">
        <v>45873</v>
      </c>
      <c r="M1275" s="49" t="s">
        <v>6672</v>
      </c>
    </row>
    <row r="1276" spans="1:13" x14ac:dyDescent="0.35">
      <c r="A1276" s="49" t="s">
        <v>6673</v>
      </c>
      <c r="C1276" s="49" t="s">
        <v>5482</v>
      </c>
      <c r="D1276" s="49" t="s">
        <v>1264</v>
      </c>
      <c r="E1276" s="49" t="s">
        <v>2814</v>
      </c>
      <c r="F1276" s="49" t="s">
        <v>2825</v>
      </c>
      <c r="G1276" s="49" t="s">
        <v>2787</v>
      </c>
      <c r="H1276" s="49" t="s">
        <v>2827</v>
      </c>
      <c r="I1276" s="50">
        <v>44960</v>
      </c>
      <c r="J1276" s="50">
        <v>45022</v>
      </c>
      <c r="K1276" s="50">
        <v>45204</v>
      </c>
      <c r="M1276" s="49" t="s">
        <v>6674</v>
      </c>
    </row>
    <row r="1277" spans="1:13" x14ac:dyDescent="0.35">
      <c r="A1277" s="49" t="s">
        <v>6675</v>
      </c>
      <c r="B1277" s="49" t="s">
        <v>5640</v>
      </c>
      <c r="C1277" s="49" t="s">
        <v>6676</v>
      </c>
      <c r="D1277" s="49" t="s">
        <v>1264</v>
      </c>
      <c r="E1277" s="49" t="s">
        <v>2908</v>
      </c>
      <c r="F1277" s="49" t="s">
        <v>2837</v>
      </c>
      <c r="G1277" s="49" t="s">
        <v>2901</v>
      </c>
      <c r="H1277" s="49" t="s">
        <v>980</v>
      </c>
      <c r="I1277" s="50">
        <v>44636</v>
      </c>
      <c r="J1277" s="50">
        <v>45334</v>
      </c>
      <c r="K1277" s="50">
        <v>47160</v>
      </c>
      <c r="M1277" s="49" t="s">
        <v>6677</v>
      </c>
    </row>
    <row r="1278" spans="1:13" x14ac:dyDescent="0.35">
      <c r="A1278" s="49" t="s">
        <v>6678</v>
      </c>
      <c r="C1278" s="49" t="s">
        <v>5287</v>
      </c>
      <c r="D1278" s="49" t="s">
        <v>1264</v>
      </c>
      <c r="E1278" s="49" t="s">
        <v>2908</v>
      </c>
      <c r="F1278" s="49" t="s">
        <v>2786</v>
      </c>
      <c r="G1278" s="49" t="s">
        <v>2776</v>
      </c>
      <c r="H1278" s="49" t="s">
        <v>8</v>
      </c>
      <c r="I1278" s="50">
        <v>43882</v>
      </c>
      <c r="M1278" s="49" t="s">
        <v>6679</v>
      </c>
    </row>
    <row r="1279" spans="1:13" x14ac:dyDescent="0.35">
      <c r="A1279" s="49" t="s">
        <v>6680</v>
      </c>
      <c r="C1279" s="49" t="s">
        <v>6681</v>
      </c>
      <c r="D1279" s="49" t="s">
        <v>1264</v>
      </c>
      <c r="E1279" s="49" t="s">
        <v>2785</v>
      </c>
      <c r="F1279" s="49" t="s">
        <v>2786</v>
      </c>
      <c r="G1279" s="49" t="s">
        <v>4330</v>
      </c>
      <c r="H1279" s="49" t="s">
        <v>980</v>
      </c>
      <c r="I1279" s="50">
        <v>45454</v>
      </c>
      <c r="M1279" s="49" t="s">
        <v>6682</v>
      </c>
    </row>
    <row r="1280" spans="1:13" x14ac:dyDescent="0.35">
      <c r="A1280" s="49" t="s">
        <v>6683</v>
      </c>
      <c r="C1280" s="49" t="s">
        <v>6681</v>
      </c>
      <c r="D1280" s="49" t="s">
        <v>1264</v>
      </c>
      <c r="E1280" s="49" t="s">
        <v>2785</v>
      </c>
      <c r="F1280" s="49" t="s">
        <v>2786</v>
      </c>
      <c r="G1280" s="49" t="s">
        <v>4330</v>
      </c>
      <c r="H1280" s="49" t="s">
        <v>980</v>
      </c>
      <c r="I1280" s="50">
        <v>45454</v>
      </c>
      <c r="M1280" s="49" t="s">
        <v>6684</v>
      </c>
    </row>
    <row r="1281" spans="1:13" x14ac:dyDescent="0.35">
      <c r="A1281" s="49" t="s">
        <v>6685</v>
      </c>
      <c r="C1281" s="49" t="s">
        <v>6681</v>
      </c>
      <c r="D1281" s="49" t="s">
        <v>1264</v>
      </c>
      <c r="E1281" s="49" t="s">
        <v>2785</v>
      </c>
      <c r="F1281" s="49" t="s">
        <v>2786</v>
      </c>
      <c r="G1281" s="49" t="s">
        <v>4330</v>
      </c>
      <c r="H1281" s="49" t="s">
        <v>980</v>
      </c>
      <c r="I1281" s="50">
        <v>45454</v>
      </c>
      <c r="M1281" s="49" t="s">
        <v>6686</v>
      </c>
    </row>
    <row r="1282" spans="1:13" x14ac:dyDescent="0.35">
      <c r="A1282" s="49" t="s">
        <v>6687</v>
      </c>
      <c r="C1282" s="49" t="s">
        <v>6681</v>
      </c>
      <c r="D1282" s="49" t="s">
        <v>1264</v>
      </c>
      <c r="E1282" s="49" t="s">
        <v>2785</v>
      </c>
      <c r="F1282" s="49" t="s">
        <v>2786</v>
      </c>
      <c r="G1282" s="49" t="s">
        <v>4330</v>
      </c>
      <c r="H1282" s="49" t="s">
        <v>980</v>
      </c>
      <c r="I1282" s="50">
        <v>45454</v>
      </c>
      <c r="M1282" s="49" t="s">
        <v>6688</v>
      </c>
    </row>
    <row r="1283" spans="1:13" x14ac:dyDescent="0.35">
      <c r="A1283" s="49" t="s">
        <v>6689</v>
      </c>
      <c r="C1283" s="49" t="s">
        <v>5014</v>
      </c>
      <c r="D1283" s="49" t="s">
        <v>1264</v>
      </c>
      <c r="E1283" s="49" t="s">
        <v>2974</v>
      </c>
      <c r="F1283" s="49" t="s">
        <v>2900</v>
      </c>
      <c r="G1283" s="49" t="s">
        <v>2901</v>
      </c>
      <c r="H1283" s="49" t="s">
        <v>2832</v>
      </c>
      <c r="I1283" s="50">
        <v>45377</v>
      </c>
      <c r="J1283" s="50">
        <v>45378</v>
      </c>
      <c r="K1283" s="50">
        <v>47203</v>
      </c>
      <c r="M1283" s="49" t="s">
        <v>6690</v>
      </c>
    </row>
    <row r="1284" spans="1:13" x14ac:dyDescent="0.35">
      <c r="A1284" s="49" t="s">
        <v>6691</v>
      </c>
      <c r="B1284" s="49" t="s">
        <v>6692</v>
      </c>
      <c r="C1284" s="49" t="s">
        <v>6693</v>
      </c>
      <c r="D1284" s="49" t="s">
        <v>1264</v>
      </c>
      <c r="E1284" s="49" t="s">
        <v>2908</v>
      </c>
      <c r="F1284" s="49" t="s">
        <v>3010</v>
      </c>
      <c r="G1284" s="49" t="s">
        <v>2787</v>
      </c>
      <c r="H1284" s="49" t="s">
        <v>980</v>
      </c>
      <c r="I1284" s="50">
        <v>40918</v>
      </c>
      <c r="J1284" s="50">
        <v>40924</v>
      </c>
      <c r="K1284" s="50">
        <v>42750</v>
      </c>
      <c r="M1284" s="49" t="s">
        <v>6694</v>
      </c>
    </row>
    <row r="1285" spans="1:13" x14ac:dyDescent="0.35">
      <c r="A1285" s="49" t="s">
        <v>6695</v>
      </c>
      <c r="C1285" s="49" t="s">
        <v>6696</v>
      </c>
      <c r="D1285" s="49" t="s">
        <v>1264</v>
      </c>
      <c r="E1285" s="49" t="s">
        <v>2785</v>
      </c>
      <c r="F1285" s="49" t="s">
        <v>2792</v>
      </c>
      <c r="G1285" s="49" t="s">
        <v>2787</v>
      </c>
      <c r="H1285" s="49" t="s">
        <v>8</v>
      </c>
      <c r="I1285" s="50">
        <v>41164</v>
      </c>
      <c r="M1285" s="49" t="s">
        <v>6697</v>
      </c>
    </row>
    <row r="1286" spans="1:13" x14ac:dyDescent="0.35">
      <c r="A1286" s="49" t="s">
        <v>6698</v>
      </c>
      <c r="B1286" s="49" t="s">
        <v>3768</v>
      </c>
      <c r="C1286" s="49" t="s">
        <v>6699</v>
      </c>
      <c r="D1286" s="49" t="s">
        <v>1264</v>
      </c>
      <c r="E1286" s="49" t="s">
        <v>3443</v>
      </c>
      <c r="F1286" s="49" t="s">
        <v>3124</v>
      </c>
      <c r="G1286" s="49" t="s">
        <v>2776</v>
      </c>
      <c r="H1286" s="49" t="s">
        <v>980</v>
      </c>
      <c r="I1286" s="50">
        <v>44994</v>
      </c>
    </row>
    <row r="1287" spans="1:13" x14ac:dyDescent="0.35">
      <c r="A1287" s="49" t="s">
        <v>6700</v>
      </c>
      <c r="B1287" s="49" t="s">
        <v>6701</v>
      </c>
      <c r="C1287" s="49" t="s">
        <v>6702</v>
      </c>
      <c r="D1287" s="49" t="s">
        <v>1264</v>
      </c>
      <c r="E1287" s="49" t="s">
        <v>3748</v>
      </c>
      <c r="F1287" s="49" t="s">
        <v>2792</v>
      </c>
      <c r="G1287" s="49" t="s">
        <v>2776</v>
      </c>
      <c r="H1287" s="49" t="s">
        <v>3207</v>
      </c>
      <c r="I1287" s="50">
        <v>44686</v>
      </c>
      <c r="M1287" s="49" t="s">
        <v>6703</v>
      </c>
    </row>
    <row r="1288" spans="1:13" x14ac:dyDescent="0.35">
      <c r="A1288" s="49" t="s">
        <v>6704</v>
      </c>
      <c r="C1288" s="49" t="s">
        <v>6705</v>
      </c>
      <c r="D1288" s="49" t="s">
        <v>1264</v>
      </c>
      <c r="E1288" s="49" t="s">
        <v>2908</v>
      </c>
      <c r="F1288" s="49" t="s">
        <v>2837</v>
      </c>
      <c r="G1288" s="49" t="s">
        <v>2776</v>
      </c>
      <c r="H1288" s="49" t="s">
        <v>2827</v>
      </c>
      <c r="I1288" s="50">
        <v>44259</v>
      </c>
      <c r="M1288" s="49" t="s">
        <v>6706</v>
      </c>
    </row>
    <row r="1289" spans="1:13" x14ac:dyDescent="0.35">
      <c r="A1289" s="49" t="s">
        <v>6707</v>
      </c>
      <c r="B1289" s="49" t="s">
        <v>3021</v>
      </c>
      <c r="C1289" s="49" t="s">
        <v>6708</v>
      </c>
      <c r="D1289" s="49" t="s">
        <v>1264</v>
      </c>
      <c r="E1289" s="49" t="s">
        <v>2785</v>
      </c>
      <c r="F1289" s="49" t="s">
        <v>2805</v>
      </c>
      <c r="G1289" s="49" t="s">
        <v>2776</v>
      </c>
      <c r="H1289" s="49" t="s">
        <v>2832</v>
      </c>
      <c r="I1289" s="50">
        <v>45264</v>
      </c>
      <c r="M1289" s="49" t="s">
        <v>6709</v>
      </c>
    </row>
    <row r="1290" spans="1:13" x14ac:dyDescent="0.35">
      <c r="A1290" s="49" t="s">
        <v>6710</v>
      </c>
      <c r="B1290" s="49" t="s">
        <v>6711</v>
      </c>
      <c r="C1290" s="49" t="s">
        <v>6712</v>
      </c>
      <c r="D1290" s="49" t="s">
        <v>1264</v>
      </c>
      <c r="E1290" s="49" t="s">
        <v>2986</v>
      </c>
      <c r="F1290" s="49" t="s">
        <v>2825</v>
      </c>
      <c r="G1290" s="49" t="s">
        <v>4891</v>
      </c>
      <c r="H1290" s="49" t="s">
        <v>2827</v>
      </c>
      <c r="I1290" s="50">
        <v>45685</v>
      </c>
      <c r="M1290" s="49" t="s">
        <v>6713</v>
      </c>
    </row>
    <row r="1291" spans="1:13" x14ac:dyDescent="0.35">
      <c r="A1291" s="49" t="s">
        <v>6714</v>
      </c>
      <c r="B1291" s="49" t="s">
        <v>6715</v>
      </c>
      <c r="C1291" s="49" t="s">
        <v>6716</v>
      </c>
      <c r="D1291" s="49" t="s">
        <v>1264</v>
      </c>
      <c r="E1291" s="49" t="s">
        <v>2986</v>
      </c>
      <c r="F1291" s="49" t="s">
        <v>2825</v>
      </c>
      <c r="G1291" s="49" t="s">
        <v>4891</v>
      </c>
      <c r="H1291" s="49" t="s">
        <v>2827</v>
      </c>
      <c r="I1291" s="50">
        <v>45685</v>
      </c>
      <c r="M1291" s="49" t="s">
        <v>6717</v>
      </c>
    </row>
    <row r="1292" spans="1:13" x14ac:dyDescent="0.35">
      <c r="A1292" s="49" t="s">
        <v>6718</v>
      </c>
      <c r="B1292" s="49" t="s">
        <v>4817</v>
      </c>
      <c r="C1292" s="49" t="s">
        <v>6719</v>
      </c>
      <c r="D1292" s="49" t="s">
        <v>1264</v>
      </c>
      <c r="E1292" s="49" t="s">
        <v>2986</v>
      </c>
      <c r="F1292" s="49" t="s">
        <v>2825</v>
      </c>
      <c r="G1292" s="49" t="s">
        <v>4891</v>
      </c>
      <c r="H1292" s="49" t="s">
        <v>2827</v>
      </c>
      <c r="I1292" s="50">
        <v>45714</v>
      </c>
      <c r="M1292" s="49" t="s">
        <v>3270</v>
      </c>
    </row>
    <row r="1293" spans="1:13" x14ac:dyDescent="0.35">
      <c r="A1293" s="49" t="s">
        <v>6720</v>
      </c>
      <c r="B1293" s="49" t="s">
        <v>6721</v>
      </c>
      <c r="C1293" s="49" t="s">
        <v>6719</v>
      </c>
      <c r="D1293" s="49" t="s">
        <v>1264</v>
      </c>
      <c r="E1293" s="49" t="s">
        <v>2986</v>
      </c>
      <c r="F1293" s="49" t="s">
        <v>2825</v>
      </c>
      <c r="G1293" s="49" t="s">
        <v>4891</v>
      </c>
      <c r="H1293" s="49" t="s">
        <v>2827</v>
      </c>
      <c r="I1293" s="50">
        <v>45714</v>
      </c>
      <c r="M1293" s="49" t="s">
        <v>3270</v>
      </c>
    </row>
    <row r="1294" spans="1:13" x14ac:dyDescent="0.35">
      <c r="A1294" s="49" t="s">
        <v>6722</v>
      </c>
      <c r="C1294" s="49" t="s">
        <v>6723</v>
      </c>
      <c r="D1294" s="49" t="s">
        <v>1264</v>
      </c>
      <c r="E1294" s="49" t="s">
        <v>2785</v>
      </c>
      <c r="F1294" s="49" t="s">
        <v>2792</v>
      </c>
      <c r="G1294" s="49" t="s">
        <v>2901</v>
      </c>
      <c r="H1294" s="49" t="s">
        <v>8</v>
      </c>
      <c r="I1294" s="50">
        <v>45805</v>
      </c>
      <c r="J1294" s="50">
        <v>45807</v>
      </c>
      <c r="K1294" s="50">
        <v>46171</v>
      </c>
      <c r="M1294" s="49" t="s">
        <v>6724</v>
      </c>
    </row>
    <row r="1295" spans="1:13" x14ac:dyDescent="0.35">
      <c r="A1295" s="49" t="s">
        <v>6725</v>
      </c>
      <c r="C1295" s="49" t="s">
        <v>6726</v>
      </c>
      <c r="D1295" s="49" t="s">
        <v>1264</v>
      </c>
      <c r="E1295" s="49" t="s">
        <v>2785</v>
      </c>
      <c r="F1295" s="49" t="s">
        <v>2792</v>
      </c>
      <c r="G1295" s="49" t="s">
        <v>2901</v>
      </c>
      <c r="H1295" s="49" t="s">
        <v>980</v>
      </c>
      <c r="I1295" s="52">
        <v>45835.575891203698</v>
      </c>
      <c r="J1295" s="50">
        <v>45835</v>
      </c>
      <c r="K1295" s="50">
        <v>46199</v>
      </c>
      <c r="M1295" s="49" t="s">
        <v>6727</v>
      </c>
    </row>
    <row r="1296" spans="1:13" x14ac:dyDescent="0.35">
      <c r="A1296" s="49" t="s">
        <v>6728</v>
      </c>
      <c r="C1296" s="49" t="s">
        <v>5779</v>
      </c>
      <c r="D1296" s="49" t="s">
        <v>1264</v>
      </c>
      <c r="E1296" s="49" t="s">
        <v>2785</v>
      </c>
      <c r="F1296" s="49" t="s">
        <v>2792</v>
      </c>
      <c r="G1296" s="49" t="s">
        <v>2901</v>
      </c>
      <c r="H1296" s="49" t="s">
        <v>8</v>
      </c>
      <c r="I1296" s="52">
        <v>45841.689768518503</v>
      </c>
      <c r="J1296" s="50">
        <v>45845</v>
      </c>
      <c r="K1296" s="50">
        <v>46209</v>
      </c>
      <c r="M1296" s="49" t="s">
        <v>6729</v>
      </c>
    </row>
    <row r="1297" spans="1:13" x14ac:dyDescent="0.35">
      <c r="A1297" s="49" t="s">
        <v>6730</v>
      </c>
      <c r="C1297" s="49" t="s">
        <v>6731</v>
      </c>
      <c r="D1297" s="49" t="s">
        <v>1264</v>
      </c>
      <c r="E1297" s="49" t="s">
        <v>2873</v>
      </c>
      <c r="G1297" s="49" t="s">
        <v>2901</v>
      </c>
      <c r="H1297" s="49" t="s">
        <v>3207</v>
      </c>
      <c r="I1297" s="50">
        <v>45800</v>
      </c>
      <c r="J1297" s="50">
        <v>45803</v>
      </c>
      <c r="K1297" s="50">
        <v>46167</v>
      </c>
      <c r="M1297" s="49" t="s">
        <v>6732</v>
      </c>
    </row>
    <row r="1298" spans="1:13" x14ac:dyDescent="0.35">
      <c r="A1298" s="49" t="s">
        <v>6733</v>
      </c>
      <c r="C1298" s="49" t="s">
        <v>6734</v>
      </c>
      <c r="D1298" s="49" t="s">
        <v>1264</v>
      </c>
      <c r="E1298" s="49" t="s">
        <v>2785</v>
      </c>
      <c r="F1298" s="49" t="s">
        <v>2792</v>
      </c>
      <c r="G1298" s="49" t="s">
        <v>2901</v>
      </c>
      <c r="H1298" s="49" t="s">
        <v>980</v>
      </c>
      <c r="I1298" s="52">
        <v>45863.4227777778</v>
      </c>
      <c r="J1298" s="50">
        <v>45870</v>
      </c>
      <c r="K1298" s="50">
        <v>46234</v>
      </c>
      <c r="M1298" s="49" t="s">
        <v>6735</v>
      </c>
    </row>
    <row r="1299" spans="1:13" x14ac:dyDescent="0.35">
      <c r="A1299" s="49" t="s">
        <v>6736</v>
      </c>
      <c r="C1299" s="49" t="s">
        <v>6737</v>
      </c>
      <c r="D1299" s="49" t="s">
        <v>1264</v>
      </c>
      <c r="E1299" s="49" t="s">
        <v>2873</v>
      </c>
      <c r="G1299" s="49" t="s">
        <v>2901</v>
      </c>
      <c r="H1299" s="49" t="s">
        <v>3207</v>
      </c>
      <c r="I1299" s="50">
        <v>45688</v>
      </c>
      <c r="J1299" s="50">
        <v>45737</v>
      </c>
      <c r="K1299" s="50">
        <v>46101</v>
      </c>
      <c r="M1299" s="49" t="s">
        <v>6738</v>
      </c>
    </row>
    <row r="1300" spans="1:13" x14ac:dyDescent="0.35">
      <c r="A1300" s="49" t="s">
        <v>6739</v>
      </c>
      <c r="C1300" s="49" t="s">
        <v>5240</v>
      </c>
      <c r="D1300" s="49" t="s">
        <v>1264</v>
      </c>
      <c r="E1300" s="49" t="s">
        <v>2785</v>
      </c>
      <c r="F1300" s="49" t="s">
        <v>2792</v>
      </c>
      <c r="G1300" s="49" t="s">
        <v>4330</v>
      </c>
      <c r="H1300" s="49" t="s">
        <v>4225</v>
      </c>
      <c r="I1300" s="50">
        <v>45812</v>
      </c>
      <c r="M1300" s="49" t="s">
        <v>6740</v>
      </c>
    </row>
    <row r="1301" spans="1:13" x14ac:dyDescent="0.35">
      <c r="A1301" s="49" t="s">
        <v>6741</v>
      </c>
      <c r="B1301" s="49" t="s">
        <v>6742</v>
      </c>
      <c r="C1301" s="49" t="s">
        <v>5240</v>
      </c>
      <c r="D1301" s="49" t="s">
        <v>1264</v>
      </c>
      <c r="E1301" s="49" t="s">
        <v>2785</v>
      </c>
      <c r="F1301" s="49" t="s">
        <v>2792</v>
      </c>
      <c r="G1301" s="49" t="s">
        <v>4330</v>
      </c>
      <c r="H1301" s="49" t="s">
        <v>4225</v>
      </c>
      <c r="I1301" s="50">
        <v>45812</v>
      </c>
      <c r="M1301" s="49" t="s">
        <v>6743</v>
      </c>
    </row>
    <row r="1302" spans="1:13" x14ac:dyDescent="0.35">
      <c r="A1302" s="49" t="s">
        <v>6744</v>
      </c>
      <c r="C1302" s="49" t="s">
        <v>5240</v>
      </c>
      <c r="D1302" s="49" t="s">
        <v>1264</v>
      </c>
      <c r="E1302" s="49" t="s">
        <v>2785</v>
      </c>
      <c r="F1302" s="49" t="s">
        <v>2792</v>
      </c>
      <c r="G1302" s="49" t="s">
        <v>4330</v>
      </c>
      <c r="H1302" s="49" t="s">
        <v>4225</v>
      </c>
      <c r="I1302" s="50">
        <v>45812</v>
      </c>
      <c r="M1302" s="49" t="s">
        <v>6745</v>
      </c>
    </row>
    <row r="1303" spans="1:13" x14ac:dyDescent="0.35">
      <c r="A1303" s="49" t="s">
        <v>6746</v>
      </c>
      <c r="C1303" s="49" t="s">
        <v>5240</v>
      </c>
      <c r="D1303" s="49" t="s">
        <v>1264</v>
      </c>
      <c r="E1303" s="49" t="s">
        <v>2785</v>
      </c>
      <c r="F1303" s="49" t="s">
        <v>2792</v>
      </c>
      <c r="G1303" s="49" t="s">
        <v>4330</v>
      </c>
      <c r="H1303" s="49" t="s">
        <v>4225</v>
      </c>
      <c r="I1303" s="50">
        <v>45812</v>
      </c>
      <c r="M1303" s="49" t="s">
        <v>6747</v>
      </c>
    </row>
    <row r="1304" spans="1:13" x14ac:dyDescent="0.35">
      <c r="A1304" s="49" t="s">
        <v>6748</v>
      </c>
      <c r="C1304" s="49" t="s">
        <v>6749</v>
      </c>
      <c r="D1304" s="49" t="s">
        <v>1264</v>
      </c>
      <c r="E1304" s="49" t="s">
        <v>2785</v>
      </c>
      <c r="F1304" s="49" t="s">
        <v>2805</v>
      </c>
      <c r="G1304" s="49" t="s">
        <v>2921</v>
      </c>
      <c r="H1304" s="49" t="s">
        <v>980</v>
      </c>
      <c r="I1304" s="52">
        <v>45863.5222685185</v>
      </c>
      <c r="J1304" s="50">
        <v>45870</v>
      </c>
      <c r="K1304" s="50">
        <v>46234</v>
      </c>
      <c r="M1304" s="49" t="s">
        <v>6750</v>
      </c>
    </row>
    <row r="1305" spans="1:13" x14ac:dyDescent="0.35">
      <c r="A1305" s="49" t="s">
        <v>6751</v>
      </c>
      <c r="C1305" s="49" t="s">
        <v>6752</v>
      </c>
      <c r="D1305" s="49" t="s">
        <v>1264</v>
      </c>
      <c r="E1305" s="49" t="s">
        <v>2785</v>
      </c>
      <c r="F1305" s="49" t="s">
        <v>2786</v>
      </c>
      <c r="G1305" s="49" t="s">
        <v>4891</v>
      </c>
      <c r="H1305" s="49" t="s">
        <v>8</v>
      </c>
      <c r="I1305" s="52">
        <v>45841.707974536999</v>
      </c>
      <c r="M1305" s="49" t="s">
        <v>6753</v>
      </c>
    </row>
    <row r="1306" spans="1:13" x14ac:dyDescent="0.35">
      <c r="A1306" s="49" t="s">
        <v>6754</v>
      </c>
      <c r="C1306" s="49" t="s">
        <v>6755</v>
      </c>
      <c r="D1306" s="49" t="s">
        <v>1264</v>
      </c>
      <c r="E1306" s="49" t="s">
        <v>2873</v>
      </c>
      <c r="F1306" s="49" t="s">
        <v>2792</v>
      </c>
      <c r="G1306" s="49" t="s">
        <v>2901</v>
      </c>
      <c r="H1306" s="49" t="s">
        <v>980</v>
      </c>
      <c r="I1306" s="52">
        <v>45859.711261574099</v>
      </c>
      <c r="J1306" s="50">
        <v>45957</v>
      </c>
      <c r="K1306" s="50">
        <v>46321</v>
      </c>
      <c r="M1306" s="49" t="s">
        <v>6756</v>
      </c>
    </row>
    <row r="1307" spans="1:13" x14ac:dyDescent="0.35">
      <c r="A1307" s="49" t="s">
        <v>6757</v>
      </c>
      <c r="C1307" s="49" t="s">
        <v>3870</v>
      </c>
      <c r="D1307" s="49" t="s">
        <v>1264</v>
      </c>
      <c r="E1307" s="49" t="s">
        <v>2908</v>
      </c>
      <c r="F1307" s="49" t="s">
        <v>2837</v>
      </c>
      <c r="G1307" s="49" t="s">
        <v>4891</v>
      </c>
      <c r="H1307" s="49" t="s">
        <v>980</v>
      </c>
      <c r="I1307" s="50">
        <v>45714</v>
      </c>
      <c r="M1307" s="49" t="s">
        <v>6758</v>
      </c>
    </row>
    <row r="1308" spans="1:13" x14ac:dyDescent="0.35">
      <c r="A1308" s="49" t="s">
        <v>6759</v>
      </c>
      <c r="B1308" s="49" t="s">
        <v>6760</v>
      </c>
      <c r="C1308" s="49" t="s">
        <v>4970</v>
      </c>
      <c r="D1308" s="49" t="s">
        <v>1264</v>
      </c>
      <c r="E1308" s="49" t="s">
        <v>2785</v>
      </c>
      <c r="F1308" s="49" t="s">
        <v>2786</v>
      </c>
      <c r="G1308" s="49" t="s">
        <v>4891</v>
      </c>
      <c r="H1308" s="49" t="s">
        <v>980</v>
      </c>
      <c r="I1308" s="52">
        <v>45876.622245370403</v>
      </c>
      <c r="M1308" s="49" t="s">
        <v>6761</v>
      </c>
    </row>
    <row r="1309" spans="1:13" x14ac:dyDescent="0.35">
      <c r="A1309" s="49" t="s">
        <v>6762</v>
      </c>
      <c r="B1309" s="49" t="s">
        <v>6763</v>
      </c>
      <c r="C1309" s="49" t="s">
        <v>6764</v>
      </c>
      <c r="D1309" s="49" t="s">
        <v>1264</v>
      </c>
      <c r="E1309" s="49" t="s">
        <v>2785</v>
      </c>
      <c r="F1309" s="49" t="s">
        <v>2805</v>
      </c>
      <c r="G1309" s="49" t="s">
        <v>2901</v>
      </c>
      <c r="H1309" s="49" t="s">
        <v>4225</v>
      </c>
      <c r="I1309" s="52">
        <v>45875.416666666701</v>
      </c>
      <c r="J1309" s="50">
        <v>45995</v>
      </c>
      <c r="K1309" s="50">
        <v>46359</v>
      </c>
      <c r="M1309" s="49" t="s">
        <v>6765</v>
      </c>
    </row>
    <row r="1310" spans="1:13" x14ac:dyDescent="0.35">
      <c r="A1310" s="49" t="s">
        <v>6766</v>
      </c>
      <c r="C1310" s="49" t="s">
        <v>4480</v>
      </c>
      <c r="D1310" s="49" t="s">
        <v>1264</v>
      </c>
      <c r="E1310" s="49" t="s">
        <v>2785</v>
      </c>
      <c r="F1310" s="49" t="s">
        <v>2792</v>
      </c>
      <c r="G1310" s="49" t="s">
        <v>2901</v>
      </c>
      <c r="H1310" s="49" t="s">
        <v>4225</v>
      </c>
      <c r="I1310" s="52">
        <v>45909.636157407404</v>
      </c>
      <c r="J1310" s="50">
        <v>45988</v>
      </c>
      <c r="K1310" s="50">
        <v>46352</v>
      </c>
      <c r="M1310" s="49" t="s">
        <v>6767</v>
      </c>
    </row>
    <row r="1311" spans="1:13" x14ac:dyDescent="0.35">
      <c r="A1311" s="49" t="s">
        <v>6768</v>
      </c>
      <c r="C1311" s="49" t="s">
        <v>4161</v>
      </c>
      <c r="D1311" s="49" t="s">
        <v>1264</v>
      </c>
      <c r="E1311" s="49" t="s">
        <v>2785</v>
      </c>
      <c r="F1311" s="49" t="s">
        <v>2786</v>
      </c>
      <c r="G1311" s="49" t="s">
        <v>2901</v>
      </c>
      <c r="H1311" s="49" t="s">
        <v>2827</v>
      </c>
      <c r="I1311" s="52">
        <v>45910.832534722198</v>
      </c>
      <c r="J1311" s="50">
        <v>45929</v>
      </c>
      <c r="K1311" s="50">
        <v>46293</v>
      </c>
      <c r="M1311" s="49" t="s">
        <v>6769</v>
      </c>
    </row>
    <row r="1312" spans="1:13" x14ac:dyDescent="0.35">
      <c r="A1312" s="49" t="s">
        <v>6770</v>
      </c>
      <c r="C1312" s="49" t="s">
        <v>6771</v>
      </c>
      <c r="D1312" s="49" t="s">
        <v>1264</v>
      </c>
      <c r="E1312" s="49" t="s">
        <v>2873</v>
      </c>
      <c r="F1312" s="49" t="s">
        <v>2786</v>
      </c>
      <c r="G1312" s="49" t="s">
        <v>4891</v>
      </c>
      <c r="H1312" s="49" t="s">
        <v>3207</v>
      </c>
      <c r="I1312" s="52">
        <v>45732.919189814798</v>
      </c>
    </row>
    <row r="1313" spans="1:13" x14ac:dyDescent="0.35">
      <c r="A1313" s="49" t="s">
        <v>6772</v>
      </c>
      <c r="B1313" s="49" t="s">
        <v>4469</v>
      </c>
      <c r="C1313" s="49" t="s">
        <v>6773</v>
      </c>
      <c r="D1313" s="49" t="s">
        <v>1264</v>
      </c>
      <c r="E1313" s="49" t="s">
        <v>2785</v>
      </c>
      <c r="F1313" s="49" t="s">
        <v>2792</v>
      </c>
      <c r="G1313" s="49" t="s">
        <v>2901</v>
      </c>
      <c r="H1313" s="49" t="s">
        <v>8</v>
      </c>
      <c r="I1313" s="52">
        <v>45947.456886574102</v>
      </c>
      <c r="J1313" s="50">
        <v>45959</v>
      </c>
      <c r="K1313" s="50">
        <v>46323</v>
      </c>
      <c r="M1313" s="49" t="s">
        <v>6774</v>
      </c>
    </row>
    <row r="1314" spans="1:13" x14ac:dyDescent="0.35">
      <c r="A1314" s="49" t="s">
        <v>6775</v>
      </c>
      <c r="C1314" s="49" t="s">
        <v>6776</v>
      </c>
      <c r="D1314" s="49" t="s">
        <v>1264</v>
      </c>
      <c r="E1314" s="49" t="s">
        <v>2986</v>
      </c>
      <c r="F1314" s="49" t="s">
        <v>2825</v>
      </c>
      <c r="G1314" s="49" t="s">
        <v>4891</v>
      </c>
      <c r="H1314" s="49" t="s">
        <v>2827</v>
      </c>
      <c r="I1314" s="52">
        <v>45951.5082638889</v>
      </c>
      <c r="M1314" s="49" t="s">
        <v>6777</v>
      </c>
    </row>
    <row r="1315" spans="1:13" x14ac:dyDescent="0.35">
      <c r="A1315" s="49" t="s">
        <v>6778</v>
      </c>
      <c r="C1315" s="49" t="s">
        <v>6779</v>
      </c>
      <c r="D1315" s="49" t="s">
        <v>1264</v>
      </c>
      <c r="E1315" s="49" t="s">
        <v>2785</v>
      </c>
      <c r="F1315" s="49" t="s">
        <v>2792</v>
      </c>
      <c r="G1315" s="49" t="s">
        <v>2901</v>
      </c>
      <c r="H1315" s="49" t="s">
        <v>980</v>
      </c>
      <c r="I1315" s="52">
        <v>45940.499976851897</v>
      </c>
      <c r="J1315" s="50">
        <v>46013</v>
      </c>
      <c r="K1315" s="50">
        <v>46377</v>
      </c>
      <c r="M1315" s="49" t="s">
        <v>6780</v>
      </c>
    </row>
    <row r="1316" spans="1:13" x14ac:dyDescent="0.35">
      <c r="A1316" s="49" t="s">
        <v>6781</v>
      </c>
      <c r="C1316" s="49" t="s">
        <v>6782</v>
      </c>
      <c r="D1316" s="49" t="s">
        <v>1264</v>
      </c>
      <c r="E1316" s="49" t="s">
        <v>2785</v>
      </c>
      <c r="F1316" s="49" t="s">
        <v>2792</v>
      </c>
      <c r="G1316" s="49" t="s">
        <v>2901</v>
      </c>
      <c r="H1316" s="49" t="s">
        <v>980</v>
      </c>
      <c r="I1316" s="52">
        <v>45940.557187500002</v>
      </c>
      <c r="J1316" s="50">
        <v>46013</v>
      </c>
      <c r="K1316" s="50">
        <v>46377</v>
      </c>
      <c r="M1316" s="49" t="s">
        <v>6783</v>
      </c>
    </row>
    <row r="1317" spans="1:13" x14ac:dyDescent="0.35">
      <c r="A1317" s="49" t="s">
        <v>6784</v>
      </c>
      <c r="C1317" s="49" t="s">
        <v>6782</v>
      </c>
      <c r="D1317" s="49" t="s">
        <v>1264</v>
      </c>
      <c r="E1317" s="49" t="s">
        <v>2785</v>
      </c>
      <c r="F1317" s="49" t="s">
        <v>2792</v>
      </c>
      <c r="G1317" s="49" t="s">
        <v>2901</v>
      </c>
      <c r="H1317" s="49" t="s">
        <v>980</v>
      </c>
      <c r="I1317" s="52">
        <v>45940.580578703702</v>
      </c>
      <c r="J1317" s="50">
        <v>46013</v>
      </c>
      <c r="K1317" s="50">
        <v>46377</v>
      </c>
      <c r="M1317" s="49" t="s">
        <v>6785</v>
      </c>
    </row>
    <row r="1318" spans="1:13" x14ac:dyDescent="0.35">
      <c r="A1318" s="49" t="s">
        <v>6786</v>
      </c>
      <c r="C1318" s="49" t="s">
        <v>6782</v>
      </c>
      <c r="D1318" s="49" t="s">
        <v>1264</v>
      </c>
      <c r="E1318" s="49" t="s">
        <v>2785</v>
      </c>
      <c r="F1318" s="49" t="s">
        <v>2792</v>
      </c>
      <c r="G1318" s="49" t="s">
        <v>2901</v>
      </c>
      <c r="H1318" s="49" t="s">
        <v>980</v>
      </c>
      <c r="I1318" s="52">
        <v>45940.635891203703</v>
      </c>
      <c r="J1318" s="50">
        <v>45978</v>
      </c>
      <c r="K1318" s="50">
        <v>46342</v>
      </c>
      <c r="M1318" s="49" t="s">
        <v>6787</v>
      </c>
    </row>
    <row r="1319" spans="1:13" x14ac:dyDescent="0.35">
      <c r="A1319" s="49" t="s">
        <v>6788</v>
      </c>
      <c r="C1319" s="49" t="s">
        <v>6782</v>
      </c>
      <c r="D1319" s="49" t="s">
        <v>1264</v>
      </c>
      <c r="E1319" s="49" t="s">
        <v>2785</v>
      </c>
      <c r="F1319" s="49" t="s">
        <v>2786</v>
      </c>
      <c r="G1319" s="49" t="s">
        <v>2901</v>
      </c>
      <c r="H1319" s="49" t="s">
        <v>8</v>
      </c>
      <c r="I1319" s="52">
        <v>45940.651875000003</v>
      </c>
      <c r="J1319" s="50">
        <v>45978</v>
      </c>
      <c r="K1319" s="50">
        <v>46342</v>
      </c>
      <c r="M1319" s="49" t="s">
        <v>6789</v>
      </c>
    </row>
    <row r="1320" spans="1:13" x14ac:dyDescent="0.35">
      <c r="A1320" s="49" t="s">
        <v>6790</v>
      </c>
      <c r="B1320" s="49" t="s">
        <v>6791</v>
      </c>
      <c r="C1320" s="49" t="s">
        <v>6792</v>
      </c>
      <c r="D1320" s="49" t="s">
        <v>1264</v>
      </c>
      <c r="E1320" s="49" t="s">
        <v>2785</v>
      </c>
      <c r="F1320" s="49" t="s">
        <v>2792</v>
      </c>
      <c r="G1320" s="49" t="s">
        <v>2901</v>
      </c>
      <c r="H1320" s="49" t="s">
        <v>857</v>
      </c>
      <c r="I1320" s="52">
        <v>45960.42</v>
      </c>
      <c r="J1320" s="50">
        <v>45985</v>
      </c>
      <c r="K1320" s="50">
        <v>46349</v>
      </c>
      <c r="M1320" s="49" t="s">
        <v>6793</v>
      </c>
    </row>
    <row r="1321" spans="1:13" x14ac:dyDescent="0.35">
      <c r="A1321" s="49" t="s">
        <v>6794</v>
      </c>
      <c r="C1321" s="49" t="s">
        <v>6723</v>
      </c>
      <c r="D1321" s="49" t="s">
        <v>1264</v>
      </c>
      <c r="E1321" s="49" t="s">
        <v>2785</v>
      </c>
      <c r="F1321" s="49" t="s">
        <v>2792</v>
      </c>
      <c r="G1321" s="49" t="s">
        <v>2901</v>
      </c>
      <c r="H1321" s="49" t="s">
        <v>8</v>
      </c>
      <c r="I1321" s="52">
        <v>45972.6425578704</v>
      </c>
      <c r="J1321" s="50">
        <v>45989</v>
      </c>
      <c r="K1321" s="50">
        <v>46353</v>
      </c>
      <c r="M1321" s="49" t="s">
        <v>6795</v>
      </c>
    </row>
    <row r="1322" spans="1:13" x14ac:dyDescent="0.35">
      <c r="A1322" s="49" t="s">
        <v>6796</v>
      </c>
      <c r="C1322" s="49" t="s">
        <v>5290</v>
      </c>
      <c r="D1322" s="49" t="s">
        <v>1264</v>
      </c>
      <c r="E1322" s="49" t="s">
        <v>2785</v>
      </c>
      <c r="F1322" s="49" t="s">
        <v>4611</v>
      </c>
      <c r="G1322" s="49" t="s">
        <v>4891</v>
      </c>
      <c r="H1322" s="49" t="s">
        <v>980</v>
      </c>
      <c r="I1322" s="52">
        <v>45973.449664351901</v>
      </c>
      <c r="M1322" s="49" t="s">
        <v>6797</v>
      </c>
    </row>
    <row r="1323" spans="1:13" x14ac:dyDescent="0.35">
      <c r="A1323" s="49" t="s">
        <v>6798</v>
      </c>
      <c r="C1323" s="49" t="s">
        <v>3348</v>
      </c>
      <c r="D1323" s="49" t="s">
        <v>1264</v>
      </c>
      <c r="E1323" s="49" t="s">
        <v>2814</v>
      </c>
      <c r="F1323" s="49" t="s">
        <v>2900</v>
      </c>
      <c r="G1323" s="49" t="s">
        <v>2901</v>
      </c>
      <c r="H1323" s="49" t="s">
        <v>2832</v>
      </c>
      <c r="I1323" s="52">
        <v>45973.532002314802</v>
      </c>
      <c r="J1323" s="50">
        <v>46113</v>
      </c>
      <c r="K1323" s="50">
        <v>46295</v>
      </c>
      <c r="M1323" s="49" t="s">
        <v>6799</v>
      </c>
    </row>
    <row r="1324" spans="1:13" x14ac:dyDescent="0.35">
      <c r="A1324" s="49" t="s">
        <v>6800</v>
      </c>
      <c r="C1324" s="49" t="s">
        <v>6801</v>
      </c>
      <c r="D1324" s="49" t="s">
        <v>1264</v>
      </c>
      <c r="E1324" s="49" t="s">
        <v>2785</v>
      </c>
      <c r="F1324" s="49" t="s">
        <v>2786</v>
      </c>
      <c r="G1324" s="49" t="s">
        <v>2901</v>
      </c>
      <c r="H1324" s="49" t="s">
        <v>3717</v>
      </c>
      <c r="I1324" s="52">
        <v>45974.450717592597</v>
      </c>
      <c r="J1324" s="50">
        <v>46013</v>
      </c>
      <c r="K1324" s="50">
        <v>46377</v>
      </c>
      <c r="M1324" s="49" t="s">
        <v>6802</v>
      </c>
    </row>
    <row r="1325" spans="1:13" x14ac:dyDescent="0.35">
      <c r="A1325" s="49" t="s">
        <v>6803</v>
      </c>
      <c r="C1325" s="49" t="s">
        <v>6804</v>
      </c>
      <c r="D1325" s="49" t="s">
        <v>1264</v>
      </c>
      <c r="E1325" s="49" t="s">
        <v>2785</v>
      </c>
      <c r="F1325" s="49" t="s">
        <v>2792</v>
      </c>
      <c r="G1325" s="49" t="s">
        <v>2901</v>
      </c>
      <c r="H1325" s="49" t="s">
        <v>980</v>
      </c>
      <c r="I1325" s="52">
        <v>45973.574976851902</v>
      </c>
      <c r="J1325" s="50">
        <v>46013</v>
      </c>
      <c r="K1325" s="50">
        <v>46377</v>
      </c>
      <c r="M1325" s="49" t="s">
        <v>6805</v>
      </c>
    </row>
    <row r="1326" spans="1:13" x14ac:dyDescent="0.35">
      <c r="A1326" s="49" t="s">
        <v>6806</v>
      </c>
      <c r="B1326" s="49" t="s">
        <v>6807</v>
      </c>
      <c r="C1326" s="49" t="s">
        <v>6792</v>
      </c>
      <c r="D1326" s="49" t="s">
        <v>1264</v>
      </c>
      <c r="E1326" s="49" t="s">
        <v>2785</v>
      </c>
      <c r="F1326" s="49" t="s">
        <v>2792</v>
      </c>
      <c r="G1326" s="49" t="s">
        <v>4330</v>
      </c>
      <c r="H1326" s="49" t="s">
        <v>857</v>
      </c>
      <c r="I1326" s="52">
        <v>45975.414502314801</v>
      </c>
      <c r="M1326" s="49" t="s">
        <v>6808</v>
      </c>
    </row>
    <row r="1327" spans="1:13" x14ac:dyDescent="0.35">
      <c r="A1327" s="49" t="s">
        <v>6809</v>
      </c>
      <c r="B1327" s="49" t="s">
        <v>6810</v>
      </c>
      <c r="C1327" s="49" t="s">
        <v>6811</v>
      </c>
      <c r="D1327" s="49" t="s">
        <v>1264</v>
      </c>
      <c r="E1327" s="49" t="s">
        <v>2873</v>
      </c>
      <c r="F1327" s="49" t="s">
        <v>2792</v>
      </c>
      <c r="G1327" s="49" t="s">
        <v>2901</v>
      </c>
      <c r="H1327" s="49" t="s">
        <v>3229</v>
      </c>
      <c r="I1327" s="52">
        <v>45978.556203703702</v>
      </c>
      <c r="J1327" s="50">
        <v>46014</v>
      </c>
      <c r="K1327" s="50">
        <v>46378</v>
      </c>
      <c r="M1327" s="49" t="s">
        <v>6812</v>
      </c>
    </row>
    <row r="1328" spans="1:13" x14ac:dyDescent="0.35">
      <c r="A1328" s="49" t="s">
        <v>6813</v>
      </c>
      <c r="B1328" s="49" t="s">
        <v>6814</v>
      </c>
      <c r="C1328" s="49" t="s">
        <v>4922</v>
      </c>
      <c r="D1328" s="49" t="s">
        <v>1264</v>
      </c>
      <c r="E1328" s="49" t="s">
        <v>2785</v>
      </c>
      <c r="F1328" s="49" t="s">
        <v>2792</v>
      </c>
      <c r="G1328" s="49" t="s">
        <v>2901</v>
      </c>
      <c r="H1328" s="49" t="s">
        <v>835</v>
      </c>
      <c r="I1328" s="52">
        <v>45999.658217592601</v>
      </c>
      <c r="J1328" s="50">
        <v>46014</v>
      </c>
      <c r="K1328" s="50">
        <v>46378</v>
      </c>
      <c r="M1328" s="49" t="s">
        <v>6815</v>
      </c>
    </row>
    <row r="1329" spans="1:13" x14ac:dyDescent="0.35">
      <c r="A1329" s="49" t="s">
        <v>6816</v>
      </c>
      <c r="C1329" s="49" t="s">
        <v>5290</v>
      </c>
      <c r="D1329" s="49" t="s">
        <v>1264</v>
      </c>
      <c r="E1329" s="49" t="s">
        <v>2785</v>
      </c>
      <c r="F1329" s="49" t="s">
        <v>2805</v>
      </c>
      <c r="G1329" s="49" t="s">
        <v>2901</v>
      </c>
      <c r="H1329" s="49" t="s">
        <v>864</v>
      </c>
      <c r="I1329" s="52">
        <v>46010.428263888898</v>
      </c>
      <c r="J1329" s="50">
        <v>46014</v>
      </c>
      <c r="K1329" s="50">
        <v>46378</v>
      </c>
      <c r="M1329" s="49" t="s">
        <v>6817</v>
      </c>
    </row>
    <row r="1330" spans="1:13" x14ac:dyDescent="0.35">
      <c r="A1330" s="49" t="s">
        <v>6818</v>
      </c>
      <c r="C1330" s="49" t="s">
        <v>6819</v>
      </c>
      <c r="D1330" s="49" t="s">
        <v>1264</v>
      </c>
      <c r="E1330" s="49" t="s">
        <v>4901</v>
      </c>
      <c r="F1330" s="49" t="s">
        <v>2825</v>
      </c>
      <c r="G1330" s="49" t="s">
        <v>2901</v>
      </c>
      <c r="H1330" s="49" t="s">
        <v>2827</v>
      </c>
      <c r="I1330" s="52">
        <v>46034.473576388897</v>
      </c>
      <c r="J1330" s="50">
        <v>46034</v>
      </c>
      <c r="K1330" s="50">
        <v>47129</v>
      </c>
      <c r="M1330" s="49" t="s">
        <v>6820</v>
      </c>
    </row>
    <row r="1331" spans="1:13" x14ac:dyDescent="0.35">
      <c r="A1331" s="49" t="s">
        <v>6821</v>
      </c>
      <c r="B1331" s="49" t="s">
        <v>3593</v>
      </c>
      <c r="C1331" s="49" t="s">
        <v>3280</v>
      </c>
      <c r="D1331" s="49" t="s">
        <v>1264</v>
      </c>
      <c r="E1331" s="49" t="s">
        <v>4901</v>
      </c>
      <c r="F1331" s="49" t="s">
        <v>2825</v>
      </c>
      <c r="G1331" s="49" t="s">
        <v>2901</v>
      </c>
      <c r="H1331" s="49" t="s">
        <v>2827</v>
      </c>
      <c r="I1331" s="52">
        <v>46038.510289351798</v>
      </c>
      <c r="J1331" s="50">
        <v>46038</v>
      </c>
      <c r="K1331" s="50">
        <v>47133</v>
      </c>
      <c r="M1331" s="49" t="s">
        <v>6822</v>
      </c>
    </row>
    <row r="1332" spans="1:13" x14ac:dyDescent="0.35">
      <c r="A1332" s="49" t="s">
        <v>6823</v>
      </c>
      <c r="C1332" s="49" t="s">
        <v>3280</v>
      </c>
      <c r="D1332" s="49" t="s">
        <v>1264</v>
      </c>
      <c r="E1332" s="49" t="s">
        <v>4901</v>
      </c>
      <c r="F1332" s="49" t="s">
        <v>2825</v>
      </c>
      <c r="G1332" s="49" t="s">
        <v>2901</v>
      </c>
      <c r="H1332" s="49" t="s">
        <v>2827</v>
      </c>
      <c r="I1332" s="52">
        <v>46044.502025463</v>
      </c>
      <c r="J1332" s="50">
        <v>46044</v>
      </c>
      <c r="K1332" s="50">
        <v>47139</v>
      </c>
      <c r="M1332" s="49" t="s">
        <v>6824</v>
      </c>
    </row>
    <row r="1333" spans="1:13" x14ac:dyDescent="0.35">
      <c r="A1333" s="49" t="s">
        <v>6825</v>
      </c>
      <c r="C1333" s="49" t="s">
        <v>3280</v>
      </c>
      <c r="D1333" s="49" t="s">
        <v>1264</v>
      </c>
      <c r="E1333" s="49" t="s">
        <v>4901</v>
      </c>
      <c r="F1333" s="49" t="s">
        <v>2825</v>
      </c>
      <c r="G1333" s="49" t="s">
        <v>2901</v>
      </c>
      <c r="H1333" s="49" t="s">
        <v>2827</v>
      </c>
      <c r="I1333" s="52">
        <v>46045.644687499997</v>
      </c>
      <c r="J1333" s="50">
        <v>46045</v>
      </c>
      <c r="K1333" s="50">
        <v>47140</v>
      </c>
      <c r="M1333" s="49" t="s">
        <v>6826</v>
      </c>
    </row>
    <row r="1334" spans="1:13" x14ac:dyDescent="0.35">
      <c r="A1334" s="49" t="s">
        <v>6827</v>
      </c>
      <c r="C1334" s="49" t="s">
        <v>4970</v>
      </c>
      <c r="D1334" s="49" t="s">
        <v>1264</v>
      </c>
      <c r="E1334" s="49" t="s">
        <v>2785</v>
      </c>
      <c r="F1334" s="49" t="s">
        <v>2792</v>
      </c>
      <c r="G1334" s="49" t="s">
        <v>2901</v>
      </c>
      <c r="H1334" s="49" t="s">
        <v>980</v>
      </c>
      <c r="I1334" s="52">
        <v>45850.397592592599</v>
      </c>
      <c r="J1334" s="50">
        <v>45957</v>
      </c>
      <c r="K1334" s="50">
        <v>46321</v>
      </c>
      <c r="M1334" s="49" t="s">
        <v>6828</v>
      </c>
    </row>
    <row r="1335" spans="1:13" x14ac:dyDescent="0.35">
      <c r="A1335" s="49" t="s">
        <v>6829</v>
      </c>
      <c r="C1335" s="49" t="s">
        <v>6830</v>
      </c>
      <c r="D1335" s="49" t="s">
        <v>1264</v>
      </c>
      <c r="E1335" s="49" t="s">
        <v>2785</v>
      </c>
      <c r="F1335" s="49" t="s">
        <v>2792</v>
      </c>
      <c r="G1335" s="49" t="s">
        <v>2901</v>
      </c>
      <c r="H1335" s="49" t="s">
        <v>980</v>
      </c>
      <c r="I1335" s="52">
        <v>45821.470891203702</v>
      </c>
      <c r="J1335" s="50">
        <v>45957</v>
      </c>
      <c r="K1335" s="50">
        <v>46321</v>
      </c>
      <c r="M1335" s="49" t="s">
        <v>6831</v>
      </c>
    </row>
    <row r="1336" spans="1:13" x14ac:dyDescent="0.35">
      <c r="A1336" s="49" t="s">
        <v>6832</v>
      </c>
      <c r="C1336" s="49" t="s">
        <v>3417</v>
      </c>
      <c r="D1336" s="49" t="s">
        <v>1264</v>
      </c>
      <c r="E1336" s="49" t="s">
        <v>2814</v>
      </c>
      <c r="F1336" s="49" t="s">
        <v>2825</v>
      </c>
      <c r="G1336" s="49" t="s">
        <v>2901</v>
      </c>
      <c r="H1336" s="49" t="s">
        <v>2827</v>
      </c>
      <c r="I1336" s="52">
        <v>45834.778321759302</v>
      </c>
      <c r="J1336" s="50">
        <v>45999</v>
      </c>
      <c r="K1336" s="50">
        <v>46180</v>
      </c>
      <c r="M1336" s="49" t="s">
        <v>6833</v>
      </c>
    </row>
    <row r="1337" spans="1:13" x14ac:dyDescent="0.35">
      <c r="A1337" s="49" t="s">
        <v>6834</v>
      </c>
      <c r="B1337" s="49" t="s">
        <v>6835</v>
      </c>
      <c r="C1337" s="49" t="s">
        <v>6836</v>
      </c>
      <c r="D1337" s="49" t="s">
        <v>1264</v>
      </c>
      <c r="E1337" s="49" t="s">
        <v>2873</v>
      </c>
      <c r="F1337" s="49" t="s">
        <v>2792</v>
      </c>
      <c r="G1337" s="49" t="s">
        <v>2901</v>
      </c>
      <c r="H1337" s="49" t="s">
        <v>2806</v>
      </c>
      <c r="I1337" s="52">
        <v>45912.491759259297</v>
      </c>
      <c r="J1337" s="50">
        <v>45946</v>
      </c>
      <c r="K1337" s="50">
        <v>46310</v>
      </c>
      <c r="M1337" s="49" t="s">
        <v>6837</v>
      </c>
    </row>
    <row r="1338" spans="1:13" x14ac:dyDescent="0.35">
      <c r="A1338" s="49" t="s">
        <v>6838</v>
      </c>
      <c r="B1338" s="49" t="s">
        <v>6839</v>
      </c>
      <c r="C1338" s="49" t="s">
        <v>6836</v>
      </c>
      <c r="D1338" s="49" t="s">
        <v>1264</v>
      </c>
      <c r="E1338" s="49" t="s">
        <v>2873</v>
      </c>
      <c r="F1338" s="49" t="s">
        <v>2792</v>
      </c>
      <c r="G1338" s="49" t="s">
        <v>2901</v>
      </c>
      <c r="H1338" s="49" t="s">
        <v>2806</v>
      </c>
      <c r="I1338" s="52">
        <v>45912.587800925903</v>
      </c>
      <c r="J1338" s="50">
        <v>45946</v>
      </c>
      <c r="K1338" s="50">
        <v>46310</v>
      </c>
      <c r="M1338" s="49" t="s">
        <v>6840</v>
      </c>
    </row>
    <row r="1339" spans="1:13" x14ac:dyDescent="0.35">
      <c r="A1339" s="49" t="s">
        <v>6841</v>
      </c>
      <c r="B1339" s="49" t="s">
        <v>6842</v>
      </c>
      <c r="C1339" s="49" t="s">
        <v>6811</v>
      </c>
      <c r="D1339" s="49" t="s">
        <v>1264</v>
      </c>
      <c r="E1339" s="49" t="s">
        <v>2873</v>
      </c>
      <c r="F1339" s="49" t="s">
        <v>2792</v>
      </c>
      <c r="G1339" s="49" t="s">
        <v>2901</v>
      </c>
      <c r="H1339" s="49" t="s">
        <v>3229</v>
      </c>
      <c r="I1339" s="52">
        <v>45978.571701388901</v>
      </c>
      <c r="J1339" s="50">
        <v>46014</v>
      </c>
      <c r="K1339" s="50">
        <v>46378</v>
      </c>
      <c r="M1339" s="49" t="s">
        <v>6843</v>
      </c>
    </row>
    <row r="1340" spans="1:13" x14ac:dyDescent="0.35">
      <c r="A1340" s="49" t="s">
        <v>6844</v>
      </c>
      <c r="C1340" s="49" t="s">
        <v>6819</v>
      </c>
      <c r="D1340" s="49" t="s">
        <v>1264</v>
      </c>
      <c r="E1340" s="49" t="s">
        <v>4901</v>
      </c>
      <c r="F1340" s="49" t="s">
        <v>2825</v>
      </c>
      <c r="G1340" s="49" t="s">
        <v>2901</v>
      </c>
      <c r="I1340" s="52">
        <v>46055.838078703702</v>
      </c>
      <c r="J1340" s="50">
        <v>46055</v>
      </c>
      <c r="K1340" s="50">
        <v>47150</v>
      </c>
      <c r="M1340" s="49" t="s">
        <v>6845</v>
      </c>
    </row>
    <row r="1341" spans="1:13" x14ac:dyDescent="0.35">
      <c r="A1341" s="49" t="s">
        <v>6846</v>
      </c>
      <c r="C1341" s="49" t="s">
        <v>6847</v>
      </c>
      <c r="D1341" s="49" t="s">
        <v>1264</v>
      </c>
      <c r="E1341" s="49" t="s">
        <v>2873</v>
      </c>
      <c r="F1341" s="49" t="s">
        <v>2792</v>
      </c>
      <c r="G1341" s="49" t="s">
        <v>2901</v>
      </c>
      <c r="H1341" s="49" t="s">
        <v>3229</v>
      </c>
      <c r="I1341" s="52">
        <v>46069.381053240701</v>
      </c>
      <c r="J1341" s="50">
        <v>45929</v>
      </c>
      <c r="K1341" s="50">
        <v>46293</v>
      </c>
      <c r="M1341" s="49" t="s">
        <v>6848</v>
      </c>
    </row>
    <row r="1342" spans="1:13" x14ac:dyDescent="0.35">
      <c r="A1342" s="49" t="s">
        <v>6849</v>
      </c>
      <c r="C1342" s="49" t="s">
        <v>3280</v>
      </c>
      <c r="D1342" s="49" t="s">
        <v>1264</v>
      </c>
      <c r="E1342" s="49" t="s">
        <v>4901</v>
      </c>
      <c r="F1342" s="49" t="s">
        <v>2825</v>
      </c>
      <c r="G1342" s="49" t="s">
        <v>2901</v>
      </c>
      <c r="H1342" s="49" t="s">
        <v>2827</v>
      </c>
      <c r="I1342" s="52">
        <v>46098.655624999999</v>
      </c>
      <c r="J1342" s="50">
        <v>46098</v>
      </c>
      <c r="K1342" s="50">
        <v>47193</v>
      </c>
      <c r="M1342" s="49" t="s">
        <v>6850</v>
      </c>
    </row>
    <row r="1343" spans="1:13" x14ac:dyDescent="0.35">
      <c r="A1343" s="49" t="s">
        <v>6851</v>
      </c>
      <c r="B1343" s="49" t="s">
        <v>6852</v>
      </c>
      <c r="C1343" s="49" t="s">
        <v>6170</v>
      </c>
      <c r="D1343" s="49" t="s">
        <v>1264</v>
      </c>
      <c r="E1343" s="49" t="s">
        <v>2785</v>
      </c>
      <c r="F1343" s="49" t="s">
        <v>2805</v>
      </c>
      <c r="G1343" s="49" t="s">
        <v>4891</v>
      </c>
      <c r="H1343" s="49" t="s">
        <v>2832</v>
      </c>
      <c r="I1343" s="52">
        <v>46114.445601851898</v>
      </c>
      <c r="M1343" s="49" t="s">
        <v>6149</v>
      </c>
    </row>
    <row r="1344" spans="1:13" x14ac:dyDescent="0.35">
      <c r="A1344" s="49" t="s">
        <v>6853</v>
      </c>
      <c r="B1344" s="49" t="s">
        <v>6854</v>
      </c>
      <c r="C1344" s="49" t="s">
        <v>6855</v>
      </c>
      <c r="D1344" s="49" t="s">
        <v>1264</v>
      </c>
      <c r="E1344" s="49" t="s">
        <v>2785</v>
      </c>
      <c r="F1344" s="49" t="s">
        <v>2792</v>
      </c>
      <c r="G1344" s="49" t="s">
        <v>4891</v>
      </c>
      <c r="H1344" s="49" t="s">
        <v>857</v>
      </c>
      <c r="I1344" s="52">
        <v>46114.501851851899</v>
      </c>
      <c r="M1344" s="49" t="s">
        <v>6856</v>
      </c>
    </row>
    <row r="1345" spans="1:13" x14ac:dyDescent="0.35">
      <c r="A1345" s="49" t="s">
        <v>6857</v>
      </c>
      <c r="C1345" s="49" t="s">
        <v>6858</v>
      </c>
      <c r="D1345" s="49" t="s">
        <v>1264</v>
      </c>
      <c r="E1345" s="49" t="s">
        <v>2785</v>
      </c>
      <c r="F1345" s="49" t="s">
        <v>2786</v>
      </c>
      <c r="G1345" s="49" t="s">
        <v>2901</v>
      </c>
      <c r="H1345" s="49" t="s">
        <v>980</v>
      </c>
      <c r="I1345" s="50">
        <v>45650</v>
      </c>
      <c r="J1345" s="50">
        <v>45835</v>
      </c>
      <c r="K1345" s="50">
        <v>46199</v>
      </c>
      <c r="M1345" s="49" t="s">
        <v>6859</v>
      </c>
    </row>
    <row r="1346" spans="1:13" x14ac:dyDescent="0.35">
      <c r="A1346" s="49" t="s">
        <v>6860</v>
      </c>
      <c r="C1346" s="49" t="s">
        <v>5960</v>
      </c>
      <c r="D1346" s="49" t="s">
        <v>1264</v>
      </c>
      <c r="E1346" s="49" t="s">
        <v>2785</v>
      </c>
      <c r="F1346" s="49" t="s">
        <v>2792</v>
      </c>
      <c r="G1346" s="49" t="s">
        <v>2901</v>
      </c>
      <c r="H1346" s="49" t="s">
        <v>835</v>
      </c>
      <c r="I1346" s="50">
        <v>45825</v>
      </c>
      <c r="J1346" s="50">
        <v>45826</v>
      </c>
      <c r="K1346" s="50">
        <v>46190</v>
      </c>
      <c r="M1346" s="49" t="s">
        <v>6861</v>
      </c>
    </row>
    <row r="1347" spans="1:13" x14ac:dyDescent="0.35">
      <c r="A1347" s="49" t="s">
        <v>6862</v>
      </c>
      <c r="C1347" s="49" t="s">
        <v>6863</v>
      </c>
      <c r="D1347" s="49" t="s">
        <v>1264</v>
      </c>
      <c r="E1347" s="49" t="s">
        <v>2873</v>
      </c>
      <c r="F1347" s="49" t="s">
        <v>2792</v>
      </c>
      <c r="G1347" s="49" t="s">
        <v>2901</v>
      </c>
      <c r="H1347" s="49" t="s">
        <v>864</v>
      </c>
      <c r="I1347" s="50">
        <v>45825</v>
      </c>
      <c r="J1347" s="50">
        <v>45826</v>
      </c>
      <c r="K1347" s="50">
        <v>46190</v>
      </c>
      <c r="M1347" s="49" t="s">
        <v>6864</v>
      </c>
    </row>
    <row r="1348" spans="1:13" x14ac:dyDescent="0.35">
      <c r="A1348" s="49" t="s">
        <v>6865</v>
      </c>
      <c r="C1348" s="49" t="s">
        <v>6866</v>
      </c>
      <c r="D1348" s="49" t="s">
        <v>1264</v>
      </c>
      <c r="E1348" s="49" t="s">
        <v>2785</v>
      </c>
      <c r="F1348" s="49" t="s">
        <v>2792</v>
      </c>
      <c r="G1348" s="49" t="s">
        <v>2901</v>
      </c>
      <c r="H1348" s="49" t="s">
        <v>980</v>
      </c>
      <c r="I1348" s="52">
        <v>45971.6219444444</v>
      </c>
      <c r="J1348" s="50">
        <v>45987</v>
      </c>
      <c r="K1348" s="50">
        <v>46351</v>
      </c>
      <c r="M1348" s="49" t="s">
        <v>6867</v>
      </c>
    </row>
    <row r="1349" spans="1:13" x14ac:dyDescent="0.35">
      <c r="A1349" s="49" t="s">
        <v>6868</v>
      </c>
      <c r="C1349" s="49" t="s">
        <v>6869</v>
      </c>
      <c r="D1349" s="49" t="s">
        <v>1264</v>
      </c>
      <c r="E1349" s="49" t="s">
        <v>2785</v>
      </c>
      <c r="F1349" s="49" t="s">
        <v>2792</v>
      </c>
      <c r="G1349" s="49" t="s">
        <v>2901</v>
      </c>
      <c r="H1349" s="49" t="s">
        <v>835</v>
      </c>
      <c r="I1349" s="52">
        <v>45999.676689814798</v>
      </c>
      <c r="J1349" s="50">
        <v>46014</v>
      </c>
      <c r="K1349" s="50">
        <v>46378</v>
      </c>
      <c r="M1349" s="49" t="s">
        <v>6870</v>
      </c>
    </row>
    <row r="1350" spans="1:13" x14ac:dyDescent="0.35">
      <c r="A1350" s="49" t="s">
        <v>6871</v>
      </c>
      <c r="C1350" s="49" t="s">
        <v>5017</v>
      </c>
      <c r="D1350" s="49" t="s">
        <v>1264</v>
      </c>
      <c r="E1350" s="49" t="s">
        <v>2785</v>
      </c>
      <c r="F1350" s="49" t="s">
        <v>2786</v>
      </c>
      <c r="G1350" s="49" t="s">
        <v>2901</v>
      </c>
      <c r="H1350" s="49" t="s">
        <v>980</v>
      </c>
      <c r="I1350" s="52">
        <v>45960.553506944401</v>
      </c>
      <c r="J1350" s="50">
        <v>46002</v>
      </c>
      <c r="K1350" s="50">
        <v>46366</v>
      </c>
      <c r="M1350" s="49" t="s">
        <v>6872</v>
      </c>
    </row>
    <row r="1351" spans="1:13" x14ac:dyDescent="0.35">
      <c r="A1351" s="49" t="s">
        <v>6873</v>
      </c>
      <c r="C1351" s="49" t="s">
        <v>5017</v>
      </c>
      <c r="D1351" s="49" t="s">
        <v>1264</v>
      </c>
      <c r="E1351" s="49" t="s">
        <v>2785</v>
      </c>
      <c r="F1351" s="49" t="s">
        <v>2786</v>
      </c>
      <c r="G1351" s="49" t="s">
        <v>2901</v>
      </c>
      <c r="H1351" s="49" t="s">
        <v>980</v>
      </c>
      <c r="I1351" s="52">
        <v>45960.493518518502</v>
      </c>
      <c r="J1351" s="50">
        <v>46002</v>
      </c>
      <c r="K1351" s="50">
        <v>46366</v>
      </c>
      <c r="M1351" s="49" t="s">
        <v>6874</v>
      </c>
    </row>
    <row r="1352" spans="1:13" x14ac:dyDescent="0.35">
      <c r="A1352" s="49" t="s">
        <v>6875</v>
      </c>
      <c r="C1352" s="49" t="s">
        <v>6876</v>
      </c>
      <c r="D1352" s="49" t="s">
        <v>1264</v>
      </c>
      <c r="E1352" s="49" t="s">
        <v>2814</v>
      </c>
      <c r="F1352" s="49" t="s">
        <v>2837</v>
      </c>
      <c r="G1352" s="49" t="s">
        <v>2901</v>
      </c>
      <c r="H1352" s="49" t="s">
        <v>980</v>
      </c>
      <c r="I1352" s="52">
        <v>45834.6475810185</v>
      </c>
      <c r="J1352" s="50">
        <v>45835</v>
      </c>
      <c r="K1352" s="50">
        <v>46017</v>
      </c>
      <c r="M1352" s="49" t="s">
        <v>6877</v>
      </c>
    </row>
    <row r="1353" spans="1:13" x14ac:dyDescent="0.35">
      <c r="A1353" s="49" t="s">
        <v>6878</v>
      </c>
      <c r="B1353" s="49" t="s">
        <v>4231</v>
      </c>
      <c r="C1353" s="49" t="s">
        <v>4161</v>
      </c>
      <c r="D1353" s="49" t="s">
        <v>1264</v>
      </c>
      <c r="E1353" s="49" t="s">
        <v>2785</v>
      </c>
      <c r="F1353" s="49" t="s">
        <v>2786</v>
      </c>
      <c r="G1353" s="49" t="s">
        <v>2901</v>
      </c>
      <c r="H1353" s="49" t="s">
        <v>2827</v>
      </c>
      <c r="I1353" s="52">
        <v>45901.674872685202</v>
      </c>
      <c r="J1353" s="50">
        <v>45929</v>
      </c>
      <c r="K1353" s="50">
        <v>46293</v>
      </c>
      <c r="M1353" s="49" t="s">
        <v>6879</v>
      </c>
    </row>
    <row r="1354" spans="1:13" x14ac:dyDescent="0.35">
      <c r="A1354" s="49" t="s">
        <v>6880</v>
      </c>
      <c r="B1354" s="49" t="s">
        <v>6881</v>
      </c>
      <c r="C1354" s="49" t="s">
        <v>2981</v>
      </c>
      <c r="D1354" s="49" t="s">
        <v>1264</v>
      </c>
      <c r="E1354" s="49" t="s">
        <v>2785</v>
      </c>
      <c r="F1354" s="49" t="s">
        <v>2786</v>
      </c>
      <c r="G1354" s="49" t="s">
        <v>2901</v>
      </c>
      <c r="H1354" s="49" t="s">
        <v>2827</v>
      </c>
      <c r="I1354" s="52">
        <v>45901.681145833303</v>
      </c>
      <c r="J1354" s="50">
        <v>45929</v>
      </c>
      <c r="K1354" s="50">
        <v>46293</v>
      </c>
      <c r="M1354" s="49" t="s">
        <v>6882</v>
      </c>
    </row>
    <row r="1355" spans="1:13" x14ac:dyDescent="0.35">
      <c r="A1355" s="49" t="s">
        <v>6883</v>
      </c>
      <c r="C1355" s="49" t="s">
        <v>6884</v>
      </c>
      <c r="D1355" s="49" t="s">
        <v>1264</v>
      </c>
      <c r="E1355" s="49" t="s">
        <v>2814</v>
      </c>
      <c r="G1355" s="49" t="s">
        <v>2901</v>
      </c>
      <c r="H1355" s="49" t="s">
        <v>973</v>
      </c>
      <c r="I1355" s="52">
        <v>45939.371377314797</v>
      </c>
      <c r="J1355" s="50">
        <v>45992</v>
      </c>
      <c r="K1355" s="50">
        <v>46173</v>
      </c>
      <c r="M1355" s="49" t="s">
        <v>6885</v>
      </c>
    </row>
    <row r="1356" spans="1:13" x14ac:dyDescent="0.35">
      <c r="A1356" s="49" t="s">
        <v>6886</v>
      </c>
      <c r="C1356" s="49" t="s">
        <v>4480</v>
      </c>
      <c r="D1356" s="49" t="s">
        <v>1264</v>
      </c>
      <c r="E1356" s="49" t="s">
        <v>2785</v>
      </c>
      <c r="F1356" s="49" t="s">
        <v>2792</v>
      </c>
      <c r="G1356" s="49" t="s">
        <v>2901</v>
      </c>
      <c r="H1356" s="49" t="s">
        <v>4225</v>
      </c>
      <c r="I1356" s="52">
        <v>45953.526666666701</v>
      </c>
      <c r="J1356" s="50">
        <v>45988</v>
      </c>
      <c r="K1356" s="50">
        <v>46352</v>
      </c>
      <c r="M1356" s="49" t="s">
        <v>6887</v>
      </c>
    </row>
    <row r="1357" spans="1:13" x14ac:dyDescent="0.35">
      <c r="A1357" s="49" t="s">
        <v>6888</v>
      </c>
      <c r="C1357" s="49" t="s">
        <v>6588</v>
      </c>
      <c r="D1357" s="49" t="s">
        <v>1264</v>
      </c>
      <c r="E1357" s="49" t="s">
        <v>2785</v>
      </c>
      <c r="F1357" s="49" t="s">
        <v>2792</v>
      </c>
      <c r="G1357" s="49" t="s">
        <v>2901</v>
      </c>
      <c r="H1357" s="49" t="s">
        <v>864</v>
      </c>
      <c r="I1357" s="52">
        <v>46008.604363425897</v>
      </c>
      <c r="J1357" s="50">
        <v>45988</v>
      </c>
      <c r="K1357" s="50">
        <v>46352</v>
      </c>
      <c r="M1357" s="49" t="s">
        <v>6889</v>
      </c>
    </row>
    <row r="1358" spans="1:13" x14ac:dyDescent="0.35">
      <c r="A1358" s="49" t="s">
        <v>6890</v>
      </c>
      <c r="C1358" s="49" t="s">
        <v>5233</v>
      </c>
      <c r="D1358" s="49" t="s">
        <v>1264</v>
      </c>
      <c r="E1358" s="49" t="s">
        <v>2785</v>
      </c>
      <c r="F1358" s="49" t="s">
        <v>2805</v>
      </c>
      <c r="G1358" s="49" t="s">
        <v>2901</v>
      </c>
      <c r="H1358" s="49" t="s">
        <v>8</v>
      </c>
      <c r="I1358" s="52">
        <v>45989.631759259297</v>
      </c>
      <c r="J1358" s="50">
        <v>46014</v>
      </c>
      <c r="K1358" s="50">
        <v>46378</v>
      </c>
      <c r="M1358" s="49" t="s">
        <v>6891</v>
      </c>
    </row>
    <row r="1359" spans="1:13" x14ac:dyDescent="0.35">
      <c r="A1359" s="49" t="s">
        <v>6892</v>
      </c>
      <c r="C1359" s="49" t="s">
        <v>5233</v>
      </c>
      <c r="D1359" s="49" t="s">
        <v>1264</v>
      </c>
      <c r="E1359" s="49" t="s">
        <v>2785</v>
      </c>
      <c r="F1359" s="49" t="s">
        <v>2786</v>
      </c>
      <c r="G1359" s="49" t="s">
        <v>2901</v>
      </c>
      <c r="H1359" s="49" t="s">
        <v>8</v>
      </c>
      <c r="I1359" s="52">
        <v>45989.625960648104</v>
      </c>
      <c r="J1359" s="50">
        <v>46014</v>
      </c>
      <c r="K1359" s="50">
        <v>46378</v>
      </c>
      <c r="M1359" s="49" t="s">
        <v>6891</v>
      </c>
    </row>
    <row r="1360" spans="1:13" x14ac:dyDescent="0.35">
      <c r="A1360" s="49" t="s">
        <v>6893</v>
      </c>
      <c r="B1360" s="49" t="s">
        <v>6474</v>
      </c>
      <c r="C1360" s="49" t="s">
        <v>4279</v>
      </c>
      <c r="D1360" s="49" t="s">
        <v>1264</v>
      </c>
      <c r="E1360" s="49" t="s">
        <v>2785</v>
      </c>
      <c r="F1360" s="49" t="s">
        <v>2786</v>
      </c>
      <c r="G1360" s="49" t="s">
        <v>2901</v>
      </c>
      <c r="H1360" s="49" t="s">
        <v>980</v>
      </c>
      <c r="I1360" s="52">
        <v>45891.609791666699</v>
      </c>
      <c r="J1360" s="50">
        <v>45929</v>
      </c>
      <c r="K1360" s="50">
        <v>46293</v>
      </c>
      <c r="M1360" s="49" t="s">
        <v>6894</v>
      </c>
    </row>
    <row r="1361" spans="1:13" x14ac:dyDescent="0.35">
      <c r="A1361" s="49" t="s">
        <v>6895</v>
      </c>
      <c r="C1361" s="49" t="s">
        <v>6896</v>
      </c>
      <c r="D1361" s="49" t="s">
        <v>1264</v>
      </c>
      <c r="E1361" s="49" t="s">
        <v>2873</v>
      </c>
      <c r="F1361" s="49" t="s">
        <v>2792</v>
      </c>
      <c r="G1361" s="49" t="s">
        <v>2901</v>
      </c>
      <c r="H1361" s="49" t="s">
        <v>864</v>
      </c>
      <c r="I1361" s="52">
        <v>46122.7331597222</v>
      </c>
      <c r="J1361" s="50">
        <v>45908</v>
      </c>
      <c r="K1361" s="50">
        <v>46272</v>
      </c>
      <c r="M1361" s="49" t="s">
        <v>6897</v>
      </c>
    </row>
    <row r="1362" spans="1:13" x14ac:dyDescent="0.35">
      <c r="A1362" s="49" t="s">
        <v>6898</v>
      </c>
      <c r="C1362" s="49" t="s">
        <v>6723</v>
      </c>
      <c r="D1362" s="49" t="s">
        <v>1264</v>
      </c>
      <c r="E1362" s="49" t="s">
        <v>2785</v>
      </c>
      <c r="F1362" s="49" t="s">
        <v>2792</v>
      </c>
      <c r="G1362" s="49" t="s">
        <v>4330</v>
      </c>
      <c r="H1362" s="49" t="s">
        <v>8</v>
      </c>
      <c r="I1362" s="52">
        <v>46008.664525462998</v>
      </c>
      <c r="M1362" s="49" t="s">
        <v>6899</v>
      </c>
    </row>
    <row r="1363" spans="1:13" x14ac:dyDescent="0.35">
      <c r="A1363" s="49" t="s">
        <v>6900</v>
      </c>
      <c r="C1363" s="49" t="s">
        <v>6901</v>
      </c>
      <c r="D1363" s="49" t="s">
        <v>1264</v>
      </c>
      <c r="E1363" s="49" t="s">
        <v>2785</v>
      </c>
      <c r="F1363" s="49" t="s">
        <v>2786</v>
      </c>
      <c r="G1363" s="49" t="s">
        <v>2901</v>
      </c>
      <c r="H1363" s="49" t="s">
        <v>980</v>
      </c>
      <c r="I1363" s="50">
        <v>45828</v>
      </c>
      <c r="J1363" s="50">
        <v>45845</v>
      </c>
      <c r="K1363" s="50">
        <v>46209</v>
      </c>
      <c r="M1363" s="49" t="s">
        <v>6902</v>
      </c>
    </row>
    <row r="1364" spans="1:13" x14ac:dyDescent="0.35">
      <c r="A1364" s="49" t="s">
        <v>6903</v>
      </c>
      <c r="C1364" s="49" t="s">
        <v>6904</v>
      </c>
      <c r="D1364" s="49" t="s">
        <v>1264</v>
      </c>
      <c r="E1364" s="49" t="s">
        <v>2785</v>
      </c>
      <c r="F1364" s="49" t="s">
        <v>2792</v>
      </c>
      <c r="G1364" s="49" t="s">
        <v>4330</v>
      </c>
      <c r="H1364" s="49" t="s">
        <v>8</v>
      </c>
      <c r="I1364" s="52">
        <v>45835.643090277801</v>
      </c>
      <c r="M1364" s="49" t="s">
        <v>6905</v>
      </c>
    </row>
    <row r="1365" spans="1:13" x14ac:dyDescent="0.35">
      <c r="A1365" s="49" t="s">
        <v>6906</v>
      </c>
      <c r="C1365" s="49" t="s">
        <v>3158</v>
      </c>
      <c r="D1365" s="49" t="s">
        <v>1264</v>
      </c>
      <c r="E1365" s="49" t="s">
        <v>3413</v>
      </c>
      <c r="F1365" s="49" t="s">
        <v>2939</v>
      </c>
      <c r="G1365" s="49" t="s">
        <v>2901</v>
      </c>
      <c r="H1365" s="49" t="s">
        <v>980</v>
      </c>
      <c r="I1365" s="50">
        <v>45279</v>
      </c>
      <c r="J1365" s="50">
        <v>45336</v>
      </c>
      <c r="K1365" s="50">
        <v>52640</v>
      </c>
      <c r="M1365" s="49" t="s">
        <v>6907</v>
      </c>
    </row>
    <row r="1366" spans="1:13" x14ac:dyDescent="0.35">
      <c r="A1366" s="49" t="s">
        <v>6908</v>
      </c>
      <c r="C1366" s="49" t="s">
        <v>6909</v>
      </c>
      <c r="D1366" s="49" t="s">
        <v>1264</v>
      </c>
      <c r="E1366" s="49" t="s">
        <v>2814</v>
      </c>
      <c r="F1366" s="49" t="s">
        <v>5002</v>
      </c>
      <c r="G1366" s="49" t="s">
        <v>2901</v>
      </c>
      <c r="H1366" s="49" t="s">
        <v>980</v>
      </c>
      <c r="I1366" s="52">
        <v>45986.4399305556</v>
      </c>
      <c r="J1366" s="50">
        <v>46000</v>
      </c>
      <c r="K1366" s="50">
        <v>46181</v>
      </c>
      <c r="M1366" s="49" t="s">
        <v>6910</v>
      </c>
    </row>
    <row r="1367" spans="1:13" x14ac:dyDescent="0.35">
      <c r="A1367" s="49" t="s">
        <v>6911</v>
      </c>
      <c r="B1367" s="49" t="s">
        <v>4262</v>
      </c>
      <c r="C1367" s="49" t="s">
        <v>6912</v>
      </c>
      <c r="D1367" s="49" t="s">
        <v>1264</v>
      </c>
      <c r="E1367" s="49" t="s">
        <v>2785</v>
      </c>
      <c r="F1367" s="49" t="s">
        <v>2805</v>
      </c>
      <c r="G1367" s="49" t="s">
        <v>4891</v>
      </c>
      <c r="H1367" s="49" t="s">
        <v>973</v>
      </c>
      <c r="I1367" s="52">
        <v>46139.572094907402</v>
      </c>
      <c r="M1367" s="49" t="s">
        <v>3104</v>
      </c>
    </row>
    <row r="1368" spans="1:13" x14ac:dyDescent="0.35">
      <c r="A1368" s="49" t="s">
        <v>6913</v>
      </c>
      <c r="B1368" s="49" t="s">
        <v>6914</v>
      </c>
      <c r="C1368" s="49" t="s">
        <v>5240</v>
      </c>
      <c r="D1368" s="49" t="s">
        <v>1264</v>
      </c>
      <c r="E1368" s="49" t="s">
        <v>2785</v>
      </c>
      <c r="F1368" s="49" t="s">
        <v>2792</v>
      </c>
      <c r="G1368" s="49" t="s">
        <v>4891</v>
      </c>
      <c r="H1368" s="49" t="s">
        <v>857</v>
      </c>
      <c r="I1368" s="52">
        <v>46141.471828703703</v>
      </c>
      <c r="M1368" s="49" t="s">
        <v>6915</v>
      </c>
    </row>
    <row r="1369" spans="1:13" x14ac:dyDescent="0.35">
      <c r="A1369" s="49" t="s">
        <v>6916</v>
      </c>
      <c r="B1369" s="49" t="s">
        <v>6917</v>
      </c>
      <c r="C1369" s="49" t="s">
        <v>6918</v>
      </c>
      <c r="D1369" s="49" t="s">
        <v>1264</v>
      </c>
      <c r="E1369" s="49" t="s">
        <v>2785</v>
      </c>
      <c r="F1369" s="49" t="s">
        <v>2792</v>
      </c>
      <c r="G1369" s="49" t="s">
        <v>2901</v>
      </c>
      <c r="H1369" s="49" t="s">
        <v>980</v>
      </c>
      <c r="I1369" s="52">
        <v>45875.416666666701</v>
      </c>
      <c r="J1369" s="50">
        <v>46013</v>
      </c>
      <c r="K1369" s="50">
        <v>46377</v>
      </c>
      <c r="M1369" s="49" t="s">
        <v>6919</v>
      </c>
    </row>
    <row r="1370" spans="1:13" x14ac:dyDescent="0.35">
      <c r="A1370" s="49" t="s">
        <v>6920</v>
      </c>
      <c r="B1370" s="49" t="s">
        <v>6921</v>
      </c>
      <c r="C1370" s="49" t="s">
        <v>5017</v>
      </c>
      <c r="D1370" s="49" t="s">
        <v>1264</v>
      </c>
      <c r="E1370" s="49" t="s">
        <v>2785</v>
      </c>
      <c r="F1370" s="49" t="s">
        <v>2786</v>
      </c>
      <c r="G1370" s="49" t="s">
        <v>4891</v>
      </c>
      <c r="H1370" s="49" t="s">
        <v>980</v>
      </c>
      <c r="I1370" s="52">
        <v>46142.442638888897</v>
      </c>
      <c r="M1370" s="49" t="s">
        <v>6922</v>
      </c>
    </row>
    <row r="1371" spans="1:13" x14ac:dyDescent="0.35">
      <c r="A1371" s="49" t="s">
        <v>6923</v>
      </c>
      <c r="B1371" s="49" t="s">
        <v>6924</v>
      </c>
      <c r="C1371" s="49" t="s">
        <v>4970</v>
      </c>
      <c r="D1371" s="49" t="s">
        <v>1264</v>
      </c>
      <c r="E1371" s="49" t="s">
        <v>2785</v>
      </c>
      <c r="F1371" s="49" t="s">
        <v>2786</v>
      </c>
      <c r="G1371" s="49" t="s">
        <v>4891</v>
      </c>
      <c r="H1371" s="49" t="s">
        <v>980</v>
      </c>
      <c r="I1371" s="52">
        <v>46142.542986111097</v>
      </c>
      <c r="M1371" s="49" t="s">
        <v>6925</v>
      </c>
    </row>
    <row r="1372" spans="1:13" x14ac:dyDescent="0.35">
      <c r="A1372" s="49" t="s">
        <v>6926</v>
      </c>
      <c r="B1372" s="49" t="s">
        <v>4555</v>
      </c>
      <c r="C1372" s="49" t="s">
        <v>6804</v>
      </c>
      <c r="D1372" s="49" t="s">
        <v>1264</v>
      </c>
      <c r="E1372" s="49" t="s">
        <v>2785</v>
      </c>
      <c r="F1372" s="49" t="s">
        <v>2792</v>
      </c>
      <c r="G1372" s="49" t="s">
        <v>4891</v>
      </c>
      <c r="H1372" s="49" t="s">
        <v>980</v>
      </c>
      <c r="I1372" s="52">
        <v>46146.461354166699</v>
      </c>
      <c r="M1372" s="49" t="s">
        <v>6927</v>
      </c>
    </row>
    <row r="1373" spans="1:13" x14ac:dyDescent="0.35">
      <c r="A1373" s="49" t="s">
        <v>6928</v>
      </c>
      <c r="C1373" s="49" t="s">
        <v>6929</v>
      </c>
      <c r="D1373" s="49" t="s">
        <v>1264</v>
      </c>
      <c r="E1373" s="49" t="s">
        <v>2814</v>
      </c>
      <c r="F1373" s="49" t="s">
        <v>2837</v>
      </c>
      <c r="G1373" s="49" t="s">
        <v>2901</v>
      </c>
      <c r="H1373" s="49" t="s">
        <v>980</v>
      </c>
      <c r="I1373" s="52">
        <v>46001.963807870401</v>
      </c>
      <c r="J1373" s="50">
        <v>46048</v>
      </c>
      <c r="K1373" s="50">
        <v>46228</v>
      </c>
      <c r="M1373" s="49" t="s">
        <v>6930</v>
      </c>
    </row>
    <row r="1374" spans="1:13" x14ac:dyDescent="0.35">
      <c r="A1374" s="49" t="s">
        <v>6931</v>
      </c>
      <c r="C1374" s="49" t="s">
        <v>4965</v>
      </c>
      <c r="D1374" s="49" t="s">
        <v>1264</v>
      </c>
      <c r="E1374" s="49" t="s">
        <v>2814</v>
      </c>
      <c r="F1374" s="49" t="s">
        <v>2805</v>
      </c>
      <c r="G1374" s="49" t="s">
        <v>2901</v>
      </c>
      <c r="H1374" s="49" t="s">
        <v>973</v>
      </c>
      <c r="I1374" s="50">
        <v>45418</v>
      </c>
      <c r="J1374" s="50">
        <v>46076</v>
      </c>
      <c r="K1374" s="50">
        <v>46256</v>
      </c>
      <c r="M1374" s="49" t="s">
        <v>6932</v>
      </c>
    </row>
    <row r="1375" spans="1:13" x14ac:dyDescent="0.35">
      <c r="A1375" s="49" t="s">
        <v>6933</v>
      </c>
      <c r="B1375" s="49" t="s">
        <v>4262</v>
      </c>
      <c r="C1375" s="49" t="s">
        <v>3882</v>
      </c>
      <c r="D1375" s="49" t="s">
        <v>1264</v>
      </c>
      <c r="E1375" s="49" t="s">
        <v>2785</v>
      </c>
      <c r="F1375" s="49" t="s">
        <v>4048</v>
      </c>
      <c r="G1375" s="49" t="s">
        <v>4891</v>
      </c>
      <c r="H1375" s="49" t="s">
        <v>973</v>
      </c>
      <c r="I1375" s="52">
        <v>46150.5072685185</v>
      </c>
      <c r="M1375" s="49" t="s">
        <v>6934</v>
      </c>
    </row>
    <row r="1376" spans="1:13" x14ac:dyDescent="0.35">
      <c r="A1376" s="49" t="s">
        <v>6935</v>
      </c>
      <c r="B1376" s="49" t="s">
        <v>6936</v>
      </c>
      <c r="C1376" s="49" t="s">
        <v>6937</v>
      </c>
      <c r="D1376" s="49" t="s">
        <v>1264</v>
      </c>
      <c r="E1376" s="49" t="s">
        <v>2785</v>
      </c>
      <c r="F1376" s="49" t="s">
        <v>2792</v>
      </c>
      <c r="G1376" s="49" t="s">
        <v>4891</v>
      </c>
      <c r="H1376" s="49" t="s">
        <v>980</v>
      </c>
      <c r="I1376" s="52">
        <v>46157.402106481502</v>
      </c>
      <c r="M1376" s="49" t="s">
        <v>6938</v>
      </c>
    </row>
    <row r="1377" spans="1:13" x14ac:dyDescent="0.35">
      <c r="A1377" s="49" t="s">
        <v>6939</v>
      </c>
      <c r="B1377" s="49" t="s">
        <v>6940</v>
      </c>
      <c r="C1377" s="49" t="s">
        <v>6937</v>
      </c>
      <c r="D1377" s="49" t="s">
        <v>1264</v>
      </c>
      <c r="E1377" s="49" t="s">
        <v>2785</v>
      </c>
      <c r="F1377" s="49" t="s">
        <v>2792</v>
      </c>
      <c r="G1377" s="49" t="s">
        <v>4891</v>
      </c>
      <c r="H1377" s="49" t="s">
        <v>980</v>
      </c>
      <c r="I1377" s="52">
        <v>46157.434895833299</v>
      </c>
      <c r="M1377" s="49" t="s">
        <v>6941</v>
      </c>
    </row>
    <row r="1378" spans="1:13" ht="29" x14ac:dyDescent="0.35">
      <c r="A1378" s="49" t="s">
        <v>6942</v>
      </c>
      <c r="B1378" s="51" t="s">
        <v>6943</v>
      </c>
      <c r="C1378" s="49" t="s">
        <v>6944</v>
      </c>
      <c r="D1378" s="49" t="s">
        <v>1264</v>
      </c>
      <c r="E1378" s="49" t="s">
        <v>2785</v>
      </c>
      <c r="F1378" s="49" t="s">
        <v>2786</v>
      </c>
      <c r="G1378" s="49" t="s">
        <v>4891</v>
      </c>
      <c r="H1378" s="49" t="s">
        <v>980</v>
      </c>
      <c r="I1378" s="52">
        <v>46157.447141203702</v>
      </c>
      <c r="M1378" s="49" t="s">
        <v>6945</v>
      </c>
    </row>
    <row r="1379" spans="1:13" x14ac:dyDescent="0.35">
      <c r="A1379" s="49" t="s">
        <v>6946</v>
      </c>
      <c r="B1379" s="49" t="s">
        <v>3626</v>
      </c>
      <c r="C1379" s="49" t="s">
        <v>4161</v>
      </c>
      <c r="D1379" s="49" t="s">
        <v>1264</v>
      </c>
      <c r="E1379" s="49" t="s">
        <v>2785</v>
      </c>
      <c r="F1379" s="49" t="s">
        <v>2786</v>
      </c>
      <c r="G1379" s="49" t="s">
        <v>4891</v>
      </c>
      <c r="H1379" s="49" t="s">
        <v>2827</v>
      </c>
      <c r="I1379" s="52">
        <v>46160.437615740702</v>
      </c>
      <c r="M1379" s="49" t="s">
        <v>6947</v>
      </c>
    </row>
    <row r="1380" spans="1:13" x14ac:dyDescent="0.35">
      <c r="A1380" s="49" t="s">
        <v>6948</v>
      </c>
      <c r="B1380" s="49" t="s">
        <v>3626</v>
      </c>
      <c r="C1380" s="49" t="s">
        <v>4161</v>
      </c>
      <c r="D1380" s="49" t="s">
        <v>1264</v>
      </c>
      <c r="E1380" s="49" t="s">
        <v>2785</v>
      </c>
      <c r="F1380" s="49" t="s">
        <v>2786</v>
      </c>
      <c r="G1380" s="49" t="s">
        <v>4891</v>
      </c>
      <c r="H1380" s="49" t="s">
        <v>2827</v>
      </c>
      <c r="I1380" s="52">
        <v>46160.455347222203</v>
      </c>
      <c r="M1380" s="49" t="s">
        <v>6949</v>
      </c>
    </row>
    <row r="1381" spans="1:13" x14ac:dyDescent="0.35">
      <c r="A1381" s="49" t="s">
        <v>6950</v>
      </c>
      <c r="B1381" s="49" t="s">
        <v>4223</v>
      </c>
      <c r="C1381" s="49" t="s">
        <v>4480</v>
      </c>
      <c r="D1381" s="49" t="s">
        <v>1264</v>
      </c>
      <c r="E1381" s="49" t="s">
        <v>2785</v>
      </c>
      <c r="F1381" s="49" t="s">
        <v>2792</v>
      </c>
      <c r="G1381" s="49" t="s">
        <v>4891</v>
      </c>
      <c r="H1381" s="49" t="s">
        <v>4225</v>
      </c>
      <c r="I1381" s="52">
        <v>46160.470706018503</v>
      </c>
      <c r="M1381" s="49" t="s">
        <v>6951</v>
      </c>
    </row>
    <row r="1382" spans="1:13" x14ac:dyDescent="0.35">
      <c r="A1382" s="49" t="s">
        <v>6952</v>
      </c>
      <c r="B1382" s="49" t="s">
        <v>3962</v>
      </c>
      <c r="C1382" s="49" t="s">
        <v>6953</v>
      </c>
      <c r="D1382" s="49" t="s">
        <v>1264</v>
      </c>
      <c r="E1382" s="49" t="s">
        <v>2785</v>
      </c>
      <c r="F1382" s="49" t="s">
        <v>2792</v>
      </c>
      <c r="G1382" s="49" t="s">
        <v>4891</v>
      </c>
      <c r="H1382" s="49" t="s">
        <v>980</v>
      </c>
      <c r="I1382" s="52">
        <v>46160.494212963</v>
      </c>
      <c r="M1382" s="49" t="s">
        <v>6954</v>
      </c>
    </row>
    <row r="1383" spans="1:13" x14ac:dyDescent="0.35">
      <c r="A1383" s="49" t="s">
        <v>6955</v>
      </c>
      <c r="B1383" s="49" t="s">
        <v>6956</v>
      </c>
      <c r="C1383" s="49" t="s">
        <v>6957</v>
      </c>
      <c r="D1383" s="49" t="s">
        <v>1264</v>
      </c>
      <c r="E1383" s="49" t="s">
        <v>2785</v>
      </c>
      <c r="F1383" s="49" t="s">
        <v>2792</v>
      </c>
      <c r="G1383" s="49" t="s">
        <v>4891</v>
      </c>
      <c r="H1383" s="49" t="s">
        <v>980</v>
      </c>
      <c r="I1383" s="52">
        <v>46160.5083564815</v>
      </c>
      <c r="M1383" s="49" t="s">
        <v>6958</v>
      </c>
    </row>
    <row r="1384" spans="1:13" x14ac:dyDescent="0.35">
      <c r="A1384" s="49" t="s">
        <v>6959</v>
      </c>
      <c r="B1384" s="49" t="s">
        <v>6960</v>
      </c>
      <c r="C1384" s="49" t="s">
        <v>6896</v>
      </c>
      <c r="D1384" s="49" t="s">
        <v>1264</v>
      </c>
      <c r="E1384" s="49" t="s">
        <v>2873</v>
      </c>
      <c r="F1384" s="49" t="s">
        <v>2792</v>
      </c>
      <c r="G1384" s="49" t="s">
        <v>4891</v>
      </c>
      <c r="H1384" s="49" t="s">
        <v>864</v>
      </c>
      <c r="I1384" s="52">
        <v>46161.395358796297</v>
      </c>
      <c r="M1384" s="49" t="s">
        <v>6961</v>
      </c>
    </row>
    <row r="1385" spans="1:13" x14ac:dyDescent="0.35">
      <c r="A1385" s="49" t="s">
        <v>6962</v>
      </c>
      <c r="C1385" s="49" t="s">
        <v>6896</v>
      </c>
      <c r="D1385" s="49" t="s">
        <v>1264</v>
      </c>
      <c r="E1385" s="49" t="s">
        <v>2873</v>
      </c>
      <c r="F1385" s="49" t="s">
        <v>2792</v>
      </c>
      <c r="G1385" s="49" t="s">
        <v>2901</v>
      </c>
      <c r="H1385" s="49" t="s">
        <v>864</v>
      </c>
      <c r="I1385" s="52">
        <v>46128.616770833301</v>
      </c>
      <c r="J1385" s="50">
        <v>46132</v>
      </c>
      <c r="K1385" s="50">
        <v>46496</v>
      </c>
      <c r="M1385" s="49" t="s">
        <v>6963</v>
      </c>
    </row>
    <row r="1386" spans="1:13" x14ac:dyDescent="0.35">
      <c r="A1386" s="49" t="s">
        <v>6964</v>
      </c>
      <c r="B1386" s="49" t="s">
        <v>6965</v>
      </c>
      <c r="C1386" s="49" t="s">
        <v>6966</v>
      </c>
      <c r="D1386" s="49" t="s">
        <v>1264</v>
      </c>
      <c r="E1386" s="49" t="s">
        <v>2785</v>
      </c>
      <c r="F1386" s="49" t="s">
        <v>2792</v>
      </c>
      <c r="G1386" s="49" t="s">
        <v>4891</v>
      </c>
      <c r="H1386" s="49" t="s">
        <v>980</v>
      </c>
      <c r="I1386" s="52">
        <v>46111.649363425902</v>
      </c>
      <c r="M1386" s="49" t="s">
        <v>6967</v>
      </c>
    </row>
    <row r="1387" spans="1:13" x14ac:dyDescent="0.35">
      <c r="A1387" s="49" t="s">
        <v>6968</v>
      </c>
      <c r="B1387" s="49" t="s">
        <v>6969</v>
      </c>
      <c r="C1387" s="49" t="s">
        <v>6970</v>
      </c>
      <c r="D1387" s="49" t="s">
        <v>1264</v>
      </c>
      <c r="E1387" s="49" t="s">
        <v>2873</v>
      </c>
      <c r="F1387" s="49" t="s">
        <v>2792</v>
      </c>
      <c r="G1387" s="49" t="s">
        <v>4891</v>
      </c>
      <c r="H1387" s="49" t="s">
        <v>2806</v>
      </c>
      <c r="I1387" s="52">
        <v>46162.431990740697</v>
      </c>
      <c r="M1387" s="49" t="s">
        <v>6971</v>
      </c>
    </row>
    <row r="1388" spans="1:13" x14ac:dyDescent="0.35">
      <c r="A1388" s="49" t="s">
        <v>6972</v>
      </c>
      <c r="B1388" s="49" t="s">
        <v>6969</v>
      </c>
      <c r="C1388" s="49" t="s">
        <v>6970</v>
      </c>
      <c r="D1388" s="49" t="s">
        <v>1264</v>
      </c>
      <c r="E1388" s="49" t="s">
        <v>2873</v>
      </c>
      <c r="F1388" s="49" t="s">
        <v>2792</v>
      </c>
      <c r="G1388" s="49" t="s">
        <v>4891</v>
      </c>
      <c r="H1388" s="49" t="s">
        <v>2806</v>
      </c>
      <c r="I1388" s="52">
        <v>46162.471990740698</v>
      </c>
      <c r="M1388" s="49" t="s">
        <v>6973</v>
      </c>
    </row>
    <row r="1389" spans="1:13" x14ac:dyDescent="0.35">
      <c r="A1389" s="49" t="s">
        <v>6974</v>
      </c>
      <c r="B1389" s="49" t="s">
        <v>6975</v>
      </c>
      <c r="C1389" s="49" t="s">
        <v>6976</v>
      </c>
      <c r="D1389" s="49" t="s">
        <v>1264</v>
      </c>
      <c r="E1389" s="49" t="s">
        <v>2873</v>
      </c>
      <c r="F1389" s="49" t="s">
        <v>2792</v>
      </c>
      <c r="G1389" s="49" t="s">
        <v>4891</v>
      </c>
      <c r="H1389" s="49" t="s">
        <v>2806</v>
      </c>
      <c r="I1389" s="52">
        <v>46162.5065972222</v>
      </c>
      <c r="M1389" s="49" t="s">
        <v>6977</v>
      </c>
    </row>
    <row r="1390" spans="1:13" x14ac:dyDescent="0.35">
      <c r="A1390" s="49" t="s">
        <v>6978</v>
      </c>
      <c r="C1390" s="49" t="s">
        <v>6979</v>
      </c>
      <c r="D1390" s="49" t="s">
        <v>1264</v>
      </c>
      <c r="E1390" s="49" t="s">
        <v>2785</v>
      </c>
      <c r="F1390" s="49" t="s">
        <v>2786</v>
      </c>
      <c r="G1390" s="49" t="s">
        <v>4891</v>
      </c>
      <c r="H1390" s="49" t="s">
        <v>980</v>
      </c>
      <c r="I1390" s="52">
        <v>46132.659525463001</v>
      </c>
      <c r="M1390" s="49" t="s">
        <v>6980</v>
      </c>
    </row>
    <row r="1391" spans="1:13" x14ac:dyDescent="0.35">
      <c r="A1391" s="49" t="s">
        <v>6981</v>
      </c>
      <c r="B1391" s="49" t="s">
        <v>6982</v>
      </c>
      <c r="C1391" s="49" t="s">
        <v>4152</v>
      </c>
      <c r="D1391" s="49" t="s">
        <v>1264</v>
      </c>
      <c r="E1391" s="49" t="s">
        <v>2785</v>
      </c>
      <c r="F1391" s="49" t="s">
        <v>2792</v>
      </c>
      <c r="G1391" s="49" t="s">
        <v>4330</v>
      </c>
      <c r="H1391" s="49" t="s">
        <v>8</v>
      </c>
      <c r="I1391" s="52">
        <v>45840.702349537001</v>
      </c>
      <c r="M1391" s="49" t="s">
        <v>6983</v>
      </c>
    </row>
    <row r="1392" spans="1:13" x14ac:dyDescent="0.35">
      <c r="A1392" s="49" t="s">
        <v>6984</v>
      </c>
      <c r="B1392" s="49" t="s">
        <v>3102</v>
      </c>
      <c r="C1392" s="49" t="s">
        <v>2997</v>
      </c>
      <c r="D1392" s="49" t="s">
        <v>1264</v>
      </c>
      <c r="E1392" s="49" t="s">
        <v>2908</v>
      </c>
      <c r="F1392" s="49" t="s">
        <v>2939</v>
      </c>
      <c r="G1392" s="49" t="s">
        <v>2826</v>
      </c>
      <c r="H1392" s="49" t="s">
        <v>8</v>
      </c>
      <c r="I1392" s="50">
        <v>34128</v>
      </c>
      <c r="J1392" s="50">
        <v>34522</v>
      </c>
      <c r="K1392" s="50">
        <v>38826</v>
      </c>
      <c r="M1392" s="49" t="s">
        <v>6985</v>
      </c>
    </row>
    <row r="1393" spans="1:13" x14ac:dyDescent="0.35">
      <c r="A1393" s="49" t="s">
        <v>6986</v>
      </c>
      <c r="B1393" s="49" t="s">
        <v>6987</v>
      </c>
      <c r="C1393" s="49" t="s">
        <v>6988</v>
      </c>
      <c r="D1393" s="49" t="s">
        <v>1264</v>
      </c>
      <c r="E1393" s="49" t="s">
        <v>2908</v>
      </c>
      <c r="F1393" s="49" t="s">
        <v>3010</v>
      </c>
      <c r="G1393" s="49" t="s">
        <v>2826</v>
      </c>
      <c r="H1393" s="49" t="s">
        <v>980</v>
      </c>
      <c r="I1393" s="50">
        <v>26838</v>
      </c>
      <c r="J1393" s="50">
        <v>27711</v>
      </c>
      <c r="M1393" s="49" t="s">
        <v>3477</v>
      </c>
    </row>
    <row r="1394" spans="1:13" x14ac:dyDescent="0.35">
      <c r="A1394" s="49" t="s">
        <v>6989</v>
      </c>
      <c r="B1394" s="49" t="s">
        <v>6990</v>
      </c>
      <c r="C1394" s="49" t="s">
        <v>3280</v>
      </c>
      <c r="D1394" s="49" t="s">
        <v>1264</v>
      </c>
      <c r="E1394" s="49" t="s">
        <v>3748</v>
      </c>
      <c r="F1394" s="49" t="s">
        <v>2792</v>
      </c>
      <c r="G1394" s="49" t="s">
        <v>2787</v>
      </c>
      <c r="H1394" s="49" t="s">
        <v>980</v>
      </c>
      <c r="I1394" s="50">
        <v>43258</v>
      </c>
      <c r="J1394" s="50">
        <v>43558</v>
      </c>
      <c r="K1394" s="50">
        <v>45385</v>
      </c>
      <c r="M1394" s="49" t="s">
        <v>6991</v>
      </c>
    </row>
    <row r="1395" spans="1:13" x14ac:dyDescent="0.35">
      <c r="A1395" s="49" t="s">
        <v>6992</v>
      </c>
      <c r="B1395" s="49" t="s">
        <v>3768</v>
      </c>
      <c r="C1395" s="49" t="s">
        <v>4228</v>
      </c>
      <c r="D1395" s="49" t="s">
        <v>1264</v>
      </c>
      <c r="E1395" s="49" t="s">
        <v>3443</v>
      </c>
      <c r="F1395" s="49" t="s">
        <v>3124</v>
      </c>
      <c r="G1395" s="49" t="s">
        <v>4891</v>
      </c>
      <c r="H1395" s="49" t="s">
        <v>980</v>
      </c>
      <c r="I1395" s="50">
        <v>44182</v>
      </c>
      <c r="M1395" s="49" t="s">
        <v>3444</v>
      </c>
    </row>
    <row r="1396" spans="1:13" x14ac:dyDescent="0.35">
      <c r="A1396" s="49" t="s">
        <v>6993</v>
      </c>
      <c r="B1396" s="49" t="s">
        <v>6994</v>
      </c>
      <c r="C1396" s="49" t="s">
        <v>6995</v>
      </c>
      <c r="D1396" s="49" t="s">
        <v>1264</v>
      </c>
      <c r="E1396" s="49" t="s">
        <v>2814</v>
      </c>
      <c r="F1396" s="49" t="s">
        <v>2837</v>
      </c>
      <c r="G1396" s="49" t="s">
        <v>2826</v>
      </c>
      <c r="H1396" s="49" t="s">
        <v>2827</v>
      </c>
      <c r="I1396" s="50">
        <v>40905</v>
      </c>
      <c r="M1396" s="49" t="s">
        <v>3100</v>
      </c>
    </row>
    <row r="1397" spans="1:13" x14ac:dyDescent="0.35">
      <c r="A1397" s="49" t="s">
        <v>6996</v>
      </c>
      <c r="B1397" s="49" t="s">
        <v>6997</v>
      </c>
      <c r="C1397" s="49" t="s">
        <v>4033</v>
      </c>
      <c r="D1397" s="49" t="s">
        <v>1264</v>
      </c>
      <c r="E1397" s="49" t="s">
        <v>2974</v>
      </c>
      <c r="F1397" s="49" t="s">
        <v>2825</v>
      </c>
      <c r="G1397" s="49" t="s">
        <v>2787</v>
      </c>
      <c r="H1397" s="49" t="s">
        <v>2827</v>
      </c>
      <c r="I1397" s="50">
        <v>40885</v>
      </c>
      <c r="J1397" s="50">
        <v>41099</v>
      </c>
      <c r="K1397" s="50">
        <v>42193</v>
      </c>
      <c r="M1397" s="49" t="s">
        <v>4034</v>
      </c>
    </row>
    <row r="1398" spans="1:13" x14ac:dyDescent="0.35">
      <c r="A1398" s="49" t="s">
        <v>6998</v>
      </c>
      <c r="B1398" s="49" t="s">
        <v>6999</v>
      </c>
      <c r="C1398" s="49" t="s">
        <v>7000</v>
      </c>
      <c r="D1398" s="49" t="s">
        <v>1264</v>
      </c>
      <c r="E1398" s="49" t="s">
        <v>2785</v>
      </c>
      <c r="F1398" s="49" t="s">
        <v>2792</v>
      </c>
      <c r="G1398" s="49" t="s">
        <v>2776</v>
      </c>
      <c r="H1398" s="49" t="s">
        <v>8</v>
      </c>
      <c r="I1398" s="50">
        <v>41185</v>
      </c>
      <c r="M1398" s="49" t="s">
        <v>7001</v>
      </c>
    </row>
    <row r="1399" spans="1:13" x14ac:dyDescent="0.35">
      <c r="A1399" s="49" t="s">
        <v>7002</v>
      </c>
      <c r="C1399" s="49" t="s">
        <v>7003</v>
      </c>
      <c r="D1399" s="49" t="s">
        <v>1264</v>
      </c>
      <c r="E1399" s="49" t="s">
        <v>2814</v>
      </c>
      <c r="F1399" s="49" t="s">
        <v>2825</v>
      </c>
      <c r="G1399" s="49" t="s">
        <v>2826</v>
      </c>
      <c r="H1399" s="49" t="s">
        <v>2827</v>
      </c>
      <c r="I1399" s="50">
        <v>41115</v>
      </c>
      <c r="M1399" s="49" t="s">
        <v>7004</v>
      </c>
    </row>
    <row r="1400" spans="1:13" x14ac:dyDescent="0.35">
      <c r="A1400" s="49" t="s">
        <v>7005</v>
      </c>
      <c r="B1400" s="49" t="s">
        <v>5789</v>
      </c>
      <c r="C1400" s="49" t="s">
        <v>7006</v>
      </c>
      <c r="D1400" s="49" t="s">
        <v>1264</v>
      </c>
      <c r="E1400" s="49" t="s">
        <v>2785</v>
      </c>
      <c r="F1400" s="49" t="s">
        <v>2792</v>
      </c>
      <c r="G1400" s="49" t="s">
        <v>2787</v>
      </c>
      <c r="H1400" s="49" t="s">
        <v>980</v>
      </c>
      <c r="I1400" s="50">
        <v>41282</v>
      </c>
      <c r="J1400" s="50">
        <v>41282</v>
      </c>
      <c r="K1400" s="50">
        <v>41462</v>
      </c>
      <c r="M1400" s="49" t="s">
        <v>7007</v>
      </c>
    </row>
    <row r="1401" spans="1:13" x14ac:dyDescent="0.35">
      <c r="A1401" s="49" t="s">
        <v>7008</v>
      </c>
      <c r="C1401" s="49" t="s">
        <v>7009</v>
      </c>
      <c r="D1401" s="49" t="s">
        <v>1264</v>
      </c>
      <c r="E1401" s="49" t="s">
        <v>2974</v>
      </c>
      <c r="F1401" s="49" t="s">
        <v>2825</v>
      </c>
      <c r="G1401" s="49" t="s">
        <v>2776</v>
      </c>
      <c r="H1401" s="49" t="s">
        <v>980</v>
      </c>
      <c r="I1401" s="50">
        <v>41116</v>
      </c>
      <c r="M1401" s="49" t="s">
        <v>7010</v>
      </c>
    </row>
    <row r="1402" spans="1:13" x14ac:dyDescent="0.35">
      <c r="A1402" s="49" t="s">
        <v>7011</v>
      </c>
      <c r="C1402" s="49" t="s">
        <v>7012</v>
      </c>
      <c r="D1402" s="49" t="s">
        <v>1264</v>
      </c>
      <c r="E1402" s="49" t="s">
        <v>2908</v>
      </c>
      <c r="F1402" s="49" t="s">
        <v>2939</v>
      </c>
      <c r="G1402" s="49" t="s">
        <v>2776</v>
      </c>
      <c r="H1402" s="49" t="s">
        <v>980</v>
      </c>
      <c r="I1402" s="50">
        <v>41954</v>
      </c>
      <c r="M1402" s="49" t="s">
        <v>7013</v>
      </c>
    </row>
    <row r="1403" spans="1:13" x14ac:dyDescent="0.35">
      <c r="A1403" s="49" t="s">
        <v>7014</v>
      </c>
      <c r="C1403" s="49" t="s">
        <v>3087</v>
      </c>
      <c r="D1403" s="49" t="s">
        <v>1264</v>
      </c>
      <c r="E1403" s="49" t="s">
        <v>2785</v>
      </c>
      <c r="F1403" s="49" t="s">
        <v>2786</v>
      </c>
      <c r="G1403" s="49" t="s">
        <v>2776</v>
      </c>
      <c r="H1403" s="49" t="s">
        <v>980</v>
      </c>
      <c r="I1403" s="50">
        <v>41074</v>
      </c>
      <c r="M1403" s="49" t="s">
        <v>7015</v>
      </c>
    </row>
    <row r="1404" spans="1:13" x14ac:dyDescent="0.35">
      <c r="A1404" s="49" t="s">
        <v>7016</v>
      </c>
      <c r="C1404" s="49" t="s">
        <v>7017</v>
      </c>
      <c r="D1404" s="49" t="s">
        <v>1264</v>
      </c>
      <c r="E1404" s="49" t="s">
        <v>2814</v>
      </c>
      <c r="F1404" s="49" t="s">
        <v>2780</v>
      </c>
      <c r="G1404" s="49" t="s">
        <v>2826</v>
      </c>
      <c r="H1404" s="49" t="s">
        <v>857</v>
      </c>
      <c r="I1404" s="50">
        <v>41278</v>
      </c>
      <c r="M1404" s="49" t="s">
        <v>7018</v>
      </c>
    </row>
    <row r="1405" spans="1:13" x14ac:dyDescent="0.35">
      <c r="A1405" s="49" t="s">
        <v>7019</v>
      </c>
      <c r="C1405" s="49" t="s">
        <v>3116</v>
      </c>
      <c r="D1405" s="49" t="s">
        <v>1264</v>
      </c>
      <c r="E1405" s="49" t="s">
        <v>2814</v>
      </c>
      <c r="F1405" s="49" t="s">
        <v>2900</v>
      </c>
      <c r="G1405" s="49" t="s">
        <v>2826</v>
      </c>
      <c r="H1405" s="49" t="s">
        <v>980</v>
      </c>
      <c r="I1405" s="50">
        <v>40835</v>
      </c>
      <c r="M1405" s="49" t="s">
        <v>7020</v>
      </c>
    </row>
    <row r="1406" spans="1:13" x14ac:dyDescent="0.35">
      <c r="A1406" s="49" t="s">
        <v>7021</v>
      </c>
      <c r="C1406" s="49" t="s">
        <v>7022</v>
      </c>
      <c r="D1406" s="49" t="s">
        <v>1264</v>
      </c>
      <c r="E1406" s="49" t="s">
        <v>2814</v>
      </c>
      <c r="F1406" s="49" t="s">
        <v>2939</v>
      </c>
      <c r="G1406" s="49" t="s">
        <v>2826</v>
      </c>
      <c r="H1406" s="49" t="s">
        <v>980</v>
      </c>
      <c r="I1406" s="50">
        <v>41281</v>
      </c>
      <c r="M1406" s="49" t="s">
        <v>7023</v>
      </c>
    </row>
    <row r="1407" spans="1:13" x14ac:dyDescent="0.35">
      <c r="A1407" s="49" t="s">
        <v>7024</v>
      </c>
      <c r="C1407" s="49" t="s">
        <v>3348</v>
      </c>
      <c r="D1407" s="49" t="s">
        <v>1264</v>
      </c>
      <c r="E1407" s="49" t="s">
        <v>2974</v>
      </c>
      <c r="F1407" s="49" t="s">
        <v>2775</v>
      </c>
      <c r="G1407" s="49" t="s">
        <v>2776</v>
      </c>
      <c r="H1407" s="49" t="s">
        <v>980</v>
      </c>
      <c r="I1407" s="50">
        <v>41059</v>
      </c>
      <c r="M1407" s="49" t="s">
        <v>7025</v>
      </c>
    </row>
    <row r="1408" spans="1:13" x14ac:dyDescent="0.35">
      <c r="A1408" s="49" t="s">
        <v>7026</v>
      </c>
      <c r="C1408" s="49" t="s">
        <v>3280</v>
      </c>
      <c r="D1408" s="49" t="s">
        <v>1264</v>
      </c>
      <c r="E1408" s="49" t="s">
        <v>3748</v>
      </c>
      <c r="F1408" s="49" t="s">
        <v>2792</v>
      </c>
      <c r="G1408" s="49" t="s">
        <v>2776</v>
      </c>
      <c r="H1408" s="49" t="s">
        <v>3207</v>
      </c>
      <c r="I1408" s="50">
        <v>41289</v>
      </c>
    </row>
    <row r="1409" spans="1:13" x14ac:dyDescent="0.35">
      <c r="A1409" s="49" t="s">
        <v>7027</v>
      </c>
      <c r="B1409" s="49" t="s">
        <v>7028</v>
      </c>
      <c r="C1409" s="49" t="s">
        <v>7029</v>
      </c>
      <c r="D1409" s="49" t="s">
        <v>1264</v>
      </c>
      <c r="E1409" s="49" t="s">
        <v>2785</v>
      </c>
      <c r="F1409" s="49" t="s">
        <v>2805</v>
      </c>
      <c r="G1409" s="49" t="s">
        <v>2787</v>
      </c>
      <c r="H1409" s="49" t="s">
        <v>3207</v>
      </c>
      <c r="I1409" s="50">
        <v>41575</v>
      </c>
      <c r="J1409" s="50">
        <v>41647</v>
      </c>
      <c r="K1409" s="50">
        <v>41827</v>
      </c>
      <c r="M1409" s="49" t="s">
        <v>7030</v>
      </c>
    </row>
    <row r="1410" spans="1:13" x14ac:dyDescent="0.35">
      <c r="A1410" s="49" t="s">
        <v>7031</v>
      </c>
      <c r="B1410" s="49" t="s">
        <v>7032</v>
      </c>
      <c r="C1410" s="49" t="s">
        <v>7033</v>
      </c>
      <c r="D1410" s="49" t="s">
        <v>1264</v>
      </c>
      <c r="E1410" s="49" t="s">
        <v>2774</v>
      </c>
      <c r="F1410" s="49" t="s">
        <v>2825</v>
      </c>
      <c r="G1410" s="49" t="s">
        <v>2776</v>
      </c>
      <c r="H1410" s="49" t="s">
        <v>2827</v>
      </c>
      <c r="I1410" s="50">
        <v>41394</v>
      </c>
      <c r="M1410" s="49" t="s">
        <v>7034</v>
      </c>
    </row>
    <row r="1411" spans="1:13" x14ac:dyDescent="0.35">
      <c r="A1411" s="49" t="s">
        <v>7035</v>
      </c>
      <c r="C1411" s="49" t="s">
        <v>7036</v>
      </c>
      <c r="D1411" s="49" t="s">
        <v>1264</v>
      </c>
      <c r="E1411" s="49" t="s">
        <v>2974</v>
      </c>
      <c r="F1411" s="49" t="s">
        <v>2825</v>
      </c>
      <c r="G1411" s="49" t="s">
        <v>2776</v>
      </c>
      <c r="H1411" s="49" t="s">
        <v>2827</v>
      </c>
      <c r="I1411" s="50">
        <v>40976</v>
      </c>
      <c r="M1411" s="49" t="s">
        <v>7037</v>
      </c>
    </row>
    <row r="1412" spans="1:13" x14ac:dyDescent="0.35">
      <c r="A1412" s="49" t="s">
        <v>7038</v>
      </c>
      <c r="B1412" s="49" t="s">
        <v>7039</v>
      </c>
      <c r="C1412" s="49" t="s">
        <v>7040</v>
      </c>
      <c r="D1412" s="49" t="s">
        <v>1264</v>
      </c>
      <c r="E1412" s="49" t="s">
        <v>2785</v>
      </c>
      <c r="F1412" s="49" t="s">
        <v>2786</v>
      </c>
      <c r="G1412" s="49" t="s">
        <v>2787</v>
      </c>
      <c r="H1412" s="49" t="s">
        <v>980</v>
      </c>
      <c r="I1412" s="50">
        <v>43434</v>
      </c>
      <c r="J1412" s="50">
        <v>43469</v>
      </c>
      <c r="K1412" s="50">
        <v>43649</v>
      </c>
      <c r="M1412" s="49" t="s">
        <v>7041</v>
      </c>
    </row>
    <row r="1413" spans="1:13" x14ac:dyDescent="0.35">
      <c r="A1413" s="49" t="s">
        <v>7042</v>
      </c>
      <c r="C1413" s="49" t="s">
        <v>7043</v>
      </c>
      <c r="D1413" s="49" t="s">
        <v>1264</v>
      </c>
      <c r="E1413" s="49" t="s">
        <v>2785</v>
      </c>
      <c r="F1413" s="49" t="s">
        <v>2792</v>
      </c>
      <c r="G1413" s="49" t="s">
        <v>2826</v>
      </c>
      <c r="H1413" s="49" t="s">
        <v>8</v>
      </c>
      <c r="I1413" s="50">
        <v>43033</v>
      </c>
      <c r="J1413" s="50">
        <v>43122</v>
      </c>
      <c r="K1413" s="50">
        <v>43302</v>
      </c>
      <c r="M1413" s="49" t="s">
        <v>7044</v>
      </c>
    </row>
    <row r="1414" spans="1:13" x14ac:dyDescent="0.35">
      <c r="A1414" s="49" t="s">
        <v>7045</v>
      </c>
      <c r="B1414" s="49" t="s">
        <v>2818</v>
      </c>
      <c r="C1414" s="49" t="s">
        <v>4015</v>
      </c>
      <c r="D1414" s="49" t="s">
        <v>1264</v>
      </c>
      <c r="E1414" s="49" t="s">
        <v>2785</v>
      </c>
      <c r="F1414" s="49" t="s">
        <v>2792</v>
      </c>
      <c r="G1414" s="49" t="s">
        <v>2787</v>
      </c>
      <c r="H1414" s="49" t="s">
        <v>8</v>
      </c>
      <c r="I1414" s="50">
        <v>43368</v>
      </c>
      <c r="J1414" s="50">
        <v>43472</v>
      </c>
      <c r="K1414" s="50">
        <v>43652</v>
      </c>
      <c r="M1414" s="49" t="s">
        <v>7046</v>
      </c>
    </row>
    <row r="1415" spans="1:13" x14ac:dyDescent="0.35">
      <c r="A1415" s="49" t="s">
        <v>7047</v>
      </c>
      <c r="B1415" s="49" t="s">
        <v>4677</v>
      </c>
      <c r="C1415" s="49" t="s">
        <v>7048</v>
      </c>
      <c r="D1415" s="49" t="s">
        <v>1264</v>
      </c>
      <c r="E1415" s="49" t="s">
        <v>2785</v>
      </c>
      <c r="F1415" s="49" t="s">
        <v>2792</v>
      </c>
      <c r="G1415" s="49" t="s">
        <v>2787</v>
      </c>
      <c r="H1415" s="49" t="s">
        <v>8</v>
      </c>
      <c r="I1415" s="50">
        <v>41968</v>
      </c>
      <c r="J1415" s="50">
        <v>42018</v>
      </c>
      <c r="K1415" s="50">
        <v>42198</v>
      </c>
      <c r="M1415" s="49" t="s">
        <v>7049</v>
      </c>
    </row>
    <row r="1416" spans="1:13" x14ac:dyDescent="0.35">
      <c r="A1416" s="49" t="s">
        <v>7050</v>
      </c>
      <c r="B1416" s="49" t="s">
        <v>7051</v>
      </c>
      <c r="C1416" s="49" t="s">
        <v>7052</v>
      </c>
      <c r="D1416" s="49" t="s">
        <v>1264</v>
      </c>
      <c r="E1416" s="49" t="s">
        <v>2785</v>
      </c>
      <c r="F1416" s="49" t="s">
        <v>2792</v>
      </c>
      <c r="G1416" s="49" t="s">
        <v>2787</v>
      </c>
      <c r="H1416" s="49" t="s">
        <v>8</v>
      </c>
      <c r="I1416" s="50">
        <v>41971</v>
      </c>
      <c r="J1416" s="50">
        <v>42019</v>
      </c>
      <c r="K1416" s="50">
        <v>42199</v>
      </c>
      <c r="M1416" s="49" t="s">
        <v>7053</v>
      </c>
    </row>
    <row r="1417" spans="1:13" x14ac:dyDescent="0.35">
      <c r="A1417" s="49" t="s">
        <v>7054</v>
      </c>
      <c r="B1417" s="49" t="s">
        <v>7055</v>
      </c>
      <c r="C1417" s="49" t="s">
        <v>7056</v>
      </c>
      <c r="D1417" s="49" t="s">
        <v>1264</v>
      </c>
      <c r="E1417" s="49" t="s">
        <v>7057</v>
      </c>
      <c r="F1417" s="49" t="s">
        <v>2825</v>
      </c>
      <c r="G1417" s="49" t="s">
        <v>2787</v>
      </c>
      <c r="H1417" s="49" t="s">
        <v>2827</v>
      </c>
      <c r="I1417" s="50">
        <v>40822</v>
      </c>
      <c r="J1417" s="50">
        <v>40914</v>
      </c>
      <c r="K1417" s="50">
        <v>41644</v>
      </c>
      <c r="M1417" s="49" t="s">
        <v>7058</v>
      </c>
    </row>
    <row r="1418" spans="1:13" x14ac:dyDescent="0.35">
      <c r="A1418" s="49" t="s">
        <v>7059</v>
      </c>
      <c r="B1418" s="49" t="s">
        <v>7060</v>
      </c>
      <c r="C1418" s="49" t="s">
        <v>7061</v>
      </c>
      <c r="D1418" s="49" t="s">
        <v>1264</v>
      </c>
      <c r="E1418" s="49" t="s">
        <v>2785</v>
      </c>
      <c r="F1418" s="49" t="s">
        <v>2792</v>
      </c>
      <c r="G1418" s="49" t="s">
        <v>2787</v>
      </c>
      <c r="H1418" s="49" t="s">
        <v>980</v>
      </c>
      <c r="I1418" s="50">
        <v>42268</v>
      </c>
      <c r="J1418" s="50">
        <v>43056</v>
      </c>
      <c r="K1418" s="50">
        <v>44216</v>
      </c>
      <c r="M1418" s="49" t="s">
        <v>3964</v>
      </c>
    </row>
    <row r="1419" spans="1:13" x14ac:dyDescent="0.35">
      <c r="A1419" s="49" t="s">
        <v>7062</v>
      </c>
      <c r="B1419" s="49" t="s">
        <v>7063</v>
      </c>
      <c r="C1419" s="49" t="s">
        <v>2791</v>
      </c>
      <c r="D1419" s="49" t="s">
        <v>1264</v>
      </c>
      <c r="E1419" s="49" t="s">
        <v>2785</v>
      </c>
      <c r="F1419" s="49" t="s">
        <v>2792</v>
      </c>
      <c r="G1419" s="49" t="s">
        <v>2787</v>
      </c>
      <c r="H1419" s="49" t="s">
        <v>857</v>
      </c>
      <c r="I1419" s="50">
        <v>43837</v>
      </c>
      <c r="J1419" s="50">
        <v>43859</v>
      </c>
      <c r="K1419" s="50">
        <v>44255</v>
      </c>
      <c r="M1419" s="49" t="s">
        <v>7064</v>
      </c>
    </row>
    <row r="1420" spans="1:13" x14ac:dyDescent="0.35">
      <c r="A1420" s="49" t="s">
        <v>7065</v>
      </c>
      <c r="B1420" s="49" t="s">
        <v>7066</v>
      </c>
      <c r="C1420" s="49" t="s">
        <v>3963</v>
      </c>
      <c r="D1420" s="49" t="s">
        <v>1264</v>
      </c>
      <c r="E1420" s="49" t="s">
        <v>2785</v>
      </c>
      <c r="F1420" s="49" t="s">
        <v>2792</v>
      </c>
      <c r="G1420" s="49" t="s">
        <v>2787</v>
      </c>
      <c r="H1420" s="49" t="s">
        <v>980</v>
      </c>
      <c r="I1420" s="50">
        <v>43427</v>
      </c>
      <c r="J1420" s="50">
        <v>43479</v>
      </c>
      <c r="K1420" s="50">
        <v>43659</v>
      </c>
      <c r="M1420" s="49" t="s">
        <v>7067</v>
      </c>
    </row>
    <row r="1421" spans="1:13" x14ac:dyDescent="0.35">
      <c r="A1421" s="49" t="s">
        <v>7068</v>
      </c>
      <c r="B1421" s="49" t="s">
        <v>7069</v>
      </c>
      <c r="C1421" s="49" t="s">
        <v>6514</v>
      </c>
      <c r="D1421" s="49" t="s">
        <v>1264</v>
      </c>
      <c r="E1421" s="49" t="s">
        <v>2785</v>
      </c>
      <c r="F1421" s="49" t="s">
        <v>2786</v>
      </c>
      <c r="G1421" s="49" t="s">
        <v>2787</v>
      </c>
      <c r="H1421" s="49" t="s">
        <v>8</v>
      </c>
      <c r="I1421" s="50">
        <v>43236</v>
      </c>
      <c r="J1421" s="50">
        <v>43479</v>
      </c>
      <c r="K1421" s="50">
        <v>45428</v>
      </c>
      <c r="M1421" s="49" t="s">
        <v>7070</v>
      </c>
    </row>
    <row r="1422" spans="1:13" x14ac:dyDescent="0.35">
      <c r="A1422" s="49" t="s">
        <v>7071</v>
      </c>
      <c r="B1422" s="49" t="s">
        <v>7072</v>
      </c>
      <c r="C1422" s="49" t="s">
        <v>4408</v>
      </c>
      <c r="D1422" s="49" t="s">
        <v>1264</v>
      </c>
      <c r="E1422" s="49" t="s">
        <v>2785</v>
      </c>
      <c r="F1422" s="49" t="s">
        <v>2792</v>
      </c>
      <c r="G1422" s="49" t="s">
        <v>2787</v>
      </c>
      <c r="H1422" s="49" t="s">
        <v>980</v>
      </c>
      <c r="I1422" s="50">
        <v>41871</v>
      </c>
      <c r="J1422" s="50">
        <v>42920</v>
      </c>
      <c r="K1422" s="50">
        <v>43103</v>
      </c>
      <c r="M1422" s="49" t="s">
        <v>7073</v>
      </c>
    </row>
    <row r="1423" spans="1:13" x14ac:dyDescent="0.35">
      <c r="A1423" s="49" t="s">
        <v>7074</v>
      </c>
      <c r="B1423" s="49" t="s">
        <v>7075</v>
      </c>
      <c r="C1423" s="49" t="s">
        <v>7076</v>
      </c>
      <c r="D1423" s="49" t="s">
        <v>1264</v>
      </c>
      <c r="E1423" s="49" t="s">
        <v>2774</v>
      </c>
      <c r="F1423" s="49" t="s">
        <v>2900</v>
      </c>
      <c r="G1423" s="49" t="s">
        <v>2787</v>
      </c>
      <c r="H1423" s="49" t="s">
        <v>2832</v>
      </c>
      <c r="I1423" s="50">
        <v>39727</v>
      </c>
      <c r="J1423" s="50">
        <v>39832</v>
      </c>
      <c r="K1423" s="50">
        <v>40926</v>
      </c>
      <c r="M1423" s="49" t="s">
        <v>7077</v>
      </c>
    </row>
    <row r="1424" spans="1:13" x14ac:dyDescent="0.35">
      <c r="A1424" s="49" t="s">
        <v>7078</v>
      </c>
      <c r="B1424" s="49" t="s">
        <v>7079</v>
      </c>
      <c r="C1424" s="49" t="s">
        <v>4480</v>
      </c>
      <c r="D1424" s="49" t="s">
        <v>1264</v>
      </c>
      <c r="E1424" s="49" t="s">
        <v>2785</v>
      </c>
      <c r="F1424" s="49" t="s">
        <v>2792</v>
      </c>
      <c r="G1424" s="49" t="s">
        <v>2787</v>
      </c>
      <c r="H1424" s="49" t="s">
        <v>835</v>
      </c>
      <c r="I1424" s="50">
        <v>43102</v>
      </c>
      <c r="J1424" s="50">
        <v>43151</v>
      </c>
      <c r="K1424" s="50">
        <v>43331</v>
      </c>
      <c r="M1424" s="49" t="s">
        <v>7080</v>
      </c>
    </row>
    <row r="1425" spans="1:13" x14ac:dyDescent="0.35">
      <c r="A1425" s="49" t="s">
        <v>7081</v>
      </c>
      <c r="B1425" s="49" t="s">
        <v>7082</v>
      </c>
      <c r="C1425" s="49" t="s">
        <v>7083</v>
      </c>
      <c r="D1425" s="49" t="s">
        <v>1264</v>
      </c>
      <c r="E1425" s="49" t="s">
        <v>2785</v>
      </c>
      <c r="F1425" s="49" t="s">
        <v>2792</v>
      </c>
      <c r="G1425" s="49" t="s">
        <v>2820</v>
      </c>
      <c r="H1425" s="49" t="s">
        <v>8</v>
      </c>
      <c r="I1425" s="50">
        <v>42239</v>
      </c>
      <c r="J1425" s="50">
        <v>42331</v>
      </c>
      <c r="K1425" s="50">
        <v>42513</v>
      </c>
      <c r="M1425" s="49" t="s">
        <v>7084</v>
      </c>
    </row>
    <row r="1426" spans="1:13" x14ac:dyDescent="0.35">
      <c r="A1426" s="49" t="s">
        <v>7085</v>
      </c>
      <c r="B1426" s="49" t="s">
        <v>7086</v>
      </c>
      <c r="C1426" s="49" t="s">
        <v>7087</v>
      </c>
      <c r="D1426" s="49" t="s">
        <v>1264</v>
      </c>
      <c r="E1426" s="49" t="s">
        <v>2774</v>
      </c>
      <c r="F1426" s="49" t="s">
        <v>3598</v>
      </c>
      <c r="G1426" s="49" t="s">
        <v>2787</v>
      </c>
      <c r="H1426" s="49" t="s">
        <v>2827</v>
      </c>
      <c r="I1426" s="50">
        <v>38247</v>
      </c>
      <c r="J1426" s="50">
        <v>38383</v>
      </c>
      <c r="K1426" s="50">
        <v>42765</v>
      </c>
      <c r="M1426" s="49" t="s">
        <v>7088</v>
      </c>
    </row>
    <row r="1427" spans="1:13" x14ac:dyDescent="0.35">
      <c r="A1427" s="49" t="s">
        <v>7089</v>
      </c>
      <c r="B1427" s="49" t="s">
        <v>7090</v>
      </c>
      <c r="C1427" s="49" t="s">
        <v>7091</v>
      </c>
      <c r="D1427" s="49" t="s">
        <v>1264</v>
      </c>
      <c r="E1427" s="49" t="s">
        <v>2774</v>
      </c>
      <c r="F1427" s="49" t="s">
        <v>7092</v>
      </c>
      <c r="G1427" s="49" t="s">
        <v>2826</v>
      </c>
      <c r="H1427" s="49" t="s">
        <v>980</v>
      </c>
      <c r="I1427" s="50">
        <v>37442</v>
      </c>
      <c r="J1427" s="50">
        <v>38383</v>
      </c>
      <c r="K1427" s="50">
        <v>39477</v>
      </c>
      <c r="M1427" s="49" t="s">
        <v>7093</v>
      </c>
    </row>
    <row r="1428" spans="1:13" x14ac:dyDescent="0.35">
      <c r="A1428" s="49" t="s">
        <v>7094</v>
      </c>
      <c r="B1428" s="49" t="s">
        <v>2795</v>
      </c>
      <c r="C1428" s="49" t="s">
        <v>4015</v>
      </c>
      <c r="D1428" s="49" t="s">
        <v>1264</v>
      </c>
      <c r="E1428" s="49" t="s">
        <v>2785</v>
      </c>
      <c r="F1428" s="49" t="s">
        <v>2792</v>
      </c>
      <c r="G1428" s="49" t="s">
        <v>2787</v>
      </c>
      <c r="H1428" s="49" t="s">
        <v>8</v>
      </c>
      <c r="I1428" s="50">
        <v>43481</v>
      </c>
      <c r="J1428" s="50">
        <v>43501</v>
      </c>
      <c r="K1428" s="50">
        <v>43681</v>
      </c>
      <c r="M1428" s="49" t="s">
        <v>7095</v>
      </c>
    </row>
    <row r="1429" spans="1:13" x14ac:dyDescent="0.35">
      <c r="A1429" s="49" t="s">
        <v>7096</v>
      </c>
      <c r="B1429" s="49" t="s">
        <v>4576</v>
      </c>
      <c r="C1429" s="49" t="s">
        <v>4470</v>
      </c>
      <c r="D1429" s="49" t="s">
        <v>1264</v>
      </c>
      <c r="E1429" s="49" t="s">
        <v>2785</v>
      </c>
      <c r="F1429" s="49" t="s">
        <v>2792</v>
      </c>
      <c r="G1429" s="49" t="s">
        <v>2787</v>
      </c>
      <c r="H1429" s="49" t="s">
        <v>980</v>
      </c>
      <c r="I1429" s="50">
        <v>42797</v>
      </c>
      <c r="J1429" s="50">
        <v>43875</v>
      </c>
      <c r="K1429" s="50">
        <v>44240</v>
      </c>
      <c r="M1429" s="49" t="s">
        <v>7097</v>
      </c>
    </row>
    <row r="1430" spans="1:13" x14ac:dyDescent="0.35">
      <c r="A1430" s="49" t="s">
        <v>7098</v>
      </c>
      <c r="B1430" s="49" t="s">
        <v>5944</v>
      </c>
      <c r="C1430" s="49" t="s">
        <v>7099</v>
      </c>
      <c r="D1430" s="49" t="s">
        <v>1264</v>
      </c>
      <c r="E1430" s="49" t="s">
        <v>2785</v>
      </c>
      <c r="F1430" s="49" t="s">
        <v>2786</v>
      </c>
      <c r="G1430" s="49" t="s">
        <v>2787</v>
      </c>
      <c r="H1430" s="49" t="s">
        <v>980</v>
      </c>
      <c r="I1430" s="50">
        <v>43460</v>
      </c>
      <c r="J1430" s="50">
        <v>43503</v>
      </c>
      <c r="K1430" s="50">
        <v>43683</v>
      </c>
      <c r="M1430" s="49" t="s">
        <v>7100</v>
      </c>
    </row>
    <row r="1431" spans="1:13" x14ac:dyDescent="0.35">
      <c r="A1431" s="49" t="s">
        <v>7101</v>
      </c>
      <c r="B1431" s="49" t="s">
        <v>2818</v>
      </c>
      <c r="C1431" s="49" t="s">
        <v>4380</v>
      </c>
      <c r="D1431" s="49" t="s">
        <v>1264</v>
      </c>
      <c r="E1431" s="49" t="s">
        <v>2785</v>
      </c>
      <c r="F1431" s="49" t="s">
        <v>2792</v>
      </c>
      <c r="G1431" s="49" t="s">
        <v>2787</v>
      </c>
      <c r="H1431" s="49" t="s">
        <v>8</v>
      </c>
      <c r="I1431" s="50">
        <v>43434</v>
      </c>
      <c r="J1431" s="50">
        <v>43503</v>
      </c>
      <c r="K1431" s="50">
        <v>43683</v>
      </c>
      <c r="M1431" s="49" t="s">
        <v>7102</v>
      </c>
    </row>
    <row r="1432" spans="1:13" x14ac:dyDescent="0.35">
      <c r="A1432" s="49" t="s">
        <v>7103</v>
      </c>
      <c r="B1432" s="49" t="s">
        <v>6999</v>
      </c>
      <c r="C1432" s="49" t="s">
        <v>7104</v>
      </c>
      <c r="D1432" s="49" t="s">
        <v>1264</v>
      </c>
      <c r="E1432" s="49" t="s">
        <v>2785</v>
      </c>
      <c r="F1432" s="49" t="s">
        <v>2792</v>
      </c>
      <c r="G1432" s="49" t="s">
        <v>2820</v>
      </c>
      <c r="H1432" s="49" t="s">
        <v>8</v>
      </c>
      <c r="I1432" s="50">
        <v>41216</v>
      </c>
      <c r="J1432" s="50">
        <v>41324</v>
      </c>
      <c r="K1432" s="50">
        <v>41506</v>
      </c>
      <c r="M1432" s="49" t="s">
        <v>7105</v>
      </c>
    </row>
    <row r="1433" spans="1:13" x14ac:dyDescent="0.35">
      <c r="A1433" s="49" t="s">
        <v>7106</v>
      </c>
      <c r="B1433" s="49" t="s">
        <v>7107</v>
      </c>
      <c r="C1433" s="49" t="s">
        <v>5262</v>
      </c>
      <c r="D1433" s="49" t="s">
        <v>1264</v>
      </c>
      <c r="E1433" s="49" t="s">
        <v>2814</v>
      </c>
      <c r="F1433" s="49" t="s">
        <v>3405</v>
      </c>
      <c r="G1433" s="49" t="s">
        <v>2787</v>
      </c>
      <c r="H1433" s="49" t="s">
        <v>980</v>
      </c>
      <c r="I1433" s="50">
        <v>42033</v>
      </c>
      <c r="J1433" s="50">
        <v>42061</v>
      </c>
      <c r="K1433" s="50">
        <v>42241</v>
      </c>
      <c r="M1433" s="49" t="s">
        <v>7108</v>
      </c>
    </row>
    <row r="1434" spans="1:13" x14ac:dyDescent="0.35">
      <c r="A1434" s="49" t="s">
        <v>7109</v>
      </c>
      <c r="B1434" s="49" t="s">
        <v>7110</v>
      </c>
      <c r="C1434" s="49" t="s">
        <v>7111</v>
      </c>
      <c r="D1434" s="49" t="s">
        <v>1264</v>
      </c>
      <c r="E1434" s="49" t="s">
        <v>2785</v>
      </c>
      <c r="F1434" s="49" t="s">
        <v>2792</v>
      </c>
      <c r="G1434" s="49" t="s">
        <v>2787</v>
      </c>
      <c r="H1434" s="49" t="s">
        <v>3207</v>
      </c>
      <c r="I1434" s="50">
        <v>42038</v>
      </c>
      <c r="J1434" s="50">
        <v>42061</v>
      </c>
      <c r="K1434" s="50">
        <v>42241</v>
      </c>
      <c r="M1434" s="49" t="s">
        <v>7112</v>
      </c>
    </row>
    <row r="1435" spans="1:13" x14ac:dyDescent="0.35">
      <c r="A1435" s="49" t="s">
        <v>7113</v>
      </c>
      <c r="B1435" s="49" t="s">
        <v>7114</v>
      </c>
      <c r="C1435" s="49" t="s">
        <v>7111</v>
      </c>
      <c r="D1435" s="49" t="s">
        <v>1264</v>
      </c>
      <c r="E1435" s="49" t="s">
        <v>2785</v>
      </c>
      <c r="F1435" s="49" t="s">
        <v>2792</v>
      </c>
      <c r="G1435" s="49" t="s">
        <v>2787</v>
      </c>
      <c r="H1435" s="49" t="s">
        <v>3207</v>
      </c>
      <c r="I1435" s="50">
        <v>42044</v>
      </c>
      <c r="J1435" s="50">
        <v>42061</v>
      </c>
      <c r="K1435" s="50">
        <v>42241</v>
      </c>
      <c r="M1435" s="49" t="s">
        <v>7115</v>
      </c>
    </row>
    <row r="1436" spans="1:13" x14ac:dyDescent="0.35">
      <c r="A1436" s="49" t="s">
        <v>7116</v>
      </c>
      <c r="B1436" s="49" t="s">
        <v>7117</v>
      </c>
      <c r="C1436" s="49" t="s">
        <v>7118</v>
      </c>
      <c r="D1436" s="49" t="s">
        <v>1264</v>
      </c>
      <c r="E1436" s="49" t="s">
        <v>7057</v>
      </c>
      <c r="F1436" s="49" t="s">
        <v>2825</v>
      </c>
      <c r="G1436" s="49" t="s">
        <v>2826</v>
      </c>
      <c r="H1436" s="49" t="s">
        <v>2827</v>
      </c>
      <c r="I1436" s="50">
        <v>40060</v>
      </c>
      <c r="J1436" s="50">
        <v>40190</v>
      </c>
      <c r="K1436" s="50">
        <v>40919</v>
      </c>
      <c r="M1436" s="49" t="s">
        <v>7119</v>
      </c>
    </row>
    <row r="1437" spans="1:13" x14ac:dyDescent="0.35">
      <c r="A1437" s="49" t="s">
        <v>7120</v>
      </c>
      <c r="C1437" s="49" t="s">
        <v>7121</v>
      </c>
      <c r="D1437" s="49" t="s">
        <v>1264</v>
      </c>
      <c r="E1437" s="49" t="s">
        <v>2785</v>
      </c>
      <c r="F1437" s="49" t="s">
        <v>2792</v>
      </c>
      <c r="G1437" s="49" t="s">
        <v>2787</v>
      </c>
      <c r="H1437" s="49" t="s">
        <v>8</v>
      </c>
      <c r="I1437" s="50">
        <v>43026</v>
      </c>
      <c r="J1437" s="50">
        <v>43171</v>
      </c>
      <c r="K1437" s="50">
        <v>43354</v>
      </c>
      <c r="M1437" s="49" t="s">
        <v>7122</v>
      </c>
    </row>
    <row r="1438" spans="1:13" x14ac:dyDescent="0.35">
      <c r="A1438" s="49" t="s">
        <v>7123</v>
      </c>
      <c r="B1438" s="49" t="s">
        <v>5000</v>
      </c>
      <c r="C1438" s="49" t="s">
        <v>7124</v>
      </c>
      <c r="D1438" s="49" t="s">
        <v>1264</v>
      </c>
      <c r="E1438" s="49" t="s">
        <v>2908</v>
      </c>
      <c r="F1438" s="49" t="s">
        <v>2939</v>
      </c>
      <c r="G1438" s="49" t="s">
        <v>2820</v>
      </c>
      <c r="H1438" s="49" t="s">
        <v>980</v>
      </c>
      <c r="I1438" s="50">
        <v>40724</v>
      </c>
      <c r="J1438" s="50">
        <v>40924</v>
      </c>
      <c r="K1438" s="50">
        <v>42750</v>
      </c>
      <c r="M1438" s="49" t="s">
        <v>7125</v>
      </c>
    </row>
    <row r="1439" spans="1:13" x14ac:dyDescent="0.35">
      <c r="A1439" s="49" t="s">
        <v>7126</v>
      </c>
      <c r="B1439" s="49" t="s">
        <v>7127</v>
      </c>
      <c r="C1439" s="49" t="s">
        <v>7128</v>
      </c>
      <c r="D1439" s="49" t="s">
        <v>1264</v>
      </c>
      <c r="E1439" s="49" t="s">
        <v>7057</v>
      </c>
      <c r="F1439" s="49" t="s">
        <v>2825</v>
      </c>
      <c r="G1439" s="49" t="s">
        <v>2787</v>
      </c>
      <c r="H1439" s="49" t="s">
        <v>2827</v>
      </c>
      <c r="I1439" s="50">
        <v>40060</v>
      </c>
      <c r="J1439" s="50">
        <v>40190</v>
      </c>
      <c r="K1439" s="50">
        <v>42569</v>
      </c>
      <c r="M1439" s="49" t="s">
        <v>7119</v>
      </c>
    </row>
    <row r="1440" spans="1:13" x14ac:dyDescent="0.35">
      <c r="A1440" s="49" t="s">
        <v>7129</v>
      </c>
      <c r="B1440" s="49" t="s">
        <v>4305</v>
      </c>
      <c r="C1440" s="49" t="s">
        <v>7130</v>
      </c>
      <c r="D1440" s="49" t="s">
        <v>1264</v>
      </c>
      <c r="E1440" s="49" t="s">
        <v>7057</v>
      </c>
      <c r="F1440" s="49" t="s">
        <v>2825</v>
      </c>
      <c r="G1440" s="49" t="s">
        <v>2787</v>
      </c>
      <c r="H1440" s="49" t="s">
        <v>2827</v>
      </c>
      <c r="I1440" s="50">
        <v>39993</v>
      </c>
      <c r="J1440" s="50">
        <v>41236</v>
      </c>
      <c r="K1440" s="50">
        <v>42569</v>
      </c>
      <c r="M1440" s="49" t="s">
        <v>7131</v>
      </c>
    </row>
    <row r="1441" spans="1:13" x14ac:dyDescent="0.35">
      <c r="A1441" s="49" t="s">
        <v>7132</v>
      </c>
      <c r="B1441" s="49" t="s">
        <v>7133</v>
      </c>
      <c r="C1441" s="49" t="s">
        <v>7134</v>
      </c>
      <c r="D1441" s="49" t="s">
        <v>1264</v>
      </c>
      <c r="E1441" s="49" t="s">
        <v>2785</v>
      </c>
      <c r="F1441" s="49" t="s">
        <v>2792</v>
      </c>
      <c r="G1441" s="49" t="s">
        <v>2787</v>
      </c>
      <c r="H1441" s="49" t="s">
        <v>980</v>
      </c>
      <c r="I1441" s="50">
        <v>42907</v>
      </c>
      <c r="J1441" s="50">
        <v>43172</v>
      </c>
      <c r="K1441" s="50">
        <v>43355</v>
      </c>
      <c r="M1441" s="49" t="s">
        <v>7135</v>
      </c>
    </row>
    <row r="1442" spans="1:13" x14ac:dyDescent="0.35">
      <c r="A1442" s="49" t="s">
        <v>7136</v>
      </c>
      <c r="B1442" s="49" t="s">
        <v>7137</v>
      </c>
      <c r="C1442" s="49" t="s">
        <v>7138</v>
      </c>
      <c r="D1442" s="49" t="s">
        <v>1264</v>
      </c>
      <c r="E1442" s="49" t="s">
        <v>7057</v>
      </c>
      <c r="F1442" s="49" t="s">
        <v>2825</v>
      </c>
      <c r="G1442" s="49" t="s">
        <v>2787</v>
      </c>
      <c r="H1442" s="49" t="s">
        <v>2827</v>
      </c>
      <c r="I1442" s="50">
        <v>39873</v>
      </c>
      <c r="J1442" s="50">
        <v>40190</v>
      </c>
      <c r="K1442" s="50">
        <v>42569</v>
      </c>
      <c r="M1442" s="49" t="s">
        <v>7139</v>
      </c>
    </row>
    <row r="1443" spans="1:13" x14ac:dyDescent="0.35">
      <c r="A1443" s="49" t="s">
        <v>7140</v>
      </c>
      <c r="B1443" s="49" t="s">
        <v>7141</v>
      </c>
      <c r="C1443" s="49" t="s">
        <v>7142</v>
      </c>
      <c r="D1443" s="49" t="s">
        <v>1264</v>
      </c>
      <c r="E1443" s="49" t="s">
        <v>7057</v>
      </c>
      <c r="F1443" s="49" t="s">
        <v>2825</v>
      </c>
      <c r="G1443" s="49" t="s">
        <v>2787</v>
      </c>
      <c r="H1443" s="49" t="s">
        <v>2827</v>
      </c>
      <c r="I1443" s="50">
        <v>40060</v>
      </c>
      <c r="J1443" s="50">
        <v>40190</v>
      </c>
      <c r="K1443" s="50">
        <v>42569</v>
      </c>
      <c r="M1443" s="49" t="s">
        <v>7143</v>
      </c>
    </row>
    <row r="1444" spans="1:13" x14ac:dyDescent="0.35">
      <c r="A1444" s="49" t="s">
        <v>7144</v>
      </c>
      <c r="B1444" s="49" t="s">
        <v>7145</v>
      </c>
      <c r="C1444" s="49" t="s">
        <v>4086</v>
      </c>
      <c r="D1444" s="49" t="s">
        <v>1264</v>
      </c>
      <c r="E1444" s="49" t="s">
        <v>2785</v>
      </c>
      <c r="F1444" s="49" t="s">
        <v>4611</v>
      </c>
      <c r="G1444" s="49" t="s">
        <v>2787</v>
      </c>
      <c r="H1444" s="49" t="s">
        <v>3207</v>
      </c>
      <c r="I1444" s="50">
        <v>42398</v>
      </c>
      <c r="J1444" s="50">
        <v>42424</v>
      </c>
      <c r="K1444" s="50">
        <v>42605</v>
      </c>
      <c r="M1444" s="49" t="s">
        <v>7146</v>
      </c>
    </row>
    <row r="1445" spans="1:13" x14ac:dyDescent="0.35">
      <c r="A1445" s="49" t="s">
        <v>7147</v>
      </c>
      <c r="B1445" s="49" t="s">
        <v>7148</v>
      </c>
      <c r="C1445" s="49" t="s">
        <v>7149</v>
      </c>
      <c r="D1445" s="49" t="s">
        <v>1264</v>
      </c>
      <c r="E1445" s="49" t="s">
        <v>2908</v>
      </c>
      <c r="F1445" s="49" t="s">
        <v>2939</v>
      </c>
      <c r="G1445" s="49" t="s">
        <v>2787</v>
      </c>
      <c r="H1445" s="49" t="s">
        <v>980</v>
      </c>
      <c r="I1445" s="50">
        <v>39959</v>
      </c>
      <c r="J1445" s="50">
        <v>36906</v>
      </c>
      <c r="K1445" s="50">
        <v>41891</v>
      </c>
      <c r="M1445" s="49" t="s">
        <v>7150</v>
      </c>
    </row>
    <row r="1446" spans="1:13" x14ac:dyDescent="0.35">
      <c r="A1446" s="49" t="s">
        <v>7151</v>
      </c>
      <c r="B1446" s="49" t="s">
        <v>6427</v>
      </c>
      <c r="C1446" s="49" t="s">
        <v>7152</v>
      </c>
      <c r="D1446" s="49" t="s">
        <v>1264</v>
      </c>
      <c r="E1446" s="49" t="s">
        <v>2785</v>
      </c>
      <c r="F1446" s="49" t="s">
        <v>2792</v>
      </c>
      <c r="G1446" s="49" t="s">
        <v>2787</v>
      </c>
      <c r="H1446" s="49" t="s">
        <v>980</v>
      </c>
      <c r="I1446" s="50">
        <v>42314</v>
      </c>
      <c r="J1446" s="50">
        <v>42424</v>
      </c>
      <c r="K1446" s="50">
        <v>42605</v>
      </c>
      <c r="M1446" s="49" t="s">
        <v>7153</v>
      </c>
    </row>
    <row r="1447" spans="1:13" x14ac:dyDescent="0.35">
      <c r="A1447" s="49" t="s">
        <v>7154</v>
      </c>
      <c r="B1447" s="49" t="s">
        <v>3881</v>
      </c>
      <c r="C1447" s="49" t="s">
        <v>3927</v>
      </c>
      <c r="D1447" s="49" t="s">
        <v>1264</v>
      </c>
      <c r="E1447" s="49" t="s">
        <v>2785</v>
      </c>
      <c r="F1447" s="49" t="s">
        <v>2786</v>
      </c>
      <c r="G1447" s="49" t="s">
        <v>2787</v>
      </c>
      <c r="H1447" s="49" t="s">
        <v>980</v>
      </c>
      <c r="I1447" s="50">
        <v>43306</v>
      </c>
      <c r="J1447" s="50">
        <v>43514</v>
      </c>
      <c r="K1447" s="50">
        <v>43694</v>
      </c>
      <c r="M1447" s="49" t="s">
        <v>7155</v>
      </c>
    </row>
    <row r="1448" spans="1:13" x14ac:dyDescent="0.35">
      <c r="A1448" s="49" t="s">
        <v>7156</v>
      </c>
      <c r="B1448" s="49" t="s">
        <v>7157</v>
      </c>
      <c r="C1448" s="49" t="s">
        <v>7158</v>
      </c>
      <c r="D1448" s="49" t="s">
        <v>1264</v>
      </c>
      <c r="E1448" s="49" t="s">
        <v>2785</v>
      </c>
      <c r="F1448" s="49" t="s">
        <v>2792</v>
      </c>
      <c r="G1448" s="49" t="s">
        <v>2787</v>
      </c>
      <c r="H1448" s="49" t="s">
        <v>980</v>
      </c>
      <c r="I1448" s="50">
        <v>42822</v>
      </c>
      <c r="J1448" s="50">
        <v>42845</v>
      </c>
      <c r="K1448" s="50">
        <v>43027</v>
      </c>
      <c r="M1448" s="49" t="s">
        <v>7159</v>
      </c>
    </row>
    <row r="1449" spans="1:13" x14ac:dyDescent="0.35">
      <c r="A1449" s="49" t="s">
        <v>7160</v>
      </c>
      <c r="B1449" s="49" t="s">
        <v>3227</v>
      </c>
      <c r="C1449" s="49" t="s">
        <v>7161</v>
      </c>
      <c r="D1449" s="49" t="s">
        <v>1264</v>
      </c>
      <c r="E1449" s="49" t="s">
        <v>2908</v>
      </c>
      <c r="F1449" s="49" t="s">
        <v>2939</v>
      </c>
      <c r="G1449" s="49" t="s">
        <v>2787</v>
      </c>
      <c r="H1449" s="49" t="s">
        <v>3229</v>
      </c>
      <c r="I1449" s="50">
        <v>41207</v>
      </c>
      <c r="J1449" s="50">
        <v>41290</v>
      </c>
      <c r="K1449" s="50">
        <v>43115</v>
      </c>
      <c r="M1449" s="49" t="s">
        <v>7162</v>
      </c>
    </row>
    <row r="1450" spans="1:13" x14ac:dyDescent="0.35">
      <c r="A1450" s="49" t="s">
        <v>7163</v>
      </c>
      <c r="B1450" s="49" t="s">
        <v>7164</v>
      </c>
      <c r="C1450" s="49" t="s">
        <v>7165</v>
      </c>
      <c r="D1450" s="49" t="s">
        <v>1264</v>
      </c>
      <c r="E1450" s="49" t="s">
        <v>2785</v>
      </c>
      <c r="F1450" s="49" t="s">
        <v>2792</v>
      </c>
      <c r="G1450" s="49" t="s">
        <v>2787</v>
      </c>
      <c r="H1450" s="49" t="s">
        <v>8</v>
      </c>
      <c r="I1450" s="50">
        <v>42311</v>
      </c>
      <c r="J1450" s="50">
        <v>42425</v>
      </c>
      <c r="K1450" s="50">
        <v>42606</v>
      </c>
      <c r="M1450" s="49" t="s">
        <v>7166</v>
      </c>
    </row>
    <row r="1451" spans="1:13" x14ac:dyDescent="0.35">
      <c r="A1451" s="49" t="s">
        <v>7167</v>
      </c>
      <c r="B1451" s="49" t="s">
        <v>7168</v>
      </c>
      <c r="C1451" s="49" t="s">
        <v>7029</v>
      </c>
      <c r="D1451" s="49" t="s">
        <v>1264</v>
      </c>
      <c r="E1451" s="49" t="s">
        <v>2785</v>
      </c>
      <c r="F1451" s="49" t="s">
        <v>2805</v>
      </c>
      <c r="G1451" s="49" t="s">
        <v>2787</v>
      </c>
      <c r="H1451" s="49" t="s">
        <v>3207</v>
      </c>
      <c r="I1451" s="50">
        <v>42028</v>
      </c>
      <c r="J1451" s="50">
        <v>42067</v>
      </c>
      <c r="K1451" s="50">
        <v>42250</v>
      </c>
      <c r="M1451" s="49" t="s">
        <v>7169</v>
      </c>
    </row>
    <row r="1452" spans="1:13" x14ac:dyDescent="0.35">
      <c r="A1452" s="49" t="s">
        <v>7170</v>
      </c>
      <c r="B1452" s="49" t="s">
        <v>7171</v>
      </c>
      <c r="C1452" s="49" t="s">
        <v>7172</v>
      </c>
      <c r="D1452" s="49" t="s">
        <v>1264</v>
      </c>
      <c r="E1452" s="49" t="s">
        <v>2814</v>
      </c>
      <c r="F1452" s="49" t="s">
        <v>2825</v>
      </c>
      <c r="G1452" s="49" t="s">
        <v>2787</v>
      </c>
      <c r="H1452" s="49" t="s">
        <v>2827</v>
      </c>
      <c r="I1452" s="50">
        <v>42058</v>
      </c>
      <c r="J1452" s="50">
        <v>42069</v>
      </c>
      <c r="K1452" s="50">
        <v>42252</v>
      </c>
      <c r="M1452" s="49" t="s">
        <v>7173</v>
      </c>
    </row>
    <row r="1453" spans="1:13" x14ac:dyDescent="0.35">
      <c r="A1453" s="49" t="s">
        <v>7174</v>
      </c>
      <c r="B1453" s="49" t="s">
        <v>3881</v>
      </c>
      <c r="C1453" s="49" t="s">
        <v>7175</v>
      </c>
      <c r="D1453" s="49" t="s">
        <v>1264</v>
      </c>
      <c r="E1453" s="49" t="s">
        <v>2785</v>
      </c>
      <c r="F1453" s="49" t="s">
        <v>2786</v>
      </c>
      <c r="G1453" s="49" t="s">
        <v>2787</v>
      </c>
      <c r="H1453" s="49" t="s">
        <v>980</v>
      </c>
      <c r="I1453" s="50">
        <v>43129</v>
      </c>
      <c r="J1453" s="50">
        <v>43174</v>
      </c>
      <c r="K1453" s="50">
        <v>43722</v>
      </c>
      <c r="M1453" s="49" t="s">
        <v>7176</v>
      </c>
    </row>
    <row r="1454" spans="1:13" x14ac:dyDescent="0.35">
      <c r="A1454" s="49" t="s">
        <v>7177</v>
      </c>
      <c r="B1454" s="49" t="s">
        <v>7178</v>
      </c>
      <c r="C1454" s="49" t="s">
        <v>7175</v>
      </c>
      <c r="D1454" s="49" t="s">
        <v>1264</v>
      </c>
      <c r="E1454" s="49" t="s">
        <v>2785</v>
      </c>
      <c r="F1454" s="49" t="s">
        <v>2786</v>
      </c>
      <c r="G1454" s="49" t="s">
        <v>2787</v>
      </c>
      <c r="H1454" s="49" t="s">
        <v>980</v>
      </c>
      <c r="I1454" s="50">
        <v>42768</v>
      </c>
      <c r="J1454" s="50">
        <v>42849</v>
      </c>
      <c r="K1454" s="50">
        <v>43031</v>
      </c>
      <c r="M1454" s="49" t="s">
        <v>7179</v>
      </c>
    </row>
    <row r="1455" spans="1:13" x14ac:dyDescent="0.35">
      <c r="A1455" s="49" t="s">
        <v>7180</v>
      </c>
      <c r="B1455" s="49" t="s">
        <v>4677</v>
      </c>
      <c r="C1455" s="49" t="s">
        <v>7181</v>
      </c>
      <c r="D1455" s="49" t="s">
        <v>1264</v>
      </c>
      <c r="E1455" s="49" t="s">
        <v>2785</v>
      </c>
      <c r="F1455" s="49" t="s">
        <v>2792</v>
      </c>
      <c r="G1455" s="49" t="s">
        <v>2787</v>
      </c>
      <c r="H1455" s="49" t="s">
        <v>8</v>
      </c>
      <c r="I1455" s="50">
        <v>42305</v>
      </c>
      <c r="J1455" s="50">
        <v>42428</v>
      </c>
      <c r="K1455" s="50">
        <v>42610</v>
      </c>
      <c r="M1455" s="49" t="s">
        <v>7182</v>
      </c>
    </row>
    <row r="1456" spans="1:13" x14ac:dyDescent="0.35">
      <c r="A1456" s="49" t="s">
        <v>7183</v>
      </c>
      <c r="B1456" s="49" t="s">
        <v>7184</v>
      </c>
      <c r="C1456" s="49" t="s">
        <v>7185</v>
      </c>
      <c r="D1456" s="49" t="s">
        <v>1264</v>
      </c>
      <c r="E1456" s="49" t="s">
        <v>2785</v>
      </c>
      <c r="F1456" s="49" t="s">
        <v>2792</v>
      </c>
      <c r="G1456" s="49" t="s">
        <v>2787</v>
      </c>
      <c r="H1456" s="49" t="s">
        <v>8</v>
      </c>
      <c r="I1456" s="50">
        <v>40968</v>
      </c>
      <c r="J1456" s="50">
        <v>41002</v>
      </c>
      <c r="K1456" s="50">
        <v>41184</v>
      </c>
      <c r="M1456" s="49" t="s">
        <v>7186</v>
      </c>
    </row>
    <row r="1457" spans="1:13" x14ac:dyDescent="0.35">
      <c r="A1457" s="49" t="s">
        <v>7187</v>
      </c>
      <c r="B1457" s="49" t="s">
        <v>7188</v>
      </c>
      <c r="C1457" s="49" t="s">
        <v>7189</v>
      </c>
      <c r="D1457" s="49" t="s">
        <v>1264</v>
      </c>
      <c r="E1457" s="49" t="s">
        <v>2785</v>
      </c>
      <c r="F1457" s="49" t="s">
        <v>2786</v>
      </c>
      <c r="G1457" s="49" t="s">
        <v>2787</v>
      </c>
      <c r="H1457" s="49" t="s">
        <v>2806</v>
      </c>
      <c r="I1457" s="50">
        <v>43071</v>
      </c>
      <c r="J1457" s="50">
        <v>42858</v>
      </c>
      <c r="K1457" s="50">
        <v>43041</v>
      </c>
      <c r="M1457" s="49" t="s">
        <v>7190</v>
      </c>
    </row>
    <row r="1458" spans="1:13" x14ac:dyDescent="0.35">
      <c r="A1458" s="49" t="s">
        <v>7191</v>
      </c>
      <c r="C1458" s="49" t="s">
        <v>4286</v>
      </c>
      <c r="D1458" s="49" t="s">
        <v>1264</v>
      </c>
      <c r="E1458" s="49" t="s">
        <v>2785</v>
      </c>
      <c r="F1458" s="49" t="s">
        <v>2792</v>
      </c>
      <c r="G1458" s="49" t="s">
        <v>2787</v>
      </c>
      <c r="H1458" s="49" t="s">
        <v>8</v>
      </c>
      <c r="I1458" s="50">
        <v>43076</v>
      </c>
      <c r="J1458" s="50">
        <v>43180</v>
      </c>
      <c r="K1458" s="50">
        <v>43363</v>
      </c>
      <c r="M1458" s="49" t="s">
        <v>7192</v>
      </c>
    </row>
    <row r="1459" spans="1:13" x14ac:dyDescent="0.35">
      <c r="A1459" s="49" t="s">
        <v>7193</v>
      </c>
      <c r="B1459" s="49" t="s">
        <v>4497</v>
      </c>
      <c r="C1459" s="49" t="s">
        <v>7194</v>
      </c>
      <c r="D1459" s="49" t="s">
        <v>1264</v>
      </c>
      <c r="E1459" s="49" t="s">
        <v>2785</v>
      </c>
      <c r="F1459" s="49" t="s">
        <v>2792</v>
      </c>
      <c r="G1459" s="49" t="s">
        <v>2820</v>
      </c>
      <c r="H1459" s="49" t="s">
        <v>8</v>
      </c>
      <c r="I1459" s="50">
        <v>42758</v>
      </c>
      <c r="J1459" s="50">
        <v>42860</v>
      </c>
      <c r="K1459" s="50">
        <v>43043</v>
      </c>
      <c r="M1459" s="49" t="s">
        <v>7195</v>
      </c>
    </row>
    <row r="1460" spans="1:13" x14ac:dyDescent="0.35">
      <c r="A1460" s="49" t="s">
        <v>7196</v>
      </c>
      <c r="B1460" s="49" t="s">
        <v>7197</v>
      </c>
      <c r="C1460" s="49" t="s">
        <v>4237</v>
      </c>
      <c r="D1460" s="49" t="s">
        <v>1264</v>
      </c>
      <c r="E1460" s="49" t="s">
        <v>2785</v>
      </c>
      <c r="F1460" s="49" t="s">
        <v>2792</v>
      </c>
      <c r="G1460" s="49" t="s">
        <v>2787</v>
      </c>
      <c r="H1460" s="49" t="s">
        <v>980</v>
      </c>
      <c r="I1460" s="50">
        <v>42767</v>
      </c>
      <c r="J1460" s="50">
        <v>42860</v>
      </c>
      <c r="K1460" s="50">
        <v>43043</v>
      </c>
      <c r="L1460" s="50">
        <v>44323</v>
      </c>
      <c r="M1460" s="49" t="s">
        <v>7198</v>
      </c>
    </row>
    <row r="1461" spans="1:13" x14ac:dyDescent="0.35">
      <c r="A1461" s="49" t="s">
        <v>7199</v>
      </c>
      <c r="B1461" s="49" t="s">
        <v>7200</v>
      </c>
      <c r="C1461" s="49" t="s">
        <v>4286</v>
      </c>
      <c r="D1461" s="49" t="s">
        <v>1264</v>
      </c>
      <c r="E1461" s="49" t="s">
        <v>2785</v>
      </c>
      <c r="F1461" s="49" t="s">
        <v>2792</v>
      </c>
      <c r="G1461" s="49" t="s">
        <v>2787</v>
      </c>
      <c r="H1461" s="49" t="s">
        <v>8</v>
      </c>
      <c r="I1461" s="50">
        <v>42831</v>
      </c>
      <c r="J1461" s="50">
        <v>42860</v>
      </c>
      <c r="K1461" s="50">
        <v>43043</v>
      </c>
      <c r="M1461" s="49" t="s">
        <v>7201</v>
      </c>
    </row>
    <row r="1462" spans="1:13" x14ac:dyDescent="0.35">
      <c r="A1462" s="49" t="s">
        <v>7202</v>
      </c>
      <c r="B1462" s="49" t="s">
        <v>7203</v>
      </c>
      <c r="C1462" s="49" t="s">
        <v>7158</v>
      </c>
      <c r="D1462" s="49" t="s">
        <v>1264</v>
      </c>
      <c r="E1462" s="49" t="s">
        <v>2785</v>
      </c>
      <c r="F1462" s="49" t="s">
        <v>2792</v>
      </c>
      <c r="G1462" s="49" t="s">
        <v>2787</v>
      </c>
      <c r="H1462" s="49" t="s">
        <v>980</v>
      </c>
      <c r="I1462" s="50">
        <v>42822</v>
      </c>
      <c r="J1462" s="50">
        <v>42860</v>
      </c>
      <c r="K1462" s="50">
        <v>43043</v>
      </c>
      <c r="M1462" s="49" t="s">
        <v>7204</v>
      </c>
    </row>
    <row r="1463" spans="1:13" x14ac:dyDescent="0.35">
      <c r="A1463" s="49" t="s">
        <v>7205</v>
      </c>
      <c r="B1463" s="49" t="s">
        <v>7206</v>
      </c>
      <c r="C1463" s="49" t="s">
        <v>7207</v>
      </c>
      <c r="D1463" s="49" t="s">
        <v>1264</v>
      </c>
      <c r="E1463" s="49" t="s">
        <v>2974</v>
      </c>
      <c r="F1463" s="49" t="s">
        <v>2825</v>
      </c>
      <c r="G1463" s="49" t="s">
        <v>2787</v>
      </c>
      <c r="H1463" s="49" t="s">
        <v>2827</v>
      </c>
      <c r="I1463" s="50">
        <v>39818</v>
      </c>
      <c r="J1463" s="50">
        <v>40193</v>
      </c>
      <c r="K1463" s="50">
        <v>41289</v>
      </c>
      <c r="M1463" s="49" t="s">
        <v>7208</v>
      </c>
    </row>
    <row r="1464" spans="1:13" x14ac:dyDescent="0.35">
      <c r="A1464" s="49" t="s">
        <v>7209</v>
      </c>
      <c r="B1464" s="49" t="s">
        <v>5640</v>
      </c>
      <c r="C1464" s="49" t="s">
        <v>7210</v>
      </c>
      <c r="D1464" s="49" t="s">
        <v>1264</v>
      </c>
      <c r="E1464" s="49" t="s">
        <v>2785</v>
      </c>
      <c r="F1464" s="49" t="s">
        <v>2792</v>
      </c>
      <c r="G1464" s="49" t="s">
        <v>2787</v>
      </c>
      <c r="H1464" s="49" t="s">
        <v>980</v>
      </c>
      <c r="I1464" s="50">
        <v>42249</v>
      </c>
      <c r="J1464" s="50">
        <v>42634</v>
      </c>
      <c r="K1464" s="50">
        <v>42814</v>
      </c>
      <c r="M1464" s="49" t="s">
        <v>7211</v>
      </c>
    </row>
    <row r="1465" spans="1:13" x14ac:dyDescent="0.35">
      <c r="A1465" s="49" t="s">
        <v>7212</v>
      </c>
      <c r="B1465" s="49" t="s">
        <v>2863</v>
      </c>
      <c r="C1465" s="49" t="s">
        <v>7213</v>
      </c>
      <c r="D1465" s="49" t="s">
        <v>1264</v>
      </c>
      <c r="E1465" s="49" t="s">
        <v>2814</v>
      </c>
      <c r="F1465" s="49" t="s">
        <v>2825</v>
      </c>
      <c r="G1465" s="49" t="s">
        <v>2787</v>
      </c>
      <c r="H1465" s="49" t="s">
        <v>2827</v>
      </c>
      <c r="I1465" s="50">
        <v>42047</v>
      </c>
      <c r="J1465" s="50">
        <v>42080</v>
      </c>
      <c r="K1465" s="50">
        <v>42263</v>
      </c>
      <c r="M1465" s="49" t="s">
        <v>7214</v>
      </c>
    </row>
    <row r="1466" spans="1:13" x14ac:dyDescent="0.35">
      <c r="A1466" s="49" t="s">
        <v>7215</v>
      </c>
      <c r="B1466" s="49" t="s">
        <v>2863</v>
      </c>
      <c r="C1466" s="49" t="s">
        <v>7216</v>
      </c>
      <c r="D1466" s="49" t="s">
        <v>1264</v>
      </c>
      <c r="E1466" s="49" t="s">
        <v>2814</v>
      </c>
      <c r="F1466" s="49" t="s">
        <v>2825</v>
      </c>
      <c r="G1466" s="49" t="s">
        <v>2787</v>
      </c>
      <c r="H1466" s="49" t="s">
        <v>2827</v>
      </c>
      <c r="I1466" s="50">
        <v>42047</v>
      </c>
      <c r="J1466" s="50">
        <v>42080</v>
      </c>
      <c r="K1466" s="50">
        <v>42263</v>
      </c>
      <c r="M1466" s="49" t="s">
        <v>7214</v>
      </c>
    </row>
    <row r="1467" spans="1:13" x14ac:dyDescent="0.35">
      <c r="A1467" s="49" t="s">
        <v>7217</v>
      </c>
      <c r="B1467" s="49" t="s">
        <v>7218</v>
      </c>
      <c r="C1467" s="49" t="s">
        <v>7219</v>
      </c>
      <c r="D1467" s="49" t="s">
        <v>1264</v>
      </c>
      <c r="E1467" s="49" t="s">
        <v>2785</v>
      </c>
      <c r="F1467" s="49" t="s">
        <v>2792</v>
      </c>
      <c r="G1467" s="49" t="s">
        <v>2787</v>
      </c>
      <c r="H1467" s="49" t="s">
        <v>8</v>
      </c>
      <c r="I1467" s="50">
        <v>42782</v>
      </c>
      <c r="J1467" s="50">
        <v>42866</v>
      </c>
      <c r="K1467" s="50">
        <v>43049</v>
      </c>
      <c r="M1467" s="49" t="s">
        <v>7220</v>
      </c>
    </row>
    <row r="1468" spans="1:13" x14ac:dyDescent="0.35">
      <c r="A1468" s="49" t="s">
        <v>7221</v>
      </c>
      <c r="B1468" s="49" t="s">
        <v>2818</v>
      </c>
      <c r="C1468" s="49" t="s">
        <v>3660</v>
      </c>
      <c r="D1468" s="49" t="s">
        <v>1264</v>
      </c>
      <c r="E1468" s="49" t="s">
        <v>2785</v>
      </c>
      <c r="F1468" s="49" t="s">
        <v>2792</v>
      </c>
      <c r="G1468" s="49" t="s">
        <v>2787</v>
      </c>
      <c r="H1468" s="49" t="s">
        <v>8</v>
      </c>
      <c r="I1468" s="50">
        <v>42410</v>
      </c>
      <c r="J1468" s="50">
        <v>42866</v>
      </c>
      <c r="K1468" s="50">
        <v>43049</v>
      </c>
      <c r="M1468" s="49" t="s">
        <v>7222</v>
      </c>
    </row>
    <row r="1469" spans="1:13" x14ac:dyDescent="0.35">
      <c r="A1469" s="49" t="s">
        <v>7223</v>
      </c>
      <c r="B1469" s="49" t="s">
        <v>7224</v>
      </c>
      <c r="C1469" s="49" t="s">
        <v>2791</v>
      </c>
      <c r="D1469" s="49" t="s">
        <v>1264</v>
      </c>
      <c r="E1469" s="49" t="s">
        <v>2785</v>
      </c>
      <c r="F1469" s="49" t="s">
        <v>2792</v>
      </c>
      <c r="G1469" s="49" t="s">
        <v>2787</v>
      </c>
      <c r="H1469" s="49" t="s">
        <v>857</v>
      </c>
      <c r="I1469" s="50">
        <v>43147</v>
      </c>
      <c r="J1469" s="50">
        <v>43182</v>
      </c>
      <c r="K1469" s="50">
        <v>43365</v>
      </c>
      <c r="M1469" s="49" t="s">
        <v>7225</v>
      </c>
    </row>
    <row r="1470" spans="1:13" x14ac:dyDescent="0.35">
      <c r="A1470" s="49" t="s">
        <v>7226</v>
      </c>
      <c r="B1470" s="49" t="s">
        <v>4453</v>
      </c>
      <c r="C1470" s="49" t="s">
        <v>4286</v>
      </c>
      <c r="D1470" s="49" t="s">
        <v>1264</v>
      </c>
      <c r="E1470" s="49" t="s">
        <v>2785</v>
      </c>
      <c r="F1470" s="49" t="s">
        <v>2792</v>
      </c>
      <c r="G1470" s="49" t="s">
        <v>2787</v>
      </c>
      <c r="H1470" s="49" t="s">
        <v>980</v>
      </c>
      <c r="I1470" s="50">
        <v>43031</v>
      </c>
      <c r="J1470" s="50">
        <v>43185</v>
      </c>
      <c r="K1470" s="50">
        <v>43368</v>
      </c>
      <c r="M1470" s="49" t="s">
        <v>7227</v>
      </c>
    </row>
    <row r="1471" spans="1:13" x14ac:dyDescent="0.35">
      <c r="A1471" s="49" t="s">
        <v>7228</v>
      </c>
      <c r="B1471" s="49" t="s">
        <v>4677</v>
      </c>
      <c r="C1471" s="49" t="s">
        <v>7229</v>
      </c>
      <c r="D1471" s="49" t="s">
        <v>1264</v>
      </c>
      <c r="E1471" s="49" t="s">
        <v>2785</v>
      </c>
      <c r="F1471" s="49" t="s">
        <v>2792</v>
      </c>
      <c r="G1471" s="49" t="s">
        <v>2787</v>
      </c>
      <c r="H1471" s="49" t="s">
        <v>8</v>
      </c>
      <c r="I1471" s="50">
        <v>43105</v>
      </c>
      <c r="J1471" s="50">
        <v>43185</v>
      </c>
      <c r="K1471" s="50">
        <v>43368</v>
      </c>
      <c r="M1471" s="49" t="s">
        <v>7230</v>
      </c>
    </row>
    <row r="1472" spans="1:13" x14ac:dyDescent="0.35">
      <c r="A1472" s="49" t="s">
        <v>7231</v>
      </c>
      <c r="B1472" s="49" t="s">
        <v>7079</v>
      </c>
      <c r="C1472" s="49" t="s">
        <v>4480</v>
      </c>
      <c r="D1472" s="49" t="s">
        <v>1264</v>
      </c>
      <c r="E1472" s="49" t="s">
        <v>2785</v>
      </c>
      <c r="F1472" s="49" t="s">
        <v>2792</v>
      </c>
      <c r="G1472" s="49" t="s">
        <v>2787</v>
      </c>
      <c r="H1472" s="49" t="s">
        <v>835</v>
      </c>
      <c r="I1472" s="50">
        <v>42864</v>
      </c>
      <c r="J1472" s="50">
        <v>42872</v>
      </c>
      <c r="K1472" s="50">
        <v>43055</v>
      </c>
      <c r="M1472" s="49" t="s">
        <v>7232</v>
      </c>
    </row>
    <row r="1473" spans="1:13" x14ac:dyDescent="0.35">
      <c r="A1473" s="49" t="s">
        <v>7233</v>
      </c>
      <c r="B1473" s="49" t="s">
        <v>7234</v>
      </c>
      <c r="C1473" s="49" t="s">
        <v>7235</v>
      </c>
      <c r="D1473" s="49" t="s">
        <v>1264</v>
      </c>
      <c r="E1473" s="49" t="s">
        <v>2908</v>
      </c>
      <c r="F1473" s="49" t="s">
        <v>3010</v>
      </c>
      <c r="G1473" s="49" t="s">
        <v>2826</v>
      </c>
      <c r="H1473" s="49" t="s">
        <v>980</v>
      </c>
      <c r="I1473" s="50">
        <v>30687</v>
      </c>
      <c r="J1473" s="50">
        <v>30695</v>
      </c>
      <c r="K1473" s="50">
        <v>39907</v>
      </c>
      <c r="M1473" s="49" t="s">
        <v>7236</v>
      </c>
    </row>
    <row r="1474" spans="1:13" x14ac:dyDescent="0.35">
      <c r="A1474" s="49" t="s">
        <v>7237</v>
      </c>
      <c r="B1474" s="49" t="s">
        <v>7238</v>
      </c>
      <c r="C1474" s="49" t="s">
        <v>7239</v>
      </c>
      <c r="D1474" s="49" t="s">
        <v>1264</v>
      </c>
      <c r="E1474" s="49" t="s">
        <v>2974</v>
      </c>
      <c r="F1474" s="49" t="s">
        <v>2825</v>
      </c>
      <c r="G1474" s="49" t="s">
        <v>2787</v>
      </c>
      <c r="H1474" s="49" t="s">
        <v>2827</v>
      </c>
      <c r="I1474" s="50">
        <v>39432</v>
      </c>
      <c r="J1474" s="50">
        <v>39458</v>
      </c>
      <c r="K1474" s="50">
        <v>40553</v>
      </c>
      <c r="M1474" s="49" t="s">
        <v>3470</v>
      </c>
    </row>
    <row r="1475" spans="1:13" x14ac:dyDescent="0.35">
      <c r="A1475" s="49" t="s">
        <v>7240</v>
      </c>
      <c r="B1475" s="49" t="s">
        <v>7241</v>
      </c>
      <c r="C1475" s="49" t="s">
        <v>7242</v>
      </c>
      <c r="D1475" s="49" t="s">
        <v>1264</v>
      </c>
      <c r="E1475" s="49" t="s">
        <v>2785</v>
      </c>
      <c r="F1475" s="49" t="s">
        <v>2792</v>
      </c>
      <c r="G1475" s="49" t="s">
        <v>2787</v>
      </c>
      <c r="H1475" s="49" t="s">
        <v>8</v>
      </c>
      <c r="I1475" s="50">
        <v>41023</v>
      </c>
      <c r="J1475" s="50">
        <v>41038</v>
      </c>
      <c r="K1475" s="50">
        <v>41221</v>
      </c>
      <c r="M1475" s="49" t="s">
        <v>6961</v>
      </c>
    </row>
    <row r="1476" spans="1:13" x14ac:dyDescent="0.35">
      <c r="A1476" s="49" t="s">
        <v>7243</v>
      </c>
      <c r="B1476" s="49" t="s">
        <v>2849</v>
      </c>
      <c r="C1476" s="49" t="s">
        <v>4421</v>
      </c>
      <c r="D1476" s="49" t="s">
        <v>1264</v>
      </c>
      <c r="E1476" s="49" t="s">
        <v>2785</v>
      </c>
      <c r="F1476" s="49" t="s">
        <v>2792</v>
      </c>
      <c r="G1476" s="49" t="s">
        <v>2787</v>
      </c>
      <c r="H1476" s="49" t="s">
        <v>980</v>
      </c>
      <c r="I1476" s="50">
        <v>43592</v>
      </c>
      <c r="J1476" s="50">
        <v>43921</v>
      </c>
      <c r="K1476" s="50">
        <v>44285</v>
      </c>
      <c r="M1476" s="49" t="s">
        <v>7244</v>
      </c>
    </row>
    <row r="1477" spans="1:13" x14ac:dyDescent="0.35">
      <c r="A1477" s="49" t="s">
        <v>7245</v>
      </c>
      <c r="B1477" s="49" t="s">
        <v>7246</v>
      </c>
      <c r="C1477" s="49" t="s">
        <v>7247</v>
      </c>
      <c r="D1477" s="49" t="s">
        <v>1264</v>
      </c>
      <c r="E1477" s="49" t="s">
        <v>2785</v>
      </c>
      <c r="F1477" s="49" t="s">
        <v>2792</v>
      </c>
      <c r="G1477" s="49" t="s">
        <v>2787</v>
      </c>
      <c r="H1477" s="49" t="s">
        <v>8</v>
      </c>
      <c r="I1477" s="50">
        <v>42771</v>
      </c>
      <c r="J1477" s="50">
        <v>43278</v>
      </c>
      <c r="K1477" s="50">
        <v>43642</v>
      </c>
      <c r="M1477" s="49" t="s">
        <v>7105</v>
      </c>
    </row>
    <row r="1478" spans="1:13" x14ac:dyDescent="0.35">
      <c r="A1478" s="49" t="s">
        <v>7248</v>
      </c>
      <c r="B1478" s="49" t="s">
        <v>7249</v>
      </c>
      <c r="C1478" s="49" t="s">
        <v>7250</v>
      </c>
      <c r="D1478" s="49" t="s">
        <v>1264</v>
      </c>
      <c r="E1478" s="49" t="s">
        <v>2785</v>
      </c>
      <c r="F1478" s="49" t="s">
        <v>2792</v>
      </c>
      <c r="G1478" s="49" t="s">
        <v>2787</v>
      </c>
      <c r="H1478" s="49" t="s">
        <v>8</v>
      </c>
      <c r="I1478" s="50">
        <v>42641</v>
      </c>
      <c r="J1478" s="50">
        <v>43283</v>
      </c>
      <c r="K1478" s="50">
        <v>43466</v>
      </c>
      <c r="M1478" s="49" t="s">
        <v>7251</v>
      </c>
    </row>
    <row r="1479" spans="1:13" x14ac:dyDescent="0.35">
      <c r="A1479" s="49" t="s">
        <v>7252</v>
      </c>
      <c r="C1479" s="49" t="s">
        <v>4286</v>
      </c>
      <c r="D1479" s="49" t="s">
        <v>1264</v>
      </c>
      <c r="E1479" s="49" t="s">
        <v>2785</v>
      </c>
      <c r="F1479" s="49" t="s">
        <v>2792</v>
      </c>
      <c r="G1479" s="49" t="s">
        <v>2787</v>
      </c>
      <c r="H1479" s="49" t="s">
        <v>980</v>
      </c>
      <c r="I1479" s="50">
        <v>43790</v>
      </c>
      <c r="J1479" s="50">
        <v>40276</v>
      </c>
      <c r="K1479" s="50">
        <v>44293</v>
      </c>
      <c r="M1479" s="49" t="s">
        <v>7253</v>
      </c>
    </row>
    <row r="1480" spans="1:13" x14ac:dyDescent="0.35">
      <c r="A1480" s="49" t="s">
        <v>7254</v>
      </c>
      <c r="B1480" s="49" t="s">
        <v>7255</v>
      </c>
      <c r="C1480" s="49" t="s">
        <v>3731</v>
      </c>
      <c r="D1480" s="49" t="s">
        <v>1264</v>
      </c>
      <c r="E1480" s="49" t="s">
        <v>2785</v>
      </c>
      <c r="F1480" s="49" t="s">
        <v>3253</v>
      </c>
      <c r="G1480" s="49" t="s">
        <v>2787</v>
      </c>
      <c r="H1480" s="49" t="s">
        <v>973</v>
      </c>
      <c r="I1480" s="50">
        <v>42864</v>
      </c>
      <c r="J1480" s="50">
        <v>42879</v>
      </c>
      <c r="K1480" s="50">
        <v>43062</v>
      </c>
      <c r="M1480" s="49" t="s">
        <v>7256</v>
      </c>
    </row>
    <row r="1481" spans="1:13" x14ac:dyDescent="0.35">
      <c r="A1481" s="49" t="s">
        <v>7257</v>
      </c>
      <c r="B1481" s="49" t="s">
        <v>4838</v>
      </c>
      <c r="C1481" s="49" t="s">
        <v>7258</v>
      </c>
      <c r="D1481" s="49" t="s">
        <v>1264</v>
      </c>
      <c r="E1481" s="49" t="s">
        <v>7057</v>
      </c>
      <c r="F1481" s="49" t="s">
        <v>2825</v>
      </c>
      <c r="G1481" s="49" t="s">
        <v>2787</v>
      </c>
      <c r="H1481" s="49" t="s">
        <v>2827</v>
      </c>
      <c r="I1481" s="50">
        <v>40918</v>
      </c>
      <c r="J1481" s="50">
        <v>40927</v>
      </c>
      <c r="K1481" s="50">
        <v>42569</v>
      </c>
      <c r="M1481" s="49" t="s">
        <v>3100</v>
      </c>
    </row>
    <row r="1482" spans="1:13" x14ac:dyDescent="0.35">
      <c r="A1482" s="49" t="s">
        <v>7259</v>
      </c>
      <c r="B1482" s="49" t="s">
        <v>3933</v>
      </c>
      <c r="C1482" s="49" t="s">
        <v>6693</v>
      </c>
      <c r="D1482" s="49" t="s">
        <v>1264</v>
      </c>
      <c r="E1482" s="49" t="s">
        <v>2974</v>
      </c>
      <c r="F1482" s="49" t="s">
        <v>3108</v>
      </c>
      <c r="G1482" s="49" t="s">
        <v>2787</v>
      </c>
      <c r="H1482" s="49" t="s">
        <v>2827</v>
      </c>
      <c r="I1482" s="50">
        <v>40918</v>
      </c>
      <c r="J1482" s="50">
        <v>41001</v>
      </c>
      <c r="K1482" s="50">
        <v>42023</v>
      </c>
      <c r="M1482" s="49" t="s">
        <v>7260</v>
      </c>
    </row>
    <row r="1483" spans="1:13" x14ac:dyDescent="0.35">
      <c r="A1483" s="49" t="s">
        <v>7261</v>
      </c>
      <c r="B1483" s="49" t="s">
        <v>4293</v>
      </c>
      <c r="C1483" s="49" t="s">
        <v>7262</v>
      </c>
      <c r="D1483" s="49" t="s">
        <v>1264</v>
      </c>
      <c r="E1483" s="49" t="s">
        <v>2785</v>
      </c>
      <c r="F1483" s="49" t="s">
        <v>2786</v>
      </c>
      <c r="G1483" s="49" t="s">
        <v>2787</v>
      </c>
      <c r="H1483" s="49" t="s">
        <v>980</v>
      </c>
      <c r="I1483" s="50">
        <v>43530</v>
      </c>
      <c r="J1483" s="50">
        <v>43549</v>
      </c>
      <c r="K1483" s="50">
        <v>43670</v>
      </c>
      <c r="M1483" s="49" t="s">
        <v>7263</v>
      </c>
    </row>
    <row r="1484" spans="1:13" x14ac:dyDescent="0.35">
      <c r="A1484" s="49" t="s">
        <v>7264</v>
      </c>
      <c r="B1484" s="49" t="s">
        <v>7265</v>
      </c>
      <c r="C1484" s="49" t="s">
        <v>7266</v>
      </c>
      <c r="D1484" s="49" t="s">
        <v>1264</v>
      </c>
      <c r="E1484" s="49" t="s">
        <v>2785</v>
      </c>
      <c r="F1484" s="49" t="s">
        <v>2786</v>
      </c>
      <c r="G1484" s="49" t="s">
        <v>2787</v>
      </c>
      <c r="H1484" s="49" t="s">
        <v>4225</v>
      </c>
      <c r="I1484" s="50">
        <v>43240</v>
      </c>
      <c r="J1484" s="50">
        <v>43549</v>
      </c>
      <c r="K1484" s="50">
        <v>43732</v>
      </c>
      <c r="M1484" s="49" t="s">
        <v>7267</v>
      </c>
    </row>
    <row r="1485" spans="1:13" x14ac:dyDescent="0.35">
      <c r="A1485" s="49" t="s">
        <v>7268</v>
      </c>
      <c r="B1485" s="49" t="s">
        <v>7269</v>
      </c>
      <c r="C1485" s="49" t="s">
        <v>7266</v>
      </c>
      <c r="D1485" s="49" t="s">
        <v>1264</v>
      </c>
      <c r="E1485" s="49" t="s">
        <v>2785</v>
      </c>
      <c r="F1485" s="49" t="s">
        <v>2786</v>
      </c>
      <c r="G1485" s="49" t="s">
        <v>2787</v>
      </c>
      <c r="H1485" s="49" t="s">
        <v>4225</v>
      </c>
      <c r="I1485" s="50">
        <v>43240</v>
      </c>
      <c r="J1485" s="50">
        <v>43549</v>
      </c>
      <c r="K1485" s="50">
        <v>43732</v>
      </c>
      <c r="M1485" s="49" t="s">
        <v>7270</v>
      </c>
    </row>
    <row r="1486" spans="1:13" x14ac:dyDescent="0.35">
      <c r="A1486" s="49" t="s">
        <v>7271</v>
      </c>
      <c r="B1486" s="49" t="s">
        <v>7272</v>
      </c>
      <c r="C1486" s="49" t="s">
        <v>7266</v>
      </c>
      <c r="D1486" s="49" t="s">
        <v>1264</v>
      </c>
      <c r="E1486" s="49" t="s">
        <v>2785</v>
      </c>
      <c r="F1486" s="49" t="s">
        <v>2786</v>
      </c>
      <c r="G1486" s="49" t="s">
        <v>2787</v>
      </c>
      <c r="H1486" s="49" t="s">
        <v>4225</v>
      </c>
      <c r="I1486" s="50">
        <v>43240</v>
      </c>
      <c r="J1486" s="50">
        <v>43549</v>
      </c>
      <c r="K1486" s="50">
        <v>43732</v>
      </c>
      <c r="M1486" s="49" t="s">
        <v>7273</v>
      </c>
    </row>
    <row r="1487" spans="1:13" x14ac:dyDescent="0.35">
      <c r="A1487" s="49" t="s">
        <v>7274</v>
      </c>
      <c r="B1487" s="49" t="s">
        <v>5778</v>
      </c>
      <c r="C1487" s="49" t="s">
        <v>4095</v>
      </c>
      <c r="D1487" s="49" t="s">
        <v>1264</v>
      </c>
      <c r="E1487" s="49" t="s">
        <v>2785</v>
      </c>
      <c r="F1487" s="49" t="s">
        <v>2792</v>
      </c>
      <c r="G1487" s="49" t="s">
        <v>2787</v>
      </c>
      <c r="H1487" s="49" t="s">
        <v>8</v>
      </c>
      <c r="I1487" s="50">
        <v>43902</v>
      </c>
      <c r="J1487" s="50">
        <v>43948</v>
      </c>
      <c r="K1487" s="50">
        <v>44312</v>
      </c>
      <c r="M1487" s="49" t="s">
        <v>7275</v>
      </c>
    </row>
    <row r="1488" spans="1:13" x14ac:dyDescent="0.35">
      <c r="A1488" s="49" t="s">
        <v>7276</v>
      </c>
      <c r="B1488" s="49" t="s">
        <v>4014</v>
      </c>
      <c r="C1488" s="49" t="s">
        <v>7277</v>
      </c>
      <c r="D1488" s="49" t="s">
        <v>1264</v>
      </c>
      <c r="E1488" s="49" t="s">
        <v>2785</v>
      </c>
      <c r="F1488" s="49" t="s">
        <v>2792</v>
      </c>
      <c r="G1488" s="49" t="s">
        <v>2787</v>
      </c>
      <c r="H1488" s="49" t="s">
        <v>8</v>
      </c>
      <c r="I1488" s="50">
        <v>43902</v>
      </c>
      <c r="J1488" s="50">
        <v>43948</v>
      </c>
      <c r="K1488" s="50">
        <v>43947</v>
      </c>
      <c r="M1488" s="49" t="s">
        <v>7278</v>
      </c>
    </row>
    <row r="1489" spans="1:13" x14ac:dyDescent="0.35">
      <c r="A1489" s="49" t="s">
        <v>7279</v>
      </c>
      <c r="B1489" s="49" t="s">
        <v>7280</v>
      </c>
      <c r="C1489" s="49" t="s">
        <v>7006</v>
      </c>
      <c r="D1489" s="49" t="s">
        <v>1264</v>
      </c>
      <c r="E1489" s="49" t="s">
        <v>2785</v>
      </c>
      <c r="F1489" s="49" t="s">
        <v>2792</v>
      </c>
      <c r="G1489" s="49" t="s">
        <v>2787</v>
      </c>
      <c r="H1489" s="49" t="s">
        <v>980</v>
      </c>
      <c r="I1489" s="50">
        <v>42439</v>
      </c>
      <c r="J1489" s="50">
        <v>42634</v>
      </c>
      <c r="K1489" s="50">
        <v>42814</v>
      </c>
      <c r="M1489" s="49" t="s">
        <v>7281</v>
      </c>
    </row>
    <row r="1490" spans="1:13" x14ac:dyDescent="0.35">
      <c r="A1490" s="49" t="s">
        <v>7282</v>
      </c>
      <c r="B1490" s="49" t="s">
        <v>7066</v>
      </c>
      <c r="C1490" s="49" t="s">
        <v>3963</v>
      </c>
      <c r="D1490" s="49" t="s">
        <v>1264</v>
      </c>
      <c r="E1490" s="49" t="s">
        <v>2785</v>
      </c>
      <c r="F1490" s="49" t="s">
        <v>2792</v>
      </c>
      <c r="G1490" s="49" t="s">
        <v>2787</v>
      </c>
      <c r="H1490" s="49" t="s">
        <v>980</v>
      </c>
      <c r="I1490" s="50">
        <v>43152</v>
      </c>
      <c r="J1490" s="50">
        <v>43193</v>
      </c>
      <c r="K1490" s="50">
        <v>43375</v>
      </c>
      <c r="M1490" s="49" t="s">
        <v>7283</v>
      </c>
    </row>
    <row r="1491" spans="1:13" x14ac:dyDescent="0.35">
      <c r="A1491" s="49" t="s">
        <v>7284</v>
      </c>
      <c r="C1491" s="49" t="s">
        <v>7285</v>
      </c>
      <c r="D1491" s="49" t="s">
        <v>1264</v>
      </c>
      <c r="E1491" s="49" t="s">
        <v>2785</v>
      </c>
      <c r="F1491" s="49" t="s">
        <v>2792</v>
      </c>
      <c r="G1491" s="49" t="s">
        <v>2820</v>
      </c>
      <c r="H1491" s="49" t="s">
        <v>8</v>
      </c>
      <c r="I1491" s="50">
        <v>42872</v>
      </c>
      <c r="J1491" s="50">
        <v>42885</v>
      </c>
      <c r="K1491" s="50">
        <v>43068</v>
      </c>
      <c r="M1491" s="49" t="s">
        <v>7286</v>
      </c>
    </row>
    <row r="1492" spans="1:13" x14ac:dyDescent="0.35">
      <c r="A1492" s="49" t="s">
        <v>7287</v>
      </c>
      <c r="B1492" s="49" t="s">
        <v>7288</v>
      </c>
      <c r="C1492" s="49" t="s">
        <v>3280</v>
      </c>
      <c r="D1492" s="49" t="s">
        <v>1264</v>
      </c>
      <c r="E1492" s="49" t="s">
        <v>3748</v>
      </c>
      <c r="F1492" s="49" t="s">
        <v>2792</v>
      </c>
      <c r="G1492" s="49" t="s">
        <v>2826</v>
      </c>
      <c r="H1492" s="49" t="s">
        <v>8</v>
      </c>
      <c r="I1492" s="50">
        <v>38020</v>
      </c>
      <c r="J1492" s="50">
        <v>38020</v>
      </c>
      <c r="K1492" s="50">
        <v>39847</v>
      </c>
      <c r="M1492" s="49" t="s">
        <v>7289</v>
      </c>
    </row>
    <row r="1493" spans="1:13" x14ac:dyDescent="0.35">
      <c r="A1493" s="49" t="s">
        <v>7290</v>
      </c>
      <c r="B1493" s="49" t="s">
        <v>7291</v>
      </c>
      <c r="C1493" s="49" t="s">
        <v>7292</v>
      </c>
      <c r="D1493" s="49" t="s">
        <v>1264</v>
      </c>
      <c r="E1493" s="49" t="s">
        <v>2908</v>
      </c>
      <c r="F1493" s="49" t="s">
        <v>3010</v>
      </c>
      <c r="G1493" s="49" t="s">
        <v>2826</v>
      </c>
      <c r="H1493" s="49" t="s">
        <v>980</v>
      </c>
      <c r="I1493" s="50">
        <v>36802</v>
      </c>
      <c r="J1493" s="50">
        <v>38020</v>
      </c>
      <c r="K1493" s="50">
        <v>38562</v>
      </c>
      <c r="M1493" s="49" t="s">
        <v>7293</v>
      </c>
    </row>
    <row r="1494" spans="1:13" x14ac:dyDescent="0.35">
      <c r="A1494" s="49" t="s">
        <v>7294</v>
      </c>
      <c r="B1494" s="49" t="s">
        <v>7295</v>
      </c>
      <c r="C1494" s="49" t="s">
        <v>2791</v>
      </c>
      <c r="D1494" s="49" t="s">
        <v>1264</v>
      </c>
      <c r="E1494" s="49" t="s">
        <v>2785</v>
      </c>
      <c r="F1494" s="49" t="s">
        <v>2792</v>
      </c>
      <c r="G1494" s="49" t="s">
        <v>2787</v>
      </c>
      <c r="H1494" s="49" t="s">
        <v>857</v>
      </c>
      <c r="I1494" s="50">
        <v>43166</v>
      </c>
      <c r="J1494" s="50">
        <v>43201</v>
      </c>
      <c r="K1494" s="50">
        <v>43383</v>
      </c>
      <c r="M1494" s="49" t="s">
        <v>7296</v>
      </c>
    </row>
    <row r="1495" spans="1:13" x14ac:dyDescent="0.35">
      <c r="A1495" s="49" t="s">
        <v>7297</v>
      </c>
      <c r="B1495" s="49" t="s">
        <v>7298</v>
      </c>
      <c r="C1495" s="49" t="s">
        <v>7299</v>
      </c>
      <c r="D1495" s="49" t="s">
        <v>1264</v>
      </c>
      <c r="E1495" s="49" t="s">
        <v>2785</v>
      </c>
      <c r="F1495" s="49" t="s">
        <v>2792</v>
      </c>
      <c r="G1495" s="49" t="s">
        <v>2787</v>
      </c>
      <c r="H1495" s="49" t="s">
        <v>8</v>
      </c>
      <c r="I1495" s="50">
        <v>42838</v>
      </c>
      <c r="J1495" s="50">
        <v>42895</v>
      </c>
      <c r="K1495" s="50">
        <v>43077</v>
      </c>
      <c r="M1495" s="49" t="s">
        <v>7300</v>
      </c>
    </row>
    <row r="1496" spans="1:13" x14ac:dyDescent="0.35">
      <c r="A1496" s="49" t="s">
        <v>7301</v>
      </c>
      <c r="C1496" s="49" t="s">
        <v>3731</v>
      </c>
      <c r="D1496" s="49" t="s">
        <v>1264</v>
      </c>
      <c r="E1496" s="49" t="s">
        <v>2785</v>
      </c>
      <c r="F1496" s="49" t="s">
        <v>2837</v>
      </c>
      <c r="G1496" s="49" t="s">
        <v>2787</v>
      </c>
      <c r="H1496" s="49" t="s">
        <v>973</v>
      </c>
      <c r="I1496" s="50">
        <v>43489</v>
      </c>
      <c r="J1496" s="50">
        <v>43503</v>
      </c>
      <c r="K1496" s="50">
        <v>44315</v>
      </c>
      <c r="M1496" s="49" t="s">
        <v>7302</v>
      </c>
    </row>
    <row r="1497" spans="1:13" x14ac:dyDescent="0.35">
      <c r="A1497" s="49" t="s">
        <v>7303</v>
      </c>
      <c r="C1497" s="49" t="s">
        <v>4026</v>
      </c>
      <c r="D1497" s="49" t="s">
        <v>1264</v>
      </c>
      <c r="E1497" s="49" t="s">
        <v>2785</v>
      </c>
      <c r="F1497" s="49" t="s">
        <v>2792</v>
      </c>
      <c r="G1497" s="49" t="s">
        <v>3602</v>
      </c>
      <c r="H1497" s="49" t="s">
        <v>8</v>
      </c>
      <c r="I1497" s="50">
        <v>43867</v>
      </c>
      <c r="J1497" s="50">
        <v>43951</v>
      </c>
      <c r="K1497" s="50">
        <v>44315</v>
      </c>
      <c r="M1497" s="49" t="s">
        <v>7304</v>
      </c>
    </row>
    <row r="1498" spans="1:13" x14ac:dyDescent="0.35">
      <c r="A1498" s="49" t="s">
        <v>7305</v>
      </c>
      <c r="B1498" s="49" t="s">
        <v>7306</v>
      </c>
      <c r="C1498" s="49" t="s">
        <v>6734</v>
      </c>
      <c r="D1498" s="49" t="s">
        <v>1264</v>
      </c>
      <c r="E1498" s="49" t="s">
        <v>2785</v>
      </c>
      <c r="F1498" s="49" t="s">
        <v>2792</v>
      </c>
      <c r="G1498" s="49" t="s">
        <v>2787</v>
      </c>
      <c r="H1498" s="49" t="s">
        <v>980</v>
      </c>
      <c r="I1498" s="50">
        <v>43389</v>
      </c>
      <c r="J1498" s="50">
        <v>43558</v>
      </c>
      <c r="K1498" s="50">
        <v>44333</v>
      </c>
      <c r="L1498" s="50">
        <v>44333</v>
      </c>
      <c r="M1498" s="49" t="s">
        <v>7307</v>
      </c>
    </row>
    <row r="1499" spans="1:13" x14ac:dyDescent="0.35">
      <c r="A1499" s="49" t="s">
        <v>7308</v>
      </c>
      <c r="C1499" s="49" t="s">
        <v>7309</v>
      </c>
      <c r="D1499" s="49" t="s">
        <v>1264</v>
      </c>
      <c r="E1499" s="49" t="s">
        <v>2785</v>
      </c>
      <c r="F1499" s="49" t="s">
        <v>2786</v>
      </c>
      <c r="G1499" s="49" t="s">
        <v>2787</v>
      </c>
      <c r="H1499" s="49" t="s">
        <v>980</v>
      </c>
      <c r="I1499" s="50">
        <v>42898</v>
      </c>
      <c r="J1499" s="50">
        <v>43601</v>
      </c>
      <c r="K1499" s="50">
        <v>43784</v>
      </c>
      <c r="M1499" s="49" t="s">
        <v>7263</v>
      </c>
    </row>
    <row r="1500" spans="1:13" x14ac:dyDescent="0.35">
      <c r="A1500" s="49" t="s">
        <v>7310</v>
      </c>
      <c r="C1500" s="49" t="s">
        <v>4439</v>
      </c>
      <c r="D1500" s="49" t="s">
        <v>1264</v>
      </c>
      <c r="E1500" s="49" t="s">
        <v>2785</v>
      </c>
      <c r="F1500" s="49" t="s">
        <v>2786</v>
      </c>
      <c r="G1500" s="49" t="s">
        <v>2787</v>
      </c>
      <c r="H1500" s="49" t="s">
        <v>980</v>
      </c>
      <c r="I1500" s="50">
        <v>43090</v>
      </c>
      <c r="J1500" s="50">
        <v>43201</v>
      </c>
      <c r="K1500" s="50">
        <v>43932</v>
      </c>
      <c r="M1500" s="49" t="s">
        <v>4440</v>
      </c>
    </row>
    <row r="1501" spans="1:13" x14ac:dyDescent="0.35">
      <c r="A1501" s="49" t="s">
        <v>7311</v>
      </c>
      <c r="B1501" s="49" t="s">
        <v>7312</v>
      </c>
      <c r="C1501" s="49" t="s">
        <v>6819</v>
      </c>
      <c r="D1501" s="49" t="s">
        <v>1264</v>
      </c>
      <c r="E1501" s="49" t="s">
        <v>3748</v>
      </c>
      <c r="F1501" s="49" t="s">
        <v>2792</v>
      </c>
      <c r="G1501" s="49" t="s">
        <v>2787</v>
      </c>
      <c r="H1501" s="49" t="s">
        <v>3207</v>
      </c>
      <c r="I1501" s="50">
        <v>42325</v>
      </c>
      <c r="J1501" s="50">
        <v>42384</v>
      </c>
      <c r="K1501" s="50">
        <v>44211</v>
      </c>
      <c r="M1501" s="49" t="s">
        <v>7313</v>
      </c>
    </row>
    <row r="1502" spans="1:13" x14ac:dyDescent="0.35">
      <c r="A1502" s="49" t="s">
        <v>7314</v>
      </c>
      <c r="B1502" s="49" t="s">
        <v>7164</v>
      </c>
      <c r="C1502" s="49" t="s">
        <v>3915</v>
      </c>
      <c r="D1502" s="49" t="s">
        <v>1264</v>
      </c>
      <c r="E1502" s="49" t="s">
        <v>2785</v>
      </c>
      <c r="F1502" s="49" t="s">
        <v>2792</v>
      </c>
      <c r="G1502" s="49" t="s">
        <v>2787</v>
      </c>
      <c r="H1502" s="49" t="s">
        <v>8</v>
      </c>
      <c r="I1502" s="50">
        <v>42824</v>
      </c>
      <c r="J1502" s="50">
        <v>43278</v>
      </c>
      <c r="K1502" s="50">
        <v>43460</v>
      </c>
      <c r="M1502" s="49" t="s">
        <v>3916</v>
      </c>
    </row>
    <row r="1503" spans="1:13" x14ac:dyDescent="0.35">
      <c r="A1503" s="49" t="s">
        <v>7315</v>
      </c>
      <c r="B1503" s="49" t="s">
        <v>7306</v>
      </c>
      <c r="C1503" s="49" t="s">
        <v>7316</v>
      </c>
      <c r="D1503" s="49" t="s">
        <v>1264</v>
      </c>
      <c r="E1503" s="49" t="s">
        <v>2785</v>
      </c>
      <c r="F1503" s="49" t="s">
        <v>2792</v>
      </c>
      <c r="G1503" s="49" t="s">
        <v>2787</v>
      </c>
      <c r="H1503" s="49" t="s">
        <v>980</v>
      </c>
      <c r="I1503" s="50">
        <v>43392</v>
      </c>
      <c r="J1503" s="50">
        <v>43924</v>
      </c>
      <c r="K1503" s="50">
        <v>44333</v>
      </c>
      <c r="M1503" s="49" t="s">
        <v>7317</v>
      </c>
    </row>
    <row r="1504" spans="1:13" x14ac:dyDescent="0.35">
      <c r="A1504" s="49" t="s">
        <v>7318</v>
      </c>
      <c r="B1504" s="49" t="s">
        <v>5617</v>
      </c>
      <c r="C1504" s="49" t="s">
        <v>7319</v>
      </c>
      <c r="D1504" s="49" t="s">
        <v>1264</v>
      </c>
      <c r="E1504" s="49" t="s">
        <v>2785</v>
      </c>
      <c r="F1504" s="49" t="s">
        <v>2792</v>
      </c>
      <c r="G1504" s="49" t="s">
        <v>2787</v>
      </c>
      <c r="H1504" s="49" t="s">
        <v>8</v>
      </c>
      <c r="I1504" s="50">
        <v>42432</v>
      </c>
      <c r="J1504" s="50">
        <v>42471</v>
      </c>
      <c r="K1504" s="50">
        <v>42653</v>
      </c>
      <c r="M1504" s="49" t="s">
        <v>7320</v>
      </c>
    </row>
    <row r="1505" spans="1:13" x14ac:dyDescent="0.35">
      <c r="A1505" s="49" t="s">
        <v>7321</v>
      </c>
      <c r="B1505" s="49" t="s">
        <v>2818</v>
      </c>
      <c r="C1505" s="49" t="s">
        <v>4075</v>
      </c>
      <c r="D1505" s="49" t="s">
        <v>1264</v>
      </c>
      <c r="E1505" s="49" t="s">
        <v>2785</v>
      </c>
      <c r="F1505" s="49" t="s">
        <v>2792</v>
      </c>
      <c r="G1505" s="49" t="s">
        <v>2787</v>
      </c>
      <c r="H1505" s="49" t="s">
        <v>8</v>
      </c>
      <c r="I1505" s="50">
        <v>43511</v>
      </c>
      <c r="J1505" s="50">
        <v>43563</v>
      </c>
      <c r="K1505" s="50">
        <v>43745</v>
      </c>
      <c r="M1505" s="49" t="s">
        <v>7322</v>
      </c>
    </row>
    <row r="1506" spans="1:13" x14ac:dyDescent="0.35">
      <c r="A1506" s="49" t="s">
        <v>7323</v>
      </c>
      <c r="B1506" s="49" t="s">
        <v>7324</v>
      </c>
      <c r="C1506" s="49" t="s">
        <v>4161</v>
      </c>
      <c r="D1506" s="49" t="s">
        <v>1264</v>
      </c>
      <c r="E1506" s="49" t="s">
        <v>2785</v>
      </c>
      <c r="F1506" s="49" t="s">
        <v>2792</v>
      </c>
      <c r="G1506" s="49" t="s">
        <v>2787</v>
      </c>
      <c r="H1506" s="49" t="s">
        <v>2827</v>
      </c>
      <c r="I1506" s="50">
        <v>43199</v>
      </c>
      <c r="J1506" s="50">
        <v>43214</v>
      </c>
      <c r="K1506" s="50">
        <v>43396</v>
      </c>
      <c r="M1506" s="49" t="s">
        <v>3477</v>
      </c>
    </row>
    <row r="1507" spans="1:13" x14ac:dyDescent="0.35">
      <c r="A1507" s="49" t="s">
        <v>7325</v>
      </c>
      <c r="B1507" s="49" t="s">
        <v>7051</v>
      </c>
      <c r="C1507" s="49" t="s">
        <v>7326</v>
      </c>
      <c r="D1507" s="49" t="s">
        <v>1264</v>
      </c>
      <c r="E1507" s="49" t="s">
        <v>2785</v>
      </c>
      <c r="F1507" s="49" t="s">
        <v>2792</v>
      </c>
      <c r="G1507" s="49" t="s">
        <v>2787</v>
      </c>
      <c r="H1507" s="49" t="s">
        <v>8</v>
      </c>
      <c r="I1507" s="50">
        <v>41585</v>
      </c>
      <c r="J1507" s="50">
        <v>41655</v>
      </c>
      <c r="K1507" s="50">
        <v>42384</v>
      </c>
      <c r="M1507" s="49" t="s">
        <v>7327</v>
      </c>
    </row>
    <row r="1508" spans="1:13" x14ac:dyDescent="0.35">
      <c r="A1508" s="49" t="s">
        <v>7328</v>
      </c>
      <c r="B1508" s="49" t="s">
        <v>7329</v>
      </c>
      <c r="C1508" s="49" t="s">
        <v>7330</v>
      </c>
      <c r="D1508" s="49" t="s">
        <v>1264</v>
      </c>
      <c r="E1508" s="49" t="s">
        <v>7057</v>
      </c>
      <c r="F1508" s="49" t="s">
        <v>2825</v>
      </c>
      <c r="G1508" s="49" t="s">
        <v>2787</v>
      </c>
      <c r="H1508" s="49" t="s">
        <v>2827</v>
      </c>
      <c r="I1508" s="50">
        <v>41472</v>
      </c>
      <c r="J1508" s="50">
        <v>41655</v>
      </c>
      <c r="K1508" s="50">
        <v>42565</v>
      </c>
      <c r="M1508" s="49" t="s">
        <v>3100</v>
      </c>
    </row>
    <row r="1509" spans="1:13" x14ac:dyDescent="0.35">
      <c r="A1509" s="49" t="s">
        <v>7331</v>
      </c>
      <c r="B1509" s="49" t="s">
        <v>7332</v>
      </c>
      <c r="C1509" s="49" t="s">
        <v>7333</v>
      </c>
      <c r="D1509" s="49" t="s">
        <v>1264</v>
      </c>
      <c r="E1509" s="49" t="s">
        <v>2908</v>
      </c>
      <c r="F1509" s="49" t="s">
        <v>3010</v>
      </c>
      <c r="G1509" s="49" t="s">
        <v>2787</v>
      </c>
      <c r="H1509" s="49" t="s">
        <v>980</v>
      </c>
      <c r="I1509" s="50">
        <v>41441</v>
      </c>
      <c r="J1509" s="50">
        <v>41655</v>
      </c>
      <c r="K1509" s="50">
        <v>43480</v>
      </c>
      <c r="M1509" s="49" t="s">
        <v>7334</v>
      </c>
    </row>
    <row r="1510" spans="1:13" x14ac:dyDescent="0.35">
      <c r="A1510" s="49" t="s">
        <v>7335</v>
      </c>
      <c r="B1510" s="49" t="s">
        <v>5503</v>
      </c>
      <c r="C1510" s="49" t="s">
        <v>7336</v>
      </c>
      <c r="D1510" s="49" t="s">
        <v>1264</v>
      </c>
      <c r="E1510" s="49" t="s">
        <v>2785</v>
      </c>
      <c r="F1510" s="49" t="s">
        <v>2786</v>
      </c>
      <c r="G1510" s="49" t="s">
        <v>2787</v>
      </c>
      <c r="H1510" s="49" t="s">
        <v>8</v>
      </c>
      <c r="I1510" s="50">
        <v>43031</v>
      </c>
      <c r="J1510" s="50">
        <v>43570</v>
      </c>
      <c r="K1510" s="50">
        <v>43752</v>
      </c>
      <c r="M1510" s="49" t="s">
        <v>7337</v>
      </c>
    </row>
    <row r="1511" spans="1:13" x14ac:dyDescent="0.35">
      <c r="A1511" s="49" t="s">
        <v>7338</v>
      </c>
      <c r="B1511" s="49" t="s">
        <v>7339</v>
      </c>
      <c r="C1511" s="49" t="s">
        <v>7111</v>
      </c>
      <c r="D1511" s="49" t="s">
        <v>1264</v>
      </c>
      <c r="E1511" s="49" t="s">
        <v>2785</v>
      </c>
      <c r="F1511" s="49" t="s">
        <v>2792</v>
      </c>
      <c r="G1511" s="49" t="s">
        <v>2787</v>
      </c>
      <c r="H1511" s="49" t="s">
        <v>3207</v>
      </c>
      <c r="I1511" s="50">
        <v>42079</v>
      </c>
      <c r="J1511" s="50">
        <v>42124</v>
      </c>
      <c r="K1511" s="50">
        <v>42306</v>
      </c>
      <c r="M1511" s="49" t="s">
        <v>7340</v>
      </c>
    </row>
    <row r="1512" spans="1:13" x14ac:dyDescent="0.35">
      <c r="A1512" s="49" t="s">
        <v>7341</v>
      </c>
      <c r="B1512" s="49" t="s">
        <v>7028</v>
      </c>
      <c r="C1512" s="49" t="s">
        <v>7029</v>
      </c>
      <c r="D1512" s="49" t="s">
        <v>1264</v>
      </c>
      <c r="E1512" s="49" t="s">
        <v>2785</v>
      </c>
      <c r="F1512" s="49" t="s">
        <v>2805</v>
      </c>
      <c r="G1512" s="49" t="s">
        <v>2787</v>
      </c>
      <c r="H1512" s="49" t="s">
        <v>3207</v>
      </c>
      <c r="I1512" s="50">
        <v>42101</v>
      </c>
      <c r="J1512" s="50">
        <v>42124</v>
      </c>
      <c r="K1512" s="50">
        <v>42306</v>
      </c>
      <c r="M1512" s="49" t="s">
        <v>7342</v>
      </c>
    </row>
    <row r="1513" spans="1:13" x14ac:dyDescent="0.35">
      <c r="A1513" s="49" t="s">
        <v>7343</v>
      </c>
      <c r="B1513" s="49" t="s">
        <v>7344</v>
      </c>
      <c r="C1513" s="49" t="s">
        <v>7111</v>
      </c>
      <c r="D1513" s="49" t="s">
        <v>1264</v>
      </c>
      <c r="E1513" s="49" t="s">
        <v>2785</v>
      </c>
      <c r="F1513" s="49" t="s">
        <v>2792</v>
      </c>
      <c r="G1513" s="49" t="s">
        <v>2787</v>
      </c>
      <c r="H1513" s="49" t="s">
        <v>3207</v>
      </c>
      <c r="I1513" s="50">
        <v>42109</v>
      </c>
      <c r="M1513" s="49" t="s">
        <v>7345</v>
      </c>
    </row>
    <row r="1514" spans="1:13" x14ac:dyDescent="0.35">
      <c r="A1514" s="49" t="s">
        <v>7346</v>
      </c>
      <c r="B1514" s="49" t="s">
        <v>7347</v>
      </c>
      <c r="C1514" s="49" t="s">
        <v>7111</v>
      </c>
      <c r="D1514" s="49" t="s">
        <v>1264</v>
      </c>
      <c r="E1514" s="49" t="s">
        <v>2785</v>
      </c>
      <c r="F1514" s="49" t="s">
        <v>2792</v>
      </c>
      <c r="G1514" s="49" t="s">
        <v>2787</v>
      </c>
      <c r="H1514" s="49" t="s">
        <v>3207</v>
      </c>
      <c r="I1514" s="50">
        <v>42082</v>
      </c>
      <c r="J1514" s="50">
        <v>42124</v>
      </c>
      <c r="K1514" s="50">
        <v>42306</v>
      </c>
      <c r="M1514" s="49" t="s">
        <v>7340</v>
      </c>
    </row>
    <row r="1515" spans="1:13" x14ac:dyDescent="0.35">
      <c r="A1515" s="49" t="s">
        <v>7348</v>
      </c>
      <c r="B1515" s="49" t="s">
        <v>2818</v>
      </c>
      <c r="C1515" s="49" t="s">
        <v>3660</v>
      </c>
      <c r="D1515" s="49" t="s">
        <v>1264</v>
      </c>
      <c r="E1515" s="49" t="s">
        <v>2785</v>
      </c>
      <c r="F1515" s="49" t="s">
        <v>2792</v>
      </c>
      <c r="G1515" s="49" t="s">
        <v>2787</v>
      </c>
      <c r="H1515" s="49" t="s">
        <v>8</v>
      </c>
      <c r="I1515" s="50">
        <v>43104</v>
      </c>
      <c r="J1515" s="50">
        <v>43216</v>
      </c>
      <c r="K1515" s="50">
        <v>43398</v>
      </c>
      <c r="M1515" s="49" t="s">
        <v>7349</v>
      </c>
    </row>
    <row r="1516" spans="1:13" x14ac:dyDescent="0.35">
      <c r="A1516" s="49" t="s">
        <v>7350</v>
      </c>
      <c r="B1516" s="49" t="s">
        <v>7351</v>
      </c>
      <c r="C1516" s="49" t="s">
        <v>7352</v>
      </c>
      <c r="D1516" s="49" t="s">
        <v>1264</v>
      </c>
      <c r="E1516" s="49" t="s">
        <v>2774</v>
      </c>
      <c r="F1516" s="49" t="s">
        <v>3681</v>
      </c>
      <c r="G1516" s="49" t="s">
        <v>2787</v>
      </c>
      <c r="H1516" s="49" t="s">
        <v>2827</v>
      </c>
      <c r="I1516" s="50">
        <v>42011</v>
      </c>
      <c r="J1516" s="50">
        <v>42388</v>
      </c>
      <c r="K1516" s="50">
        <v>43483</v>
      </c>
      <c r="M1516" s="49" t="s">
        <v>7353</v>
      </c>
    </row>
    <row r="1517" spans="1:13" x14ac:dyDescent="0.35">
      <c r="A1517" s="49" t="s">
        <v>7354</v>
      </c>
      <c r="B1517" s="49" t="s">
        <v>2849</v>
      </c>
      <c r="C1517" s="49" t="s">
        <v>7355</v>
      </c>
      <c r="D1517" s="49" t="s">
        <v>1264</v>
      </c>
      <c r="E1517" s="49" t="s">
        <v>2785</v>
      </c>
      <c r="F1517" s="49" t="s">
        <v>2792</v>
      </c>
      <c r="G1517" s="49" t="s">
        <v>2787</v>
      </c>
      <c r="H1517" s="49" t="s">
        <v>980</v>
      </c>
      <c r="I1517" s="50">
        <v>43448</v>
      </c>
      <c r="J1517" s="50">
        <v>43224</v>
      </c>
      <c r="K1517" s="50">
        <v>43407</v>
      </c>
      <c r="M1517" s="49" t="s">
        <v>7356</v>
      </c>
    </row>
    <row r="1518" spans="1:13" x14ac:dyDescent="0.35">
      <c r="A1518" s="49" t="s">
        <v>7357</v>
      </c>
      <c r="C1518" s="49" t="s">
        <v>7358</v>
      </c>
      <c r="D1518" s="49" t="s">
        <v>1264</v>
      </c>
      <c r="E1518" s="49" t="s">
        <v>2814</v>
      </c>
      <c r="F1518" s="49" t="s">
        <v>2825</v>
      </c>
      <c r="G1518" s="49" t="s">
        <v>2787</v>
      </c>
      <c r="H1518" s="49" t="s">
        <v>2827</v>
      </c>
      <c r="I1518" s="50">
        <v>43979</v>
      </c>
      <c r="J1518" s="50">
        <v>43993</v>
      </c>
      <c r="K1518" s="50">
        <v>44175</v>
      </c>
      <c r="M1518" s="49" t="s">
        <v>7359</v>
      </c>
    </row>
    <row r="1519" spans="1:13" x14ac:dyDescent="0.35">
      <c r="A1519" s="49" t="s">
        <v>7360</v>
      </c>
      <c r="B1519" s="49" t="s">
        <v>7361</v>
      </c>
      <c r="C1519" s="49" t="s">
        <v>3029</v>
      </c>
      <c r="D1519" s="49" t="s">
        <v>1264</v>
      </c>
      <c r="E1519" s="49" t="s">
        <v>2908</v>
      </c>
      <c r="F1519" s="49" t="s">
        <v>2939</v>
      </c>
      <c r="G1519" s="49" t="s">
        <v>2787</v>
      </c>
      <c r="H1519" s="49" t="s">
        <v>980</v>
      </c>
      <c r="I1519" s="50">
        <v>39039</v>
      </c>
      <c r="J1519" s="50">
        <v>39111</v>
      </c>
      <c r="K1519" s="50">
        <v>43342</v>
      </c>
      <c r="M1519" s="49" t="s">
        <v>7362</v>
      </c>
    </row>
    <row r="1520" spans="1:13" x14ac:dyDescent="0.35">
      <c r="A1520" s="49" t="s">
        <v>7363</v>
      </c>
      <c r="B1520" s="49" t="s">
        <v>7364</v>
      </c>
      <c r="C1520" s="49" t="s">
        <v>7175</v>
      </c>
      <c r="D1520" s="49" t="s">
        <v>1264</v>
      </c>
      <c r="E1520" s="49" t="s">
        <v>2785</v>
      </c>
      <c r="F1520" s="49" t="s">
        <v>2786</v>
      </c>
      <c r="G1520" s="49" t="s">
        <v>2787</v>
      </c>
      <c r="H1520" s="49" t="s">
        <v>980</v>
      </c>
      <c r="I1520" s="50">
        <v>42877</v>
      </c>
      <c r="J1520" s="50">
        <v>42919</v>
      </c>
      <c r="K1520" s="50">
        <v>43102</v>
      </c>
      <c r="M1520" s="49" t="s">
        <v>7365</v>
      </c>
    </row>
    <row r="1521" spans="1:13" x14ac:dyDescent="0.35">
      <c r="A1521" s="49" t="s">
        <v>7366</v>
      </c>
      <c r="B1521" s="49" t="s">
        <v>7367</v>
      </c>
      <c r="C1521" s="49" t="s">
        <v>7175</v>
      </c>
      <c r="D1521" s="49" t="s">
        <v>1264</v>
      </c>
      <c r="E1521" s="49" t="s">
        <v>2785</v>
      </c>
      <c r="F1521" s="49" t="s">
        <v>2786</v>
      </c>
      <c r="G1521" s="49" t="s">
        <v>2787</v>
      </c>
      <c r="H1521" s="49" t="s">
        <v>980</v>
      </c>
      <c r="I1521" s="50">
        <v>42864</v>
      </c>
      <c r="J1521" s="50">
        <v>42919</v>
      </c>
      <c r="K1521" s="50">
        <v>43102</v>
      </c>
      <c r="M1521" s="49" t="s">
        <v>7368</v>
      </c>
    </row>
    <row r="1522" spans="1:13" x14ac:dyDescent="0.35">
      <c r="A1522" s="49" t="s">
        <v>7369</v>
      </c>
      <c r="B1522" s="49" t="s">
        <v>3586</v>
      </c>
      <c r="C1522" s="49" t="s">
        <v>7370</v>
      </c>
      <c r="D1522" s="49" t="s">
        <v>1264</v>
      </c>
      <c r="E1522" s="49" t="s">
        <v>2785</v>
      </c>
      <c r="F1522" s="49" t="s">
        <v>2786</v>
      </c>
      <c r="G1522" s="49" t="s">
        <v>2787</v>
      </c>
      <c r="H1522" s="49" t="s">
        <v>980</v>
      </c>
      <c r="I1522" s="50">
        <v>43458</v>
      </c>
      <c r="J1522" s="50">
        <v>43584</v>
      </c>
      <c r="K1522" s="50">
        <v>43766</v>
      </c>
      <c r="M1522" s="49" t="s">
        <v>7371</v>
      </c>
    </row>
    <row r="1523" spans="1:13" x14ac:dyDescent="0.35">
      <c r="A1523" s="49" t="s">
        <v>7372</v>
      </c>
      <c r="B1523" s="49" t="s">
        <v>7373</v>
      </c>
      <c r="C1523" s="49" t="s">
        <v>4106</v>
      </c>
      <c r="D1523" s="49" t="s">
        <v>1264</v>
      </c>
      <c r="E1523" s="49" t="s">
        <v>2785</v>
      </c>
      <c r="F1523" s="49" t="s">
        <v>2786</v>
      </c>
      <c r="G1523" s="49" t="s">
        <v>2787</v>
      </c>
      <c r="H1523" s="49" t="s">
        <v>4225</v>
      </c>
      <c r="I1523" s="50">
        <v>43524</v>
      </c>
      <c r="J1523" s="50">
        <v>43584</v>
      </c>
      <c r="K1523" s="50">
        <v>43766</v>
      </c>
      <c r="M1523" s="49" t="s">
        <v>7374</v>
      </c>
    </row>
    <row r="1524" spans="1:13" x14ac:dyDescent="0.35">
      <c r="A1524" s="49" t="s">
        <v>7375</v>
      </c>
      <c r="B1524" s="49" t="s">
        <v>2795</v>
      </c>
      <c r="C1524" s="49" t="s">
        <v>4470</v>
      </c>
      <c r="D1524" s="49" t="s">
        <v>1264</v>
      </c>
      <c r="E1524" s="49" t="s">
        <v>2785</v>
      </c>
      <c r="F1524" s="49" t="s">
        <v>2786</v>
      </c>
      <c r="G1524" s="49" t="s">
        <v>2787</v>
      </c>
      <c r="H1524" s="49" t="s">
        <v>8</v>
      </c>
      <c r="I1524" s="50">
        <v>43035</v>
      </c>
      <c r="J1524" s="50">
        <v>43234</v>
      </c>
      <c r="K1524" s="50">
        <v>43417</v>
      </c>
      <c r="M1524" s="49" t="s">
        <v>7376</v>
      </c>
    </row>
    <row r="1525" spans="1:13" x14ac:dyDescent="0.35">
      <c r="A1525" s="49" t="s">
        <v>7377</v>
      </c>
      <c r="B1525" s="49" t="s">
        <v>7378</v>
      </c>
      <c r="C1525" s="49" t="s">
        <v>4106</v>
      </c>
      <c r="D1525" s="49" t="s">
        <v>1264</v>
      </c>
      <c r="E1525" s="49" t="s">
        <v>2785</v>
      </c>
      <c r="F1525" s="49" t="s">
        <v>2786</v>
      </c>
      <c r="G1525" s="49" t="s">
        <v>2787</v>
      </c>
      <c r="H1525" s="49" t="s">
        <v>4225</v>
      </c>
      <c r="I1525" s="50">
        <v>43524</v>
      </c>
      <c r="J1525" s="50">
        <v>43584</v>
      </c>
      <c r="K1525" s="50">
        <v>43766</v>
      </c>
      <c r="M1525" s="49" t="s">
        <v>7379</v>
      </c>
    </row>
    <row r="1526" spans="1:13" x14ac:dyDescent="0.35">
      <c r="A1526" s="49" t="s">
        <v>7380</v>
      </c>
      <c r="B1526" s="49" t="s">
        <v>7269</v>
      </c>
      <c r="C1526" s="49" t="s">
        <v>4106</v>
      </c>
      <c r="D1526" s="49" t="s">
        <v>1264</v>
      </c>
      <c r="E1526" s="49" t="s">
        <v>2785</v>
      </c>
      <c r="F1526" s="49" t="s">
        <v>2786</v>
      </c>
      <c r="G1526" s="49" t="s">
        <v>2787</v>
      </c>
      <c r="H1526" s="49" t="s">
        <v>4225</v>
      </c>
      <c r="I1526" s="50">
        <v>43524</v>
      </c>
      <c r="J1526" s="50">
        <v>43584</v>
      </c>
      <c r="K1526" s="50">
        <v>43766</v>
      </c>
      <c r="M1526" s="49" t="s">
        <v>7381</v>
      </c>
    </row>
    <row r="1527" spans="1:13" x14ac:dyDescent="0.35">
      <c r="A1527" s="49" t="s">
        <v>7382</v>
      </c>
      <c r="B1527" s="49" t="s">
        <v>3962</v>
      </c>
      <c r="C1527" s="49" t="s">
        <v>3660</v>
      </c>
      <c r="D1527" s="49" t="s">
        <v>1264</v>
      </c>
      <c r="E1527" s="49" t="s">
        <v>2785</v>
      </c>
      <c r="F1527" s="49" t="s">
        <v>2792</v>
      </c>
      <c r="G1527" s="49" t="s">
        <v>2787</v>
      </c>
      <c r="H1527" s="49" t="s">
        <v>8</v>
      </c>
      <c r="I1527" s="50">
        <v>43545</v>
      </c>
      <c r="J1527" s="50">
        <v>43584</v>
      </c>
      <c r="K1527" s="50">
        <v>43949</v>
      </c>
      <c r="M1527" s="49" t="s">
        <v>7383</v>
      </c>
    </row>
    <row r="1528" spans="1:13" x14ac:dyDescent="0.35">
      <c r="A1528" s="49" t="s">
        <v>7384</v>
      </c>
      <c r="B1528" s="49" t="s">
        <v>7164</v>
      </c>
      <c r="C1528" s="49" t="s">
        <v>7229</v>
      </c>
      <c r="D1528" s="49" t="s">
        <v>1264</v>
      </c>
      <c r="E1528" s="49" t="s">
        <v>2785</v>
      </c>
      <c r="F1528" s="49" t="s">
        <v>2792</v>
      </c>
      <c r="G1528" s="49" t="s">
        <v>2787</v>
      </c>
      <c r="H1528" s="49" t="s">
        <v>8</v>
      </c>
      <c r="I1528" s="50">
        <v>43556</v>
      </c>
      <c r="J1528" s="50">
        <v>43587</v>
      </c>
      <c r="K1528" s="50">
        <v>43770</v>
      </c>
      <c r="M1528" s="49" t="s">
        <v>7385</v>
      </c>
    </row>
    <row r="1529" spans="1:13" x14ac:dyDescent="0.35">
      <c r="A1529" s="49" t="s">
        <v>7386</v>
      </c>
      <c r="B1529" s="49" t="s">
        <v>7387</v>
      </c>
      <c r="C1529" s="49" t="s">
        <v>7388</v>
      </c>
      <c r="D1529" s="49" t="s">
        <v>1264</v>
      </c>
      <c r="E1529" s="49" t="s">
        <v>2908</v>
      </c>
      <c r="F1529" s="49" t="s">
        <v>2939</v>
      </c>
      <c r="G1529" s="49" t="s">
        <v>2787</v>
      </c>
      <c r="H1529" s="49" t="s">
        <v>8</v>
      </c>
      <c r="I1529" s="50">
        <v>36598</v>
      </c>
      <c r="J1529" s="50">
        <v>37281</v>
      </c>
      <c r="K1529" s="50">
        <v>39106</v>
      </c>
      <c r="M1529" s="49" t="s">
        <v>7289</v>
      </c>
    </row>
    <row r="1530" spans="1:13" x14ac:dyDescent="0.35">
      <c r="A1530" s="49" t="s">
        <v>7389</v>
      </c>
      <c r="C1530" s="49" t="s">
        <v>7390</v>
      </c>
      <c r="D1530" s="49" t="s">
        <v>1264</v>
      </c>
      <c r="E1530" s="49" t="s">
        <v>2814</v>
      </c>
      <c r="F1530" s="49" t="s">
        <v>2825</v>
      </c>
      <c r="G1530" s="49" t="s">
        <v>2787</v>
      </c>
      <c r="H1530" s="49" t="s">
        <v>2827</v>
      </c>
      <c r="I1530" s="50">
        <v>42902</v>
      </c>
      <c r="J1530" s="50">
        <v>43236</v>
      </c>
      <c r="K1530" s="50">
        <v>43388</v>
      </c>
      <c r="M1530" s="49" t="s">
        <v>3910</v>
      </c>
    </row>
    <row r="1531" spans="1:13" x14ac:dyDescent="0.35">
      <c r="A1531" s="49" t="s">
        <v>7391</v>
      </c>
      <c r="B1531" s="49" t="s">
        <v>7364</v>
      </c>
      <c r="C1531" s="49" t="s">
        <v>7175</v>
      </c>
      <c r="D1531" s="49" t="s">
        <v>1264</v>
      </c>
      <c r="E1531" s="49" t="s">
        <v>2785</v>
      </c>
      <c r="F1531" s="49" t="s">
        <v>2786</v>
      </c>
      <c r="G1531" s="49" t="s">
        <v>2787</v>
      </c>
      <c r="H1531" s="49" t="s">
        <v>980</v>
      </c>
      <c r="I1531" s="50">
        <v>42877</v>
      </c>
      <c r="J1531" s="50">
        <v>42923</v>
      </c>
      <c r="K1531" s="50">
        <v>43106</v>
      </c>
      <c r="M1531" s="49" t="s">
        <v>7392</v>
      </c>
    </row>
    <row r="1532" spans="1:13" x14ac:dyDescent="0.35">
      <c r="A1532" s="49" t="s">
        <v>7393</v>
      </c>
      <c r="B1532" s="49" t="s">
        <v>3586</v>
      </c>
      <c r="C1532" s="49" t="s">
        <v>7394</v>
      </c>
      <c r="D1532" s="49" t="s">
        <v>1264</v>
      </c>
      <c r="E1532" s="49" t="s">
        <v>2785</v>
      </c>
      <c r="F1532" s="49" t="s">
        <v>2786</v>
      </c>
      <c r="G1532" s="49" t="s">
        <v>2787</v>
      </c>
      <c r="H1532" s="49" t="s">
        <v>980</v>
      </c>
      <c r="I1532" s="50">
        <v>43588</v>
      </c>
      <c r="J1532" s="50">
        <v>43594</v>
      </c>
      <c r="K1532" s="50">
        <v>43777</v>
      </c>
      <c r="M1532" s="49" t="s">
        <v>7395</v>
      </c>
    </row>
    <row r="1533" spans="1:13" x14ac:dyDescent="0.35">
      <c r="A1533" s="49" t="s">
        <v>7396</v>
      </c>
      <c r="B1533" s="49" t="s">
        <v>2806</v>
      </c>
      <c r="C1533" s="49" t="s">
        <v>7189</v>
      </c>
      <c r="D1533" s="49" t="s">
        <v>1264</v>
      </c>
      <c r="E1533" s="49" t="s">
        <v>2785</v>
      </c>
      <c r="F1533" s="49" t="s">
        <v>2786</v>
      </c>
      <c r="G1533" s="49" t="s">
        <v>2787</v>
      </c>
      <c r="H1533" s="49" t="s">
        <v>2806</v>
      </c>
      <c r="I1533" s="50">
        <v>42401</v>
      </c>
      <c r="J1533" s="50">
        <v>42510</v>
      </c>
      <c r="K1533" s="50">
        <v>42693</v>
      </c>
      <c r="M1533" s="49" t="s">
        <v>3526</v>
      </c>
    </row>
    <row r="1534" spans="1:13" x14ac:dyDescent="0.35">
      <c r="A1534" s="49" t="s">
        <v>7397</v>
      </c>
      <c r="B1534" s="49" t="s">
        <v>3730</v>
      </c>
      <c r="C1534" s="49" t="s">
        <v>3731</v>
      </c>
      <c r="D1534" s="49" t="s">
        <v>1264</v>
      </c>
      <c r="E1534" s="49" t="s">
        <v>2785</v>
      </c>
      <c r="F1534" s="49" t="s">
        <v>3253</v>
      </c>
      <c r="G1534" s="49" t="s">
        <v>2787</v>
      </c>
      <c r="H1534" s="49" t="s">
        <v>973</v>
      </c>
      <c r="I1534" s="50">
        <v>41408</v>
      </c>
      <c r="J1534" s="50">
        <v>42555</v>
      </c>
      <c r="K1534" s="50">
        <v>42738</v>
      </c>
      <c r="M1534" s="49" t="s">
        <v>7256</v>
      </c>
    </row>
    <row r="1535" spans="1:13" x14ac:dyDescent="0.35">
      <c r="A1535" s="49" t="s">
        <v>7398</v>
      </c>
      <c r="C1535" s="49" t="s">
        <v>7399</v>
      </c>
      <c r="D1535" s="49" t="s">
        <v>1264</v>
      </c>
      <c r="E1535" s="49" t="s">
        <v>2785</v>
      </c>
      <c r="F1535" s="49" t="s">
        <v>2792</v>
      </c>
      <c r="G1535" s="49" t="s">
        <v>2826</v>
      </c>
      <c r="H1535" s="49" t="s">
        <v>8</v>
      </c>
      <c r="I1535" s="50">
        <v>41793</v>
      </c>
      <c r="J1535" s="50">
        <v>41802</v>
      </c>
      <c r="K1535" s="50">
        <v>41984</v>
      </c>
      <c r="M1535" s="49" t="s">
        <v>7400</v>
      </c>
    </row>
    <row r="1536" spans="1:13" x14ac:dyDescent="0.35">
      <c r="A1536" s="49" t="s">
        <v>7401</v>
      </c>
      <c r="B1536" s="49" t="s">
        <v>7066</v>
      </c>
      <c r="C1536" s="49" t="s">
        <v>3963</v>
      </c>
      <c r="D1536" s="49" t="s">
        <v>1264</v>
      </c>
      <c r="E1536" s="49" t="s">
        <v>2785</v>
      </c>
      <c r="F1536" s="49" t="s">
        <v>2792</v>
      </c>
      <c r="G1536" s="49" t="s">
        <v>2787</v>
      </c>
      <c r="H1536" s="49" t="s">
        <v>980</v>
      </c>
      <c r="I1536" s="50">
        <v>43545</v>
      </c>
      <c r="J1536" s="50">
        <v>43601</v>
      </c>
      <c r="K1536" s="50">
        <v>43784</v>
      </c>
      <c r="M1536" s="49" t="s">
        <v>7402</v>
      </c>
    </row>
    <row r="1537" spans="1:13" x14ac:dyDescent="0.35">
      <c r="A1537" s="49" t="s">
        <v>7403</v>
      </c>
      <c r="B1537" s="49" t="s">
        <v>7404</v>
      </c>
      <c r="C1537" s="49" t="s">
        <v>7405</v>
      </c>
      <c r="D1537" s="49" t="s">
        <v>1264</v>
      </c>
      <c r="E1537" s="49" t="s">
        <v>2785</v>
      </c>
      <c r="F1537" s="49" t="s">
        <v>2792</v>
      </c>
      <c r="G1537" s="49" t="s">
        <v>2787</v>
      </c>
      <c r="H1537" s="49" t="s">
        <v>980</v>
      </c>
      <c r="I1537" s="50">
        <v>42394</v>
      </c>
      <c r="J1537" s="50">
        <v>42514</v>
      </c>
      <c r="K1537" s="50">
        <v>42697</v>
      </c>
      <c r="M1537" s="49" t="s">
        <v>7406</v>
      </c>
    </row>
    <row r="1538" spans="1:13" x14ac:dyDescent="0.35">
      <c r="A1538" s="49" t="s">
        <v>7407</v>
      </c>
      <c r="B1538" s="49" t="s">
        <v>7408</v>
      </c>
      <c r="C1538" s="49" t="s">
        <v>840</v>
      </c>
      <c r="D1538" s="49" t="s">
        <v>1264</v>
      </c>
      <c r="E1538" s="49" t="s">
        <v>2785</v>
      </c>
      <c r="F1538" s="49" t="s">
        <v>2792</v>
      </c>
      <c r="G1538" s="49" t="s">
        <v>2787</v>
      </c>
      <c r="H1538" s="49" t="s">
        <v>8</v>
      </c>
      <c r="I1538" s="50">
        <v>42242</v>
      </c>
      <c r="J1538" s="50">
        <v>42148</v>
      </c>
      <c r="K1538" s="50">
        <v>42331</v>
      </c>
      <c r="M1538" s="49" t="s">
        <v>7409</v>
      </c>
    </row>
    <row r="1539" spans="1:13" x14ac:dyDescent="0.35">
      <c r="A1539" s="49" t="s">
        <v>7410</v>
      </c>
      <c r="B1539" s="49" t="s">
        <v>7411</v>
      </c>
      <c r="C1539" s="49" t="s">
        <v>7412</v>
      </c>
      <c r="D1539" s="49" t="s">
        <v>1264</v>
      </c>
      <c r="E1539" s="49" t="s">
        <v>2785</v>
      </c>
      <c r="F1539" s="49" t="s">
        <v>2792</v>
      </c>
      <c r="G1539" s="49" t="s">
        <v>2787</v>
      </c>
      <c r="H1539" s="49" t="s">
        <v>980</v>
      </c>
      <c r="I1539" s="50">
        <v>41066</v>
      </c>
      <c r="J1539" s="50">
        <v>42226</v>
      </c>
      <c r="K1539" s="50">
        <v>42409</v>
      </c>
      <c r="M1539" s="49" t="s">
        <v>7413</v>
      </c>
    </row>
    <row r="1540" spans="1:13" x14ac:dyDescent="0.35">
      <c r="A1540" s="49" t="s">
        <v>7414</v>
      </c>
      <c r="B1540" s="49" t="s">
        <v>6297</v>
      </c>
      <c r="C1540" s="49" t="s">
        <v>5692</v>
      </c>
      <c r="D1540" s="49" t="s">
        <v>1264</v>
      </c>
      <c r="E1540" s="49" t="s">
        <v>2785</v>
      </c>
      <c r="F1540" s="49" t="s">
        <v>2792</v>
      </c>
      <c r="G1540" s="49" t="s">
        <v>2787</v>
      </c>
      <c r="H1540" s="49" t="s">
        <v>835</v>
      </c>
      <c r="I1540" s="50">
        <v>43468</v>
      </c>
      <c r="J1540" s="50">
        <v>43602</v>
      </c>
      <c r="K1540" s="50">
        <v>43785</v>
      </c>
      <c r="M1540" s="49" t="s">
        <v>7415</v>
      </c>
    </row>
    <row r="1541" spans="1:13" x14ac:dyDescent="0.35">
      <c r="A1541" s="49" t="s">
        <v>7416</v>
      </c>
      <c r="B1541" s="49" t="s">
        <v>7417</v>
      </c>
      <c r="C1541" s="49" t="s">
        <v>7418</v>
      </c>
      <c r="D1541" s="49" t="s">
        <v>1264</v>
      </c>
      <c r="E1541" s="49" t="s">
        <v>2785</v>
      </c>
      <c r="F1541" s="49" t="s">
        <v>2792</v>
      </c>
      <c r="G1541" s="49" t="s">
        <v>2787</v>
      </c>
      <c r="H1541" s="49" t="s">
        <v>864</v>
      </c>
      <c r="I1541" s="50">
        <v>42921</v>
      </c>
      <c r="J1541" s="50">
        <v>43605</v>
      </c>
      <c r="K1541" s="50">
        <v>43788</v>
      </c>
      <c r="M1541" s="49" t="s">
        <v>7419</v>
      </c>
    </row>
    <row r="1542" spans="1:13" x14ac:dyDescent="0.35">
      <c r="A1542" s="49" t="s">
        <v>7420</v>
      </c>
      <c r="B1542" s="49" t="s">
        <v>4231</v>
      </c>
      <c r="C1542" s="49" t="s">
        <v>4263</v>
      </c>
      <c r="D1542" s="49" t="s">
        <v>1264</v>
      </c>
      <c r="E1542" s="49" t="s">
        <v>2785</v>
      </c>
      <c r="F1542" s="49" t="s">
        <v>3898</v>
      </c>
      <c r="G1542" s="49" t="s">
        <v>2787</v>
      </c>
      <c r="H1542" s="49" t="s">
        <v>2827</v>
      </c>
      <c r="I1542" s="50">
        <v>43571</v>
      </c>
      <c r="J1542" s="50">
        <v>43607</v>
      </c>
      <c r="K1542" s="50">
        <v>43790</v>
      </c>
      <c r="M1542" s="49" t="s">
        <v>7421</v>
      </c>
    </row>
    <row r="1543" spans="1:13" x14ac:dyDescent="0.35">
      <c r="A1543" s="49" t="s">
        <v>7422</v>
      </c>
      <c r="B1543" s="49" t="s">
        <v>2867</v>
      </c>
      <c r="C1543" s="49" t="s">
        <v>7423</v>
      </c>
      <c r="D1543" s="49" t="s">
        <v>1264</v>
      </c>
      <c r="E1543" s="49" t="s">
        <v>2785</v>
      </c>
      <c r="F1543" s="49" t="s">
        <v>2792</v>
      </c>
      <c r="G1543" s="49" t="s">
        <v>2787</v>
      </c>
      <c r="H1543" s="49" t="s">
        <v>8</v>
      </c>
      <c r="I1543" s="50">
        <v>42366</v>
      </c>
      <c r="J1543" s="50">
        <v>42527</v>
      </c>
      <c r="K1543" s="50">
        <v>42709</v>
      </c>
      <c r="M1543" s="49" t="s">
        <v>7424</v>
      </c>
    </row>
    <row r="1544" spans="1:13" x14ac:dyDescent="0.35">
      <c r="A1544" s="49" t="s">
        <v>7425</v>
      </c>
      <c r="B1544" s="49" t="s">
        <v>7426</v>
      </c>
      <c r="C1544" s="49" t="s">
        <v>4573</v>
      </c>
      <c r="D1544" s="49" t="s">
        <v>1264</v>
      </c>
      <c r="E1544" s="49" t="s">
        <v>2785</v>
      </c>
      <c r="F1544" s="49" t="s">
        <v>2786</v>
      </c>
      <c r="G1544" s="49" t="s">
        <v>2787</v>
      </c>
      <c r="H1544" s="49" t="s">
        <v>980</v>
      </c>
      <c r="I1544" s="50">
        <v>42723</v>
      </c>
      <c r="J1544" s="50">
        <v>43256</v>
      </c>
      <c r="K1544" s="50">
        <v>43438</v>
      </c>
      <c r="M1544" s="49" t="s">
        <v>7427</v>
      </c>
    </row>
    <row r="1545" spans="1:13" x14ac:dyDescent="0.35">
      <c r="A1545" s="49" t="s">
        <v>7428</v>
      </c>
      <c r="B1545" s="49" t="s">
        <v>3586</v>
      </c>
      <c r="C1545" s="49" t="s">
        <v>7429</v>
      </c>
      <c r="D1545" s="49" t="s">
        <v>1264</v>
      </c>
      <c r="E1545" s="49" t="s">
        <v>2785</v>
      </c>
      <c r="F1545" s="49" t="s">
        <v>2786</v>
      </c>
      <c r="G1545" s="49" t="s">
        <v>2787</v>
      </c>
      <c r="H1545" s="49" t="s">
        <v>980</v>
      </c>
      <c r="I1545" s="50">
        <v>43028</v>
      </c>
      <c r="J1545" s="50">
        <v>43256</v>
      </c>
      <c r="K1545" s="50">
        <v>43438</v>
      </c>
      <c r="M1545" s="49" t="s">
        <v>7430</v>
      </c>
    </row>
    <row r="1546" spans="1:13" x14ac:dyDescent="0.35">
      <c r="A1546" s="49" t="s">
        <v>7431</v>
      </c>
      <c r="B1546" s="49" t="s">
        <v>7432</v>
      </c>
      <c r="C1546" s="49" t="s">
        <v>7433</v>
      </c>
      <c r="D1546" s="49" t="s">
        <v>1264</v>
      </c>
      <c r="E1546" s="49" t="s">
        <v>2785</v>
      </c>
      <c r="F1546" s="49" t="s">
        <v>2792</v>
      </c>
      <c r="G1546" s="49" t="s">
        <v>2787</v>
      </c>
      <c r="H1546" s="49" t="s">
        <v>8</v>
      </c>
      <c r="I1546" s="50">
        <v>42401</v>
      </c>
      <c r="J1546" s="50">
        <v>42527</v>
      </c>
      <c r="K1546" s="50">
        <v>42709</v>
      </c>
      <c r="M1546" s="49" t="s">
        <v>7434</v>
      </c>
    </row>
    <row r="1547" spans="1:13" x14ac:dyDescent="0.35">
      <c r="A1547" s="49" t="s">
        <v>7435</v>
      </c>
      <c r="B1547" s="49" t="s">
        <v>7436</v>
      </c>
      <c r="C1547" s="49" t="s">
        <v>7437</v>
      </c>
      <c r="D1547" s="49" t="s">
        <v>1264</v>
      </c>
      <c r="E1547" s="49" t="s">
        <v>2785</v>
      </c>
      <c r="F1547" s="49" t="s">
        <v>2786</v>
      </c>
      <c r="G1547" s="49" t="s">
        <v>2787</v>
      </c>
      <c r="H1547" s="49" t="s">
        <v>980</v>
      </c>
      <c r="I1547" s="50">
        <v>43454</v>
      </c>
      <c r="J1547" s="50">
        <v>43609</v>
      </c>
      <c r="K1547" s="50">
        <v>43792</v>
      </c>
      <c r="M1547" s="49" t="s">
        <v>7438</v>
      </c>
    </row>
    <row r="1548" spans="1:13" x14ac:dyDescent="0.35">
      <c r="A1548" s="49" t="s">
        <v>7439</v>
      </c>
      <c r="C1548" s="49" t="s">
        <v>7440</v>
      </c>
      <c r="D1548" s="49" t="s">
        <v>1264</v>
      </c>
      <c r="E1548" s="49" t="s">
        <v>2785</v>
      </c>
      <c r="F1548" s="49" t="s">
        <v>2792</v>
      </c>
      <c r="G1548" s="49" t="s">
        <v>2787</v>
      </c>
      <c r="H1548" s="49" t="s">
        <v>8</v>
      </c>
      <c r="I1548" s="50">
        <v>42410</v>
      </c>
      <c r="J1548" s="50">
        <v>42860</v>
      </c>
      <c r="K1548" s="50">
        <v>43043</v>
      </c>
      <c r="M1548" s="49" t="s">
        <v>7441</v>
      </c>
    </row>
    <row r="1549" spans="1:13" x14ac:dyDescent="0.35">
      <c r="A1549" s="49" t="s">
        <v>7442</v>
      </c>
      <c r="B1549" s="49" t="s">
        <v>7443</v>
      </c>
      <c r="C1549" s="49" t="s">
        <v>7444</v>
      </c>
      <c r="D1549" s="49" t="s">
        <v>1264</v>
      </c>
      <c r="E1549" s="49" t="s">
        <v>7057</v>
      </c>
      <c r="F1549" s="49" t="s">
        <v>2825</v>
      </c>
      <c r="G1549" s="49" t="s">
        <v>2787</v>
      </c>
      <c r="H1549" s="49" t="s">
        <v>2827</v>
      </c>
      <c r="I1549" s="50">
        <v>40373</v>
      </c>
      <c r="J1549" s="50">
        <v>40935</v>
      </c>
      <c r="K1549" s="50">
        <v>41667</v>
      </c>
      <c r="M1549" s="49" t="s">
        <v>7445</v>
      </c>
    </row>
    <row r="1550" spans="1:13" x14ac:dyDescent="0.35">
      <c r="A1550" s="49" t="s">
        <v>7446</v>
      </c>
      <c r="B1550" s="49" t="s">
        <v>7447</v>
      </c>
      <c r="C1550" s="49" t="s">
        <v>7448</v>
      </c>
      <c r="D1550" s="49" t="s">
        <v>1264</v>
      </c>
      <c r="E1550" s="49" t="s">
        <v>2986</v>
      </c>
      <c r="F1550" s="49" t="s">
        <v>2825</v>
      </c>
      <c r="G1550" s="49" t="s">
        <v>2820</v>
      </c>
      <c r="H1550" s="49" t="s">
        <v>2827</v>
      </c>
      <c r="I1550" s="50">
        <v>40398</v>
      </c>
      <c r="J1550" s="50">
        <v>40935</v>
      </c>
      <c r="K1550" s="50">
        <v>44223</v>
      </c>
      <c r="M1550" s="49" t="s">
        <v>7449</v>
      </c>
    </row>
    <row r="1551" spans="1:13" x14ac:dyDescent="0.35">
      <c r="A1551" s="49" t="s">
        <v>7450</v>
      </c>
      <c r="B1551" s="49" t="s">
        <v>7451</v>
      </c>
      <c r="C1551" s="49" t="s">
        <v>7452</v>
      </c>
      <c r="D1551" s="49" t="s">
        <v>1264</v>
      </c>
      <c r="E1551" s="49" t="s">
        <v>7057</v>
      </c>
      <c r="F1551" s="49" t="s">
        <v>2825</v>
      </c>
      <c r="G1551" s="49" t="s">
        <v>3997</v>
      </c>
      <c r="H1551" s="49" t="s">
        <v>2827</v>
      </c>
      <c r="I1551" s="50">
        <v>40778</v>
      </c>
      <c r="J1551" s="50">
        <v>40935</v>
      </c>
      <c r="K1551" s="50">
        <v>40934</v>
      </c>
      <c r="M1551" s="49" t="s">
        <v>3100</v>
      </c>
    </row>
    <row r="1552" spans="1:13" x14ac:dyDescent="0.35">
      <c r="A1552" s="49" t="s">
        <v>7453</v>
      </c>
      <c r="B1552" s="49" t="s">
        <v>7454</v>
      </c>
      <c r="C1552" s="49" t="s">
        <v>7455</v>
      </c>
      <c r="D1552" s="49" t="s">
        <v>1264</v>
      </c>
      <c r="E1552" s="49" t="s">
        <v>2774</v>
      </c>
      <c r="F1552" s="49" t="s">
        <v>2780</v>
      </c>
      <c r="G1552" s="49" t="s">
        <v>2787</v>
      </c>
      <c r="H1552" s="49" t="s">
        <v>3207</v>
      </c>
      <c r="I1552" s="50">
        <v>40910</v>
      </c>
      <c r="J1552" s="50">
        <v>40935</v>
      </c>
      <c r="K1552" s="50">
        <v>42211</v>
      </c>
      <c r="M1552" s="49" t="s">
        <v>7456</v>
      </c>
    </row>
    <row r="1553" spans="1:13" x14ac:dyDescent="0.35">
      <c r="A1553" s="49" t="s">
        <v>7457</v>
      </c>
      <c r="B1553" s="49" t="s">
        <v>5830</v>
      </c>
      <c r="C1553" s="49" t="s">
        <v>3837</v>
      </c>
      <c r="D1553" s="49" t="s">
        <v>1264</v>
      </c>
      <c r="E1553" s="49" t="s">
        <v>2774</v>
      </c>
      <c r="F1553" s="49" t="s">
        <v>2775</v>
      </c>
      <c r="G1553" s="49" t="s">
        <v>3602</v>
      </c>
      <c r="H1553" s="49" t="s">
        <v>980</v>
      </c>
      <c r="I1553" s="50">
        <v>40932</v>
      </c>
      <c r="J1553" s="50">
        <v>40935</v>
      </c>
      <c r="K1553" s="50">
        <v>41880</v>
      </c>
      <c r="M1553" s="49" t="s">
        <v>7458</v>
      </c>
    </row>
    <row r="1554" spans="1:13" x14ac:dyDescent="0.35">
      <c r="A1554" s="49" t="s">
        <v>7459</v>
      </c>
      <c r="B1554" s="49" t="s">
        <v>7460</v>
      </c>
      <c r="C1554" s="49" t="s">
        <v>7461</v>
      </c>
      <c r="D1554" s="49" t="s">
        <v>1264</v>
      </c>
      <c r="E1554" s="49" t="s">
        <v>7057</v>
      </c>
      <c r="F1554" s="49" t="s">
        <v>2825</v>
      </c>
      <c r="G1554" s="49" t="s">
        <v>2787</v>
      </c>
      <c r="H1554" s="49" t="s">
        <v>2827</v>
      </c>
      <c r="I1554" s="50">
        <v>40438</v>
      </c>
      <c r="J1554" s="50">
        <v>40935</v>
      </c>
      <c r="K1554" s="50">
        <v>42565</v>
      </c>
      <c r="M1554" s="49" t="s">
        <v>3270</v>
      </c>
    </row>
    <row r="1555" spans="1:13" x14ac:dyDescent="0.35">
      <c r="A1555" s="49" t="s">
        <v>7462</v>
      </c>
      <c r="B1555" s="49" t="s">
        <v>7463</v>
      </c>
      <c r="C1555" s="49" t="s">
        <v>7464</v>
      </c>
      <c r="D1555" s="49" t="s">
        <v>1264</v>
      </c>
      <c r="E1555" s="49" t="s">
        <v>7057</v>
      </c>
      <c r="F1555" s="49" t="s">
        <v>2825</v>
      </c>
      <c r="G1555" s="49" t="s">
        <v>2787</v>
      </c>
      <c r="H1555" s="49" t="s">
        <v>2827</v>
      </c>
      <c r="I1555" s="50">
        <v>40645</v>
      </c>
      <c r="J1555" s="50">
        <v>40935</v>
      </c>
      <c r="K1555" s="50">
        <v>42569</v>
      </c>
      <c r="M1555" s="49" t="s">
        <v>3100</v>
      </c>
    </row>
    <row r="1556" spans="1:13" x14ac:dyDescent="0.35">
      <c r="A1556" s="49" t="s">
        <v>7465</v>
      </c>
      <c r="B1556" s="49" t="s">
        <v>7466</v>
      </c>
      <c r="C1556" s="49" t="s">
        <v>7467</v>
      </c>
      <c r="D1556" s="49" t="s">
        <v>1264</v>
      </c>
      <c r="E1556" s="49" t="s">
        <v>2785</v>
      </c>
      <c r="F1556" s="49" t="s">
        <v>2792</v>
      </c>
      <c r="G1556" s="49" t="s">
        <v>2787</v>
      </c>
      <c r="H1556" s="49" t="s">
        <v>8</v>
      </c>
      <c r="I1556" s="50">
        <v>41761</v>
      </c>
      <c r="J1556" s="50">
        <v>41863</v>
      </c>
      <c r="K1556" s="50">
        <v>42227</v>
      </c>
      <c r="M1556" s="49" t="s">
        <v>7468</v>
      </c>
    </row>
    <row r="1557" spans="1:13" x14ac:dyDescent="0.35">
      <c r="A1557" s="49" t="s">
        <v>7469</v>
      </c>
      <c r="B1557" s="49" t="s">
        <v>7470</v>
      </c>
      <c r="C1557" s="49" t="s">
        <v>7471</v>
      </c>
      <c r="D1557" s="49" t="s">
        <v>1264</v>
      </c>
      <c r="E1557" s="49" t="s">
        <v>2785</v>
      </c>
      <c r="F1557" s="49" t="s">
        <v>2792</v>
      </c>
      <c r="G1557" s="49" t="s">
        <v>2787</v>
      </c>
      <c r="H1557" s="49" t="s">
        <v>980</v>
      </c>
      <c r="I1557" s="50">
        <v>42199</v>
      </c>
      <c r="J1557" s="50">
        <v>42537</v>
      </c>
      <c r="K1557" s="50">
        <v>42719</v>
      </c>
      <c r="M1557" s="49" t="s">
        <v>7472</v>
      </c>
    </row>
    <row r="1558" spans="1:13" x14ac:dyDescent="0.35">
      <c r="A1558" s="49" t="s">
        <v>7473</v>
      </c>
      <c r="B1558" s="49" t="s">
        <v>7474</v>
      </c>
      <c r="C1558" s="49" t="s">
        <v>7475</v>
      </c>
      <c r="D1558" s="49" t="s">
        <v>1264</v>
      </c>
      <c r="E1558" s="49" t="s">
        <v>2785</v>
      </c>
      <c r="F1558" s="49" t="s">
        <v>2792</v>
      </c>
      <c r="G1558" s="49" t="s">
        <v>2787</v>
      </c>
      <c r="H1558" s="49" t="s">
        <v>980</v>
      </c>
      <c r="I1558" s="50">
        <v>42387</v>
      </c>
      <c r="J1558" s="50">
        <v>42537</v>
      </c>
      <c r="K1558" s="50">
        <v>42719</v>
      </c>
      <c r="M1558" s="49" t="s">
        <v>7476</v>
      </c>
    </row>
    <row r="1559" spans="1:13" x14ac:dyDescent="0.35">
      <c r="A1559" s="49" t="s">
        <v>7477</v>
      </c>
      <c r="B1559" s="49" t="s">
        <v>7478</v>
      </c>
      <c r="C1559" s="49" t="s">
        <v>7479</v>
      </c>
      <c r="D1559" s="49" t="s">
        <v>1264</v>
      </c>
      <c r="E1559" s="49" t="s">
        <v>2785</v>
      </c>
      <c r="F1559" s="49" t="s">
        <v>2792</v>
      </c>
      <c r="G1559" s="49" t="s">
        <v>2787</v>
      </c>
      <c r="H1559" s="49" t="s">
        <v>980</v>
      </c>
      <c r="I1559" s="50">
        <v>42424</v>
      </c>
      <c r="J1559" s="50">
        <v>42537</v>
      </c>
      <c r="K1559" s="50">
        <v>42719</v>
      </c>
      <c r="M1559" s="49" t="s">
        <v>7480</v>
      </c>
    </row>
    <row r="1560" spans="1:13" x14ac:dyDescent="0.35">
      <c r="A1560" s="49" t="s">
        <v>7481</v>
      </c>
      <c r="B1560" s="49" t="s">
        <v>7164</v>
      </c>
      <c r="C1560" s="49" t="s">
        <v>7229</v>
      </c>
      <c r="D1560" s="49" t="s">
        <v>1264</v>
      </c>
      <c r="E1560" s="49" t="s">
        <v>2785</v>
      </c>
      <c r="F1560" s="49" t="s">
        <v>2792</v>
      </c>
      <c r="G1560" s="49" t="s">
        <v>2787</v>
      </c>
      <c r="H1560" s="49" t="s">
        <v>8</v>
      </c>
      <c r="I1560" s="50">
        <v>42850</v>
      </c>
      <c r="J1560" s="50">
        <v>42958</v>
      </c>
      <c r="K1560" s="50">
        <v>43141</v>
      </c>
      <c r="M1560" s="49" t="s">
        <v>7482</v>
      </c>
    </row>
    <row r="1561" spans="1:13" x14ac:dyDescent="0.35">
      <c r="A1561" s="49" t="s">
        <v>7483</v>
      </c>
      <c r="B1561" s="49" t="s">
        <v>7484</v>
      </c>
      <c r="C1561" s="49" t="s">
        <v>7485</v>
      </c>
      <c r="D1561" s="49" t="s">
        <v>1264</v>
      </c>
      <c r="E1561" s="49" t="s">
        <v>2908</v>
      </c>
      <c r="F1561" s="49" t="s">
        <v>3010</v>
      </c>
      <c r="G1561" s="49" t="s">
        <v>2787</v>
      </c>
      <c r="H1561" s="49" t="s">
        <v>980</v>
      </c>
      <c r="I1561" s="50">
        <v>37485</v>
      </c>
      <c r="J1561" s="50">
        <v>37701</v>
      </c>
      <c r="K1561" s="50">
        <v>39527</v>
      </c>
      <c r="M1561" s="49" t="s">
        <v>7486</v>
      </c>
    </row>
    <row r="1562" spans="1:13" x14ac:dyDescent="0.35">
      <c r="A1562" s="49" t="s">
        <v>7487</v>
      </c>
      <c r="B1562" s="49" t="s">
        <v>7488</v>
      </c>
      <c r="C1562" s="49" t="s">
        <v>2810</v>
      </c>
      <c r="D1562" s="49" t="s">
        <v>1264</v>
      </c>
      <c r="E1562" s="49" t="s">
        <v>2785</v>
      </c>
      <c r="F1562" s="49" t="s">
        <v>2792</v>
      </c>
      <c r="G1562" s="49" t="s">
        <v>2787</v>
      </c>
      <c r="H1562" s="49" t="s">
        <v>980</v>
      </c>
      <c r="I1562" s="50">
        <v>43628</v>
      </c>
      <c r="J1562" s="50">
        <v>43664</v>
      </c>
      <c r="K1562" s="50">
        <v>43847</v>
      </c>
      <c r="M1562" s="49" t="s">
        <v>7489</v>
      </c>
    </row>
    <row r="1563" spans="1:13" x14ac:dyDescent="0.35">
      <c r="A1563" s="49" t="s">
        <v>7490</v>
      </c>
      <c r="B1563" s="49" t="s">
        <v>7491</v>
      </c>
      <c r="C1563" s="49" t="s">
        <v>7492</v>
      </c>
      <c r="D1563" s="49" t="s">
        <v>1264</v>
      </c>
      <c r="E1563" s="49" t="s">
        <v>2785</v>
      </c>
      <c r="F1563" s="49" t="s">
        <v>2786</v>
      </c>
      <c r="G1563" s="49" t="s">
        <v>2787</v>
      </c>
      <c r="H1563" s="49" t="s">
        <v>4225</v>
      </c>
      <c r="I1563" s="50">
        <v>42454</v>
      </c>
      <c r="J1563" s="50">
        <v>42544</v>
      </c>
      <c r="K1563" s="50">
        <v>42726</v>
      </c>
      <c r="M1563" s="49" t="s">
        <v>7493</v>
      </c>
    </row>
    <row r="1564" spans="1:13" x14ac:dyDescent="0.35">
      <c r="A1564" s="49" t="s">
        <v>7494</v>
      </c>
      <c r="B1564" s="49" t="s">
        <v>7495</v>
      </c>
      <c r="C1564" s="49" t="s">
        <v>7492</v>
      </c>
      <c r="D1564" s="49" t="s">
        <v>1264</v>
      </c>
      <c r="E1564" s="49" t="s">
        <v>2785</v>
      </c>
      <c r="F1564" s="49" t="s">
        <v>2786</v>
      </c>
      <c r="G1564" s="49" t="s">
        <v>2787</v>
      </c>
      <c r="H1564" s="49" t="s">
        <v>4225</v>
      </c>
      <c r="I1564" s="50">
        <v>42454</v>
      </c>
      <c r="J1564" s="50">
        <v>42544</v>
      </c>
      <c r="K1564" s="50">
        <v>42726</v>
      </c>
      <c r="M1564" s="49" t="s">
        <v>7496</v>
      </c>
    </row>
    <row r="1565" spans="1:13" x14ac:dyDescent="0.35">
      <c r="A1565" s="49" t="s">
        <v>7497</v>
      </c>
      <c r="B1565" s="49" t="s">
        <v>7498</v>
      </c>
      <c r="C1565" s="49" t="s">
        <v>7499</v>
      </c>
      <c r="D1565" s="49" t="s">
        <v>1264</v>
      </c>
      <c r="E1565" s="49" t="s">
        <v>2774</v>
      </c>
      <c r="F1565" s="49" t="s">
        <v>2780</v>
      </c>
      <c r="G1565" s="49" t="s">
        <v>2975</v>
      </c>
      <c r="H1565" s="49" t="s">
        <v>980</v>
      </c>
      <c r="I1565" s="50">
        <v>40935</v>
      </c>
      <c r="J1565" s="50">
        <v>40935</v>
      </c>
      <c r="K1565" s="50">
        <v>41789</v>
      </c>
      <c r="M1565" s="49" t="s">
        <v>7500</v>
      </c>
    </row>
    <row r="1566" spans="1:13" x14ac:dyDescent="0.35">
      <c r="A1566" s="49" t="s">
        <v>7501</v>
      </c>
      <c r="B1566" s="49" t="s">
        <v>7502</v>
      </c>
      <c r="C1566" s="49" t="s">
        <v>7499</v>
      </c>
      <c r="D1566" s="49" t="s">
        <v>1264</v>
      </c>
      <c r="E1566" s="49" t="s">
        <v>2774</v>
      </c>
      <c r="F1566" s="49" t="s">
        <v>2780</v>
      </c>
      <c r="G1566" s="49" t="s">
        <v>2975</v>
      </c>
      <c r="H1566" s="49" t="s">
        <v>1062</v>
      </c>
      <c r="I1566" s="50">
        <v>40935</v>
      </c>
      <c r="J1566" s="50">
        <v>40939</v>
      </c>
      <c r="K1566" s="50">
        <v>41789</v>
      </c>
      <c r="M1566" s="49" t="s">
        <v>7503</v>
      </c>
    </row>
    <row r="1567" spans="1:13" x14ac:dyDescent="0.35">
      <c r="A1567" s="49" t="s">
        <v>7504</v>
      </c>
      <c r="B1567" s="49" t="s">
        <v>7505</v>
      </c>
      <c r="C1567" s="49" t="s">
        <v>7506</v>
      </c>
      <c r="D1567" s="49" t="s">
        <v>1264</v>
      </c>
      <c r="E1567" s="49" t="s">
        <v>2774</v>
      </c>
      <c r="F1567" s="49" t="s">
        <v>2825</v>
      </c>
      <c r="G1567" s="49" t="s">
        <v>2975</v>
      </c>
      <c r="H1567" s="49" t="s">
        <v>973</v>
      </c>
      <c r="I1567" s="50">
        <v>40863</v>
      </c>
      <c r="J1567" s="50">
        <v>40940</v>
      </c>
      <c r="K1567" s="50">
        <v>42035</v>
      </c>
      <c r="M1567" s="49" t="s">
        <v>7507</v>
      </c>
    </row>
    <row r="1568" spans="1:13" x14ac:dyDescent="0.35">
      <c r="A1568" s="49" t="s">
        <v>7508</v>
      </c>
      <c r="B1568" s="49" t="s">
        <v>7509</v>
      </c>
      <c r="C1568" s="49" t="s">
        <v>7510</v>
      </c>
      <c r="D1568" s="49" t="s">
        <v>1264</v>
      </c>
      <c r="E1568" s="49" t="s">
        <v>2774</v>
      </c>
      <c r="F1568" s="49" t="s">
        <v>2825</v>
      </c>
      <c r="G1568" s="49" t="s">
        <v>2787</v>
      </c>
      <c r="H1568" s="49" t="s">
        <v>973</v>
      </c>
      <c r="I1568" s="50">
        <v>40878</v>
      </c>
      <c r="J1568" s="50">
        <v>40940</v>
      </c>
      <c r="K1568" s="50">
        <v>43862</v>
      </c>
      <c r="M1568" s="49" t="s">
        <v>7511</v>
      </c>
    </row>
    <row r="1569" spans="1:13" x14ac:dyDescent="0.35">
      <c r="A1569" s="49" t="s">
        <v>7512</v>
      </c>
      <c r="B1569" s="49" t="s">
        <v>2867</v>
      </c>
      <c r="C1569" s="49" t="s">
        <v>7513</v>
      </c>
      <c r="D1569" s="49" t="s">
        <v>1264</v>
      </c>
      <c r="E1569" s="49" t="s">
        <v>2785</v>
      </c>
      <c r="F1569" s="49" t="s">
        <v>2792</v>
      </c>
      <c r="G1569" s="49" t="s">
        <v>2787</v>
      </c>
      <c r="H1569" s="49" t="s">
        <v>8</v>
      </c>
      <c r="I1569" s="50">
        <v>42929</v>
      </c>
      <c r="J1569" s="50">
        <v>42971</v>
      </c>
      <c r="K1569" s="50">
        <v>43154</v>
      </c>
      <c r="M1569" s="49" t="s">
        <v>7322</v>
      </c>
    </row>
    <row r="1570" spans="1:13" x14ac:dyDescent="0.35">
      <c r="A1570" s="49" t="s">
        <v>7514</v>
      </c>
      <c r="B1570" s="49" t="s">
        <v>7515</v>
      </c>
      <c r="C1570" s="49" t="s">
        <v>7516</v>
      </c>
      <c r="D1570" s="49" t="s">
        <v>1264</v>
      </c>
      <c r="E1570" s="49" t="s">
        <v>2785</v>
      </c>
      <c r="F1570" s="49" t="s">
        <v>2786</v>
      </c>
      <c r="G1570" s="49" t="s">
        <v>2787</v>
      </c>
      <c r="H1570" s="49" t="s">
        <v>980</v>
      </c>
      <c r="I1570" s="50">
        <v>42086</v>
      </c>
      <c r="J1570" s="50">
        <v>42187</v>
      </c>
      <c r="K1570" s="50">
        <v>42370</v>
      </c>
      <c r="M1570" s="49" t="s">
        <v>7517</v>
      </c>
    </row>
    <row r="1571" spans="1:13" x14ac:dyDescent="0.35">
      <c r="A1571" s="49" t="s">
        <v>7518</v>
      </c>
      <c r="B1571" s="49" t="s">
        <v>4576</v>
      </c>
      <c r="C1571" s="49" t="s">
        <v>4470</v>
      </c>
      <c r="D1571" s="49" t="s">
        <v>1264</v>
      </c>
      <c r="E1571" s="49" t="s">
        <v>2785</v>
      </c>
      <c r="F1571" s="49" t="s">
        <v>2792</v>
      </c>
      <c r="G1571" s="49" t="s">
        <v>2787</v>
      </c>
      <c r="H1571" s="49" t="s">
        <v>980</v>
      </c>
      <c r="I1571" s="50">
        <v>42930</v>
      </c>
      <c r="J1571" s="50">
        <v>43609</v>
      </c>
      <c r="K1571" s="50">
        <v>43792</v>
      </c>
      <c r="M1571" s="49" t="s">
        <v>7519</v>
      </c>
    </row>
    <row r="1572" spans="1:13" x14ac:dyDescent="0.35">
      <c r="A1572" s="49" t="s">
        <v>7520</v>
      </c>
      <c r="B1572" s="49" t="s">
        <v>7280</v>
      </c>
      <c r="C1572" s="49" t="s">
        <v>7521</v>
      </c>
      <c r="D1572" s="49" t="s">
        <v>1264</v>
      </c>
      <c r="E1572" s="49" t="s">
        <v>2785</v>
      </c>
      <c r="F1572" s="49" t="s">
        <v>2792</v>
      </c>
      <c r="G1572" s="49" t="s">
        <v>2787</v>
      </c>
      <c r="H1572" s="49" t="s">
        <v>980</v>
      </c>
      <c r="I1572" s="50">
        <v>41453</v>
      </c>
      <c r="J1572" s="50">
        <v>42186</v>
      </c>
      <c r="K1572" s="50">
        <v>42369</v>
      </c>
      <c r="M1572" s="49" t="s">
        <v>7522</v>
      </c>
    </row>
    <row r="1573" spans="1:13" x14ac:dyDescent="0.35">
      <c r="A1573" s="49" t="s">
        <v>7523</v>
      </c>
      <c r="B1573" s="49" t="s">
        <v>3461</v>
      </c>
      <c r="C1573" s="49" t="s">
        <v>4286</v>
      </c>
      <c r="D1573" s="49" t="s">
        <v>1264</v>
      </c>
      <c r="E1573" s="49" t="s">
        <v>2785</v>
      </c>
      <c r="F1573" s="49" t="s">
        <v>2792</v>
      </c>
      <c r="G1573" s="49" t="s">
        <v>2787</v>
      </c>
      <c r="H1573" s="49" t="s">
        <v>980</v>
      </c>
      <c r="I1573" s="50">
        <v>43392</v>
      </c>
      <c r="J1573" s="50">
        <v>43686</v>
      </c>
      <c r="K1573" s="50">
        <v>44021</v>
      </c>
      <c r="M1573" s="49" t="s">
        <v>7524</v>
      </c>
    </row>
    <row r="1574" spans="1:13" x14ac:dyDescent="0.35">
      <c r="A1574" s="49" t="s">
        <v>7525</v>
      </c>
      <c r="B1574" s="49" t="s">
        <v>7526</v>
      </c>
      <c r="C1574" s="49" t="s">
        <v>7527</v>
      </c>
      <c r="D1574" s="49" t="s">
        <v>1264</v>
      </c>
      <c r="E1574" s="49" t="s">
        <v>2785</v>
      </c>
      <c r="F1574" s="49" t="s">
        <v>2786</v>
      </c>
      <c r="G1574" s="49" t="s">
        <v>2787</v>
      </c>
      <c r="H1574" s="49" t="s">
        <v>4225</v>
      </c>
      <c r="I1574" s="50">
        <v>42516</v>
      </c>
      <c r="J1574" s="50">
        <v>42551</v>
      </c>
      <c r="K1574" s="50">
        <v>42733</v>
      </c>
      <c r="M1574" s="49" t="s">
        <v>7528</v>
      </c>
    </row>
    <row r="1575" spans="1:13" x14ac:dyDescent="0.35">
      <c r="A1575" s="49" t="s">
        <v>7529</v>
      </c>
      <c r="B1575" s="49" t="s">
        <v>7530</v>
      </c>
      <c r="C1575" s="49" t="s">
        <v>7531</v>
      </c>
      <c r="D1575" s="49" t="s">
        <v>1264</v>
      </c>
      <c r="E1575" s="49" t="s">
        <v>2785</v>
      </c>
      <c r="F1575" s="49" t="s">
        <v>2792</v>
      </c>
      <c r="G1575" s="49" t="s">
        <v>2787</v>
      </c>
      <c r="H1575" s="49" t="s">
        <v>835</v>
      </c>
      <c r="I1575" s="50">
        <v>42923</v>
      </c>
      <c r="J1575" s="50">
        <v>42976</v>
      </c>
      <c r="K1575" s="50">
        <v>43158</v>
      </c>
      <c r="M1575" s="49" t="s">
        <v>3879</v>
      </c>
    </row>
    <row r="1576" spans="1:13" x14ac:dyDescent="0.35">
      <c r="A1576" s="49" t="s">
        <v>7532</v>
      </c>
      <c r="B1576" s="49" t="s">
        <v>3218</v>
      </c>
      <c r="C1576" s="49" t="s">
        <v>7533</v>
      </c>
      <c r="D1576" s="49" t="s">
        <v>1264</v>
      </c>
      <c r="E1576" s="49" t="s">
        <v>2785</v>
      </c>
      <c r="F1576" s="49" t="s">
        <v>2786</v>
      </c>
      <c r="G1576" s="49" t="s">
        <v>2820</v>
      </c>
      <c r="H1576" s="49" t="s">
        <v>980</v>
      </c>
      <c r="I1576" s="50">
        <v>42738</v>
      </c>
      <c r="J1576" s="50">
        <v>42977</v>
      </c>
      <c r="K1576" s="50">
        <v>43158</v>
      </c>
      <c r="M1576" s="49" t="s">
        <v>7534</v>
      </c>
    </row>
    <row r="1577" spans="1:13" x14ac:dyDescent="0.35">
      <c r="A1577" s="49" t="s">
        <v>7535</v>
      </c>
      <c r="B1577" s="49" t="s">
        <v>2867</v>
      </c>
      <c r="C1577" s="49" t="s">
        <v>7536</v>
      </c>
      <c r="D1577" s="49" t="s">
        <v>1264</v>
      </c>
      <c r="E1577" s="49" t="s">
        <v>2785</v>
      </c>
      <c r="F1577" s="49" t="s">
        <v>2792</v>
      </c>
      <c r="G1577" s="49" t="s">
        <v>2787</v>
      </c>
      <c r="H1577" s="49" t="s">
        <v>8</v>
      </c>
      <c r="I1577" s="50">
        <v>42291</v>
      </c>
      <c r="J1577" s="50">
        <v>42552</v>
      </c>
      <c r="K1577" s="50">
        <v>42735</v>
      </c>
      <c r="M1577" s="49" t="s">
        <v>7537</v>
      </c>
    </row>
    <row r="1578" spans="1:13" x14ac:dyDescent="0.35">
      <c r="A1578" s="49" t="s">
        <v>7538</v>
      </c>
      <c r="B1578" s="49" t="s">
        <v>7539</v>
      </c>
      <c r="C1578" s="49" t="s">
        <v>3652</v>
      </c>
      <c r="D1578" s="49" t="s">
        <v>1264</v>
      </c>
      <c r="E1578" s="49" t="s">
        <v>2774</v>
      </c>
      <c r="F1578" s="49" t="s">
        <v>3598</v>
      </c>
      <c r="G1578" s="49" t="s">
        <v>2787</v>
      </c>
      <c r="H1578" s="49" t="s">
        <v>2827</v>
      </c>
      <c r="I1578" s="50">
        <v>37658</v>
      </c>
      <c r="J1578" s="50">
        <v>38415</v>
      </c>
      <c r="K1578" s="50">
        <v>43528</v>
      </c>
      <c r="M1578" s="49" t="s">
        <v>7540</v>
      </c>
    </row>
    <row r="1579" spans="1:13" x14ac:dyDescent="0.35">
      <c r="A1579" s="49" t="s">
        <v>7541</v>
      </c>
      <c r="B1579" s="49" t="s">
        <v>5996</v>
      </c>
      <c r="C1579" s="49" t="s">
        <v>7542</v>
      </c>
      <c r="D1579" s="49" t="s">
        <v>1264</v>
      </c>
      <c r="E1579" s="49" t="s">
        <v>2785</v>
      </c>
      <c r="F1579" s="49" t="s">
        <v>2792</v>
      </c>
      <c r="G1579" s="49" t="s">
        <v>2787</v>
      </c>
      <c r="H1579" s="49" t="s">
        <v>980</v>
      </c>
      <c r="I1579" s="50">
        <v>42039</v>
      </c>
      <c r="J1579" s="50">
        <v>42194</v>
      </c>
      <c r="K1579" s="50">
        <v>42377</v>
      </c>
      <c r="M1579" s="49" t="s">
        <v>3470</v>
      </c>
    </row>
    <row r="1580" spans="1:13" x14ac:dyDescent="0.35">
      <c r="A1580" s="49" t="s">
        <v>7543</v>
      </c>
      <c r="B1580" s="49" t="s">
        <v>7544</v>
      </c>
      <c r="C1580" s="49" t="s">
        <v>7545</v>
      </c>
      <c r="D1580" s="49" t="s">
        <v>1264</v>
      </c>
      <c r="E1580" s="49" t="s">
        <v>2774</v>
      </c>
      <c r="F1580" s="49" t="s">
        <v>3598</v>
      </c>
      <c r="G1580" s="49" t="s">
        <v>2826</v>
      </c>
      <c r="H1580" s="49" t="s">
        <v>973</v>
      </c>
      <c r="I1580" s="50">
        <v>38169</v>
      </c>
      <c r="J1580" s="50">
        <v>38415</v>
      </c>
      <c r="K1580" s="50">
        <v>39803</v>
      </c>
    </row>
    <row r="1581" spans="1:13" x14ac:dyDescent="0.35">
      <c r="A1581" s="49" t="s">
        <v>7546</v>
      </c>
      <c r="B1581" s="49" t="s">
        <v>7547</v>
      </c>
      <c r="C1581" s="49" t="s">
        <v>7548</v>
      </c>
      <c r="D1581" s="49" t="s">
        <v>1264</v>
      </c>
      <c r="E1581" s="49" t="s">
        <v>2785</v>
      </c>
      <c r="F1581" s="49" t="s">
        <v>2792</v>
      </c>
      <c r="G1581" s="49" t="s">
        <v>2787</v>
      </c>
      <c r="H1581" s="49" t="s">
        <v>980</v>
      </c>
      <c r="I1581" s="50">
        <v>43493</v>
      </c>
      <c r="J1581" s="50">
        <v>43698</v>
      </c>
      <c r="K1581" s="50">
        <v>44033</v>
      </c>
      <c r="M1581" s="49" t="s">
        <v>7549</v>
      </c>
    </row>
    <row r="1582" spans="1:13" x14ac:dyDescent="0.35">
      <c r="A1582" s="49" t="s">
        <v>7550</v>
      </c>
      <c r="B1582" s="49" t="s">
        <v>7551</v>
      </c>
      <c r="C1582" s="49" t="s">
        <v>7552</v>
      </c>
      <c r="D1582" s="49" t="s">
        <v>1264</v>
      </c>
      <c r="E1582" s="49" t="s">
        <v>2785</v>
      </c>
      <c r="F1582" s="49" t="s">
        <v>2792</v>
      </c>
      <c r="G1582" s="49" t="s">
        <v>2787</v>
      </c>
      <c r="H1582" s="49" t="s">
        <v>980</v>
      </c>
      <c r="I1582" s="50">
        <v>42465</v>
      </c>
      <c r="J1582" s="50">
        <v>42563</v>
      </c>
      <c r="K1582" s="50">
        <v>42746</v>
      </c>
      <c r="M1582" s="49" t="s">
        <v>7553</v>
      </c>
    </row>
    <row r="1583" spans="1:13" x14ac:dyDescent="0.35">
      <c r="A1583" s="49" t="s">
        <v>7554</v>
      </c>
      <c r="B1583" s="49" t="s">
        <v>7555</v>
      </c>
      <c r="C1583" s="49" t="s">
        <v>3647</v>
      </c>
      <c r="D1583" s="49" t="s">
        <v>1264</v>
      </c>
      <c r="E1583" s="49" t="s">
        <v>2774</v>
      </c>
      <c r="F1583" s="49" t="s">
        <v>3648</v>
      </c>
      <c r="G1583" s="49" t="s">
        <v>2975</v>
      </c>
      <c r="H1583" s="49" t="s">
        <v>980</v>
      </c>
      <c r="I1583" s="50">
        <v>40819</v>
      </c>
      <c r="J1583" s="50">
        <v>40941</v>
      </c>
      <c r="K1583" s="50">
        <v>42178</v>
      </c>
      <c r="M1583" s="49" t="s">
        <v>7556</v>
      </c>
    </row>
    <row r="1584" spans="1:13" x14ac:dyDescent="0.35">
      <c r="A1584" s="49" t="s">
        <v>7557</v>
      </c>
      <c r="C1584" s="49" t="s">
        <v>7558</v>
      </c>
      <c r="D1584" s="49" t="s">
        <v>1264</v>
      </c>
      <c r="E1584" s="49" t="s">
        <v>2785</v>
      </c>
      <c r="F1584" s="49" t="s">
        <v>2792</v>
      </c>
      <c r="G1584" s="49" t="s">
        <v>2787</v>
      </c>
      <c r="H1584" s="49" t="s">
        <v>980</v>
      </c>
      <c r="I1584" s="50">
        <v>42940</v>
      </c>
      <c r="J1584" s="50">
        <v>42998</v>
      </c>
      <c r="K1584" s="50">
        <v>43178</v>
      </c>
      <c r="M1584" s="49" t="s">
        <v>7559</v>
      </c>
    </row>
    <row r="1585" spans="1:13" x14ac:dyDescent="0.35">
      <c r="A1585" s="49" t="s">
        <v>7560</v>
      </c>
      <c r="B1585" s="49" t="s">
        <v>7561</v>
      </c>
      <c r="C1585" s="49" t="s">
        <v>7562</v>
      </c>
      <c r="D1585" s="49" t="s">
        <v>1264</v>
      </c>
      <c r="E1585" s="49" t="s">
        <v>2785</v>
      </c>
      <c r="F1585" s="49" t="s">
        <v>2792</v>
      </c>
      <c r="G1585" s="49" t="s">
        <v>2787</v>
      </c>
      <c r="H1585" s="49" t="s">
        <v>980</v>
      </c>
      <c r="I1585" s="50">
        <v>41435</v>
      </c>
      <c r="J1585" s="50">
        <v>42166</v>
      </c>
      <c r="K1585" s="50">
        <v>42348</v>
      </c>
      <c r="M1585" s="49" t="s">
        <v>7563</v>
      </c>
    </row>
    <row r="1586" spans="1:13" x14ac:dyDescent="0.35">
      <c r="A1586" s="49" t="s">
        <v>7564</v>
      </c>
      <c r="C1586" s="49" t="s">
        <v>3882</v>
      </c>
      <c r="D1586" s="49" t="s">
        <v>1264</v>
      </c>
      <c r="E1586" s="49" t="s">
        <v>2785</v>
      </c>
      <c r="F1586" s="49" t="s">
        <v>2786</v>
      </c>
      <c r="G1586" s="49" t="s">
        <v>2787</v>
      </c>
      <c r="H1586" s="49" t="s">
        <v>980</v>
      </c>
      <c r="I1586" s="50">
        <v>42867</v>
      </c>
      <c r="J1586" s="50">
        <v>42999</v>
      </c>
      <c r="K1586" s="50">
        <v>43179</v>
      </c>
      <c r="M1586" s="49" t="s">
        <v>6081</v>
      </c>
    </row>
    <row r="1587" spans="1:13" x14ac:dyDescent="0.35">
      <c r="A1587" s="49" t="s">
        <v>7565</v>
      </c>
      <c r="C1587" s="49" t="s">
        <v>7566</v>
      </c>
      <c r="D1587" s="49" t="s">
        <v>1264</v>
      </c>
      <c r="E1587" s="49" t="s">
        <v>2785</v>
      </c>
      <c r="F1587" s="49" t="s">
        <v>2792</v>
      </c>
      <c r="G1587" s="49" t="s">
        <v>2826</v>
      </c>
      <c r="H1587" s="49" t="s">
        <v>8</v>
      </c>
      <c r="I1587" s="50">
        <v>42920</v>
      </c>
      <c r="J1587" s="50">
        <v>43006</v>
      </c>
      <c r="K1587" s="50">
        <v>43186</v>
      </c>
      <c r="M1587" s="49" t="s">
        <v>7424</v>
      </c>
    </row>
    <row r="1588" spans="1:13" x14ac:dyDescent="0.35">
      <c r="A1588" s="49" t="s">
        <v>7567</v>
      </c>
      <c r="B1588" s="49" t="s">
        <v>2795</v>
      </c>
      <c r="C1588" s="49" t="s">
        <v>4015</v>
      </c>
      <c r="D1588" s="49" t="s">
        <v>1264</v>
      </c>
      <c r="E1588" s="49" t="s">
        <v>2785</v>
      </c>
      <c r="F1588" s="49" t="s">
        <v>2792</v>
      </c>
      <c r="G1588" s="49" t="s">
        <v>2787</v>
      </c>
      <c r="H1588" s="49" t="s">
        <v>8</v>
      </c>
      <c r="I1588" s="50">
        <v>43143</v>
      </c>
      <c r="J1588" s="50">
        <v>43293</v>
      </c>
      <c r="K1588" s="50">
        <v>43476</v>
      </c>
      <c r="M1588" s="49" t="s">
        <v>7568</v>
      </c>
    </row>
    <row r="1589" spans="1:13" x14ac:dyDescent="0.35">
      <c r="A1589" s="49" t="s">
        <v>7569</v>
      </c>
      <c r="B1589" s="49" t="s">
        <v>7570</v>
      </c>
      <c r="C1589" s="49" t="s">
        <v>7111</v>
      </c>
      <c r="D1589" s="49" t="s">
        <v>1264</v>
      </c>
      <c r="E1589" s="49" t="s">
        <v>2785</v>
      </c>
      <c r="F1589" s="49" t="s">
        <v>2792</v>
      </c>
      <c r="G1589" s="49" t="s">
        <v>2787</v>
      </c>
      <c r="H1589" s="49" t="s">
        <v>3207</v>
      </c>
      <c r="I1589" s="50">
        <v>42171</v>
      </c>
      <c r="J1589" s="50">
        <v>42213</v>
      </c>
      <c r="K1589" s="50">
        <v>42396</v>
      </c>
      <c r="M1589" s="49" t="s">
        <v>7571</v>
      </c>
    </row>
    <row r="1590" spans="1:13" x14ac:dyDescent="0.35">
      <c r="A1590" s="49" t="s">
        <v>7572</v>
      </c>
      <c r="B1590" s="49" t="s">
        <v>7573</v>
      </c>
      <c r="C1590" s="49" t="s">
        <v>7111</v>
      </c>
      <c r="D1590" s="49" t="s">
        <v>1264</v>
      </c>
      <c r="E1590" s="49" t="s">
        <v>2785</v>
      </c>
      <c r="F1590" s="49" t="s">
        <v>2792</v>
      </c>
      <c r="G1590" s="49" t="s">
        <v>2787</v>
      </c>
      <c r="H1590" s="49" t="s">
        <v>3207</v>
      </c>
      <c r="I1590" s="50">
        <v>42157</v>
      </c>
      <c r="J1590" s="50">
        <v>42213</v>
      </c>
      <c r="K1590" s="50">
        <v>42396</v>
      </c>
      <c r="M1590" s="49" t="s">
        <v>7574</v>
      </c>
    </row>
    <row r="1591" spans="1:13" x14ac:dyDescent="0.35">
      <c r="A1591" s="49" t="s">
        <v>7575</v>
      </c>
      <c r="B1591" s="49" t="s">
        <v>7576</v>
      </c>
      <c r="C1591" s="49" t="s">
        <v>7299</v>
      </c>
      <c r="D1591" s="49" t="s">
        <v>1264</v>
      </c>
      <c r="E1591" s="49" t="s">
        <v>2785</v>
      </c>
      <c r="F1591" s="49" t="s">
        <v>2792</v>
      </c>
      <c r="G1591" s="49" t="s">
        <v>2787</v>
      </c>
      <c r="H1591" s="49" t="s">
        <v>8</v>
      </c>
      <c r="I1591" s="50">
        <v>42989</v>
      </c>
      <c r="J1591" s="50">
        <v>43014</v>
      </c>
      <c r="K1591" s="50">
        <v>43195</v>
      </c>
      <c r="M1591" s="49" t="s">
        <v>7577</v>
      </c>
    </row>
    <row r="1592" spans="1:13" x14ac:dyDescent="0.35">
      <c r="A1592" s="49" t="s">
        <v>7578</v>
      </c>
      <c r="B1592" s="49" t="s">
        <v>2818</v>
      </c>
      <c r="C1592" s="49" t="s">
        <v>3660</v>
      </c>
      <c r="D1592" s="49" t="s">
        <v>1264</v>
      </c>
      <c r="E1592" s="49" t="s">
        <v>2785</v>
      </c>
      <c r="F1592" s="49" t="s">
        <v>2792</v>
      </c>
      <c r="G1592" s="49" t="s">
        <v>2787</v>
      </c>
      <c r="H1592" s="49" t="s">
        <v>8</v>
      </c>
      <c r="I1592" s="50">
        <v>42888</v>
      </c>
      <c r="J1592" s="50">
        <v>43014</v>
      </c>
      <c r="K1592" s="50">
        <v>43195</v>
      </c>
      <c r="M1592" s="49" t="s">
        <v>7383</v>
      </c>
    </row>
    <row r="1593" spans="1:13" x14ac:dyDescent="0.35">
      <c r="A1593" s="49" t="s">
        <v>7579</v>
      </c>
      <c r="B1593" s="49" t="s">
        <v>7580</v>
      </c>
      <c r="C1593" s="49" t="s">
        <v>7581</v>
      </c>
      <c r="D1593" s="49" t="s">
        <v>1264</v>
      </c>
      <c r="E1593" s="49" t="s">
        <v>2785</v>
      </c>
      <c r="F1593" s="49" t="s">
        <v>2786</v>
      </c>
      <c r="G1593" s="49" t="s">
        <v>2787</v>
      </c>
      <c r="H1593" s="49" t="s">
        <v>835</v>
      </c>
      <c r="I1593" s="50">
        <v>42906</v>
      </c>
      <c r="J1593" s="50">
        <v>43019</v>
      </c>
      <c r="K1593" s="50">
        <v>43200</v>
      </c>
      <c r="M1593" s="49" t="s">
        <v>7582</v>
      </c>
    </row>
    <row r="1594" spans="1:13" x14ac:dyDescent="0.35">
      <c r="A1594" s="49" t="s">
        <v>7583</v>
      </c>
      <c r="C1594" s="49" t="s">
        <v>7584</v>
      </c>
      <c r="D1594" s="49" t="s">
        <v>1264</v>
      </c>
      <c r="E1594" s="49" t="s">
        <v>2785</v>
      </c>
      <c r="F1594" s="49" t="s">
        <v>2792</v>
      </c>
      <c r="G1594" s="49" t="s">
        <v>2787</v>
      </c>
      <c r="H1594" s="49" t="s">
        <v>8</v>
      </c>
      <c r="I1594" s="50">
        <v>43011</v>
      </c>
      <c r="J1594" s="50">
        <v>43019</v>
      </c>
      <c r="K1594" s="50">
        <v>43200</v>
      </c>
      <c r="M1594" s="49" t="s">
        <v>7537</v>
      </c>
    </row>
    <row r="1595" spans="1:13" x14ac:dyDescent="0.35">
      <c r="A1595" s="49" t="s">
        <v>7585</v>
      </c>
      <c r="B1595" s="49" t="s">
        <v>6502</v>
      </c>
      <c r="C1595" s="49" t="s">
        <v>7586</v>
      </c>
      <c r="D1595" s="49" t="s">
        <v>1264</v>
      </c>
      <c r="E1595" s="49" t="s">
        <v>2785</v>
      </c>
      <c r="F1595" s="49" t="s">
        <v>2786</v>
      </c>
      <c r="G1595" s="49" t="s">
        <v>2787</v>
      </c>
      <c r="H1595" s="49" t="s">
        <v>980</v>
      </c>
      <c r="I1595" s="50">
        <v>42866</v>
      </c>
      <c r="J1595" s="50">
        <v>43021</v>
      </c>
      <c r="K1595" s="50">
        <v>43202</v>
      </c>
      <c r="M1595" s="49" t="s">
        <v>7587</v>
      </c>
    </row>
    <row r="1596" spans="1:13" x14ac:dyDescent="0.35">
      <c r="A1596" s="49" t="s">
        <v>7588</v>
      </c>
      <c r="B1596" s="49" t="s">
        <v>2818</v>
      </c>
      <c r="C1596" s="49" t="s">
        <v>4286</v>
      </c>
      <c r="D1596" s="49" t="s">
        <v>1264</v>
      </c>
      <c r="E1596" s="49" t="s">
        <v>2785</v>
      </c>
      <c r="F1596" s="49" t="s">
        <v>2792</v>
      </c>
      <c r="G1596" s="49" t="s">
        <v>3602</v>
      </c>
      <c r="H1596" s="49" t="s">
        <v>8</v>
      </c>
      <c r="I1596" s="50">
        <v>43995</v>
      </c>
      <c r="J1596" s="50">
        <v>44151</v>
      </c>
      <c r="K1596" s="50">
        <v>44515</v>
      </c>
      <c r="M1596" s="49" t="s">
        <v>7589</v>
      </c>
    </row>
    <row r="1597" spans="1:13" x14ac:dyDescent="0.35">
      <c r="A1597" s="49" t="s">
        <v>7590</v>
      </c>
      <c r="B1597" s="49" t="s">
        <v>7591</v>
      </c>
      <c r="C1597" s="49" t="s">
        <v>7592</v>
      </c>
      <c r="D1597" s="49" t="s">
        <v>1264</v>
      </c>
      <c r="E1597" s="49" t="s">
        <v>2785</v>
      </c>
      <c r="F1597" s="49" t="s">
        <v>2786</v>
      </c>
      <c r="G1597" s="49" t="s">
        <v>2787</v>
      </c>
      <c r="H1597" s="49" t="s">
        <v>4225</v>
      </c>
      <c r="I1597" s="50">
        <v>43178</v>
      </c>
      <c r="J1597" s="50">
        <v>43305</v>
      </c>
      <c r="K1597" s="50">
        <v>43488</v>
      </c>
      <c r="M1597" s="49" t="s">
        <v>7593</v>
      </c>
    </row>
    <row r="1598" spans="1:13" x14ac:dyDescent="0.35">
      <c r="A1598" s="49" t="s">
        <v>7594</v>
      </c>
      <c r="C1598" s="49" t="s">
        <v>7595</v>
      </c>
      <c r="D1598" s="49" t="s">
        <v>1264</v>
      </c>
      <c r="E1598" s="49" t="s">
        <v>2814</v>
      </c>
      <c r="F1598" s="49" t="s">
        <v>2939</v>
      </c>
      <c r="G1598" s="49" t="s">
        <v>2787</v>
      </c>
      <c r="H1598" s="49" t="s">
        <v>980</v>
      </c>
      <c r="I1598" s="50">
        <v>42163</v>
      </c>
      <c r="J1598" s="50">
        <v>42234</v>
      </c>
      <c r="K1598" s="50">
        <v>42417</v>
      </c>
      <c r="M1598" s="49" t="s">
        <v>3470</v>
      </c>
    </row>
    <row r="1599" spans="1:13" x14ac:dyDescent="0.35">
      <c r="A1599" s="49" t="s">
        <v>7596</v>
      </c>
      <c r="B1599" s="49" t="s">
        <v>7597</v>
      </c>
      <c r="C1599" s="49" t="s">
        <v>7595</v>
      </c>
      <c r="D1599" s="49" t="s">
        <v>1264</v>
      </c>
      <c r="E1599" s="49" t="s">
        <v>2814</v>
      </c>
      <c r="F1599" s="49" t="s">
        <v>2837</v>
      </c>
      <c r="G1599" s="49" t="s">
        <v>2787</v>
      </c>
      <c r="H1599" s="49" t="s">
        <v>2827</v>
      </c>
      <c r="I1599" s="50">
        <v>42166</v>
      </c>
      <c r="J1599" s="50">
        <v>42234</v>
      </c>
      <c r="K1599" s="50">
        <v>42417</v>
      </c>
      <c r="M1599" s="49" t="s">
        <v>3470</v>
      </c>
    </row>
    <row r="1600" spans="1:13" x14ac:dyDescent="0.35">
      <c r="A1600" s="49" t="s">
        <v>7598</v>
      </c>
      <c r="B1600" s="49" t="s">
        <v>7599</v>
      </c>
      <c r="C1600" s="49" t="s">
        <v>7600</v>
      </c>
      <c r="D1600" s="49" t="s">
        <v>1264</v>
      </c>
      <c r="E1600" s="49" t="s">
        <v>7057</v>
      </c>
      <c r="F1600" s="49" t="s">
        <v>2825</v>
      </c>
      <c r="G1600" s="49" t="s">
        <v>2787</v>
      </c>
      <c r="H1600" s="49" t="s">
        <v>2827</v>
      </c>
      <c r="I1600" s="50">
        <v>41982</v>
      </c>
      <c r="J1600" s="50">
        <v>42032</v>
      </c>
      <c r="K1600" s="50">
        <v>42763</v>
      </c>
      <c r="M1600" s="49" t="s">
        <v>7601</v>
      </c>
    </row>
    <row r="1601" spans="1:13" x14ac:dyDescent="0.35">
      <c r="A1601" s="49" t="s">
        <v>7602</v>
      </c>
      <c r="C1601" s="49" t="s">
        <v>7299</v>
      </c>
      <c r="D1601" s="49" t="s">
        <v>1264</v>
      </c>
      <c r="E1601" s="49" t="s">
        <v>2785</v>
      </c>
      <c r="F1601" s="49" t="s">
        <v>2792</v>
      </c>
      <c r="G1601" s="49" t="s">
        <v>2787</v>
      </c>
      <c r="H1601" s="49" t="s">
        <v>8</v>
      </c>
      <c r="I1601" s="50">
        <v>42528</v>
      </c>
      <c r="J1601" s="50">
        <v>42859</v>
      </c>
      <c r="K1601" s="50">
        <v>43042</v>
      </c>
      <c r="M1601" s="49" t="s">
        <v>7603</v>
      </c>
    </row>
    <row r="1602" spans="1:13" x14ac:dyDescent="0.35">
      <c r="A1602" s="49" t="s">
        <v>7604</v>
      </c>
      <c r="B1602" s="49" t="s">
        <v>7605</v>
      </c>
      <c r="C1602" s="49" t="s">
        <v>3462</v>
      </c>
      <c r="D1602" s="49" t="s">
        <v>1264</v>
      </c>
      <c r="E1602" s="49" t="s">
        <v>2785</v>
      </c>
      <c r="F1602" s="49" t="s">
        <v>2786</v>
      </c>
      <c r="G1602" s="49" t="s">
        <v>2787</v>
      </c>
      <c r="H1602" s="49" t="s">
        <v>980</v>
      </c>
      <c r="I1602" s="50">
        <v>43222</v>
      </c>
      <c r="J1602" s="50">
        <v>43306</v>
      </c>
      <c r="K1602" s="50">
        <v>43489</v>
      </c>
      <c r="M1602" s="49" t="s">
        <v>7606</v>
      </c>
    </row>
    <row r="1603" spans="1:13" x14ac:dyDescent="0.35">
      <c r="A1603" s="49" t="s">
        <v>7607</v>
      </c>
      <c r="B1603" s="49" t="s">
        <v>7608</v>
      </c>
      <c r="C1603" s="49" t="s">
        <v>7609</v>
      </c>
      <c r="D1603" s="49" t="s">
        <v>1264</v>
      </c>
      <c r="E1603" s="49" t="s">
        <v>7057</v>
      </c>
      <c r="F1603" s="49" t="s">
        <v>2825</v>
      </c>
      <c r="G1603" s="49" t="s">
        <v>2787</v>
      </c>
      <c r="H1603" s="49" t="s">
        <v>2827</v>
      </c>
      <c r="I1603" s="50">
        <v>41985</v>
      </c>
      <c r="J1603" s="50">
        <v>42032</v>
      </c>
      <c r="K1603" s="50">
        <v>42762</v>
      </c>
      <c r="M1603" s="49" t="s">
        <v>3085</v>
      </c>
    </row>
    <row r="1604" spans="1:13" x14ac:dyDescent="0.35">
      <c r="A1604" s="49" t="s">
        <v>7610</v>
      </c>
      <c r="B1604" s="49" t="s">
        <v>7611</v>
      </c>
      <c r="C1604" s="49" t="s">
        <v>7612</v>
      </c>
      <c r="D1604" s="49" t="s">
        <v>1264</v>
      </c>
      <c r="E1604" s="49" t="s">
        <v>7057</v>
      </c>
      <c r="F1604" s="49" t="s">
        <v>2825</v>
      </c>
      <c r="G1604" s="49" t="s">
        <v>2787</v>
      </c>
      <c r="H1604" s="49" t="s">
        <v>2827</v>
      </c>
      <c r="I1604" s="50">
        <v>39454</v>
      </c>
      <c r="J1604" s="50">
        <v>39490</v>
      </c>
      <c r="K1604" s="50">
        <v>40585</v>
      </c>
      <c r="M1604" s="49" t="s">
        <v>3100</v>
      </c>
    </row>
    <row r="1605" spans="1:13" x14ac:dyDescent="0.35">
      <c r="A1605" s="49" t="s">
        <v>7613</v>
      </c>
      <c r="B1605" s="49" t="s">
        <v>7614</v>
      </c>
      <c r="C1605" s="49" t="s">
        <v>2881</v>
      </c>
      <c r="D1605" s="49" t="s">
        <v>1264</v>
      </c>
      <c r="E1605" s="49" t="s">
        <v>2785</v>
      </c>
      <c r="F1605" s="49" t="s">
        <v>2792</v>
      </c>
      <c r="G1605" s="49" t="s">
        <v>2787</v>
      </c>
      <c r="H1605" s="49" t="s">
        <v>8</v>
      </c>
      <c r="I1605" s="50">
        <v>41843</v>
      </c>
      <c r="J1605" s="50">
        <v>41891</v>
      </c>
      <c r="K1605" s="50">
        <v>42071</v>
      </c>
      <c r="M1605" s="49" t="s">
        <v>7615</v>
      </c>
    </row>
    <row r="1606" spans="1:13" x14ac:dyDescent="0.35">
      <c r="A1606" s="49" t="s">
        <v>7616</v>
      </c>
      <c r="B1606" s="49" t="s">
        <v>2867</v>
      </c>
      <c r="C1606" s="49" t="s">
        <v>4243</v>
      </c>
      <c r="D1606" s="49" t="s">
        <v>1264</v>
      </c>
      <c r="E1606" s="49" t="s">
        <v>2785</v>
      </c>
      <c r="F1606" s="49" t="s">
        <v>2792</v>
      </c>
      <c r="G1606" s="49" t="s">
        <v>2787</v>
      </c>
      <c r="H1606" s="49" t="s">
        <v>8</v>
      </c>
      <c r="I1606" s="50">
        <v>42954</v>
      </c>
      <c r="J1606" s="50">
        <v>43468</v>
      </c>
      <c r="K1606" s="50">
        <v>43648</v>
      </c>
      <c r="M1606" s="49" t="s">
        <v>7617</v>
      </c>
    </row>
    <row r="1607" spans="1:13" x14ac:dyDescent="0.35">
      <c r="A1607" s="49" t="s">
        <v>7618</v>
      </c>
      <c r="B1607" s="49" t="s">
        <v>2867</v>
      </c>
      <c r="C1607" s="49" t="s">
        <v>7194</v>
      </c>
      <c r="D1607" s="49" t="s">
        <v>1264</v>
      </c>
      <c r="E1607" s="49" t="s">
        <v>2785</v>
      </c>
      <c r="F1607" s="49" t="s">
        <v>2792</v>
      </c>
      <c r="G1607" s="49" t="s">
        <v>2787</v>
      </c>
      <c r="H1607" s="49" t="s">
        <v>8</v>
      </c>
      <c r="I1607" s="50">
        <v>42515</v>
      </c>
      <c r="J1607" s="50">
        <v>42590</v>
      </c>
      <c r="K1607" s="50">
        <v>42773</v>
      </c>
      <c r="M1607" s="49" t="s">
        <v>7619</v>
      </c>
    </row>
    <row r="1608" spans="1:13" x14ac:dyDescent="0.35">
      <c r="A1608" s="49" t="s">
        <v>7620</v>
      </c>
      <c r="B1608" s="49" t="s">
        <v>7621</v>
      </c>
      <c r="C1608" s="49" t="s">
        <v>7622</v>
      </c>
      <c r="D1608" s="49" t="s">
        <v>1264</v>
      </c>
      <c r="E1608" s="49" t="s">
        <v>2986</v>
      </c>
      <c r="F1608" s="49" t="s">
        <v>2825</v>
      </c>
      <c r="G1608" s="49" t="s">
        <v>2787</v>
      </c>
      <c r="H1608" s="49" t="s">
        <v>2827</v>
      </c>
      <c r="I1608" s="50">
        <v>40390</v>
      </c>
      <c r="J1608" s="50">
        <v>40575</v>
      </c>
      <c r="K1608" s="50">
        <v>45055</v>
      </c>
      <c r="L1608" s="50">
        <v>43336</v>
      </c>
      <c r="M1608" s="49" t="s">
        <v>3100</v>
      </c>
    </row>
    <row r="1609" spans="1:13" x14ac:dyDescent="0.35">
      <c r="A1609" s="49" t="s">
        <v>7623</v>
      </c>
      <c r="C1609" s="49" t="s">
        <v>7624</v>
      </c>
      <c r="D1609" s="49" t="s">
        <v>1264</v>
      </c>
      <c r="E1609" s="49" t="s">
        <v>2814</v>
      </c>
      <c r="F1609" s="49" t="s">
        <v>2825</v>
      </c>
      <c r="G1609" s="49" t="s">
        <v>2787</v>
      </c>
      <c r="H1609" s="49" t="s">
        <v>2827</v>
      </c>
      <c r="I1609" s="50">
        <v>41908</v>
      </c>
      <c r="J1609" s="50">
        <v>41906</v>
      </c>
      <c r="K1609" s="50">
        <v>42086</v>
      </c>
      <c r="M1609" s="49" t="s">
        <v>7625</v>
      </c>
    </row>
    <row r="1610" spans="1:13" x14ac:dyDescent="0.35">
      <c r="A1610" s="49" t="s">
        <v>7626</v>
      </c>
      <c r="B1610" s="49" t="s">
        <v>4379</v>
      </c>
      <c r="C1610" s="49" t="s">
        <v>7627</v>
      </c>
      <c r="D1610" s="49" t="s">
        <v>1264</v>
      </c>
      <c r="E1610" s="49" t="s">
        <v>2785</v>
      </c>
      <c r="F1610" s="49" t="s">
        <v>2792</v>
      </c>
      <c r="G1610" s="49" t="s">
        <v>2787</v>
      </c>
      <c r="H1610" s="49" t="s">
        <v>8</v>
      </c>
      <c r="I1610" s="50">
        <v>42502</v>
      </c>
      <c r="J1610" s="50">
        <v>42611</v>
      </c>
      <c r="K1610" s="50">
        <v>42793</v>
      </c>
      <c r="M1610" s="49" t="s">
        <v>7286</v>
      </c>
    </row>
    <row r="1611" spans="1:13" x14ac:dyDescent="0.35">
      <c r="A1611" s="49" t="s">
        <v>7628</v>
      </c>
      <c r="B1611" s="49" t="s">
        <v>7629</v>
      </c>
      <c r="C1611" s="49" t="s">
        <v>7630</v>
      </c>
      <c r="D1611" s="49" t="s">
        <v>1264</v>
      </c>
      <c r="E1611" s="49" t="s">
        <v>2785</v>
      </c>
      <c r="F1611" s="49" t="s">
        <v>2792</v>
      </c>
      <c r="G1611" s="49" t="s">
        <v>2787</v>
      </c>
      <c r="H1611" s="49" t="s">
        <v>980</v>
      </c>
      <c r="I1611" s="50">
        <v>43511</v>
      </c>
      <c r="J1611" s="50">
        <v>43789</v>
      </c>
      <c r="K1611" s="50">
        <v>44155</v>
      </c>
      <c r="M1611" s="49" t="s">
        <v>7631</v>
      </c>
    </row>
    <row r="1612" spans="1:13" x14ac:dyDescent="0.35">
      <c r="A1612" s="49" t="s">
        <v>7632</v>
      </c>
      <c r="B1612" s="49" t="s">
        <v>7633</v>
      </c>
      <c r="C1612" s="49" t="s">
        <v>7634</v>
      </c>
      <c r="D1612" s="49" t="s">
        <v>1264</v>
      </c>
      <c r="E1612" s="49" t="s">
        <v>2785</v>
      </c>
      <c r="F1612" s="49" t="s">
        <v>2786</v>
      </c>
      <c r="G1612" s="49" t="s">
        <v>2787</v>
      </c>
      <c r="H1612" s="49" t="s">
        <v>8</v>
      </c>
      <c r="I1612" s="50">
        <v>43215</v>
      </c>
      <c r="J1612" s="50">
        <v>43342</v>
      </c>
      <c r="K1612" s="50">
        <v>43523</v>
      </c>
      <c r="M1612" s="49" t="s">
        <v>7635</v>
      </c>
    </row>
    <row r="1613" spans="1:13" x14ac:dyDescent="0.35">
      <c r="A1613" s="49" t="s">
        <v>7636</v>
      </c>
      <c r="B1613" s="49" t="s">
        <v>2818</v>
      </c>
      <c r="C1613" s="49" t="s">
        <v>7637</v>
      </c>
      <c r="D1613" s="49" t="s">
        <v>1264</v>
      </c>
      <c r="E1613" s="49" t="s">
        <v>2785</v>
      </c>
      <c r="F1613" s="49" t="s">
        <v>2792</v>
      </c>
      <c r="G1613" s="49" t="s">
        <v>2787</v>
      </c>
      <c r="H1613" s="49" t="s">
        <v>8</v>
      </c>
      <c r="I1613" s="50">
        <v>43728</v>
      </c>
      <c r="J1613" s="50">
        <v>43790</v>
      </c>
      <c r="K1613" s="50">
        <v>44155</v>
      </c>
      <c r="M1613" s="49" t="s">
        <v>7638</v>
      </c>
    </row>
    <row r="1614" spans="1:13" x14ac:dyDescent="0.35">
      <c r="A1614" s="49" t="s">
        <v>7639</v>
      </c>
      <c r="B1614" s="49" t="s">
        <v>3615</v>
      </c>
      <c r="C1614" s="49" t="s">
        <v>3895</v>
      </c>
      <c r="D1614" s="49" t="s">
        <v>1264</v>
      </c>
      <c r="E1614" s="49" t="s">
        <v>2785</v>
      </c>
      <c r="F1614" s="49" t="s">
        <v>2786</v>
      </c>
      <c r="G1614" s="49" t="s">
        <v>2787</v>
      </c>
      <c r="H1614" s="49" t="s">
        <v>980</v>
      </c>
      <c r="I1614" s="50">
        <v>43426</v>
      </c>
      <c r="J1614" s="50">
        <v>43809</v>
      </c>
      <c r="K1614" s="50">
        <v>44174</v>
      </c>
      <c r="M1614" s="49" t="s">
        <v>7640</v>
      </c>
    </row>
    <row r="1615" spans="1:13" x14ac:dyDescent="0.35">
      <c r="A1615" s="49" t="s">
        <v>7641</v>
      </c>
      <c r="B1615" s="49" t="s">
        <v>2818</v>
      </c>
      <c r="C1615" s="49" t="s">
        <v>7642</v>
      </c>
      <c r="D1615" s="49" t="s">
        <v>1264</v>
      </c>
      <c r="E1615" s="49" t="s">
        <v>2785</v>
      </c>
      <c r="F1615" s="49" t="s">
        <v>2792</v>
      </c>
      <c r="G1615" s="49" t="s">
        <v>2787</v>
      </c>
      <c r="H1615" s="49" t="s">
        <v>8</v>
      </c>
      <c r="I1615" s="50">
        <v>42608</v>
      </c>
      <c r="J1615" s="50">
        <v>42628</v>
      </c>
      <c r="K1615" s="50">
        <v>43026</v>
      </c>
      <c r="M1615" s="49" t="s">
        <v>7643</v>
      </c>
    </row>
    <row r="1616" spans="1:13" x14ac:dyDescent="0.35">
      <c r="A1616" s="49" t="s">
        <v>7644</v>
      </c>
      <c r="B1616" s="49" t="s">
        <v>4469</v>
      </c>
      <c r="C1616" s="49" t="s">
        <v>7645</v>
      </c>
      <c r="D1616" s="49" t="s">
        <v>1264</v>
      </c>
      <c r="E1616" s="49" t="s">
        <v>2785</v>
      </c>
      <c r="F1616" s="49" t="s">
        <v>2792</v>
      </c>
      <c r="G1616" s="49" t="s">
        <v>2787</v>
      </c>
      <c r="H1616" s="49" t="s">
        <v>8</v>
      </c>
      <c r="I1616" s="50">
        <v>43733</v>
      </c>
      <c r="J1616" s="50">
        <v>43818</v>
      </c>
      <c r="K1616" s="50">
        <v>43634</v>
      </c>
      <c r="M1616" s="49" t="s">
        <v>7646</v>
      </c>
    </row>
    <row r="1617" spans="1:13" x14ac:dyDescent="0.35">
      <c r="A1617" s="49" t="s">
        <v>7647</v>
      </c>
      <c r="B1617" s="49" t="s">
        <v>7648</v>
      </c>
      <c r="C1617" s="49" t="s">
        <v>7189</v>
      </c>
      <c r="D1617" s="49" t="s">
        <v>1264</v>
      </c>
      <c r="E1617" s="49" t="s">
        <v>2785</v>
      </c>
      <c r="F1617" s="49" t="s">
        <v>2786</v>
      </c>
      <c r="G1617" s="49" t="s">
        <v>2787</v>
      </c>
      <c r="H1617" s="49" t="s">
        <v>3207</v>
      </c>
      <c r="I1617" s="50">
        <v>43251</v>
      </c>
      <c r="J1617" s="50">
        <v>43353</v>
      </c>
      <c r="K1617" s="50">
        <v>43533</v>
      </c>
      <c r="M1617" s="49" t="s">
        <v>7649</v>
      </c>
    </row>
    <row r="1618" spans="1:13" x14ac:dyDescent="0.35">
      <c r="A1618" s="49" t="s">
        <v>7650</v>
      </c>
      <c r="B1618" s="49" t="s">
        <v>7651</v>
      </c>
      <c r="C1618" s="49" t="s">
        <v>7189</v>
      </c>
      <c r="D1618" s="49" t="s">
        <v>1264</v>
      </c>
      <c r="E1618" s="49" t="s">
        <v>2785</v>
      </c>
      <c r="F1618" s="49" t="s">
        <v>2786</v>
      </c>
      <c r="G1618" s="49" t="s">
        <v>2787</v>
      </c>
      <c r="H1618" s="49" t="s">
        <v>3207</v>
      </c>
      <c r="I1618" s="50">
        <v>43251</v>
      </c>
      <c r="J1618" s="50">
        <v>43353</v>
      </c>
      <c r="K1618" s="50">
        <v>43533</v>
      </c>
      <c r="M1618" s="49" t="s">
        <v>7652</v>
      </c>
    </row>
    <row r="1619" spans="1:13" x14ac:dyDescent="0.35">
      <c r="A1619" s="49" t="s">
        <v>7653</v>
      </c>
      <c r="B1619" s="49" t="s">
        <v>7654</v>
      </c>
      <c r="C1619" s="49" t="s">
        <v>7189</v>
      </c>
      <c r="D1619" s="49" t="s">
        <v>1264</v>
      </c>
      <c r="E1619" s="49" t="s">
        <v>2785</v>
      </c>
      <c r="F1619" s="49" t="s">
        <v>2786</v>
      </c>
      <c r="G1619" s="49" t="s">
        <v>2787</v>
      </c>
      <c r="H1619" s="49" t="s">
        <v>3207</v>
      </c>
      <c r="I1619" s="50">
        <v>43251</v>
      </c>
      <c r="J1619" s="50">
        <v>43353</v>
      </c>
      <c r="K1619" s="50">
        <v>43533</v>
      </c>
      <c r="M1619" s="49" t="s">
        <v>7655</v>
      </c>
    </row>
    <row r="1620" spans="1:13" x14ac:dyDescent="0.35">
      <c r="A1620" s="49" t="s">
        <v>7656</v>
      </c>
      <c r="B1620" s="49" t="s">
        <v>2818</v>
      </c>
      <c r="C1620" s="49" t="s">
        <v>4070</v>
      </c>
      <c r="D1620" s="49" t="s">
        <v>1264</v>
      </c>
      <c r="E1620" s="49" t="s">
        <v>2785</v>
      </c>
      <c r="F1620" s="49" t="s">
        <v>2792</v>
      </c>
      <c r="G1620" s="49" t="s">
        <v>2787</v>
      </c>
      <c r="H1620" s="49" t="s">
        <v>8</v>
      </c>
      <c r="I1620" s="50">
        <v>43290</v>
      </c>
      <c r="J1620" s="50">
        <v>43818</v>
      </c>
      <c r="K1620" s="50">
        <v>44146</v>
      </c>
      <c r="M1620" s="49" t="s">
        <v>7657</v>
      </c>
    </row>
    <row r="1621" spans="1:13" x14ac:dyDescent="0.35">
      <c r="A1621" s="49" t="s">
        <v>7658</v>
      </c>
      <c r="B1621" s="49" t="s">
        <v>7659</v>
      </c>
      <c r="C1621" s="49" t="s">
        <v>7189</v>
      </c>
      <c r="D1621" s="49" t="s">
        <v>1264</v>
      </c>
      <c r="E1621" s="49" t="s">
        <v>2785</v>
      </c>
      <c r="F1621" s="49" t="s">
        <v>2786</v>
      </c>
      <c r="G1621" s="49" t="s">
        <v>2787</v>
      </c>
      <c r="H1621" s="49" t="s">
        <v>3207</v>
      </c>
      <c r="I1621" s="50">
        <v>43251</v>
      </c>
      <c r="J1621" s="50">
        <v>43353</v>
      </c>
      <c r="K1621" s="50">
        <v>43533</v>
      </c>
      <c r="M1621" s="49" t="s">
        <v>7660</v>
      </c>
    </row>
    <row r="1622" spans="1:13" x14ac:dyDescent="0.35">
      <c r="A1622" s="49" t="s">
        <v>7661</v>
      </c>
      <c r="B1622" s="49" t="s">
        <v>7662</v>
      </c>
      <c r="C1622" s="49" t="s">
        <v>7189</v>
      </c>
      <c r="D1622" s="49" t="s">
        <v>1264</v>
      </c>
      <c r="E1622" s="49" t="s">
        <v>2785</v>
      </c>
      <c r="F1622" s="49" t="s">
        <v>2786</v>
      </c>
      <c r="G1622" s="49" t="s">
        <v>2787</v>
      </c>
      <c r="H1622" s="49" t="s">
        <v>3207</v>
      </c>
      <c r="I1622" s="50">
        <v>43251</v>
      </c>
      <c r="J1622" s="50">
        <v>43353</v>
      </c>
      <c r="K1622" s="50">
        <v>43533</v>
      </c>
      <c r="M1622" s="49" t="s">
        <v>7663</v>
      </c>
    </row>
    <row r="1623" spans="1:13" x14ac:dyDescent="0.35">
      <c r="A1623" s="49" t="s">
        <v>7664</v>
      </c>
      <c r="B1623" s="49" t="s">
        <v>7665</v>
      </c>
      <c r="C1623" s="49" t="s">
        <v>7189</v>
      </c>
      <c r="D1623" s="49" t="s">
        <v>1264</v>
      </c>
      <c r="E1623" s="49" t="s">
        <v>2785</v>
      </c>
      <c r="F1623" s="49" t="s">
        <v>2786</v>
      </c>
      <c r="G1623" s="49" t="s">
        <v>2787</v>
      </c>
      <c r="H1623" s="49" t="s">
        <v>3207</v>
      </c>
      <c r="I1623" s="50">
        <v>43251</v>
      </c>
      <c r="J1623" s="50">
        <v>43353</v>
      </c>
      <c r="K1623" s="50">
        <v>43533</v>
      </c>
      <c r="M1623" s="49" t="s">
        <v>7666</v>
      </c>
    </row>
    <row r="1624" spans="1:13" x14ac:dyDescent="0.35">
      <c r="A1624" s="49" t="s">
        <v>7667</v>
      </c>
      <c r="B1624" s="49" t="s">
        <v>3218</v>
      </c>
      <c r="C1624" s="49" t="s">
        <v>7668</v>
      </c>
      <c r="D1624" s="49" t="s">
        <v>1264</v>
      </c>
      <c r="E1624" s="49" t="s">
        <v>2785</v>
      </c>
      <c r="F1624" s="49" t="s">
        <v>2786</v>
      </c>
      <c r="G1624" s="49" t="s">
        <v>2787</v>
      </c>
      <c r="H1624" s="49" t="s">
        <v>980</v>
      </c>
      <c r="I1624" s="50">
        <v>42451</v>
      </c>
      <c r="J1624" s="50">
        <v>42634</v>
      </c>
      <c r="K1624" s="50">
        <v>42814</v>
      </c>
      <c r="M1624" s="49" t="s">
        <v>7669</v>
      </c>
    </row>
    <row r="1625" spans="1:13" x14ac:dyDescent="0.35">
      <c r="A1625" s="49" t="s">
        <v>7670</v>
      </c>
      <c r="B1625" s="49" t="s">
        <v>7671</v>
      </c>
      <c r="C1625" s="49" t="s">
        <v>7672</v>
      </c>
      <c r="D1625" s="49" t="s">
        <v>1264</v>
      </c>
      <c r="E1625" s="49" t="s">
        <v>2774</v>
      </c>
      <c r="F1625" s="49" t="s">
        <v>7673</v>
      </c>
      <c r="G1625" s="49" t="s">
        <v>2826</v>
      </c>
      <c r="H1625" s="49" t="s">
        <v>2827</v>
      </c>
      <c r="I1625" s="50">
        <v>40912</v>
      </c>
      <c r="J1625" s="50">
        <v>40947</v>
      </c>
      <c r="K1625" s="50">
        <v>41816</v>
      </c>
      <c r="M1625" s="49" t="s">
        <v>7674</v>
      </c>
    </row>
    <row r="1626" spans="1:13" x14ac:dyDescent="0.35">
      <c r="A1626" s="49" t="s">
        <v>7675</v>
      </c>
      <c r="B1626" s="49" t="s">
        <v>2867</v>
      </c>
      <c r="C1626" s="49" t="s">
        <v>4243</v>
      </c>
      <c r="D1626" s="49" t="s">
        <v>1264</v>
      </c>
      <c r="E1626" s="49" t="s">
        <v>2785</v>
      </c>
      <c r="F1626" s="49" t="s">
        <v>2792</v>
      </c>
      <c r="G1626" s="49" t="s">
        <v>2787</v>
      </c>
      <c r="H1626" s="49" t="s">
        <v>8</v>
      </c>
      <c r="I1626" s="50">
        <v>42413</v>
      </c>
      <c r="J1626" s="50">
        <v>42641</v>
      </c>
      <c r="K1626" s="50">
        <v>42821</v>
      </c>
      <c r="M1626" s="49" t="s">
        <v>7676</v>
      </c>
    </row>
    <row r="1627" spans="1:13" x14ac:dyDescent="0.35">
      <c r="A1627" s="49" t="s">
        <v>7677</v>
      </c>
      <c r="B1627" s="49" t="s">
        <v>3962</v>
      </c>
      <c r="C1627" s="49" t="s">
        <v>7678</v>
      </c>
      <c r="D1627" s="49" t="s">
        <v>1264</v>
      </c>
      <c r="E1627" s="49" t="s">
        <v>2785</v>
      </c>
      <c r="F1627" s="49" t="s">
        <v>2792</v>
      </c>
      <c r="G1627" s="49" t="s">
        <v>2787</v>
      </c>
      <c r="H1627" s="49" t="s">
        <v>980</v>
      </c>
      <c r="I1627" s="50">
        <v>42606</v>
      </c>
      <c r="J1627" s="50">
        <v>42641</v>
      </c>
      <c r="K1627" s="50">
        <v>42821</v>
      </c>
      <c r="M1627" s="49" t="s">
        <v>7679</v>
      </c>
    </row>
    <row r="1628" spans="1:13" x14ac:dyDescent="0.35">
      <c r="A1628" s="49" t="s">
        <v>7680</v>
      </c>
      <c r="B1628" s="49" t="s">
        <v>7133</v>
      </c>
      <c r="C1628" s="49" t="s">
        <v>4470</v>
      </c>
      <c r="D1628" s="49" t="s">
        <v>1264</v>
      </c>
      <c r="E1628" s="49" t="s">
        <v>2785</v>
      </c>
      <c r="F1628" s="49" t="s">
        <v>2792</v>
      </c>
      <c r="G1628" s="49" t="s">
        <v>2787</v>
      </c>
      <c r="H1628" s="49" t="s">
        <v>980</v>
      </c>
      <c r="I1628" s="50">
        <v>42473</v>
      </c>
      <c r="J1628" s="50">
        <v>42641</v>
      </c>
      <c r="K1628" s="50">
        <v>42821</v>
      </c>
      <c r="M1628" s="49" t="s">
        <v>7681</v>
      </c>
    </row>
    <row r="1629" spans="1:13" x14ac:dyDescent="0.35">
      <c r="A1629" s="49" t="s">
        <v>7682</v>
      </c>
      <c r="B1629" s="49" t="s">
        <v>7683</v>
      </c>
      <c r="C1629" s="49" t="s">
        <v>7684</v>
      </c>
      <c r="D1629" s="49" t="s">
        <v>1264</v>
      </c>
      <c r="E1629" s="49" t="s">
        <v>2774</v>
      </c>
      <c r="F1629" s="49" t="s">
        <v>7685</v>
      </c>
      <c r="G1629" s="49" t="s">
        <v>2787</v>
      </c>
      <c r="H1629" s="49" t="s">
        <v>2827</v>
      </c>
      <c r="I1629" s="50">
        <v>40912</v>
      </c>
      <c r="J1629" s="50">
        <v>40948</v>
      </c>
      <c r="K1629" s="50">
        <v>43138</v>
      </c>
      <c r="M1629" s="49" t="s">
        <v>7686</v>
      </c>
    </row>
    <row r="1630" spans="1:13" x14ac:dyDescent="0.35">
      <c r="A1630" s="49" t="s">
        <v>7687</v>
      </c>
      <c r="B1630" s="49" t="s">
        <v>7688</v>
      </c>
      <c r="C1630" s="49" t="s">
        <v>7689</v>
      </c>
      <c r="D1630" s="49" t="s">
        <v>1264</v>
      </c>
      <c r="E1630" s="49" t="s">
        <v>2774</v>
      </c>
      <c r="F1630" s="49" t="s">
        <v>2825</v>
      </c>
      <c r="G1630" s="49" t="s">
        <v>2975</v>
      </c>
      <c r="H1630" s="49" t="s">
        <v>2827</v>
      </c>
      <c r="I1630" s="50">
        <v>40553</v>
      </c>
      <c r="J1630" s="50">
        <v>40581</v>
      </c>
      <c r="K1630" s="50">
        <v>41676</v>
      </c>
      <c r="M1630" s="49" t="s">
        <v>7690</v>
      </c>
    </row>
    <row r="1631" spans="1:13" x14ac:dyDescent="0.35">
      <c r="A1631" s="49" t="s">
        <v>7691</v>
      </c>
      <c r="B1631" s="49" t="s">
        <v>4789</v>
      </c>
      <c r="C1631" s="49" t="s">
        <v>7689</v>
      </c>
      <c r="D1631" s="49" t="s">
        <v>1264</v>
      </c>
      <c r="E1631" s="49" t="s">
        <v>2774</v>
      </c>
      <c r="F1631" s="49" t="s">
        <v>2825</v>
      </c>
      <c r="G1631" s="49" t="s">
        <v>2975</v>
      </c>
      <c r="H1631" s="49" t="s">
        <v>2827</v>
      </c>
      <c r="I1631" s="50">
        <v>40553</v>
      </c>
      <c r="J1631" s="50">
        <v>40576</v>
      </c>
      <c r="K1631" s="50">
        <v>41929</v>
      </c>
      <c r="M1631" s="49" t="s">
        <v>7692</v>
      </c>
    </row>
    <row r="1632" spans="1:13" x14ac:dyDescent="0.35">
      <c r="A1632" s="49" t="s">
        <v>7693</v>
      </c>
      <c r="B1632" s="49" t="s">
        <v>7164</v>
      </c>
      <c r="C1632" s="49" t="s">
        <v>7043</v>
      </c>
      <c r="D1632" s="49" t="s">
        <v>1264</v>
      </c>
      <c r="E1632" s="49" t="s">
        <v>2785</v>
      </c>
      <c r="F1632" s="49" t="s">
        <v>2792</v>
      </c>
      <c r="G1632" s="49" t="s">
        <v>2787</v>
      </c>
      <c r="H1632" s="49" t="s">
        <v>8</v>
      </c>
      <c r="I1632" s="50">
        <v>42537</v>
      </c>
      <c r="J1632" s="50">
        <v>42646</v>
      </c>
      <c r="K1632" s="50">
        <v>42827</v>
      </c>
      <c r="M1632" s="49" t="s">
        <v>7694</v>
      </c>
    </row>
    <row r="1633" spans="1:13" x14ac:dyDescent="0.35">
      <c r="A1633" s="49" t="s">
        <v>7695</v>
      </c>
      <c r="B1633" s="49" t="s">
        <v>7696</v>
      </c>
      <c r="C1633" s="49" t="s">
        <v>5240</v>
      </c>
      <c r="D1633" s="49" t="s">
        <v>1264</v>
      </c>
      <c r="E1633" s="49" t="s">
        <v>2785</v>
      </c>
      <c r="F1633" s="49" t="s">
        <v>2792</v>
      </c>
      <c r="G1633" s="49" t="s">
        <v>2787</v>
      </c>
      <c r="H1633" s="49" t="s">
        <v>835</v>
      </c>
      <c r="I1633" s="50">
        <v>42249</v>
      </c>
      <c r="J1633" s="50">
        <v>42650</v>
      </c>
      <c r="K1633" s="50">
        <v>42831</v>
      </c>
      <c r="M1633" s="49" t="s">
        <v>7697</v>
      </c>
    </row>
    <row r="1634" spans="1:13" x14ac:dyDescent="0.35">
      <c r="A1634" s="49" t="s">
        <v>7698</v>
      </c>
      <c r="B1634" s="49" t="s">
        <v>7699</v>
      </c>
      <c r="C1634" s="49" t="s">
        <v>5240</v>
      </c>
      <c r="D1634" s="49" t="s">
        <v>1264</v>
      </c>
      <c r="E1634" s="49" t="s">
        <v>2785</v>
      </c>
      <c r="F1634" s="49" t="s">
        <v>2792</v>
      </c>
      <c r="G1634" s="49" t="s">
        <v>2787</v>
      </c>
      <c r="H1634" s="49" t="s">
        <v>835</v>
      </c>
      <c r="I1634" s="50">
        <v>42249</v>
      </c>
      <c r="J1634" s="50">
        <v>42653</v>
      </c>
      <c r="K1634" s="50">
        <v>42834</v>
      </c>
      <c r="M1634" s="49" t="s">
        <v>7700</v>
      </c>
    </row>
    <row r="1635" spans="1:13" x14ac:dyDescent="0.35">
      <c r="A1635" s="49" t="s">
        <v>7701</v>
      </c>
      <c r="B1635" s="49" t="s">
        <v>7702</v>
      </c>
      <c r="C1635" s="49" t="s">
        <v>5240</v>
      </c>
      <c r="D1635" s="49" t="s">
        <v>1264</v>
      </c>
      <c r="E1635" s="49" t="s">
        <v>2785</v>
      </c>
      <c r="F1635" s="49" t="s">
        <v>2792</v>
      </c>
      <c r="G1635" s="49" t="s">
        <v>2787</v>
      </c>
      <c r="H1635" s="49" t="s">
        <v>835</v>
      </c>
      <c r="I1635" s="50">
        <v>42249</v>
      </c>
      <c r="J1635" s="50">
        <v>42653</v>
      </c>
      <c r="K1635" s="50">
        <v>42834</v>
      </c>
      <c r="M1635" s="49" t="s">
        <v>7703</v>
      </c>
    </row>
    <row r="1636" spans="1:13" x14ac:dyDescent="0.35">
      <c r="A1636" s="49" t="s">
        <v>7704</v>
      </c>
      <c r="B1636" s="49" t="s">
        <v>4599</v>
      </c>
      <c r="C1636" s="49" t="s">
        <v>5240</v>
      </c>
      <c r="D1636" s="49" t="s">
        <v>1264</v>
      </c>
      <c r="E1636" s="49" t="s">
        <v>2785</v>
      </c>
      <c r="F1636" s="49" t="s">
        <v>2786</v>
      </c>
      <c r="G1636" s="49" t="s">
        <v>2787</v>
      </c>
      <c r="H1636" s="49" t="s">
        <v>835</v>
      </c>
      <c r="I1636" s="50">
        <v>42249</v>
      </c>
      <c r="J1636" s="50">
        <v>42653</v>
      </c>
      <c r="K1636" s="50">
        <v>42834</v>
      </c>
      <c r="M1636" s="49" t="s">
        <v>7705</v>
      </c>
    </row>
    <row r="1637" spans="1:13" x14ac:dyDescent="0.35">
      <c r="A1637" s="49" t="s">
        <v>7706</v>
      </c>
      <c r="B1637" s="49" t="s">
        <v>7707</v>
      </c>
      <c r="C1637" s="49" t="s">
        <v>5240</v>
      </c>
      <c r="D1637" s="49" t="s">
        <v>1264</v>
      </c>
      <c r="E1637" s="49" t="s">
        <v>2785</v>
      </c>
      <c r="F1637" s="49" t="s">
        <v>2792</v>
      </c>
      <c r="G1637" s="49" t="s">
        <v>2787</v>
      </c>
      <c r="H1637" s="49" t="s">
        <v>835</v>
      </c>
      <c r="I1637" s="50">
        <v>42249</v>
      </c>
      <c r="J1637" s="50">
        <v>42653</v>
      </c>
      <c r="K1637" s="50">
        <v>42834</v>
      </c>
      <c r="M1637" s="49" t="s">
        <v>7708</v>
      </c>
    </row>
    <row r="1638" spans="1:13" x14ac:dyDescent="0.35">
      <c r="A1638" s="49" t="s">
        <v>7709</v>
      </c>
      <c r="B1638" s="49" t="s">
        <v>7710</v>
      </c>
      <c r="C1638" s="49" t="s">
        <v>5240</v>
      </c>
      <c r="D1638" s="49" t="s">
        <v>1264</v>
      </c>
      <c r="E1638" s="49" t="s">
        <v>2785</v>
      </c>
      <c r="F1638" s="49" t="s">
        <v>2792</v>
      </c>
      <c r="G1638" s="49" t="s">
        <v>2787</v>
      </c>
      <c r="H1638" s="49" t="s">
        <v>835</v>
      </c>
      <c r="I1638" s="50">
        <v>42249</v>
      </c>
      <c r="J1638" s="50">
        <v>42653</v>
      </c>
      <c r="K1638" s="50">
        <v>42834</v>
      </c>
      <c r="M1638" s="49" t="s">
        <v>7711</v>
      </c>
    </row>
    <row r="1639" spans="1:13" x14ac:dyDescent="0.35">
      <c r="A1639" s="49" t="s">
        <v>7712</v>
      </c>
      <c r="B1639" s="49" t="s">
        <v>7713</v>
      </c>
      <c r="C1639" s="49" t="s">
        <v>5240</v>
      </c>
      <c r="D1639" s="49" t="s">
        <v>1264</v>
      </c>
      <c r="E1639" s="49" t="s">
        <v>2785</v>
      </c>
      <c r="F1639" s="49" t="s">
        <v>2792</v>
      </c>
      <c r="G1639" s="49" t="s">
        <v>2787</v>
      </c>
      <c r="H1639" s="49" t="s">
        <v>980</v>
      </c>
      <c r="I1639" s="50">
        <v>42249</v>
      </c>
      <c r="J1639" s="50">
        <v>42653</v>
      </c>
      <c r="K1639" s="50">
        <v>42834</v>
      </c>
      <c r="M1639" s="49" t="s">
        <v>7714</v>
      </c>
    </row>
    <row r="1640" spans="1:13" x14ac:dyDescent="0.35">
      <c r="A1640" s="49" t="s">
        <v>7715</v>
      </c>
      <c r="B1640" s="49" t="s">
        <v>7716</v>
      </c>
      <c r="C1640" s="49" t="s">
        <v>5240</v>
      </c>
      <c r="D1640" s="49" t="s">
        <v>1264</v>
      </c>
      <c r="E1640" s="49" t="s">
        <v>2785</v>
      </c>
      <c r="F1640" s="49" t="s">
        <v>2792</v>
      </c>
      <c r="G1640" s="49" t="s">
        <v>2787</v>
      </c>
      <c r="H1640" s="49" t="s">
        <v>980</v>
      </c>
      <c r="I1640" s="50">
        <v>42249</v>
      </c>
      <c r="J1640" s="50">
        <v>42653</v>
      </c>
      <c r="K1640" s="50">
        <v>42834</v>
      </c>
      <c r="M1640" s="49" t="s">
        <v>7717</v>
      </c>
    </row>
    <row r="1641" spans="1:13" x14ac:dyDescent="0.35">
      <c r="A1641" s="49" t="s">
        <v>7718</v>
      </c>
      <c r="B1641" s="49" t="s">
        <v>7719</v>
      </c>
      <c r="C1641" s="49" t="s">
        <v>5240</v>
      </c>
      <c r="D1641" s="49" t="s">
        <v>1264</v>
      </c>
      <c r="E1641" s="49" t="s">
        <v>2785</v>
      </c>
      <c r="F1641" s="49" t="s">
        <v>2792</v>
      </c>
      <c r="G1641" s="49" t="s">
        <v>2787</v>
      </c>
      <c r="H1641" s="49" t="s">
        <v>980</v>
      </c>
      <c r="I1641" s="50">
        <v>42249</v>
      </c>
      <c r="J1641" s="50">
        <v>42653</v>
      </c>
      <c r="K1641" s="50">
        <v>42834</v>
      </c>
      <c r="M1641" s="49" t="s">
        <v>7720</v>
      </c>
    </row>
    <row r="1642" spans="1:13" x14ac:dyDescent="0.35">
      <c r="A1642" s="49" t="s">
        <v>7721</v>
      </c>
      <c r="B1642" s="49" t="s">
        <v>7722</v>
      </c>
      <c r="C1642" s="49" t="s">
        <v>5240</v>
      </c>
      <c r="D1642" s="49" t="s">
        <v>1264</v>
      </c>
      <c r="E1642" s="49" t="s">
        <v>2785</v>
      </c>
      <c r="F1642" s="49" t="s">
        <v>2792</v>
      </c>
      <c r="G1642" s="49" t="s">
        <v>2787</v>
      </c>
      <c r="H1642" s="49" t="s">
        <v>980</v>
      </c>
      <c r="I1642" s="50">
        <v>42249</v>
      </c>
      <c r="J1642" s="50">
        <v>42653</v>
      </c>
      <c r="K1642" s="50">
        <v>42834</v>
      </c>
      <c r="M1642" s="49" t="s">
        <v>7723</v>
      </c>
    </row>
    <row r="1643" spans="1:13" x14ac:dyDescent="0.35">
      <c r="A1643" s="49" t="s">
        <v>7724</v>
      </c>
      <c r="B1643" s="49" t="s">
        <v>7725</v>
      </c>
      <c r="C1643" s="49" t="s">
        <v>5240</v>
      </c>
      <c r="D1643" s="49" t="s">
        <v>1264</v>
      </c>
      <c r="E1643" s="49" t="s">
        <v>2785</v>
      </c>
      <c r="F1643" s="49" t="s">
        <v>2792</v>
      </c>
      <c r="G1643" s="49" t="s">
        <v>2787</v>
      </c>
      <c r="H1643" s="49" t="s">
        <v>980</v>
      </c>
      <c r="I1643" s="50">
        <v>42249</v>
      </c>
      <c r="J1643" s="50">
        <v>42653</v>
      </c>
      <c r="K1643" s="50">
        <v>42834</v>
      </c>
      <c r="M1643" s="49" t="s">
        <v>7726</v>
      </c>
    </row>
    <row r="1644" spans="1:13" x14ac:dyDescent="0.35">
      <c r="A1644" s="49" t="s">
        <v>7727</v>
      </c>
      <c r="B1644" s="49" t="s">
        <v>7728</v>
      </c>
      <c r="C1644" s="49" t="s">
        <v>5240</v>
      </c>
      <c r="D1644" s="49" t="s">
        <v>1264</v>
      </c>
      <c r="E1644" s="49" t="s">
        <v>2785</v>
      </c>
      <c r="F1644" s="49" t="s">
        <v>2792</v>
      </c>
      <c r="G1644" s="49" t="s">
        <v>2787</v>
      </c>
      <c r="H1644" s="49" t="s">
        <v>835</v>
      </c>
      <c r="I1644" s="50">
        <v>42249</v>
      </c>
      <c r="J1644" s="50">
        <v>42653</v>
      </c>
      <c r="K1644" s="50">
        <v>42834</v>
      </c>
      <c r="M1644" s="49" t="s">
        <v>7729</v>
      </c>
    </row>
    <row r="1645" spans="1:13" x14ac:dyDescent="0.35">
      <c r="A1645" s="49" t="s">
        <v>7730</v>
      </c>
      <c r="B1645" s="49" t="s">
        <v>7731</v>
      </c>
      <c r="C1645" s="49" t="s">
        <v>5240</v>
      </c>
      <c r="D1645" s="49" t="s">
        <v>1264</v>
      </c>
      <c r="E1645" s="49" t="s">
        <v>2785</v>
      </c>
      <c r="F1645" s="49" t="s">
        <v>2792</v>
      </c>
      <c r="G1645" s="49" t="s">
        <v>2787</v>
      </c>
      <c r="H1645" s="49" t="s">
        <v>980</v>
      </c>
      <c r="I1645" s="50">
        <v>42249</v>
      </c>
      <c r="J1645" s="50">
        <v>42653</v>
      </c>
      <c r="K1645" s="50">
        <v>42834</v>
      </c>
      <c r="M1645" s="49" t="s">
        <v>7732</v>
      </c>
    </row>
    <row r="1646" spans="1:13" x14ac:dyDescent="0.35">
      <c r="A1646" s="49" t="s">
        <v>7733</v>
      </c>
      <c r="B1646" s="49" t="s">
        <v>7734</v>
      </c>
      <c r="C1646" s="49" t="s">
        <v>5240</v>
      </c>
      <c r="D1646" s="49" t="s">
        <v>1264</v>
      </c>
      <c r="E1646" s="49" t="s">
        <v>2785</v>
      </c>
      <c r="F1646" s="49" t="s">
        <v>2792</v>
      </c>
      <c r="G1646" s="49" t="s">
        <v>2787</v>
      </c>
      <c r="H1646" s="49" t="s">
        <v>835</v>
      </c>
      <c r="I1646" s="50">
        <v>42249</v>
      </c>
      <c r="J1646" s="50">
        <v>42653</v>
      </c>
      <c r="K1646" s="50">
        <v>42834</v>
      </c>
      <c r="M1646" s="49" t="s">
        <v>7735</v>
      </c>
    </row>
    <row r="1647" spans="1:13" x14ac:dyDescent="0.35">
      <c r="A1647" s="49" t="s">
        <v>7736</v>
      </c>
      <c r="B1647" s="49" t="s">
        <v>7737</v>
      </c>
      <c r="C1647" s="49" t="s">
        <v>5240</v>
      </c>
      <c r="D1647" s="49" t="s">
        <v>1264</v>
      </c>
      <c r="E1647" s="49" t="s">
        <v>2785</v>
      </c>
      <c r="F1647" s="49" t="s">
        <v>2792</v>
      </c>
      <c r="G1647" s="49" t="s">
        <v>2787</v>
      </c>
      <c r="H1647" s="49" t="s">
        <v>835</v>
      </c>
      <c r="I1647" s="50">
        <v>42249</v>
      </c>
      <c r="J1647" s="50">
        <v>42653</v>
      </c>
      <c r="K1647" s="50">
        <v>42834</v>
      </c>
      <c r="M1647" s="49" t="s">
        <v>7738</v>
      </c>
    </row>
    <row r="1648" spans="1:13" x14ac:dyDescent="0.35">
      <c r="A1648" s="49" t="s">
        <v>7739</v>
      </c>
      <c r="B1648" s="49" t="s">
        <v>3453</v>
      </c>
      <c r="C1648" s="49" t="s">
        <v>7740</v>
      </c>
      <c r="D1648" s="49" t="s">
        <v>1264</v>
      </c>
      <c r="E1648" s="49" t="s">
        <v>2814</v>
      </c>
      <c r="F1648" s="49" t="s">
        <v>2825</v>
      </c>
      <c r="G1648" s="49" t="s">
        <v>2787</v>
      </c>
      <c r="H1648" s="49" t="s">
        <v>2827</v>
      </c>
      <c r="I1648" s="50">
        <v>41928</v>
      </c>
      <c r="J1648" s="50">
        <v>42123</v>
      </c>
      <c r="K1648" s="50">
        <v>42305</v>
      </c>
      <c r="M1648" s="49" t="s">
        <v>7741</v>
      </c>
    </row>
    <row r="1649" spans="1:13" x14ac:dyDescent="0.35">
      <c r="A1649" s="49" t="s">
        <v>7742</v>
      </c>
      <c r="B1649" s="49" t="s">
        <v>3214</v>
      </c>
      <c r="C1649" s="49" t="s">
        <v>7743</v>
      </c>
      <c r="D1649" s="49" t="s">
        <v>1264</v>
      </c>
      <c r="E1649" s="49" t="s">
        <v>2785</v>
      </c>
      <c r="F1649" s="49" t="s">
        <v>2786</v>
      </c>
      <c r="G1649" s="49" t="s">
        <v>2787</v>
      </c>
      <c r="H1649" s="49" t="s">
        <v>980</v>
      </c>
      <c r="I1649" s="50">
        <v>42186</v>
      </c>
      <c r="J1649" s="50">
        <v>42550</v>
      </c>
      <c r="K1649" s="50">
        <v>42732</v>
      </c>
      <c r="M1649" s="49" t="s">
        <v>7744</v>
      </c>
    </row>
    <row r="1650" spans="1:13" x14ac:dyDescent="0.35">
      <c r="A1650" s="49" t="s">
        <v>7745</v>
      </c>
      <c r="B1650" s="49" t="s">
        <v>7746</v>
      </c>
      <c r="C1650" s="49" t="s">
        <v>3439</v>
      </c>
      <c r="D1650" s="49" t="s">
        <v>1264</v>
      </c>
      <c r="E1650" s="49" t="s">
        <v>2785</v>
      </c>
      <c r="F1650" s="49" t="s">
        <v>2792</v>
      </c>
      <c r="G1650" s="49" t="s">
        <v>2787</v>
      </c>
      <c r="H1650" s="49" t="s">
        <v>8</v>
      </c>
      <c r="I1650" s="50">
        <v>42247</v>
      </c>
      <c r="J1650" s="50">
        <v>42618</v>
      </c>
      <c r="K1650" s="50">
        <v>42798</v>
      </c>
      <c r="M1650" s="49" t="s">
        <v>7747</v>
      </c>
    </row>
    <row r="1651" spans="1:13" x14ac:dyDescent="0.35">
      <c r="A1651" s="49" t="s">
        <v>7748</v>
      </c>
      <c r="B1651" s="49" t="s">
        <v>7749</v>
      </c>
      <c r="C1651" s="49" t="s">
        <v>3469</v>
      </c>
      <c r="D1651" s="49" t="s">
        <v>1264</v>
      </c>
      <c r="E1651" s="49" t="s">
        <v>2785</v>
      </c>
      <c r="F1651" s="49" t="s">
        <v>2786</v>
      </c>
      <c r="G1651" s="49" t="s">
        <v>2787</v>
      </c>
      <c r="H1651" s="49" t="s">
        <v>980</v>
      </c>
      <c r="I1651" s="50">
        <v>41955</v>
      </c>
      <c r="J1651" s="50">
        <v>44742</v>
      </c>
      <c r="K1651" s="50">
        <v>45106</v>
      </c>
      <c r="M1651" s="49" t="s">
        <v>7750</v>
      </c>
    </row>
    <row r="1652" spans="1:13" x14ac:dyDescent="0.35">
      <c r="A1652" s="49" t="s">
        <v>7751</v>
      </c>
      <c r="B1652" s="49" t="s">
        <v>7752</v>
      </c>
      <c r="C1652" s="49" t="s">
        <v>7753</v>
      </c>
      <c r="D1652" s="49" t="s">
        <v>1264</v>
      </c>
      <c r="E1652" s="49" t="s">
        <v>2785</v>
      </c>
      <c r="F1652" s="49" t="s">
        <v>2792</v>
      </c>
      <c r="G1652" s="49" t="s">
        <v>2787</v>
      </c>
      <c r="H1652" s="49" t="s">
        <v>8</v>
      </c>
      <c r="I1652" s="50">
        <v>41901</v>
      </c>
      <c r="J1652" s="50">
        <v>41962</v>
      </c>
      <c r="K1652" s="50">
        <v>42142</v>
      </c>
      <c r="M1652" s="49" t="s">
        <v>7754</v>
      </c>
    </row>
    <row r="1653" spans="1:13" x14ac:dyDescent="0.35">
      <c r="A1653" s="49" t="s">
        <v>7755</v>
      </c>
      <c r="B1653" s="49" t="s">
        <v>7756</v>
      </c>
      <c r="C1653" s="49" t="s">
        <v>7757</v>
      </c>
      <c r="D1653" s="49" t="s">
        <v>1264</v>
      </c>
      <c r="E1653" s="49" t="s">
        <v>2785</v>
      </c>
      <c r="F1653" s="49" t="s">
        <v>2792</v>
      </c>
      <c r="G1653" s="49" t="s">
        <v>2787</v>
      </c>
      <c r="H1653" s="49" t="s">
        <v>8</v>
      </c>
      <c r="I1653" s="50">
        <v>42272</v>
      </c>
      <c r="J1653" s="50">
        <v>42325</v>
      </c>
      <c r="K1653" s="50">
        <v>42506</v>
      </c>
      <c r="M1653" s="49" t="s">
        <v>7758</v>
      </c>
    </row>
    <row r="1654" spans="1:13" x14ac:dyDescent="0.35">
      <c r="A1654" s="49" t="s">
        <v>7759</v>
      </c>
      <c r="B1654" s="49" t="s">
        <v>7760</v>
      </c>
      <c r="C1654" s="49" t="s">
        <v>7761</v>
      </c>
      <c r="D1654" s="49" t="s">
        <v>1264</v>
      </c>
      <c r="E1654" s="49" t="s">
        <v>2785</v>
      </c>
      <c r="F1654" s="49" t="s">
        <v>2792</v>
      </c>
      <c r="G1654" s="49" t="s">
        <v>2787</v>
      </c>
      <c r="H1654" s="49" t="s">
        <v>8</v>
      </c>
      <c r="I1654" s="50">
        <v>41837</v>
      </c>
      <c r="J1654" s="50">
        <v>42328</v>
      </c>
      <c r="K1654" s="50">
        <v>42509</v>
      </c>
      <c r="M1654" s="49" t="s">
        <v>7762</v>
      </c>
    </row>
    <row r="1655" spans="1:13" x14ac:dyDescent="0.35">
      <c r="A1655" s="49" t="s">
        <v>7763</v>
      </c>
      <c r="B1655" s="49" t="s">
        <v>7764</v>
      </c>
      <c r="C1655" s="49" t="s">
        <v>7765</v>
      </c>
      <c r="D1655" s="49" t="s">
        <v>1264</v>
      </c>
      <c r="E1655" s="49" t="s">
        <v>2785</v>
      </c>
      <c r="F1655" s="49" t="s">
        <v>2792</v>
      </c>
      <c r="G1655" s="49" t="s">
        <v>2787</v>
      </c>
      <c r="H1655" s="49" t="s">
        <v>980</v>
      </c>
      <c r="I1655" s="50">
        <v>42278</v>
      </c>
      <c r="J1655" s="50">
        <v>42541</v>
      </c>
      <c r="K1655" s="50">
        <v>42723</v>
      </c>
      <c r="M1655" s="49" t="s">
        <v>7766</v>
      </c>
    </row>
    <row r="1656" spans="1:13" x14ac:dyDescent="0.35">
      <c r="A1656" s="49" t="s">
        <v>7767</v>
      </c>
      <c r="B1656" s="49" t="s">
        <v>7768</v>
      </c>
      <c r="C1656" s="49" t="s">
        <v>7292</v>
      </c>
      <c r="D1656" s="49" t="s">
        <v>1264</v>
      </c>
      <c r="E1656" s="49" t="s">
        <v>2908</v>
      </c>
      <c r="F1656" s="49" t="s">
        <v>2939</v>
      </c>
      <c r="G1656" s="49" t="s">
        <v>2787</v>
      </c>
      <c r="H1656" s="49" t="s">
        <v>3229</v>
      </c>
      <c r="I1656" s="50">
        <v>39097</v>
      </c>
      <c r="J1656" s="50">
        <v>39140</v>
      </c>
      <c r="K1656" s="50">
        <v>40965</v>
      </c>
      <c r="M1656" s="49" t="s">
        <v>7769</v>
      </c>
    </row>
    <row r="1657" spans="1:13" x14ac:dyDescent="0.35">
      <c r="A1657" s="49" t="s">
        <v>7770</v>
      </c>
      <c r="B1657" s="49" t="s">
        <v>5705</v>
      </c>
      <c r="C1657" s="49" t="s">
        <v>7771</v>
      </c>
      <c r="D1657" s="49" t="s">
        <v>1264</v>
      </c>
      <c r="E1657" s="49" t="s">
        <v>2785</v>
      </c>
      <c r="F1657" s="49" t="s">
        <v>2792</v>
      </c>
      <c r="G1657" s="49" t="s">
        <v>2787</v>
      </c>
      <c r="H1657" s="49" t="s">
        <v>980</v>
      </c>
      <c r="I1657" s="50">
        <v>41927</v>
      </c>
      <c r="J1657" s="50">
        <v>42235</v>
      </c>
      <c r="K1657" s="50">
        <v>42418</v>
      </c>
      <c r="M1657" s="49" t="s">
        <v>7772</v>
      </c>
    </row>
    <row r="1658" spans="1:13" x14ac:dyDescent="0.35">
      <c r="A1658" s="49" t="s">
        <v>7773</v>
      </c>
      <c r="C1658" s="49" t="s">
        <v>7774</v>
      </c>
      <c r="D1658" s="49" t="s">
        <v>1264</v>
      </c>
      <c r="E1658" s="49" t="s">
        <v>2785</v>
      </c>
      <c r="F1658" s="49" t="s">
        <v>2786</v>
      </c>
      <c r="G1658" s="49" t="s">
        <v>2787</v>
      </c>
      <c r="H1658" s="49" t="s">
        <v>980</v>
      </c>
      <c r="I1658" s="50">
        <v>42661</v>
      </c>
      <c r="J1658" s="50">
        <v>42704</v>
      </c>
      <c r="K1658" s="50">
        <v>42884</v>
      </c>
      <c r="M1658" s="49" t="s">
        <v>7775</v>
      </c>
    </row>
    <row r="1659" spans="1:13" x14ac:dyDescent="0.35">
      <c r="A1659" s="49" t="s">
        <v>7776</v>
      </c>
      <c r="B1659" s="49" t="s">
        <v>2818</v>
      </c>
      <c r="C1659" s="49" t="s">
        <v>3660</v>
      </c>
      <c r="D1659" s="49" t="s">
        <v>1264</v>
      </c>
      <c r="E1659" s="49" t="s">
        <v>2785</v>
      </c>
      <c r="F1659" s="49" t="s">
        <v>2792</v>
      </c>
      <c r="G1659" s="49" t="s">
        <v>2787</v>
      </c>
      <c r="H1659" s="49" t="s">
        <v>8</v>
      </c>
      <c r="I1659" s="50">
        <v>43242</v>
      </c>
      <c r="J1659" s="50">
        <v>43416</v>
      </c>
      <c r="K1659" s="50">
        <v>43596</v>
      </c>
      <c r="M1659" s="49" t="s">
        <v>7777</v>
      </c>
    </row>
    <row r="1660" spans="1:13" x14ac:dyDescent="0.35">
      <c r="A1660" s="49" t="s">
        <v>7778</v>
      </c>
      <c r="B1660" s="49" t="s">
        <v>7779</v>
      </c>
      <c r="C1660" s="49" t="s">
        <v>7780</v>
      </c>
      <c r="D1660" s="49" t="s">
        <v>1264</v>
      </c>
      <c r="E1660" s="49" t="s">
        <v>2785</v>
      </c>
      <c r="F1660" s="49" t="s">
        <v>2792</v>
      </c>
      <c r="G1660" s="49" t="s">
        <v>2787</v>
      </c>
      <c r="H1660" s="49" t="s">
        <v>8</v>
      </c>
      <c r="I1660" s="50">
        <v>41613</v>
      </c>
      <c r="J1660" s="50">
        <v>41617</v>
      </c>
      <c r="K1660" s="50">
        <v>44333</v>
      </c>
      <c r="M1660" s="49" t="s">
        <v>7781</v>
      </c>
    </row>
    <row r="1661" spans="1:13" x14ac:dyDescent="0.35">
      <c r="A1661" s="49" t="s">
        <v>7782</v>
      </c>
      <c r="B1661" s="49" t="s">
        <v>7783</v>
      </c>
      <c r="C1661" s="49" t="s">
        <v>7784</v>
      </c>
      <c r="D1661" s="49" t="s">
        <v>1264</v>
      </c>
      <c r="E1661" s="49" t="s">
        <v>2785</v>
      </c>
      <c r="F1661" s="49" t="s">
        <v>2792</v>
      </c>
      <c r="G1661" s="49" t="s">
        <v>2826</v>
      </c>
      <c r="H1661" s="49" t="s">
        <v>8</v>
      </c>
      <c r="I1661" s="50">
        <v>41335</v>
      </c>
      <c r="J1661" s="50">
        <v>41617</v>
      </c>
      <c r="K1661" s="50">
        <v>41798</v>
      </c>
      <c r="M1661" s="49" t="s">
        <v>7785</v>
      </c>
    </row>
    <row r="1662" spans="1:13" x14ac:dyDescent="0.35">
      <c r="A1662" s="49" t="s">
        <v>7786</v>
      </c>
      <c r="B1662" s="49" t="s">
        <v>7787</v>
      </c>
      <c r="C1662" s="49" t="s">
        <v>475</v>
      </c>
      <c r="D1662" s="49" t="s">
        <v>1264</v>
      </c>
      <c r="E1662" s="49" t="s">
        <v>7057</v>
      </c>
      <c r="F1662" s="49" t="s">
        <v>2825</v>
      </c>
      <c r="G1662" s="49" t="s">
        <v>2787</v>
      </c>
      <c r="H1662" s="49" t="s">
        <v>2827</v>
      </c>
      <c r="I1662" s="50">
        <v>41953</v>
      </c>
      <c r="J1662" s="50">
        <v>42040</v>
      </c>
      <c r="K1662" s="50">
        <v>42770</v>
      </c>
      <c r="M1662" s="49" t="s">
        <v>7788</v>
      </c>
    </row>
    <row r="1663" spans="1:13" x14ac:dyDescent="0.35">
      <c r="A1663" s="49" t="s">
        <v>7789</v>
      </c>
      <c r="B1663" s="49" t="s">
        <v>7790</v>
      </c>
      <c r="C1663" s="49" t="s">
        <v>7791</v>
      </c>
      <c r="D1663" s="49" t="s">
        <v>1264</v>
      </c>
      <c r="E1663" s="49" t="s">
        <v>2908</v>
      </c>
      <c r="F1663" s="49" t="s">
        <v>2939</v>
      </c>
      <c r="G1663" s="49" t="s">
        <v>2787</v>
      </c>
      <c r="H1663" s="49" t="s">
        <v>980</v>
      </c>
      <c r="I1663" s="50">
        <v>42006</v>
      </c>
      <c r="J1663" s="50">
        <v>42040</v>
      </c>
      <c r="K1663" s="50">
        <v>43865</v>
      </c>
      <c r="M1663" s="49" t="s">
        <v>7792</v>
      </c>
    </row>
    <row r="1664" spans="1:13" x14ac:dyDescent="0.35">
      <c r="A1664" s="49" t="s">
        <v>7793</v>
      </c>
      <c r="B1664" s="49" t="s">
        <v>7794</v>
      </c>
      <c r="C1664" s="49" t="s">
        <v>3937</v>
      </c>
      <c r="D1664" s="49" t="s">
        <v>1264</v>
      </c>
      <c r="E1664" s="49" t="s">
        <v>2908</v>
      </c>
      <c r="F1664" s="49" t="s">
        <v>2837</v>
      </c>
      <c r="G1664" s="49" t="s">
        <v>2787</v>
      </c>
      <c r="H1664" s="49" t="s">
        <v>980</v>
      </c>
      <c r="I1664" s="50">
        <v>39533</v>
      </c>
      <c r="J1664" s="50">
        <v>39861</v>
      </c>
      <c r="K1664" s="50">
        <v>43512</v>
      </c>
      <c r="M1664" s="49" t="s">
        <v>7795</v>
      </c>
    </row>
    <row r="1665" spans="1:13" x14ac:dyDescent="0.35">
      <c r="A1665" s="49" t="s">
        <v>7796</v>
      </c>
      <c r="B1665" s="49" t="s">
        <v>7797</v>
      </c>
      <c r="C1665" s="49" t="s">
        <v>2791</v>
      </c>
      <c r="D1665" s="49" t="s">
        <v>1264</v>
      </c>
      <c r="E1665" s="49" t="s">
        <v>2785</v>
      </c>
      <c r="F1665" s="49" t="s">
        <v>2792</v>
      </c>
      <c r="G1665" s="49" t="s">
        <v>2787</v>
      </c>
      <c r="H1665" s="49" t="s">
        <v>857</v>
      </c>
      <c r="I1665" s="50">
        <v>43384</v>
      </c>
      <c r="J1665" s="50">
        <v>43438</v>
      </c>
      <c r="K1665" s="50">
        <v>43619</v>
      </c>
      <c r="M1665" s="49" t="s">
        <v>7798</v>
      </c>
    </row>
    <row r="1666" spans="1:13" x14ac:dyDescent="0.35">
      <c r="A1666" s="49" t="s">
        <v>7799</v>
      </c>
      <c r="B1666" s="49" t="s">
        <v>7800</v>
      </c>
      <c r="C1666" s="49" t="s">
        <v>2927</v>
      </c>
      <c r="D1666" s="49" t="s">
        <v>1264</v>
      </c>
      <c r="E1666" s="49" t="s">
        <v>2908</v>
      </c>
      <c r="F1666" s="49" t="s">
        <v>2837</v>
      </c>
      <c r="G1666" s="49" t="s">
        <v>2826</v>
      </c>
      <c r="H1666" s="49" t="s">
        <v>980</v>
      </c>
      <c r="I1666" s="50">
        <v>36879</v>
      </c>
      <c r="J1666" s="50">
        <v>36969</v>
      </c>
      <c r="K1666" s="50">
        <v>40829</v>
      </c>
      <c r="M1666" s="49" t="s">
        <v>7801</v>
      </c>
    </row>
    <row r="1667" spans="1:13" x14ac:dyDescent="0.35">
      <c r="A1667" s="49" t="s">
        <v>7802</v>
      </c>
      <c r="B1667" s="49" t="s">
        <v>7164</v>
      </c>
      <c r="C1667" s="49" t="s">
        <v>7803</v>
      </c>
      <c r="D1667" s="49" t="s">
        <v>1264</v>
      </c>
      <c r="E1667" s="49" t="s">
        <v>2785</v>
      </c>
      <c r="F1667" s="49" t="s">
        <v>2792</v>
      </c>
      <c r="G1667" s="49" t="s">
        <v>2787</v>
      </c>
      <c r="H1667" s="49" t="s">
        <v>8</v>
      </c>
      <c r="I1667" s="50">
        <v>42852</v>
      </c>
      <c r="J1667" s="50">
        <v>43452</v>
      </c>
      <c r="K1667" s="50">
        <v>43633</v>
      </c>
      <c r="M1667" s="49" t="s">
        <v>7804</v>
      </c>
    </row>
    <row r="1668" spans="1:13" x14ac:dyDescent="0.35">
      <c r="A1668" s="49" t="s">
        <v>7805</v>
      </c>
      <c r="B1668" s="49" t="s">
        <v>3784</v>
      </c>
      <c r="C1668" s="49" t="s">
        <v>7806</v>
      </c>
      <c r="D1668" s="49" t="s">
        <v>1264</v>
      </c>
      <c r="E1668" s="49" t="s">
        <v>2774</v>
      </c>
      <c r="F1668" s="49" t="s">
        <v>3598</v>
      </c>
      <c r="G1668" s="49" t="s">
        <v>2975</v>
      </c>
      <c r="H1668" s="49" t="s">
        <v>2827</v>
      </c>
      <c r="I1668" s="50">
        <v>38980</v>
      </c>
      <c r="J1668" s="50">
        <v>39163</v>
      </c>
      <c r="K1668" s="50">
        <v>42541</v>
      </c>
      <c r="M1668" s="49" t="s">
        <v>7807</v>
      </c>
    </row>
    <row r="1669" spans="1:13" x14ac:dyDescent="0.35">
      <c r="A1669" s="49" t="s">
        <v>7808</v>
      </c>
      <c r="B1669" s="49" t="s">
        <v>7809</v>
      </c>
      <c r="C1669" s="49" t="s">
        <v>7810</v>
      </c>
      <c r="D1669" s="49" t="s">
        <v>1264</v>
      </c>
      <c r="E1669" s="49" t="s">
        <v>2774</v>
      </c>
      <c r="F1669" s="49" t="s">
        <v>3628</v>
      </c>
      <c r="G1669" s="49" t="s">
        <v>2787</v>
      </c>
      <c r="H1669" s="49" t="s">
        <v>2827</v>
      </c>
      <c r="I1669" s="50">
        <v>38980</v>
      </c>
      <c r="J1669" s="50">
        <v>39163</v>
      </c>
      <c r="K1669" s="50">
        <v>42450</v>
      </c>
      <c r="M1669" s="49" t="s">
        <v>7811</v>
      </c>
    </row>
    <row r="1670" spans="1:13" x14ac:dyDescent="0.35">
      <c r="A1670" s="49" t="s">
        <v>7812</v>
      </c>
      <c r="B1670" s="49" t="s">
        <v>7813</v>
      </c>
      <c r="C1670" s="49" t="s">
        <v>7814</v>
      </c>
      <c r="D1670" s="49" t="s">
        <v>1264</v>
      </c>
      <c r="E1670" s="49" t="s">
        <v>2774</v>
      </c>
      <c r="F1670" s="49" t="s">
        <v>3628</v>
      </c>
      <c r="G1670" s="49" t="s">
        <v>2787</v>
      </c>
      <c r="H1670" s="49" t="s">
        <v>2827</v>
      </c>
      <c r="I1670" s="50">
        <v>39134</v>
      </c>
      <c r="J1670" s="50">
        <v>39167</v>
      </c>
      <c r="K1670" s="50">
        <v>40263</v>
      </c>
      <c r="M1670" s="49" t="s">
        <v>7815</v>
      </c>
    </row>
    <row r="1671" spans="1:13" x14ac:dyDescent="0.35">
      <c r="A1671" s="49" t="s">
        <v>7816</v>
      </c>
      <c r="B1671" s="49" t="s">
        <v>7817</v>
      </c>
      <c r="C1671" s="49" t="s">
        <v>7818</v>
      </c>
      <c r="D1671" s="49" t="s">
        <v>1264</v>
      </c>
      <c r="E1671" s="49" t="s">
        <v>2774</v>
      </c>
      <c r="F1671" s="49" t="s">
        <v>2825</v>
      </c>
      <c r="G1671" s="49" t="s">
        <v>2787</v>
      </c>
      <c r="H1671" s="49" t="s">
        <v>2827</v>
      </c>
      <c r="I1671" s="50">
        <v>38251</v>
      </c>
      <c r="J1671" s="50">
        <v>38410</v>
      </c>
      <c r="K1671" s="50">
        <v>42793</v>
      </c>
      <c r="M1671" s="49" t="s">
        <v>7819</v>
      </c>
    </row>
    <row r="1672" spans="1:13" x14ac:dyDescent="0.35">
      <c r="A1672" s="49" t="s">
        <v>7820</v>
      </c>
      <c r="B1672" s="49" t="s">
        <v>7821</v>
      </c>
      <c r="C1672" s="49" t="s">
        <v>2779</v>
      </c>
      <c r="D1672" s="49" t="s">
        <v>1264</v>
      </c>
      <c r="E1672" s="49" t="s">
        <v>2774</v>
      </c>
      <c r="F1672" s="49" t="s">
        <v>2825</v>
      </c>
      <c r="G1672" s="49" t="s">
        <v>2975</v>
      </c>
      <c r="H1672" s="49" t="s">
        <v>2827</v>
      </c>
      <c r="I1672" s="50">
        <v>40889</v>
      </c>
      <c r="J1672" s="50">
        <v>40967</v>
      </c>
      <c r="K1672" s="50">
        <v>41808</v>
      </c>
      <c r="M1672" s="49" t="s">
        <v>7822</v>
      </c>
    </row>
    <row r="1673" spans="1:13" x14ac:dyDescent="0.35">
      <c r="A1673" s="49" t="s">
        <v>7823</v>
      </c>
      <c r="B1673" s="49" t="s">
        <v>7824</v>
      </c>
      <c r="C1673" s="49" t="s">
        <v>3187</v>
      </c>
      <c r="D1673" s="49" t="s">
        <v>1264</v>
      </c>
      <c r="E1673" s="49" t="s">
        <v>2774</v>
      </c>
      <c r="F1673" s="49" t="s">
        <v>2900</v>
      </c>
      <c r="G1673" s="49" t="s">
        <v>2826</v>
      </c>
      <c r="H1673" s="49" t="s">
        <v>980</v>
      </c>
      <c r="I1673" s="50">
        <v>40929</v>
      </c>
      <c r="J1673" s="50">
        <v>40967</v>
      </c>
      <c r="K1673" s="50">
        <v>42062</v>
      </c>
      <c r="M1673" s="49" t="s">
        <v>7825</v>
      </c>
    </row>
    <row r="1674" spans="1:13" x14ac:dyDescent="0.35">
      <c r="A1674" s="49" t="s">
        <v>7826</v>
      </c>
      <c r="B1674" s="49" t="s">
        <v>7827</v>
      </c>
      <c r="C1674" s="49" t="s">
        <v>3187</v>
      </c>
      <c r="D1674" s="49" t="s">
        <v>1264</v>
      </c>
      <c r="E1674" s="49" t="s">
        <v>2774</v>
      </c>
      <c r="F1674" s="49" t="s">
        <v>2775</v>
      </c>
      <c r="G1674" s="49" t="s">
        <v>2787</v>
      </c>
      <c r="H1674" s="49" t="s">
        <v>980</v>
      </c>
      <c r="I1674" s="50">
        <v>40929</v>
      </c>
      <c r="J1674" s="50">
        <v>40967</v>
      </c>
      <c r="K1674" s="50">
        <v>43158</v>
      </c>
      <c r="M1674" s="49" t="s">
        <v>7828</v>
      </c>
    </row>
    <row r="1675" spans="1:13" x14ac:dyDescent="0.35">
      <c r="A1675" s="49" t="s">
        <v>7829</v>
      </c>
      <c r="B1675" s="49" t="s">
        <v>7830</v>
      </c>
      <c r="C1675" s="49" t="s">
        <v>7831</v>
      </c>
      <c r="D1675" s="49" t="s">
        <v>1264</v>
      </c>
      <c r="E1675" s="49" t="s">
        <v>2908</v>
      </c>
      <c r="F1675" s="49" t="s">
        <v>2805</v>
      </c>
      <c r="G1675" s="49" t="s">
        <v>2787</v>
      </c>
      <c r="H1675" s="49" t="s">
        <v>980</v>
      </c>
      <c r="I1675" s="50">
        <v>39021</v>
      </c>
      <c r="J1675" s="50">
        <v>39521</v>
      </c>
      <c r="K1675" s="50">
        <v>41346</v>
      </c>
      <c r="M1675" s="49" t="s">
        <v>7832</v>
      </c>
    </row>
    <row r="1676" spans="1:13" x14ac:dyDescent="0.35">
      <c r="A1676" s="49" t="s">
        <v>7833</v>
      </c>
      <c r="B1676" s="49" t="s">
        <v>7834</v>
      </c>
      <c r="C1676" s="49" t="s">
        <v>2857</v>
      </c>
      <c r="D1676" s="49" t="s">
        <v>1264</v>
      </c>
      <c r="E1676" s="49" t="s">
        <v>2908</v>
      </c>
      <c r="F1676" s="49" t="s">
        <v>2837</v>
      </c>
      <c r="G1676" s="49" t="s">
        <v>2826</v>
      </c>
      <c r="H1676" s="49" t="s">
        <v>980</v>
      </c>
      <c r="I1676" s="50">
        <v>38680</v>
      </c>
      <c r="J1676" s="50">
        <v>39182</v>
      </c>
      <c r="K1676" s="50">
        <v>41008</v>
      </c>
      <c r="M1676" s="49" t="s">
        <v>7835</v>
      </c>
    </row>
    <row r="1677" spans="1:13" x14ac:dyDescent="0.35">
      <c r="A1677" s="49" t="s">
        <v>7836</v>
      </c>
      <c r="B1677" s="49" t="s">
        <v>7837</v>
      </c>
      <c r="C1677" s="49" t="s">
        <v>7838</v>
      </c>
      <c r="D1677" s="49" t="s">
        <v>1264</v>
      </c>
      <c r="E1677" s="49" t="s">
        <v>7057</v>
      </c>
      <c r="F1677" s="49" t="s">
        <v>2825</v>
      </c>
      <c r="G1677" s="49" t="s">
        <v>2787</v>
      </c>
      <c r="H1677" s="49" t="s">
        <v>973</v>
      </c>
      <c r="I1677" s="50">
        <v>38293</v>
      </c>
      <c r="J1677" s="50">
        <v>38484</v>
      </c>
      <c r="K1677" s="50">
        <v>42565</v>
      </c>
      <c r="M1677" s="49" t="s">
        <v>7839</v>
      </c>
    </row>
    <row r="1678" spans="1:13" x14ac:dyDescent="0.35">
      <c r="A1678" s="49" t="s">
        <v>7840</v>
      </c>
      <c r="B1678" s="49" t="s">
        <v>2942</v>
      </c>
      <c r="C1678" s="49" t="s">
        <v>7841</v>
      </c>
      <c r="D1678" s="49" t="s">
        <v>1264</v>
      </c>
      <c r="E1678" s="49" t="s">
        <v>2908</v>
      </c>
      <c r="F1678" s="49" t="s">
        <v>2939</v>
      </c>
      <c r="G1678" s="49" t="s">
        <v>2787</v>
      </c>
      <c r="H1678" s="49" t="s">
        <v>980</v>
      </c>
      <c r="I1678" s="50">
        <v>41856</v>
      </c>
      <c r="J1678" s="50">
        <v>42054</v>
      </c>
      <c r="K1678" s="50">
        <v>43879</v>
      </c>
      <c r="M1678" s="49" t="s">
        <v>7842</v>
      </c>
    </row>
    <row r="1679" spans="1:13" x14ac:dyDescent="0.35">
      <c r="A1679" s="49" t="s">
        <v>7843</v>
      </c>
      <c r="B1679" s="49" t="s">
        <v>2937</v>
      </c>
      <c r="C1679" s="49" t="s">
        <v>7844</v>
      </c>
      <c r="D1679" s="49" t="s">
        <v>1264</v>
      </c>
      <c r="E1679" s="49" t="s">
        <v>2908</v>
      </c>
      <c r="F1679" s="49" t="s">
        <v>2939</v>
      </c>
      <c r="G1679" s="49" t="s">
        <v>2921</v>
      </c>
      <c r="H1679" s="49" t="s">
        <v>980</v>
      </c>
      <c r="I1679" s="50">
        <v>42004</v>
      </c>
      <c r="J1679" s="50">
        <v>42054</v>
      </c>
      <c r="K1679" s="50">
        <v>45706</v>
      </c>
      <c r="L1679" s="50">
        <v>43880</v>
      </c>
      <c r="M1679" s="49" t="s">
        <v>7845</v>
      </c>
    </row>
    <row r="1680" spans="1:13" x14ac:dyDescent="0.35">
      <c r="A1680" s="49" t="s">
        <v>7846</v>
      </c>
      <c r="B1680" s="49" t="s">
        <v>2937</v>
      </c>
      <c r="C1680" s="49" t="s">
        <v>2813</v>
      </c>
      <c r="D1680" s="49" t="s">
        <v>1264</v>
      </c>
      <c r="E1680" s="49" t="s">
        <v>2908</v>
      </c>
      <c r="F1680" s="49" t="s">
        <v>2939</v>
      </c>
      <c r="G1680" s="49" t="s">
        <v>2901</v>
      </c>
      <c r="H1680" s="49" t="s">
        <v>980</v>
      </c>
      <c r="I1680" s="50">
        <v>42011</v>
      </c>
      <c r="J1680" s="50">
        <v>42054</v>
      </c>
      <c r="K1680" s="50">
        <v>45706</v>
      </c>
      <c r="L1680" s="50">
        <v>43880</v>
      </c>
      <c r="M1680" s="49" t="s">
        <v>7847</v>
      </c>
    </row>
    <row r="1681" spans="1:13" x14ac:dyDescent="0.35">
      <c r="A1681" s="49" t="s">
        <v>7848</v>
      </c>
      <c r="B1681" s="49" t="s">
        <v>2942</v>
      </c>
      <c r="C1681" s="49" t="s">
        <v>7849</v>
      </c>
      <c r="D1681" s="49" t="s">
        <v>1264</v>
      </c>
      <c r="E1681" s="49" t="s">
        <v>2908</v>
      </c>
      <c r="F1681" s="49" t="s">
        <v>2939</v>
      </c>
      <c r="G1681" s="49" t="s">
        <v>2787</v>
      </c>
      <c r="H1681" s="49" t="s">
        <v>980</v>
      </c>
      <c r="I1681" s="50">
        <v>42016</v>
      </c>
      <c r="J1681" s="50">
        <v>42054</v>
      </c>
      <c r="K1681" s="50">
        <v>44326</v>
      </c>
      <c r="M1681" s="49" t="s">
        <v>7850</v>
      </c>
    </row>
    <row r="1682" spans="1:13" x14ac:dyDescent="0.35">
      <c r="A1682" s="49" t="s">
        <v>7851</v>
      </c>
      <c r="B1682" s="49" t="s">
        <v>7852</v>
      </c>
      <c r="C1682" s="49" t="s">
        <v>7853</v>
      </c>
      <c r="D1682" s="49" t="s">
        <v>1264</v>
      </c>
      <c r="E1682" s="49" t="s">
        <v>7057</v>
      </c>
      <c r="F1682" s="49" t="s">
        <v>2825</v>
      </c>
      <c r="G1682" s="49" t="s">
        <v>2787</v>
      </c>
      <c r="H1682" s="49" t="s">
        <v>2827</v>
      </c>
      <c r="I1682" s="50">
        <v>42102</v>
      </c>
      <c r="J1682" s="50">
        <v>42423</v>
      </c>
      <c r="K1682" s="50">
        <v>43154</v>
      </c>
      <c r="M1682" s="49" t="s">
        <v>7854</v>
      </c>
    </row>
    <row r="1683" spans="1:13" x14ac:dyDescent="0.35">
      <c r="A1683" s="49" t="s">
        <v>7855</v>
      </c>
      <c r="B1683" s="49" t="s">
        <v>3615</v>
      </c>
      <c r="C1683" s="49" t="s">
        <v>7292</v>
      </c>
      <c r="D1683" s="49" t="s">
        <v>1264</v>
      </c>
      <c r="E1683" s="49" t="s">
        <v>2908</v>
      </c>
      <c r="F1683" s="49" t="s">
        <v>3010</v>
      </c>
      <c r="G1683" s="49" t="s">
        <v>2975</v>
      </c>
      <c r="H1683" s="49" t="s">
        <v>980</v>
      </c>
      <c r="I1683" s="50">
        <v>42423</v>
      </c>
      <c r="J1683" s="50">
        <v>42423</v>
      </c>
      <c r="K1683" s="50">
        <v>43633</v>
      </c>
      <c r="M1683" s="49" t="s">
        <v>7856</v>
      </c>
    </row>
    <row r="1684" spans="1:13" x14ac:dyDescent="0.35">
      <c r="A1684" s="49" t="s">
        <v>7857</v>
      </c>
      <c r="B1684" s="49" t="s">
        <v>7858</v>
      </c>
      <c r="C1684" s="49" t="s">
        <v>3280</v>
      </c>
      <c r="D1684" s="49" t="s">
        <v>1264</v>
      </c>
      <c r="E1684" s="49" t="s">
        <v>3281</v>
      </c>
      <c r="F1684" s="49" t="s">
        <v>2825</v>
      </c>
      <c r="G1684" s="49" t="s">
        <v>2901</v>
      </c>
      <c r="H1684" s="49" t="s">
        <v>2827</v>
      </c>
      <c r="I1684" s="50">
        <v>41439</v>
      </c>
      <c r="M1684" s="49" t="s">
        <v>7859</v>
      </c>
    </row>
    <row r="1685" spans="1:13" x14ac:dyDescent="0.35">
      <c r="A1685" s="49" t="s">
        <v>7860</v>
      </c>
      <c r="B1685" s="49" t="s">
        <v>7861</v>
      </c>
      <c r="C1685" s="49" t="s">
        <v>3280</v>
      </c>
      <c r="D1685" s="49" t="s">
        <v>1264</v>
      </c>
      <c r="E1685" s="49" t="s">
        <v>3281</v>
      </c>
      <c r="F1685" s="49" t="s">
        <v>2825</v>
      </c>
      <c r="G1685" s="49" t="s">
        <v>2901</v>
      </c>
      <c r="H1685" s="49" t="s">
        <v>2827</v>
      </c>
      <c r="I1685" s="50">
        <v>41439</v>
      </c>
      <c r="M1685" s="49" t="s">
        <v>7862</v>
      </c>
    </row>
    <row r="1686" spans="1:13" x14ac:dyDescent="0.35">
      <c r="A1686" s="49" t="s">
        <v>7863</v>
      </c>
      <c r="B1686" s="49" t="s">
        <v>7864</v>
      </c>
      <c r="C1686" s="49" t="s">
        <v>7865</v>
      </c>
      <c r="D1686" s="49" t="s">
        <v>1264</v>
      </c>
      <c r="E1686" s="49" t="s">
        <v>2774</v>
      </c>
      <c r="F1686" s="49" t="s">
        <v>3598</v>
      </c>
      <c r="G1686" s="49" t="s">
        <v>2826</v>
      </c>
      <c r="H1686" s="49" t="s">
        <v>973</v>
      </c>
      <c r="I1686" s="50">
        <v>39482</v>
      </c>
      <c r="J1686" s="50">
        <v>39535</v>
      </c>
      <c r="K1686" s="50">
        <v>40629</v>
      </c>
      <c r="M1686" s="49" t="s">
        <v>7866</v>
      </c>
    </row>
    <row r="1687" spans="1:13" x14ac:dyDescent="0.35">
      <c r="A1687" s="49" t="s">
        <v>7867</v>
      </c>
      <c r="C1687" s="49" t="s">
        <v>3099</v>
      </c>
      <c r="D1687" s="49" t="s">
        <v>1264</v>
      </c>
      <c r="E1687" s="49" t="s">
        <v>7057</v>
      </c>
      <c r="F1687" s="49" t="s">
        <v>2825</v>
      </c>
      <c r="G1687" s="49" t="s">
        <v>2826</v>
      </c>
      <c r="H1687" s="49" t="s">
        <v>2827</v>
      </c>
      <c r="I1687" s="50">
        <v>41243</v>
      </c>
      <c r="J1687" s="50">
        <v>41330</v>
      </c>
      <c r="K1687" s="50">
        <v>42059</v>
      </c>
      <c r="M1687" s="49" t="s">
        <v>3100</v>
      </c>
    </row>
    <row r="1688" spans="1:13" x14ac:dyDescent="0.35">
      <c r="A1688" s="49" t="s">
        <v>7868</v>
      </c>
      <c r="B1688" s="49" t="s">
        <v>2937</v>
      </c>
      <c r="C1688" s="49" t="s">
        <v>2997</v>
      </c>
      <c r="D1688" s="49" t="s">
        <v>1264</v>
      </c>
      <c r="E1688" s="49" t="s">
        <v>2908</v>
      </c>
      <c r="F1688" s="49" t="s">
        <v>2939</v>
      </c>
      <c r="G1688" s="49" t="s">
        <v>2826</v>
      </c>
      <c r="H1688" s="49" t="s">
        <v>980</v>
      </c>
      <c r="I1688" s="50">
        <v>37354</v>
      </c>
      <c r="J1688" s="50">
        <v>37739</v>
      </c>
      <c r="K1688" s="50">
        <v>38826</v>
      </c>
      <c r="M1688" s="49" t="s">
        <v>7869</v>
      </c>
    </row>
    <row r="1689" spans="1:13" x14ac:dyDescent="0.35">
      <c r="A1689" s="49" t="s">
        <v>7870</v>
      </c>
      <c r="B1689" s="49" t="s">
        <v>7871</v>
      </c>
      <c r="C1689" s="49" t="s">
        <v>4207</v>
      </c>
      <c r="D1689" s="49" t="s">
        <v>1264</v>
      </c>
      <c r="E1689" s="49" t="s">
        <v>2908</v>
      </c>
      <c r="F1689" s="49" t="s">
        <v>2837</v>
      </c>
      <c r="G1689" s="49" t="s">
        <v>2826</v>
      </c>
      <c r="H1689" s="49" t="s">
        <v>980</v>
      </c>
      <c r="I1689" s="50">
        <v>36116</v>
      </c>
      <c r="J1689" s="50">
        <v>36585</v>
      </c>
      <c r="K1689" s="50">
        <v>38411</v>
      </c>
      <c r="M1689" s="49" t="s">
        <v>3104</v>
      </c>
    </row>
    <row r="1690" spans="1:13" x14ac:dyDescent="0.35">
      <c r="A1690" s="49" t="s">
        <v>7872</v>
      </c>
      <c r="B1690" s="49" t="s">
        <v>3102</v>
      </c>
      <c r="C1690" s="49" t="s">
        <v>7873</v>
      </c>
      <c r="D1690" s="49" t="s">
        <v>1264</v>
      </c>
      <c r="E1690" s="49" t="s">
        <v>2908</v>
      </c>
      <c r="F1690" s="49" t="s">
        <v>2939</v>
      </c>
      <c r="G1690" s="49" t="s">
        <v>2787</v>
      </c>
      <c r="H1690" s="49" t="s">
        <v>8</v>
      </c>
      <c r="I1690" s="50">
        <v>35100</v>
      </c>
      <c r="J1690" s="50">
        <v>36585</v>
      </c>
      <c r="K1690" s="50">
        <v>38411</v>
      </c>
      <c r="M1690" s="49" t="s">
        <v>7874</v>
      </c>
    </row>
    <row r="1691" spans="1:13" x14ac:dyDescent="0.35">
      <c r="A1691" s="49" t="s">
        <v>7875</v>
      </c>
      <c r="B1691" s="49" t="s">
        <v>7876</v>
      </c>
      <c r="C1691" s="49" t="s">
        <v>7877</v>
      </c>
      <c r="D1691" s="49" t="s">
        <v>1264</v>
      </c>
      <c r="E1691" s="49" t="s">
        <v>2908</v>
      </c>
      <c r="F1691" s="49" t="s">
        <v>3010</v>
      </c>
      <c r="G1691" s="49" t="s">
        <v>2826</v>
      </c>
      <c r="H1691" s="49" t="s">
        <v>980</v>
      </c>
      <c r="I1691" s="50">
        <v>36073</v>
      </c>
      <c r="J1691" s="50">
        <v>36276</v>
      </c>
      <c r="K1691" s="50">
        <v>38102</v>
      </c>
      <c r="M1691" s="49" t="s">
        <v>4437</v>
      </c>
    </row>
    <row r="1692" spans="1:13" x14ac:dyDescent="0.35">
      <c r="A1692" s="49" t="s">
        <v>7878</v>
      </c>
      <c r="B1692" s="49" t="s">
        <v>3933</v>
      </c>
      <c r="C1692" s="49" t="s">
        <v>3708</v>
      </c>
      <c r="D1692" s="49" t="s">
        <v>1264</v>
      </c>
      <c r="E1692" s="49" t="s">
        <v>2908</v>
      </c>
      <c r="F1692" s="49" t="s">
        <v>3898</v>
      </c>
      <c r="G1692" s="49" t="s">
        <v>2975</v>
      </c>
      <c r="H1692" s="49" t="s">
        <v>2827</v>
      </c>
      <c r="I1692" s="50">
        <v>43157</v>
      </c>
      <c r="J1692" s="50">
        <v>43515</v>
      </c>
      <c r="K1692" s="50">
        <v>45340</v>
      </c>
      <c r="M1692" s="49" t="s">
        <v>7879</v>
      </c>
    </row>
    <row r="1693" spans="1:13" x14ac:dyDescent="0.35">
      <c r="A1693" s="49" t="s">
        <v>7880</v>
      </c>
      <c r="B1693" s="49" t="s">
        <v>7881</v>
      </c>
      <c r="C1693" s="49" t="s">
        <v>7882</v>
      </c>
      <c r="D1693" s="49" t="s">
        <v>1264</v>
      </c>
      <c r="E1693" s="49" t="s">
        <v>7057</v>
      </c>
      <c r="F1693" s="49" t="s">
        <v>2825</v>
      </c>
      <c r="G1693" s="49" t="s">
        <v>2787</v>
      </c>
      <c r="H1693" s="49" t="s">
        <v>2827</v>
      </c>
      <c r="I1693" s="50">
        <v>40192</v>
      </c>
      <c r="J1693" s="50">
        <v>40267</v>
      </c>
      <c r="K1693" s="50">
        <v>42569</v>
      </c>
      <c r="M1693" s="49" t="s">
        <v>7883</v>
      </c>
    </row>
    <row r="1694" spans="1:13" x14ac:dyDescent="0.35">
      <c r="A1694" s="49" t="s">
        <v>7884</v>
      </c>
      <c r="B1694" s="49" t="s">
        <v>7885</v>
      </c>
      <c r="C1694" s="49" t="s">
        <v>7886</v>
      </c>
      <c r="D1694" s="49" t="s">
        <v>1264</v>
      </c>
      <c r="E1694" s="49" t="s">
        <v>2974</v>
      </c>
      <c r="F1694" s="49" t="s">
        <v>2825</v>
      </c>
      <c r="G1694" s="49" t="s">
        <v>2787</v>
      </c>
      <c r="H1694" s="49" t="s">
        <v>2827</v>
      </c>
      <c r="I1694" s="50">
        <v>40977</v>
      </c>
      <c r="J1694" s="50">
        <v>40991</v>
      </c>
      <c r="K1694" s="50">
        <v>42085</v>
      </c>
      <c r="M1694" s="49" t="s">
        <v>3100</v>
      </c>
    </row>
    <row r="1695" spans="1:13" x14ac:dyDescent="0.35">
      <c r="A1695" s="49" t="s">
        <v>7887</v>
      </c>
      <c r="B1695" s="49" t="s">
        <v>7888</v>
      </c>
      <c r="C1695" s="49" t="s">
        <v>6693</v>
      </c>
      <c r="D1695" s="49" t="s">
        <v>1264</v>
      </c>
      <c r="E1695" s="49" t="s">
        <v>2774</v>
      </c>
      <c r="F1695" s="49" t="s">
        <v>3005</v>
      </c>
      <c r="G1695" s="49" t="s">
        <v>2826</v>
      </c>
      <c r="H1695" s="49" t="s">
        <v>1062</v>
      </c>
      <c r="I1695" s="50">
        <v>40703</v>
      </c>
      <c r="J1695" s="50">
        <v>40991</v>
      </c>
      <c r="K1695" s="50">
        <v>41816</v>
      </c>
      <c r="M1695" s="49" t="s">
        <v>7889</v>
      </c>
    </row>
    <row r="1696" spans="1:13" x14ac:dyDescent="0.35">
      <c r="A1696" s="49" t="s">
        <v>7890</v>
      </c>
      <c r="B1696" s="49" t="s">
        <v>7891</v>
      </c>
      <c r="C1696" s="49" t="s">
        <v>3280</v>
      </c>
      <c r="D1696" s="49" t="s">
        <v>1264</v>
      </c>
      <c r="E1696" s="49" t="s">
        <v>3748</v>
      </c>
      <c r="F1696" s="49" t="s">
        <v>2792</v>
      </c>
      <c r="G1696" s="49" t="s">
        <v>2826</v>
      </c>
      <c r="H1696" s="49" t="s">
        <v>8</v>
      </c>
      <c r="I1696" s="50">
        <v>30232</v>
      </c>
      <c r="J1696" s="50">
        <v>31127</v>
      </c>
    </row>
    <row r="1697" spans="1:13" x14ac:dyDescent="0.35">
      <c r="A1697" s="49" t="s">
        <v>7892</v>
      </c>
      <c r="B1697" s="49" t="s">
        <v>7893</v>
      </c>
      <c r="C1697" s="49" t="s">
        <v>3245</v>
      </c>
      <c r="D1697" s="49" t="s">
        <v>1264</v>
      </c>
      <c r="E1697" s="49" t="s">
        <v>2774</v>
      </c>
      <c r="F1697" s="49" t="s">
        <v>3781</v>
      </c>
      <c r="G1697" s="49" t="s">
        <v>2787</v>
      </c>
      <c r="H1697" s="49" t="s">
        <v>2827</v>
      </c>
      <c r="I1697" s="50">
        <v>40186</v>
      </c>
      <c r="J1697" s="50">
        <v>40276</v>
      </c>
      <c r="K1697" s="50">
        <v>43561</v>
      </c>
      <c r="M1697" s="49" t="s">
        <v>7894</v>
      </c>
    </row>
    <row r="1698" spans="1:13" x14ac:dyDescent="0.35">
      <c r="A1698" s="49" t="s">
        <v>7895</v>
      </c>
      <c r="B1698" s="49" t="s">
        <v>7896</v>
      </c>
      <c r="C1698" s="49" t="s">
        <v>7897</v>
      </c>
      <c r="D1698" s="49" t="s">
        <v>1264</v>
      </c>
      <c r="E1698" s="49" t="s">
        <v>7057</v>
      </c>
      <c r="F1698" s="49" t="s">
        <v>2825</v>
      </c>
      <c r="G1698" s="49" t="s">
        <v>2787</v>
      </c>
      <c r="H1698" s="49" t="s">
        <v>973</v>
      </c>
      <c r="I1698" s="50">
        <v>38159</v>
      </c>
      <c r="J1698" s="50">
        <v>38544</v>
      </c>
      <c r="K1698" s="50">
        <v>40129</v>
      </c>
      <c r="M1698" s="49" t="s">
        <v>7898</v>
      </c>
    </row>
    <row r="1699" spans="1:13" x14ac:dyDescent="0.35">
      <c r="A1699" s="49" t="s">
        <v>7899</v>
      </c>
      <c r="B1699" s="49" t="s">
        <v>2937</v>
      </c>
      <c r="C1699" s="49" t="s">
        <v>7877</v>
      </c>
      <c r="D1699" s="49" t="s">
        <v>1264</v>
      </c>
      <c r="E1699" s="49" t="s">
        <v>2908</v>
      </c>
      <c r="F1699" s="49" t="s">
        <v>2939</v>
      </c>
      <c r="G1699" s="49" t="s">
        <v>2826</v>
      </c>
      <c r="H1699" s="49" t="s">
        <v>980</v>
      </c>
      <c r="I1699" s="50">
        <v>36280</v>
      </c>
      <c r="J1699" s="50">
        <v>36600</v>
      </c>
      <c r="K1699" s="50">
        <v>38425</v>
      </c>
      <c r="M1699" s="49" t="s">
        <v>4437</v>
      </c>
    </row>
    <row r="1700" spans="1:13" x14ac:dyDescent="0.35">
      <c r="A1700" s="49" t="s">
        <v>7900</v>
      </c>
      <c r="B1700" s="49" t="s">
        <v>3102</v>
      </c>
      <c r="C1700" s="49" t="s">
        <v>7901</v>
      </c>
      <c r="D1700" s="49" t="s">
        <v>1264</v>
      </c>
      <c r="E1700" s="49" t="s">
        <v>2908</v>
      </c>
      <c r="F1700" s="49" t="s">
        <v>2939</v>
      </c>
      <c r="G1700" s="49" t="s">
        <v>2787</v>
      </c>
      <c r="H1700" s="49" t="s">
        <v>8</v>
      </c>
      <c r="I1700" s="50">
        <v>36261</v>
      </c>
      <c r="J1700" s="50">
        <v>36605</v>
      </c>
      <c r="K1700" s="50">
        <v>38430</v>
      </c>
      <c r="M1700" s="49" t="s">
        <v>7902</v>
      </c>
    </row>
    <row r="1701" spans="1:13" x14ac:dyDescent="0.35">
      <c r="A1701" s="49" t="s">
        <v>7903</v>
      </c>
      <c r="B1701" s="49" t="s">
        <v>7904</v>
      </c>
      <c r="C1701" s="49" t="s">
        <v>7905</v>
      </c>
      <c r="D1701" s="49" t="s">
        <v>1264</v>
      </c>
      <c r="E1701" s="49" t="s">
        <v>7057</v>
      </c>
      <c r="F1701" s="49" t="s">
        <v>2825</v>
      </c>
      <c r="G1701" s="49" t="s">
        <v>2826</v>
      </c>
      <c r="H1701" s="49" t="s">
        <v>973</v>
      </c>
      <c r="I1701" s="50">
        <v>37636</v>
      </c>
      <c r="J1701" s="50">
        <v>38082</v>
      </c>
      <c r="K1701" s="50">
        <v>40430</v>
      </c>
      <c r="M1701" s="49" t="s">
        <v>3100</v>
      </c>
    </row>
    <row r="1702" spans="1:13" x14ac:dyDescent="0.35">
      <c r="A1702" s="49" t="s">
        <v>7906</v>
      </c>
      <c r="B1702" s="49" t="s">
        <v>7907</v>
      </c>
      <c r="C1702" s="49" t="s">
        <v>4388</v>
      </c>
      <c r="D1702" s="49" t="s">
        <v>1264</v>
      </c>
      <c r="E1702" s="49" t="s">
        <v>2908</v>
      </c>
      <c r="F1702" s="49" t="s">
        <v>2837</v>
      </c>
      <c r="G1702" s="49" t="s">
        <v>2826</v>
      </c>
      <c r="H1702" s="49" t="s">
        <v>980</v>
      </c>
      <c r="I1702" s="50">
        <v>37728</v>
      </c>
      <c r="J1702" s="50">
        <v>38082</v>
      </c>
      <c r="K1702" s="50">
        <v>44620</v>
      </c>
      <c r="M1702" s="49" t="s">
        <v>7908</v>
      </c>
    </row>
    <row r="1703" spans="1:13" x14ac:dyDescent="0.35">
      <c r="A1703" s="49" t="s">
        <v>7909</v>
      </c>
      <c r="B1703" s="49" t="s">
        <v>7910</v>
      </c>
      <c r="C1703" s="49" t="s">
        <v>7911</v>
      </c>
      <c r="D1703" s="49" t="s">
        <v>1264</v>
      </c>
      <c r="E1703" s="49" t="s">
        <v>7057</v>
      </c>
      <c r="F1703" s="49" t="s">
        <v>2825</v>
      </c>
      <c r="G1703" s="49" t="s">
        <v>2787</v>
      </c>
      <c r="H1703" s="49" t="s">
        <v>973</v>
      </c>
      <c r="I1703" s="50">
        <v>37834</v>
      </c>
      <c r="J1703" s="50">
        <v>38082</v>
      </c>
      <c r="K1703" s="50">
        <v>42569</v>
      </c>
      <c r="M1703" s="49" t="s">
        <v>7912</v>
      </c>
    </row>
    <row r="1704" spans="1:13" x14ac:dyDescent="0.35">
      <c r="A1704" s="49" t="s">
        <v>7913</v>
      </c>
      <c r="B1704" s="49" t="s">
        <v>7914</v>
      </c>
      <c r="C1704" s="49" t="s">
        <v>7882</v>
      </c>
      <c r="D1704" s="49" t="s">
        <v>1264</v>
      </c>
      <c r="E1704" s="49" t="s">
        <v>7057</v>
      </c>
      <c r="F1704" s="49" t="s">
        <v>2825</v>
      </c>
      <c r="G1704" s="49" t="s">
        <v>2787</v>
      </c>
      <c r="H1704" s="49" t="s">
        <v>973</v>
      </c>
      <c r="I1704" s="50">
        <v>38328</v>
      </c>
      <c r="J1704" s="50">
        <v>38082</v>
      </c>
      <c r="K1704" s="50">
        <v>39176</v>
      </c>
      <c r="M1704" s="49" t="s">
        <v>7915</v>
      </c>
    </row>
    <row r="1705" spans="1:13" x14ac:dyDescent="0.35">
      <c r="A1705" s="49" t="s">
        <v>7916</v>
      </c>
      <c r="B1705" s="49" t="s">
        <v>3102</v>
      </c>
      <c r="C1705" s="49" t="s">
        <v>6858</v>
      </c>
      <c r="D1705" s="49" t="s">
        <v>1264</v>
      </c>
      <c r="E1705" s="49" t="s">
        <v>2908</v>
      </c>
      <c r="F1705" s="49" t="s">
        <v>2939</v>
      </c>
      <c r="G1705" s="49" t="s">
        <v>2826</v>
      </c>
      <c r="H1705" s="49" t="s">
        <v>8</v>
      </c>
      <c r="I1705" s="50">
        <v>36957</v>
      </c>
      <c r="J1705" s="50">
        <v>38082</v>
      </c>
      <c r="K1705" s="50">
        <v>38530</v>
      </c>
      <c r="M1705" s="49" t="s">
        <v>7917</v>
      </c>
    </row>
    <row r="1706" spans="1:13" x14ac:dyDescent="0.35">
      <c r="A1706" s="49" t="s">
        <v>7918</v>
      </c>
      <c r="B1706" s="49" t="s">
        <v>7919</v>
      </c>
      <c r="C1706" s="49" t="s">
        <v>7292</v>
      </c>
      <c r="D1706" s="49" t="s">
        <v>1264</v>
      </c>
      <c r="E1706" s="49" t="s">
        <v>2908</v>
      </c>
      <c r="F1706" s="49" t="s">
        <v>2939</v>
      </c>
      <c r="G1706" s="49" t="s">
        <v>2787</v>
      </c>
      <c r="H1706" s="49" t="s">
        <v>8</v>
      </c>
      <c r="I1706" s="50">
        <v>38082</v>
      </c>
      <c r="J1706" s="50">
        <v>38082</v>
      </c>
      <c r="K1706" s="50">
        <v>39907</v>
      </c>
      <c r="M1706" s="49" t="s">
        <v>7920</v>
      </c>
    </row>
    <row r="1707" spans="1:13" x14ac:dyDescent="0.35">
      <c r="A1707" s="49" t="s">
        <v>7921</v>
      </c>
      <c r="B1707" s="49" t="s">
        <v>3008</v>
      </c>
      <c r="C1707" s="49" t="s">
        <v>7922</v>
      </c>
      <c r="D1707" s="49" t="s">
        <v>1264</v>
      </c>
      <c r="E1707" s="49" t="s">
        <v>2908</v>
      </c>
      <c r="F1707" s="49" t="s">
        <v>2939</v>
      </c>
      <c r="G1707" s="49" t="s">
        <v>2787</v>
      </c>
      <c r="H1707" s="49" t="s">
        <v>980</v>
      </c>
      <c r="I1707" s="50">
        <v>39352</v>
      </c>
      <c r="J1707" s="50">
        <v>38082</v>
      </c>
      <c r="K1707" s="50">
        <v>41818</v>
      </c>
      <c r="M1707" s="49" t="s">
        <v>7923</v>
      </c>
    </row>
    <row r="1708" spans="1:13" x14ac:dyDescent="0.35">
      <c r="A1708" s="49" t="s">
        <v>7924</v>
      </c>
      <c r="B1708" s="49" t="s">
        <v>7925</v>
      </c>
      <c r="C1708" s="49" t="s">
        <v>4200</v>
      </c>
      <c r="D1708" s="49" t="s">
        <v>1264</v>
      </c>
      <c r="E1708" s="49" t="s">
        <v>2908</v>
      </c>
      <c r="F1708" s="49" t="s">
        <v>3010</v>
      </c>
      <c r="G1708" s="49" t="s">
        <v>2787</v>
      </c>
      <c r="H1708" s="49" t="s">
        <v>980</v>
      </c>
      <c r="I1708" s="50">
        <v>38524</v>
      </c>
      <c r="J1708" s="50">
        <v>38082</v>
      </c>
      <c r="K1708" s="50">
        <v>39907</v>
      </c>
      <c r="M1708" s="49" t="s">
        <v>3477</v>
      </c>
    </row>
    <row r="1709" spans="1:13" x14ac:dyDescent="0.35">
      <c r="A1709" s="49" t="s">
        <v>7926</v>
      </c>
      <c r="B1709" s="49" t="s">
        <v>7927</v>
      </c>
      <c r="C1709" s="49" t="s">
        <v>4200</v>
      </c>
      <c r="D1709" s="49" t="s">
        <v>1264</v>
      </c>
      <c r="E1709" s="49" t="s">
        <v>2908</v>
      </c>
      <c r="F1709" s="49" t="s">
        <v>3010</v>
      </c>
      <c r="G1709" s="49" t="s">
        <v>2787</v>
      </c>
      <c r="H1709" s="49" t="s">
        <v>980</v>
      </c>
      <c r="I1709" s="50">
        <v>39223</v>
      </c>
      <c r="J1709" s="50">
        <v>38082</v>
      </c>
      <c r="K1709" s="50">
        <v>39907</v>
      </c>
      <c r="M1709" s="49" t="s">
        <v>7928</v>
      </c>
    </row>
    <row r="1710" spans="1:13" x14ac:dyDescent="0.35">
      <c r="A1710" s="49" t="s">
        <v>7929</v>
      </c>
      <c r="B1710" s="49" t="s">
        <v>7930</v>
      </c>
      <c r="C1710" s="49" t="s">
        <v>7931</v>
      </c>
      <c r="D1710" s="49" t="s">
        <v>1264</v>
      </c>
      <c r="E1710" s="49" t="s">
        <v>2908</v>
      </c>
      <c r="F1710" s="49" t="s">
        <v>3010</v>
      </c>
      <c r="G1710" s="49" t="s">
        <v>2826</v>
      </c>
      <c r="H1710" s="49" t="s">
        <v>980</v>
      </c>
      <c r="I1710" s="50">
        <v>29635</v>
      </c>
      <c r="J1710" s="50">
        <v>29698</v>
      </c>
      <c r="K1710" s="50">
        <v>38639</v>
      </c>
      <c r="M1710" s="49" t="s">
        <v>3477</v>
      </c>
    </row>
    <row r="1711" spans="1:13" x14ac:dyDescent="0.35">
      <c r="A1711" s="49" t="s">
        <v>7932</v>
      </c>
      <c r="B1711" s="49" t="s">
        <v>7933</v>
      </c>
      <c r="C1711" s="49" t="s">
        <v>2997</v>
      </c>
      <c r="D1711" s="49" t="s">
        <v>1264</v>
      </c>
      <c r="E1711" s="49" t="s">
        <v>2908</v>
      </c>
      <c r="F1711" s="49" t="s">
        <v>7934</v>
      </c>
      <c r="G1711" s="49" t="s">
        <v>2826</v>
      </c>
      <c r="H1711" s="49" t="s">
        <v>8</v>
      </c>
      <c r="I1711" s="50">
        <v>37576</v>
      </c>
      <c r="J1711" s="50">
        <v>38562</v>
      </c>
      <c r="K1711" s="50">
        <v>38826</v>
      </c>
      <c r="M1711" s="49" t="s">
        <v>7935</v>
      </c>
    </row>
    <row r="1712" spans="1:13" x14ac:dyDescent="0.35">
      <c r="A1712" s="49" t="s">
        <v>7936</v>
      </c>
      <c r="C1712" s="49" t="s">
        <v>7937</v>
      </c>
      <c r="D1712" s="49" t="s">
        <v>1264</v>
      </c>
      <c r="E1712" s="49" t="s">
        <v>2974</v>
      </c>
      <c r="F1712" s="49" t="s">
        <v>2825</v>
      </c>
      <c r="G1712" s="49" t="s">
        <v>2787</v>
      </c>
      <c r="H1712" s="49" t="s">
        <v>2827</v>
      </c>
      <c r="I1712" s="50">
        <v>37092</v>
      </c>
      <c r="J1712" s="50">
        <v>37418</v>
      </c>
      <c r="K1712" s="50">
        <v>38513</v>
      </c>
      <c r="M1712" s="49" t="s">
        <v>7938</v>
      </c>
    </row>
    <row r="1713" spans="1:13" x14ac:dyDescent="0.35">
      <c r="A1713" s="49" t="s">
        <v>7939</v>
      </c>
      <c r="B1713" s="49" t="s">
        <v>7940</v>
      </c>
      <c r="C1713" s="49" t="s">
        <v>7941</v>
      </c>
      <c r="D1713" s="49" t="s">
        <v>1264</v>
      </c>
      <c r="E1713" s="49" t="s">
        <v>2908</v>
      </c>
      <c r="F1713" s="49" t="s">
        <v>7942</v>
      </c>
      <c r="G1713" s="49" t="s">
        <v>2826</v>
      </c>
      <c r="H1713" s="49" t="s">
        <v>8</v>
      </c>
      <c r="I1713" s="50">
        <v>36082</v>
      </c>
      <c r="J1713" s="50">
        <v>37427</v>
      </c>
      <c r="K1713" s="50">
        <v>40368</v>
      </c>
      <c r="M1713" s="49" t="s">
        <v>7943</v>
      </c>
    </row>
    <row r="1714" spans="1:13" x14ac:dyDescent="0.35">
      <c r="A1714" s="49" t="s">
        <v>7944</v>
      </c>
      <c r="B1714" s="49" t="s">
        <v>7945</v>
      </c>
      <c r="C1714" s="49" t="s">
        <v>7946</v>
      </c>
      <c r="D1714" s="49" t="s">
        <v>1264</v>
      </c>
      <c r="E1714" s="49" t="s">
        <v>7057</v>
      </c>
      <c r="F1714" s="49" t="s">
        <v>2825</v>
      </c>
      <c r="G1714" s="49" t="s">
        <v>2787</v>
      </c>
      <c r="H1714" s="49" t="s">
        <v>2827</v>
      </c>
      <c r="I1714" s="50">
        <v>42016</v>
      </c>
      <c r="J1714" s="50">
        <v>42087</v>
      </c>
      <c r="K1714" s="50">
        <v>42817</v>
      </c>
      <c r="M1714" s="49" t="s">
        <v>7947</v>
      </c>
    </row>
    <row r="1715" spans="1:13" x14ac:dyDescent="0.35">
      <c r="A1715" s="49" t="s">
        <v>7948</v>
      </c>
      <c r="B1715" s="49" t="s">
        <v>7949</v>
      </c>
      <c r="C1715" s="49" t="s">
        <v>7950</v>
      </c>
      <c r="D1715" s="49" t="s">
        <v>1264</v>
      </c>
      <c r="E1715" s="49" t="s">
        <v>7057</v>
      </c>
      <c r="F1715" s="49" t="s">
        <v>2825</v>
      </c>
      <c r="G1715" s="49" t="s">
        <v>2787</v>
      </c>
      <c r="H1715" s="49" t="s">
        <v>2827</v>
      </c>
      <c r="I1715" s="50">
        <v>41887</v>
      </c>
      <c r="J1715" s="50">
        <v>42089</v>
      </c>
      <c r="K1715" s="50">
        <v>42819</v>
      </c>
      <c r="M1715" s="49" t="s">
        <v>3270</v>
      </c>
    </row>
    <row r="1716" spans="1:13" x14ac:dyDescent="0.35">
      <c r="A1716" s="49" t="s">
        <v>7951</v>
      </c>
      <c r="B1716" s="49" t="s">
        <v>7952</v>
      </c>
      <c r="C1716" s="49" t="s">
        <v>3280</v>
      </c>
      <c r="D1716" s="49" t="s">
        <v>1264</v>
      </c>
      <c r="E1716" s="49" t="s">
        <v>3748</v>
      </c>
      <c r="F1716" s="49" t="s">
        <v>2792</v>
      </c>
      <c r="G1716" s="49" t="s">
        <v>2787</v>
      </c>
      <c r="H1716" s="49" t="s">
        <v>3207</v>
      </c>
      <c r="I1716" s="50">
        <v>39395</v>
      </c>
      <c r="J1716" s="50">
        <v>40308</v>
      </c>
      <c r="M1716" s="49" t="s">
        <v>7953</v>
      </c>
    </row>
    <row r="1717" spans="1:13" x14ac:dyDescent="0.35">
      <c r="A1717" s="49" t="s">
        <v>7954</v>
      </c>
      <c r="B1717" s="49" t="s">
        <v>7955</v>
      </c>
      <c r="C1717" s="49" t="s">
        <v>3280</v>
      </c>
      <c r="D1717" s="49" t="s">
        <v>1264</v>
      </c>
      <c r="E1717" s="49" t="s">
        <v>3748</v>
      </c>
      <c r="F1717" s="49" t="s">
        <v>2792</v>
      </c>
      <c r="G1717" s="49" t="s">
        <v>2826</v>
      </c>
      <c r="H1717" s="49" t="s">
        <v>3207</v>
      </c>
      <c r="I1717" s="50">
        <v>39395</v>
      </c>
      <c r="J1717" s="50">
        <v>40308</v>
      </c>
      <c r="M1717" s="49" t="s">
        <v>7956</v>
      </c>
    </row>
    <row r="1718" spans="1:13" x14ac:dyDescent="0.35">
      <c r="A1718" s="49" t="s">
        <v>7957</v>
      </c>
      <c r="B1718" s="49" t="s">
        <v>7958</v>
      </c>
      <c r="C1718" s="49" t="s">
        <v>7959</v>
      </c>
      <c r="D1718" s="49" t="s">
        <v>1264</v>
      </c>
      <c r="E1718" s="49" t="s">
        <v>2974</v>
      </c>
      <c r="F1718" s="49" t="s">
        <v>2900</v>
      </c>
      <c r="G1718" s="49" t="s">
        <v>2975</v>
      </c>
      <c r="H1718" s="49" t="s">
        <v>980</v>
      </c>
      <c r="I1718" s="50">
        <v>39720</v>
      </c>
      <c r="J1718" s="50">
        <v>39905</v>
      </c>
      <c r="K1718" s="50">
        <v>41919</v>
      </c>
      <c r="M1718" s="49" t="s">
        <v>7960</v>
      </c>
    </row>
    <row r="1719" spans="1:13" x14ac:dyDescent="0.35">
      <c r="A1719" s="49" t="s">
        <v>7961</v>
      </c>
      <c r="B1719" s="49" t="s">
        <v>7962</v>
      </c>
      <c r="C1719" s="49" t="s">
        <v>7963</v>
      </c>
      <c r="D1719" s="49" t="s">
        <v>1264</v>
      </c>
      <c r="E1719" s="49" t="s">
        <v>2774</v>
      </c>
      <c r="F1719" s="49" t="s">
        <v>3598</v>
      </c>
      <c r="G1719" s="49" t="s">
        <v>2975</v>
      </c>
      <c r="H1719" s="49" t="s">
        <v>2827</v>
      </c>
      <c r="I1719" s="50">
        <v>38766</v>
      </c>
      <c r="J1719" s="50">
        <v>39246</v>
      </c>
      <c r="K1719" s="50">
        <v>42534</v>
      </c>
      <c r="M1719" s="49" t="s">
        <v>7964</v>
      </c>
    </row>
    <row r="1720" spans="1:13" x14ac:dyDescent="0.35">
      <c r="A1720" s="49" t="s">
        <v>7965</v>
      </c>
      <c r="B1720" s="49" t="s">
        <v>4010</v>
      </c>
      <c r="C1720" s="49" t="s">
        <v>7966</v>
      </c>
      <c r="D1720" s="49" t="s">
        <v>1264</v>
      </c>
      <c r="E1720" s="49" t="s">
        <v>2774</v>
      </c>
      <c r="F1720" s="49" t="s">
        <v>2825</v>
      </c>
      <c r="G1720" s="49" t="s">
        <v>7967</v>
      </c>
      <c r="H1720" s="49" t="s">
        <v>2827</v>
      </c>
      <c r="I1720" s="50">
        <v>40234</v>
      </c>
      <c r="J1720" s="50">
        <v>40319</v>
      </c>
      <c r="K1720" s="50">
        <v>43605</v>
      </c>
      <c r="M1720" s="49" t="s">
        <v>7968</v>
      </c>
    </row>
    <row r="1721" spans="1:13" x14ac:dyDescent="0.35">
      <c r="A1721" s="49" t="s">
        <v>7969</v>
      </c>
      <c r="B1721" s="49" t="s">
        <v>7970</v>
      </c>
      <c r="C1721" s="49" t="s">
        <v>7971</v>
      </c>
      <c r="D1721" s="49" t="s">
        <v>1264</v>
      </c>
      <c r="E1721" s="49" t="s">
        <v>7057</v>
      </c>
      <c r="F1721" s="49" t="s">
        <v>2825</v>
      </c>
      <c r="G1721" s="49" t="s">
        <v>2826</v>
      </c>
      <c r="H1721" s="49" t="s">
        <v>2827</v>
      </c>
      <c r="I1721" s="50">
        <v>40398</v>
      </c>
      <c r="J1721" s="50">
        <v>40667</v>
      </c>
      <c r="K1721" s="50">
        <v>41397</v>
      </c>
      <c r="M1721" s="49" t="s">
        <v>3100</v>
      </c>
    </row>
    <row r="1722" spans="1:13" x14ac:dyDescent="0.35">
      <c r="A1722" s="49" t="s">
        <v>7972</v>
      </c>
      <c r="B1722" s="49" t="s">
        <v>7973</v>
      </c>
      <c r="C1722" s="49" t="s">
        <v>3152</v>
      </c>
      <c r="D1722" s="49" t="s">
        <v>1264</v>
      </c>
      <c r="E1722" s="49" t="s">
        <v>7057</v>
      </c>
      <c r="F1722" s="49" t="s">
        <v>2825</v>
      </c>
      <c r="G1722" s="49" t="s">
        <v>2787</v>
      </c>
      <c r="H1722" s="49" t="s">
        <v>2827</v>
      </c>
      <c r="I1722" s="50">
        <v>40519</v>
      </c>
      <c r="J1722" s="50">
        <v>40667</v>
      </c>
      <c r="K1722" s="50">
        <v>41397</v>
      </c>
      <c r="M1722" s="49" t="s">
        <v>7974</v>
      </c>
    </row>
    <row r="1723" spans="1:13" x14ac:dyDescent="0.35">
      <c r="A1723" s="49" t="s">
        <v>7975</v>
      </c>
      <c r="B1723" s="49" t="s">
        <v>7976</v>
      </c>
      <c r="C1723" s="49" t="s">
        <v>7977</v>
      </c>
      <c r="D1723" s="49" t="s">
        <v>1264</v>
      </c>
      <c r="E1723" s="49" t="s">
        <v>2974</v>
      </c>
      <c r="F1723" s="49" t="s">
        <v>2775</v>
      </c>
      <c r="G1723" s="49" t="s">
        <v>2975</v>
      </c>
      <c r="H1723" s="49" t="s">
        <v>980</v>
      </c>
      <c r="I1723" s="50">
        <v>39682</v>
      </c>
      <c r="J1723" s="50">
        <v>39913</v>
      </c>
      <c r="K1723" s="50">
        <v>41008</v>
      </c>
      <c r="M1723" s="49" t="s">
        <v>7978</v>
      </c>
    </row>
    <row r="1724" spans="1:13" x14ac:dyDescent="0.35">
      <c r="A1724" s="49" t="s">
        <v>7979</v>
      </c>
      <c r="B1724" s="49" t="s">
        <v>4799</v>
      </c>
      <c r="C1724" s="49" t="s">
        <v>7966</v>
      </c>
      <c r="D1724" s="49" t="s">
        <v>1264</v>
      </c>
      <c r="E1724" s="49" t="s">
        <v>2774</v>
      </c>
      <c r="F1724" s="49" t="s">
        <v>2825</v>
      </c>
      <c r="G1724" s="49" t="s">
        <v>2826</v>
      </c>
      <c r="H1724" s="49" t="s">
        <v>2827</v>
      </c>
      <c r="I1724" s="50">
        <v>39241</v>
      </c>
      <c r="J1724" s="50">
        <v>39605</v>
      </c>
      <c r="K1724" s="50">
        <v>43621</v>
      </c>
      <c r="M1724" s="49" t="s">
        <v>7980</v>
      </c>
    </row>
    <row r="1725" spans="1:13" x14ac:dyDescent="0.35">
      <c r="A1725" s="49" t="s">
        <v>7981</v>
      </c>
      <c r="B1725" s="49" t="s">
        <v>7982</v>
      </c>
      <c r="C1725" s="49" t="s">
        <v>7983</v>
      </c>
      <c r="D1725" s="49" t="s">
        <v>1264</v>
      </c>
      <c r="E1725" s="49" t="s">
        <v>2908</v>
      </c>
      <c r="F1725" s="49" t="s">
        <v>2939</v>
      </c>
      <c r="G1725" s="49" t="s">
        <v>2826</v>
      </c>
      <c r="H1725" s="49" t="s">
        <v>8</v>
      </c>
      <c r="I1725" s="50">
        <v>28126</v>
      </c>
      <c r="J1725" s="50">
        <v>28257</v>
      </c>
      <c r="K1725" s="50">
        <v>38243</v>
      </c>
      <c r="M1725" s="49" t="s">
        <v>7984</v>
      </c>
    </row>
    <row r="1726" spans="1:13" x14ac:dyDescent="0.35">
      <c r="A1726" s="49" t="s">
        <v>7985</v>
      </c>
      <c r="B1726" s="49" t="s">
        <v>7986</v>
      </c>
      <c r="C1726" s="49" t="s">
        <v>6819</v>
      </c>
      <c r="D1726" s="49" t="s">
        <v>1264</v>
      </c>
      <c r="E1726" s="49" t="s">
        <v>3748</v>
      </c>
      <c r="F1726" s="49" t="s">
        <v>2792</v>
      </c>
      <c r="G1726" s="49" t="s">
        <v>2787</v>
      </c>
      <c r="H1726" s="49" t="s">
        <v>864</v>
      </c>
      <c r="I1726" s="50">
        <v>42420</v>
      </c>
      <c r="J1726" s="50">
        <v>42460</v>
      </c>
      <c r="K1726" s="50">
        <v>44227</v>
      </c>
      <c r="M1726" s="49" t="s">
        <v>7987</v>
      </c>
    </row>
    <row r="1727" spans="1:13" x14ac:dyDescent="0.35">
      <c r="A1727" s="49" t="s">
        <v>7988</v>
      </c>
      <c r="B1727" s="49" t="s">
        <v>7989</v>
      </c>
      <c r="C1727" s="49" t="s">
        <v>7990</v>
      </c>
      <c r="D1727" s="49" t="s">
        <v>1264</v>
      </c>
      <c r="E1727" s="49" t="s">
        <v>2908</v>
      </c>
      <c r="F1727" s="49" t="s">
        <v>2939</v>
      </c>
      <c r="G1727" s="49" t="s">
        <v>2975</v>
      </c>
      <c r="H1727" s="49" t="s">
        <v>980</v>
      </c>
      <c r="I1727" s="50">
        <v>42334</v>
      </c>
      <c r="J1727" s="50">
        <v>42460</v>
      </c>
      <c r="K1727" s="50">
        <v>44285</v>
      </c>
      <c r="M1727" s="49" t="s">
        <v>7991</v>
      </c>
    </row>
    <row r="1728" spans="1:13" x14ac:dyDescent="0.35">
      <c r="A1728" s="49" t="s">
        <v>7992</v>
      </c>
      <c r="B1728" s="49" t="s">
        <v>3615</v>
      </c>
      <c r="C1728" s="49" t="s">
        <v>7993</v>
      </c>
      <c r="D1728" s="49" t="s">
        <v>1264</v>
      </c>
      <c r="E1728" s="49" t="s">
        <v>2908</v>
      </c>
      <c r="F1728" s="49" t="s">
        <v>3010</v>
      </c>
      <c r="G1728" s="49" t="s">
        <v>2975</v>
      </c>
      <c r="H1728" s="49" t="s">
        <v>980</v>
      </c>
      <c r="I1728" s="50">
        <v>42115</v>
      </c>
      <c r="J1728" s="50">
        <v>42460</v>
      </c>
      <c r="K1728" s="50">
        <v>44285</v>
      </c>
      <c r="M1728" s="49" t="s">
        <v>7994</v>
      </c>
    </row>
    <row r="1729" spans="1:13" x14ac:dyDescent="0.35">
      <c r="A1729" s="49" t="s">
        <v>7995</v>
      </c>
      <c r="B1729" s="49" t="s">
        <v>7996</v>
      </c>
      <c r="C1729" s="49" t="s">
        <v>7997</v>
      </c>
      <c r="D1729" s="49" t="s">
        <v>1264</v>
      </c>
      <c r="E1729" s="49" t="s">
        <v>2908</v>
      </c>
      <c r="F1729" s="49" t="s">
        <v>2837</v>
      </c>
      <c r="G1729" s="49" t="s">
        <v>2826</v>
      </c>
      <c r="H1729" s="49" t="s">
        <v>980</v>
      </c>
      <c r="I1729" s="50">
        <v>28628</v>
      </c>
      <c r="J1729" s="50">
        <v>32622</v>
      </c>
      <c r="K1729" s="50">
        <v>32791</v>
      </c>
      <c r="M1729" s="49" t="s">
        <v>3477</v>
      </c>
    </row>
    <row r="1730" spans="1:13" x14ac:dyDescent="0.35">
      <c r="A1730" s="49" t="s">
        <v>7998</v>
      </c>
      <c r="B1730" s="49" t="s">
        <v>4870</v>
      </c>
      <c r="C1730" s="49" t="s">
        <v>7999</v>
      </c>
      <c r="D1730" s="49" t="s">
        <v>1264</v>
      </c>
      <c r="E1730" s="49" t="s">
        <v>2774</v>
      </c>
      <c r="F1730" s="49" t="s">
        <v>3598</v>
      </c>
      <c r="G1730" s="49" t="s">
        <v>2975</v>
      </c>
      <c r="H1730" s="49" t="s">
        <v>973</v>
      </c>
      <c r="I1730" s="50">
        <v>38867</v>
      </c>
      <c r="J1730" s="50">
        <v>38937</v>
      </c>
      <c r="K1730" s="50">
        <v>39769</v>
      </c>
      <c r="M1730" s="49" t="s">
        <v>8000</v>
      </c>
    </row>
    <row r="1731" spans="1:13" x14ac:dyDescent="0.35">
      <c r="A1731" s="49" t="s">
        <v>8001</v>
      </c>
      <c r="B1731" s="49" t="s">
        <v>8002</v>
      </c>
      <c r="C1731" s="49" t="s">
        <v>8003</v>
      </c>
      <c r="D1731" s="49" t="s">
        <v>1264</v>
      </c>
      <c r="E1731" s="49" t="s">
        <v>2774</v>
      </c>
      <c r="F1731" s="49" t="s">
        <v>2825</v>
      </c>
      <c r="G1731" s="49" t="s">
        <v>2787</v>
      </c>
      <c r="H1731" s="49" t="s">
        <v>2827</v>
      </c>
      <c r="I1731" s="50">
        <v>40891</v>
      </c>
      <c r="J1731" s="50">
        <v>41110</v>
      </c>
      <c r="K1731" s="50">
        <v>43300</v>
      </c>
      <c r="M1731" s="49" t="s">
        <v>8004</v>
      </c>
    </row>
    <row r="1732" spans="1:13" x14ac:dyDescent="0.35">
      <c r="A1732" s="49" t="s">
        <v>8005</v>
      </c>
      <c r="B1732" s="49" t="s">
        <v>8006</v>
      </c>
      <c r="C1732" s="49" t="s">
        <v>6988</v>
      </c>
      <c r="D1732" s="49" t="s">
        <v>1264</v>
      </c>
      <c r="E1732" s="49" t="s">
        <v>2908</v>
      </c>
      <c r="F1732" s="49" t="s">
        <v>3010</v>
      </c>
      <c r="G1732" s="49" t="s">
        <v>2826</v>
      </c>
      <c r="H1732" s="49" t="s">
        <v>980</v>
      </c>
      <c r="I1732" s="50">
        <v>29124</v>
      </c>
      <c r="J1732" s="50">
        <v>31877</v>
      </c>
      <c r="K1732" s="50">
        <v>39024</v>
      </c>
      <c r="M1732" s="49" t="s">
        <v>8007</v>
      </c>
    </row>
    <row r="1733" spans="1:13" x14ac:dyDescent="0.35">
      <c r="A1733" s="49" t="s">
        <v>8008</v>
      </c>
      <c r="B1733" s="49" t="s">
        <v>8009</v>
      </c>
      <c r="C1733" s="49" t="s">
        <v>8010</v>
      </c>
      <c r="D1733" s="49" t="s">
        <v>1264</v>
      </c>
      <c r="E1733" s="49" t="s">
        <v>2908</v>
      </c>
      <c r="F1733" s="49" t="s">
        <v>2805</v>
      </c>
      <c r="G1733" s="49" t="s">
        <v>2826</v>
      </c>
      <c r="H1733" s="49" t="s">
        <v>980</v>
      </c>
      <c r="I1733" s="50">
        <v>33660</v>
      </c>
      <c r="J1733" s="50">
        <v>34516</v>
      </c>
      <c r="K1733" s="50">
        <v>35727</v>
      </c>
      <c r="M1733" s="49" t="s">
        <v>7920</v>
      </c>
    </row>
    <row r="1734" spans="1:13" x14ac:dyDescent="0.35">
      <c r="A1734" s="49" t="s">
        <v>8011</v>
      </c>
      <c r="B1734" s="49" t="s">
        <v>8012</v>
      </c>
      <c r="C1734" s="49" t="s">
        <v>8013</v>
      </c>
      <c r="D1734" s="49" t="s">
        <v>1264</v>
      </c>
      <c r="E1734" s="49" t="s">
        <v>7057</v>
      </c>
      <c r="F1734" s="49" t="s">
        <v>2825</v>
      </c>
      <c r="G1734" s="49" t="s">
        <v>2826</v>
      </c>
      <c r="H1734" s="49" t="s">
        <v>2827</v>
      </c>
      <c r="I1734" s="50">
        <v>39686</v>
      </c>
      <c r="J1734" s="50">
        <v>39930</v>
      </c>
      <c r="K1734" s="50">
        <v>40659</v>
      </c>
      <c r="M1734" s="49" t="s">
        <v>8014</v>
      </c>
    </row>
    <row r="1735" spans="1:13" x14ac:dyDescent="0.35">
      <c r="A1735" s="49" t="s">
        <v>8015</v>
      </c>
      <c r="B1735" s="49" t="s">
        <v>8016</v>
      </c>
      <c r="C1735" s="49" t="s">
        <v>2997</v>
      </c>
      <c r="D1735" s="49" t="s">
        <v>1264</v>
      </c>
      <c r="E1735" s="49" t="s">
        <v>2908</v>
      </c>
      <c r="F1735" s="49" t="s">
        <v>2939</v>
      </c>
      <c r="G1735" s="49" t="s">
        <v>2826</v>
      </c>
      <c r="H1735" s="49" t="s">
        <v>980</v>
      </c>
      <c r="I1735" s="50">
        <v>35725</v>
      </c>
      <c r="J1735" s="50">
        <v>35975</v>
      </c>
      <c r="K1735" s="50">
        <v>37801</v>
      </c>
      <c r="M1735" s="49" t="s">
        <v>3100</v>
      </c>
    </row>
    <row r="1736" spans="1:13" x14ac:dyDescent="0.35">
      <c r="A1736" s="49" t="s">
        <v>8017</v>
      </c>
      <c r="B1736" s="49" t="s">
        <v>8018</v>
      </c>
      <c r="C1736" s="49" t="s">
        <v>3280</v>
      </c>
      <c r="D1736" s="49" t="s">
        <v>1264</v>
      </c>
      <c r="E1736" s="49" t="s">
        <v>3748</v>
      </c>
      <c r="F1736" s="49" t="s">
        <v>2792</v>
      </c>
      <c r="G1736" s="49" t="s">
        <v>2787</v>
      </c>
      <c r="H1736" s="49" t="s">
        <v>980</v>
      </c>
      <c r="I1736" s="50">
        <v>42226</v>
      </c>
      <c r="J1736" s="50">
        <v>42466</v>
      </c>
      <c r="K1736" s="50">
        <v>44292</v>
      </c>
      <c r="M1736" s="49" t="s">
        <v>8019</v>
      </c>
    </row>
    <row r="1737" spans="1:13" x14ac:dyDescent="0.35">
      <c r="A1737" s="49" t="s">
        <v>8020</v>
      </c>
      <c r="B1737" s="49" t="s">
        <v>8021</v>
      </c>
      <c r="C1737" s="49" t="s">
        <v>8022</v>
      </c>
      <c r="D1737" s="49" t="s">
        <v>1264</v>
      </c>
      <c r="E1737" s="49" t="s">
        <v>2814</v>
      </c>
      <c r="F1737" s="49" t="s">
        <v>2805</v>
      </c>
      <c r="G1737" s="49" t="s">
        <v>2787</v>
      </c>
      <c r="H1737" s="49" t="s">
        <v>980</v>
      </c>
      <c r="I1737" s="50">
        <v>38007</v>
      </c>
      <c r="J1737" s="50">
        <v>38153</v>
      </c>
      <c r="K1737" s="50">
        <v>39979</v>
      </c>
      <c r="M1737" s="49" t="s">
        <v>3100</v>
      </c>
    </row>
    <row r="1738" spans="1:13" x14ac:dyDescent="0.35">
      <c r="A1738" s="49" t="s">
        <v>8023</v>
      </c>
      <c r="B1738" s="49" t="s">
        <v>8024</v>
      </c>
      <c r="C1738" s="49" t="s">
        <v>8025</v>
      </c>
      <c r="D1738" s="49" t="s">
        <v>1264</v>
      </c>
      <c r="E1738" s="49" t="s">
        <v>2908</v>
      </c>
      <c r="F1738" s="49" t="s">
        <v>2837</v>
      </c>
      <c r="G1738" s="49" t="s">
        <v>2826</v>
      </c>
      <c r="H1738" s="49" t="s">
        <v>980</v>
      </c>
      <c r="I1738" s="50">
        <v>35041</v>
      </c>
      <c r="J1738" s="50">
        <v>35975</v>
      </c>
      <c r="K1738" s="50">
        <v>39115</v>
      </c>
      <c r="M1738" s="49" t="s">
        <v>8026</v>
      </c>
    </row>
    <row r="1739" spans="1:13" x14ac:dyDescent="0.35">
      <c r="A1739" s="49" t="s">
        <v>8027</v>
      </c>
      <c r="B1739" s="49" t="s">
        <v>8028</v>
      </c>
      <c r="C1739" s="49" t="s">
        <v>8029</v>
      </c>
      <c r="D1739" s="49" t="s">
        <v>1264</v>
      </c>
      <c r="E1739" s="49" t="s">
        <v>2908</v>
      </c>
      <c r="F1739" s="49" t="s">
        <v>2837</v>
      </c>
      <c r="G1739" s="49" t="s">
        <v>2787</v>
      </c>
      <c r="H1739" s="49" t="s">
        <v>980</v>
      </c>
      <c r="I1739" s="50">
        <v>34906</v>
      </c>
      <c r="J1739" s="50">
        <v>36371</v>
      </c>
      <c r="K1739" s="50">
        <v>38197</v>
      </c>
      <c r="M1739" s="49" t="s">
        <v>8030</v>
      </c>
    </row>
    <row r="1740" spans="1:13" x14ac:dyDescent="0.35">
      <c r="A1740" s="49" t="s">
        <v>8031</v>
      </c>
      <c r="B1740" s="49" t="s">
        <v>8032</v>
      </c>
      <c r="C1740" s="49" t="s">
        <v>8033</v>
      </c>
      <c r="D1740" s="49" t="s">
        <v>1264</v>
      </c>
      <c r="E1740" s="49" t="s">
        <v>2908</v>
      </c>
      <c r="F1740" s="49" t="s">
        <v>2939</v>
      </c>
      <c r="G1740" s="49" t="s">
        <v>2826</v>
      </c>
      <c r="H1740" s="49" t="s">
        <v>980</v>
      </c>
      <c r="I1740" s="50">
        <v>32035</v>
      </c>
      <c r="J1740" s="50">
        <v>32626</v>
      </c>
      <c r="K1740" s="50">
        <v>37514</v>
      </c>
      <c r="M1740" s="49" t="s">
        <v>8034</v>
      </c>
    </row>
    <row r="1741" spans="1:13" x14ac:dyDescent="0.35">
      <c r="A1741" s="49" t="s">
        <v>8035</v>
      </c>
      <c r="B1741" s="49" t="s">
        <v>8036</v>
      </c>
      <c r="C1741" s="49" t="s">
        <v>4276</v>
      </c>
      <c r="D1741" s="49" t="s">
        <v>1264</v>
      </c>
      <c r="E1741" s="49" t="s">
        <v>2908</v>
      </c>
      <c r="F1741" s="49" t="s">
        <v>2939</v>
      </c>
      <c r="G1741" s="49" t="s">
        <v>2787</v>
      </c>
      <c r="H1741" s="49" t="s">
        <v>980</v>
      </c>
      <c r="I1741" s="50">
        <v>39629</v>
      </c>
      <c r="J1741" s="50">
        <v>39933</v>
      </c>
      <c r="K1741" s="50">
        <v>41758</v>
      </c>
      <c r="M1741" s="49" t="s">
        <v>4277</v>
      </c>
    </row>
    <row r="1742" spans="1:13" x14ac:dyDescent="0.35">
      <c r="A1742" s="49" t="s">
        <v>8037</v>
      </c>
      <c r="B1742" s="49" t="s">
        <v>8038</v>
      </c>
      <c r="C1742" s="49" t="s">
        <v>8039</v>
      </c>
      <c r="D1742" s="49" t="s">
        <v>1264</v>
      </c>
      <c r="E1742" s="49" t="s">
        <v>2908</v>
      </c>
      <c r="F1742" s="49" t="s">
        <v>2939</v>
      </c>
      <c r="G1742" s="49" t="s">
        <v>2787</v>
      </c>
      <c r="H1742" s="49" t="s">
        <v>8</v>
      </c>
      <c r="I1742" s="50">
        <v>37810</v>
      </c>
      <c r="J1742" s="50">
        <v>38153</v>
      </c>
      <c r="K1742" s="50">
        <v>39978</v>
      </c>
      <c r="M1742" s="49" t="s">
        <v>8040</v>
      </c>
    </row>
    <row r="1743" spans="1:13" x14ac:dyDescent="0.35">
      <c r="A1743" s="49" t="s">
        <v>8041</v>
      </c>
      <c r="B1743" s="49" t="s">
        <v>8042</v>
      </c>
      <c r="C1743" s="49" t="s">
        <v>6858</v>
      </c>
      <c r="D1743" s="49" t="s">
        <v>1264</v>
      </c>
      <c r="E1743" s="49" t="s">
        <v>2908</v>
      </c>
      <c r="F1743" s="49" t="s">
        <v>2939</v>
      </c>
      <c r="G1743" s="49" t="s">
        <v>2787</v>
      </c>
      <c r="H1743" s="49" t="s">
        <v>8</v>
      </c>
      <c r="I1743" s="50">
        <v>36532</v>
      </c>
      <c r="J1743" s="50">
        <v>40102</v>
      </c>
      <c r="K1743" s="50">
        <v>41927</v>
      </c>
      <c r="M1743" s="49" t="s">
        <v>7289</v>
      </c>
    </row>
    <row r="1744" spans="1:13" x14ac:dyDescent="0.35">
      <c r="A1744" s="49" t="s">
        <v>8043</v>
      </c>
      <c r="B1744" s="49" t="s">
        <v>8044</v>
      </c>
      <c r="C1744" s="49" t="s">
        <v>8045</v>
      </c>
      <c r="D1744" s="49" t="s">
        <v>1264</v>
      </c>
      <c r="E1744" s="49" t="s">
        <v>2908</v>
      </c>
      <c r="F1744" s="49" t="s">
        <v>2939</v>
      </c>
      <c r="G1744" s="49" t="s">
        <v>2787</v>
      </c>
      <c r="H1744" s="49" t="s">
        <v>8</v>
      </c>
      <c r="I1744" s="50">
        <v>34450</v>
      </c>
      <c r="J1744" s="50">
        <v>34522</v>
      </c>
      <c r="K1744" s="50">
        <v>36347</v>
      </c>
      <c r="M1744" s="49" t="s">
        <v>7943</v>
      </c>
    </row>
    <row r="1745" spans="1:13" x14ac:dyDescent="0.35">
      <c r="A1745" s="49" t="s">
        <v>8046</v>
      </c>
      <c r="B1745" s="49" t="s">
        <v>2937</v>
      </c>
      <c r="C1745" s="49" t="s">
        <v>8047</v>
      </c>
      <c r="D1745" s="49" t="s">
        <v>1264</v>
      </c>
      <c r="E1745" s="49" t="s">
        <v>2908</v>
      </c>
      <c r="F1745" s="49" t="s">
        <v>2939</v>
      </c>
      <c r="G1745" s="49" t="s">
        <v>2826</v>
      </c>
      <c r="H1745" s="49" t="s">
        <v>980</v>
      </c>
      <c r="I1745" s="50">
        <v>35226</v>
      </c>
      <c r="J1745" s="50">
        <v>35559</v>
      </c>
      <c r="K1745" s="50">
        <v>38330</v>
      </c>
      <c r="M1745" s="49" t="s">
        <v>3477</v>
      </c>
    </row>
    <row r="1746" spans="1:13" x14ac:dyDescent="0.35">
      <c r="A1746" s="49" t="s">
        <v>8048</v>
      </c>
      <c r="B1746" s="49" t="s">
        <v>8049</v>
      </c>
      <c r="C1746" s="49" t="s">
        <v>8050</v>
      </c>
      <c r="D1746" s="49" t="s">
        <v>1264</v>
      </c>
      <c r="E1746" s="49" t="s">
        <v>7057</v>
      </c>
      <c r="F1746" s="49" t="s">
        <v>8051</v>
      </c>
      <c r="G1746" s="49" t="s">
        <v>2826</v>
      </c>
      <c r="H1746" s="49" t="s">
        <v>973</v>
      </c>
      <c r="I1746" s="50">
        <v>38525</v>
      </c>
      <c r="J1746" s="50">
        <v>38639</v>
      </c>
      <c r="K1746" s="50">
        <v>39368</v>
      </c>
      <c r="M1746" s="49" t="s">
        <v>3270</v>
      </c>
    </row>
    <row r="1747" spans="1:13" x14ac:dyDescent="0.35">
      <c r="A1747" s="49" t="s">
        <v>8052</v>
      </c>
      <c r="B1747" s="49" t="s">
        <v>8053</v>
      </c>
      <c r="C1747" s="49" t="s">
        <v>8054</v>
      </c>
      <c r="D1747" s="49" t="s">
        <v>1264</v>
      </c>
      <c r="E1747" s="49" t="s">
        <v>2774</v>
      </c>
      <c r="F1747" s="49" t="s">
        <v>3405</v>
      </c>
      <c r="G1747" s="49" t="s">
        <v>2787</v>
      </c>
      <c r="H1747" s="49" t="s">
        <v>973</v>
      </c>
      <c r="I1747" s="50">
        <v>41093</v>
      </c>
      <c r="J1747" s="50">
        <v>41130</v>
      </c>
      <c r="K1747" s="50">
        <v>44051</v>
      </c>
      <c r="M1747" s="49" t="s">
        <v>8055</v>
      </c>
    </row>
    <row r="1748" spans="1:13" x14ac:dyDescent="0.35">
      <c r="A1748" s="49" t="s">
        <v>8056</v>
      </c>
      <c r="B1748" s="49" t="s">
        <v>8057</v>
      </c>
      <c r="C1748" s="49" t="s">
        <v>8058</v>
      </c>
      <c r="D1748" s="49" t="s">
        <v>1264</v>
      </c>
      <c r="E1748" s="49" t="s">
        <v>2908</v>
      </c>
      <c r="F1748" s="49" t="s">
        <v>3010</v>
      </c>
      <c r="G1748" s="49" t="s">
        <v>2787</v>
      </c>
      <c r="H1748" s="49" t="s">
        <v>980</v>
      </c>
      <c r="I1748" s="50">
        <v>37847</v>
      </c>
      <c r="J1748" s="50">
        <v>38183</v>
      </c>
      <c r="K1748" s="50">
        <v>40008</v>
      </c>
      <c r="M1748" s="49" t="s">
        <v>3100</v>
      </c>
    </row>
    <row r="1749" spans="1:13" x14ac:dyDescent="0.35">
      <c r="A1749" s="49" t="s">
        <v>8059</v>
      </c>
      <c r="B1749" s="49" t="s">
        <v>8060</v>
      </c>
      <c r="C1749" s="49" t="s">
        <v>2813</v>
      </c>
      <c r="D1749" s="49" t="s">
        <v>1264</v>
      </c>
      <c r="E1749" s="49" t="s">
        <v>2908</v>
      </c>
      <c r="F1749" s="49" t="s">
        <v>2837</v>
      </c>
      <c r="G1749" s="49" t="s">
        <v>2787</v>
      </c>
      <c r="H1749" s="49" t="s">
        <v>973</v>
      </c>
      <c r="I1749" s="50">
        <v>37902</v>
      </c>
      <c r="J1749" s="50">
        <v>38183</v>
      </c>
      <c r="K1749" s="50">
        <v>40008</v>
      </c>
      <c r="M1749" s="49" t="s">
        <v>8061</v>
      </c>
    </row>
    <row r="1750" spans="1:13" x14ac:dyDescent="0.35">
      <c r="A1750" s="49" t="s">
        <v>8062</v>
      </c>
      <c r="B1750" s="49" t="s">
        <v>8063</v>
      </c>
      <c r="C1750" s="49" t="s">
        <v>3280</v>
      </c>
      <c r="D1750" s="49" t="s">
        <v>1264</v>
      </c>
      <c r="E1750" s="49" t="s">
        <v>3748</v>
      </c>
      <c r="F1750" s="49" t="s">
        <v>2792</v>
      </c>
      <c r="G1750" s="49" t="s">
        <v>2826</v>
      </c>
      <c r="I1750" s="50">
        <v>38469</v>
      </c>
      <c r="J1750" s="50">
        <v>38650</v>
      </c>
      <c r="M1750" s="49" t="s">
        <v>8064</v>
      </c>
    </row>
    <row r="1751" spans="1:13" ht="29" x14ac:dyDescent="0.35">
      <c r="A1751" s="49" t="s">
        <v>8065</v>
      </c>
      <c r="B1751" s="51" t="s">
        <v>8066</v>
      </c>
      <c r="C1751" s="49" t="s">
        <v>8067</v>
      </c>
      <c r="D1751" s="49" t="s">
        <v>1264</v>
      </c>
      <c r="E1751" s="49" t="s">
        <v>2774</v>
      </c>
      <c r="F1751" s="49" t="s">
        <v>3598</v>
      </c>
      <c r="G1751" s="49" t="s">
        <v>2826</v>
      </c>
      <c r="H1751" s="49" t="s">
        <v>973</v>
      </c>
      <c r="I1751" s="50">
        <v>38216</v>
      </c>
      <c r="J1751" s="50">
        <v>38650</v>
      </c>
      <c r="K1751" s="50">
        <v>42667</v>
      </c>
      <c r="M1751" s="49" t="s">
        <v>8068</v>
      </c>
    </row>
    <row r="1752" spans="1:13" x14ac:dyDescent="0.35">
      <c r="A1752" s="49" t="s">
        <v>8069</v>
      </c>
      <c r="B1752" s="49" t="s">
        <v>5042</v>
      </c>
      <c r="C1752" s="49" t="s">
        <v>3373</v>
      </c>
      <c r="D1752" s="49" t="s">
        <v>1264</v>
      </c>
      <c r="E1752" s="49" t="s">
        <v>2774</v>
      </c>
      <c r="F1752" s="49" t="s">
        <v>2900</v>
      </c>
      <c r="G1752" s="49" t="s">
        <v>2787</v>
      </c>
      <c r="H1752" s="49" t="s">
        <v>980</v>
      </c>
      <c r="I1752" s="50">
        <v>40294</v>
      </c>
      <c r="J1752" s="50">
        <v>40679</v>
      </c>
      <c r="K1752" s="50">
        <v>43014</v>
      </c>
      <c r="M1752" s="49" t="s">
        <v>8070</v>
      </c>
    </row>
    <row r="1753" spans="1:13" x14ac:dyDescent="0.35">
      <c r="A1753" s="49" t="s">
        <v>8071</v>
      </c>
      <c r="B1753" s="49" t="s">
        <v>8072</v>
      </c>
      <c r="C1753" s="49" t="s">
        <v>8073</v>
      </c>
      <c r="D1753" s="49" t="s">
        <v>1264</v>
      </c>
      <c r="E1753" s="49" t="s">
        <v>2908</v>
      </c>
      <c r="F1753" s="49" t="s">
        <v>2837</v>
      </c>
      <c r="G1753" s="49" t="s">
        <v>2787</v>
      </c>
      <c r="H1753" s="49" t="s">
        <v>980</v>
      </c>
      <c r="I1753" s="50">
        <v>29321</v>
      </c>
      <c r="J1753" s="50">
        <v>29382</v>
      </c>
      <c r="K1753" s="50">
        <v>39846</v>
      </c>
      <c r="M1753" s="49" t="s">
        <v>8074</v>
      </c>
    </row>
    <row r="1754" spans="1:13" x14ac:dyDescent="0.35">
      <c r="A1754" s="49" t="s">
        <v>8075</v>
      </c>
      <c r="B1754" s="49" t="s">
        <v>8076</v>
      </c>
      <c r="C1754" s="49" t="s">
        <v>2943</v>
      </c>
      <c r="D1754" s="49" t="s">
        <v>1264</v>
      </c>
      <c r="E1754" s="49" t="s">
        <v>2908</v>
      </c>
      <c r="F1754" s="49" t="s">
        <v>2939</v>
      </c>
      <c r="G1754" s="49" t="s">
        <v>2787</v>
      </c>
      <c r="H1754" s="49" t="s">
        <v>980</v>
      </c>
      <c r="I1754" s="50">
        <v>40014</v>
      </c>
      <c r="J1754" s="50">
        <v>39958</v>
      </c>
      <c r="K1754" s="50">
        <v>41783</v>
      </c>
      <c r="M1754" s="49" t="s">
        <v>3026</v>
      </c>
    </row>
    <row r="1755" spans="1:13" x14ac:dyDescent="0.35">
      <c r="A1755" s="49" t="s">
        <v>8077</v>
      </c>
      <c r="B1755" s="49" t="s">
        <v>8078</v>
      </c>
      <c r="C1755" s="49" t="s">
        <v>8067</v>
      </c>
      <c r="D1755" s="49" t="s">
        <v>1264</v>
      </c>
      <c r="E1755" s="49" t="s">
        <v>2774</v>
      </c>
      <c r="F1755" s="49" t="s">
        <v>3598</v>
      </c>
      <c r="G1755" s="49" t="s">
        <v>2826</v>
      </c>
      <c r="H1755" s="49" t="s">
        <v>2827</v>
      </c>
      <c r="I1755" s="50">
        <v>38810</v>
      </c>
      <c r="J1755" s="50">
        <v>38973</v>
      </c>
      <c r="K1755" s="50">
        <v>42991</v>
      </c>
      <c r="M1755" s="49" t="s">
        <v>8079</v>
      </c>
    </row>
    <row r="1756" spans="1:13" x14ac:dyDescent="0.35">
      <c r="A1756" s="49" t="s">
        <v>8080</v>
      </c>
      <c r="B1756" s="49" t="s">
        <v>8081</v>
      </c>
      <c r="C1756" s="49" t="s">
        <v>8082</v>
      </c>
      <c r="D1756" s="49" t="s">
        <v>1264</v>
      </c>
      <c r="E1756" s="49" t="s">
        <v>2774</v>
      </c>
      <c r="F1756" s="49" t="s">
        <v>3509</v>
      </c>
      <c r="G1756" s="49" t="s">
        <v>2787</v>
      </c>
      <c r="H1756" s="49" t="s">
        <v>2827</v>
      </c>
      <c r="I1756" s="50">
        <v>42124</v>
      </c>
      <c r="J1756" s="50">
        <v>42479</v>
      </c>
      <c r="K1756" s="50">
        <v>43573</v>
      </c>
      <c r="M1756" s="49" t="s">
        <v>8083</v>
      </c>
    </row>
    <row r="1757" spans="1:13" x14ac:dyDescent="0.35">
      <c r="A1757" s="49" t="s">
        <v>8084</v>
      </c>
      <c r="B1757" s="49" t="s">
        <v>3449</v>
      </c>
      <c r="C1757" s="49" t="s">
        <v>8085</v>
      </c>
      <c r="D1757" s="49" t="s">
        <v>1264</v>
      </c>
      <c r="E1757" s="49" t="s">
        <v>2774</v>
      </c>
      <c r="F1757" s="49" t="s">
        <v>2900</v>
      </c>
      <c r="G1757" s="49" t="s">
        <v>2975</v>
      </c>
      <c r="H1757" s="49" t="s">
        <v>3229</v>
      </c>
      <c r="I1757" s="50">
        <v>40714</v>
      </c>
      <c r="J1757" s="50">
        <v>40745</v>
      </c>
      <c r="K1757" s="50">
        <v>42935</v>
      </c>
      <c r="M1757" s="49" t="s">
        <v>8086</v>
      </c>
    </row>
    <row r="1758" spans="1:13" x14ac:dyDescent="0.35">
      <c r="A1758" s="49" t="s">
        <v>8087</v>
      </c>
      <c r="B1758" s="49" t="s">
        <v>8088</v>
      </c>
      <c r="C1758" s="49" t="s">
        <v>3280</v>
      </c>
      <c r="D1758" s="49" t="s">
        <v>1264</v>
      </c>
      <c r="E1758" s="49" t="s">
        <v>3748</v>
      </c>
      <c r="F1758" s="49" t="s">
        <v>2786</v>
      </c>
      <c r="G1758" s="49" t="s">
        <v>2826</v>
      </c>
      <c r="H1758" s="49" t="s">
        <v>8</v>
      </c>
      <c r="I1758" s="50">
        <v>35266</v>
      </c>
      <c r="J1758" s="50">
        <v>35297</v>
      </c>
    </row>
    <row r="1759" spans="1:13" x14ac:dyDescent="0.35">
      <c r="A1759" s="49" t="s">
        <v>8089</v>
      </c>
      <c r="B1759" s="49" t="s">
        <v>8090</v>
      </c>
      <c r="C1759" s="49" t="s">
        <v>8091</v>
      </c>
      <c r="D1759" s="49" t="s">
        <v>1264</v>
      </c>
      <c r="E1759" s="49" t="s">
        <v>7057</v>
      </c>
      <c r="F1759" s="49" t="s">
        <v>2825</v>
      </c>
      <c r="G1759" s="49" t="s">
        <v>2787</v>
      </c>
      <c r="H1759" s="49" t="s">
        <v>2827</v>
      </c>
      <c r="I1759" s="50">
        <v>40668</v>
      </c>
      <c r="J1759" s="50">
        <v>40749</v>
      </c>
      <c r="K1759" s="50">
        <v>42565</v>
      </c>
      <c r="M1759" s="49" t="s">
        <v>8092</v>
      </c>
    </row>
    <row r="1760" spans="1:13" x14ac:dyDescent="0.35">
      <c r="A1760" s="49" t="s">
        <v>8093</v>
      </c>
      <c r="B1760" s="49" t="s">
        <v>8094</v>
      </c>
      <c r="C1760" s="49" t="s">
        <v>8025</v>
      </c>
      <c r="D1760" s="49" t="s">
        <v>1264</v>
      </c>
      <c r="E1760" s="49" t="s">
        <v>2908</v>
      </c>
      <c r="F1760" s="49" t="s">
        <v>2837</v>
      </c>
      <c r="G1760" s="49" t="s">
        <v>2826</v>
      </c>
      <c r="H1760" s="49" t="s">
        <v>980</v>
      </c>
      <c r="I1760" s="50">
        <v>32779</v>
      </c>
      <c r="J1760" s="50">
        <v>33032</v>
      </c>
      <c r="K1760" s="50">
        <v>39986</v>
      </c>
      <c r="M1760" s="49" t="s">
        <v>8095</v>
      </c>
    </row>
    <row r="1761" spans="1:13" x14ac:dyDescent="0.35">
      <c r="A1761" s="49" t="s">
        <v>8096</v>
      </c>
      <c r="B1761" s="49" t="s">
        <v>8097</v>
      </c>
      <c r="C1761" s="49" t="s">
        <v>3087</v>
      </c>
      <c r="D1761" s="49" t="s">
        <v>1264</v>
      </c>
      <c r="E1761" s="49" t="s">
        <v>2974</v>
      </c>
      <c r="F1761" s="49" t="s">
        <v>2900</v>
      </c>
      <c r="G1761" s="49" t="s">
        <v>2975</v>
      </c>
      <c r="H1761" s="49" t="s">
        <v>980</v>
      </c>
      <c r="I1761" s="50">
        <v>39890</v>
      </c>
      <c r="J1761" s="50">
        <v>39993</v>
      </c>
      <c r="K1761" s="50">
        <v>41088</v>
      </c>
      <c r="M1761" s="49" t="s">
        <v>8098</v>
      </c>
    </row>
    <row r="1762" spans="1:13" x14ac:dyDescent="0.35">
      <c r="A1762" s="49" t="s">
        <v>8099</v>
      </c>
      <c r="B1762" s="49" t="s">
        <v>8099</v>
      </c>
      <c r="C1762" s="49" t="s">
        <v>2943</v>
      </c>
      <c r="D1762" s="49" t="s">
        <v>1264</v>
      </c>
      <c r="E1762" s="49" t="s">
        <v>2908</v>
      </c>
      <c r="F1762" s="49" t="s">
        <v>2939</v>
      </c>
      <c r="G1762" s="49" t="s">
        <v>2826</v>
      </c>
      <c r="H1762" s="49" t="s">
        <v>980</v>
      </c>
      <c r="J1762" s="50">
        <v>38989</v>
      </c>
      <c r="K1762" s="50">
        <v>40814</v>
      </c>
      <c r="M1762" s="49" t="s">
        <v>8100</v>
      </c>
    </row>
    <row r="1763" spans="1:13" x14ac:dyDescent="0.35">
      <c r="A1763" s="49" t="s">
        <v>8101</v>
      </c>
      <c r="B1763" s="49" t="s">
        <v>8102</v>
      </c>
      <c r="C1763" s="49" t="s">
        <v>3909</v>
      </c>
      <c r="D1763" s="49" t="s">
        <v>1264</v>
      </c>
      <c r="E1763" s="49" t="s">
        <v>2774</v>
      </c>
      <c r="F1763" s="49" t="s">
        <v>2825</v>
      </c>
      <c r="G1763" s="49" t="s">
        <v>2787</v>
      </c>
      <c r="H1763" s="49" t="s">
        <v>2827</v>
      </c>
      <c r="I1763" s="50">
        <v>40345</v>
      </c>
      <c r="J1763" s="50">
        <v>40374</v>
      </c>
      <c r="K1763" s="50">
        <v>43637</v>
      </c>
      <c r="M1763" s="49" t="s">
        <v>8103</v>
      </c>
    </row>
    <row r="1764" spans="1:13" x14ac:dyDescent="0.35">
      <c r="A1764" s="49" t="s">
        <v>8104</v>
      </c>
      <c r="B1764" s="49" t="s">
        <v>8105</v>
      </c>
      <c r="C1764" s="49" t="s">
        <v>8106</v>
      </c>
      <c r="D1764" s="49" t="s">
        <v>1264</v>
      </c>
      <c r="E1764" s="49" t="s">
        <v>2974</v>
      </c>
      <c r="F1764" s="49" t="s">
        <v>2825</v>
      </c>
      <c r="G1764" s="49" t="s">
        <v>2787</v>
      </c>
      <c r="H1764" s="49" t="s">
        <v>973</v>
      </c>
      <c r="I1764" s="50">
        <v>37636</v>
      </c>
      <c r="J1764" s="50">
        <v>38215</v>
      </c>
      <c r="K1764" s="50">
        <v>39310</v>
      </c>
      <c r="M1764" s="49" t="s">
        <v>8107</v>
      </c>
    </row>
    <row r="1765" spans="1:13" x14ac:dyDescent="0.35">
      <c r="A1765" s="49" t="s">
        <v>8108</v>
      </c>
      <c r="C1765" s="49" t="s">
        <v>8109</v>
      </c>
      <c r="D1765" s="49" t="s">
        <v>1264</v>
      </c>
      <c r="E1765" s="49" t="s">
        <v>7057</v>
      </c>
      <c r="F1765" s="49" t="s">
        <v>2825</v>
      </c>
      <c r="G1765" s="49" t="s">
        <v>2776</v>
      </c>
      <c r="H1765" s="49" t="s">
        <v>2827</v>
      </c>
      <c r="I1765" s="50">
        <v>41477</v>
      </c>
      <c r="M1765" s="49" t="s">
        <v>8110</v>
      </c>
    </row>
    <row r="1766" spans="1:13" x14ac:dyDescent="0.35">
      <c r="A1766" s="49" t="s">
        <v>8111</v>
      </c>
      <c r="B1766" s="49" t="s">
        <v>8112</v>
      </c>
      <c r="C1766" s="49" t="s">
        <v>8113</v>
      </c>
      <c r="D1766" s="49" t="s">
        <v>1264</v>
      </c>
      <c r="E1766" s="49" t="s">
        <v>2908</v>
      </c>
      <c r="F1766" s="49" t="s">
        <v>2939</v>
      </c>
      <c r="G1766" s="49" t="s">
        <v>2787</v>
      </c>
      <c r="H1766" s="49" t="s">
        <v>3229</v>
      </c>
      <c r="I1766" s="50">
        <v>38432</v>
      </c>
      <c r="J1766" s="50">
        <v>39001</v>
      </c>
      <c r="K1766" s="50">
        <v>40826</v>
      </c>
      <c r="M1766" s="49" t="s">
        <v>8114</v>
      </c>
    </row>
    <row r="1767" spans="1:13" x14ac:dyDescent="0.35">
      <c r="A1767" s="49" t="s">
        <v>8115</v>
      </c>
      <c r="B1767" s="49" t="s">
        <v>8116</v>
      </c>
      <c r="C1767" s="49" t="s">
        <v>7922</v>
      </c>
      <c r="D1767" s="49" t="s">
        <v>1264</v>
      </c>
      <c r="E1767" s="49" t="s">
        <v>2908</v>
      </c>
      <c r="F1767" s="49" t="s">
        <v>2939</v>
      </c>
      <c r="G1767" s="49" t="s">
        <v>2826</v>
      </c>
      <c r="H1767" s="49" t="s">
        <v>980</v>
      </c>
      <c r="I1767" s="50">
        <v>37743</v>
      </c>
      <c r="J1767" s="50">
        <v>36039</v>
      </c>
      <c r="K1767" s="50">
        <v>38562</v>
      </c>
      <c r="M1767" s="49" t="s">
        <v>3477</v>
      </c>
    </row>
    <row r="1768" spans="1:13" x14ac:dyDescent="0.35">
      <c r="A1768" s="49" t="s">
        <v>8117</v>
      </c>
      <c r="B1768" s="49" t="s">
        <v>8118</v>
      </c>
      <c r="C1768" s="49" t="s">
        <v>8119</v>
      </c>
      <c r="D1768" s="49" t="s">
        <v>1264</v>
      </c>
      <c r="E1768" s="49" t="s">
        <v>7057</v>
      </c>
      <c r="F1768" s="49" t="s">
        <v>2825</v>
      </c>
      <c r="G1768" s="49" t="s">
        <v>2787</v>
      </c>
      <c r="H1768" s="49" t="s">
        <v>2827</v>
      </c>
      <c r="I1768" s="50">
        <v>39927</v>
      </c>
      <c r="J1768" s="50">
        <v>40007</v>
      </c>
      <c r="K1768" s="50">
        <v>42569</v>
      </c>
      <c r="M1768" s="49" t="s">
        <v>8120</v>
      </c>
    </row>
    <row r="1769" spans="1:13" x14ac:dyDescent="0.35">
      <c r="A1769" s="49" t="s">
        <v>8121</v>
      </c>
      <c r="B1769" s="49" t="s">
        <v>3596</v>
      </c>
      <c r="C1769" s="49" t="s">
        <v>3597</v>
      </c>
      <c r="D1769" s="49" t="s">
        <v>1264</v>
      </c>
      <c r="E1769" s="49" t="s">
        <v>2774</v>
      </c>
      <c r="F1769" s="49" t="s">
        <v>2825</v>
      </c>
      <c r="G1769" s="49" t="s">
        <v>2826</v>
      </c>
      <c r="H1769" s="49" t="s">
        <v>2827</v>
      </c>
      <c r="I1769" s="50">
        <v>38656</v>
      </c>
      <c r="J1769" s="50">
        <v>39003</v>
      </c>
      <c r="K1769" s="50">
        <v>42289</v>
      </c>
      <c r="M1769" s="49" t="s">
        <v>8122</v>
      </c>
    </row>
    <row r="1770" spans="1:13" x14ac:dyDescent="0.35">
      <c r="A1770" s="49" t="s">
        <v>8123</v>
      </c>
      <c r="B1770" s="49" t="s">
        <v>8124</v>
      </c>
      <c r="C1770" s="49" t="s">
        <v>8125</v>
      </c>
      <c r="D1770" s="49" t="s">
        <v>1264</v>
      </c>
      <c r="E1770" s="49" t="s">
        <v>2908</v>
      </c>
      <c r="F1770" s="49" t="s">
        <v>2837</v>
      </c>
      <c r="G1770" s="49" t="s">
        <v>2787</v>
      </c>
      <c r="H1770" s="49" t="s">
        <v>980</v>
      </c>
      <c r="I1770" s="50">
        <v>38702</v>
      </c>
      <c r="J1770" s="50">
        <v>39003</v>
      </c>
      <c r="K1770" s="50">
        <v>40828</v>
      </c>
      <c r="M1770" s="49" t="s">
        <v>8126</v>
      </c>
    </row>
    <row r="1771" spans="1:13" x14ac:dyDescent="0.35">
      <c r="A1771" s="49" t="s">
        <v>8127</v>
      </c>
      <c r="B1771" s="49" t="s">
        <v>8128</v>
      </c>
      <c r="C1771" s="49" t="s">
        <v>8129</v>
      </c>
      <c r="D1771" s="49" t="s">
        <v>1264</v>
      </c>
      <c r="E1771" s="49" t="s">
        <v>2908</v>
      </c>
      <c r="F1771" s="49" t="s">
        <v>2837</v>
      </c>
      <c r="G1771" s="49" t="s">
        <v>2787</v>
      </c>
      <c r="H1771" s="49" t="s">
        <v>980</v>
      </c>
      <c r="I1771" s="50">
        <v>34758</v>
      </c>
      <c r="J1771" s="50">
        <v>34905</v>
      </c>
      <c r="K1771" s="50">
        <v>40854</v>
      </c>
      <c r="M1771" s="49" t="s">
        <v>8030</v>
      </c>
    </row>
    <row r="1772" spans="1:13" x14ac:dyDescent="0.35">
      <c r="A1772" s="49" t="s">
        <v>8130</v>
      </c>
      <c r="B1772" s="49" t="s">
        <v>5153</v>
      </c>
      <c r="C1772" s="49" t="s">
        <v>5154</v>
      </c>
      <c r="D1772" s="49" t="s">
        <v>1264</v>
      </c>
      <c r="E1772" s="49" t="s">
        <v>7057</v>
      </c>
      <c r="F1772" s="49" t="s">
        <v>2825</v>
      </c>
      <c r="G1772" s="49" t="s">
        <v>2787</v>
      </c>
      <c r="H1772" s="49" t="s">
        <v>2827</v>
      </c>
      <c r="I1772" s="50">
        <v>39936</v>
      </c>
      <c r="J1772" s="50">
        <v>40018</v>
      </c>
      <c r="K1772" s="50">
        <v>42705</v>
      </c>
      <c r="M1772" s="49" t="s">
        <v>8131</v>
      </c>
    </row>
    <row r="1773" spans="1:13" x14ac:dyDescent="0.35">
      <c r="A1773" s="49" t="s">
        <v>8132</v>
      </c>
      <c r="B1773" s="49" t="s">
        <v>8133</v>
      </c>
      <c r="C1773" s="49" t="s">
        <v>3120</v>
      </c>
      <c r="D1773" s="49" t="s">
        <v>1264</v>
      </c>
      <c r="E1773" s="49" t="s">
        <v>2774</v>
      </c>
      <c r="F1773" s="49" t="s">
        <v>2825</v>
      </c>
      <c r="G1773" s="49" t="s">
        <v>2826</v>
      </c>
      <c r="H1773" s="49" t="s">
        <v>2827</v>
      </c>
      <c r="I1773" s="50">
        <v>40668</v>
      </c>
      <c r="J1773" s="50">
        <v>40738</v>
      </c>
      <c r="K1773" s="50">
        <v>44025</v>
      </c>
      <c r="M1773" s="49" t="s">
        <v>8134</v>
      </c>
    </row>
    <row r="1774" spans="1:13" x14ac:dyDescent="0.35">
      <c r="A1774" s="49" t="s">
        <v>8135</v>
      </c>
      <c r="B1774" s="49" t="s">
        <v>8136</v>
      </c>
      <c r="C1774" s="49" t="s">
        <v>8137</v>
      </c>
      <c r="D1774" s="49" t="s">
        <v>1264</v>
      </c>
      <c r="E1774" s="49" t="s">
        <v>2774</v>
      </c>
      <c r="F1774" s="49" t="s">
        <v>2825</v>
      </c>
      <c r="G1774" s="49" t="s">
        <v>2826</v>
      </c>
      <c r="H1774" s="49" t="s">
        <v>973</v>
      </c>
      <c r="I1774" s="50">
        <v>35635</v>
      </c>
      <c r="M1774" s="49" t="s">
        <v>8138</v>
      </c>
    </row>
    <row r="1775" spans="1:13" x14ac:dyDescent="0.35">
      <c r="A1775" s="49" t="s">
        <v>8139</v>
      </c>
      <c r="B1775" s="49" t="s">
        <v>8140</v>
      </c>
      <c r="C1775" s="49" t="s">
        <v>3280</v>
      </c>
      <c r="D1775" s="49" t="s">
        <v>1264</v>
      </c>
      <c r="E1775" s="49" t="s">
        <v>3748</v>
      </c>
      <c r="F1775" s="49" t="s">
        <v>2792</v>
      </c>
      <c r="G1775" s="49" t="s">
        <v>2826</v>
      </c>
      <c r="H1775" s="49" t="s">
        <v>980</v>
      </c>
      <c r="I1775" s="50">
        <v>38238</v>
      </c>
      <c r="J1775" s="50">
        <v>38238</v>
      </c>
    </row>
    <row r="1776" spans="1:13" x14ac:dyDescent="0.35">
      <c r="A1776" s="49" t="s">
        <v>8141</v>
      </c>
      <c r="B1776" s="49" t="s">
        <v>8142</v>
      </c>
      <c r="C1776" s="49" t="s">
        <v>3280</v>
      </c>
      <c r="D1776" s="49" t="s">
        <v>1264</v>
      </c>
      <c r="E1776" s="49" t="s">
        <v>3748</v>
      </c>
      <c r="F1776" s="49" t="s">
        <v>2792</v>
      </c>
      <c r="G1776" s="49" t="s">
        <v>2826</v>
      </c>
      <c r="H1776" s="49" t="s">
        <v>980</v>
      </c>
      <c r="I1776" s="50">
        <v>38238</v>
      </c>
      <c r="J1776" s="50">
        <v>38238</v>
      </c>
    </row>
    <row r="1777" spans="1:13" x14ac:dyDescent="0.35">
      <c r="A1777" s="49" t="s">
        <v>8143</v>
      </c>
      <c r="B1777" s="49" t="s">
        <v>8144</v>
      </c>
      <c r="C1777" s="49" t="s">
        <v>7087</v>
      </c>
      <c r="D1777" s="49" t="s">
        <v>1264</v>
      </c>
      <c r="E1777" s="49" t="s">
        <v>2774</v>
      </c>
      <c r="F1777" s="49" t="s">
        <v>2825</v>
      </c>
      <c r="G1777" s="49" t="s">
        <v>2826</v>
      </c>
      <c r="H1777" s="49" t="s">
        <v>973</v>
      </c>
      <c r="I1777" s="50">
        <v>38247</v>
      </c>
      <c r="J1777" s="50">
        <v>38383</v>
      </c>
      <c r="K1777" s="50">
        <v>42504</v>
      </c>
      <c r="M1777" s="49" t="s">
        <v>8145</v>
      </c>
    </row>
    <row r="1778" spans="1:13" x14ac:dyDescent="0.35">
      <c r="A1778" s="49" t="s">
        <v>8146</v>
      </c>
      <c r="B1778" s="49" t="s">
        <v>8147</v>
      </c>
      <c r="C1778" s="49" t="s">
        <v>8148</v>
      </c>
      <c r="D1778" s="49" t="s">
        <v>1264</v>
      </c>
      <c r="E1778" s="49" t="s">
        <v>2774</v>
      </c>
      <c r="F1778" s="49" t="s">
        <v>2900</v>
      </c>
      <c r="G1778" s="49" t="s">
        <v>2975</v>
      </c>
      <c r="H1778" s="49" t="s">
        <v>2832</v>
      </c>
      <c r="I1778" s="50">
        <v>40681</v>
      </c>
      <c r="J1778" s="50">
        <v>40739</v>
      </c>
      <c r="K1778" s="50">
        <v>41834</v>
      </c>
      <c r="M1778" s="49" t="s">
        <v>8149</v>
      </c>
    </row>
    <row r="1779" spans="1:13" x14ac:dyDescent="0.35">
      <c r="A1779" s="49" t="s">
        <v>8150</v>
      </c>
      <c r="B1779" s="49" t="s">
        <v>8151</v>
      </c>
      <c r="C1779" s="49" t="s">
        <v>8148</v>
      </c>
      <c r="D1779" s="49" t="s">
        <v>1264</v>
      </c>
      <c r="E1779" s="49" t="s">
        <v>2774</v>
      </c>
      <c r="F1779" s="49" t="s">
        <v>2900</v>
      </c>
      <c r="G1779" s="49" t="s">
        <v>2975</v>
      </c>
      <c r="H1779" s="49" t="s">
        <v>3207</v>
      </c>
      <c r="I1779" s="50">
        <v>40681</v>
      </c>
      <c r="J1779" s="50">
        <v>40739</v>
      </c>
      <c r="K1779" s="50">
        <v>41808</v>
      </c>
      <c r="M1779" s="49" t="s">
        <v>8152</v>
      </c>
    </row>
    <row r="1780" spans="1:13" x14ac:dyDescent="0.35">
      <c r="A1780" s="49" t="s">
        <v>8153</v>
      </c>
      <c r="C1780" s="49" t="s">
        <v>8148</v>
      </c>
      <c r="D1780" s="49" t="s">
        <v>1264</v>
      </c>
      <c r="E1780" s="49" t="s">
        <v>2774</v>
      </c>
      <c r="F1780" s="49" t="s">
        <v>3188</v>
      </c>
      <c r="G1780" s="49" t="s">
        <v>2787</v>
      </c>
      <c r="H1780" s="49" t="s">
        <v>973</v>
      </c>
      <c r="I1780" s="50">
        <v>40684</v>
      </c>
      <c r="J1780" s="50">
        <v>40739</v>
      </c>
      <c r="K1780" s="50">
        <v>41834</v>
      </c>
      <c r="M1780" s="49" t="s">
        <v>8154</v>
      </c>
    </row>
    <row r="1781" spans="1:13" x14ac:dyDescent="0.35">
      <c r="A1781" s="49" t="s">
        <v>8155</v>
      </c>
      <c r="B1781" s="49" t="s">
        <v>8156</v>
      </c>
      <c r="C1781" s="49" t="s">
        <v>8148</v>
      </c>
      <c r="D1781" s="49" t="s">
        <v>1264</v>
      </c>
      <c r="E1781" s="49" t="s">
        <v>2774</v>
      </c>
      <c r="F1781" s="49" t="s">
        <v>2900</v>
      </c>
      <c r="G1781" s="49" t="s">
        <v>2975</v>
      </c>
      <c r="H1781" s="49" t="s">
        <v>2832</v>
      </c>
      <c r="I1781" s="50">
        <v>40681</v>
      </c>
      <c r="J1781" s="50">
        <v>40739</v>
      </c>
      <c r="K1781" s="50">
        <v>41808</v>
      </c>
      <c r="M1781" s="49" t="s">
        <v>8157</v>
      </c>
    </row>
    <row r="1782" spans="1:13" x14ac:dyDescent="0.35">
      <c r="A1782" s="49" t="s">
        <v>8158</v>
      </c>
      <c r="B1782" s="49" t="s">
        <v>8159</v>
      </c>
      <c r="C1782" s="49" t="s">
        <v>8160</v>
      </c>
      <c r="D1782" s="49" t="s">
        <v>1264</v>
      </c>
      <c r="E1782" s="49" t="s">
        <v>2774</v>
      </c>
      <c r="F1782" s="49" t="s">
        <v>2780</v>
      </c>
      <c r="G1782" s="49" t="s">
        <v>2826</v>
      </c>
      <c r="H1782" s="49" t="s">
        <v>980</v>
      </c>
      <c r="I1782" s="50">
        <v>37363</v>
      </c>
      <c r="J1782" s="50">
        <v>38301</v>
      </c>
      <c r="K1782" s="50">
        <v>39396</v>
      </c>
      <c r="M1782" s="49" t="s">
        <v>8161</v>
      </c>
    </row>
    <row r="1783" spans="1:13" x14ac:dyDescent="0.35">
      <c r="A1783" s="49" t="s">
        <v>8162</v>
      </c>
      <c r="B1783" s="49" t="s">
        <v>8163</v>
      </c>
      <c r="C1783" s="49" t="s">
        <v>8164</v>
      </c>
      <c r="D1783" s="49" t="s">
        <v>1264</v>
      </c>
      <c r="E1783" s="49" t="s">
        <v>2908</v>
      </c>
      <c r="F1783" s="49" t="s">
        <v>2939</v>
      </c>
      <c r="G1783" s="49" t="s">
        <v>2787</v>
      </c>
      <c r="H1783" s="49" t="s">
        <v>8</v>
      </c>
      <c r="I1783" s="50">
        <v>28333</v>
      </c>
      <c r="J1783" s="50">
        <v>29046</v>
      </c>
      <c r="K1783" s="50">
        <v>37864</v>
      </c>
      <c r="M1783" s="49" t="s">
        <v>8165</v>
      </c>
    </row>
    <row r="1784" spans="1:13" x14ac:dyDescent="0.35">
      <c r="A1784" s="49" t="s">
        <v>8166</v>
      </c>
      <c r="B1784" s="49" t="s">
        <v>8167</v>
      </c>
      <c r="C1784" s="49" t="s">
        <v>3056</v>
      </c>
      <c r="D1784" s="49" t="s">
        <v>1264</v>
      </c>
      <c r="E1784" s="49" t="s">
        <v>2774</v>
      </c>
      <c r="F1784" s="49" t="s">
        <v>3598</v>
      </c>
      <c r="G1784" s="49" t="s">
        <v>2826</v>
      </c>
      <c r="H1784" s="49" t="s">
        <v>2827</v>
      </c>
      <c r="I1784" s="50">
        <v>37658</v>
      </c>
      <c r="J1784" s="50">
        <v>38243</v>
      </c>
      <c r="K1784" s="50">
        <v>42625</v>
      </c>
      <c r="M1784" s="49" t="s">
        <v>8168</v>
      </c>
    </row>
    <row r="1785" spans="1:13" x14ac:dyDescent="0.35">
      <c r="A1785" s="49" t="s">
        <v>8169</v>
      </c>
      <c r="B1785" s="49" t="s">
        <v>8170</v>
      </c>
      <c r="C1785" s="49" t="s">
        <v>8085</v>
      </c>
      <c r="D1785" s="49" t="s">
        <v>1264</v>
      </c>
      <c r="E1785" s="49" t="s">
        <v>2774</v>
      </c>
      <c r="F1785" s="49" t="s">
        <v>2900</v>
      </c>
      <c r="G1785" s="49" t="s">
        <v>2975</v>
      </c>
      <c r="H1785" s="49" t="s">
        <v>3207</v>
      </c>
      <c r="I1785" s="50">
        <v>40714</v>
      </c>
      <c r="J1785" s="50">
        <v>40745</v>
      </c>
      <c r="K1785" s="50">
        <v>42276</v>
      </c>
      <c r="M1785" s="49" t="s">
        <v>8171</v>
      </c>
    </row>
    <row r="1786" spans="1:13" x14ac:dyDescent="0.35">
      <c r="A1786" s="49" t="s">
        <v>8172</v>
      </c>
      <c r="B1786" s="49" t="s">
        <v>8173</v>
      </c>
      <c r="C1786" s="49" t="s">
        <v>8085</v>
      </c>
      <c r="D1786" s="49" t="s">
        <v>1264</v>
      </c>
      <c r="E1786" s="49" t="s">
        <v>2774</v>
      </c>
      <c r="F1786" s="49" t="s">
        <v>2900</v>
      </c>
      <c r="G1786" s="49" t="s">
        <v>2975</v>
      </c>
      <c r="H1786" s="49" t="s">
        <v>3229</v>
      </c>
      <c r="I1786" s="50">
        <v>40714</v>
      </c>
      <c r="J1786" s="50">
        <v>40745</v>
      </c>
      <c r="K1786" s="50">
        <v>42276</v>
      </c>
      <c r="M1786" s="49" t="s">
        <v>8086</v>
      </c>
    </row>
    <row r="1787" spans="1:13" x14ac:dyDescent="0.35">
      <c r="A1787" s="49" t="s">
        <v>8174</v>
      </c>
      <c r="B1787" s="49" t="s">
        <v>3420</v>
      </c>
      <c r="C1787" s="49" t="s">
        <v>8175</v>
      </c>
      <c r="D1787" s="49" t="s">
        <v>1264</v>
      </c>
      <c r="E1787" s="49" t="s">
        <v>2908</v>
      </c>
      <c r="F1787" s="49" t="s">
        <v>7942</v>
      </c>
      <c r="G1787" s="49" t="s">
        <v>2787</v>
      </c>
      <c r="H1787" s="49" t="s">
        <v>980</v>
      </c>
      <c r="I1787" s="50">
        <v>42017</v>
      </c>
      <c r="J1787" s="50">
        <v>42121</v>
      </c>
      <c r="K1787" s="50">
        <v>43947</v>
      </c>
      <c r="M1787" s="49" t="s">
        <v>8176</v>
      </c>
    </row>
    <row r="1788" spans="1:13" x14ac:dyDescent="0.35">
      <c r="A1788" s="49" t="s">
        <v>8177</v>
      </c>
      <c r="B1788" s="49" t="s">
        <v>8178</v>
      </c>
      <c r="C1788" s="49" t="s">
        <v>3112</v>
      </c>
      <c r="D1788" s="49" t="s">
        <v>1264</v>
      </c>
      <c r="E1788" s="49" t="s">
        <v>2774</v>
      </c>
      <c r="F1788" s="49" t="s">
        <v>2825</v>
      </c>
      <c r="G1788" s="49" t="s">
        <v>2787</v>
      </c>
      <c r="H1788" s="49" t="s">
        <v>2827</v>
      </c>
      <c r="I1788" s="50">
        <v>40029</v>
      </c>
      <c r="J1788" s="50">
        <v>40038</v>
      </c>
      <c r="K1788" s="50">
        <v>44056</v>
      </c>
      <c r="M1788" s="49" t="s">
        <v>8179</v>
      </c>
    </row>
    <row r="1789" spans="1:13" x14ac:dyDescent="0.35">
      <c r="A1789" s="49" t="s">
        <v>8180</v>
      </c>
      <c r="B1789" s="49" t="s">
        <v>8181</v>
      </c>
      <c r="C1789" s="49" t="s">
        <v>3112</v>
      </c>
      <c r="D1789" s="49" t="s">
        <v>1264</v>
      </c>
      <c r="E1789" s="49" t="s">
        <v>2774</v>
      </c>
      <c r="F1789" s="49" t="s">
        <v>2825</v>
      </c>
      <c r="G1789" s="49" t="s">
        <v>2787</v>
      </c>
      <c r="H1789" s="49" t="s">
        <v>2827</v>
      </c>
      <c r="I1789" s="50">
        <v>40029</v>
      </c>
      <c r="J1789" s="50">
        <v>40038</v>
      </c>
      <c r="K1789" s="50">
        <v>42228</v>
      </c>
      <c r="M1789" s="49" t="s">
        <v>8182</v>
      </c>
    </row>
    <row r="1790" spans="1:13" x14ac:dyDescent="0.35">
      <c r="A1790" s="49" t="s">
        <v>8183</v>
      </c>
      <c r="B1790" s="49" t="s">
        <v>8184</v>
      </c>
      <c r="C1790" s="49" t="s">
        <v>3116</v>
      </c>
      <c r="D1790" s="49" t="s">
        <v>1264</v>
      </c>
      <c r="E1790" s="49" t="s">
        <v>2774</v>
      </c>
      <c r="F1790" s="49" t="s">
        <v>2900</v>
      </c>
      <c r="G1790" s="49" t="s">
        <v>2787</v>
      </c>
      <c r="H1790" s="49" t="s">
        <v>980</v>
      </c>
      <c r="I1790" s="50">
        <v>41022</v>
      </c>
      <c r="J1790" s="50">
        <v>41184</v>
      </c>
      <c r="K1790" s="50">
        <v>43373</v>
      </c>
      <c r="M1790" s="49" t="s">
        <v>8185</v>
      </c>
    </row>
    <row r="1791" spans="1:13" x14ac:dyDescent="0.35">
      <c r="A1791" s="49" t="s">
        <v>8186</v>
      </c>
      <c r="B1791" s="49" t="s">
        <v>2891</v>
      </c>
      <c r="C1791" s="49" t="s">
        <v>8187</v>
      </c>
      <c r="D1791" s="49" t="s">
        <v>1264</v>
      </c>
      <c r="E1791" s="49" t="s">
        <v>2908</v>
      </c>
      <c r="F1791" s="49" t="s">
        <v>2837</v>
      </c>
      <c r="G1791" s="49" t="s">
        <v>2787</v>
      </c>
      <c r="H1791" s="49" t="s">
        <v>980</v>
      </c>
      <c r="I1791" s="50">
        <v>39293</v>
      </c>
      <c r="J1791" s="50">
        <v>39293</v>
      </c>
      <c r="K1791" s="50">
        <v>41119</v>
      </c>
      <c r="M1791" s="49" t="s">
        <v>7902</v>
      </c>
    </row>
    <row r="1792" spans="1:13" x14ac:dyDescent="0.35">
      <c r="A1792" s="49" t="s">
        <v>8188</v>
      </c>
      <c r="B1792" s="49" t="s">
        <v>8189</v>
      </c>
      <c r="C1792" s="49" t="s">
        <v>3425</v>
      </c>
      <c r="D1792" s="49" t="s">
        <v>1264</v>
      </c>
      <c r="E1792" s="49" t="s">
        <v>2774</v>
      </c>
      <c r="F1792" s="49" t="s">
        <v>2900</v>
      </c>
      <c r="G1792" s="49" t="s">
        <v>2787</v>
      </c>
      <c r="H1792" s="49" t="s">
        <v>980</v>
      </c>
      <c r="I1792" s="50">
        <v>40743</v>
      </c>
      <c r="J1792" s="50">
        <v>40752</v>
      </c>
      <c r="K1792" s="50">
        <v>44038</v>
      </c>
      <c r="M1792" s="49" t="s">
        <v>8190</v>
      </c>
    </row>
    <row r="1793" spans="1:13" x14ac:dyDescent="0.35">
      <c r="A1793" s="49" t="s">
        <v>8191</v>
      </c>
      <c r="B1793" s="49" t="s">
        <v>3894</v>
      </c>
      <c r="C1793" s="49" t="s">
        <v>8058</v>
      </c>
      <c r="D1793" s="49" t="s">
        <v>1264</v>
      </c>
      <c r="E1793" s="49" t="s">
        <v>2908</v>
      </c>
      <c r="F1793" s="49" t="s">
        <v>3010</v>
      </c>
      <c r="G1793" s="49" t="s">
        <v>2901</v>
      </c>
      <c r="H1793" s="49" t="s">
        <v>980</v>
      </c>
      <c r="I1793" s="50">
        <v>38531</v>
      </c>
      <c r="J1793" s="50">
        <v>39303</v>
      </c>
      <c r="K1793" s="50">
        <v>46202</v>
      </c>
      <c r="M1793" s="49" t="s">
        <v>8192</v>
      </c>
    </row>
    <row r="1794" spans="1:13" x14ac:dyDescent="0.35">
      <c r="A1794" s="49" t="s">
        <v>8193</v>
      </c>
      <c r="B1794" s="49" t="s">
        <v>8194</v>
      </c>
      <c r="C1794" s="49" t="s">
        <v>8195</v>
      </c>
      <c r="D1794" s="49" t="s">
        <v>1264</v>
      </c>
      <c r="E1794" s="49" t="s">
        <v>2908</v>
      </c>
      <c r="F1794" s="49" t="s">
        <v>2939</v>
      </c>
      <c r="G1794" s="49" t="s">
        <v>2787</v>
      </c>
      <c r="H1794" s="49" t="s">
        <v>8</v>
      </c>
      <c r="I1794" s="50">
        <v>33651</v>
      </c>
      <c r="J1794" s="50">
        <v>33735</v>
      </c>
      <c r="K1794" s="50">
        <v>39109</v>
      </c>
      <c r="M1794" s="49" t="s">
        <v>7920</v>
      </c>
    </row>
    <row r="1795" spans="1:13" x14ac:dyDescent="0.35">
      <c r="A1795" s="49" t="s">
        <v>8196</v>
      </c>
      <c r="B1795" s="49" t="s">
        <v>8197</v>
      </c>
      <c r="C1795" s="49" t="s">
        <v>8091</v>
      </c>
      <c r="D1795" s="49" t="s">
        <v>1264</v>
      </c>
      <c r="E1795" s="49" t="s">
        <v>2774</v>
      </c>
      <c r="F1795" s="49" t="s">
        <v>2825</v>
      </c>
      <c r="G1795" s="49" t="s">
        <v>2826</v>
      </c>
      <c r="H1795" s="49" t="s">
        <v>2827</v>
      </c>
      <c r="I1795" s="50">
        <v>40253</v>
      </c>
      <c r="J1795" s="50">
        <v>40455</v>
      </c>
      <c r="K1795" s="50">
        <v>42621</v>
      </c>
      <c r="M1795" s="49" t="s">
        <v>8198</v>
      </c>
    </row>
    <row r="1796" spans="1:13" x14ac:dyDescent="0.35">
      <c r="A1796" s="49" t="s">
        <v>8199</v>
      </c>
      <c r="B1796" s="49" t="s">
        <v>8200</v>
      </c>
      <c r="C1796" s="49" t="s">
        <v>8201</v>
      </c>
      <c r="D1796" s="49" t="s">
        <v>1264</v>
      </c>
      <c r="E1796" s="49" t="s">
        <v>2908</v>
      </c>
      <c r="F1796" s="49" t="s">
        <v>3010</v>
      </c>
      <c r="G1796" s="49" t="s">
        <v>2787</v>
      </c>
      <c r="H1796" s="49" t="s">
        <v>980</v>
      </c>
      <c r="I1796" s="50">
        <v>40248</v>
      </c>
      <c r="J1796" s="50">
        <v>40430</v>
      </c>
      <c r="K1796" s="50">
        <v>42255</v>
      </c>
      <c r="M1796" s="49" t="s">
        <v>8202</v>
      </c>
    </row>
    <row r="1797" spans="1:13" x14ac:dyDescent="0.35">
      <c r="A1797" s="49" t="s">
        <v>8203</v>
      </c>
      <c r="B1797" s="49" t="s">
        <v>3033</v>
      </c>
      <c r="C1797" s="49" t="s">
        <v>8073</v>
      </c>
      <c r="D1797" s="49" t="s">
        <v>1264</v>
      </c>
      <c r="E1797" s="49" t="s">
        <v>2908</v>
      </c>
      <c r="F1797" s="49" t="s">
        <v>2837</v>
      </c>
      <c r="G1797" s="49" t="s">
        <v>2826</v>
      </c>
      <c r="H1797" s="49" t="s">
        <v>980</v>
      </c>
      <c r="I1797" s="50">
        <v>32045</v>
      </c>
      <c r="J1797" s="50">
        <v>32344</v>
      </c>
      <c r="K1797" s="50">
        <v>39629</v>
      </c>
      <c r="M1797" s="49" t="s">
        <v>8204</v>
      </c>
    </row>
    <row r="1798" spans="1:13" x14ac:dyDescent="0.35">
      <c r="A1798" s="49" t="s">
        <v>8205</v>
      </c>
      <c r="B1798" s="49" t="s">
        <v>8206</v>
      </c>
      <c r="C1798" s="49" t="s">
        <v>3158</v>
      </c>
      <c r="D1798" s="49" t="s">
        <v>1264</v>
      </c>
      <c r="E1798" s="49" t="s">
        <v>2908</v>
      </c>
      <c r="F1798" s="49" t="s">
        <v>2939</v>
      </c>
      <c r="G1798" s="49" t="s">
        <v>2787</v>
      </c>
      <c r="H1798" s="49" t="s">
        <v>980</v>
      </c>
      <c r="I1798" s="50">
        <v>38961</v>
      </c>
      <c r="J1798" s="50">
        <v>39314</v>
      </c>
      <c r="K1798" s="50">
        <v>41140</v>
      </c>
      <c r="M1798" s="49" t="s">
        <v>8207</v>
      </c>
    </row>
    <row r="1799" spans="1:13" x14ac:dyDescent="0.35">
      <c r="A1799" s="49" t="s">
        <v>8208</v>
      </c>
      <c r="B1799" s="49" t="s">
        <v>8209</v>
      </c>
      <c r="C1799" s="49" t="s">
        <v>8210</v>
      </c>
      <c r="D1799" s="49" t="s">
        <v>1264</v>
      </c>
      <c r="E1799" s="49" t="s">
        <v>2908</v>
      </c>
      <c r="F1799" s="49" t="s">
        <v>2837</v>
      </c>
      <c r="G1799" s="49" t="s">
        <v>2826</v>
      </c>
      <c r="H1799" s="49" t="s">
        <v>980</v>
      </c>
      <c r="I1799" s="50">
        <v>36563</v>
      </c>
      <c r="J1799" s="50">
        <v>36754</v>
      </c>
      <c r="K1799" s="50">
        <v>38579</v>
      </c>
      <c r="M1799" s="49" t="s">
        <v>8211</v>
      </c>
    </row>
    <row r="1800" spans="1:13" x14ac:dyDescent="0.35">
      <c r="A1800" s="49" t="s">
        <v>8212</v>
      </c>
      <c r="B1800" s="49" t="s">
        <v>8213</v>
      </c>
      <c r="C1800" s="49" t="s">
        <v>7966</v>
      </c>
      <c r="D1800" s="49" t="s">
        <v>1264</v>
      </c>
      <c r="E1800" s="49" t="s">
        <v>2774</v>
      </c>
      <c r="F1800" s="49" t="s">
        <v>2825</v>
      </c>
      <c r="G1800" s="49" t="s">
        <v>2975</v>
      </c>
      <c r="H1800" s="49" t="s">
        <v>2827</v>
      </c>
      <c r="I1800" s="50">
        <v>38713</v>
      </c>
      <c r="J1800" s="50">
        <v>39314</v>
      </c>
      <c r="K1800" s="50">
        <v>42569</v>
      </c>
      <c r="M1800" s="49" t="s">
        <v>8214</v>
      </c>
    </row>
    <row r="1801" spans="1:13" x14ac:dyDescent="0.35">
      <c r="A1801" s="49" t="s">
        <v>8215</v>
      </c>
      <c r="B1801" s="49" t="s">
        <v>8216</v>
      </c>
      <c r="C1801" s="49" t="s">
        <v>8217</v>
      </c>
      <c r="D1801" s="49" t="s">
        <v>1264</v>
      </c>
      <c r="E1801" s="49" t="s">
        <v>2908</v>
      </c>
      <c r="F1801" s="49" t="s">
        <v>2939</v>
      </c>
      <c r="G1801" s="49" t="s">
        <v>2787</v>
      </c>
      <c r="H1801" s="49" t="s">
        <v>980</v>
      </c>
      <c r="I1801" s="50">
        <v>35347</v>
      </c>
      <c r="J1801" s="50">
        <v>35685</v>
      </c>
      <c r="K1801" s="50">
        <v>37510</v>
      </c>
      <c r="M1801" s="49" t="s">
        <v>8218</v>
      </c>
    </row>
    <row r="1802" spans="1:13" x14ac:dyDescent="0.35">
      <c r="A1802" s="49" t="s">
        <v>8219</v>
      </c>
      <c r="B1802" s="49" t="s">
        <v>8220</v>
      </c>
      <c r="C1802" s="49" t="s">
        <v>8221</v>
      </c>
      <c r="D1802" s="49" t="s">
        <v>1264</v>
      </c>
      <c r="E1802" s="49" t="s">
        <v>7057</v>
      </c>
      <c r="F1802" s="49" t="s">
        <v>2825</v>
      </c>
      <c r="G1802" s="49" t="s">
        <v>2787</v>
      </c>
      <c r="H1802" s="49" t="s">
        <v>2827</v>
      </c>
      <c r="I1802" s="50">
        <v>40471</v>
      </c>
      <c r="J1802" s="50">
        <v>40760</v>
      </c>
      <c r="K1802" s="50">
        <v>42356</v>
      </c>
      <c r="M1802" s="49" t="s">
        <v>8222</v>
      </c>
    </row>
    <row r="1803" spans="1:13" x14ac:dyDescent="0.35">
      <c r="A1803" s="49" t="s">
        <v>8223</v>
      </c>
      <c r="B1803" s="49" t="s">
        <v>3063</v>
      </c>
      <c r="C1803" s="49" t="s">
        <v>3087</v>
      </c>
      <c r="D1803" s="49" t="s">
        <v>1264</v>
      </c>
      <c r="E1803" s="49" t="s">
        <v>2908</v>
      </c>
      <c r="F1803" s="49" t="s">
        <v>2837</v>
      </c>
      <c r="G1803" s="49" t="s">
        <v>2826</v>
      </c>
      <c r="H1803" s="49" t="s">
        <v>980</v>
      </c>
      <c r="I1803" s="50">
        <v>39703</v>
      </c>
      <c r="J1803" s="50">
        <v>39703</v>
      </c>
      <c r="K1803" s="50">
        <v>39986</v>
      </c>
      <c r="M1803" s="49" t="s">
        <v>8224</v>
      </c>
    </row>
    <row r="1804" spans="1:13" x14ac:dyDescent="0.35">
      <c r="A1804" s="49" t="s">
        <v>8225</v>
      </c>
      <c r="B1804" s="49" t="s">
        <v>8225</v>
      </c>
      <c r="C1804" s="49" t="s">
        <v>8226</v>
      </c>
      <c r="D1804" s="49" t="s">
        <v>1264</v>
      </c>
      <c r="E1804" s="49" t="s">
        <v>2908</v>
      </c>
      <c r="F1804" s="49" t="s">
        <v>3010</v>
      </c>
      <c r="G1804" s="49" t="s">
        <v>2787</v>
      </c>
      <c r="H1804" s="49" t="s">
        <v>980</v>
      </c>
      <c r="I1804" s="50">
        <v>32675</v>
      </c>
      <c r="J1804" s="50">
        <v>33085</v>
      </c>
      <c r="K1804" s="50">
        <v>39907</v>
      </c>
      <c r="M1804" s="49" t="s">
        <v>4270</v>
      </c>
    </row>
    <row r="1805" spans="1:13" x14ac:dyDescent="0.35">
      <c r="A1805" s="49" t="s">
        <v>8227</v>
      </c>
      <c r="B1805" s="49" t="s">
        <v>8228</v>
      </c>
      <c r="C1805" s="49" t="s">
        <v>8229</v>
      </c>
      <c r="D1805" s="49" t="s">
        <v>1264</v>
      </c>
      <c r="E1805" s="49" t="s">
        <v>2986</v>
      </c>
      <c r="F1805" s="49" t="s">
        <v>2825</v>
      </c>
      <c r="G1805" s="49" t="s">
        <v>2787</v>
      </c>
      <c r="H1805" s="49" t="s">
        <v>2827</v>
      </c>
      <c r="I1805" s="50">
        <v>42627</v>
      </c>
      <c r="J1805" s="50">
        <v>42872</v>
      </c>
      <c r="K1805" s="50">
        <v>43967</v>
      </c>
      <c r="M1805" s="49" t="s">
        <v>8230</v>
      </c>
    </row>
    <row r="1806" spans="1:13" x14ac:dyDescent="0.35">
      <c r="A1806" s="49" t="s">
        <v>8231</v>
      </c>
      <c r="B1806" s="49" t="s">
        <v>8232</v>
      </c>
      <c r="C1806" s="49" t="s">
        <v>8233</v>
      </c>
      <c r="D1806" s="49" t="s">
        <v>1264</v>
      </c>
      <c r="E1806" s="49" t="s">
        <v>2986</v>
      </c>
      <c r="F1806" s="49" t="s">
        <v>2825</v>
      </c>
      <c r="G1806" s="49" t="s">
        <v>2787</v>
      </c>
      <c r="H1806" s="49" t="s">
        <v>2827</v>
      </c>
      <c r="I1806" s="50">
        <v>42668</v>
      </c>
      <c r="J1806" s="50">
        <v>42901</v>
      </c>
      <c r="K1806" s="50">
        <v>43968</v>
      </c>
      <c r="M1806" s="49" t="s">
        <v>3270</v>
      </c>
    </row>
    <row r="1807" spans="1:13" x14ac:dyDescent="0.35">
      <c r="A1807" s="49" t="s">
        <v>8234</v>
      </c>
      <c r="B1807" s="49" t="s">
        <v>8235</v>
      </c>
      <c r="C1807" s="49" t="s">
        <v>8236</v>
      </c>
      <c r="D1807" s="49" t="s">
        <v>1264</v>
      </c>
      <c r="E1807" s="49" t="s">
        <v>2908</v>
      </c>
      <c r="F1807" s="49" t="s">
        <v>2805</v>
      </c>
      <c r="G1807" s="49" t="s">
        <v>2787</v>
      </c>
      <c r="H1807" s="49" t="s">
        <v>864</v>
      </c>
      <c r="I1807" s="50">
        <v>35127</v>
      </c>
      <c r="J1807" s="50">
        <v>35688</v>
      </c>
      <c r="K1807" s="50">
        <v>37513</v>
      </c>
      <c r="M1807" s="49" t="s">
        <v>8237</v>
      </c>
    </row>
    <row r="1808" spans="1:13" x14ac:dyDescent="0.35">
      <c r="A1808" s="49" t="s">
        <v>8238</v>
      </c>
      <c r="B1808" s="49" t="s">
        <v>8239</v>
      </c>
      <c r="C1808" s="49" t="s">
        <v>8240</v>
      </c>
      <c r="D1808" s="49" t="s">
        <v>1264</v>
      </c>
      <c r="E1808" s="49" t="s">
        <v>2908</v>
      </c>
      <c r="F1808" s="49" t="s">
        <v>3010</v>
      </c>
      <c r="G1808" s="49" t="s">
        <v>2826</v>
      </c>
      <c r="H1808" s="49" t="s">
        <v>980</v>
      </c>
      <c r="I1808" s="50">
        <v>38639</v>
      </c>
      <c r="J1808" s="50">
        <v>35689</v>
      </c>
      <c r="K1808" s="50">
        <v>38639</v>
      </c>
      <c r="M1808" s="49" t="s">
        <v>8241</v>
      </c>
    </row>
    <row r="1809" spans="1:13" x14ac:dyDescent="0.35">
      <c r="A1809" s="49" t="s">
        <v>8242</v>
      </c>
      <c r="B1809" s="49" t="s">
        <v>2937</v>
      </c>
      <c r="C1809" s="49" t="s">
        <v>2943</v>
      </c>
      <c r="D1809" s="49" t="s">
        <v>1264</v>
      </c>
      <c r="E1809" s="49" t="s">
        <v>2908</v>
      </c>
      <c r="F1809" s="49" t="s">
        <v>2939</v>
      </c>
      <c r="G1809" s="49" t="s">
        <v>2826</v>
      </c>
      <c r="H1809" s="49" t="s">
        <v>980</v>
      </c>
      <c r="I1809" s="50">
        <v>34995</v>
      </c>
      <c r="J1809" s="50">
        <v>35384</v>
      </c>
      <c r="K1809" s="50">
        <v>40864</v>
      </c>
      <c r="M1809" s="49" t="s">
        <v>8243</v>
      </c>
    </row>
    <row r="1810" spans="1:13" x14ac:dyDescent="0.35">
      <c r="A1810" s="49" t="s">
        <v>8244</v>
      </c>
      <c r="B1810" s="49" t="s">
        <v>8245</v>
      </c>
      <c r="C1810" s="49" t="s">
        <v>8246</v>
      </c>
      <c r="D1810" s="49" t="s">
        <v>1264</v>
      </c>
      <c r="E1810" s="49" t="s">
        <v>2908</v>
      </c>
      <c r="F1810" s="49" t="s">
        <v>2939</v>
      </c>
      <c r="G1810" s="49" t="s">
        <v>2787</v>
      </c>
      <c r="H1810" s="49" t="s">
        <v>8</v>
      </c>
      <c r="I1810" s="50">
        <v>35051</v>
      </c>
      <c r="J1810" s="50">
        <v>35384</v>
      </c>
      <c r="K1810" s="50">
        <v>37209</v>
      </c>
      <c r="M1810" s="49" t="s">
        <v>6129</v>
      </c>
    </row>
    <row r="1811" spans="1:13" x14ac:dyDescent="0.35">
      <c r="A1811" s="49" t="s">
        <v>8247</v>
      </c>
      <c r="B1811" s="49" t="s">
        <v>8248</v>
      </c>
      <c r="C1811" s="49" t="s">
        <v>8195</v>
      </c>
      <c r="D1811" s="49" t="s">
        <v>1264</v>
      </c>
      <c r="E1811" s="49" t="s">
        <v>2908</v>
      </c>
      <c r="F1811" s="49" t="s">
        <v>2939</v>
      </c>
      <c r="G1811" s="49" t="s">
        <v>2787</v>
      </c>
      <c r="H1811" s="49" t="s">
        <v>8</v>
      </c>
      <c r="I1811" s="50">
        <v>35032</v>
      </c>
      <c r="J1811" s="50">
        <v>35384</v>
      </c>
      <c r="K1811" s="50">
        <v>37209</v>
      </c>
      <c r="M1811" s="49" t="s">
        <v>7874</v>
      </c>
    </row>
    <row r="1812" spans="1:13" x14ac:dyDescent="0.35">
      <c r="A1812" s="49" t="s">
        <v>8249</v>
      </c>
      <c r="B1812" s="49" t="s">
        <v>8250</v>
      </c>
      <c r="C1812" s="49" t="s">
        <v>2997</v>
      </c>
      <c r="D1812" s="49" t="s">
        <v>1264</v>
      </c>
      <c r="E1812" s="49" t="s">
        <v>2908</v>
      </c>
      <c r="F1812" s="49" t="s">
        <v>2939</v>
      </c>
      <c r="G1812" s="49" t="s">
        <v>2826</v>
      </c>
      <c r="H1812" s="49" t="s">
        <v>980</v>
      </c>
      <c r="I1812" s="50">
        <v>34841</v>
      </c>
      <c r="J1812" s="50">
        <v>35384</v>
      </c>
      <c r="K1812" s="50">
        <v>38826</v>
      </c>
      <c r="M1812" s="49" t="s">
        <v>3477</v>
      </c>
    </row>
    <row r="1813" spans="1:13" x14ac:dyDescent="0.35">
      <c r="A1813" s="49" t="s">
        <v>8251</v>
      </c>
      <c r="B1813" s="49" t="s">
        <v>8252</v>
      </c>
      <c r="C1813" s="49" t="s">
        <v>8025</v>
      </c>
      <c r="D1813" s="49" t="s">
        <v>1264</v>
      </c>
      <c r="E1813" s="49" t="s">
        <v>2908</v>
      </c>
      <c r="F1813" s="49" t="s">
        <v>2939</v>
      </c>
      <c r="G1813" s="49" t="s">
        <v>2826</v>
      </c>
      <c r="H1813" s="49" t="s">
        <v>980</v>
      </c>
      <c r="I1813" s="50">
        <v>35024</v>
      </c>
      <c r="J1813" s="50">
        <v>35384</v>
      </c>
      <c r="K1813" s="50">
        <v>40024</v>
      </c>
      <c r="M1813" s="49" t="s">
        <v>8253</v>
      </c>
    </row>
    <row r="1814" spans="1:13" x14ac:dyDescent="0.35">
      <c r="A1814" s="49" t="s">
        <v>8254</v>
      </c>
      <c r="B1814" s="49" t="s">
        <v>8255</v>
      </c>
      <c r="C1814" s="49" t="s">
        <v>4207</v>
      </c>
      <c r="D1814" s="49" t="s">
        <v>1264</v>
      </c>
      <c r="E1814" s="49" t="s">
        <v>2908</v>
      </c>
      <c r="F1814" s="49" t="s">
        <v>2939</v>
      </c>
      <c r="G1814" s="49" t="s">
        <v>2826</v>
      </c>
      <c r="H1814" s="49" t="s">
        <v>980</v>
      </c>
      <c r="I1814" s="50">
        <v>35289</v>
      </c>
      <c r="J1814" s="50">
        <v>35394</v>
      </c>
      <c r="K1814" s="50">
        <v>38525</v>
      </c>
      <c r="M1814" s="49" t="s">
        <v>8256</v>
      </c>
    </row>
    <row r="1815" spans="1:13" x14ac:dyDescent="0.35">
      <c r="A1815" s="49" t="s">
        <v>8257</v>
      </c>
      <c r="B1815" s="49" t="s">
        <v>8258</v>
      </c>
      <c r="C1815" s="49" t="s">
        <v>8259</v>
      </c>
      <c r="D1815" s="49" t="s">
        <v>1264</v>
      </c>
      <c r="E1815" s="49" t="s">
        <v>2774</v>
      </c>
      <c r="F1815" s="49" t="s">
        <v>2900</v>
      </c>
      <c r="G1815" s="49" t="s">
        <v>2826</v>
      </c>
      <c r="H1815" s="49" t="s">
        <v>980</v>
      </c>
      <c r="I1815" s="50">
        <v>39647</v>
      </c>
      <c r="M1815" s="49" t="s">
        <v>8260</v>
      </c>
    </row>
    <row r="1816" spans="1:13" x14ac:dyDescent="0.35">
      <c r="A1816" s="49" t="s">
        <v>8261</v>
      </c>
      <c r="B1816" s="49" t="s">
        <v>8262</v>
      </c>
      <c r="C1816" s="49" t="s">
        <v>8263</v>
      </c>
      <c r="D1816" s="49" t="s">
        <v>1264</v>
      </c>
      <c r="E1816" s="49" t="s">
        <v>2774</v>
      </c>
      <c r="F1816" s="49" t="s">
        <v>2825</v>
      </c>
      <c r="G1816" s="49" t="s">
        <v>2826</v>
      </c>
      <c r="H1816" s="49" t="s">
        <v>2827</v>
      </c>
      <c r="I1816" s="50">
        <v>39735</v>
      </c>
      <c r="J1816" s="50">
        <v>39735</v>
      </c>
      <c r="K1816" s="50">
        <v>40829</v>
      </c>
      <c r="M1816" s="49" t="s">
        <v>8264</v>
      </c>
    </row>
    <row r="1817" spans="1:13" x14ac:dyDescent="0.35">
      <c r="A1817" s="49" t="s">
        <v>8265</v>
      </c>
      <c r="B1817" s="49" t="s">
        <v>8266</v>
      </c>
      <c r="C1817" s="49" t="s">
        <v>8263</v>
      </c>
      <c r="D1817" s="49" t="s">
        <v>1264</v>
      </c>
      <c r="E1817" s="49" t="s">
        <v>2774</v>
      </c>
      <c r="F1817" s="49" t="s">
        <v>8267</v>
      </c>
      <c r="G1817" s="49" t="s">
        <v>2975</v>
      </c>
      <c r="H1817" s="49" t="s">
        <v>973</v>
      </c>
      <c r="I1817" s="50">
        <v>39708</v>
      </c>
      <c r="J1817" s="50">
        <v>39735</v>
      </c>
      <c r="K1817" s="50">
        <v>41940</v>
      </c>
      <c r="M1817" s="49" t="s">
        <v>8268</v>
      </c>
    </row>
    <row r="1818" spans="1:13" x14ac:dyDescent="0.35">
      <c r="A1818" s="49" t="s">
        <v>8269</v>
      </c>
      <c r="B1818" s="49" t="s">
        <v>3416</v>
      </c>
      <c r="C1818" s="49" t="s">
        <v>4365</v>
      </c>
      <c r="D1818" s="49" t="s">
        <v>1264</v>
      </c>
      <c r="E1818" s="49" t="s">
        <v>2986</v>
      </c>
      <c r="F1818" s="49" t="s">
        <v>2825</v>
      </c>
      <c r="G1818" s="49" t="s">
        <v>2787</v>
      </c>
      <c r="H1818" s="49" t="s">
        <v>2827</v>
      </c>
      <c r="I1818" s="50">
        <v>42612</v>
      </c>
      <c r="J1818" s="50">
        <v>42885</v>
      </c>
      <c r="K1818" s="50">
        <v>43981</v>
      </c>
      <c r="M1818" s="49" t="s">
        <v>8270</v>
      </c>
    </row>
    <row r="1819" spans="1:13" x14ac:dyDescent="0.35">
      <c r="A1819" s="49" t="s">
        <v>8271</v>
      </c>
      <c r="B1819" s="49" t="s">
        <v>2937</v>
      </c>
      <c r="C1819" s="49" t="s">
        <v>4204</v>
      </c>
      <c r="D1819" s="49" t="s">
        <v>1264</v>
      </c>
      <c r="E1819" s="49" t="s">
        <v>2908</v>
      </c>
      <c r="F1819" s="49" t="s">
        <v>2939</v>
      </c>
      <c r="G1819" s="49" t="s">
        <v>2787</v>
      </c>
      <c r="H1819" s="49" t="s">
        <v>980</v>
      </c>
      <c r="I1819" s="50">
        <v>35096</v>
      </c>
      <c r="J1819" s="50">
        <v>36795</v>
      </c>
      <c r="K1819" s="50">
        <v>39498</v>
      </c>
      <c r="M1819" s="49" t="s">
        <v>3913</v>
      </c>
    </row>
    <row r="1820" spans="1:13" x14ac:dyDescent="0.35">
      <c r="A1820" s="49" t="s">
        <v>8272</v>
      </c>
      <c r="B1820" s="49" t="s">
        <v>3102</v>
      </c>
      <c r="C1820" s="49" t="s">
        <v>8273</v>
      </c>
      <c r="D1820" s="49" t="s">
        <v>1264</v>
      </c>
      <c r="E1820" s="49" t="s">
        <v>2908</v>
      </c>
      <c r="F1820" s="49" t="s">
        <v>2939</v>
      </c>
      <c r="G1820" s="49" t="s">
        <v>2787</v>
      </c>
      <c r="H1820" s="49" t="s">
        <v>8</v>
      </c>
      <c r="I1820" s="50">
        <v>36608</v>
      </c>
      <c r="J1820" s="50">
        <v>36795</v>
      </c>
      <c r="K1820" s="50">
        <v>42130</v>
      </c>
      <c r="M1820" s="49" t="s">
        <v>8274</v>
      </c>
    </row>
    <row r="1821" spans="1:13" x14ac:dyDescent="0.35">
      <c r="A1821" s="49" t="s">
        <v>8275</v>
      </c>
      <c r="B1821" s="49" t="s">
        <v>8276</v>
      </c>
      <c r="C1821" s="49" t="s">
        <v>2857</v>
      </c>
      <c r="D1821" s="49" t="s">
        <v>1264</v>
      </c>
      <c r="E1821" s="49" t="s">
        <v>2908</v>
      </c>
      <c r="F1821" s="49" t="s">
        <v>2837</v>
      </c>
      <c r="G1821" s="49" t="s">
        <v>2787</v>
      </c>
      <c r="H1821" s="49" t="s">
        <v>980</v>
      </c>
      <c r="I1821" s="50">
        <v>37998</v>
      </c>
      <c r="J1821" s="50">
        <v>40066</v>
      </c>
      <c r="K1821" s="50">
        <v>41891</v>
      </c>
      <c r="M1821" s="49" t="s">
        <v>8277</v>
      </c>
    </row>
    <row r="1822" spans="1:13" x14ac:dyDescent="0.35">
      <c r="A1822" s="49" t="s">
        <v>8278</v>
      </c>
      <c r="B1822" s="49" t="s">
        <v>8279</v>
      </c>
      <c r="C1822" s="49" t="s">
        <v>8280</v>
      </c>
      <c r="D1822" s="49" t="s">
        <v>1264</v>
      </c>
      <c r="E1822" s="49" t="s">
        <v>7057</v>
      </c>
      <c r="F1822" s="49" t="s">
        <v>2825</v>
      </c>
      <c r="G1822" s="49" t="s">
        <v>2787</v>
      </c>
      <c r="H1822" s="49" t="s">
        <v>2827</v>
      </c>
      <c r="I1822" s="50">
        <v>39567</v>
      </c>
      <c r="J1822" s="50">
        <v>40066</v>
      </c>
      <c r="K1822" s="50">
        <v>40795</v>
      </c>
      <c r="M1822" s="49" t="s">
        <v>8281</v>
      </c>
    </row>
    <row r="1823" spans="1:13" x14ac:dyDescent="0.35">
      <c r="A1823" s="49" t="s">
        <v>8282</v>
      </c>
      <c r="B1823" s="49" t="s">
        <v>8283</v>
      </c>
      <c r="C1823" s="49" t="s">
        <v>8284</v>
      </c>
      <c r="D1823" s="49" t="s">
        <v>1264</v>
      </c>
      <c r="E1823" s="49" t="s">
        <v>2974</v>
      </c>
      <c r="F1823" s="49" t="s">
        <v>2900</v>
      </c>
      <c r="G1823" s="49" t="s">
        <v>2787</v>
      </c>
      <c r="H1823" s="49" t="s">
        <v>980</v>
      </c>
      <c r="I1823" s="50">
        <v>40029</v>
      </c>
      <c r="J1823" s="50">
        <v>40066</v>
      </c>
      <c r="K1823" s="50">
        <v>41161</v>
      </c>
      <c r="M1823" s="49" t="s">
        <v>8285</v>
      </c>
    </row>
    <row r="1824" spans="1:13" x14ac:dyDescent="0.35">
      <c r="A1824" s="49" t="s">
        <v>8286</v>
      </c>
      <c r="B1824" s="49" t="s">
        <v>8287</v>
      </c>
      <c r="C1824" s="49" t="s">
        <v>8067</v>
      </c>
      <c r="D1824" s="49" t="s">
        <v>1264</v>
      </c>
      <c r="E1824" s="49" t="s">
        <v>2774</v>
      </c>
      <c r="F1824" s="49" t="s">
        <v>2825</v>
      </c>
      <c r="G1824" s="49" t="s">
        <v>2826</v>
      </c>
      <c r="H1824" s="49" t="s">
        <v>2827</v>
      </c>
      <c r="I1824" s="50">
        <v>40009</v>
      </c>
      <c r="J1824" s="50">
        <v>40066</v>
      </c>
      <c r="K1824" s="50">
        <v>41162</v>
      </c>
      <c r="M1824" s="49" t="s">
        <v>8288</v>
      </c>
    </row>
    <row r="1825" spans="1:13" x14ac:dyDescent="0.35">
      <c r="A1825" s="49" t="s">
        <v>8289</v>
      </c>
      <c r="B1825" s="49" t="s">
        <v>8290</v>
      </c>
      <c r="C1825" s="49" t="s">
        <v>8291</v>
      </c>
      <c r="D1825" s="49" t="s">
        <v>1264</v>
      </c>
      <c r="E1825" s="49" t="s">
        <v>2774</v>
      </c>
      <c r="F1825" s="49" t="s">
        <v>2825</v>
      </c>
      <c r="G1825" s="49" t="s">
        <v>2787</v>
      </c>
      <c r="H1825" s="49" t="s">
        <v>2827</v>
      </c>
      <c r="I1825" s="50">
        <v>39947</v>
      </c>
      <c r="J1825" s="50">
        <v>40463</v>
      </c>
      <c r="K1825" s="50">
        <v>42654</v>
      </c>
      <c r="M1825" s="49" t="s">
        <v>8292</v>
      </c>
    </row>
    <row r="1826" spans="1:13" x14ac:dyDescent="0.35">
      <c r="A1826" s="49" t="s">
        <v>8293</v>
      </c>
      <c r="B1826" s="49" t="s">
        <v>3615</v>
      </c>
      <c r="C1826" s="49" t="s">
        <v>7235</v>
      </c>
      <c r="D1826" s="49" t="s">
        <v>1264</v>
      </c>
      <c r="E1826" s="49" t="s">
        <v>2908</v>
      </c>
      <c r="F1826" s="49" t="s">
        <v>3010</v>
      </c>
      <c r="G1826" s="49" t="s">
        <v>2787</v>
      </c>
      <c r="H1826" s="49" t="s">
        <v>980</v>
      </c>
      <c r="I1826" s="50">
        <v>34579</v>
      </c>
      <c r="J1826" s="50">
        <v>35727</v>
      </c>
      <c r="K1826" s="50">
        <v>37552</v>
      </c>
      <c r="M1826" s="49" t="s">
        <v>3477</v>
      </c>
    </row>
    <row r="1827" spans="1:13" x14ac:dyDescent="0.35">
      <c r="A1827" s="49" t="s">
        <v>8294</v>
      </c>
      <c r="B1827" s="49" t="s">
        <v>8295</v>
      </c>
      <c r="C1827" s="49" t="s">
        <v>2943</v>
      </c>
      <c r="D1827" s="49" t="s">
        <v>1264</v>
      </c>
      <c r="E1827" s="49" t="s">
        <v>2908</v>
      </c>
      <c r="F1827" s="49" t="s">
        <v>2939</v>
      </c>
      <c r="G1827" s="49" t="s">
        <v>2826</v>
      </c>
      <c r="H1827" s="49" t="s">
        <v>980</v>
      </c>
      <c r="I1827" s="50">
        <v>35578</v>
      </c>
      <c r="J1827" s="50">
        <v>35727</v>
      </c>
      <c r="K1827" s="50">
        <v>40864</v>
      </c>
      <c r="M1827" s="49" t="s">
        <v>8296</v>
      </c>
    </row>
    <row r="1828" spans="1:13" x14ac:dyDescent="0.35">
      <c r="A1828" s="49" t="s">
        <v>8297</v>
      </c>
      <c r="B1828" s="49" t="s">
        <v>8298</v>
      </c>
      <c r="C1828" s="49" t="s">
        <v>3280</v>
      </c>
      <c r="D1828" s="49" t="s">
        <v>1264</v>
      </c>
      <c r="E1828" s="49" t="s">
        <v>3748</v>
      </c>
      <c r="F1828" s="49" t="s">
        <v>2792</v>
      </c>
      <c r="G1828" s="49" t="s">
        <v>2826</v>
      </c>
      <c r="H1828" s="49" t="s">
        <v>835</v>
      </c>
      <c r="I1828" s="50">
        <v>35583</v>
      </c>
      <c r="J1828" s="50">
        <v>35727</v>
      </c>
    </row>
    <row r="1829" spans="1:13" x14ac:dyDescent="0.35">
      <c r="A1829" s="49" t="s">
        <v>8299</v>
      </c>
      <c r="B1829" s="49" t="s">
        <v>8300</v>
      </c>
      <c r="C1829" s="49" t="s">
        <v>8301</v>
      </c>
      <c r="D1829" s="49" t="s">
        <v>1264</v>
      </c>
      <c r="E1829" s="49" t="s">
        <v>2908</v>
      </c>
      <c r="F1829" s="49" t="s">
        <v>2805</v>
      </c>
      <c r="G1829" s="49" t="s">
        <v>2787</v>
      </c>
      <c r="H1829" s="49" t="s">
        <v>980</v>
      </c>
      <c r="I1829" s="50">
        <v>34646</v>
      </c>
      <c r="J1829" s="50">
        <v>35727</v>
      </c>
      <c r="K1829" s="50">
        <v>39497</v>
      </c>
      <c r="M1829" s="49" t="s">
        <v>8302</v>
      </c>
    </row>
    <row r="1830" spans="1:13" x14ac:dyDescent="0.35">
      <c r="A1830" s="49" t="s">
        <v>8303</v>
      </c>
      <c r="B1830" s="49" t="s">
        <v>8304</v>
      </c>
      <c r="C1830" s="49" t="s">
        <v>8305</v>
      </c>
      <c r="D1830" s="49" t="s">
        <v>1264</v>
      </c>
      <c r="E1830" s="49" t="s">
        <v>2908</v>
      </c>
      <c r="F1830" s="49" t="s">
        <v>2939</v>
      </c>
      <c r="G1830" s="49" t="s">
        <v>2787</v>
      </c>
      <c r="H1830" s="49" t="s">
        <v>8</v>
      </c>
      <c r="I1830" s="50">
        <v>35087</v>
      </c>
      <c r="J1830" s="50">
        <v>35727</v>
      </c>
      <c r="K1830" s="50">
        <v>37552</v>
      </c>
      <c r="M1830" s="49" t="s">
        <v>7874</v>
      </c>
    </row>
    <row r="1831" spans="1:13" x14ac:dyDescent="0.35">
      <c r="A1831" s="49" t="s">
        <v>8306</v>
      </c>
      <c r="B1831" s="49" t="s">
        <v>8307</v>
      </c>
      <c r="C1831" s="49" t="s">
        <v>8308</v>
      </c>
      <c r="D1831" s="49" t="s">
        <v>1264</v>
      </c>
      <c r="E1831" s="49" t="s">
        <v>2908</v>
      </c>
      <c r="F1831" s="49" t="s">
        <v>2939</v>
      </c>
      <c r="G1831" s="49" t="s">
        <v>2826</v>
      </c>
      <c r="H1831" s="49" t="s">
        <v>980</v>
      </c>
      <c r="I1831" s="50">
        <v>34774</v>
      </c>
      <c r="J1831" s="50">
        <v>35727</v>
      </c>
      <c r="K1831" s="50">
        <v>39629</v>
      </c>
      <c r="M1831" s="49" t="s">
        <v>3477</v>
      </c>
    </row>
    <row r="1832" spans="1:13" x14ac:dyDescent="0.35">
      <c r="A1832" s="49" t="s">
        <v>8309</v>
      </c>
      <c r="B1832" s="49" t="s">
        <v>8116</v>
      </c>
      <c r="C1832" s="49" t="s">
        <v>8310</v>
      </c>
      <c r="D1832" s="49" t="s">
        <v>1264</v>
      </c>
      <c r="E1832" s="49" t="s">
        <v>2908</v>
      </c>
      <c r="F1832" s="49" t="s">
        <v>2939</v>
      </c>
      <c r="G1832" s="49" t="s">
        <v>2826</v>
      </c>
      <c r="H1832" s="49" t="s">
        <v>980</v>
      </c>
      <c r="I1832" s="50">
        <v>35284</v>
      </c>
      <c r="J1832" s="50">
        <v>35727</v>
      </c>
      <c r="K1832" s="50">
        <v>38082</v>
      </c>
      <c r="M1832" s="49" t="s">
        <v>8311</v>
      </c>
    </row>
    <row r="1833" spans="1:13" x14ac:dyDescent="0.35">
      <c r="A1833" s="49" t="s">
        <v>8312</v>
      </c>
      <c r="B1833" s="49" t="s">
        <v>8313</v>
      </c>
      <c r="C1833" s="49" t="s">
        <v>4200</v>
      </c>
      <c r="D1833" s="49" t="s">
        <v>1264</v>
      </c>
      <c r="E1833" s="49" t="s">
        <v>2908</v>
      </c>
      <c r="F1833" s="49" t="s">
        <v>3010</v>
      </c>
      <c r="G1833" s="49" t="s">
        <v>2826</v>
      </c>
      <c r="H1833" s="49" t="s">
        <v>980</v>
      </c>
      <c r="I1833" s="50">
        <v>37925</v>
      </c>
      <c r="J1833" s="50">
        <v>35727</v>
      </c>
      <c r="K1833" s="50">
        <v>38082</v>
      </c>
      <c r="M1833" s="49" t="s">
        <v>8314</v>
      </c>
    </row>
    <row r="1834" spans="1:13" x14ac:dyDescent="0.35">
      <c r="A1834" s="49" t="s">
        <v>8315</v>
      </c>
      <c r="B1834" s="49" t="s">
        <v>8316</v>
      </c>
      <c r="C1834" s="49" t="s">
        <v>8317</v>
      </c>
      <c r="D1834" s="49" t="s">
        <v>1264</v>
      </c>
      <c r="E1834" s="49" t="s">
        <v>2908</v>
      </c>
      <c r="F1834" s="49" t="s">
        <v>3010</v>
      </c>
      <c r="G1834" s="49" t="s">
        <v>2826</v>
      </c>
      <c r="H1834" s="49" t="s">
        <v>980</v>
      </c>
      <c r="I1834" s="50">
        <v>36642</v>
      </c>
      <c r="J1834" s="50">
        <v>36802</v>
      </c>
      <c r="K1834" s="50">
        <v>38638</v>
      </c>
      <c r="M1834" s="49" t="s">
        <v>8318</v>
      </c>
    </row>
    <row r="1835" spans="1:13" x14ac:dyDescent="0.35">
      <c r="A1835" s="49" t="s">
        <v>8319</v>
      </c>
      <c r="B1835" s="49" t="s">
        <v>8320</v>
      </c>
      <c r="C1835" s="49" t="s">
        <v>8321</v>
      </c>
      <c r="D1835" s="49" t="s">
        <v>1264</v>
      </c>
      <c r="E1835" s="49" t="s">
        <v>2908</v>
      </c>
      <c r="F1835" s="49" t="s">
        <v>3010</v>
      </c>
      <c r="G1835" s="49" t="s">
        <v>2826</v>
      </c>
      <c r="H1835" s="49" t="s">
        <v>980</v>
      </c>
      <c r="I1835" s="50">
        <v>31787</v>
      </c>
      <c r="J1835" s="50">
        <v>33770</v>
      </c>
      <c r="K1835" s="50">
        <v>35727</v>
      </c>
      <c r="M1835" s="49" t="s">
        <v>8237</v>
      </c>
    </row>
    <row r="1836" spans="1:13" x14ac:dyDescent="0.35">
      <c r="A1836" s="49" t="s">
        <v>8322</v>
      </c>
      <c r="B1836" s="49" t="s">
        <v>8323</v>
      </c>
      <c r="C1836" s="49" t="s">
        <v>8324</v>
      </c>
      <c r="D1836" s="49" t="s">
        <v>1264</v>
      </c>
      <c r="E1836" s="49" t="s">
        <v>2908</v>
      </c>
      <c r="F1836" s="49" t="s">
        <v>2939</v>
      </c>
      <c r="G1836" s="49" t="s">
        <v>2787</v>
      </c>
      <c r="H1836" s="49" t="s">
        <v>8</v>
      </c>
      <c r="I1836" s="50">
        <v>36397</v>
      </c>
      <c r="J1836" s="50">
        <v>36809</v>
      </c>
      <c r="K1836" s="50">
        <v>38634</v>
      </c>
      <c r="M1836" s="49" t="s">
        <v>7920</v>
      </c>
    </row>
    <row r="1837" spans="1:13" x14ac:dyDescent="0.35">
      <c r="A1837" s="49" t="s">
        <v>8325</v>
      </c>
      <c r="B1837" s="49" t="s">
        <v>3102</v>
      </c>
      <c r="C1837" s="49" t="s">
        <v>8326</v>
      </c>
      <c r="D1837" s="49" t="s">
        <v>1264</v>
      </c>
      <c r="E1837" s="49" t="s">
        <v>2908</v>
      </c>
      <c r="F1837" s="49" t="s">
        <v>2939</v>
      </c>
      <c r="G1837" s="49" t="s">
        <v>2787</v>
      </c>
      <c r="H1837" s="49" t="s">
        <v>8</v>
      </c>
      <c r="I1837" s="50">
        <v>36266</v>
      </c>
      <c r="J1837" s="50">
        <v>36809</v>
      </c>
      <c r="K1837" s="50">
        <v>38634</v>
      </c>
      <c r="M1837" s="49" t="s">
        <v>7289</v>
      </c>
    </row>
    <row r="1838" spans="1:13" x14ac:dyDescent="0.35">
      <c r="A1838" s="49" t="s">
        <v>8327</v>
      </c>
      <c r="B1838" s="49" t="s">
        <v>2937</v>
      </c>
      <c r="C1838" s="49" t="s">
        <v>8328</v>
      </c>
      <c r="D1838" s="49" t="s">
        <v>1264</v>
      </c>
      <c r="E1838" s="49" t="s">
        <v>2908</v>
      </c>
      <c r="F1838" s="49" t="s">
        <v>2939</v>
      </c>
      <c r="G1838" s="49" t="s">
        <v>2975</v>
      </c>
      <c r="H1838" s="49" t="s">
        <v>980</v>
      </c>
      <c r="I1838" s="50">
        <v>42426</v>
      </c>
      <c r="J1838" s="50">
        <v>42555</v>
      </c>
      <c r="K1838" s="50">
        <v>44380</v>
      </c>
      <c r="M1838" s="49" t="s">
        <v>8329</v>
      </c>
    </row>
    <row r="1839" spans="1:13" x14ac:dyDescent="0.35">
      <c r="A1839" s="49" t="s">
        <v>8330</v>
      </c>
      <c r="B1839" s="49" t="s">
        <v>8331</v>
      </c>
      <c r="C1839" s="49" t="s">
        <v>7235</v>
      </c>
      <c r="D1839" s="49" t="s">
        <v>1264</v>
      </c>
      <c r="E1839" s="49" t="s">
        <v>2908</v>
      </c>
      <c r="F1839" s="49" t="s">
        <v>3010</v>
      </c>
      <c r="G1839" s="49" t="s">
        <v>2787</v>
      </c>
      <c r="H1839" s="49" t="s">
        <v>980</v>
      </c>
      <c r="I1839" s="50">
        <v>34579</v>
      </c>
      <c r="J1839" s="50">
        <v>34975</v>
      </c>
      <c r="K1839" s="50">
        <v>36801</v>
      </c>
      <c r="M1839" s="49" t="s">
        <v>8332</v>
      </c>
    </row>
    <row r="1840" spans="1:13" x14ac:dyDescent="0.35">
      <c r="A1840" s="49" t="s">
        <v>8333</v>
      </c>
      <c r="B1840" s="49" t="s">
        <v>3102</v>
      </c>
      <c r="C1840" s="49" t="s">
        <v>8273</v>
      </c>
      <c r="D1840" s="49" t="s">
        <v>1264</v>
      </c>
      <c r="E1840" s="49" t="s">
        <v>2908</v>
      </c>
      <c r="F1840" s="49" t="s">
        <v>2939</v>
      </c>
      <c r="G1840" s="49" t="s">
        <v>2787</v>
      </c>
      <c r="H1840" s="49" t="s">
        <v>8</v>
      </c>
      <c r="I1840" s="50">
        <v>39231</v>
      </c>
      <c r="J1840" s="50">
        <v>35023</v>
      </c>
      <c r="K1840" s="50">
        <v>41200</v>
      </c>
      <c r="M1840" s="49" t="s">
        <v>8277</v>
      </c>
    </row>
    <row r="1841" spans="1:13" x14ac:dyDescent="0.35">
      <c r="A1841" s="49" t="s">
        <v>8334</v>
      </c>
      <c r="C1841" s="49" t="s">
        <v>3056</v>
      </c>
      <c r="D1841" s="49" t="s">
        <v>1264</v>
      </c>
      <c r="E1841" s="49" t="s">
        <v>2908</v>
      </c>
      <c r="F1841" s="49" t="s">
        <v>2837</v>
      </c>
      <c r="G1841" s="49" t="s">
        <v>2975</v>
      </c>
      <c r="H1841" s="49" t="s">
        <v>2827</v>
      </c>
      <c r="I1841" s="50">
        <v>40974</v>
      </c>
      <c r="J1841" s="50">
        <v>41446</v>
      </c>
      <c r="K1841" s="50">
        <v>42342</v>
      </c>
      <c r="M1841" s="49" t="s">
        <v>8335</v>
      </c>
    </row>
    <row r="1842" spans="1:13" x14ac:dyDescent="0.35">
      <c r="A1842" s="49" t="s">
        <v>8336</v>
      </c>
      <c r="B1842" s="49" t="s">
        <v>8337</v>
      </c>
      <c r="C1842" s="49" t="s">
        <v>8091</v>
      </c>
      <c r="D1842" s="49" t="s">
        <v>1264</v>
      </c>
      <c r="E1842" s="49" t="s">
        <v>2774</v>
      </c>
      <c r="F1842" s="49" t="s">
        <v>2825</v>
      </c>
      <c r="G1842" s="49" t="s">
        <v>2787</v>
      </c>
      <c r="H1842" s="49" t="s">
        <v>2827</v>
      </c>
      <c r="I1842" s="50">
        <v>40134</v>
      </c>
      <c r="J1842" s="50">
        <v>40176</v>
      </c>
      <c r="K1842" s="50">
        <v>42366</v>
      </c>
      <c r="M1842" s="49" t="s">
        <v>8338</v>
      </c>
    </row>
    <row r="1843" spans="1:13" x14ac:dyDescent="0.35">
      <c r="A1843" s="49" t="s">
        <v>8339</v>
      </c>
      <c r="B1843" s="49" t="s">
        <v>8340</v>
      </c>
      <c r="C1843" s="49" t="s">
        <v>8341</v>
      </c>
      <c r="D1843" s="49" t="s">
        <v>1264</v>
      </c>
      <c r="E1843" s="49" t="s">
        <v>2774</v>
      </c>
      <c r="F1843" s="49" t="s">
        <v>2825</v>
      </c>
      <c r="G1843" s="49" t="s">
        <v>2787</v>
      </c>
      <c r="H1843" s="49" t="s">
        <v>2827</v>
      </c>
      <c r="I1843" s="50">
        <v>41327</v>
      </c>
      <c r="J1843" s="50">
        <v>41450</v>
      </c>
      <c r="K1843" s="50">
        <v>42545</v>
      </c>
      <c r="M1843" s="49" t="s">
        <v>8342</v>
      </c>
    </row>
    <row r="1844" spans="1:13" x14ac:dyDescent="0.35">
      <c r="A1844" s="49" t="s">
        <v>8343</v>
      </c>
      <c r="B1844" s="49" t="s">
        <v>8344</v>
      </c>
      <c r="C1844" s="49" t="s">
        <v>8345</v>
      </c>
      <c r="D1844" s="49" t="s">
        <v>1264</v>
      </c>
      <c r="E1844" s="49" t="s">
        <v>2908</v>
      </c>
      <c r="F1844" s="49" t="s">
        <v>2837</v>
      </c>
      <c r="G1844" s="49" t="s">
        <v>2826</v>
      </c>
      <c r="H1844" s="49" t="s">
        <v>980</v>
      </c>
      <c r="I1844" s="50">
        <v>34389</v>
      </c>
      <c r="J1844" s="50">
        <v>34990</v>
      </c>
      <c r="K1844" s="50">
        <v>37979</v>
      </c>
      <c r="M1844" s="49" t="s">
        <v>8346</v>
      </c>
    </row>
    <row r="1845" spans="1:13" x14ac:dyDescent="0.35">
      <c r="A1845" s="49" t="s">
        <v>8347</v>
      </c>
      <c r="B1845" s="49" t="s">
        <v>8348</v>
      </c>
      <c r="C1845" s="49" t="s">
        <v>8349</v>
      </c>
      <c r="D1845" s="49" t="s">
        <v>1264</v>
      </c>
      <c r="E1845" s="49" t="s">
        <v>7057</v>
      </c>
      <c r="F1845" s="49" t="s">
        <v>2825</v>
      </c>
      <c r="G1845" s="49" t="s">
        <v>2787</v>
      </c>
      <c r="H1845" s="49" t="s">
        <v>2827</v>
      </c>
      <c r="I1845" s="50">
        <v>41719</v>
      </c>
      <c r="J1845" s="50">
        <v>41808</v>
      </c>
      <c r="K1845" s="50">
        <v>42565</v>
      </c>
      <c r="M1845" s="49" t="s">
        <v>8350</v>
      </c>
    </row>
    <row r="1846" spans="1:13" x14ac:dyDescent="0.35">
      <c r="A1846" s="49" t="s">
        <v>8351</v>
      </c>
      <c r="B1846" s="49" t="s">
        <v>8352</v>
      </c>
      <c r="C1846" s="49" t="s">
        <v>8229</v>
      </c>
      <c r="D1846" s="49" t="s">
        <v>1264</v>
      </c>
      <c r="E1846" s="49" t="s">
        <v>7057</v>
      </c>
      <c r="F1846" s="49" t="s">
        <v>2825</v>
      </c>
      <c r="G1846" s="49" t="s">
        <v>2787</v>
      </c>
      <c r="H1846" s="49" t="s">
        <v>2827</v>
      </c>
      <c r="I1846" s="50">
        <v>41507</v>
      </c>
      <c r="J1846" s="50">
        <v>41808</v>
      </c>
      <c r="K1846" s="50">
        <v>42565</v>
      </c>
      <c r="M1846" s="49" t="s">
        <v>8353</v>
      </c>
    </row>
    <row r="1847" spans="1:13" x14ac:dyDescent="0.35">
      <c r="A1847" s="49" t="s">
        <v>8354</v>
      </c>
      <c r="B1847" s="49" t="s">
        <v>8355</v>
      </c>
      <c r="C1847" s="49" t="s">
        <v>8356</v>
      </c>
      <c r="D1847" s="49" t="s">
        <v>1264</v>
      </c>
      <c r="E1847" s="49" t="s">
        <v>7057</v>
      </c>
      <c r="F1847" s="49" t="s">
        <v>2825</v>
      </c>
      <c r="G1847" s="49" t="s">
        <v>2787</v>
      </c>
      <c r="H1847" s="49" t="s">
        <v>2827</v>
      </c>
      <c r="I1847" s="50">
        <v>41725</v>
      </c>
      <c r="J1847" s="50">
        <v>41808</v>
      </c>
      <c r="K1847" s="50">
        <v>42538</v>
      </c>
      <c r="M1847" s="49" t="s">
        <v>8357</v>
      </c>
    </row>
    <row r="1848" spans="1:13" x14ac:dyDescent="0.35">
      <c r="A1848" s="49" t="s">
        <v>8358</v>
      </c>
      <c r="B1848" s="49" t="s">
        <v>3670</v>
      </c>
      <c r="C1848" s="49" t="s">
        <v>3652</v>
      </c>
      <c r="D1848" s="49" t="s">
        <v>1264</v>
      </c>
      <c r="E1848" s="49" t="s">
        <v>2774</v>
      </c>
      <c r="F1848" s="49" t="s">
        <v>2825</v>
      </c>
      <c r="G1848" s="49" t="s">
        <v>3602</v>
      </c>
      <c r="H1848" s="49" t="s">
        <v>2827</v>
      </c>
      <c r="I1848" s="50">
        <v>37658</v>
      </c>
      <c r="J1848" s="50">
        <v>38415</v>
      </c>
      <c r="K1848" s="50">
        <v>42797</v>
      </c>
      <c r="M1848" s="49" t="s">
        <v>8359</v>
      </c>
    </row>
    <row r="1849" spans="1:13" x14ac:dyDescent="0.35">
      <c r="A1849" s="49" t="s">
        <v>8360</v>
      </c>
      <c r="B1849" s="49" t="s">
        <v>8361</v>
      </c>
      <c r="C1849" s="49" t="s">
        <v>8362</v>
      </c>
      <c r="D1849" s="49" t="s">
        <v>1264</v>
      </c>
      <c r="E1849" s="49" t="s">
        <v>2774</v>
      </c>
      <c r="F1849" s="49" t="s">
        <v>2969</v>
      </c>
      <c r="G1849" s="49" t="s">
        <v>2787</v>
      </c>
      <c r="H1849" s="49" t="s">
        <v>2827</v>
      </c>
      <c r="I1849" s="50">
        <v>41146</v>
      </c>
      <c r="J1849" s="50">
        <v>41537</v>
      </c>
      <c r="K1849" s="50">
        <v>42632</v>
      </c>
      <c r="M1849" s="49" t="s">
        <v>8363</v>
      </c>
    </row>
    <row r="1850" spans="1:13" x14ac:dyDescent="0.35">
      <c r="A1850" s="49" t="s">
        <v>8364</v>
      </c>
      <c r="B1850" s="49" t="s">
        <v>8365</v>
      </c>
      <c r="C1850" s="49" t="s">
        <v>8362</v>
      </c>
      <c r="D1850" s="49" t="s">
        <v>1264</v>
      </c>
      <c r="E1850" s="49" t="s">
        <v>2774</v>
      </c>
      <c r="F1850" s="49" t="s">
        <v>3648</v>
      </c>
      <c r="G1850" s="49" t="s">
        <v>2787</v>
      </c>
      <c r="H1850" s="49" t="s">
        <v>3229</v>
      </c>
      <c r="I1850" s="50">
        <v>41253</v>
      </c>
      <c r="J1850" s="50">
        <v>41450</v>
      </c>
      <c r="K1850" s="50">
        <v>42545</v>
      </c>
      <c r="M1850" s="49" t="s">
        <v>8366</v>
      </c>
    </row>
    <row r="1851" spans="1:13" x14ac:dyDescent="0.35">
      <c r="A1851" s="49" t="s">
        <v>8367</v>
      </c>
      <c r="B1851" s="49" t="s">
        <v>8368</v>
      </c>
      <c r="C1851" s="49" t="s">
        <v>8362</v>
      </c>
      <c r="D1851" s="49" t="s">
        <v>1264</v>
      </c>
      <c r="E1851" s="49" t="s">
        <v>2774</v>
      </c>
      <c r="F1851" s="49" t="s">
        <v>2900</v>
      </c>
      <c r="G1851" s="49" t="s">
        <v>2826</v>
      </c>
      <c r="H1851" s="49" t="s">
        <v>3229</v>
      </c>
      <c r="I1851" s="50">
        <v>41207</v>
      </c>
      <c r="J1851" s="50">
        <v>41450</v>
      </c>
      <c r="K1851" s="50">
        <v>42545</v>
      </c>
      <c r="M1851" s="49" t="s">
        <v>8369</v>
      </c>
    </row>
    <row r="1852" spans="1:13" x14ac:dyDescent="0.35">
      <c r="A1852" s="49" t="s">
        <v>8370</v>
      </c>
      <c r="B1852" s="49" t="s">
        <v>8371</v>
      </c>
      <c r="C1852" s="49" t="s">
        <v>8284</v>
      </c>
      <c r="D1852" s="49" t="s">
        <v>1264</v>
      </c>
      <c r="E1852" s="49" t="s">
        <v>2908</v>
      </c>
      <c r="F1852" s="49" t="s">
        <v>3010</v>
      </c>
      <c r="G1852" s="49" t="s">
        <v>2787</v>
      </c>
      <c r="H1852" s="49" t="s">
        <v>980</v>
      </c>
      <c r="I1852" s="50">
        <v>40029</v>
      </c>
      <c r="J1852" s="50">
        <v>40112</v>
      </c>
      <c r="K1852" s="50">
        <v>41937</v>
      </c>
      <c r="M1852" s="49" t="s">
        <v>8372</v>
      </c>
    </row>
    <row r="1853" spans="1:13" x14ac:dyDescent="0.35">
      <c r="A1853" s="49" t="s">
        <v>8373</v>
      </c>
      <c r="B1853" s="49" t="s">
        <v>3063</v>
      </c>
      <c r="C1853" s="49" t="s">
        <v>2857</v>
      </c>
      <c r="D1853" s="49" t="s">
        <v>1264</v>
      </c>
      <c r="E1853" s="49" t="s">
        <v>2908</v>
      </c>
      <c r="F1853" s="49" t="s">
        <v>2837</v>
      </c>
      <c r="G1853" s="49" t="s">
        <v>2826</v>
      </c>
      <c r="H1853" s="49" t="s">
        <v>980</v>
      </c>
      <c r="I1853" s="50">
        <v>34389</v>
      </c>
      <c r="J1853" s="50">
        <v>37979</v>
      </c>
      <c r="K1853" s="50">
        <v>40066</v>
      </c>
      <c r="M1853" s="49" t="s">
        <v>8374</v>
      </c>
    </row>
    <row r="1854" spans="1:13" x14ac:dyDescent="0.35">
      <c r="A1854" s="49" t="s">
        <v>8375</v>
      </c>
      <c r="B1854" s="49" t="s">
        <v>8376</v>
      </c>
      <c r="C1854" s="49" t="s">
        <v>8377</v>
      </c>
      <c r="D1854" s="49" t="s">
        <v>1264</v>
      </c>
      <c r="E1854" s="49" t="s">
        <v>2908</v>
      </c>
      <c r="F1854" s="49" t="s">
        <v>2939</v>
      </c>
      <c r="G1854" s="49" t="s">
        <v>2787</v>
      </c>
      <c r="H1854" s="49" t="s">
        <v>8</v>
      </c>
      <c r="I1854" s="50">
        <v>25778</v>
      </c>
      <c r="J1854" s="50">
        <v>25778</v>
      </c>
      <c r="K1854" s="50">
        <v>27603</v>
      </c>
      <c r="M1854" s="49" t="s">
        <v>8378</v>
      </c>
    </row>
    <row r="1855" spans="1:13" x14ac:dyDescent="0.35">
      <c r="A1855" s="49" t="s">
        <v>8379</v>
      </c>
      <c r="B1855" s="49" t="s">
        <v>8380</v>
      </c>
      <c r="C1855" s="49" t="s">
        <v>3597</v>
      </c>
      <c r="D1855" s="49" t="s">
        <v>1264</v>
      </c>
      <c r="E1855" s="49" t="s">
        <v>2774</v>
      </c>
      <c r="F1855" s="49" t="s">
        <v>2825</v>
      </c>
      <c r="G1855" s="49" t="s">
        <v>2826</v>
      </c>
      <c r="H1855" s="49" t="s">
        <v>2827</v>
      </c>
      <c r="I1855" s="50">
        <v>40374</v>
      </c>
      <c r="J1855" s="50">
        <v>41607</v>
      </c>
      <c r="K1855" s="50">
        <v>42702</v>
      </c>
      <c r="M1855" s="49" t="s">
        <v>8381</v>
      </c>
    </row>
    <row r="1856" spans="1:13" x14ac:dyDescent="0.35">
      <c r="A1856" s="49" t="s">
        <v>8382</v>
      </c>
      <c r="B1856" s="49" t="s">
        <v>8383</v>
      </c>
      <c r="C1856" s="49" t="s">
        <v>3597</v>
      </c>
      <c r="D1856" s="49" t="s">
        <v>1264</v>
      </c>
      <c r="E1856" s="49" t="s">
        <v>2774</v>
      </c>
      <c r="F1856" s="49" t="s">
        <v>2825</v>
      </c>
      <c r="G1856" s="49" t="s">
        <v>2826</v>
      </c>
      <c r="H1856" s="49" t="s">
        <v>2827</v>
      </c>
      <c r="I1856" s="50">
        <v>40374</v>
      </c>
      <c r="J1856" s="50">
        <v>40511</v>
      </c>
      <c r="K1856" s="50">
        <v>42702</v>
      </c>
      <c r="M1856" s="49" t="s">
        <v>8384</v>
      </c>
    </row>
    <row r="1857" spans="1:13" x14ac:dyDescent="0.35">
      <c r="A1857" s="49" t="s">
        <v>8385</v>
      </c>
      <c r="B1857" s="49" t="s">
        <v>8386</v>
      </c>
      <c r="C1857" s="49" t="s">
        <v>3597</v>
      </c>
      <c r="D1857" s="49" t="s">
        <v>1264</v>
      </c>
      <c r="E1857" s="49" t="s">
        <v>2774</v>
      </c>
      <c r="F1857" s="49" t="s">
        <v>2825</v>
      </c>
      <c r="G1857" s="49" t="s">
        <v>2787</v>
      </c>
      <c r="H1857" s="49" t="s">
        <v>2827</v>
      </c>
      <c r="I1857" s="50">
        <v>40374</v>
      </c>
      <c r="J1857" s="50">
        <v>40511</v>
      </c>
      <c r="K1857" s="50">
        <v>42702</v>
      </c>
      <c r="M1857" s="49" t="s">
        <v>8387</v>
      </c>
    </row>
    <row r="1858" spans="1:13" x14ac:dyDescent="0.35">
      <c r="A1858" s="49" t="s">
        <v>8388</v>
      </c>
      <c r="B1858" s="49" t="s">
        <v>8389</v>
      </c>
      <c r="C1858" s="49" t="s">
        <v>3355</v>
      </c>
      <c r="D1858" s="49" t="s">
        <v>1264</v>
      </c>
      <c r="E1858" s="49" t="s">
        <v>7057</v>
      </c>
      <c r="F1858" s="49" t="s">
        <v>2825</v>
      </c>
      <c r="G1858" s="49" t="s">
        <v>2787</v>
      </c>
      <c r="H1858" s="49" t="s">
        <v>973</v>
      </c>
      <c r="I1858" s="50">
        <v>39318</v>
      </c>
      <c r="J1858" s="50">
        <v>39409</v>
      </c>
      <c r="K1858" s="50">
        <v>40139</v>
      </c>
      <c r="M1858" s="49" t="s">
        <v>3100</v>
      </c>
    </row>
    <row r="1859" spans="1:13" x14ac:dyDescent="0.35">
      <c r="A1859" s="49" t="s">
        <v>8390</v>
      </c>
      <c r="B1859" s="49" t="s">
        <v>8391</v>
      </c>
      <c r="C1859" s="49" t="s">
        <v>8392</v>
      </c>
      <c r="D1859" s="49" t="s">
        <v>1264</v>
      </c>
      <c r="E1859" s="49" t="s">
        <v>2774</v>
      </c>
      <c r="F1859" s="49" t="s">
        <v>3598</v>
      </c>
      <c r="G1859" s="49" t="s">
        <v>2826</v>
      </c>
      <c r="H1859" s="49" t="s">
        <v>973</v>
      </c>
      <c r="I1859" s="50">
        <v>38023</v>
      </c>
      <c r="J1859" s="50">
        <v>38317</v>
      </c>
      <c r="K1859" s="50">
        <v>39411</v>
      </c>
      <c r="M1859" s="49" t="s">
        <v>8393</v>
      </c>
    </row>
    <row r="1860" spans="1:13" x14ac:dyDescent="0.35">
      <c r="A1860" s="49" t="s">
        <v>8394</v>
      </c>
      <c r="B1860" s="49" t="s">
        <v>8395</v>
      </c>
      <c r="C1860" s="49" t="s">
        <v>8396</v>
      </c>
      <c r="D1860" s="49" t="s">
        <v>1264</v>
      </c>
      <c r="E1860" s="49" t="s">
        <v>2774</v>
      </c>
      <c r="F1860" s="49" t="s">
        <v>3005</v>
      </c>
      <c r="G1860" s="49" t="s">
        <v>2787</v>
      </c>
      <c r="H1860" s="49" t="s">
        <v>1062</v>
      </c>
      <c r="I1860" s="50">
        <v>37996</v>
      </c>
      <c r="J1860" s="50">
        <v>38317</v>
      </c>
      <c r="K1860" s="50">
        <v>42750</v>
      </c>
      <c r="M1860" s="49" t="s">
        <v>8397</v>
      </c>
    </row>
    <row r="1861" spans="1:13" x14ac:dyDescent="0.35">
      <c r="A1861" s="49" t="s">
        <v>8398</v>
      </c>
      <c r="B1861" s="49" t="s">
        <v>8399</v>
      </c>
      <c r="C1861" s="49" t="s">
        <v>8400</v>
      </c>
      <c r="D1861" s="49" t="s">
        <v>1264</v>
      </c>
      <c r="E1861" s="49" t="s">
        <v>2974</v>
      </c>
      <c r="F1861" s="49" t="s">
        <v>2775</v>
      </c>
      <c r="G1861" s="49" t="s">
        <v>2975</v>
      </c>
      <c r="H1861" s="49" t="s">
        <v>980</v>
      </c>
      <c r="I1861" s="50">
        <v>39728</v>
      </c>
      <c r="J1861" s="50">
        <v>39786</v>
      </c>
      <c r="K1861" s="50">
        <v>40823</v>
      </c>
      <c r="M1861" s="49" t="s">
        <v>8401</v>
      </c>
    </row>
    <row r="1862" spans="1:13" x14ac:dyDescent="0.35">
      <c r="A1862" s="49" t="s">
        <v>8402</v>
      </c>
      <c r="B1862" s="49" t="s">
        <v>8403</v>
      </c>
      <c r="C1862" s="49" t="s">
        <v>3087</v>
      </c>
      <c r="D1862" s="49" t="s">
        <v>1264</v>
      </c>
      <c r="E1862" s="49" t="s">
        <v>2974</v>
      </c>
      <c r="F1862" s="49" t="s">
        <v>2775</v>
      </c>
      <c r="G1862" s="49" t="s">
        <v>2826</v>
      </c>
      <c r="H1862" s="49" t="s">
        <v>2827</v>
      </c>
      <c r="I1862" s="50">
        <v>39700</v>
      </c>
      <c r="J1862" s="50">
        <v>39786</v>
      </c>
      <c r="K1862" s="50">
        <v>40881</v>
      </c>
      <c r="M1862" s="49" t="s">
        <v>8404</v>
      </c>
    </row>
    <row r="1863" spans="1:13" x14ac:dyDescent="0.35">
      <c r="A1863" s="49" t="s">
        <v>8405</v>
      </c>
      <c r="B1863" s="49" t="s">
        <v>3155</v>
      </c>
      <c r="C1863" s="49" t="s">
        <v>3144</v>
      </c>
      <c r="D1863" s="49" t="s">
        <v>1264</v>
      </c>
      <c r="E1863" s="49" t="s">
        <v>2908</v>
      </c>
      <c r="F1863" s="49" t="s">
        <v>3010</v>
      </c>
      <c r="G1863" s="49" t="s">
        <v>2787</v>
      </c>
      <c r="H1863" s="49" t="s">
        <v>980</v>
      </c>
      <c r="I1863" s="50">
        <v>40542</v>
      </c>
      <c r="J1863" s="50">
        <v>40822</v>
      </c>
      <c r="K1863" s="50">
        <v>42648</v>
      </c>
      <c r="M1863" s="49" t="s">
        <v>8406</v>
      </c>
    </row>
    <row r="1864" spans="1:13" x14ac:dyDescent="0.35">
      <c r="A1864" s="49" t="s">
        <v>8407</v>
      </c>
      <c r="B1864" s="49" t="s">
        <v>8408</v>
      </c>
      <c r="C1864" s="49" t="s">
        <v>2997</v>
      </c>
      <c r="D1864" s="49" t="s">
        <v>1264</v>
      </c>
      <c r="E1864" s="49" t="s">
        <v>2908</v>
      </c>
      <c r="F1864" s="49" t="s">
        <v>2939</v>
      </c>
      <c r="G1864" s="49" t="s">
        <v>2826</v>
      </c>
      <c r="H1864" s="49" t="s">
        <v>980</v>
      </c>
      <c r="I1864" s="50">
        <v>34801</v>
      </c>
      <c r="J1864" s="50">
        <v>35013</v>
      </c>
      <c r="K1864" s="50">
        <v>38826</v>
      </c>
      <c r="M1864" s="49" t="s">
        <v>3477</v>
      </c>
    </row>
    <row r="1865" spans="1:13" x14ac:dyDescent="0.35">
      <c r="A1865" s="49" t="s">
        <v>8409</v>
      </c>
      <c r="B1865" s="49" t="s">
        <v>2942</v>
      </c>
      <c r="C1865" s="49" t="s">
        <v>8410</v>
      </c>
      <c r="D1865" s="49" t="s">
        <v>1264</v>
      </c>
      <c r="E1865" s="49" t="s">
        <v>2908</v>
      </c>
      <c r="F1865" s="49" t="s">
        <v>2939</v>
      </c>
      <c r="G1865" s="49" t="s">
        <v>2921</v>
      </c>
      <c r="H1865" s="49" t="s">
        <v>980</v>
      </c>
      <c r="I1865" s="50">
        <v>41603</v>
      </c>
      <c r="J1865" s="50">
        <v>41816</v>
      </c>
      <c r="K1865" s="50">
        <v>45468</v>
      </c>
      <c r="M1865" s="49" t="s">
        <v>8411</v>
      </c>
    </row>
    <row r="1866" spans="1:13" x14ac:dyDescent="0.35">
      <c r="A1866" s="49" t="s">
        <v>8412</v>
      </c>
      <c r="B1866" s="49" t="s">
        <v>2942</v>
      </c>
      <c r="C1866" s="49" t="s">
        <v>8413</v>
      </c>
      <c r="D1866" s="49" t="s">
        <v>1264</v>
      </c>
      <c r="E1866" s="49" t="s">
        <v>2908</v>
      </c>
      <c r="F1866" s="49" t="s">
        <v>2939</v>
      </c>
      <c r="G1866" s="49" t="s">
        <v>2787</v>
      </c>
      <c r="H1866" s="49" t="s">
        <v>980</v>
      </c>
      <c r="I1866" s="50">
        <v>41677</v>
      </c>
      <c r="J1866" s="50">
        <v>41816</v>
      </c>
      <c r="K1866" s="50">
        <v>43641</v>
      </c>
      <c r="M1866" s="49" t="s">
        <v>8414</v>
      </c>
    </row>
    <row r="1867" spans="1:13" x14ac:dyDescent="0.35">
      <c r="A1867" s="49" t="s">
        <v>8415</v>
      </c>
      <c r="B1867" s="49" t="s">
        <v>8416</v>
      </c>
      <c r="C1867" s="49" t="s">
        <v>8417</v>
      </c>
      <c r="D1867" s="49" t="s">
        <v>1264</v>
      </c>
      <c r="E1867" s="49" t="s">
        <v>2908</v>
      </c>
      <c r="F1867" s="49" t="s">
        <v>2939</v>
      </c>
      <c r="G1867" s="49" t="s">
        <v>2787</v>
      </c>
      <c r="H1867" s="49" t="s">
        <v>980</v>
      </c>
      <c r="I1867" s="50">
        <v>38188</v>
      </c>
      <c r="J1867" s="50">
        <v>38330</v>
      </c>
      <c r="K1867" s="50">
        <v>40155</v>
      </c>
      <c r="M1867" s="49" t="s">
        <v>8418</v>
      </c>
    </row>
    <row r="1868" spans="1:13" x14ac:dyDescent="0.35">
      <c r="A1868" s="49" t="s">
        <v>8419</v>
      </c>
      <c r="B1868" s="49" t="s">
        <v>4449</v>
      </c>
      <c r="C1868" s="49" t="s">
        <v>8420</v>
      </c>
      <c r="D1868" s="49" t="s">
        <v>1264</v>
      </c>
      <c r="E1868" s="49" t="s">
        <v>2986</v>
      </c>
      <c r="F1868" s="49" t="s">
        <v>2825</v>
      </c>
      <c r="G1868" s="49" t="s">
        <v>2787</v>
      </c>
      <c r="H1868" s="49" t="s">
        <v>2827</v>
      </c>
      <c r="I1868" s="50">
        <v>42029</v>
      </c>
      <c r="J1868" s="50">
        <v>42908</v>
      </c>
      <c r="K1868" s="50">
        <v>44004</v>
      </c>
      <c r="M1868" s="49" t="s">
        <v>3270</v>
      </c>
    </row>
    <row r="1869" spans="1:13" x14ac:dyDescent="0.35">
      <c r="A1869" s="49" t="s">
        <v>8421</v>
      </c>
      <c r="B1869" s="49" t="s">
        <v>8422</v>
      </c>
      <c r="C1869" s="49" t="s">
        <v>8423</v>
      </c>
      <c r="D1869" s="49" t="s">
        <v>1264</v>
      </c>
      <c r="E1869" s="49" t="s">
        <v>2986</v>
      </c>
      <c r="F1869" s="49" t="s">
        <v>2825</v>
      </c>
      <c r="G1869" s="49" t="s">
        <v>2787</v>
      </c>
      <c r="H1869" s="49" t="s">
        <v>2827</v>
      </c>
      <c r="I1869" s="50">
        <v>42851</v>
      </c>
      <c r="J1869" s="50">
        <v>42908</v>
      </c>
      <c r="K1869" s="50">
        <v>44004</v>
      </c>
      <c r="M1869" s="49" t="s">
        <v>3270</v>
      </c>
    </row>
    <row r="1870" spans="1:13" x14ac:dyDescent="0.35">
      <c r="A1870" s="49" t="s">
        <v>8424</v>
      </c>
      <c r="B1870" s="49" t="s">
        <v>8425</v>
      </c>
      <c r="C1870" s="49" t="s">
        <v>7239</v>
      </c>
      <c r="D1870" s="49" t="s">
        <v>1264</v>
      </c>
      <c r="E1870" s="49" t="s">
        <v>2974</v>
      </c>
      <c r="F1870" s="49" t="s">
        <v>2825</v>
      </c>
      <c r="G1870" s="49" t="s">
        <v>2787</v>
      </c>
      <c r="H1870" s="49" t="s">
        <v>2827</v>
      </c>
      <c r="I1870" s="50">
        <v>40081</v>
      </c>
      <c r="J1870" s="50">
        <v>40147</v>
      </c>
      <c r="K1870" s="50">
        <v>41242</v>
      </c>
      <c r="M1870" s="49" t="s">
        <v>7208</v>
      </c>
    </row>
    <row r="1871" spans="1:13" x14ac:dyDescent="0.35">
      <c r="A1871" s="49" t="s">
        <v>8426</v>
      </c>
      <c r="B1871" s="49" t="s">
        <v>8427</v>
      </c>
      <c r="C1871" s="49" t="s">
        <v>8073</v>
      </c>
      <c r="D1871" s="49" t="s">
        <v>1264</v>
      </c>
      <c r="E1871" s="49" t="s">
        <v>2908</v>
      </c>
      <c r="F1871" s="49" t="s">
        <v>2837</v>
      </c>
      <c r="G1871" s="49" t="s">
        <v>2787</v>
      </c>
      <c r="H1871" s="49" t="s">
        <v>980</v>
      </c>
      <c r="I1871" s="50">
        <v>32258</v>
      </c>
      <c r="J1871" s="50">
        <v>33156</v>
      </c>
      <c r="K1871" s="50">
        <v>37513</v>
      </c>
      <c r="M1871" s="49" t="s">
        <v>8428</v>
      </c>
    </row>
    <row r="1872" spans="1:13" x14ac:dyDescent="0.35">
      <c r="A1872" s="49" t="s">
        <v>8429</v>
      </c>
      <c r="B1872" s="49" t="s">
        <v>8430</v>
      </c>
      <c r="C1872" s="49" t="s">
        <v>8073</v>
      </c>
      <c r="D1872" s="49" t="s">
        <v>1264</v>
      </c>
      <c r="E1872" s="49" t="s">
        <v>2908</v>
      </c>
      <c r="F1872" s="49" t="s">
        <v>2837</v>
      </c>
      <c r="G1872" s="49" t="s">
        <v>2826</v>
      </c>
      <c r="H1872" s="49" t="s">
        <v>980</v>
      </c>
      <c r="J1872" s="50">
        <v>34316</v>
      </c>
      <c r="K1872" s="50">
        <v>39629</v>
      </c>
      <c r="M1872" s="49" t="s">
        <v>8431</v>
      </c>
    </row>
    <row r="1873" spans="1:13" x14ac:dyDescent="0.35">
      <c r="A1873" s="49" t="s">
        <v>8432</v>
      </c>
      <c r="B1873" s="49" t="s">
        <v>3534</v>
      </c>
      <c r="C1873" s="49" t="s">
        <v>8433</v>
      </c>
      <c r="D1873" s="49" t="s">
        <v>1264</v>
      </c>
      <c r="E1873" s="49" t="s">
        <v>2774</v>
      </c>
      <c r="F1873" s="49" t="s">
        <v>5254</v>
      </c>
      <c r="G1873" s="49" t="s">
        <v>2975</v>
      </c>
      <c r="H1873" s="49" t="s">
        <v>2827</v>
      </c>
      <c r="I1873" s="50">
        <v>40486</v>
      </c>
      <c r="J1873" s="50">
        <v>40542</v>
      </c>
      <c r="K1873" s="50">
        <v>42313</v>
      </c>
      <c r="M1873" s="49" t="s">
        <v>8434</v>
      </c>
    </row>
    <row r="1874" spans="1:13" x14ac:dyDescent="0.35">
      <c r="A1874" s="49" t="s">
        <v>8435</v>
      </c>
      <c r="B1874" s="49" t="s">
        <v>8436</v>
      </c>
      <c r="C1874" s="49" t="s">
        <v>8437</v>
      </c>
      <c r="D1874" s="49" t="s">
        <v>1264</v>
      </c>
      <c r="E1874" s="49" t="s">
        <v>2774</v>
      </c>
      <c r="F1874" s="49" t="s">
        <v>2825</v>
      </c>
      <c r="G1874" s="49" t="s">
        <v>2787</v>
      </c>
      <c r="H1874" s="49" t="s">
        <v>2827</v>
      </c>
      <c r="I1874" s="50">
        <v>40486</v>
      </c>
      <c r="J1874" s="50">
        <v>40542</v>
      </c>
      <c r="K1874" s="50">
        <v>43826</v>
      </c>
      <c r="M1874" s="49" t="s">
        <v>8438</v>
      </c>
    </row>
    <row r="1875" spans="1:13" x14ac:dyDescent="0.35">
      <c r="A1875" s="49" t="s">
        <v>8439</v>
      </c>
      <c r="B1875" s="49" t="s">
        <v>8440</v>
      </c>
      <c r="C1875" s="49" t="s">
        <v>8441</v>
      </c>
      <c r="D1875" s="49" t="s">
        <v>1264</v>
      </c>
      <c r="E1875" s="49" t="s">
        <v>2774</v>
      </c>
      <c r="F1875" s="49" t="s">
        <v>3005</v>
      </c>
      <c r="G1875" s="49" t="s">
        <v>2787</v>
      </c>
      <c r="H1875" s="49" t="s">
        <v>980</v>
      </c>
      <c r="I1875" s="50">
        <v>40486</v>
      </c>
      <c r="J1875" s="50">
        <v>40542</v>
      </c>
      <c r="K1875" s="50">
        <v>42732</v>
      </c>
      <c r="M1875" s="49" t="s">
        <v>8442</v>
      </c>
    </row>
    <row r="1876" spans="1:13" x14ac:dyDescent="0.35">
      <c r="A1876" s="49" t="s">
        <v>8443</v>
      </c>
      <c r="B1876" s="49" t="s">
        <v>8444</v>
      </c>
      <c r="C1876" s="49" t="s">
        <v>8445</v>
      </c>
      <c r="D1876" s="49" t="s">
        <v>1264</v>
      </c>
      <c r="E1876" s="49" t="s">
        <v>2774</v>
      </c>
      <c r="F1876" s="49" t="s">
        <v>2900</v>
      </c>
      <c r="G1876" s="49" t="s">
        <v>2787</v>
      </c>
      <c r="H1876" s="49" t="s">
        <v>973</v>
      </c>
      <c r="I1876" s="50">
        <v>41675</v>
      </c>
      <c r="J1876" s="50">
        <v>41824</v>
      </c>
      <c r="K1876" s="50">
        <v>44015</v>
      </c>
      <c r="M1876" s="49" t="s">
        <v>8446</v>
      </c>
    </row>
    <row r="1877" spans="1:13" x14ac:dyDescent="0.35">
      <c r="A1877" s="49" t="s">
        <v>8447</v>
      </c>
      <c r="B1877" s="49" t="s">
        <v>8448</v>
      </c>
      <c r="C1877" s="49" t="s">
        <v>8449</v>
      </c>
      <c r="D1877" s="49" t="s">
        <v>1264</v>
      </c>
      <c r="E1877" s="49" t="s">
        <v>2774</v>
      </c>
      <c r="F1877" s="49" t="s">
        <v>3628</v>
      </c>
      <c r="G1877" s="49" t="s">
        <v>2975</v>
      </c>
      <c r="H1877" s="49" t="s">
        <v>973</v>
      </c>
      <c r="I1877" s="50">
        <v>39353</v>
      </c>
      <c r="J1877" s="50">
        <v>39430</v>
      </c>
      <c r="K1877" s="50">
        <v>40527</v>
      </c>
      <c r="M1877" s="49" t="s">
        <v>8450</v>
      </c>
    </row>
    <row r="1878" spans="1:13" x14ac:dyDescent="0.35">
      <c r="A1878" s="49" t="s">
        <v>8451</v>
      </c>
      <c r="B1878" s="49" t="s">
        <v>8452</v>
      </c>
      <c r="C1878" s="49" t="s">
        <v>8453</v>
      </c>
      <c r="D1878" s="49" t="s">
        <v>1264</v>
      </c>
      <c r="E1878" s="49" t="s">
        <v>2774</v>
      </c>
      <c r="F1878" s="49" t="s">
        <v>3628</v>
      </c>
      <c r="G1878" s="49" t="s">
        <v>2826</v>
      </c>
      <c r="H1878" s="49" t="s">
        <v>973</v>
      </c>
      <c r="I1878" s="50">
        <v>39350</v>
      </c>
      <c r="J1878" s="50">
        <v>39430</v>
      </c>
      <c r="K1878" s="50">
        <v>40526</v>
      </c>
      <c r="M1878" s="49" t="s">
        <v>8454</v>
      </c>
    </row>
    <row r="1879" spans="1:13" x14ac:dyDescent="0.35">
      <c r="A1879" s="49" t="s">
        <v>8455</v>
      </c>
      <c r="B1879" s="49" t="s">
        <v>8456</v>
      </c>
      <c r="C1879" s="49" t="s">
        <v>6988</v>
      </c>
      <c r="D1879" s="49" t="s">
        <v>1264</v>
      </c>
      <c r="E1879" s="49" t="s">
        <v>2908</v>
      </c>
      <c r="F1879" s="49" t="s">
        <v>3010</v>
      </c>
      <c r="G1879" s="49" t="s">
        <v>2826</v>
      </c>
      <c r="H1879" s="49" t="s">
        <v>980</v>
      </c>
      <c r="I1879" s="50">
        <v>29011</v>
      </c>
      <c r="J1879" s="50">
        <v>29126</v>
      </c>
      <c r="K1879" s="50">
        <v>30952</v>
      </c>
      <c r="M1879" s="49" t="s">
        <v>3477</v>
      </c>
    </row>
    <row r="1880" spans="1:13" x14ac:dyDescent="0.35">
      <c r="A1880" s="49" t="s">
        <v>8457</v>
      </c>
      <c r="B1880" s="49" t="s">
        <v>8458</v>
      </c>
      <c r="C1880" s="49" t="s">
        <v>8459</v>
      </c>
      <c r="D1880" s="49" t="s">
        <v>1264</v>
      </c>
      <c r="E1880" s="49" t="s">
        <v>2908</v>
      </c>
      <c r="F1880" s="49" t="s">
        <v>2939</v>
      </c>
      <c r="G1880" s="49" t="s">
        <v>2787</v>
      </c>
      <c r="H1880" s="49" t="s">
        <v>980</v>
      </c>
      <c r="I1880" s="50">
        <v>39423</v>
      </c>
      <c r="J1880" s="50">
        <v>39444</v>
      </c>
      <c r="K1880" s="50">
        <v>41270</v>
      </c>
    </row>
    <row r="1881" spans="1:13" x14ac:dyDescent="0.35">
      <c r="A1881" s="49" t="s">
        <v>8460</v>
      </c>
      <c r="B1881" s="49" t="s">
        <v>8461</v>
      </c>
      <c r="C1881" s="49" t="s">
        <v>4450</v>
      </c>
      <c r="D1881" s="49" t="s">
        <v>1264</v>
      </c>
      <c r="E1881" s="49" t="s">
        <v>2774</v>
      </c>
      <c r="F1881" s="49" t="s">
        <v>2825</v>
      </c>
      <c r="G1881" s="49" t="s">
        <v>2826</v>
      </c>
      <c r="H1881" s="49" t="s">
        <v>973</v>
      </c>
      <c r="I1881" s="50">
        <v>40646</v>
      </c>
      <c r="J1881" s="50">
        <v>41479</v>
      </c>
      <c r="K1881" s="50">
        <v>42574</v>
      </c>
      <c r="M1881" s="49" t="s">
        <v>8462</v>
      </c>
    </row>
    <row r="1882" spans="1:13" x14ac:dyDescent="0.35">
      <c r="A1882" s="49" t="s">
        <v>8463</v>
      </c>
      <c r="B1882" s="49" t="s">
        <v>8464</v>
      </c>
      <c r="C1882" s="49" t="s">
        <v>8465</v>
      </c>
      <c r="D1882" s="49" t="s">
        <v>1264</v>
      </c>
      <c r="E1882" s="49" t="s">
        <v>7057</v>
      </c>
      <c r="F1882" s="49" t="s">
        <v>2825</v>
      </c>
      <c r="G1882" s="49" t="s">
        <v>2787</v>
      </c>
      <c r="H1882" s="49" t="s">
        <v>2827</v>
      </c>
      <c r="I1882" s="50">
        <v>41407</v>
      </c>
      <c r="J1882" s="50">
        <v>41479</v>
      </c>
      <c r="K1882" s="50">
        <v>42939</v>
      </c>
      <c r="M1882" s="49" t="s">
        <v>8466</v>
      </c>
    </row>
    <row r="1883" spans="1:13" x14ac:dyDescent="0.35">
      <c r="A1883" s="49" t="s">
        <v>8467</v>
      </c>
      <c r="B1883" s="49" t="s">
        <v>8468</v>
      </c>
      <c r="C1883" s="49" t="s">
        <v>8073</v>
      </c>
      <c r="D1883" s="49" t="s">
        <v>1264</v>
      </c>
      <c r="E1883" s="49" t="s">
        <v>2908</v>
      </c>
      <c r="F1883" s="49" t="s">
        <v>2837</v>
      </c>
      <c r="G1883" s="49" t="s">
        <v>2826</v>
      </c>
      <c r="H1883" s="49" t="s">
        <v>980</v>
      </c>
      <c r="I1883" s="50">
        <v>33830</v>
      </c>
      <c r="J1883" s="50">
        <v>36420</v>
      </c>
      <c r="K1883" s="50">
        <v>39902</v>
      </c>
      <c r="M1883" s="49" t="s">
        <v>8431</v>
      </c>
    </row>
    <row r="1884" spans="1:13" x14ac:dyDescent="0.35">
      <c r="A1884" s="49" t="s">
        <v>8469</v>
      </c>
      <c r="B1884" s="49" t="s">
        <v>8470</v>
      </c>
      <c r="C1884" s="49" t="s">
        <v>2997</v>
      </c>
      <c r="D1884" s="49" t="s">
        <v>1264</v>
      </c>
      <c r="E1884" s="49" t="s">
        <v>2908</v>
      </c>
      <c r="F1884" s="49" t="s">
        <v>2939</v>
      </c>
      <c r="G1884" s="49" t="s">
        <v>2826</v>
      </c>
      <c r="H1884" s="49" t="s">
        <v>980</v>
      </c>
      <c r="J1884" s="50">
        <v>32785</v>
      </c>
      <c r="K1884" s="50">
        <v>37513</v>
      </c>
      <c r="M1884" s="49" t="s">
        <v>8471</v>
      </c>
    </row>
    <row r="1885" spans="1:13" x14ac:dyDescent="0.35">
      <c r="A1885" s="49" t="s">
        <v>8472</v>
      </c>
      <c r="B1885" s="49" t="s">
        <v>8473</v>
      </c>
      <c r="C1885" s="49" t="s">
        <v>8474</v>
      </c>
      <c r="D1885" s="49" t="s">
        <v>1264</v>
      </c>
      <c r="E1885" s="49" t="s">
        <v>2774</v>
      </c>
      <c r="F1885" s="49" t="s">
        <v>8475</v>
      </c>
      <c r="G1885" s="49" t="s">
        <v>2975</v>
      </c>
      <c r="H1885" s="49" t="s">
        <v>2827</v>
      </c>
      <c r="I1885" s="50">
        <v>40486</v>
      </c>
      <c r="J1885" s="50">
        <v>41638</v>
      </c>
      <c r="K1885" s="50">
        <v>42276</v>
      </c>
      <c r="M1885" s="49" t="s">
        <v>8476</v>
      </c>
    </row>
    <row r="1886" spans="1:13" x14ac:dyDescent="0.35">
      <c r="A1886" s="49" t="s">
        <v>8477</v>
      </c>
      <c r="B1886" s="49" t="s">
        <v>8478</v>
      </c>
      <c r="C1886" s="49" t="s">
        <v>8479</v>
      </c>
      <c r="D1886" s="49" t="s">
        <v>1264</v>
      </c>
      <c r="E1886" s="49" t="s">
        <v>2908</v>
      </c>
      <c r="F1886" s="49" t="s">
        <v>2837</v>
      </c>
      <c r="G1886" s="49" t="s">
        <v>2826</v>
      </c>
      <c r="H1886" s="49" t="s">
        <v>980</v>
      </c>
      <c r="I1886" s="50">
        <v>32000</v>
      </c>
      <c r="J1886" s="50">
        <v>32791</v>
      </c>
      <c r="K1886" s="50">
        <v>40066</v>
      </c>
      <c r="M1886" s="49" t="s">
        <v>3477</v>
      </c>
    </row>
    <row r="1887" spans="1:13" x14ac:dyDescent="0.35">
      <c r="A1887" s="49" t="s">
        <v>8480</v>
      </c>
      <c r="B1887" s="49" t="s">
        <v>2891</v>
      </c>
      <c r="C1887" s="49" t="s">
        <v>8479</v>
      </c>
      <c r="D1887" s="49" t="s">
        <v>1264</v>
      </c>
      <c r="E1887" s="49" t="s">
        <v>2908</v>
      </c>
      <c r="F1887" s="49" t="s">
        <v>2837</v>
      </c>
      <c r="G1887" s="49" t="s">
        <v>2787</v>
      </c>
      <c r="H1887" s="49" t="s">
        <v>980</v>
      </c>
      <c r="I1887" s="50">
        <v>32000</v>
      </c>
      <c r="J1887" s="50">
        <v>32791</v>
      </c>
      <c r="K1887" s="50">
        <v>34616</v>
      </c>
      <c r="M1887" s="49" t="s">
        <v>8481</v>
      </c>
    </row>
    <row r="1888" spans="1:13" x14ac:dyDescent="0.35">
      <c r="A1888" s="49" t="s">
        <v>8482</v>
      </c>
      <c r="B1888" s="49" t="s">
        <v>6573</v>
      </c>
      <c r="C1888" s="49" t="s">
        <v>6061</v>
      </c>
      <c r="D1888" s="49" t="s">
        <v>1264</v>
      </c>
      <c r="E1888" s="49" t="s">
        <v>2908</v>
      </c>
      <c r="F1888" s="49" t="s">
        <v>3010</v>
      </c>
      <c r="G1888" s="49" t="s">
        <v>2901</v>
      </c>
      <c r="H1888" s="49" t="s">
        <v>980</v>
      </c>
      <c r="I1888" s="50">
        <v>41072</v>
      </c>
      <c r="J1888" s="50">
        <v>41481</v>
      </c>
      <c r="K1888" s="50">
        <v>47206</v>
      </c>
      <c r="M1888" s="49" t="s">
        <v>8483</v>
      </c>
    </row>
    <row r="1889" spans="1:13" x14ac:dyDescent="0.35">
      <c r="A1889" s="49" t="s">
        <v>8484</v>
      </c>
      <c r="B1889" s="49" t="s">
        <v>3784</v>
      </c>
      <c r="C1889" s="49" t="s">
        <v>8485</v>
      </c>
      <c r="D1889" s="49" t="s">
        <v>1264</v>
      </c>
      <c r="E1889" s="49" t="s">
        <v>2908</v>
      </c>
      <c r="F1889" s="49" t="s">
        <v>2837</v>
      </c>
      <c r="G1889" s="49" t="s">
        <v>2787</v>
      </c>
      <c r="H1889" s="49" t="s">
        <v>2827</v>
      </c>
      <c r="I1889" s="50">
        <v>40844</v>
      </c>
      <c r="J1889" s="50">
        <v>40864</v>
      </c>
      <c r="K1889" s="50">
        <v>42690</v>
      </c>
      <c r="M1889" s="49" t="s">
        <v>3270</v>
      </c>
    </row>
    <row r="1890" spans="1:13" x14ac:dyDescent="0.35">
      <c r="A1890" s="49" t="s">
        <v>8486</v>
      </c>
      <c r="B1890" s="49" t="s">
        <v>8487</v>
      </c>
      <c r="C1890" s="49" t="s">
        <v>8488</v>
      </c>
      <c r="D1890" s="49" t="s">
        <v>1264</v>
      </c>
      <c r="E1890" s="49" t="s">
        <v>2908</v>
      </c>
      <c r="F1890" s="49" t="s">
        <v>3010</v>
      </c>
      <c r="G1890" s="49" t="s">
        <v>2787</v>
      </c>
      <c r="H1890" s="49" t="s">
        <v>980</v>
      </c>
      <c r="I1890" s="50">
        <v>29125</v>
      </c>
      <c r="J1890" s="50">
        <v>29918</v>
      </c>
      <c r="K1890" s="50">
        <v>39967</v>
      </c>
      <c r="M1890" s="49" t="s">
        <v>8489</v>
      </c>
    </row>
    <row r="1891" spans="1:13" x14ac:dyDescent="0.35">
      <c r="A1891" s="49" t="s">
        <v>8490</v>
      </c>
      <c r="B1891" s="49" t="s">
        <v>8491</v>
      </c>
      <c r="C1891" s="49" t="s">
        <v>5014</v>
      </c>
      <c r="D1891" s="49" t="s">
        <v>1264</v>
      </c>
      <c r="E1891" s="49" t="s">
        <v>2774</v>
      </c>
      <c r="F1891" s="49" t="s">
        <v>2900</v>
      </c>
      <c r="G1891" s="49" t="s">
        <v>2975</v>
      </c>
      <c r="H1891" s="49" t="s">
        <v>973</v>
      </c>
      <c r="I1891" s="50">
        <v>40798</v>
      </c>
      <c r="J1891" s="50">
        <v>40865</v>
      </c>
      <c r="K1891" s="50">
        <v>41940</v>
      </c>
      <c r="M1891" s="49" t="s">
        <v>8492</v>
      </c>
    </row>
    <row r="1892" spans="1:13" x14ac:dyDescent="0.35">
      <c r="A1892" s="49" t="s">
        <v>8493</v>
      </c>
      <c r="B1892" s="49" t="s">
        <v>8156</v>
      </c>
      <c r="C1892" s="49" t="s">
        <v>8494</v>
      </c>
      <c r="D1892" s="49" t="s">
        <v>1264</v>
      </c>
      <c r="E1892" s="49" t="s">
        <v>2774</v>
      </c>
      <c r="F1892" s="49" t="s">
        <v>2900</v>
      </c>
      <c r="G1892" s="49" t="s">
        <v>2975</v>
      </c>
      <c r="H1892" s="49" t="s">
        <v>2832</v>
      </c>
      <c r="I1892" s="50">
        <v>41869</v>
      </c>
      <c r="J1892" s="50">
        <v>42179</v>
      </c>
      <c r="K1892" s="50">
        <v>44369</v>
      </c>
      <c r="M1892" s="49" t="s">
        <v>8495</v>
      </c>
    </row>
    <row r="1893" spans="1:13" x14ac:dyDescent="0.35">
      <c r="A1893" s="49" t="s">
        <v>8496</v>
      </c>
      <c r="B1893" s="49" t="s">
        <v>8228</v>
      </c>
      <c r="C1893" s="49" t="s">
        <v>8497</v>
      </c>
      <c r="D1893" s="49" t="s">
        <v>1264</v>
      </c>
      <c r="E1893" s="49" t="s">
        <v>7057</v>
      </c>
      <c r="F1893" s="49" t="s">
        <v>2825</v>
      </c>
      <c r="G1893" s="49" t="s">
        <v>2787</v>
      </c>
      <c r="H1893" s="49" t="s">
        <v>2827</v>
      </c>
      <c r="I1893" s="50">
        <v>42499</v>
      </c>
      <c r="J1893" s="50">
        <v>42605</v>
      </c>
      <c r="K1893" s="50">
        <v>43335</v>
      </c>
      <c r="M1893" s="49" t="s">
        <v>8498</v>
      </c>
    </row>
    <row r="1894" spans="1:13" x14ac:dyDescent="0.35">
      <c r="A1894" s="49" t="s">
        <v>8499</v>
      </c>
      <c r="B1894" s="49" t="s">
        <v>8500</v>
      </c>
      <c r="C1894" s="49" t="s">
        <v>8501</v>
      </c>
      <c r="D1894" s="49" t="s">
        <v>1264</v>
      </c>
      <c r="E1894" s="49" t="s">
        <v>2908</v>
      </c>
      <c r="F1894" s="49" t="s">
        <v>3010</v>
      </c>
      <c r="G1894" s="49" t="s">
        <v>2787</v>
      </c>
      <c r="H1894" s="49" t="s">
        <v>980</v>
      </c>
      <c r="I1894" s="50">
        <v>33799</v>
      </c>
      <c r="J1894" s="50">
        <v>33891</v>
      </c>
      <c r="K1894" s="50">
        <v>38102</v>
      </c>
      <c r="M1894" s="49" t="s">
        <v>8502</v>
      </c>
    </row>
    <row r="1895" spans="1:13" x14ac:dyDescent="0.35">
      <c r="A1895" s="49" t="s">
        <v>8503</v>
      </c>
      <c r="B1895" s="49" t="s">
        <v>8504</v>
      </c>
      <c r="C1895" s="49" t="s">
        <v>8505</v>
      </c>
      <c r="D1895" s="49" t="s">
        <v>1264</v>
      </c>
      <c r="E1895" s="49" t="s">
        <v>2986</v>
      </c>
      <c r="F1895" s="49" t="s">
        <v>2825</v>
      </c>
      <c r="G1895" s="49" t="s">
        <v>2787</v>
      </c>
      <c r="H1895" s="49" t="s">
        <v>2827</v>
      </c>
      <c r="I1895" s="50">
        <v>42766</v>
      </c>
      <c r="J1895" s="50">
        <v>42940</v>
      </c>
      <c r="K1895" s="50">
        <v>44036</v>
      </c>
      <c r="M1895" s="49" t="s">
        <v>3270</v>
      </c>
    </row>
    <row r="1896" spans="1:13" x14ac:dyDescent="0.35">
      <c r="A1896" s="49" t="s">
        <v>8506</v>
      </c>
      <c r="B1896" s="49" t="s">
        <v>8507</v>
      </c>
      <c r="C1896" s="49" t="s">
        <v>8508</v>
      </c>
      <c r="D1896" s="49" t="s">
        <v>1264</v>
      </c>
      <c r="E1896" s="49" t="s">
        <v>2774</v>
      </c>
      <c r="F1896" s="49" t="s">
        <v>3598</v>
      </c>
      <c r="G1896" s="49" t="s">
        <v>2826</v>
      </c>
      <c r="H1896" s="49" t="s">
        <v>2827</v>
      </c>
      <c r="I1896" s="50">
        <v>39293</v>
      </c>
      <c r="J1896" s="50">
        <v>39310</v>
      </c>
      <c r="K1896" s="50">
        <v>43692</v>
      </c>
      <c r="M1896" s="49" t="s">
        <v>8509</v>
      </c>
    </row>
    <row r="1897" spans="1:13" x14ac:dyDescent="0.35">
      <c r="A1897" s="49" t="s">
        <v>8510</v>
      </c>
      <c r="B1897" s="49" t="s">
        <v>8511</v>
      </c>
      <c r="C1897" s="49" t="s">
        <v>8263</v>
      </c>
      <c r="D1897" s="49" t="s">
        <v>1264</v>
      </c>
      <c r="E1897" s="49" t="s">
        <v>2774</v>
      </c>
      <c r="F1897" s="49" t="s">
        <v>5254</v>
      </c>
      <c r="G1897" s="49" t="s">
        <v>2787</v>
      </c>
      <c r="H1897" s="49" t="s">
        <v>973</v>
      </c>
      <c r="I1897" s="50">
        <v>40837</v>
      </c>
      <c r="J1897" s="50">
        <v>40877</v>
      </c>
      <c r="K1897" s="50">
        <v>41972</v>
      </c>
      <c r="M1897" s="49" t="s">
        <v>8512</v>
      </c>
    </row>
    <row r="1898" spans="1:13" x14ac:dyDescent="0.35">
      <c r="A1898" s="49" t="s">
        <v>8513</v>
      </c>
      <c r="B1898" s="49" t="s">
        <v>8514</v>
      </c>
      <c r="C1898" s="49" t="s">
        <v>8515</v>
      </c>
      <c r="D1898" s="49" t="s">
        <v>1264</v>
      </c>
      <c r="E1898" s="49" t="s">
        <v>7057</v>
      </c>
      <c r="F1898" s="49" t="s">
        <v>2825</v>
      </c>
      <c r="G1898" s="49" t="s">
        <v>2787</v>
      </c>
      <c r="H1898" s="49" t="s">
        <v>2827</v>
      </c>
      <c r="I1898" s="50">
        <v>41809</v>
      </c>
      <c r="J1898" s="50">
        <v>41879</v>
      </c>
      <c r="K1898" s="50">
        <v>42609</v>
      </c>
      <c r="M1898" s="49" t="s">
        <v>3100</v>
      </c>
    </row>
    <row r="1899" spans="1:13" x14ac:dyDescent="0.35">
      <c r="A1899" s="49" t="s">
        <v>8516</v>
      </c>
      <c r="B1899" s="49" t="s">
        <v>2795</v>
      </c>
      <c r="C1899" s="49" t="s">
        <v>3837</v>
      </c>
      <c r="D1899" s="49" t="s">
        <v>1264</v>
      </c>
      <c r="E1899" s="49" t="s">
        <v>2774</v>
      </c>
      <c r="F1899" s="49" t="s">
        <v>4259</v>
      </c>
      <c r="G1899" s="49" t="s">
        <v>3602</v>
      </c>
      <c r="H1899" s="49" t="s">
        <v>980</v>
      </c>
      <c r="I1899" s="50">
        <v>40932</v>
      </c>
      <c r="J1899" s="50">
        <v>40935</v>
      </c>
      <c r="K1899" s="50">
        <v>41844</v>
      </c>
      <c r="M1899" s="49" t="s">
        <v>8517</v>
      </c>
    </row>
    <row r="1900" spans="1:13" x14ac:dyDescent="0.35">
      <c r="A1900" s="49" t="s">
        <v>8518</v>
      </c>
      <c r="B1900" s="49" t="s">
        <v>8519</v>
      </c>
      <c r="C1900" s="49" t="s">
        <v>8520</v>
      </c>
      <c r="D1900" s="49" t="s">
        <v>1264</v>
      </c>
      <c r="E1900" s="49" t="s">
        <v>2774</v>
      </c>
      <c r="F1900" s="49" t="s">
        <v>2825</v>
      </c>
      <c r="G1900" s="49" t="s">
        <v>2787</v>
      </c>
      <c r="H1900" s="49" t="s">
        <v>2827</v>
      </c>
      <c r="I1900" s="50">
        <v>41745</v>
      </c>
      <c r="J1900" s="50">
        <v>42191</v>
      </c>
      <c r="K1900" s="50">
        <v>43286</v>
      </c>
      <c r="M1900" s="49" t="s">
        <v>8521</v>
      </c>
    </row>
    <row r="1901" spans="1:13" x14ac:dyDescent="0.35">
      <c r="A1901" s="49" t="s">
        <v>8522</v>
      </c>
      <c r="B1901" s="49" t="s">
        <v>8523</v>
      </c>
      <c r="C1901" s="49" t="s">
        <v>8362</v>
      </c>
      <c r="D1901" s="49" t="s">
        <v>1264</v>
      </c>
      <c r="E1901" s="49" t="s">
        <v>2774</v>
      </c>
      <c r="F1901" s="49" t="s">
        <v>2825</v>
      </c>
      <c r="G1901" s="49" t="s">
        <v>2787</v>
      </c>
      <c r="H1901" s="49" t="s">
        <v>2827</v>
      </c>
      <c r="I1901" s="50">
        <v>41596</v>
      </c>
      <c r="J1901" s="50">
        <v>41880</v>
      </c>
      <c r="K1901" s="50">
        <v>42975</v>
      </c>
      <c r="M1901" s="49" t="s">
        <v>8524</v>
      </c>
    </row>
    <row r="1902" spans="1:13" x14ac:dyDescent="0.35">
      <c r="A1902" s="49" t="s">
        <v>8525</v>
      </c>
      <c r="B1902" s="49" t="s">
        <v>8526</v>
      </c>
      <c r="C1902" s="49" t="s">
        <v>8527</v>
      </c>
      <c r="D1902" s="49" t="s">
        <v>1264</v>
      </c>
      <c r="E1902" s="49" t="s">
        <v>2908</v>
      </c>
      <c r="F1902" s="49" t="s">
        <v>2939</v>
      </c>
      <c r="G1902" s="49" t="s">
        <v>2787</v>
      </c>
      <c r="H1902" s="49" t="s">
        <v>3229</v>
      </c>
      <c r="I1902" s="50">
        <v>41338</v>
      </c>
      <c r="J1902" s="50">
        <v>41509</v>
      </c>
      <c r="K1902" s="50">
        <v>43334</v>
      </c>
      <c r="M1902" s="49" t="s">
        <v>8528</v>
      </c>
    </row>
    <row r="1903" spans="1:13" x14ac:dyDescent="0.35">
      <c r="A1903" s="49" t="s">
        <v>8529</v>
      </c>
      <c r="B1903" s="49" t="s">
        <v>8530</v>
      </c>
      <c r="C1903" s="49" t="s">
        <v>8531</v>
      </c>
      <c r="D1903" s="49" t="s">
        <v>1264</v>
      </c>
      <c r="E1903" s="49" t="s">
        <v>2774</v>
      </c>
      <c r="F1903" s="49" t="s">
        <v>2900</v>
      </c>
      <c r="G1903" s="49" t="s">
        <v>2975</v>
      </c>
      <c r="H1903" s="49" t="s">
        <v>2827</v>
      </c>
      <c r="I1903" s="50">
        <v>42032</v>
      </c>
      <c r="J1903" s="50">
        <v>42200</v>
      </c>
      <c r="K1903" s="50">
        <v>44391</v>
      </c>
      <c r="M1903" s="49" t="s">
        <v>8532</v>
      </c>
    </row>
    <row r="1904" spans="1:13" x14ac:dyDescent="0.35">
      <c r="A1904" s="49" t="s">
        <v>8533</v>
      </c>
      <c r="B1904" s="49" t="s">
        <v>8534</v>
      </c>
      <c r="C1904" s="49" t="s">
        <v>8535</v>
      </c>
      <c r="D1904" s="49" t="s">
        <v>1264</v>
      </c>
      <c r="E1904" s="49" t="s">
        <v>2774</v>
      </c>
      <c r="F1904" s="49" t="s">
        <v>2900</v>
      </c>
      <c r="G1904" s="49" t="s">
        <v>2975</v>
      </c>
      <c r="H1904" s="49" t="s">
        <v>3229</v>
      </c>
      <c r="I1904" s="50">
        <v>42633</v>
      </c>
      <c r="J1904" s="50">
        <v>43468</v>
      </c>
      <c r="K1904" s="50">
        <v>44929</v>
      </c>
      <c r="M1904" s="49" t="s">
        <v>8536</v>
      </c>
    </row>
    <row r="1905" spans="1:13" x14ac:dyDescent="0.35">
      <c r="A1905" s="49" t="s">
        <v>8537</v>
      </c>
      <c r="B1905" s="49" t="s">
        <v>8538</v>
      </c>
      <c r="C1905" s="49" t="s">
        <v>8539</v>
      </c>
      <c r="D1905" s="49" t="s">
        <v>1264</v>
      </c>
      <c r="E1905" s="49" t="s">
        <v>2986</v>
      </c>
      <c r="F1905" s="49" t="s">
        <v>2825</v>
      </c>
      <c r="G1905" s="49" t="s">
        <v>2787</v>
      </c>
      <c r="H1905" s="49" t="s">
        <v>2827</v>
      </c>
      <c r="I1905" s="50">
        <v>42742</v>
      </c>
      <c r="J1905" s="50">
        <v>42955</v>
      </c>
      <c r="K1905" s="50">
        <v>44051</v>
      </c>
      <c r="M1905" s="49" t="s">
        <v>3270</v>
      </c>
    </row>
    <row r="1906" spans="1:13" x14ac:dyDescent="0.35">
      <c r="A1906" s="49" t="s">
        <v>8540</v>
      </c>
      <c r="B1906" s="49" t="s">
        <v>8541</v>
      </c>
      <c r="C1906" s="49" t="s">
        <v>8542</v>
      </c>
      <c r="D1906" s="49" t="s">
        <v>1264</v>
      </c>
      <c r="E1906" s="49" t="s">
        <v>2986</v>
      </c>
      <c r="F1906" s="49" t="s">
        <v>2825</v>
      </c>
      <c r="G1906" s="49" t="s">
        <v>2921</v>
      </c>
      <c r="H1906" s="49" t="s">
        <v>2827</v>
      </c>
      <c r="I1906" s="50">
        <v>42809</v>
      </c>
      <c r="J1906" s="50">
        <v>42955</v>
      </c>
      <c r="K1906" s="50">
        <v>44051</v>
      </c>
      <c r="M1906" s="49" t="s">
        <v>3270</v>
      </c>
    </row>
    <row r="1907" spans="1:13" x14ac:dyDescent="0.35">
      <c r="A1907" s="49" t="s">
        <v>8543</v>
      </c>
      <c r="B1907" s="49" t="s">
        <v>8544</v>
      </c>
      <c r="C1907" s="49" t="s">
        <v>8545</v>
      </c>
      <c r="D1907" s="49" t="s">
        <v>1264</v>
      </c>
      <c r="E1907" s="49" t="s">
        <v>2986</v>
      </c>
      <c r="F1907" s="49" t="s">
        <v>2825</v>
      </c>
      <c r="G1907" s="49" t="s">
        <v>2787</v>
      </c>
      <c r="H1907" s="49" t="s">
        <v>2827</v>
      </c>
      <c r="I1907" s="50">
        <v>42872</v>
      </c>
      <c r="J1907" s="50">
        <v>42955</v>
      </c>
      <c r="K1907" s="50">
        <v>44051</v>
      </c>
      <c r="M1907" s="49" t="s">
        <v>3270</v>
      </c>
    </row>
    <row r="1908" spans="1:13" x14ac:dyDescent="0.35">
      <c r="A1908" s="49" t="s">
        <v>8546</v>
      </c>
      <c r="B1908" s="49" t="s">
        <v>8547</v>
      </c>
      <c r="C1908" s="49" t="s">
        <v>5320</v>
      </c>
      <c r="D1908" s="49" t="s">
        <v>1264</v>
      </c>
      <c r="E1908" s="49" t="s">
        <v>2986</v>
      </c>
      <c r="F1908" s="49" t="s">
        <v>2825</v>
      </c>
      <c r="G1908" s="49" t="s">
        <v>2787</v>
      </c>
      <c r="H1908" s="49" t="s">
        <v>2827</v>
      </c>
      <c r="I1908" s="50">
        <v>42564</v>
      </c>
      <c r="J1908" s="50">
        <v>42677</v>
      </c>
      <c r="K1908" s="50">
        <v>44051</v>
      </c>
      <c r="M1908" s="49" t="s">
        <v>3100</v>
      </c>
    </row>
    <row r="1909" spans="1:13" x14ac:dyDescent="0.35">
      <c r="A1909" s="49" t="s">
        <v>8548</v>
      </c>
      <c r="B1909" s="49" t="s">
        <v>8549</v>
      </c>
      <c r="C1909" s="49" t="s">
        <v>3245</v>
      </c>
      <c r="D1909" s="49" t="s">
        <v>1264</v>
      </c>
      <c r="E1909" s="49" t="s">
        <v>2774</v>
      </c>
      <c r="F1909" s="49" t="s">
        <v>2780</v>
      </c>
      <c r="G1909" s="49" t="s">
        <v>2787</v>
      </c>
      <c r="H1909" s="49" t="s">
        <v>1062</v>
      </c>
      <c r="I1909" s="50">
        <v>41193</v>
      </c>
      <c r="J1909" s="50">
        <v>41516</v>
      </c>
      <c r="K1909" s="50">
        <v>43705</v>
      </c>
      <c r="M1909" s="49" t="s">
        <v>8550</v>
      </c>
    </row>
    <row r="1910" spans="1:13" x14ac:dyDescent="0.35">
      <c r="A1910" s="49" t="s">
        <v>8551</v>
      </c>
      <c r="B1910" s="49" t="s">
        <v>8552</v>
      </c>
      <c r="C1910" s="49" t="s">
        <v>8553</v>
      </c>
      <c r="D1910" s="49" t="s">
        <v>1264</v>
      </c>
      <c r="E1910" s="49" t="s">
        <v>2908</v>
      </c>
      <c r="F1910" s="49" t="s">
        <v>2939</v>
      </c>
      <c r="G1910" s="49" t="s">
        <v>2787</v>
      </c>
      <c r="H1910" s="49" t="s">
        <v>3229</v>
      </c>
      <c r="I1910" s="50">
        <v>41416</v>
      </c>
      <c r="J1910" s="50">
        <v>41516</v>
      </c>
      <c r="K1910" s="50">
        <v>43341</v>
      </c>
      <c r="M1910" s="49" t="s">
        <v>8554</v>
      </c>
    </row>
    <row r="1911" spans="1:13" x14ac:dyDescent="0.35">
      <c r="A1911" s="49" t="s">
        <v>8555</v>
      </c>
      <c r="B1911" s="49" t="s">
        <v>8556</v>
      </c>
      <c r="C1911" s="49" t="s">
        <v>8557</v>
      </c>
      <c r="D1911" s="49" t="s">
        <v>1264</v>
      </c>
      <c r="E1911" s="49" t="s">
        <v>2774</v>
      </c>
      <c r="F1911" s="49" t="s">
        <v>2825</v>
      </c>
      <c r="G1911" s="49" t="s">
        <v>2826</v>
      </c>
      <c r="H1911" s="49" t="s">
        <v>973</v>
      </c>
      <c r="I1911" s="50">
        <v>39486</v>
      </c>
      <c r="J1911" s="50">
        <v>40128</v>
      </c>
      <c r="K1911" s="50">
        <v>43779</v>
      </c>
      <c r="M1911" s="49" t="s">
        <v>8558</v>
      </c>
    </row>
    <row r="1912" spans="1:13" x14ac:dyDescent="0.35">
      <c r="A1912" s="49" t="s">
        <v>8559</v>
      </c>
      <c r="B1912" s="49" t="s">
        <v>8560</v>
      </c>
      <c r="C1912" s="49" t="s">
        <v>8485</v>
      </c>
      <c r="D1912" s="49" t="s">
        <v>1264</v>
      </c>
      <c r="E1912" s="49" t="s">
        <v>2908</v>
      </c>
      <c r="F1912" s="49" t="s">
        <v>2786</v>
      </c>
      <c r="G1912" s="49" t="s">
        <v>2787</v>
      </c>
      <c r="H1912" s="49" t="s">
        <v>980</v>
      </c>
      <c r="I1912" s="50">
        <v>40882</v>
      </c>
      <c r="J1912" s="50">
        <v>40886</v>
      </c>
      <c r="K1912" s="50">
        <v>42712</v>
      </c>
      <c r="M1912" s="49" t="s">
        <v>8561</v>
      </c>
    </row>
    <row r="1913" spans="1:13" x14ac:dyDescent="0.35">
      <c r="A1913" s="49" t="s">
        <v>8562</v>
      </c>
      <c r="B1913" s="49" t="s">
        <v>4659</v>
      </c>
      <c r="C1913" s="49" t="s">
        <v>3837</v>
      </c>
      <c r="D1913" s="49" t="s">
        <v>1264</v>
      </c>
      <c r="E1913" s="49" t="s">
        <v>2974</v>
      </c>
      <c r="F1913" s="49" t="s">
        <v>2900</v>
      </c>
      <c r="G1913" s="49" t="s">
        <v>2975</v>
      </c>
      <c r="H1913" s="49" t="s">
        <v>2827</v>
      </c>
      <c r="I1913" s="50">
        <v>41375</v>
      </c>
      <c r="J1913" s="50">
        <v>41516</v>
      </c>
      <c r="K1913" s="50">
        <v>42611</v>
      </c>
      <c r="M1913" s="49" t="s">
        <v>8563</v>
      </c>
    </row>
    <row r="1914" spans="1:13" x14ac:dyDescent="0.35">
      <c r="A1914" s="49" t="s">
        <v>8564</v>
      </c>
      <c r="B1914" s="49" t="s">
        <v>4305</v>
      </c>
      <c r="C1914" s="49" t="s">
        <v>8565</v>
      </c>
      <c r="D1914" s="49" t="s">
        <v>1264</v>
      </c>
      <c r="E1914" s="49" t="s">
        <v>7057</v>
      </c>
      <c r="F1914" s="49" t="s">
        <v>2825</v>
      </c>
      <c r="G1914" s="49" t="s">
        <v>2787</v>
      </c>
      <c r="H1914" s="49" t="s">
        <v>973</v>
      </c>
      <c r="I1914" s="50">
        <v>41278</v>
      </c>
      <c r="J1914" s="50">
        <v>41516</v>
      </c>
      <c r="K1914" s="50">
        <v>42565</v>
      </c>
      <c r="M1914" s="49" t="s">
        <v>3100</v>
      </c>
    </row>
    <row r="1915" spans="1:13" x14ac:dyDescent="0.35">
      <c r="A1915" s="49" t="s">
        <v>8566</v>
      </c>
      <c r="B1915" s="49" t="s">
        <v>8567</v>
      </c>
      <c r="C1915" s="49" t="s">
        <v>8568</v>
      </c>
      <c r="D1915" s="49" t="s">
        <v>1264</v>
      </c>
      <c r="E1915" s="49" t="s">
        <v>2986</v>
      </c>
      <c r="F1915" s="49" t="s">
        <v>2825</v>
      </c>
      <c r="G1915" s="49" t="s">
        <v>2901</v>
      </c>
      <c r="H1915" s="49" t="s">
        <v>2827</v>
      </c>
      <c r="I1915" s="50">
        <v>41270</v>
      </c>
      <c r="J1915" s="50">
        <v>41516</v>
      </c>
      <c r="K1915" s="50">
        <v>45479</v>
      </c>
      <c r="L1915" s="50">
        <v>42977</v>
      </c>
      <c r="M1915" s="49" t="s">
        <v>3270</v>
      </c>
    </row>
    <row r="1916" spans="1:13" x14ac:dyDescent="0.35">
      <c r="A1916" s="49" t="s">
        <v>8569</v>
      </c>
      <c r="B1916" s="49" t="s">
        <v>7332</v>
      </c>
      <c r="C1916" s="49" t="s">
        <v>8570</v>
      </c>
      <c r="D1916" s="49" t="s">
        <v>1264</v>
      </c>
      <c r="E1916" s="49" t="s">
        <v>2908</v>
      </c>
      <c r="F1916" s="49" t="s">
        <v>3010</v>
      </c>
      <c r="G1916" s="49" t="s">
        <v>2975</v>
      </c>
      <c r="H1916" s="49" t="s">
        <v>980</v>
      </c>
      <c r="I1916" s="50">
        <v>39190</v>
      </c>
      <c r="J1916" s="50">
        <v>41516</v>
      </c>
      <c r="K1916" s="50">
        <v>43341</v>
      </c>
      <c r="M1916" s="49" t="s">
        <v>7438</v>
      </c>
    </row>
    <row r="1917" spans="1:13" x14ac:dyDescent="0.35">
      <c r="A1917" s="49" t="s">
        <v>8571</v>
      </c>
      <c r="B1917" s="49" t="s">
        <v>8572</v>
      </c>
      <c r="C1917" s="49" t="s">
        <v>8573</v>
      </c>
      <c r="D1917" s="49" t="s">
        <v>1264</v>
      </c>
      <c r="E1917" s="49" t="s">
        <v>7057</v>
      </c>
      <c r="F1917" s="49" t="s">
        <v>2825</v>
      </c>
      <c r="G1917" s="49" t="s">
        <v>2787</v>
      </c>
      <c r="H1917" s="49" t="s">
        <v>2827</v>
      </c>
      <c r="I1917" s="50">
        <v>40812</v>
      </c>
      <c r="J1917" s="50">
        <v>40891</v>
      </c>
      <c r="K1917" s="50">
        <v>42569</v>
      </c>
      <c r="M1917" s="49" t="s">
        <v>8574</v>
      </c>
    </row>
    <row r="1918" spans="1:13" x14ac:dyDescent="0.35">
      <c r="A1918" s="49" t="s">
        <v>8575</v>
      </c>
      <c r="B1918" s="49" t="s">
        <v>8576</v>
      </c>
      <c r="C1918" s="49" t="s">
        <v>8577</v>
      </c>
      <c r="D1918" s="49" t="s">
        <v>1264</v>
      </c>
      <c r="E1918" s="49" t="s">
        <v>2908</v>
      </c>
      <c r="F1918" s="49" t="s">
        <v>2837</v>
      </c>
      <c r="G1918" s="49" t="s">
        <v>2826</v>
      </c>
      <c r="H1918" s="49" t="s">
        <v>980</v>
      </c>
      <c r="I1918" s="50">
        <v>28543</v>
      </c>
      <c r="J1918" s="50">
        <v>28793</v>
      </c>
      <c r="K1918" s="50">
        <v>30618</v>
      </c>
      <c r="M1918" s="49" t="s">
        <v>3477</v>
      </c>
    </row>
    <row r="1919" spans="1:13" x14ac:dyDescent="0.35">
      <c r="A1919" s="49" t="s">
        <v>8578</v>
      </c>
      <c r="B1919" s="49" t="s">
        <v>6573</v>
      </c>
      <c r="C1919" s="49" t="s">
        <v>8579</v>
      </c>
      <c r="D1919" s="49" t="s">
        <v>1264</v>
      </c>
      <c r="E1919" s="49" t="s">
        <v>2908</v>
      </c>
      <c r="F1919" s="49" t="s">
        <v>3010</v>
      </c>
      <c r="G1919" s="49" t="s">
        <v>2787</v>
      </c>
      <c r="H1919" s="49" t="s">
        <v>980</v>
      </c>
      <c r="I1919" s="50">
        <v>31563</v>
      </c>
      <c r="J1919" s="50">
        <v>31735</v>
      </c>
      <c r="K1919" s="50">
        <v>39907</v>
      </c>
      <c r="M1919" s="49" t="s">
        <v>3477</v>
      </c>
    </row>
    <row r="1920" spans="1:13" x14ac:dyDescent="0.35">
      <c r="A1920" s="49" t="s">
        <v>8580</v>
      </c>
      <c r="B1920" s="49" t="s">
        <v>8581</v>
      </c>
      <c r="C1920" s="49" t="s">
        <v>4626</v>
      </c>
      <c r="D1920" s="49" t="s">
        <v>1264</v>
      </c>
      <c r="E1920" s="49" t="s">
        <v>2908</v>
      </c>
      <c r="F1920" s="49" t="s">
        <v>2837</v>
      </c>
      <c r="G1920" s="49" t="s">
        <v>2975</v>
      </c>
      <c r="H1920" s="49" t="s">
        <v>980</v>
      </c>
      <c r="I1920" s="50">
        <v>43279</v>
      </c>
      <c r="J1920" s="50">
        <v>43616</v>
      </c>
      <c r="K1920" s="50">
        <v>45316</v>
      </c>
      <c r="M1920" s="49" t="s">
        <v>4020</v>
      </c>
    </row>
    <row r="1921" spans="1:13" x14ac:dyDescent="0.35">
      <c r="A1921" s="49" t="s">
        <v>8582</v>
      </c>
      <c r="B1921" s="49" t="s">
        <v>8258</v>
      </c>
      <c r="C1921" s="49" t="s">
        <v>7017</v>
      </c>
      <c r="D1921" s="49" t="s">
        <v>1264</v>
      </c>
      <c r="E1921" s="49" t="s">
        <v>2774</v>
      </c>
      <c r="F1921" s="49" t="s">
        <v>2900</v>
      </c>
      <c r="G1921" s="49" t="s">
        <v>2787</v>
      </c>
      <c r="H1921" s="49" t="s">
        <v>980</v>
      </c>
      <c r="I1921" s="50">
        <v>40714</v>
      </c>
      <c r="J1921" s="50">
        <v>40745</v>
      </c>
      <c r="K1921" s="50">
        <v>42936</v>
      </c>
      <c r="M1921" s="49" t="s">
        <v>8583</v>
      </c>
    </row>
    <row r="1922" spans="1:13" x14ac:dyDescent="0.35">
      <c r="A1922" s="49" t="s">
        <v>8584</v>
      </c>
      <c r="B1922" s="49" t="s">
        <v>8585</v>
      </c>
      <c r="C1922" s="49" t="s">
        <v>8586</v>
      </c>
      <c r="D1922" s="49" t="s">
        <v>1264</v>
      </c>
      <c r="E1922" s="49" t="s">
        <v>2986</v>
      </c>
      <c r="F1922" s="49" t="s">
        <v>2825</v>
      </c>
      <c r="G1922" s="49" t="s">
        <v>2787</v>
      </c>
      <c r="H1922" s="49" t="s">
        <v>2827</v>
      </c>
      <c r="I1922" s="50">
        <v>42604</v>
      </c>
      <c r="J1922" s="50">
        <v>42969</v>
      </c>
      <c r="K1922" s="50">
        <v>44065</v>
      </c>
      <c r="M1922" s="49" t="s">
        <v>8587</v>
      </c>
    </row>
    <row r="1923" spans="1:13" x14ac:dyDescent="0.35">
      <c r="A1923" s="49" t="s">
        <v>8588</v>
      </c>
      <c r="B1923" s="49" t="s">
        <v>8589</v>
      </c>
      <c r="C1923" s="49" t="s">
        <v>8590</v>
      </c>
      <c r="D1923" s="49" t="s">
        <v>1264</v>
      </c>
      <c r="E1923" s="49" t="s">
        <v>2774</v>
      </c>
      <c r="F1923" s="49" t="s">
        <v>2825</v>
      </c>
      <c r="G1923" s="49" t="s">
        <v>2921</v>
      </c>
      <c r="H1923" s="49" t="s">
        <v>2827</v>
      </c>
      <c r="I1923" s="50">
        <v>42644</v>
      </c>
      <c r="J1923" s="50">
        <v>42969</v>
      </c>
      <c r="K1923" s="50">
        <v>45524</v>
      </c>
      <c r="M1923" s="49" t="s">
        <v>8591</v>
      </c>
    </row>
    <row r="1924" spans="1:13" x14ac:dyDescent="0.35">
      <c r="A1924" s="49" t="s">
        <v>8592</v>
      </c>
      <c r="B1924" s="49" t="s">
        <v>8593</v>
      </c>
      <c r="C1924" s="49" t="s">
        <v>8594</v>
      </c>
      <c r="D1924" s="49" t="s">
        <v>1264</v>
      </c>
      <c r="E1924" s="49" t="s">
        <v>7057</v>
      </c>
      <c r="F1924" s="49" t="s">
        <v>2825</v>
      </c>
      <c r="G1924" s="49" t="s">
        <v>2787</v>
      </c>
      <c r="H1924" s="49" t="s">
        <v>2827</v>
      </c>
      <c r="I1924" s="50">
        <v>41731</v>
      </c>
      <c r="J1924" s="50">
        <v>41919</v>
      </c>
      <c r="K1924" s="50">
        <v>42650</v>
      </c>
      <c r="M1924" s="49" t="s">
        <v>8595</v>
      </c>
    </row>
    <row r="1925" spans="1:13" x14ac:dyDescent="0.35">
      <c r="A1925" s="49" t="s">
        <v>8596</v>
      </c>
      <c r="B1925" s="49" t="s">
        <v>8597</v>
      </c>
      <c r="C1925" s="49" t="s">
        <v>8594</v>
      </c>
      <c r="D1925" s="49" t="s">
        <v>1264</v>
      </c>
      <c r="E1925" s="49" t="s">
        <v>7057</v>
      </c>
      <c r="F1925" s="49" t="s">
        <v>2825</v>
      </c>
      <c r="G1925" s="49" t="s">
        <v>2787</v>
      </c>
      <c r="H1925" s="49" t="s">
        <v>2827</v>
      </c>
      <c r="I1925" s="50">
        <v>41684</v>
      </c>
      <c r="J1925" s="50">
        <v>41919</v>
      </c>
      <c r="K1925" s="50">
        <v>42649</v>
      </c>
      <c r="M1925" s="49" t="s">
        <v>8598</v>
      </c>
    </row>
    <row r="1926" spans="1:13" x14ac:dyDescent="0.35">
      <c r="A1926" s="49" t="s">
        <v>8599</v>
      </c>
      <c r="B1926" s="49" t="s">
        <v>8600</v>
      </c>
      <c r="C1926" s="49" t="s">
        <v>8601</v>
      </c>
      <c r="D1926" s="49" t="s">
        <v>1264</v>
      </c>
      <c r="E1926" s="49" t="s">
        <v>2774</v>
      </c>
      <c r="F1926" s="49" t="s">
        <v>2900</v>
      </c>
      <c r="G1926" s="49" t="s">
        <v>2975</v>
      </c>
      <c r="H1926" s="49" t="s">
        <v>980</v>
      </c>
      <c r="I1926" s="50">
        <v>40929</v>
      </c>
      <c r="J1926" s="50">
        <v>40967</v>
      </c>
      <c r="K1926" s="50">
        <v>42276</v>
      </c>
      <c r="M1926" s="49" t="s">
        <v>8602</v>
      </c>
    </row>
    <row r="1927" spans="1:13" x14ac:dyDescent="0.35">
      <c r="A1927" s="49" t="s">
        <v>8603</v>
      </c>
      <c r="B1927" s="49" t="s">
        <v>8604</v>
      </c>
      <c r="C1927" s="49" t="s">
        <v>8605</v>
      </c>
      <c r="D1927" s="49" t="s">
        <v>1264</v>
      </c>
      <c r="E1927" s="49" t="s">
        <v>2974</v>
      </c>
      <c r="F1927" s="49" t="s">
        <v>2900</v>
      </c>
      <c r="G1927" s="49" t="s">
        <v>2787</v>
      </c>
      <c r="H1927" s="49" t="s">
        <v>980</v>
      </c>
      <c r="I1927" s="50">
        <v>41927</v>
      </c>
      <c r="J1927" s="50">
        <v>41933</v>
      </c>
      <c r="K1927" s="50">
        <v>43028</v>
      </c>
      <c r="M1927" s="49" t="s">
        <v>8606</v>
      </c>
    </row>
    <row r="1928" spans="1:13" x14ac:dyDescent="0.35">
      <c r="A1928" s="49" t="s">
        <v>8607</v>
      </c>
      <c r="B1928" s="49" t="s">
        <v>8608</v>
      </c>
      <c r="C1928" s="49" t="s">
        <v>8605</v>
      </c>
      <c r="D1928" s="49" t="s">
        <v>1264</v>
      </c>
      <c r="E1928" s="49" t="s">
        <v>2974</v>
      </c>
      <c r="F1928" s="49" t="s">
        <v>2900</v>
      </c>
      <c r="G1928" s="49" t="s">
        <v>2787</v>
      </c>
      <c r="H1928" s="49" t="s">
        <v>980</v>
      </c>
      <c r="I1928" s="50">
        <v>41927</v>
      </c>
      <c r="J1928" s="50">
        <v>41933</v>
      </c>
      <c r="K1928" s="50">
        <v>43028</v>
      </c>
      <c r="M1928" s="49" t="s">
        <v>8609</v>
      </c>
    </row>
    <row r="1929" spans="1:13" x14ac:dyDescent="0.35">
      <c r="A1929" s="49" t="s">
        <v>8610</v>
      </c>
      <c r="B1929" s="49" t="s">
        <v>8611</v>
      </c>
      <c r="C1929" s="49" t="s">
        <v>8612</v>
      </c>
      <c r="D1929" s="49" t="s">
        <v>1264</v>
      </c>
      <c r="E1929" s="49" t="s">
        <v>2774</v>
      </c>
      <c r="F1929" s="49" t="s">
        <v>2775</v>
      </c>
      <c r="G1929" s="49" t="s">
        <v>2975</v>
      </c>
      <c r="H1929" s="49" t="s">
        <v>980</v>
      </c>
      <c r="I1929" s="50">
        <v>40929</v>
      </c>
      <c r="J1929" s="50">
        <v>40967</v>
      </c>
      <c r="K1929" s="50">
        <v>43157</v>
      </c>
      <c r="M1929" s="49" t="s">
        <v>8613</v>
      </c>
    </row>
    <row r="1930" spans="1:13" x14ac:dyDescent="0.35">
      <c r="A1930" s="49" t="s">
        <v>8614</v>
      </c>
      <c r="B1930" s="49" t="s">
        <v>8615</v>
      </c>
      <c r="C1930" s="49" t="s">
        <v>8616</v>
      </c>
      <c r="D1930" s="49" t="s">
        <v>1264</v>
      </c>
      <c r="E1930" s="49" t="s">
        <v>2986</v>
      </c>
      <c r="F1930" s="49" t="s">
        <v>2825</v>
      </c>
      <c r="G1930" s="49" t="s">
        <v>2787</v>
      </c>
      <c r="H1930" s="49" t="s">
        <v>2827</v>
      </c>
      <c r="I1930" s="50">
        <v>42621</v>
      </c>
      <c r="J1930" s="50">
        <v>42983</v>
      </c>
      <c r="K1930" s="50">
        <v>44079</v>
      </c>
      <c r="M1930" s="49" t="s">
        <v>8617</v>
      </c>
    </row>
    <row r="1931" spans="1:13" x14ac:dyDescent="0.35">
      <c r="A1931" s="49" t="s">
        <v>8618</v>
      </c>
      <c r="B1931" s="49" t="s">
        <v>6648</v>
      </c>
      <c r="C1931" s="49" t="s">
        <v>8619</v>
      </c>
      <c r="D1931" s="49" t="s">
        <v>1264</v>
      </c>
      <c r="E1931" s="49" t="s">
        <v>2986</v>
      </c>
      <c r="F1931" s="49" t="s">
        <v>2825</v>
      </c>
      <c r="G1931" s="49" t="s">
        <v>2787</v>
      </c>
      <c r="H1931" s="49" t="s">
        <v>2827</v>
      </c>
      <c r="I1931" s="50">
        <v>42916</v>
      </c>
      <c r="J1931" s="50">
        <v>42983</v>
      </c>
      <c r="K1931" s="50">
        <v>44079</v>
      </c>
      <c r="M1931" s="49" t="s">
        <v>8620</v>
      </c>
    </row>
    <row r="1932" spans="1:13" x14ac:dyDescent="0.35">
      <c r="A1932" s="49" t="s">
        <v>8621</v>
      </c>
      <c r="B1932" s="49" t="s">
        <v>3411</v>
      </c>
      <c r="C1932" s="49" t="s">
        <v>7950</v>
      </c>
      <c r="D1932" s="49" t="s">
        <v>1264</v>
      </c>
      <c r="E1932" s="49" t="s">
        <v>7057</v>
      </c>
      <c r="F1932" s="49" t="s">
        <v>2825</v>
      </c>
      <c r="G1932" s="49" t="s">
        <v>2787</v>
      </c>
      <c r="H1932" s="49" t="s">
        <v>2827</v>
      </c>
      <c r="I1932" s="50">
        <v>42657</v>
      </c>
      <c r="J1932" s="50">
        <v>42688</v>
      </c>
      <c r="K1932" s="50">
        <v>43418</v>
      </c>
      <c r="M1932" s="49" t="s">
        <v>3270</v>
      </c>
    </row>
    <row r="1933" spans="1:13" x14ac:dyDescent="0.35">
      <c r="A1933" s="49" t="s">
        <v>8622</v>
      </c>
      <c r="B1933" s="49" t="s">
        <v>3354</v>
      </c>
      <c r="C1933" s="49" t="s">
        <v>6652</v>
      </c>
      <c r="D1933" s="49" t="s">
        <v>1264</v>
      </c>
      <c r="E1933" s="49" t="s">
        <v>2908</v>
      </c>
      <c r="F1933" s="49" t="s">
        <v>2939</v>
      </c>
      <c r="G1933" s="49" t="s">
        <v>2975</v>
      </c>
      <c r="H1933" s="49" t="s">
        <v>980</v>
      </c>
      <c r="I1933" s="50">
        <v>42611</v>
      </c>
      <c r="J1933" s="50">
        <v>42688</v>
      </c>
      <c r="K1933" s="50">
        <v>44513</v>
      </c>
      <c r="M1933" s="49" t="s">
        <v>8623</v>
      </c>
    </row>
    <row r="1934" spans="1:13" x14ac:dyDescent="0.35">
      <c r="A1934" s="49" t="s">
        <v>8624</v>
      </c>
      <c r="B1934" s="49" t="s">
        <v>8625</v>
      </c>
      <c r="C1934" s="49" t="s">
        <v>8626</v>
      </c>
      <c r="D1934" s="49" t="s">
        <v>1264</v>
      </c>
      <c r="E1934" s="49" t="s">
        <v>2908</v>
      </c>
      <c r="F1934" s="49" t="s">
        <v>3010</v>
      </c>
      <c r="G1934" s="49" t="s">
        <v>2787</v>
      </c>
      <c r="H1934" s="49" t="s">
        <v>980</v>
      </c>
      <c r="I1934" s="50">
        <v>41074</v>
      </c>
      <c r="J1934" s="50">
        <v>41576</v>
      </c>
      <c r="K1934" s="50">
        <v>43401</v>
      </c>
      <c r="M1934" s="49" t="s">
        <v>8627</v>
      </c>
    </row>
    <row r="1935" spans="1:13" x14ac:dyDescent="0.35">
      <c r="A1935" s="49" t="s">
        <v>8628</v>
      </c>
      <c r="B1935" s="49" t="s">
        <v>8629</v>
      </c>
      <c r="C1935" s="49" t="s">
        <v>8630</v>
      </c>
      <c r="D1935" s="49" t="s">
        <v>1264</v>
      </c>
      <c r="E1935" s="49" t="s">
        <v>7057</v>
      </c>
      <c r="F1935" s="49" t="s">
        <v>2825</v>
      </c>
      <c r="G1935" s="49" t="s">
        <v>2787</v>
      </c>
      <c r="H1935" s="49" t="s">
        <v>2827</v>
      </c>
      <c r="I1935" s="50">
        <v>41479</v>
      </c>
      <c r="J1935" s="50">
        <v>41576</v>
      </c>
      <c r="K1935" s="50">
        <v>42569</v>
      </c>
      <c r="M1935" s="49" t="s">
        <v>3270</v>
      </c>
    </row>
    <row r="1936" spans="1:13" x14ac:dyDescent="0.35">
      <c r="A1936" s="49" t="s">
        <v>8631</v>
      </c>
      <c r="B1936" s="49" t="s">
        <v>8632</v>
      </c>
      <c r="C1936" s="49" t="s">
        <v>8109</v>
      </c>
      <c r="D1936" s="49" t="s">
        <v>1264</v>
      </c>
      <c r="E1936" s="49" t="s">
        <v>7057</v>
      </c>
      <c r="F1936" s="49" t="s">
        <v>2825</v>
      </c>
      <c r="G1936" s="49" t="s">
        <v>2787</v>
      </c>
      <c r="H1936" s="49" t="s">
        <v>2827</v>
      </c>
      <c r="I1936" s="50">
        <v>41477</v>
      </c>
      <c r="J1936" s="50">
        <v>41576</v>
      </c>
      <c r="K1936" s="50">
        <v>42565</v>
      </c>
      <c r="M1936" s="49" t="s">
        <v>3270</v>
      </c>
    </row>
    <row r="1937" spans="1:13" x14ac:dyDescent="0.35">
      <c r="A1937" s="49" t="s">
        <v>8633</v>
      </c>
      <c r="B1937" s="49" t="s">
        <v>8634</v>
      </c>
      <c r="C1937" s="49" t="s">
        <v>8635</v>
      </c>
      <c r="D1937" s="49" t="s">
        <v>1264</v>
      </c>
      <c r="E1937" s="49" t="s">
        <v>7057</v>
      </c>
      <c r="F1937" s="49" t="s">
        <v>2825</v>
      </c>
      <c r="G1937" s="49" t="s">
        <v>2787</v>
      </c>
      <c r="H1937" s="49" t="s">
        <v>2827</v>
      </c>
      <c r="I1937" s="50">
        <v>41341</v>
      </c>
      <c r="J1937" s="50">
        <v>42305</v>
      </c>
      <c r="K1937" s="50">
        <v>43036</v>
      </c>
      <c r="M1937" s="49" t="s">
        <v>8636</v>
      </c>
    </row>
    <row r="1938" spans="1:13" x14ac:dyDescent="0.35">
      <c r="A1938" s="49" t="s">
        <v>8637</v>
      </c>
      <c r="B1938" s="49" t="s">
        <v>8638</v>
      </c>
      <c r="C1938" s="49" t="s">
        <v>3238</v>
      </c>
      <c r="D1938" s="49" t="s">
        <v>1264</v>
      </c>
      <c r="E1938" s="49" t="s">
        <v>2774</v>
      </c>
      <c r="F1938" s="49" t="s">
        <v>2900</v>
      </c>
      <c r="G1938" s="49" t="s">
        <v>2787</v>
      </c>
      <c r="H1938" s="49" t="s">
        <v>980</v>
      </c>
      <c r="I1938" s="50">
        <v>41466</v>
      </c>
      <c r="J1938" s="50">
        <v>41576</v>
      </c>
      <c r="K1938" s="50">
        <v>43766</v>
      </c>
      <c r="M1938" s="49" t="s">
        <v>8639</v>
      </c>
    </row>
    <row r="1939" spans="1:13" x14ac:dyDescent="0.35">
      <c r="A1939" s="49" t="s">
        <v>8640</v>
      </c>
      <c r="B1939" s="49" t="s">
        <v>8641</v>
      </c>
      <c r="C1939" s="49" t="s">
        <v>8229</v>
      </c>
      <c r="D1939" s="49" t="s">
        <v>1264</v>
      </c>
      <c r="E1939" s="49" t="s">
        <v>7057</v>
      </c>
      <c r="F1939" s="49" t="s">
        <v>2825</v>
      </c>
      <c r="G1939" s="49" t="s">
        <v>2787</v>
      </c>
      <c r="H1939" s="49" t="s">
        <v>2827</v>
      </c>
      <c r="I1939" s="50">
        <v>42151</v>
      </c>
      <c r="J1939" s="50">
        <v>42705</v>
      </c>
      <c r="K1939" s="50">
        <v>43435</v>
      </c>
      <c r="M1939" s="49" t="s">
        <v>8642</v>
      </c>
    </row>
    <row r="1940" spans="1:13" x14ac:dyDescent="0.35">
      <c r="A1940" s="49" t="s">
        <v>8643</v>
      </c>
      <c r="B1940" s="49" t="s">
        <v>3636</v>
      </c>
      <c r="C1940" s="49" t="s">
        <v>4146</v>
      </c>
      <c r="D1940" s="49" t="s">
        <v>1264</v>
      </c>
      <c r="E1940" s="49" t="s">
        <v>2986</v>
      </c>
      <c r="F1940" s="49" t="s">
        <v>2825</v>
      </c>
      <c r="G1940" s="49" t="s">
        <v>2787</v>
      </c>
      <c r="H1940" s="49" t="s">
        <v>2827</v>
      </c>
      <c r="I1940" s="50">
        <v>42627</v>
      </c>
      <c r="J1940" s="50">
        <v>42705</v>
      </c>
      <c r="K1940" s="50">
        <v>43435</v>
      </c>
      <c r="M1940" s="49" t="s">
        <v>3270</v>
      </c>
    </row>
    <row r="1941" spans="1:13" x14ac:dyDescent="0.35">
      <c r="A1941" s="49" t="s">
        <v>8644</v>
      </c>
      <c r="B1941" s="49" t="s">
        <v>8645</v>
      </c>
      <c r="C1941" s="49" t="s">
        <v>8109</v>
      </c>
      <c r="D1941" s="49" t="s">
        <v>1264</v>
      </c>
      <c r="E1941" s="49" t="s">
        <v>2986</v>
      </c>
      <c r="F1941" s="49" t="s">
        <v>2825</v>
      </c>
      <c r="G1941" s="49" t="s">
        <v>2921</v>
      </c>
      <c r="H1941" s="49" t="s">
        <v>2827</v>
      </c>
      <c r="I1941" s="50">
        <v>42585</v>
      </c>
      <c r="J1941" s="50">
        <v>42705</v>
      </c>
      <c r="K1941" s="50">
        <v>46390</v>
      </c>
      <c r="L1941" s="50">
        <v>45295</v>
      </c>
      <c r="M1941" s="49" t="s">
        <v>3270</v>
      </c>
    </row>
    <row r="1942" spans="1:13" x14ac:dyDescent="0.35">
      <c r="A1942" s="49" t="s">
        <v>8646</v>
      </c>
      <c r="B1942" s="49" t="s">
        <v>8647</v>
      </c>
      <c r="C1942" s="49" t="s">
        <v>3072</v>
      </c>
      <c r="D1942" s="49" t="s">
        <v>1264</v>
      </c>
      <c r="E1942" s="49" t="s">
        <v>2974</v>
      </c>
      <c r="F1942" s="49" t="s">
        <v>2900</v>
      </c>
      <c r="G1942" s="49" t="s">
        <v>2787</v>
      </c>
      <c r="H1942" s="49" t="s">
        <v>980</v>
      </c>
      <c r="I1942" s="50">
        <v>42678</v>
      </c>
      <c r="J1942" s="50">
        <v>42712</v>
      </c>
      <c r="K1942" s="50">
        <v>43807</v>
      </c>
      <c r="M1942" s="49" t="s">
        <v>8648</v>
      </c>
    </row>
    <row r="1943" spans="1:13" x14ac:dyDescent="0.35">
      <c r="A1943" s="49" t="s">
        <v>8649</v>
      </c>
      <c r="B1943" s="49" t="s">
        <v>3123</v>
      </c>
      <c r="C1943" s="49" t="s">
        <v>8650</v>
      </c>
      <c r="D1943" s="49" t="s">
        <v>1264</v>
      </c>
      <c r="E1943" s="49" t="s">
        <v>3443</v>
      </c>
      <c r="F1943" s="49" t="s">
        <v>3124</v>
      </c>
      <c r="G1943" s="49" t="s">
        <v>2901</v>
      </c>
      <c r="H1943" s="49" t="s">
        <v>980</v>
      </c>
      <c r="I1943" s="50">
        <v>42368</v>
      </c>
      <c r="J1943" s="50">
        <v>44762</v>
      </c>
      <c r="K1943" s="50">
        <v>46587</v>
      </c>
      <c r="M1943" s="49" t="s">
        <v>3526</v>
      </c>
    </row>
    <row r="1944" spans="1:13" x14ac:dyDescent="0.35">
      <c r="A1944" s="49" t="s">
        <v>8651</v>
      </c>
      <c r="B1944" s="49" t="s">
        <v>8652</v>
      </c>
      <c r="C1944" s="49" t="s">
        <v>3930</v>
      </c>
      <c r="D1944" s="49" t="s">
        <v>1264</v>
      </c>
      <c r="E1944" s="49" t="s">
        <v>2908</v>
      </c>
      <c r="F1944" s="49" t="s">
        <v>3010</v>
      </c>
      <c r="G1944" s="49" t="s">
        <v>2975</v>
      </c>
      <c r="H1944" s="49" t="s">
        <v>980</v>
      </c>
      <c r="I1944" s="50">
        <v>41920</v>
      </c>
      <c r="J1944" s="50">
        <v>43325</v>
      </c>
      <c r="K1944" s="50">
        <v>45150</v>
      </c>
      <c r="M1944" s="49" t="s">
        <v>8653</v>
      </c>
    </row>
    <row r="1945" spans="1:13" x14ac:dyDescent="0.35">
      <c r="A1945" s="49" t="s">
        <v>8654</v>
      </c>
      <c r="B1945" s="49" t="s">
        <v>3075</v>
      </c>
      <c r="C1945" s="49" t="s">
        <v>7966</v>
      </c>
      <c r="D1945" s="49" t="s">
        <v>1264</v>
      </c>
      <c r="E1945" s="49" t="s">
        <v>2774</v>
      </c>
      <c r="F1945" s="49" t="s">
        <v>3598</v>
      </c>
      <c r="G1945" s="49" t="s">
        <v>2975</v>
      </c>
      <c r="H1945" s="49" t="s">
        <v>973</v>
      </c>
      <c r="I1945" s="50">
        <v>37288</v>
      </c>
      <c r="J1945" s="50">
        <v>37769</v>
      </c>
      <c r="K1945" s="50">
        <v>42569</v>
      </c>
      <c r="M1945" s="49" t="s">
        <v>8655</v>
      </c>
    </row>
    <row r="1946" spans="1:13" x14ac:dyDescent="0.35">
      <c r="A1946" s="49" t="s">
        <v>8656</v>
      </c>
      <c r="B1946" s="49" t="s">
        <v>8657</v>
      </c>
      <c r="C1946" s="49" t="s">
        <v>8356</v>
      </c>
      <c r="D1946" s="49" t="s">
        <v>1264</v>
      </c>
      <c r="E1946" s="49" t="s">
        <v>7057</v>
      </c>
      <c r="F1946" s="49" t="s">
        <v>2825</v>
      </c>
      <c r="G1946" s="49" t="s">
        <v>2787</v>
      </c>
      <c r="H1946" s="49" t="s">
        <v>2827</v>
      </c>
      <c r="I1946" s="50">
        <v>42230</v>
      </c>
      <c r="J1946" s="50">
        <v>42283</v>
      </c>
      <c r="K1946" s="50">
        <v>43014</v>
      </c>
      <c r="M1946" s="49" t="s">
        <v>8658</v>
      </c>
    </row>
    <row r="1947" spans="1:13" x14ac:dyDescent="0.35">
      <c r="A1947" s="49" t="s">
        <v>8659</v>
      </c>
      <c r="B1947" s="49" t="s">
        <v>8660</v>
      </c>
      <c r="C1947" s="49" t="s">
        <v>8661</v>
      </c>
      <c r="D1947" s="49" t="s">
        <v>1264</v>
      </c>
      <c r="E1947" s="49" t="s">
        <v>7057</v>
      </c>
      <c r="F1947" s="49" t="s">
        <v>2825</v>
      </c>
      <c r="G1947" s="49" t="s">
        <v>2787</v>
      </c>
      <c r="H1947" s="49" t="s">
        <v>2827</v>
      </c>
      <c r="I1947" s="50">
        <v>42192</v>
      </c>
      <c r="J1947" s="50">
        <v>42283</v>
      </c>
      <c r="K1947" s="50">
        <v>43014</v>
      </c>
      <c r="M1947" s="49" t="s">
        <v>3270</v>
      </c>
    </row>
    <row r="1948" spans="1:13" x14ac:dyDescent="0.35">
      <c r="A1948" s="49" t="s">
        <v>8662</v>
      </c>
      <c r="C1948" s="49" t="s">
        <v>3280</v>
      </c>
      <c r="D1948" s="49" t="s">
        <v>1264</v>
      </c>
      <c r="E1948" s="49" t="s">
        <v>2873</v>
      </c>
      <c r="F1948" s="49" t="s">
        <v>2792</v>
      </c>
      <c r="G1948" s="49" t="s">
        <v>2787</v>
      </c>
      <c r="H1948" s="49" t="s">
        <v>4225</v>
      </c>
      <c r="I1948" s="50">
        <v>43605</v>
      </c>
      <c r="J1948" s="50">
        <v>43671</v>
      </c>
      <c r="K1948" s="50">
        <v>44036</v>
      </c>
      <c r="M1948" s="49" t="s">
        <v>8663</v>
      </c>
    </row>
    <row r="1949" spans="1:13" x14ac:dyDescent="0.35">
      <c r="A1949" s="49" t="s">
        <v>8664</v>
      </c>
      <c r="B1949" s="49" t="s">
        <v>8665</v>
      </c>
      <c r="C1949" s="49" t="s">
        <v>8666</v>
      </c>
      <c r="D1949" s="49" t="s">
        <v>1264</v>
      </c>
      <c r="E1949" s="49" t="s">
        <v>2774</v>
      </c>
      <c r="F1949" s="49" t="s">
        <v>3188</v>
      </c>
      <c r="G1949" s="49" t="s">
        <v>2787</v>
      </c>
      <c r="H1949" s="49" t="s">
        <v>973</v>
      </c>
      <c r="I1949" s="50">
        <v>42223</v>
      </c>
      <c r="J1949" s="50">
        <v>42313</v>
      </c>
      <c r="K1949" s="50">
        <v>43408</v>
      </c>
      <c r="M1949" s="49" t="s">
        <v>8667</v>
      </c>
    </row>
    <row r="1950" spans="1:13" x14ac:dyDescent="0.35">
      <c r="A1950" s="49" t="s">
        <v>8668</v>
      </c>
      <c r="B1950" s="49" t="s">
        <v>8669</v>
      </c>
      <c r="C1950" s="49" t="s">
        <v>8670</v>
      </c>
      <c r="D1950" s="49" t="s">
        <v>1264</v>
      </c>
      <c r="E1950" s="49" t="s">
        <v>2986</v>
      </c>
      <c r="F1950" s="49" t="s">
        <v>2825</v>
      </c>
      <c r="G1950" s="49" t="s">
        <v>2787</v>
      </c>
      <c r="H1950" s="49" t="s">
        <v>2827</v>
      </c>
      <c r="I1950" s="50">
        <v>42898</v>
      </c>
      <c r="J1950" s="50">
        <v>43083</v>
      </c>
      <c r="K1950" s="50">
        <v>44179</v>
      </c>
      <c r="M1950" s="49" t="s">
        <v>3270</v>
      </c>
    </row>
    <row r="1951" spans="1:13" x14ac:dyDescent="0.35">
      <c r="A1951" s="49" t="s">
        <v>8671</v>
      </c>
      <c r="B1951" s="49" t="s">
        <v>2942</v>
      </c>
      <c r="C1951" s="49" t="s">
        <v>8672</v>
      </c>
      <c r="D1951" s="49" t="s">
        <v>1264</v>
      </c>
      <c r="E1951" s="49" t="s">
        <v>2908</v>
      </c>
      <c r="F1951" s="49" t="s">
        <v>2939</v>
      </c>
      <c r="G1951" s="49" t="s">
        <v>2787</v>
      </c>
      <c r="H1951" s="49" t="s">
        <v>980</v>
      </c>
      <c r="I1951" s="50">
        <v>42032</v>
      </c>
      <c r="J1951" s="50">
        <v>42342</v>
      </c>
      <c r="K1951" s="50">
        <v>44168</v>
      </c>
      <c r="M1951" s="49" t="s">
        <v>8673</v>
      </c>
    </row>
    <row r="1952" spans="1:13" x14ac:dyDescent="0.35">
      <c r="A1952" s="49" t="s">
        <v>8674</v>
      </c>
      <c r="B1952" s="49" t="s">
        <v>8675</v>
      </c>
      <c r="C1952" s="49" t="s">
        <v>8676</v>
      </c>
      <c r="D1952" s="49" t="s">
        <v>1264</v>
      </c>
      <c r="E1952" s="49" t="s">
        <v>2986</v>
      </c>
      <c r="F1952" s="49" t="s">
        <v>2825</v>
      </c>
      <c r="G1952" s="49" t="s">
        <v>2787</v>
      </c>
      <c r="H1952" s="49" t="s">
        <v>2827</v>
      </c>
      <c r="I1952" s="50">
        <v>42965</v>
      </c>
      <c r="J1952" s="50">
        <v>43096</v>
      </c>
      <c r="K1952" s="50">
        <v>44192</v>
      </c>
      <c r="M1952" s="49" t="s">
        <v>8677</v>
      </c>
    </row>
    <row r="1953" spans="1:13" x14ac:dyDescent="0.35">
      <c r="A1953" s="49" t="s">
        <v>8678</v>
      </c>
      <c r="B1953" s="49" t="s">
        <v>8679</v>
      </c>
      <c r="C1953" s="49" t="s">
        <v>8680</v>
      </c>
      <c r="D1953" s="49" t="s">
        <v>1264</v>
      </c>
      <c r="E1953" s="49" t="s">
        <v>3443</v>
      </c>
      <c r="F1953" s="49" t="s">
        <v>3124</v>
      </c>
      <c r="G1953" s="49" t="s">
        <v>4891</v>
      </c>
      <c r="H1953" s="49" t="s">
        <v>980</v>
      </c>
      <c r="I1953" s="50">
        <v>43976</v>
      </c>
      <c r="M1953" s="49" t="s">
        <v>3584</v>
      </c>
    </row>
    <row r="1954" spans="1:13" x14ac:dyDescent="0.35">
      <c r="A1954" s="49" t="s">
        <v>8681</v>
      </c>
      <c r="B1954" s="49" t="s">
        <v>3615</v>
      </c>
      <c r="C1954" s="49" t="s">
        <v>8682</v>
      </c>
      <c r="D1954" s="49" t="s">
        <v>1264</v>
      </c>
      <c r="E1954" s="49" t="s">
        <v>2908</v>
      </c>
      <c r="F1954" s="49" t="s">
        <v>3010</v>
      </c>
      <c r="G1954" s="49" t="s">
        <v>2975</v>
      </c>
      <c r="H1954" s="49" t="s">
        <v>980</v>
      </c>
      <c r="I1954" s="50">
        <v>42843</v>
      </c>
      <c r="J1954" s="50">
        <v>43445</v>
      </c>
      <c r="K1954" s="50">
        <v>45270</v>
      </c>
      <c r="M1954" s="49" t="s">
        <v>8683</v>
      </c>
    </row>
    <row r="1955" spans="1:13" x14ac:dyDescent="0.35">
      <c r="A1955" s="49" t="s">
        <v>8684</v>
      </c>
      <c r="B1955" s="49" t="s">
        <v>8685</v>
      </c>
      <c r="C1955" s="49" t="s">
        <v>8686</v>
      </c>
      <c r="D1955" s="49" t="s">
        <v>1264</v>
      </c>
      <c r="E1955" s="49" t="s">
        <v>3443</v>
      </c>
      <c r="F1955" s="49" t="s">
        <v>3124</v>
      </c>
      <c r="G1955" s="49" t="s">
        <v>2901</v>
      </c>
      <c r="H1955" s="49" t="s">
        <v>980</v>
      </c>
      <c r="I1955" s="50">
        <v>44125</v>
      </c>
      <c r="J1955" s="50">
        <v>44179</v>
      </c>
      <c r="K1955" s="50">
        <v>46004</v>
      </c>
      <c r="M1955" s="49" t="s">
        <v>8687</v>
      </c>
    </row>
    <row r="1956" spans="1:13" x14ac:dyDescent="0.35">
      <c r="A1956" s="49" t="s">
        <v>8688</v>
      </c>
      <c r="C1956" s="49" t="s">
        <v>8689</v>
      </c>
      <c r="D1956" s="49" t="s">
        <v>1264</v>
      </c>
      <c r="E1956" s="49" t="s">
        <v>2908</v>
      </c>
      <c r="F1956" s="49" t="s">
        <v>2786</v>
      </c>
      <c r="G1956" s="49" t="s">
        <v>2776</v>
      </c>
      <c r="H1956" s="49" t="s">
        <v>980</v>
      </c>
      <c r="I1956" s="50">
        <v>41285</v>
      </c>
      <c r="M1956" s="49" t="s">
        <v>8690</v>
      </c>
    </row>
    <row r="1957" spans="1:13" x14ac:dyDescent="0.35">
      <c r="A1957" s="49" t="s">
        <v>8691</v>
      </c>
      <c r="C1957" s="49" t="s">
        <v>7740</v>
      </c>
      <c r="D1957" s="49" t="s">
        <v>1264</v>
      </c>
      <c r="E1957" s="49" t="s">
        <v>7057</v>
      </c>
      <c r="F1957" s="49" t="s">
        <v>2825</v>
      </c>
      <c r="G1957" s="49" t="s">
        <v>2776</v>
      </c>
      <c r="H1957" s="49" t="s">
        <v>2827</v>
      </c>
      <c r="I1957" s="50">
        <v>41410</v>
      </c>
      <c r="M1957" s="49" t="s">
        <v>8350</v>
      </c>
    </row>
    <row r="1958" spans="1:13" x14ac:dyDescent="0.35">
      <c r="A1958" s="49" t="s">
        <v>8692</v>
      </c>
      <c r="C1958" s="49" t="s">
        <v>2773</v>
      </c>
      <c r="D1958" s="49" t="s">
        <v>1264</v>
      </c>
      <c r="E1958" s="49" t="s">
        <v>2814</v>
      </c>
      <c r="F1958" s="49" t="s">
        <v>2939</v>
      </c>
      <c r="G1958" s="49" t="s">
        <v>2826</v>
      </c>
      <c r="H1958" s="49" t="s">
        <v>980</v>
      </c>
      <c r="I1958" s="50">
        <v>41408</v>
      </c>
      <c r="M1958" s="49" t="s">
        <v>8693</v>
      </c>
    </row>
    <row r="1959" spans="1:13" x14ac:dyDescent="0.35">
      <c r="A1959" s="49" t="s">
        <v>8694</v>
      </c>
      <c r="C1959" s="49" t="s">
        <v>8175</v>
      </c>
      <c r="D1959" s="49" t="s">
        <v>1264</v>
      </c>
      <c r="E1959" s="49" t="s">
        <v>2814</v>
      </c>
      <c r="F1959" s="49" t="s">
        <v>2939</v>
      </c>
      <c r="G1959" s="49" t="s">
        <v>2826</v>
      </c>
      <c r="H1959" s="49" t="s">
        <v>980</v>
      </c>
      <c r="I1959" s="50">
        <v>41397</v>
      </c>
      <c r="M1959" s="49" t="s">
        <v>8695</v>
      </c>
    </row>
    <row r="1960" spans="1:13" x14ac:dyDescent="0.35">
      <c r="A1960" s="49" t="s">
        <v>8696</v>
      </c>
      <c r="B1960" s="49" t="s">
        <v>8697</v>
      </c>
      <c r="C1960" s="49" t="s">
        <v>3116</v>
      </c>
      <c r="D1960" s="49" t="s">
        <v>1264</v>
      </c>
      <c r="E1960" s="49" t="s">
        <v>2774</v>
      </c>
      <c r="F1960" s="49" t="s">
        <v>3188</v>
      </c>
      <c r="G1960" s="49" t="s">
        <v>2776</v>
      </c>
      <c r="H1960" s="49" t="s">
        <v>2827</v>
      </c>
      <c r="I1960" s="50">
        <v>41234</v>
      </c>
      <c r="M1960" s="49" t="s">
        <v>8698</v>
      </c>
    </row>
    <row r="1961" spans="1:13" x14ac:dyDescent="0.35">
      <c r="A1961" s="49" t="s">
        <v>8699</v>
      </c>
      <c r="B1961" s="49" t="s">
        <v>8700</v>
      </c>
      <c r="C1961" s="49" t="s">
        <v>3837</v>
      </c>
      <c r="D1961" s="49" t="s">
        <v>1264</v>
      </c>
      <c r="E1961" s="49" t="s">
        <v>2814</v>
      </c>
      <c r="F1961" s="49" t="s">
        <v>2900</v>
      </c>
      <c r="G1961" s="49" t="s">
        <v>2826</v>
      </c>
      <c r="H1961" s="49" t="s">
        <v>3229</v>
      </c>
      <c r="I1961" s="50">
        <v>41243</v>
      </c>
      <c r="M1961" s="49" t="s">
        <v>8701</v>
      </c>
    </row>
    <row r="1962" spans="1:13" x14ac:dyDescent="0.35">
      <c r="A1962" s="49" t="s">
        <v>8702</v>
      </c>
      <c r="B1962" s="49" t="s">
        <v>3244</v>
      </c>
      <c r="C1962" s="49" t="s">
        <v>8091</v>
      </c>
      <c r="D1962" s="49" t="s">
        <v>1264</v>
      </c>
      <c r="E1962" s="49" t="s">
        <v>2774</v>
      </c>
      <c r="F1962" s="49" t="s">
        <v>2825</v>
      </c>
      <c r="G1962" s="49" t="s">
        <v>2776</v>
      </c>
      <c r="H1962" s="49" t="s">
        <v>2827</v>
      </c>
      <c r="I1962" s="50">
        <v>41337</v>
      </c>
      <c r="M1962" s="49" t="s">
        <v>8703</v>
      </c>
    </row>
    <row r="1963" spans="1:13" x14ac:dyDescent="0.35">
      <c r="A1963" s="49" t="s">
        <v>8704</v>
      </c>
      <c r="C1963" s="49" t="s">
        <v>8705</v>
      </c>
      <c r="D1963" s="49" t="s">
        <v>1264</v>
      </c>
      <c r="E1963" s="49" t="s">
        <v>2774</v>
      </c>
      <c r="F1963" s="49" t="s">
        <v>3648</v>
      </c>
      <c r="G1963" s="49" t="s">
        <v>2776</v>
      </c>
      <c r="H1963" s="49" t="s">
        <v>3229</v>
      </c>
      <c r="I1963" s="50">
        <v>41152</v>
      </c>
      <c r="M1963" s="49" t="s">
        <v>8706</v>
      </c>
    </row>
    <row r="1964" spans="1:13" x14ac:dyDescent="0.35">
      <c r="A1964" s="49" t="s">
        <v>8707</v>
      </c>
      <c r="C1964" s="49" t="s">
        <v>8437</v>
      </c>
      <c r="D1964" s="49" t="s">
        <v>1264</v>
      </c>
      <c r="E1964" s="49" t="s">
        <v>2814</v>
      </c>
      <c r="F1964" s="49" t="s">
        <v>2825</v>
      </c>
      <c r="G1964" s="49" t="s">
        <v>2826</v>
      </c>
      <c r="H1964" s="49" t="s">
        <v>2827</v>
      </c>
      <c r="I1964" s="50">
        <v>41466</v>
      </c>
      <c r="M1964" s="49" t="s">
        <v>8708</v>
      </c>
    </row>
    <row r="1965" spans="1:13" x14ac:dyDescent="0.35">
      <c r="A1965" s="49" t="s">
        <v>8709</v>
      </c>
      <c r="B1965" s="49" t="s">
        <v>8710</v>
      </c>
      <c r="C1965" s="49" t="s">
        <v>8630</v>
      </c>
      <c r="D1965" s="49" t="s">
        <v>1264</v>
      </c>
      <c r="E1965" s="49" t="s">
        <v>7057</v>
      </c>
      <c r="F1965" s="49" t="s">
        <v>2825</v>
      </c>
      <c r="G1965" s="49" t="s">
        <v>2776</v>
      </c>
      <c r="H1965" s="49" t="s">
        <v>2827</v>
      </c>
      <c r="I1965" s="50">
        <v>41254</v>
      </c>
      <c r="M1965" s="49" t="s">
        <v>8350</v>
      </c>
    </row>
    <row r="1966" spans="1:13" x14ac:dyDescent="0.35">
      <c r="A1966" s="49" t="s">
        <v>8711</v>
      </c>
      <c r="B1966" s="49" t="s">
        <v>8712</v>
      </c>
      <c r="C1966" s="49" t="s">
        <v>8713</v>
      </c>
      <c r="D1966" s="49" t="s">
        <v>1264</v>
      </c>
      <c r="E1966" s="49" t="s">
        <v>2774</v>
      </c>
      <c r="F1966" s="49" t="s">
        <v>2900</v>
      </c>
      <c r="G1966" s="49" t="s">
        <v>2776</v>
      </c>
      <c r="H1966" s="49" t="s">
        <v>2827</v>
      </c>
      <c r="I1966" s="50">
        <v>41345</v>
      </c>
      <c r="M1966" s="49" t="s">
        <v>8714</v>
      </c>
    </row>
    <row r="1967" spans="1:13" x14ac:dyDescent="0.35">
      <c r="A1967" s="49" t="s">
        <v>8715</v>
      </c>
      <c r="B1967" s="49" t="s">
        <v>8716</v>
      </c>
      <c r="C1967" s="49" t="s">
        <v>3211</v>
      </c>
      <c r="D1967" s="49" t="s">
        <v>1264</v>
      </c>
      <c r="E1967" s="49" t="s">
        <v>7057</v>
      </c>
      <c r="F1967" s="49" t="s">
        <v>2825</v>
      </c>
      <c r="G1967" s="49" t="s">
        <v>2776</v>
      </c>
      <c r="H1967" s="49" t="s">
        <v>2827</v>
      </c>
      <c r="I1967" s="50">
        <v>41211</v>
      </c>
      <c r="M1967" s="49" t="s">
        <v>3100</v>
      </c>
    </row>
    <row r="1968" spans="1:13" x14ac:dyDescent="0.35">
      <c r="A1968" s="49" t="s">
        <v>8717</v>
      </c>
      <c r="C1968" s="49" t="s">
        <v>8718</v>
      </c>
      <c r="D1968" s="49" t="s">
        <v>1264</v>
      </c>
      <c r="E1968" s="49" t="s">
        <v>7057</v>
      </c>
      <c r="F1968" s="49" t="s">
        <v>2825</v>
      </c>
      <c r="G1968" s="49" t="s">
        <v>2776</v>
      </c>
      <c r="H1968" s="49" t="s">
        <v>2827</v>
      </c>
      <c r="I1968" s="50">
        <v>41288</v>
      </c>
      <c r="M1968" s="49" t="s">
        <v>8719</v>
      </c>
    </row>
    <row r="1969" spans="1:13" x14ac:dyDescent="0.35">
      <c r="A1969" s="49" t="s">
        <v>8720</v>
      </c>
      <c r="C1969" s="49" t="s">
        <v>8721</v>
      </c>
      <c r="D1969" s="49" t="s">
        <v>1264</v>
      </c>
      <c r="E1969" s="49" t="s">
        <v>7057</v>
      </c>
      <c r="F1969" s="49" t="s">
        <v>2825</v>
      </c>
      <c r="G1969" s="49" t="s">
        <v>2776</v>
      </c>
      <c r="H1969" s="49" t="s">
        <v>2827</v>
      </c>
      <c r="I1969" s="50">
        <v>41347</v>
      </c>
      <c r="M1969" s="49" t="s">
        <v>8722</v>
      </c>
    </row>
    <row r="1970" spans="1:13" x14ac:dyDescent="0.35">
      <c r="A1970" s="49" t="s">
        <v>8723</v>
      </c>
      <c r="B1970" s="49" t="s">
        <v>8724</v>
      </c>
      <c r="C1970" s="49" t="s">
        <v>8725</v>
      </c>
      <c r="D1970" s="49" t="s">
        <v>1264</v>
      </c>
      <c r="E1970" s="49" t="s">
        <v>2774</v>
      </c>
      <c r="F1970" s="49" t="s">
        <v>8726</v>
      </c>
      <c r="G1970" s="49" t="s">
        <v>2776</v>
      </c>
      <c r="H1970" s="49" t="s">
        <v>2827</v>
      </c>
      <c r="I1970" s="50">
        <v>41463</v>
      </c>
      <c r="M1970" s="49" t="s">
        <v>8727</v>
      </c>
    </row>
    <row r="1971" spans="1:13" x14ac:dyDescent="0.35">
      <c r="A1971" s="49" t="s">
        <v>8728</v>
      </c>
      <c r="C1971" s="49" t="s">
        <v>7017</v>
      </c>
      <c r="D1971" s="49" t="s">
        <v>1264</v>
      </c>
      <c r="E1971" s="49" t="s">
        <v>2814</v>
      </c>
      <c r="F1971" s="49" t="s">
        <v>2780</v>
      </c>
      <c r="G1971" s="49" t="s">
        <v>2826</v>
      </c>
      <c r="H1971" s="49" t="s">
        <v>857</v>
      </c>
      <c r="I1971" s="50">
        <v>41218</v>
      </c>
      <c r="M1971" s="49" t="s">
        <v>8729</v>
      </c>
    </row>
    <row r="1972" spans="1:13" x14ac:dyDescent="0.35">
      <c r="A1972" s="49" t="s">
        <v>8730</v>
      </c>
      <c r="C1972" s="49" t="s">
        <v>3238</v>
      </c>
      <c r="D1972" s="49" t="s">
        <v>1264</v>
      </c>
      <c r="E1972" s="49" t="s">
        <v>2908</v>
      </c>
      <c r="F1972" s="49" t="s">
        <v>2939</v>
      </c>
      <c r="G1972" s="49" t="s">
        <v>2776</v>
      </c>
      <c r="H1972" s="49" t="s">
        <v>980</v>
      </c>
      <c r="I1972" s="50">
        <v>41170</v>
      </c>
      <c r="M1972" s="49" t="s">
        <v>8731</v>
      </c>
    </row>
    <row r="1973" spans="1:13" x14ac:dyDescent="0.35">
      <c r="A1973" s="49" t="s">
        <v>8732</v>
      </c>
      <c r="B1973" s="49" t="s">
        <v>8733</v>
      </c>
      <c r="C1973" s="49" t="s">
        <v>7033</v>
      </c>
      <c r="D1973" s="49" t="s">
        <v>1264</v>
      </c>
      <c r="E1973" s="49" t="s">
        <v>2774</v>
      </c>
      <c r="F1973" s="49" t="s">
        <v>2825</v>
      </c>
      <c r="G1973" s="49" t="s">
        <v>2776</v>
      </c>
      <c r="H1973" s="49" t="s">
        <v>2827</v>
      </c>
      <c r="I1973" s="50">
        <v>41716</v>
      </c>
      <c r="M1973" s="49" t="s">
        <v>8734</v>
      </c>
    </row>
    <row r="1974" spans="1:13" x14ac:dyDescent="0.35">
      <c r="A1974" s="49" t="s">
        <v>8735</v>
      </c>
      <c r="B1974" s="49" t="s">
        <v>6506</v>
      </c>
      <c r="C1974" s="49" t="s">
        <v>8291</v>
      </c>
      <c r="D1974" s="49" t="s">
        <v>1264</v>
      </c>
      <c r="E1974" s="49" t="s">
        <v>2774</v>
      </c>
      <c r="F1974" s="49" t="s">
        <v>2900</v>
      </c>
      <c r="G1974" s="49" t="s">
        <v>2776</v>
      </c>
      <c r="H1974" s="49" t="s">
        <v>2827</v>
      </c>
      <c r="I1974" s="50">
        <v>41220</v>
      </c>
      <c r="M1974" s="49" t="s">
        <v>8736</v>
      </c>
    </row>
    <row r="1975" spans="1:13" x14ac:dyDescent="0.35">
      <c r="A1975" s="49" t="s">
        <v>8737</v>
      </c>
      <c r="C1975" s="49" t="s">
        <v>8738</v>
      </c>
      <c r="D1975" s="49" t="s">
        <v>1264</v>
      </c>
      <c r="E1975" s="49" t="s">
        <v>2974</v>
      </c>
      <c r="F1975" s="49" t="s">
        <v>2825</v>
      </c>
      <c r="G1975" s="49" t="s">
        <v>2776</v>
      </c>
      <c r="H1975" s="49" t="s">
        <v>2827</v>
      </c>
      <c r="I1975" s="50">
        <v>41155</v>
      </c>
      <c r="M1975" s="49" t="s">
        <v>8739</v>
      </c>
    </row>
    <row r="1976" spans="1:13" x14ac:dyDescent="0.35">
      <c r="A1976" s="49" t="s">
        <v>8740</v>
      </c>
      <c r="B1976" s="49" t="s">
        <v>6999</v>
      </c>
      <c r="C1976" s="49" t="s">
        <v>8741</v>
      </c>
      <c r="D1976" s="49" t="s">
        <v>1264</v>
      </c>
      <c r="E1976" s="49" t="s">
        <v>2785</v>
      </c>
      <c r="F1976" s="49" t="s">
        <v>2792</v>
      </c>
      <c r="G1976" s="49" t="s">
        <v>2776</v>
      </c>
      <c r="H1976" s="49" t="s">
        <v>8</v>
      </c>
      <c r="I1976" s="50">
        <v>40954</v>
      </c>
      <c r="M1976" s="49" t="s">
        <v>8742</v>
      </c>
    </row>
    <row r="1977" spans="1:13" x14ac:dyDescent="0.35">
      <c r="A1977" s="49" t="s">
        <v>8743</v>
      </c>
      <c r="C1977" s="49" t="s">
        <v>8630</v>
      </c>
      <c r="D1977" s="49" t="s">
        <v>1264</v>
      </c>
      <c r="E1977" s="49" t="s">
        <v>2974</v>
      </c>
      <c r="F1977" s="49" t="s">
        <v>2825</v>
      </c>
      <c r="G1977" s="49" t="s">
        <v>2776</v>
      </c>
      <c r="H1977" s="49" t="s">
        <v>2827</v>
      </c>
      <c r="I1977" s="50">
        <v>41234</v>
      </c>
      <c r="M1977" s="49" t="s">
        <v>8744</v>
      </c>
    </row>
    <row r="1978" spans="1:13" x14ac:dyDescent="0.35">
      <c r="A1978" s="49" t="s">
        <v>8745</v>
      </c>
      <c r="C1978" s="49" t="s">
        <v>3280</v>
      </c>
      <c r="D1978" s="49" t="s">
        <v>1264</v>
      </c>
      <c r="E1978" s="49" t="s">
        <v>3748</v>
      </c>
      <c r="F1978" s="49" t="s">
        <v>2792</v>
      </c>
      <c r="G1978" s="49" t="s">
        <v>2776</v>
      </c>
      <c r="H1978" s="49" t="s">
        <v>8</v>
      </c>
      <c r="I1978" s="50">
        <v>40961</v>
      </c>
      <c r="M1978" s="49" t="s">
        <v>8746</v>
      </c>
    </row>
    <row r="1979" spans="1:13" x14ac:dyDescent="0.35">
      <c r="A1979" s="49" t="s">
        <v>8747</v>
      </c>
      <c r="C1979" s="49" t="s">
        <v>3269</v>
      </c>
      <c r="D1979" s="49" t="s">
        <v>1264</v>
      </c>
      <c r="E1979" s="49" t="s">
        <v>2814</v>
      </c>
      <c r="F1979" s="49" t="s">
        <v>2825</v>
      </c>
      <c r="G1979" s="49" t="s">
        <v>2826</v>
      </c>
      <c r="H1979" s="49" t="s">
        <v>2827</v>
      </c>
      <c r="I1979" s="50">
        <v>41387</v>
      </c>
      <c r="M1979" s="49" t="s">
        <v>8748</v>
      </c>
    </row>
    <row r="1980" spans="1:13" x14ac:dyDescent="0.35">
      <c r="A1980" s="49" t="s">
        <v>8749</v>
      </c>
      <c r="C1980" s="49" t="s">
        <v>8750</v>
      </c>
      <c r="D1980" s="49" t="s">
        <v>1264</v>
      </c>
      <c r="E1980" s="49" t="s">
        <v>2908</v>
      </c>
      <c r="F1980" s="49" t="s">
        <v>2939</v>
      </c>
      <c r="G1980" s="49" t="s">
        <v>2776</v>
      </c>
      <c r="H1980" s="49" t="s">
        <v>3229</v>
      </c>
      <c r="I1980" s="50">
        <v>41397</v>
      </c>
      <c r="M1980" s="49" t="s">
        <v>8751</v>
      </c>
    </row>
    <row r="1981" spans="1:13" x14ac:dyDescent="0.35">
      <c r="A1981" s="49" t="s">
        <v>8752</v>
      </c>
      <c r="C1981" s="49" t="s">
        <v>3837</v>
      </c>
      <c r="D1981" s="49" t="s">
        <v>1264</v>
      </c>
      <c r="E1981" s="49" t="s">
        <v>2814</v>
      </c>
      <c r="F1981" s="49" t="s">
        <v>2900</v>
      </c>
      <c r="G1981" s="49" t="s">
        <v>2826</v>
      </c>
      <c r="H1981" s="49" t="s">
        <v>3229</v>
      </c>
      <c r="I1981" s="50">
        <v>41388</v>
      </c>
      <c r="M1981" s="49" t="s">
        <v>8753</v>
      </c>
    </row>
    <row r="1982" spans="1:13" x14ac:dyDescent="0.35">
      <c r="A1982" s="49" t="s">
        <v>8754</v>
      </c>
      <c r="C1982" s="49" t="s">
        <v>4210</v>
      </c>
      <c r="D1982" s="49" t="s">
        <v>1264</v>
      </c>
      <c r="E1982" s="49" t="s">
        <v>2908</v>
      </c>
      <c r="F1982" s="49" t="s">
        <v>2805</v>
      </c>
      <c r="G1982" s="49" t="s">
        <v>2776</v>
      </c>
      <c r="H1982" s="49" t="s">
        <v>980</v>
      </c>
      <c r="I1982" s="50">
        <v>40934</v>
      </c>
      <c r="M1982" s="49" t="s">
        <v>8755</v>
      </c>
    </row>
    <row r="1983" spans="1:13" x14ac:dyDescent="0.35">
      <c r="A1983" s="49" t="s">
        <v>8756</v>
      </c>
      <c r="B1983" s="49" t="s">
        <v>8757</v>
      </c>
      <c r="C1983" s="49" t="s">
        <v>3116</v>
      </c>
      <c r="D1983" s="49" t="s">
        <v>1264</v>
      </c>
      <c r="E1983" s="49" t="s">
        <v>2774</v>
      </c>
      <c r="F1983" s="49" t="s">
        <v>3188</v>
      </c>
      <c r="G1983" s="49" t="s">
        <v>2776</v>
      </c>
      <c r="H1983" s="49" t="s">
        <v>973</v>
      </c>
      <c r="I1983" s="50">
        <v>41235</v>
      </c>
      <c r="M1983" s="49" t="s">
        <v>8758</v>
      </c>
    </row>
    <row r="1984" spans="1:13" x14ac:dyDescent="0.35">
      <c r="A1984" s="49" t="s">
        <v>8759</v>
      </c>
      <c r="B1984" s="49" t="s">
        <v>6506</v>
      </c>
      <c r="C1984" s="49" t="s">
        <v>3116</v>
      </c>
      <c r="D1984" s="49" t="s">
        <v>1264</v>
      </c>
      <c r="E1984" s="49" t="s">
        <v>2774</v>
      </c>
      <c r="F1984" s="49" t="s">
        <v>2900</v>
      </c>
      <c r="G1984" s="49" t="s">
        <v>2776</v>
      </c>
      <c r="H1984" s="49" t="s">
        <v>2827</v>
      </c>
      <c r="I1984" s="50">
        <v>41234</v>
      </c>
      <c r="M1984" s="49" t="s">
        <v>8760</v>
      </c>
    </row>
    <row r="1985" spans="1:13" x14ac:dyDescent="0.35">
      <c r="A1985" s="49" t="s">
        <v>8761</v>
      </c>
      <c r="B1985" s="49" t="s">
        <v>8762</v>
      </c>
      <c r="C1985" s="49" t="s">
        <v>3837</v>
      </c>
      <c r="D1985" s="49" t="s">
        <v>1264</v>
      </c>
      <c r="E1985" s="49" t="s">
        <v>2774</v>
      </c>
      <c r="F1985" s="49" t="s">
        <v>2900</v>
      </c>
      <c r="G1985" s="49" t="s">
        <v>2776</v>
      </c>
      <c r="H1985" s="49" t="s">
        <v>2827</v>
      </c>
      <c r="I1985" s="50">
        <v>41361</v>
      </c>
      <c r="M1985" s="49" t="s">
        <v>8763</v>
      </c>
    </row>
    <row r="1986" spans="1:13" x14ac:dyDescent="0.35">
      <c r="A1986" s="49" t="s">
        <v>8764</v>
      </c>
      <c r="C1986" s="49" t="s">
        <v>3116</v>
      </c>
      <c r="D1986" s="49" t="s">
        <v>1264</v>
      </c>
      <c r="E1986" s="49" t="s">
        <v>2814</v>
      </c>
      <c r="F1986" s="49" t="s">
        <v>4259</v>
      </c>
      <c r="G1986" s="49" t="s">
        <v>2826</v>
      </c>
      <c r="H1986" s="49" t="s">
        <v>980</v>
      </c>
      <c r="I1986" s="50">
        <v>41053</v>
      </c>
      <c r="J1986" s="50">
        <v>41061</v>
      </c>
      <c r="K1986" s="50">
        <v>41274</v>
      </c>
      <c r="M1986" s="49" t="s">
        <v>8765</v>
      </c>
    </row>
    <row r="1987" spans="1:13" x14ac:dyDescent="0.35">
      <c r="A1987" s="49" t="s">
        <v>8766</v>
      </c>
      <c r="C1987" s="49" t="s">
        <v>3116</v>
      </c>
      <c r="D1987" s="49" t="s">
        <v>1264</v>
      </c>
      <c r="E1987" s="49" t="s">
        <v>7057</v>
      </c>
      <c r="F1987" s="49" t="s">
        <v>2825</v>
      </c>
      <c r="G1987" s="49" t="s">
        <v>2776</v>
      </c>
      <c r="H1987" s="49" t="s">
        <v>2827</v>
      </c>
      <c r="I1987" s="50">
        <v>41394</v>
      </c>
      <c r="M1987" s="49" t="s">
        <v>3100</v>
      </c>
    </row>
    <row r="1988" spans="1:13" x14ac:dyDescent="0.35">
      <c r="A1988" s="49" t="s">
        <v>8767</v>
      </c>
      <c r="B1988" s="49" t="s">
        <v>8768</v>
      </c>
      <c r="C1988" s="49" t="s">
        <v>8769</v>
      </c>
      <c r="D1988" s="49" t="s">
        <v>1264</v>
      </c>
      <c r="E1988" s="49" t="s">
        <v>2785</v>
      </c>
      <c r="F1988" s="49" t="s">
        <v>2792</v>
      </c>
      <c r="G1988" s="49" t="s">
        <v>2787</v>
      </c>
      <c r="H1988" s="49" t="s">
        <v>980</v>
      </c>
      <c r="I1988" s="50">
        <v>41239</v>
      </c>
      <c r="J1988" s="50">
        <v>41242</v>
      </c>
      <c r="K1988" s="50">
        <v>41423</v>
      </c>
      <c r="M1988" s="49" t="s">
        <v>8770</v>
      </c>
    </row>
    <row r="1989" spans="1:13" x14ac:dyDescent="0.35">
      <c r="A1989" s="49" t="s">
        <v>8771</v>
      </c>
      <c r="B1989" s="49" t="s">
        <v>5617</v>
      </c>
      <c r="C1989" s="49" t="s">
        <v>8772</v>
      </c>
      <c r="D1989" s="49" t="s">
        <v>1264</v>
      </c>
      <c r="E1989" s="49" t="s">
        <v>2785</v>
      </c>
      <c r="F1989" s="49" t="s">
        <v>2792</v>
      </c>
      <c r="G1989" s="49" t="s">
        <v>2787</v>
      </c>
      <c r="H1989" s="49" t="s">
        <v>8</v>
      </c>
      <c r="I1989" s="50">
        <v>41589</v>
      </c>
      <c r="M1989" s="49" t="s">
        <v>8773</v>
      </c>
    </row>
    <row r="1990" spans="1:13" x14ac:dyDescent="0.35">
      <c r="A1990" s="49" t="s">
        <v>8774</v>
      </c>
      <c r="B1990" s="49" t="s">
        <v>8775</v>
      </c>
      <c r="C1990" s="49" t="s">
        <v>8776</v>
      </c>
      <c r="D1990" s="49" t="s">
        <v>1264</v>
      </c>
      <c r="E1990" s="49" t="s">
        <v>2785</v>
      </c>
      <c r="F1990" s="49" t="s">
        <v>2792</v>
      </c>
      <c r="G1990" s="49" t="s">
        <v>2787</v>
      </c>
      <c r="H1990" s="49" t="s">
        <v>980</v>
      </c>
      <c r="I1990" s="50">
        <v>41323</v>
      </c>
      <c r="J1990" s="50">
        <v>41324</v>
      </c>
      <c r="K1990" s="50">
        <v>41504</v>
      </c>
      <c r="M1990" s="49" t="s">
        <v>8777</v>
      </c>
    </row>
    <row r="1991" spans="1:13" x14ac:dyDescent="0.35">
      <c r="A1991" s="49" t="s">
        <v>8778</v>
      </c>
      <c r="C1991" s="49" t="s">
        <v>4161</v>
      </c>
      <c r="D1991" s="49" t="s">
        <v>1264</v>
      </c>
      <c r="E1991" s="49" t="s">
        <v>2785</v>
      </c>
      <c r="F1991" s="49" t="s">
        <v>2792</v>
      </c>
      <c r="G1991" s="49" t="s">
        <v>2787</v>
      </c>
      <c r="H1991" s="49" t="s">
        <v>973</v>
      </c>
      <c r="I1991" s="50">
        <v>43572</v>
      </c>
      <c r="J1991" s="50">
        <v>43573</v>
      </c>
      <c r="K1991" s="50">
        <v>43939</v>
      </c>
      <c r="M1991" s="49" t="s">
        <v>3477</v>
      </c>
    </row>
    <row r="1992" spans="1:13" x14ac:dyDescent="0.35">
      <c r="A1992" s="49" t="s">
        <v>8779</v>
      </c>
      <c r="B1992" s="49" t="s">
        <v>8780</v>
      </c>
      <c r="C1992" s="49" t="s">
        <v>8781</v>
      </c>
      <c r="D1992" s="49" t="s">
        <v>1264</v>
      </c>
      <c r="E1992" s="49" t="s">
        <v>2785</v>
      </c>
      <c r="F1992" s="49" t="s">
        <v>2792</v>
      </c>
      <c r="G1992" s="49" t="s">
        <v>2787</v>
      </c>
      <c r="H1992" s="49" t="s">
        <v>8</v>
      </c>
      <c r="I1992" s="50">
        <v>41410</v>
      </c>
      <c r="J1992" s="50">
        <v>41449</v>
      </c>
      <c r="K1992" s="50">
        <v>41631</v>
      </c>
      <c r="M1992" s="49" t="s">
        <v>7754</v>
      </c>
    </row>
    <row r="1993" spans="1:13" x14ac:dyDescent="0.35">
      <c r="A1993" s="49" t="s">
        <v>8782</v>
      </c>
      <c r="B1993" s="49" t="s">
        <v>6999</v>
      </c>
      <c r="C1993" s="49" t="s">
        <v>8783</v>
      </c>
      <c r="D1993" s="49" t="s">
        <v>1264</v>
      </c>
      <c r="E1993" s="49" t="s">
        <v>2785</v>
      </c>
      <c r="F1993" s="49" t="s">
        <v>2792</v>
      </c>
      <c r="G1993" s="49" t="s">
        <v>2787</v>
      </c>
      <c r="H1993" s="49" t="s">
        <v>8</v>
      </c>
      <c r="I1993" s="50">
        <v>41415</v>
      </c>
      <c r="J1993" s="50">
        <v>41452</v>
      </c>
      <c r="K1993" s="50">
        <v>41634</v>
      </c>
      <c r="M1993" s="49" t="s">
        <v>8784</v>
      </c>
    </row>
    <row r="1994" spans="1:13" x14ac:dyDescent="0.35">
      <c r="A1994" s="49" t="s">
        <v>8785</v>
      </c>
      <c r="B1994" s="49" t="s">
        <v>8786</v>
      </c>
      <c r="C1994" s="49" t="s">
        <v>7111</v>
      </c>
      <c r="D1994" s="49" t="s">
        <v>1264</v>
      </c>
      <c r="E1994" s="49" t="s">
        <v>2785</v>
      </c>
      <c r="F1994" s="49" t="s">
        <v>2792</v>
      </c>
      <c r="G1994" s="49" t="s">
        <v>2787</v>
      </c>
      <c r="H1994" s="49" t="s">
        <v>3207</v>
      </c>
      <c r="I1994" s="50">
        <v>42142</v>
      </c>
      <c r="J1994" s="50">
        <v>42181</v>
      </c>
      <c r="K1994" s="50">
        <v>42363</v>
      </c>
      <c r="M1994" s="49" t="s">
        <v>8787</v>
      </c>
    </row>
    <row r="1995" spans="1:13" x14ac:dyDescent="0.35">
      <c r="A1995" s="49" t="s">
        <v>8788</v>
      </c>
      <c r="B1995" s="49" t="s">
        <v>5940</v>
      </c>
      <c r="C1995" s="49" t="s">
        <v>8789</v>
      </c>
      <c r="D1995" s="49" t="s">
        <v>1264</v>
      </c>
      <c r="E1995" s="49" t="s">
        <v>2785</v>
      </c>
      <c r="F1995" s="49" t="s">
        <v>2786</v>
      </c>
      <c r="G1995" s="49" t="s">
        <v>2787</v>
      </c>
      <c r="H1995" s="49" t="s">
        <v>980</v>
      </c>
      <c r="I1995" s="50">
        <v>42136</v>
      </c>
      <c r="J1995" s="50">
        <v>42186</v>
      </c>
      <c r="K1995" s="50">
        <v>42369</v>
      </c>
      <c r="M1995" s="49" t="s">
        <v>7534</v>
      </c>
    </row>
    <row r="1996" spans="1:13" x14ac:dyDescent="0.35">
      <c r="A1996" s="49" t="s">
        <v>8790</v>
      </c>
      <c r="B1996" s="49" t="s">
        <v>8791</v>
      </c>
      <c r="C1996" s="49" t="s">
        <v>7399</v>
      </c>
      <c r="D1996" s="49" t="s">
        <v>1264</v>
      </c>
      <c r="E1996" s="49" t="s">
        <v>2785</v>
      </c>
      <c r="F1996" s="49" t="s">
        <v>2792</v>
      </c>
      <c r="G1996" s="49" t="s">
        <v>2787</v>
      </c>
      <c r="H1996" s="49" t="s">
        <v>8</v>
      </c>
      <c r="I1996" s="50">
        <v>42110</v>
      </c>
      <c r="J1996" s="50">
        <v>42230</v>
      </c>
      <c r="K1996" s="50">
        <v>42413</v>
      </c>
      <c r="M1996" s="49" t="s">
        <v>8792</v>
      </c>
    </row>
    <row r="1997" spans="1:13" x14ac:dyDescent="0.35">
      <c r="A1997" s="49" t="s">
        <v>8793</v>
      </c>
      <c r="B1997" s="49" t="s">
        <v>2795</v>
      </c>
      <c r="C1997" s="49" t="s">
        <v>8794</v>
      </c>
      <c r="D1997" s="49" t="s">
        <v>1264</v>
      </c>
      <c r="E1997" s="49" t="s">
        <v>2785</v>
      </c>
      <c r="F1997" s="49" t="s">
        <v>2786</v>
      </c>
      <c r="G1997" s="49" t="s">
        <v>2787</v>
      </c>
      <c r="H1997" s="49" t="s">
        <v>8</v>
      </c>
      <c r="I1997" s="50">
        <v>42514</v>
      </c>
      <c r="J1997" s="50">
        <v>42692</v>
      </c>
      <c r="K1997" s="50">
        <v>42872</v>
      </c>
      <c r="M1997" s="49" t="s">
        <v>8795</v>
      </c>
    </row>
    <row r="1998" spans="1:13" x14ac:dyDescent="0.35">
      <c r="A1998" s="49" t="s">
        <v>8796</v>
      </c>
      <c r="B1998" s="49" t="s">
        <v>5778</v>
      </c>
      <c r="C1998" s="49" t="s">
        <v>7678</v>
      </c>
      <c r="D1998" s="49" t="s">
        <v>1264</v>
      </c>
      <c r="E1998" s="49" t="s">
        <v>2785</v>
      </c>
      <c r="F1998" s="49" t="s">
        <v>2792</v>
      </c>
      <c r="G1998" s="49" t="s">
        <v>2787</v>
      </c>
      <c r="H1998" s="49" t="s">
        <v>8</v>
      </c>
      <c r="I1998" s="50">
        <v>42556</v>
      </c>
      <c r="J1998" s="50">
        <v>42692</v>
      </c>
      <c r="K1998" s="50">
        <v>42872</v>
      </c>
      <c r="M1998" s="49" t="s">
        <v>8797</v>
      </c>
    </row>
    <row r="1999" spans="1:13" x14ac:dyDescent="0.35">
      <c r="A1999" s="49" t="s">
        <v>8798</v>
      </c>
      <c r="B1999" s="49" t="s">
        <v>2867</v>
      </c>
      <c r="C1999" s="49" t="s">
        <v>8799</v>
      </c>
      <c r="D1999" s="49" t="s">
        <v>1264</v>
      </c>
      <c r="E1999" s="49" t="s">
        <v>2785</v>
      </c>
      <c r="F1999" s="49" t="s">
        <v>2792</v>
      </c>
      <c r="G1999" s="49" t="s">
        <v>2787</v>
      </c>
      <c r="H1999" s="49" t="s">
        <v>8</v>
      </c>
      <c r="I1999" s="50">
        <v>42681</v>
      </c>
      <c r="J1999" s="50">
        <v>42706</v>
      </c>
      <c r="K1999" s="50">
        <v>42887</v>
      </c>
      <c r="M1999" s="49" t="s">
        <v>7322</v>
      </c>
    </row>
    <row r="2000" spans="1:13" x14ac:dyDescent="0.35">
      <c r="A2000" s="49" t="s">
        <v>8800</v>
      </c>
      <c r="B2000" s="49" t="s">
        <v>2806</v>
      </c>
      <c r="C2000" s="49" t="s">
        <v>7189</v>
      </c>
      <c r="D2000" s="49" t="s">
        <v>1264</v>
      </c>
      <c r="E2000" s="49" t="s">
        <v>2785</v>
      </c>
      <c r="F2000" s="49" t="s">
        <v>2786</v>
      </c>
      <c r="G2000" s="49" t="s">
        <v>2787</v>
      </c>
      <c r="H2000" s="49" t="s">
        <v>980</v>
      </c>
      <c r="I2000" s="50">
        <v>42144</v>
      </c>
      <c r="J2000" s="50">
        <v>42187</v>
      </c>
      <c r="K2000" s="50">
        <v>42370</v>
      </c>
      <c r="M2000" s="49" t="s">
        <v>3470</v>
      </c>
    </row>
    <row r="2001" spans="1:13" x14ac:dyDescent="0.35">
      <c r="A2001" s="49" t="s">
        <v>8801</v>
      </c>
      <c r="B2001" s="49" t="s">
        <v>8802</v>
      </c>
      <c r="C2001" s="49" t="s">
        <v>7029</v>
      </c>
      <c r="D2001" s="49" t="s">
        <v>1264</v>
      </c>
      <c r="E2001" s="49" t="s">
        <v>2785</v>
      </c>
      <c r="F2001" s="49" t="s">
        <v>2792</v>
      </c>
      <c r="G2001" s="49" t="s">
        <v>2826</v>
      </c>
      <c r="H2001" s="49" t="s">
        <v>3207</v>
      </c>
      <c r="I2001" s="50">
        <v>41570</v>
      </c>
      <c r="M2001" s="49" t="s">
        <v>8803</v>
      </c>
    </row>
    <row r="2002" spans="1:13" x14ac:dyDescent="0.35">
      <c r="A2002" s="49" t="s">
        <v>8804</v>
      </c>
      <c r="B2002" s="49" t="s">
        <v>8805</v>
      </c>
      <c r="C2002" s="49" t="s">
        <v>8806</v>
      </c>
      <c r="D2002" s="49" t="s">
        <v>1264</v>
      </c>
      <c r="E2002" s="49" t="s">
        <v>2785</v>
      </c>
      <c r="F2002" s="49" t="s">
        <v>2792</v>
      </c>
      <c r="G2002" s="49" t="s">
        <v>2787</v>
      </c>
      <c r="H2002" s="49" t="s">
        <v>8</v>
      </c>
      <c r="I2002" s="50">
        <v>41397</v>
      </c>
      <c r="J2002" s="50">
        <v>41617</v>
      </c>
      <c r="K2002" s="50">
        <v>41798</v>
      </c>
      <c r="M2002" s="49" t="s">
        <v>8807</v>
      </c>
    </row>
    <row r="2003" spans="1:13" x14ac:dyDescent="0.35">
      <c r="A2003" s="49" t="s">
        <v>8808</v>
      </c>
      <c r="B2003" s="49" t="s">
        <v>8809</v>
      </c>
      <c r="C2003" s="49" t="s">
        <v>7111</v>
      </c>
      <c r="D2003" s="49" t="s">
        <v>1264</v>
      </c>
      <c r="E2003" s="49" t="s">
        <v>2785</v>
      </c>
      <c r="F2003" s="49" t="s">
        <v>2792</v>
      </c>
      <c r="G2003" s="49" t="s">
        <v>2787</v>
      </c>
      <c r="H2003" s="49" t="s">
        <v>3207</v>
      </c>
      <c r="I2003" s="50">
        <v>41649</v>
      </c>
      <c r="J2003" s="50">
        <v>41663</v>
      </c>
      <c r="K2003" s="50">
        <v>41843</v>
      </c>
      <c r="M2003" s="49" t="s">
        <v>8810</v>
      </c>
    </row>
    <row r="2004" spans="1:13" x14ac:dyDescent="0.35">
      <c r="A2004" s="49" t="s">
        <v>8811</v>
      </c>
      <c r="B2004" s="49" t="s">
        <v>8812</v>
      </c>
      <c r="C2004" s="49" t="s">
        <v>7111</v>
      </c>
      <c r="D2004" s="49" t="s">
        <v>1264</v>
      </c>
      <c r="E2004" s="49" t="s">
        <v>2785</v>
      </c>
      <c r="F2004" s="49" t="s">
        <v>2792</v>
      </c>
      <c r="G2004" s="49" t="s">
        <v>2787</v>
      </c>
      <c r="H2004" s="49" t="s">
        <v>3207</v>
      </c>
      <c r="I2004" s="50">
        <v>41673</v>
      </c>
      <c r="J2004" s="50">
        <v>41697</v>
      </c>
      <c r="K2004" s="50">
        <v>41877</v>
      </c>
      <c r="M2004" s="49" t="s">
        <v>8813</v>
      </c>
    </row>
    <row r="2005" spans="1:13" x14ac:dyDescent="0.35">
      <c r="A2005" s="49" t="s">
        <v>8814</v>
      </c>
      <c r="B2005" s="49" t="s">
        <v>6999</v>
      </c>
      <c r="C2005" s="49" t="s">
        <v>8815</v>
      </c>
      <c r="D2005" s="49" t="s">
        <v>1264</v>
      </c>
      <c r="E2005" s="49" t="s">
        <v>2785</v>
      </c>
      <c r="F2005" s="49" t="s">
        <v>2792</v>
      </c>
      <c r="G2005" s="49" t="s">
        <v>2787</v>
      </c>
      <c r="H2005" s="49" t="s">
        <v>8</v>
      </c>
      <c r="I2005" s="50">
        <v>41676</v>
      </c>
      <c r="J2005" s="50">
        <v>41330</v>
      </c>
      <c r="K2005" s="50">
        <v>41853</v>
      </c>
      <c r="M2005" s="49" t="s">
        <v>8816</v>
      </c>
    </row>
    <row r="2006" spans="1:13" x14ac:dyDescent="0.35">
      <c r="A2006" s="49" t="s">
        <v>8817</v>
      </c>
      <c r="B2006" s="49" t="s">
        <v>5355</v>
      </c>
      <c r="C2006" s="49" t="s">
        <v>4243</v>
      </c>
      <c r="D2006" s="49" t="s">
        <v>1264</v>
      </c>
      <c r="E2006" s="49" t="s">
        <v>2785</v>
      </c>
      <c r="F2006" s="49" t="s">
        <v>2792</v>
      </c>
      <c r="G2006" s="49" t="s">
        <v>2787</v>
      </c>
      <c r="H2006" s="49" t="s">
        <v>8</v>
      </c>
      <c r="I2006" s="50">
        <v>41705</v>
      </c>
      <c r="J2006" s="50">
        <v>41345</v>
      </c>
      <c r="K2006" s="50">
        <v>41942</v>
      </c>
      <c r="M2006" s="49" t="s">
        <v>8818</v>
      </c>
    </row>
    <row r="2007" spans="1:13" x14ac:dyDescent="0.35">
      <c r="A2007" s="49" t="s">
        <v>8819</v>
      </c>
      <c r="B2007" s="49" t="s">
        <v>8820</v>
      </c>
      <c r="C2007" s="49" t="s">
        <v>8821</v>
      </c>
      <c r="D2007" s="49" t="s">
        <v>1264</v>
      </c>
      <c r="E2007" s="49" t="s">
        <v>2785</v>
      </c>
      <c r="F2007" s="49" t="s">
        <v>2792</v>
      </c>
      <c r="G2007" s="49" t="s">
        <v>2826</v>
      </c>
      <c r="H2007" s="49" t="s">
        <v>3207</v>
      </c>
      <c r="I2007" s="50">
        <v>41394</v>
      </c>
      <c r="J2007" s="50">
        <v>41408</v>
      </c>
      <c r="K2007" s="50">
        <v>41591</v>
      </c>
      <c r="M2007" s="49" t="s">
        <v>8822</v>
      </c>
    </row>
    <row r="2008" spans="1:13" x14ac:dyDescent="0.35">
      <c r="A2008" s="49" t="s">
        <v>8823</v>
      </c>
      <c r="B2008" s="49" t="s">
        <v>8824</v>
      </c>
      <c r="C2008" s="49" t="s">
        <v>7780</v>
      </c>
      <c r="D2008" s="49" t="s">
        <v>1264</v>
      </c>
      <c r="E2008" s="49" t="s">
        <v>2785</v>
      </c>
      <c r="F2008" s="49" t="s">
        <v>2792</v>
      </c>
      <c r="G2008" s="49" t="s">
        <v>2826</v>
      </c>
      <c r="H2008" s="49" t="s">
        <v>8</v>
      </c>
      <c r="I2008" s="50">
        <v>41057</v>
      </c>
      <c r="J2008" s="50">
        <v>41102</v>
      </c>
      <c r="K2008" s="50">
        <v>41531</v>
      </c>
      <c r="M2008" s="49" t="s">
        <v>8825</v>
      </c>
    </row>
    <row r="2009" spans="1:13" x14ac:dyDescent="0.35">
      <c r="A2009" s="49" t="s">
        <v>8826</v>
      </c>
      <c r="B2009" s="49" t="s">
        <v>8827</v>
      </c>
      <c r="C2009" s="49" t="s">
        <v>8828</v>
      </c>
      <c r="D2009" s="49" t="s">
        <v>1264</v>
      </c>
      <c r="E2009" s="49" t="s">
        <v>2785</v>
      </c>
      <c r="F2009" s="49" t="s">
        <v>2939</v>
      </c>
      <c r="G2009" s="49" t="s">
        <v>2787</v>
      </c>
      <c r="H2009" s="49" t="s">
        <v>3207</v>
      </c>
      <c r="I2009" s="50">
        <v>41423</v>
      </c>
      <c r="J2009" s="50">
        <v>41437</v>
      </c>
      <c r="K2009" s="50">
        <v>41800</v>
      </c>
      <c r="M2009" s="49" t="s">
        <v>8829</v>
      </c>
    </row>
    <row r="2010" spans="1:13" x14ac:dyDescent="0.35">
      <c r="A2010" s="49" t="s">
        <v>8830</v>
      </c>
      <c r="C2010" s="49" t="s">
        <v>8831</v>
      </c>
      <c r="D2010" s="49" t="s">
        <v>1264</v>
      </c>
      <c r="E2010" s="49" t="s">
        <v>2785</v>
      </c>
      <c r="F2010" s="49" t="s">
        <v>2792</v>
      </c>
      <c r="G2010" s="49" t="s">
        <v>2787</v>
      </c>
      <c r="H2010" s="49" t="s">
        <v>2832</v>
      </c>
      <c r="I2010" s="50">
        <v>41439</v>
      </c>
      <c r="J2010" s="50">
        <v>41449</v>
      </c>
      <c r="K2010" s="50">
        <v>41631</v>
      </c>
      <c r="M2010" s="49" t="s">
        <v>8832</v>
      </c>
    </row>
    <row r="2011" spans="1:13" x14ac:dyDescent="0.35">
      <c r="A2011" s="49" t="s">
        <v>8833</v>
      </c>
      <c r="B2011" s="49" t="s">
        <v>6999</v>
      </c>
      <c r="C2011" s="49" t="s">
        <v>8834</v>
      </c>
      <c r="D2011" s="49" t="s">
        <v>1264</v>
      </c>
      <c r="E2011" s="49" t="s">
        <v>2785</v>
      </c>
      <c r="F2011" s="49" t="s">
        <v>2792</v>
      </c>
      <c r="G2011" s="49" t="s">
        <v>2826</v>
      </c>
      <c r="H2011" s="49" t="s">
        <v>8</v>
      </c>
      <c r="I2011" s="50">
        <v>41157</v>
      </c>
      <c r="J2011" s="50">
        <v>41159</v>
      </c>
      <c r="K2011" s="50">
        <v>41339</v>
      </c>
      <c r="M2011" s="49" t="s">
        <v>8835</v>
      </c>
    </row>
    <row r="2012" spans="1:13" x14ac:dyDescent="0.35">
      <c r="A2012" s="49" t="s">
        <v>8836</v>
      </c>
      <c r="B2012" s="49" t="s">
        <v>8837</v>
      </c>
      <c r="C2012" s="49" t="s">
        <v>8838</v>
      </c>
      <c r="D2012" s="49" t="s">
        <v>1264</v>
      </c>
      <c r="E2012" s="49" t="s">
        <v>2785</v>
      </c>
      <c r="F2012" s="49" t="s">
        <v>2792</v>
      </c>
      <c r="G2012" s="49" t="s">
        <v>2787</v>
      </c>
      <c r="H2012" s="49" t="s">
        <v>8</v>
      </c>
      <c r="I2012" s="50">
        <v>41453</v>
      </c>
      <c r="J2012" s="50">
        <v>41467</v>
      </c>
      <c r="K2012" s="50">
        <v>42080</v>
      </c>
      <c r="M2012" s="49" t="s">
        <v>8839</v>
      </c>
    </row>
    <row r="2013" spans="1:13" x14ac:dyDescent="0.35">
      <c r="A2013" s="49" t="s">
        <v>8840</v>
      </c>
      <c r="B2013" s="49" t="s">
        <v>8841</v>
      </c>
      <c r="C2013" s="49" t="s">
        <v>8842</v>
      </c>
      <c r="D2013" s="49" t="s">
        <v>1264</v>
      </c>
      <c r="E2013" s="49" t="s">
        <v>2785</v>
      </c>
      <c r="F2013" s="49" t="s">
        <v>2792</v>
      </c>
      <c r="G2013" s="49" t="s">
        <v>2787</v>
      </c>
      <c r="H2013" s="49" t="s">
        <v>980</v>
      </c>
      <c r="I2013" s="50">
        <v>41433</v>
      </c>
      <c r="J2013" s="50">
        <v>41474</v>
      </c>
      <c r="K2013" s="50">
        <v>41657</v>
      </c>
      <c r="M2013" s="49" t="s">
        <v>8843</v>
      </c>
    </row>
    <row r="2014" spans="1:13" x14ac:dyDescent="0.35">
      <c r="A2014" s="49" t="s">
        <v>8844</v>
      </c>
      <c r="B2014" s="49" t="s">
        <v>8845</v>
      </c>
      <c r="C2014" s="49" t="s">
        <v>8846</v>
      </c>
      <c r="D2014" s="49" t="s">
        <v>1264</v>
      </c>
      <c r="E2014" s="49" t="s">
        <v>2785</v>
      </c>
      <c r="F2014" s="49" t="s">
        <v>2792</v>
      </c>
      <c r="G2014" s="49" t="s">
        <v>2787</v>
      </c>
      <c r="H2014" s="49" t="s">
        <v>8</v>
      </c>
      <c r="I2014" s="50">
        <v>41847</v>
      </c>
      <c r="J2014" s="50">
        <v>41872</v>
      </c>
      <c r="K2014" s="50">
        <v>42235</v>
      </c>
      <c r="M2014" s="49" t="s">
        <v>8847</v>
      </c>
    </row>
    <row r="2015" spans="1:13" x14ac:dyDescent="0.35">
      <c r="A2015" s="49" t="s">
        <v>8848</v>
      </c>
      <c r="B2015" s="49" t="s">
        <v>6193</v>
      </c>
      <c r="C2015" s="49" t="s">
        <v>7189</v>
      </c>
      <c r="D2015" s="49" t="s">
        <v>1264</v>
      </c>
      <c r="E2015" s="49" t="s">
        <v>2785</v>
      </c>
      <c r="F2015" s="49" t="s">
        <v>5423</v>
      </c>
      <c r="G2015" s="49" t="s">
        <v>2787</v>
      </c>
      <c r="H2015" s="49" t="s">
        <v>2806</v>
      </c>
      <c r="I2015" s="50">
        <v>41461</v>
      </c>
      <c r="J2015" s="50">
        <v>41481</v>
      </c>
      <c r="K2015" s="50">
        <v>41664</v>
      </c>
      <c r="M2015" s="49" t="s">
        <v>8849</v>
      </c>
    </row>
    <row r="2016" spans="1:13" x14ac:dyDescent="0.35">
      <c r="A2016" s="49" t="s">
        <v>8850</v>
      </c>
      <c r="C2016" s="49" t="s">
        <v>8851</v>
      </c>
      <c r="D2016" s="49" t="s">
        <v>1264</v>
      </c>
      <c r="E2016" s="49" t="s">
        <v>2785</v>
      </c>
      <c r="F2016" s="49" t="s">
        <v>2792</v>
      </c>
      <c r="G2016" s="49" t="s">
        <v>2787</v>
      </c>
      <c r="H2016" s="49" t="s">
        <v>8</v>
      </c>
      <c r="I2016" s="50">
        <v>41995</v>
      </c>
      <c r="J2016" s="50">
        <v>41227</v>
      </c>
      <c r="K2016" s="50">
        <v>41407</v>
      </c>
      <c r="M2016" s="49" t="s">
        <v>8852</v>
      </c>
    </row>
    <row r="2017" spans="1:13" x14ac:dyDescent="0.35">
      <c r="A2017" s="49" t="s">
        <v>8853</v>
      </c>
      <c r="C2017" s="49" t="s">
        <v>8854</v>
      </c>
      <c r="D2017" s="49" t="s">
        <v>1264</v>
      </c>
      <c r="E2017" s="49" t="s">
        <v>2785</v>
      </c>
      <c r="F2017" s="49" t="s">
        <v>2792</v>
      </c>
      <c r="G2017" s="49" t="s">
        <v>2787</v>
      </c>
      <c r="H2017" s="49" t="s">
        <v>8</v>
      </c>
      <c r="I2017" s="50">
        <v>41995</v>
      </c>
      <c r="J2017" s="50">
        <v>40882</v>
      </c>
      <c r="K2017" s="50">
        <v>41064</v>
      </c>
      <c r="M2017" s="49" t="s">
        <v>8855</v>
      </c>
    </row>
    <row r="2018" spans="1:13" x14ac:dyDescent="0.35">
      <c r="A2018" s="49" t="s">
        <v>8856</v>
      </c>
      <c r="B2018" s="49" t="s">
        <v>7241</v>
      </c>
      <c r="C2018" s="49" t="s">
        <v>8857</v>
      </c>
      <c r="D2018" s="49" t="s">
        <v>1264</v>
      </c>
      <c r="E2018" s="49" t="s">
        <v>2785</v>
      </c>
      <c r="F2018" s="49" t="s">
        <v>2792</v>
      </c>
      <c r="G2018" s="49" t="s">
        <v>2787</v>
      </c>
      <c r="H2018" s="49" t="s">
        <v>8</v>
      </c>
      <c r="I2018" s="50">
        <v>41238</v>
      </c>
      <c r="J2018" s="50">
        <v>41262</v>
      </c>
      <c r="K2018" s="50">
        <v>41443</v>
      </c>
      <c r="M2018" s="49" t="s">
        <v>8858</v>
      </c>
    </row>
    <row r="2019" spans="1:13" x14ac:dyDescent="0.35">
      <c r="A2019" s="49" t="s">
        <v>8859</v>
      </c>
      <c r="B2019" s="49" t="s">
        <v>7241</v>
      </c>
      <c r="C2019" s="49" t="s">
        <v>8860</v>
      </c>
      <c r="D2019" s="49" t="s">
        <v>1264</v>
      </c>
      <c r="E2019" s="49" t="s">
        <v>2785</v>
      </c>
      <c r="F2019" s="49" t="s">
        <v>2792</v>
      </c>
      <c r="G2019" s="49" t="s">
        <v>2787</v>
      </c>
      <c r="H2019" s="49" t="s">
        <v>8</v>
      </c>
      <c r="I2019" s="50">
        <v>41514</v>
      </c>
      <c r="J2019" s="50">
        <v>41542</v>
      </c>
      <c r="K2019" s="50">
        <v>41722</v>
      </c>
      <c r="M2019" s="49" t="s">
        <v>8861</v>
      </c>
    </row>
    <row r="2020" spans="1:13" x14ac:dyDescent="0.35">
      <c r="A2020" s="49" t="s">
        <v>8862</v>
      </c>
      <c r="B2020" s="49" t="s">
        <v>8863</v>
      </c>
      <c r="C2020" s="49" t="s">
        <v>8864</v>
      </c>
      <c r="D2020" s="49" t="s">
        <v>1264</v>
      </c>
      <c r="E2020" s="49" t="s">
        <v>2785</v>
      </c>
      <c r="F2020" s="49" t="s">
        <v>2792</v>
      </c>
      <c r="G2020" s="49" t="s">
        <v>2787</v>
      </c>
      <c r="H2020" s="49" t="s">
        <v>8</v>
      </c>
      <c r="I2020" s="50">
        <v>42128</v>
      </c>
      <c r="J2020" s="50">
        <v>42143</v>
      </c>
      <c r="K2020" s="50">
        <v>42326</v>
      </c>
      <c r="M2020" s="49" t="s">
        <v>6081</v>
      </c>
    </row>
    <row r="2021" spans="1:13" x14ac:dyDescent="0.35">
      <c r="A2021" s="49" t="s">
        <v>8865</v>
      </c>
      <c r="C2021" s="49" t="s">
        <v>8866</v>
      </c>
      <c r="D2021" s="49" t="s">
        <v>1264</v>
      </c>
      <c r="E2021" s="49" t="s">
        <v>2974</v>
      </c>
      <c r="F2021" s="49" t="s">
        <v>2825</v>
      </c>
      <c r="G2021" s="49" t="s">
        <v>2826</v>
      </c>
      <c r="H2021" s="49" t="s">
        <v>2827</v>
      </c>
      <c r="I2021" s="50">
        <v>43885</v>
      </c>
      <c r="M2021" s="49" t="s">
        <v>8867</v>
      </c>
    </row>
    <row r="2022" spans="1:13" x14ac:dyDescent="0.35">
      <c r="A2022" s="49" t="s">
        <v>8868</v>
      </c>
      <c r="C2022" s="49" t="s">
        <v>8869</v>
      </c>
      <c r="D2022" s="49" t="s">
        <v>1264</v>
      </c>
      <c r="E2022" s="49" t="s">
        <v>7057</v>
      </c>
      <c r="F2022" s="49" t="s">
        <v>2825</v>
      </c>
      <c r="G2022" s="49" t="s">
        <v>2776</v>
      </c>
      <c r="H2022" s="49" t="s">
        <v>2827</v>
      </c>
      <c r="I2022" s="50">
        <v>43885</v>
      </c>
      <c r="M2022" s="49" t="s">
        <v>8870</v>
      </c>
    </row>
    <row r="2023" spans="1:13" x14ac:dyDescent="0.35">
      <c r="A2023" s="49" t="s">
        <v>8871</v>
      </c>
      <c r="C2023" s="49" t="s">
        <v>4033</v>
      </c>
      <c r="D2023" s="49" t="s">
        <v>1264</v>
      </c>
      <c r="E2023" s="49" t="s">
        <v>2974</v>
      </c>
      <c r="F2023" s="49" t="s">
        <v>2825</v>
      </c>
      <c r="G2023" s="49" t="s">
        <v>2776</v>
      </c>
      <c r="H2023" s="49" t="s">
        <v>2827</v>
      </c>
      <c r="I2023" s="50">
        <v>40835</v>
      </c>
      <c r="M2023" s="49" t="s">
        <v>8872</v>
      </c>
    </row>
    <row r="2024" spans="1:13" x14ac:dyDescent="0.35">
      <c r="A2024" s="49" t="s">
        <v>8873</v>
      </c>
      <c r="C2024" s="49" t="s">
        <v>8874</v>
      </c>
      <c r="D2024" s="49" t="s">
        <v>1264</v>
      </c>
      <c r="E2024" s="49" t="s">
        <v>2814</v>
      </c>
      <c r="F2024" s="49" t="s">
        <v>2825</v>
      </c>
      <c r="G2024" s="49" t="s">
        <v>2826</v>
      </c>
      <c r="H2024" s="49" t="s">
        <v>2827</v>
      </c>
      <c r="I2024" s="50">
        <v>41450</v>
      </c>
      <c r="M2024" s="49" t="s">
        <v>8875</v>
      </c>
    </row>
    <row r="2025" spans="1:13" x14ac:dyDescent="0.35">
      <c r="A2025" s="49" t="s">
        <v>8876</v>
      </c>
      <c r="C2025" s="49" t="s">
        <v>8877</v>
      </c>
      <c r="D2025" s="49" t="s">
        <v>1264</v>
      </c>
      <c r="E2025" s="49" t="s">
        <v>2814</v>
      </c>
      <c r="F2025" s="49" t="s">
        <v>2780</v>
      </c>
      <c r="G2025" s="49" t="s">
        <v>2826</v>
      </c>
      <c r="H2025" s="49" t="s">
        <v>980</v>
      </c>
      <c r="I2025" s="50">
        <v>41332</v>
      </c>
      <c r="M2025" s="49" t="s">
        <v>7018</v>
      </c>
    </row>
    <row r="2026" spans="1:13" x14ac:dyDescent="0.35">
      <c r="A2026" s="49" t="s">
        <v>8878</v>
      </c>
      <c r="C2026" s="49" t="s">
        <v>8879</v>
      </c>
      <c r="D2026" s="49" t="s">
        <v>1264</v>
      </c>
      <c r="E2026" s="49" t="s">
        <v>2814</v>
      </c>
      <c r="F2026" s="49" t="s">
        <v>2837</v>
      </c>
      <c r="G2026" s="49" t="s">
        <v>2787</v>
      </c>
      <c r="H2026" s="49" t="s">
        <v>980</v>
      </c>
      <c r="I2026" s="50">
        <v>41284</v>
      </c>
      <c r="J2026" s="50">
        <v>41288</v>
      </c>
      <c r="K2026" s="50">
        <v>41468</v>
      </c>
      <c r="M2026" s="49" t="s">
        <v>8880</v>
      </c>
    </row>
    <row r="2027" spans="1:13" x14ac:dyDescent="0.35">
      <c r="A2027" s="49" t="s">
        <v>8881</v>
      </c>
      <c r="C2027" s="49" t="s">
        <v>4962</v>
      </c>
      <c r="D2027" s="49" t="s">
        <v>1264</v>
      </c>
      <c r="E2027" s="49" t="s">
        <v>2814</v>
      </c>
      <c r="F2027" s="49" t="s">
        <v>2825</v>
      </c>
      <c r="G2027" s="49" t="s">
        <v>2787</v>
      </c>
      <c r="H2027" s="49" t="s">
        <v>2827</v>
      </c>
      <c r="I2027" s="50">
        <v>43851</v>
      </c>
      <c r="J2027" s="50">
        <v>43864</v>
      </c>
      <c r="K2027" s="50">
        <v>44045</v>
      </c>
      <c r="M2027" s="49" t="s">
        <v>8882</v>
      </c>
    </row>
    <row r="2028" spans="1:13" x14ac:dyDescent="0.35">
      <c r="A2028" s="49" t="s">
        <v>8883</v>
      </c>
      <c r="B2028" s="49" t="s">
        <v>8884</v>
      </c>
      <c r="C2028" s="49" t="s">
        <v>4977</v>
      </c>
      <c r="D2028" s="49" t="s">
        <v>1264</v>
      </c>
      <c r="E2028" s="49" t="s">
        <v>2814</v>
      </c>
      <c r="F2028" s="49" t="s">
        <v>2825</v>
      </c>
      <c r="G2028" s="49" t="s">
        <v>2787</v>
      </c>
      <c r="H2028" s="49" t="s">
        <v>2827</v>
      </c>
      <c r="I2028" s="50">
        <v>43887</v>
      </c>
      <c r="J2028" s="50">
        <v>43888</v>
      </c>
      <c r="K2028" s="50">
        <v>44069</v>
      </c>
      <c r="M2028" s="49" t="s">
        <v>8885</v>
      </c>
    </row>
    <row r="2029" spans="1:13" x14ac:dyDescent="0.35">
      <c r="A2029" s="49" t="s">
        <v>8886</v>
      </c>
      <c r="B2029" s="49" t="s">
        <v>8887</v>
      </c>
      <c r="C2029" s="49" t="s">
        <v>4977</v>
      </c>
      <c r="D2029" s="49" t="s">
        <v>1264</v>
      </c>
      <c r="E2029" s="49" t="s">
        <v>2814</v>
      </c>
      <c r="F2029" s="49" t="s">
        <v>2825</v>
      </c>
      <c r="G2029" s="49" t="s">
        <v>2787</v>
      </c>
      <c r="H2029" s="49" t="s">
        <v>2827</v>
      </c>
      <c r="I2029" s="50">
        <v>43642</v>
      </c>
      <c r="J2029" s="50">
        <v>43888</v>
      </c>
      <c r="K2029" s="50">
        <v>44069</v>
      </c>
      <c r="M2029" s="49" t="s">
        <v>8888</v>
      </c>
    </row>
    <row r="2030" spans="1:13" x14ac:dyDescent="0.35">
      <c r="A2030" s="49" t="s">
        <v>8889</v>
      </c>
      <c r="C2030" s="49" t="s">
        <v>8890</v>
      </c>
      <c r="D2030" s="49" t="s">
        <v>1264</v>
      </c>
      <c r="E2030" s="49" t="s">
        <v>2814</v>
      </c>
      <c r="F2030" s="49" t="s">
        <v>2825</v>
      </c>
      <c r="G2030" s="49" t="s">
        <v>2787</v>
      </c>
      <c r="H2030" s="49" t="s">
        <v>2827</v>
      </c>
      <c r="I2030" s="50">
        <v>43832</v>
      </c>
      <c r="J2030" s="50">
        <v>43888</v>
      </c>
      <c r="K2030" s="50">
        <v>44069</v>
      </c>
      <c r="M2030" s="49" t="s">
        <v>3270</v>
      </c>
    </row>
    <row r="2031" spans="1:13" x14ac:dyDescent="0.35">
      <c r="A2031" s="49" t="s">
        <v>8891</v>
      </c>
      <c r="C2031" s="49" t="s">
        <v>8892</v>
      </c>
      <c r="D2031" s="49" t="s">
        <v>1264</v>
      </c>
      <c r="E2031" s="49" t="s">
        <v>2814</v>
      </c>
      <c r="F2031" s="49" t="s">
        <v>2825</v>
      </c>
      <c r="G2031" s="49" t="s">
        <v>2787</v>
      </c>
      <c r="H2031" s="49" t="s">
        <v>2827</v>
      </c>
      <c r="I2031" s="50">
        <v>42055</v>
      </c>
      <c r="J2031" s="50">
        <v>42069</v>
      </c>
      <c r="K2031" s="50">
        <v>42252</v>
      </c>
      <c r="M2031" s="49" t="s">
        <v>8893</v>
      </c>
    </row>
    <row r="2032" spans="1:13" x14ac:dyDescent="0.35">
      <c r="A2032" s="49" t="s">
        <v>8894</v>
      </c>
      <c r="C2032" s="49" t="s">
        <v>8892</v>
      </c>
      <c r="D2032" s="49" t="s">
        <v>1264</v>
      </c>
      <c r="E2032" s="49" t="s">
        <v>2814</v>
      </c>
      <c r="F2032" s="49" t="s">
        <v>2837</v>
      </c>
      <c r="G2032" s="49" t="s">
        <v>2787</v>
      </c>
      <c r="H2032" s="49" t="s">
        <v>2827</v>
      </c>
      <c r="I2032" s="50">
        <v>42055</v>
      </c>
      <c r="J2032" s="50">
        <v>42069</v>
      </c>
      <c r="K2032" s="50">
        <v>42252</v>
      </c>
      <c r="M2032" s="49" t="s">
        <v>8895</v>
      </c>
    </row>
    <row r="2033" spans="1:13" x14ac:dyDescent="0.35">
      <c r="A2033" s="49" t="s">
        <v>8896</v>
      </c>
      <c r="C2033" s="49" t="s">
        <v>3680</v>
      </c>
      <c r="D2033" s="49" t="s">
        <v>1264</v>
      </c>
      <c r="E2033" s="49" t="s">
        <v>2814</v>
      </c>
      <c r="F2033" s="49" t="s">
        <v>4192</v>
      </c>
      <c r="G2033" s="49" t="s">
        <v>2787</v>
      </c>
      <c r="H2033" s="49" t="s">
        <v>2827</v>
      </c>
      <c r="I2033" s="50">
        <v>42809</v>
      </c>
      <c r="J2033" s="50">
        <v>42850</v>
      </c>
      <c r="K2033" s="50">
        <v>43033</v>
      </c>
      <c r="M2033" s="49" t="s">
        <v>8897</v>
      </c>
    </row>
    <row r="2034" spans="1:13" x14ac:dyDescent="0.35">
      <c r="A2034" s="49" t="s">
        <v>8898</v>
      </c>
      <c r="C2034" s="49" t="s">
        <v>7033</v>
      </c>
      <c r="D2034" s="49" t="s">
        <v>1264</v>
      </c>
      <c r="E2034" s="49" t="s">
        <v>2814</v>
      </c>
      <c r="F2034" s="49" t="s">
        <v>2805</v>
      </c>
      <c r="G2034" s="49" t="s">
        <v>2787</v>
      </c>
      <c r="H2034" s="49" t="s">
        <v>2827</v>
      </c>
      <c r="I2034" s="50">
        <v>41667</v>
      </c>
      <c r="J2034" s="50">
        <v>41719</v>
      </c>
      <c r="K2034" s="50">
        <v>41902</v>
      </c>
      <c r="M2034" s="49" t="s">
        <v>8899</v>
      </c>
    </row>
    <row r="2035" spans="1:13" x14ac:dyDescent="0.35">
      <c r="A2035" s="49" t="s">
        <v>8900</v>
      </c>
      <c r="B2035" s="49" t="s">
        <v>3420</v>
      </c>
      <c r="C2035" s="49" t="s">
        <v>3439</v>
      </c>
      <c r="D2035" s="49" t="s">
        <v>1264</v>
      </c>
      <c r="E2035" s="49" t="s">
        <v>2814</v>
      </c>
      <c r="F2035" s="49" t="s">
        <v>2939</v>
      </c>
      <c r="G2035" s="49" t="s">
        <v>2787</v>
      </c>
      <c r="H2035" s="49" t="s">
        <v>980</v>
      </c>
      <c r="I2035" s="50">
        <v>42061</v>
      </c>
      <c r="J2035" s="50">
        <v>42080</v>
      </c>
      <c r="K2035" s="50">
        <v>42263</v>
      </c>
      <c r="M2035" s="49" t="s">
        <v>8901</v>
      </c>
    </row>
    <row r="2036" spans="1:13" x14ac:dyDescent="0.35">
      <c r="A2036" s="49" t="s">
        <v>8902</v>
      </c>
      <c r="B2036" s="49" t="s">
        <v>3420</v>
      </c>
      <c r="C2036" s="49" t="s">
        <v>8903</v>
      </c>
      <c r="D2036" s="49" t="s">
        <v>1264</v>
      </c>
      <c r="E2036" s="49" t="s">
        <v>2814</v>
      </c>
      <c r="F2036" s="49" t="s">
        <v>2939</v>
      </c>
      <c r="G2036" s="49" t="s">
        <v>2787</v>
      </c>
      <c r="H2036" s="49" t="s">
        <v>980</v>
      </c>
      <c r="I2036" s="50">
        <v>42062</v>
      </c>
      <c r="J2036" s="50">
        <v>42080</v>
      </c>
      <c r="K2036" s="50">
        <v>42263</v>
      </c>
      <c r="M2036" s="49" t="s">
        <v>8895</v>
      </c>
    </row>
    <row r="2037" spans="1:13" x14ac:dyDescent="0.35">
      <c r="A2037" s="49" t="s">
        <v>8904</v>
      </c>
      <c r="C2037" s="49" t="s">
        <v>8905</v>
      </c>
      <c r="D2037" s="49" t="s">
        <v>1264</v>
      </c>
      <c r="E2037" s="49" t="s">
        <v>2814</v>
      </c>
      <c r="F2037" s="49" t="s">
        <v>2825</v>
      </c>
      <c r="G2037" s="49" t="s">
        <v>2787</v>
      </c>
      <c r="H2037" s="49" t="s">
        <v>2827</v>
      </c>
      <c r="I2037" s="50">
        <v>42064</v>
      </c>
      <c r="J2037" s="50">
        <v>42078</v>
      </c>
      <c r="K2037" s="50">
        <v>42261</v>
      </c>
      <c r="M2037" s="49" t="s">
        <v>8906</v>
      </c>
    </row>
    <row r="2038" spans="1:13" x14ac:dyDescent="0.35">
      <c r="A2038" s="49" t="s">
        <v>8907</v>
      </c>
      <c r="C2038" s="49" t="s">
        <v>8908</v>
      </c>
      <c r="D2038" s="49" t="s">
        <v>1264</v>
      </c>
      <c r="E2038" s="49" t="s">
        <v>2814</v>
      </c>
      <c r="F2038" s="49" t="s">
        <v>3898</v>
      </c>
      <c r="G2038" s="49" t="s">
        <v>2787</v>
      </c>
      <c r="H2038" s="49" t="s">
        <v>2827</v>
      </c>
      <c r="I2038" s="50">
        <v>42068</v>
      </c>
      <c r="J2038" s="50">
        <v>42082</v>
      </c>
      <c r="K2038" s="50">
        <v>42265</v>
      </c>
      <c r="M2038" s="49" t="s">
        <v>8909</v>
      </c>
    </row>
    <row r="2039" spans="1:13" x14ac:dyDescent="0.35">
      <c r="A2039" s="49" t="s">
        <v>8910</v>
      </c>
      <c r="B2039" s="49" t="s">
        <v>2863</v>
      </c>
      <c r="C2039" s="49" t="s">
        <v>8911</v>
      </c>
      <c r="D2039" s="49" t="s">
        <v>1264</v>
      </c>
      <c r="E2039" s="49" t="s">
        <v>2814</v>
      </c>
      <c r="F2039" s="49" t="s">
        <v>3898</v>
      </c>
      <c r="G2039" s="49" t="s">
        <v>2787</v>
      </c>
      <c r="H2039" s="49" t="s">
        <v>2827</v>
      </c>
      <c r="I2039" s="50">
        <v>42069</v>
      </c>
      <c r="J2039" s="50">
        <v>42082</v>
      </c>
      <c r="K2039" s="50">
        <v>42265</v>
      </c>
      <c r="M2039" s="49" t="s">
        <v>8912</v>
      </c>
    </row>
    <row r="2040" spans="1:13" x14ac:dyDescent="0.35">
      <c r="A2040" s="49" t="s">
        <v>8913</v>
      </c>
      <c r="B2040" s="49" t="s">
        <v>3046</v>
      </c>
      <c r="C2040" s="49" t="s">
        <v>8914</v>
      </c>
      <c r="D2040" s="49" t="s">
        <v>1264</v>
      </c>
      <c r="E2040" s="49" t="s">
        <v>2814</v>
      </c>
      <c r="F2040" s="49" t="s">
        <v>2825</v>
      </c>
      <c r="G2040" s="49" t="s">
        <v>2826</v>
      </c>
      <c r="H2040" s="49" t="s">
        <v>2827</v>
      </c>
      <c r="I2040" s="50">
        <v>43566</v>
      </c>
      <c r="J2040" s="50">
        <v>43914</v>
      </c>
      <c r="K2040" s="50">
        <v>44277</v>
      </c>
      <c r="M2040" s="49" t="s">
        <v>8915</v>
      </c>
    </row>
    <row r="2041" spans="1:13" x14ac:dyDescent="0.35">
      <c r="A2041" s="49" t="s">
        <v>8916</v>
      </c>
      <c r="B2041" s="49" t="s">
        <v>3420</v>
      </c>
      <c r="C2041" s="49" t="s">
        <v>8917</v>
      </c>
      <c r="D2041" s="49" t="s">
        <v>1264</v>
      </c>
      <c r="E2041" s="49" t="s">
        <v>2814</v>
      </c>
      <c r="F2041" s="49" t="s">
        <v>2939</v>
      </c>
      <c r="G2041" s="49" t="s">
        <v>2787</v>
      </c>
      <c r="H2041" s="49" t="s">
        <v>980</v>
      </c>
      <c r="I2041" s="50">
        <v>41716</v>
      </c>
      <c r="J2041" s="50">
        <v>41738</v>
      </c>
      <c r="K2041" s="50">
        <v>41920</v>
      </c>
      <c r="M2041" s="49" t="s">
        <v>8918</v>
      </c>
    </row>
    <row r="2042" spans="1:13" x14ac:dyDescent="0.35">
      <c r="A2042" s="49" t="s">
        <v>8919</v>
      </c>
      <c r="C2042" s="49" t="s">
        <v>8920</v>
      </c>
      <c r="D2042" s="49" t="s">
        <v>1264</v>
      </c>
      <c r="E2042" s="49" t="s">
        <v>2814</v>
      </c>
      <c r="F2042" s="49" t="s">
        <v>2825</v>
      </c>
      <c r="G2042" s="49" t="s">
        <v>2787</v>
      </c>
      <c r="H2042" s="49" t="s">
        <v>2827</v>
      </c>
      <c r="I2042" s="50">
        <v>43532</v>
      </c>
      <c r="J2042" s="50">
        <v>43536</v>
      </c>
      <c r="K2042" s="50">
        <v>43938</v>
      </c>
      <c r="M2042" s="49" t="s">
        <v>3859</v>
      </c>
    </row>
    <row r="2043" spans="1:13" x14ac:dyDescent="0.35">
      <c r="A2043" s="49" t="s">
        <v>8921</v>
      </c>
      <c r="C2043" s="49" t="s">
        <v>4365</v>
      </c>
      <c r="D2043" s="49" t="s">
        <v>1264</v>
      </c>
      <c r="E2043" s="49" t="s">
        <v>2814</v>
      </c>
      <c r="F2043" s="49" t="s">
        <v>2825</v>
      </c>
      <c r="G2043" s="49" t="s">
        <v>2787</v>
      </c>
      <c r="H2043" s="49" t="s">
        <v>2827</v>
      </c>
      <c r="I2043" s="50">
        <v>43826</v>
      </c>
      <c r="J2043" s="50">
        <v>43570</v>
      </c>
      <c r="K2043" s="50">
        <v>43752</v>
      </c>
      <c r="M2043" s="49" t="s">
        <v>8922</v>
      </c>
    </row>
    <row r="2044" spans="1:13" x14ac:dyDescent="0.35">
      <c r="A2044" s="49" t="s">
        <v>8923</v>
      </c>
      <c r="C2044" s="49" t="s">
        <v>4314</v>
      </c>
      <c r="D2044" s="49" t="s">
        <v>1264</v>
      </c>
      <c r="E2044" s="49" t="s">
        <v>2814</v>
      </c>
      <c r="F2044" s="49" t="s">
        <v>2825</v>
      </c>
      <c r="G2044" s="49" t="s">
        <v>2787</v>
      </c>
      <c r="H2044" s="49" t="s">
        <v>2827</v>
      </c>
      <c r="I2044" s="50">
        <v>43538</v>
      </c>
      <c r="J2044" s="50">
        <v>43551</v>
      </c>
      <c r="K2044" s="50">
        <v>43916</v>
      </c>
      <c r="M2044" s="49" t="s">
        <v>8924</v>
      </c>
    </row>
    <row r="2045" spans="1:13" x14ac:dyDescent="0.35">
      <c r="A2045" s="49" t="s">
        <v>8925</v>
      </c>
      <c r="B2045" s="49" t="s">
        <v>2863</v>
      </c>
      <c r="C2045" s="49" t="s">
        <v>8926</v>
      </c>
      <c r="D2045" s="49" t="s">
        <v>1264</v>
      </c>
      <c r="E2045" s="49" t="s">
        <v>2814</v>
      </c>
      <c r="F2045" s="49" t="s">
        <v>2825</v>
      </c>
      <c r="G2045" s="49" t="s">
        <v>2787</v>
      </c>
      <c r="H2045" s="49" t="s">
        <v>2827</v>
      </c>
      <c r="I2045" s="50">
        <v>42083</v>
      </c>
      <c r="J2045" s="50">
        <v>42109</v>
      </c>
      <c r="K2045" s="50">
        <v>42291</v>
      </c>
      <c r="M2045" s="49" t="s">
        <v>7750</v>
      </c>
    </row>
    <row r="2046" spans="1:13" x14ac:dyDescent="0.35">
      <c r="A2046" s="49" t="s">
        <v>8927</v>
      </c>
      <c r="C2046" s="49" t="s">
        <v>3417</v>
      </c>
      <c r="D2046" s="49" t="s">
        <v>1264</v>
      </c>
      <c r="E2046" s="49" t="s">
        <v>2814</v>
      </c>
      <c r="F2046" s="49" t="s">
        <v>2825</v>
      </c>
      <c r="G2046" s="49" t="s">
        <v>2787</v>
      </c>
      <c r="H2046" s="49" t="s">
        <v>2827</v>
      </c>
      <c r="I2046" s="50">
        <v>42083</v>
      </c>
      <c r="J2046" s="50">
        <v>42109</v>
      </c>
      <c r="K2046" s="50">
        <v>42291</v>
      </c>
      <c r="M2046" s="49" t="s">
        <v>8928</v>
      </c>
    </row>
    <row r="2047" spans="1:13" x14ac:dyDescent="0.35">
      <c r="A2047" s="49" t="s">
        <v>8929</v>
      </c>
      <c r="B2047" s="49" t="s">
        <v>8930</v>
      </c>
      <c r="C2047" s="49" t="s">
        <v>8931</v>
      </c>
      <c r="D2047" s="49" t="s">
        <v>1264</v>
      </c>
      <c r="E2047" s="49" t="s">
        <v>2814</v>
      </c>
      <c r="F2047" s="49" t="s">
        <v>2900</v>
      </c>
      <c r="G2047" s="49" t="s">
        <v>2787</v>
      </c>
      <c r="H2047" s="49" t="s">
        <v>2827</v>
      </c>
      <c r="I2047" s="50">
        <v>42058</v>
      </c>
      <c r="J2047" s="50">
        <v>42109</v>
      </c>
      <c r="K2047" s="50">
        <v>42291</v>
      </c>
      <c r="M2047" s="49" t="s">
        <v>8852</v>
      </c>
    </row>
    <row r="2048" spans="1:13" x14ac:dyDescent="0.35">
      <c r="A2048" s="49" t="s">
        <v>8932</v>
      </c>
      <c r="C2048" s="49" t="s">
        <v>8933</v>
      </c>
      <c r="D2048" s="49" t="s">
        <v>1264</v>
      </c>
      <c r="E2048" s="49" t="s">
        <v>2814</v>
      </c>
      <c r="F2048" s="49" t="s">
        <v>8934</v>
      </c>
      <c r="G2048" s="49" t="s">
        <v>2776</v>
      </c>
      <c r="H2048" s="49" t="s">
        <v>2827</v>
      </c>
      <c r="I2048" s="50">
        <v>42033</v>
      </c>
      <c r="J2048" s="50">
        <v>42115</v>
      </c>
      <c r="K2048" s="50">
        <v>42297</v>
      </c>
      <c r="M2048" s="49" t="s">
        <v>8935</v>
      </c>
    </row>
    <row r="2049" spans="1:13" x14ac:dyDescent="0.35">
      <c r="A2049" s="49" t="s">
        <v>8936</v>
      </c>
      <c r="C2049" s="49" t="s">
        <v>4710</v>
      </c>
      <c r="D2049" s="49" t="s">
        <v>1264</v>
      </c>
      <c r="E2049" s="49" t="s">
        <v>2814</v>
      </c>
      <c r="F2049" s="49" t="s">
        <v>2825</v>
      </c>
      <c r="G2049" s="49" t="s">
        <v>2787</v>
      </c>
      <c r="H2049" s="49" t="s">
        <v>2827</v>
      </c>
      <c r="I2049" s="50">
        <v>43580</v>
      </c>
      <c r="J2049" s="50">
        <v>43592</v>
      </c>
      <c r="K2049" s="50">
        <v>44141</v>
      </c>
      <c r="M2049" s="49" t="s">
        <v>8937</v>
      </c>
    </row>
    <row r="2050" spans="1:13" x14ac:dyDescent="0.35">
      <c r="A2050" s="49" t="s">
        <v>8938</v>
      </c>
      <c r="B2050" s="49" t="s">
        <v>8939</v>
      </c>
      <c r="C2050" s="49" t="s">
        <v>3745</v>
      </c>
      <c r="D2050" s="49" t="s">
        <v>1264</v>
      </c>
      <c r="E2050" s="49" t="s">
        <v>2814</v>
      </c>
      <c r="F2050" s="49" t="s">
        <v>2825</v>
      </c>
      <c r="G2050" s="49" t="s">
        <v>2787</v>
      </c>
      <c r="H2050" s="49" t="s">
        <v>2827</v>
      </c>
      <c r="I2050" s="50">
        <v>43185</v>
      </c>
      <c r="J2050" s="50">
        <v>43236</v>
      </c>
      <c r="K2050" s="50">
        <v>43420</v>
      </c>
      <c r="M2050" s="49" t="s">
        <v>3746</v>
      </c>
    </row>
    <row r="2051" spans="1:13" x14ac:dyDescent="0.35">
      <c r="A2051" s="49" t="s">
        <v>8940</v>
      </c>
      <c r="C2051" s="49" t="s">
        <v>8941</v>
      </c>
      <c r="D2051" s="49" t="s">
        <v>1264</v>
      </c>
      <c r="E2051" s="49" t="s">
        <v>2814</v>
      </c>
      <c r="F2051" s="49" t="s">
        <v>2825</v>
      </c>
      <c r="G2051" s="49" t="s">
        <v>2787</v>
      </c>
      <c r="H2051" s="49" t="s">
        <v>2827</v>
      </c>
      <c r="I2051" s="50">
        <v>43228</v>
      </c>
      <c r="J2051" s="50">
        <v>43236</v>
      </c>
      <c r="K2051" s="50">
        <v>43420</v>
      </c>
      <c r="M2051" s="49" t="s">
        <v>8942</v>
      </c>
    </row>
    <row r="2052" spans="1:13" x14ac:dyDescent="0.35">
      <c r="A2052" s="49" t="s">
        <v>8943</v>
      </c>
      <c r="B2052" s="49" t="s">
        <v>3075</v>
      </c>
      <c r="C2052" s="49" t="s">
        <v>3693</v>
      </c>
      <c r="D2052" s="49" t="s">
        <v>1264</v>
      </c>
      <c r="E2052" s="49" t="s">
        <v>2814</v>
      </c>
      <c r="F2052" s="49" t="s">
        <v>2825</v>
      </c>
      <c r="G2052" s="49" t="s">
        <v>2787</v>
      </c>
      <c r="H2052" s="49" t="s">
        <v>2827</v>
      </c>
      <c r="I2052" s="50">
        <v>43185</v>
      </c>
      <c r="J2052" s="50">
        <v>43236</v>
      </c>
      <c r="K2052" s="50">
        <v>43420</v>
      </c>
      <c r="M2052" s="49" t="s">
        <v>3752</v>
      </c>
    </row>
    <row r="2053" spans="1:13" x14ac:dyDescent="0.35">
      <c r="A2053" s="49" t="s">
        <v>8944</v>
      </c>
      <c r="B2053" s="49" t="s">
        <v>5640</v>
      </c>
      <c r="C2053" s="49" t="s">
        <v>8945</v>
      </c>
      <c r="D2053" s="49" t="s">
        <v>1264</v>
      </c>
      <c r="E2053" s="49" t="s">
        <v>2814</v>
      </c>
      <c r="F2053" s="49" t="s">
        <v>2837</v>
      </c>
      <c r="G2053" s="49" t="s">
        <v>2787</v>
      </c>
      <c r="H2053" s="49" t="s">
        <v>980</v>
      </c>
      <c r="I2053" s="50">
        <v>43223</v>
      </c>
      <c r="J2053" s="50">
        <v>43237</v>
      </c>
      <c r="K2053" s="50">
        <v>43421</v>
      </c>
      <c r="M2053" s="49" t="s">
        <v>8946</v>
      </c>
    </row>
    <row r="2054" spans="1:13" x14ac:dyDescent="0.35">
      <c r="A2054" s="49" t="s">
        <v>8947</v>
      </c>
      <c r="B2054" s="49" t="s">
        <v>8948</v>
      </c>
      <c r="C2054" s="49" t="s">
        <v>8949</v>
      </c>
      <c r="D2054" s="49" t="s">
        <v>1264</v>
      </c>
      <c r="E2054" s="49" t="s">
        <v>2814</v>
      </c>
      <c r="F2054" s="49" t="s">
        <v>2825</v>
      </c>
      <c r="G2054" s="49" t="s">
        <v>2787</v>
      </c>
      <c r="H2054" s="49" t="s">
        <v>2827</v>
      </c>
      <c r="I2054" s="50">
        <v>42128</v>
      </c>
      <c r="J2054" s="50">
        <v>42152</v>
      </c>
      <c r="K2054" s="50">
        <v>42335</v>
      </c>
      <c r="M2054" s="49" t="s">
        <v>7400</v>
      </c>
    </row>
    <row r="2055" spans="1:13" x14ac:dyDescent="0.35">
      <c r="A2055" s="49" t="s">
        <v>8950</v>
      </c>
      <c r="C2055" s="49" t="s">
        <v>2860</v>
      </c>
      <c r="D2055" s="49" t="s">
        <v>1264</v>
      </c>
      <c r="E2055" s="49" t="s">
        <v>2814</v>
      </c>
      <c r="F2055" s="49" t="s">
        <v>2825</v>
      </c>
      <c r="G2055" s="49" t="s">
        <v>2787</v>
      </c>
      <c r="H2055" s="49" t="s">
        <v>2827</v>
      </c>
      <c r="I2055" s="50">
        <v>42108</v>
      </c>
      <c r="J2055" s="50">
        <v>42152</v>
      </c>
      <c r="K2055" s="50">
        <v>42335</v>
      </c>
      <c r="M2055" s="49" t="s">
        <v>7400</v>
      </c>
    </row>
    <row r="2056" spans="1:13" x14ac:dyDescent="0.35">
      <c r="A2056" s="49" t="s">
        <v>8951</v>
      </c>
      <c r="C2056" s="49" t="s">
        <v>8952</v>
      </c>
      <c r="D2056" s="49" t="s">
        <v>1264</v>
      </c>
      <c r="E2056" s="49" t="s">
        <v>2814</v>
      </c>
      <c r="F2056" s="49" t="s">
        <v>2825</v>
      </c>
      <c r="G2056" s="49" t="s">
        <v>2787</v>
      </c>
      <c r="H2056" s="49" t="s">
        <v>2827</v>
      </c>
      <c r="I2056" s="50">
        <v>42136</v>
      </c>
      <c r="J2056" s="50">
        <v>42152</v>
      </c>
      <c r="K2056" s="50">
        <v>42335</v>
      </c>
      <c r="M2056" s="49" t="s">
        <v>6129</v>
      </c>
    </row>
    <row r="2057" spans="1:13" x14ac:dyDescent="0.35">
      <c r="A2057" s="49" t="s">
        <v>8953</v>
      </c>
      <c r="C2057" s="49" t="s">
        <v>8954</v>
      </c>
      <c r="D2057" s="49" t="s">
        <v>1264</v>
      </c>
      <c r="E2057" s="49" t="s">
        <v>2814</v>
      </c>
      <c r="F2057" s="49" t="s">
        <v>2825</v>
      </c>
      <c r="G2057" s="49" t="s">
        <v>2787</v>
      </c>
      <c r="H2057" s="49" t="s">
        <v>2827</v>
      </c>
      <c r="I2057" s="50">
        <v>42135</v>
      </c>
      <c r="J2057" s="50">
        <v>42152</v>
      </c>
      <c r="K2057" s="50">
        <v>42335</v>
      </c>
      <c r="M2057" s="49" t="s">
        <v>8955</v>
      </c>
    </row>
    <row r="2058" spans="1:13" x14ac:dyDescent="0.35">
      <c r="A2058" s="49" t="s">
        <v>8956</v>
      </c>
      <c r="C2058" s="49" t="s">
        <v>8957</v>
      </c>
      <c r="D2058" s="49" t="s">
        <v>1264</v>
      </c>
      <c r="E2058" s="49" t="s">
        <v>2814</v>
      </c>
      <c r="F2058" s="49" t="s">
        <v>2825</v>
      </c>
      <c r="G2058" s="49" t="s">
        <v>2787</v>
      </c>
      <c r="H2058" s="49" t="s">
        <v>2827</v>
      </c>
      <c r="I2058" s="50">
        <v>42101</v>
      </c>
      <c r="J2058" s="50">
        <v>42157</v>
      </c>
      <c r="K2058" s="50">
        <v>42339</v>
      </c>
      <c r="M2058" s="49" t="s">
        <v>8958</v>
      </c>
    </row>
    <row r="2059" spans="1:13" x14ac:dyDescent="0.35">
      <c r="A2059" s="49" t="s">
        <v>8959</v>
      </c>
      <c r="C2059" s="49" t="s">
        <v>8960</v>
      </c>
      <c r="D2059" s="49" t="s">
        <v>1264</v>
      </c>
      <c r="E2059" s="49" t="s">
        <v>2814</v>
      </c>
      <c r="F2059" s="49" t="s">
        <v>2825</v>
      </c>
      <c r="G2059" s="49" t="s">
        <v>2787</v>
      </c>
      <c r="H2059" s="49" t="s">
        <v>2827</v>
      </c>
      <c r="I2059" s="50">
        <v>43442</v>
      </c>
      <c r="J2059" s="50">
        <v>43587</v>
      </c>
      <c r="K2059" s="50">
        <v>43952</v>
      </c>
      <c r="M2059" s="49" t="s">
        <v>8961</v>
      </c>
    </row>
    <row r="2060" spans="1:13" x14ac:dyDescent="0.35">
      <c r="A2060" s="49" t="s">
        <v>8962</v>
      </c>
      <c r="B2060" s="49" t="s">
        <v>8963</v>
      </c>
      <c r="C2060" s="49" t="s">
        <v>8964</v>
      </c>
      <c r="D2060" s="49" t="s">
        <v>1264</v>
      </c>
      <c r="E2060" s="49" t="s">
        <v>2814</v>
      </c>
      <c r="F2060" s="49" t="s">
        <v>2837</v>
      </c>
      <c r="G2060" s="49" t="s">
        <v>2776</v>
      </c>
      <c r="H2060" s="49" t="s">
        <v>980</v>
      </c>
      <c r="I2060" s="50">
        <v>43252</v>
      </c>
      <c r="J2060" s="50">
        <v>43258</v>
      </c>
      <c r="K2060" s="50">
        <v>43441</v>
      </c>
      <c r="M2060" s="49" t="s">
        <v>8965</v>
      </c>
    </row>
    <row r="2061" spans="1:13" x14ac:dyDescent="0.35">
      <c r="A2061" s="49" t="s">
        <v>8966</v>
      </c>
      <c r="B2061" s="49" t="s">
        <v>8967</v>
      </c>
      <c r="C2061" s="49" t="s">
        <v>2836</v>
      </c>
      <c r="D2061" s="49" t="s">
        <v>1264</v>
      </c>
      <c r="E2061" s="49" t="s">
        <v>2814</v>
      </c>
      <c r="F2061" s="49" t="s">
        <v>2837</v>
      </c>
      <c r="G2061" s="49" t="s">
        <v>2826</v>
      </c>
      <c r="H2061" s="49" t="s">
        <v>980</v>
      </c>
      <c r="I2061" s="50">
        <v>44006</v>
      </c>
      <c r="J2061" s="50">
        <v>44053</v>
      </c>
      <c r="K2061" s="50">
        <v>44236</v>
      </c>
      <c r="M2061" s="49" t="s">
        <v>8968</v>
      </c>
    </row>
    <row r="2062" spans="1:13" x14ac:dyDescent="0.35">
      <c r="A2062" s="49" t="s">
        <v>8969</v>
      </c>
      <c r="B2062" s="49" t="s">
        <v>2863</v>
      </c>
      <c r="C2062" s="49" t="s">
        <v>8970</v>
      </c>
      <c r="D2062" s="49" t="s">
        <v>1264</v>
      </c>
      <c r="E2062" s="49" t="s">
        <v>2814</v>
      </c>
      <c r="F2062" s="49" t="s">
        <v>2825</v>
      </c>
      <c r="G2062" s="49" t="s">
        <v>2787</v>
      </c>
      <c r="H2062" s="49" t="s">
        <v>2827</v>
      </c>
      <c r="I2062" s="50">
        <v>42167</v>
      </c>
      <c r="J2062" s="50">
        <v>42188</v>
      </c>
      <c r="K2062" s="50">
        <v>42371</v>
      </c>
      <c r="M2062" s="49" t="s">
        <v>8971</v>
      </c>
    </row>
    <row r="2063" spans="1:13" x14ac:dyDescent="0.35">
      <c r="A2063" s="49" t="s">
        <v>8972</v>
      </c>
      <c r="B2063" s="49" t="s">
        <v>8973</v>
      </c>
      <c r="C2063" s="49" t="s">
        <v>2836</v>
      </c>
      <c r="D2063" s="49" t="s">
        <v>1264</v>
      </c>
      <c r="E2063" s="49" t="s">
        <v>2814</v>
      </c>
      <c r="F2063" s="49" t="s">
        <v>2837</v>
      </c>
      <c r="G2063" s="49" t="s">
        <v>2826</v>
      </c>
      <c r="H2063" s="49" t="s">
        <v>980</v>
      </c>
      <c r="I2063" s="50">
        <v>44006</v>
      </c>
      <c r="J2063" s="50">
        <v>44102</v>
      </c>
      <c r="K2063" s="50">
        <v>44282</v>
      </c>
      <c r="M2063" s="49" t="s">
        <v>8974</v>
      </c>
    </row>
    <row r="2064" spans="1:13" x14ac:dyDescent="0.35">
      <c r="A2064" s="49" t="s">
        <v>8975</v>
      </c>
      <c r="B2064" s="49" t="s">
        <v>8976</v>
      </c>
      <c r="C2064" s="49" t="s">
        <v>8977</v>
      </c>
      <c r="D2064" s="49" t="s">
        <v>1264</v>
      </c>
      <c r="E2064" s="49" t="s">
        <v>2814</v>
      </c>
      <c r="F2064" s="49" t="s">
        <v>2825</v>
      </c>
      <c r="G2064" s="49" t="s">
        <v>2776</v>
      </c>
      <c r="H2064" s="49" t="s">
        <v>2827</v>
      </c>
      <c r="I2064" s="50">
        <v>42167</v>
      </c>
      <c r="J2064" s="50">
        <v>42199</v>
      </c>
      <c r="K2064" s="50">
        <v>42382</v>
      </c>
      <c r="M2064" s="49" t="s">
        <v>3470</v>
      </c>
    </row>
    <row r="2065" spans="1:13" x14ac:dyDescent="0.35">
      <c r="A2065" s="49" t="s">
        <v>8978</v>
      </c>
      <c r="C2065" s="49" t="s">
        <v>8979</v>
      </c>
      <c r="D2065" s="49" t="s">
        <v>1264</v>
      </c>
      <c r="E2065" s="49" t="s">
        <v>2814</v>
      </c>
      <c r="F2065" s="49" t="s">
        <v>2825</v>
      </c>
      <c r="G2065" s="49" t="s">
        <v>2787</v>
      </c>
      <c r="H2065" s="49" t="s">
        <v>2827</v>
      </c>
      <c r="I2065" s="50">
        <v>42180</v>
      </c>
      <c r="J2065" s="50">
        <v>42201</v>
      </c>
      <c r="K2065" s="50">
        <v>42384</v>
      </c>
      <c r="M2065" s="49" t="s">
        <v>3470</v>
      </c>
    </row>
    <row r="2066" spans="1:13" x14ac:dyDescent="0.35">
      <c r="A2066" s="49" t="s">
        <v>8980</v>
      </c>
      <c r="C2066" s="49" t="s">
        <v>8981</v>
      </c>
      <c r="D2066" s="49" t="s">
        <v>1264</v>
      </c>
      <c r="E2066" s="49" t="s">
        <v>2814</v>
      </c>
      <c r="F2066" s="49" t="s">
        <v>2825</v>
      </c>
      <c r="G2066" s="49" t="s">
        <v>2787</v>
      </c>
      <c r="H2066" s="49" t="s">
        <v>2827</v>
      </c>
      <c r="I2066" s="50">
        <v>42179</v>
      </c>
      <c r="J2066" s="50">
        <v>42202</v>
      </c>
      <c r="K2066" s="50">
        <v>42385</v>
      </c>
      <c r="M2066" s="49" t="s">
        <v>3470</v>
      </c>
    </row>
    <row r="2067" spans="1:13" x14ac:dyDescent="0.35">
      <c r="A2067" s="49" t="s">
        <v>8982</v>
      </c>
      <c r="C2067" s="49" t="s">
        <v>8983</v>
      </c>
      <c r="D2067" s="49" t="s">
        <v>1264</v>
      </c>
      <c r="E2067" s="49" t="s">
        <v>2814</v>
      </c>
      <c r="F2067" s="49" t="s">
        <v>2837</v>
      </c>
      <c r="G2067" s="49" t="s">
        <v>2787</v>
      </c>
      <c r="H2067" s="49" t="s">
        <v>2827</v>
      </c>
      <c r="I2067" s="50">
        <v>42185</v>
      </c>
      <c r="J2067" s="50">
        <v>42202</v>
      </c>
      <c r="K2067" s="50">
        <v>42385</v>
      </c>
      <c r="M2067" s="49" t="s">
        <v>3470</v>
      </c>
    </row>
    <row r="2068" spans="1:13" x14ac:dyDescent="0.35">
      <c r="A2068" s="49" t="s">
        <v>8984</v>
      </c>
      <c r="C2068" s="49" t="s">
        <v>3831</v>
      </c>
      <c r="D2068" s="49" t="s">
        <v>1264</v>
      </c>
      <c r="E2068" s="49" t="s">
        <v>2814</v>
      </c>
      <c r="F2068" s="49" t="s">
        <v>8985</v>
      </c>
      <c r="G2068" s="49" t="s">
        <v>2787</v>
      </c>
      <c r="H2068" s="49" t="s">
        <v>980</v>
      </c>
      <c r="I2068" s="50">
        <v>42179</v>
      </c>
      <c r="J2068" s="50">
        <v>42202</v>
      </c>
      <c r="K2068" s="50">
        <v>42385</v>
      </c>
      <c r="M2068" s="49" t="s">
        <v>3470</v>
      </c>
    </row>
    <row r="2069" spans="1:13" x14ac:dyDescent="0.35">
      <c r="A2069" s="49" t="s">
        <v>8986</v>
      </c>
      <c r="B2069" s="49" t="s">
        <v>2863</v>
      </c>
      <c r="C2069" s="49" t="s">
        <v>8987</v>
      </c>
      <c r="D2069" s="49" t="s">
        <v>1264</v>
      </c>
      <c r="E2069" s="49" t="s">
        <v>2814</v>
      </c>
      <c r="F2069" s="49" t="s">
        <v>2825</v>
      </c>
      <c r="G2069" s="49" t="s">
        <v>2787</v>
      </c>
      <c r="H2069" s="49" t="s">
        <v>2827</v>
      </c>
      <c r="I2069" s="50">
        <v>42165</v>
      </c>
      <c r="J2069" s="50">
        <v>42207</v>
      </c>
      <c r="K2069" s="50">
        <v>42390</v>
      </c>
      <c r="M2069" s="49" t="s">
        <v>3470</v>
      </c>
    </row>
    <row r="2070" spans="1:13" x14ac:dyDescent="0.35">
      <c r="A2070" s="49" t="s">
        <v>8988</v>
      </c>
      <c r="C2070" s="49" t="s">
        <v>4541</v>
      </c>
      <c r="D2070" s="49" t="s">
        <v>1264</v>
      </c>
      <c r="E2070" s="49" t="s">
        <v>2814</v>
      </c>
      <c r="F2070" s="49" t="s">
        <v>2825</v>
      </c>
      <c r="G2070" s="49" t="s">
        <v>2826</v>
      </c>
      <c r="H2070" s="49" t="s">
        <v>2827</v>
      </c>
      <c r="I2070" s="50">
        <v>43276</v>
      </c>
      <c r="J2070" s="50">
        <v>43291</v>
      </c>
      <c r="K2070" s="50">
        <v>43656</v>
      </c>
      <c r="M2070" s="49" t="s">
        <v>8989</v>
      </c>
    </row>
    <row r="2071" spans="1:13" x14ac:dyDescent="0.35">
      <c r="A2071" s="49" t="s">
        <v>8990</v>
      </c>
      <c r="C2071" s="49" t="s">
        <v>8991</v>
      </c>
      <c r="D2071" s="49" t="s">
        <v>1264</v>
      </c>
      <c r="E2071" s="49" t="s">
        <v>2814</v>
      </c>
      <c r="F2071" s="49" t="s">
        <v>2837</v>
      </c>
      <c r="G2071" s="49" t="s">
        <v>2776</v>
      </c>
      <c r="H2071" s="49" t="s">
        <v>980</v>
      </c>
      <c r="I2071" s="50">
        <v>43272</v>
      </c>
      <c r="J2071" s="50">
        <v>43291</v>
      </c>
      <c r="K2071" s="50">
        <v>43475</v>
      </c>
      <c r="M2071" s="49" t="s">
        <v>8992</v>
      </c>
    </row>
    <row r="2072" spans="1:13" x14ac:dyDescent="0.35">
      <c r="A2072" s="49" t="s">
        <v>8993</v>
      </c>
      <c r="C2072" s="49" t="s">
        <v>3795</v>
      </c>
      <c r="D2072" s="49" t="s">
        <v>1264</v>
      </c>
      <c r="E2072" s="49" t="s">
        <v>2814</v>
      </c>
      <c r="F2072" s="49" t="s">
        <v>2825</v>
      </c>
      <c r="G2072" s="49" t="s">
        <v>2787</v>
      </c>
      <c r="H2072" s="49" t="s">
        <v>2827</v>
      </c>
      <c r="I2072" s="50">
        <v>43284</v>
      </c>
      <c r="J2072" s="50">
        <v>43293</v>
      </c>
      <c r="K2072" s="50">
        <v>43477</v>
      </c>
      <c r="M2072" s="49" t="s">
        <v>8994</v>
      </c>
    </row>
    <row r="2073" spans="1:13" x14ac:dyDescent="0.35">
      <c r="A2073" s="49" t="s">
        <v>8995</v>
      </c>
      <c r="B2073" s="49" t="s">
        <v>8996</v>
      </c>
      <c r="C2073" s="49" t="s">
        <v>8997</v>
      </c>
      <c r="D2073" s="49" t="s">
        <v>1264</v>
      </c>
      <c r="E2073" s="49" t="s">
        <v>2814</v>
      </c>
      <c r="F2073" s="49" t="s">
        <v>2837</v>
      </c>
      <c r="G2073" s="49" t="s">
        <v>2787</v>
      </c>
      <c r="H2073" s="49" t="s">
        <v>980</v>
      </c>
      <c r="I2073" s="50">
        <v>43297</v>
      </c>
      <c r="J2073" s="50">
        <v>43301</v>
      </c>
      <c r="K2073" s="50">
        <v>43485</v>
      </c>
      <c r="M2073" s="49" t="s">
        <v>8998</v>
      </c>
    </row>
    <row r="2074" spans="1:13" x14ac:dyDescent="0.35">
      <c r="A2074" s="49" t="s">
        <v>8999</v>
      </c>
      <c r="C2074" s="49" t="s">
        <v>9000</v>
      </c>
      <c r="D2074" s="49" t="s">
        <v>1264</v>
      </c>
      <c r="E2074" s="49" t="s">
        <v>2814</v>
      </c>
      <c r="F2074" s="49" t="s">
        <v>2825</v>
      </c>
      <c r="G2074" s="49" t="s">
        <v>2787</v>
      </c>
      <c r="H2074" s="49" t="s">
        <v>2827</v>
      </c>
      <c r="I2074" s="50">
        <v>42187</v>
      </c>
      <c r="J2074" s="50">
        <v>42230</v>
      </c>
      <c r="K2074" s="50">
        <v>42048</v>
      </c>
      <c r="M2074" s="49" t="s">
        <v>3470</v>
      </c>
    </row>
    <row r="2075" spans="1:13" x14ac:dyDescent="0.35">
      <c r="A2075" s="49" t="s">
        <v>9001</v>
      </c>
      <c r="C2075" s="49" t="s">
        <v>9002</v>
      </c>
      <c r="D2075" s="49" t="s">
        <v>1264</v>
      </c>
      <c r="E2075" s="49" t="s">
        <v>2814</v>
      </c>
      <c r="F2075" s="49" t="s">
        <v>2825</v>
      </c>
      <c r="G2075" s="49" t="s">
        <v>2776</v>
      </c>
      <c r="H2075" s="49" t="s">
        <v>2827</v>
      </c>
      <c r="I2075" s="50">
        <v>42208</v>
      </c>
      <c r="J2075" s="50">
        <v>42230</v>
      </c>
      <c r="K2075" s="50">
        <v>42413</v>
      </c>
      <c r="M2075" s="49" t="s">
        <v>3470</v>
      </c>
    </row>
    <row r="2076" spans="1:13" x14ac:dyDescent="0.35">
      <c r="A2076" s="49" t="s">
        <v>9003</v>
      </c>
      <c r="C2076" s="49" t="s">
        <v>9004</v>
      </c>
      <c r="D2076" s="49" t="s">
        <v>1264</v>
      </c>
      <c r="E2076" s="49" t="s">
        <v>2814</v>
      </c>
      <c r="F2076" s="49" t="s">
        <v>2825</v>
      </c>
      <c r="G2076" s="49" t="s">
        <v>2787</v>
      </c>
      <c r="H2076" s="49" t="s">
        <v>2827</v>
      </c>
      <c r="I2076" s="50">
        <v>43003</v>
      </c>
      <c r="J2076" s="50">
        <v>43026</v>
      </c>
      <c r="K2076" s="50">
        <v>43208</v>
      </c>
      <c r="M2076" s="49" t="s">
        <v>9005</v>
      </c>
    </row>
    <row r="2077" spans="1:13" x14ac:dyDescent="0.35">
      <c r="A2077" s="49" t="s">
        <v>9006</v>
      </c>
      <c r="B2077" s="49" t="s">
        <v>9007</v>
      </c>
      <c r="C2077" s="49" t="s">
        <v>9008</v>
      </c>
      <c r="D2077" s="49" t="s">
        <v>1264</v>
      </c>
      <c r="E2077" s="49" t="s">
        <v>2814</v>
      </c>
      <c r="F2077" s="49" t="s">
        <v>2825</v>
      </c>
      <c r="G2077" s="49" t="s">
        <v>2787</v>
      </c>
      <c r="H2077" s="49" t="s">
        <v>2827</v>
      </c>
      <c r="I2077" s="50">
        <v>42221</v>
      </c>
      <c r="J2077" s="50">
        <v>42234</v>
      </c>
      <c r="K2077" s="50">
        <v>42417</v>
      </c>
      <c r="M2077" s="49" t="s">
        <v>3470</v>
      </c>
    </row>
    <row r="2078" spans="1:13" x14ac:dyDescent="0.35">
      <c r="A2078" s="49" t="s">
        <v>9009</v>
      </c>
      <c r="B2078" s="49" t="s">
        <v>8733</v>
      </c>
      <c r="C2078" s="49" t="s">
        <v>9010</v>
      </c>
      <c r="D2078" s="49" t="s">
        <v>1264</v>
      </c>
      <c r="E2078" s="49" t="s">
        <v>2814</v>
      </c>
      <c r="F2078" s="49" t="s">
        <v>2825</v>
      </c>
      <c r="G2078" s="49" t="s">
        <v>2787</v>
      </c>
      <c r="H2078" s="49" t="s">
        <v>2827</v>
      </c>
      <c r="I2078" s="50">
        <v>42570</v>
      </c>
      <c r="J2078" s="50">
        <v>42600</v>
      </c>
      <c r="K2078" s="50">
        <v>42784</v>
      </c>
      <c r="M2078" s="49" t="s">
        <v>9011</v>
      </c>
    </row>
    <row r="2079" spans="1:13" x14ac:dyDescent="0.35">
      <c r="A2079" s="49" t="s">
        <v>9012</v>
      </c>
      <c r="C2079" s="49" t="s">
        <v>9013</v>
      </c>
      <c r="D2079" s="49" t="s">
        <v>1264</v>
      </c>
      <c r="E2079" s="49" t="s">
        <v>2814</v>
      </c>
      <c r="F2079" s="49" t="s">
        <v>2825</v>
      </c>
      <c r="G2079" s="49" t="s">
        <v>2787</v>
      </c>
      <c r="H2079" s="49" t="s">
        <v>2827</v>
      </c>
      <c r="I2079" s="50">
        <v>42482</v>
      </c>
      <c r="J2079" s="50">
        <v>42600</v>
      </c>
      <c r="K2079" s="50">
        <v>42784</v>
      </c>
      <c r="M2079" s="49" t="s">
        <v>9014</v>
      </c>
    </row>
    <row r="2080" spans="1:13" x14ac:dyDescent="0.35">
      <c r="A2080" s="49" t="s">
        <v>9015</v>
      </c>
      <c r="B2080" s="49" t="s">
        <v>2863</v>
      </c>
      <c r="C2080" s="49" t="s">
        <v>9016</v>
      </c>
      <c r="D2080" s="49" t="s">
        <v>1264</v>
      </c>
      <c r="E2080" s="49" t="s">
        <v>2814</v>
      </c>
      <c r="F2080" s="49" t="s">
        <v>2825</v>
      </c>
      <c r="G2080" s="49" t="s">
        <v>2787</v>
      </c>
      <c r="H2080" s="49" t="s">
        <v>2827</v>
      </c>
      <c r="I2080" s="50">
        <v>42229</v>
      </c>
      <c r="J2080" s="50">
        <v>42262</v>
      </c>
      <c r="K2080" s="50">
        <v>42444</v>
      </c>
      <c r="M2080" s="49" t="s">
        <v>9017</v>
      </c>
    </row>
    <row r="2081" spans="1:13" x14ac:dyDescent="0.35">
      <c r="A2081" s="49" t="s">
        <v>9018</v>
      </c>
      <c r="B2081" s="49" t="s">
        <v>2863</v>
      </c>
      <c r="C2081" s="49" t="s">
        <v>9019</v>
      </c>
      <c r="D2081" s="49" t="s">
        <v>1264</v>
      </c>
      <c r="E2081" s="49" t="s">
        <v>2814</v>
      </c>
      <c r="F2081" s="49" t="s">
        <v>2825</v>
      </c>
      <c r="G2081" s="49" t="s">
        <v>2787</v>
      </c>
      <c r="H2081" s="49" t="s">
        <v>2827</v>
      </c>
      <c r="I2081" s="50">
        <v>42276</v>
      </c>
      <c r="J2081" s="50">
        <v>42292</v>
      </c>
      <c r="K2081" s="50">
        <v>42474</v>
      </c>
      <c r="M2081" s="49" t="s">
        <v>3470</v>
      </c>
    </row>
    <row r="2082" spans="1:13" x14ac:dyDescent="0.35">
      <c r="A2082" s="49" t="s">
        <v>9020</v>
      </c>
      <c r="C2082" s="49" t="s">
        <v>9021</v>
      </c>
      <c r="D2082" s="49" t="s">
        <v>1264</v>
      </c>
      <c r="E2082" s="49" t="s">
        <v>2814</v>
      </c>
      <c r="F2082" s="49" t="s">
        <v>2825</v>
      </c>
      <c r="G2082" s="49" t="s">
        <v>2776</v>
      </c>
      <c r="H2082" s="49" t="s">
        <v>2827</v>
      </c>
      <c r="I2082" s="50">
        <v>42254</v>
      </c>
      <c r="J2082" s="50">
        <v>42297</v>
      </c>
      <c r="K2082" s="50">
        <v>42113</v>
      </c>
      <c r="M2082" s="49" t="s">
        <v>9022</v>
      </c>
    </row>
    <row r="2083" spans="1:13" x14ac:dyDescent="0.35">
      <c r="A2083" s="49" t="s">
        <v>9023</v>
      </c>
      <c r="B2083" s="49" t="s">
        <v>9024</v>
      </c>
      <c r="C2083" s="49" t="s">
        <v>9025</v>
      </c>
      <c r="D2083" s="49" t="s">
        <v>1264</v>
      </c>
      <c r="E2083" s="49" t="s">
        <v>2814</v>
      </c>
      <c r="F2083" s="49" t="s">
        <v>3010</v>
      </c>
      <c r="G2083" s="49" t="s">
        <v>2787</v>
      </c>
      <c r="H2083" s="49" t="s">
        <v>980</v>
      </c>
      <c r="I2083" s="50">
        <v>41884</v>
      </c>
      <c r="J2083" s="50">
        <v>41940</v>
      </c>
      <c r="K2083" s="50">
        <v>42121</v>
      </c>
      <c r="M2083" s="49" t="s">
        <v>9026</v>
      </c>
    </row>
    <row r="2084" spans="1:13" x14ac:dyDescent="0.35">
      <c r="A2084" s="49" t="s">
        <v>9027</v>
      </c>
      <c r="B2084" s="49" t="s">
        <v>2863</v>
      </c>
      <c r="C2084" s="49" t="s">
        <v>9028</v>
      </c>
      <c r="D2084" s="49" t="s">
        <v>1264</v>
      </c>
      <c r="E2084" s="49" t="s">
        <v>2814</v>
      </c>
      <c r="F2084" s="49" t="s">
        <v>2825</v>
      </c>
      <c r="G2084" s="49" t="s">
        <v>2787</v>
      </c>
      <c r="H2084" s="49" t="s">
        <v>2827</v>
      </c>
      <c r="I2084" s="50">
        <v>42432</v>
      </c>
      <c r="J2084" s="50">
        <v>42310</v>
      </c>
      <c r="K2084" s="50">
        <v>42491</v>
      </c>
      <c r="M2084" s="49" t="s">
        <v>9029</v>
      </c>
    </row>
    <row r="2085" spans="1:13" x14ac:dyDescent="0.35">
      <c r="A2085" s="49" t="s">
        <v>9030</v>
      </c>
      <c r="C2085" s="49" t="s">
        <v>4103</v>
      </c>
      <c r="D2085" s="49" t="s">
        <v>1264</v>
      </c>
      <c r="E2085" s="49" t="s">
        <v>2814</v>
      </c>
      <c r="F2085" s="49" t="s">
        <v>2825</v>
      </c>
      <c r="G2085" s="49" t="s">
        <v>2787</v>
      </c>
      <c r="H2085" s="49" t="s">
        <v>2827</v>
      </c>
      <c r="I2085" s="50">
        <v>42574</v>
      </c>
      <c r="J2085" s="50">
        <v>42690</v>
      </c>
      <c r="K2085" s="50">
        <v>42870</v>
      </c>
      <c r="M2085" s="49" t="s">
        <v>9031</v>
      </c>
    </row>
    <row r="2086" spans="1:13" x14ac:dyDescent="0.35">
      <c r="A2086" s="49" t="s">
        <v>9032</v>
      </c>
      <c r="B2086" s="49" t="s">
        <v>3063</v>
      </c>
      <c r="C2086" s="49" t="s">
        <v>9033</v>
      </c>
      <c r="D2086" s="49" t="s">
        <v>1264</v>
      </c>
      <c r="E2086" s="49" t="s">
        <v>2814</v>
      </c>
      <c r="F2086" s="49" t="s">
        <v>2837</v>
      </c>
      <c r="G2086" s="49" t="s">
        <v>2787</v>
      </c>
      <c r="H2086" s="49" t="s">
        <v>980</v>
      </c>
      <c r="I2086" s="50">
        <v>41996</v>
      </c>
      <c r="J2086" s="50">
        <v>41991</v>
      </c>
      <c r="K2086" s="50">
        <v>42172</v>
      </c>
      <c r="M2086" s="49" t="s">
        <v>9034</v>
      </c>
    </row>
    <row r="2087" spans="1:13" x14ac:dyDescent="0.35">
      <c r="A2087" s="49" t="s">
        <v>9035</v>
      </c>
      <c r="B2087" s="49" t="s">
        <v>9036</v>
      </c>
      <c r="C2087" s="49" t="s">
        <v>9037</v>
      </c>
      <c r="D2087" s="49" t="s">
        <v>1264</v>
      </c>
      <c r="E2087" s="49" t="s">
        <v>2814</v>
      </c>
      <c r="F2087" s="49" t="s">
        <v>2825</v>
      </c>
      <c r="G2087" s="49" t="s">
        <v>2787</v>
      </c>
      <c r="H2087" s="49" t="s">
        <v>2827</v>
      </c>
      <c r="I2087" s="50">
        <v>41996</v>
      </c>
      <c r="J2087" s="50">
        <v>41992</v>
      </c>
      <c r="K2087" s="50">
        <v>42173</v>
      </c>
      <c r="M2087" s="49" t="s">
        <v>9038</v>
      </c>
    </row>
    <row r="2088" spans="1:13" x14ac:dyDescent="0.35">
      <c r="A2088" s="49" t="s">
        <v>9039</v>
      </c>
      <c r="B2088" s="49" t="s">
        <v>9040</v>
      </c>
      <c r="C2088" s="49" t="s">
        <v>9041</v>
      </c>
      <c r="D2088" s="49" t="s">
        <v>1264</v>
      </c>
      <c r="E2088" s="49" t="s">
        <v>2814</v>
      </c>
      <c r="F2088" s="49" t="s">
        <v>2825</v>
      </c>
      <c r="G2088" s="49" t="s">
        <v>2826</v>
      </c>
      <c r="H2088" s="49" t="s">
        <v>2827</v>
      </c>
      <c r="I2088" s="50">
        <v>42618</v>
      </c>
      <c r="J2088" s="50">
        <v>42717</v>
      </c>
      <c r="K2088" s="50">
        <v>42899</v>
      </c>
      <c r="M2088" s="49" t="s">
        <v>9042</v>
      </c>
    </row>
    <row r="2089" spans="1:13" x14ac:dyDescent="0.35">
      <c r="A2089" s="49" t="s">
        <v>9043</v>
      </c>
      <c r="C2089" s="49" t="s">
        <v>9044</v>
      </c>
      <c r="D2089" s="49" t="s">
        <v>1264</v>
      </c>
      <c r="E2089" s="49" t="s">
        <v>2814</v>
      </c>
      <c r="F2089" s="49" t="s">
        <v>2825</v>
      </c>
      <c r="G2089" s="49" t="s">
        <v>2787</v>
      </c>
      <c r="H2089" s="49" t="s">
        <v>2827</v>
      </c>
      <c r="I2089" s="50">
        <v>41914</v>
      </c>
      <c r="J2089" s="50">
        <v>41912</v>
      </c>
      <c r="K2089" s="50">
        <v>42092</v>
      </c>
      <c r="M2089" s="49" t="s">
        <v>9045</v>
      </c>
    </row>
    <row r="2090" spans="1:13" x14ac:dyDescent="0.35">
      <c r="A2090" s="49" t="s">
        <v>9046</v>
      </c>
      <c r="C2090" s="49" t="s">
        <v>3811</v>
      </c>
      <c r="D2090" s="49" t="s">
        <v>1264</v>
      </c>
      <c r="E2090" s="49" t="s">
        <v>2814</v>
      </c>
      <c r="F2090" s="49" t="s">
        <v>2825</v>
      </c>
      <c r="G2090" s="49" t="s">
        <v>2787</v>
      </c>
      <c r="H2090" s="49" t="s">
        <v>2827</v>
      </c>
      <c r="I2090" s="50">
        <v>41928</v>
      </c>
      <c r="J2090" s="50">
        <v>41912</v>
      </c>
      <c r="K2090" s="50">
        <v>42092</v>
      </c>
      <c r="M2090" s="49" t="s">
        <v>9047</v>
      </c>
    </row>
    <row r="2091" spans="1:13" x14ac:dyDescent="0.35">
      <c r="A2091" s="49" t="s">
        <v>9048</v>
      </c>
      <c r="B2091" s="49" t="s">
        <v>4579</v>
      </c>
      <c r="C2091" s="49" t="s">
        <v>9049</v>
      </c>
      <c r="D2091" s="49" t="s">
        <v>1264</v>
      </c>
      <c r="E2091" s="49" t="s">
        <v>2814</v>
      </c>
      <c r="F2091" s="49" t="s">
        <v>2825</v>
      </c>
      <c r="G2091" s="49" t="s">
        <v>2776</v>
      </c>
      <c r="H2091" s="49" t="s">
        <v>2827</v>
      </c>
      <c r="I2091" s="50">
        <v>43062</v>
      </c>
      <c r="M2091" s="49" t="s">
        <v>3270</v>
      </c>
    </row>
    <row r="2092" spans="1:13" x14ac:dyDescent="0.35">
      <c r="A2092" s="49" t="s">
        <v>9050</v>
      </c>
      <c r="B2092" s="49" t="s">
        <v>3175</v>
      </c>
      <c r="C2092" s="49" t="s">
        <v>3176</v>
      </c>
      <c r="D2092" s="49" t="s">
        <v>1264</v>
      </c>
      <c r="E2092" s="49" t="s">
        <v>2814</v>
      </c>
      <c r="F2092" s="49" t="s">
        <v>8985</v>
      </c>
      <c r="G2092" s="49" t="s">
        <v>2826</v>
      </c>
      <c r="H2092" s="49" t="s">
        <v>980</v>
      </c>
      <c r="I2092" s="50">
        <v>40802</v>
      </c>
      <c r="M2092" s="49" t="s">
        <v>3177</v>
      </c>
    </row>
    <row r="2093" spans="1:13" x14ac:dyDescent="0.35">
      <c r="A2093" s="49" t="s">
        <v>9051</v>
      </c>
      <c r="B2093" s="49" t="s">
        <v>873</v>
      </c>
      <c r="C2093" s="49" t="s">
        <v>4178</v>
      </c>
      <c r="D2093" s="49" t="s">
        <v>1264</v>
      </c>
      <c r="E2093" s="49" t="s">
        <v>2814</v>
      </c>
      <c r="F2093" s="49" t="s">
        <v>2825</v>
      </c>
      <c r="G2093" s="49" t="s">
        <v>2776</v>
      </c>
      <c r="H2093" s="49" t="s">
        <v>2827</v>
      </c>
      <c r="I2093" s="50">
        <v>42051</v>
      </c>
      <c r="M2093" s="49" t="s">
        <v>9052</v>
      </c>
    </row>
    <row r="2094" spans="1:13" x14ac:dyDescent="0.35">
      <c r="A2094" s="49" t="s">
        <v>9053</v>
      </c>
      <c r="C2094" s="49" t="s">
        <v>2927</v>
      </c>
      <c r="D2094" s="49" t="s">
        <v>1264</v>
      </c>
      <c r="E2094" s="49" t="s">
        <v>2814</v>
      </c>
      <c r="F2094" s="49" t="s">
        <v>2837</v>
      </c>
      <c r="G2094" s="49" t="s">
        <v>2776</v>
      </c>
      <c r="H2094" s="49" t="s">
        <v>8</v>
      </c>
      <c r="I2094" s="50">
        <v>43055</v>
      </c>
      <c r="M2094" s="49" t="s">
        <v>9054</v>
      </c>
    </row>
    <row r="2095" spans="1:13" x14ac:dyDescent="0.35">
      <c r="A2095" s="49" t="s">
        <v>9055</v>
      </c>
      <c r="C2095" s="49" t="s">
        <v>9056</v>
      </c>
      <c r="D2095" s="49" t="s">
        <v>1264</v>
      </c>
      <c r="E2095" s="49" t="s">
        <v>2974</v>
      </c>
      <c r="F2095" s="49" t="s">
        <v>2825</v>
      </c>
      <c r="G2095" s="49" t="s">
        <v>2826</v>
      </c>
      <c r="H2095" s="49" t="s">
        <v>2827</v>
      </c>
      <c r="I2095" s="50">
        <v>43598</v>
      </c>
      <c r="M2095" s="49" t="s">
        <v>9057</v>
      </c>
    </row>
    <row r="2096" spans="1:13" x14ac:dyDescent="0.35">
      <c r="A2096" s="49" t="s">
        <v>9058</v>
      </c>
      <c r="B2096" s="49" t="s">
        <v>6999</v>
      </c>
      <c r="C2096" s="49" t="s">
        <v>9059</v>
      </c>
      <c r="D2096" s="49" t="s">
        <v>1264</v>
      </c>
      <c r="E2096" s="49" t="s">
        <v>2785</v>
      </c>
      <c r="F2096" s="49" t="s">
        <v>2792</v>
      </c>
      <c r="G2096" s="49" t="s">
        <v>2776</v>
      </c>
      <c r="H2096" s="49" t="s">
        <v>8</v>
      </c>
      <c r="I2096" s="50">
        <v>41292</v>
      </c>
      <c r="M2096" s="49" t="s">
        <v>9060</v>
      </c>
    </row>
    <row r="2097" spans="1:13" x14ac:dyDescent="0.35">
      <c r="A2097" s="49" t="s">
        <v>9061</v>
      </c>
      <c r="B2097" s="49" t="s">
        <v>9062</v>
      </c>
      <c r="C2097" s="49" t="s">
        <v>3116</v>
      </c>
      <c r="D2097" s="49" t="s">
        <v>1264</v>
      </c>
      <c r="E2097" s="49" t="s">
        <v>2908</v>
      </c>
      <c r="F2097" s="49" t="s">
        <v>3253</v>
      </c>
      <c r="G2097" s="49" t="s">
        <v>2776</v>
      </c>
      <c r="H2097" s="49" t="s">
        <v>2827</v>
      </c>
      <c r="I2097" s="50">
        <v>41319</v>
      </c>
      <c r="M2097" s="49" t="s">
        <v>9063</v>
      </c>
    </row>
    <row r="2098" spans="1:13" x14ac:dyDescent="0.35">
      <c r="A2098" s="49" t="s">
        <v>9064</v>
      </c>
      <c r="B2098" s="49" t="s">
        <v>9065</v>
      </c>
      <c r="C2098" s="49" t="s">
        <v>8137</v>
      </c>
      <c r="D2098" s="49" t="s">
        <v>1264</v>
      </c>
      <c r="E2098" s="49" t="s">
        <v>2774</v>
      </c>
      <c r="F2098" s="49" t="s">
        <v>2825</v>
      </c>
      <c r="G2098" s="49" t="s">
        <v>2826</v>
      </c>
      <c r="H2098" s="49" t="s">
        <v>973</v>
      </c>
      <c r="I2098" s="50">
        <v>35635</v>
      </c>
      <c r="J2098" s="50">
        <v>36181</v>
      </c>
      <c r="K2098" s="50">
        <v>37642</v>
      </c>
      <c r="M2098" s="49" t="s">
        <v>8138</v>
      </c>
    </row>
    <row r="2099" spans="1:13" x14ac:dyDescent="0.35">
      <c r="A2099" s="49" t="s">
        <v>9066</v>
      </c>
      <c r="B2099" s="49" t="s">
        <v>9067</v>
      </c>
      <c r="C2099" s="49" t="s">
        <v>3985</v>
      </c>
      <c r="D2099" s="49" t="s">
        <v>1264</v>
      </c>
      <c r="E2099" s="49" t="s">
        <v>2774</v>
      </c>
      <c r="F2099" s="49" t="s">
        <v>2950</v>
      </c>
      <c r="G2099" s="49" t="s">
        <v>2826</v>
      </c>
      <c r="H2099" s="49" t="s">
        <v>980</v>
      </c>
      <c r="I2099" s="50">
        <v>34995</v>
      </c>
      <c r="J2099" s="50">
        <v>35026</v>
      </c>
      <c r="K2099" s="50">
        <v>36487</v>
      </c>
      <c r="M2099" s="49" t="s">
        <v>9068</v>
      </c>
    </row>
    <row r="2100" spans="1:13" x14ac:dyDescent="0.35">
      <c r="A2100" s="49" t="s">
        <v>9069</v>
      </c>
      <c r="B2100" s="49" t="s">
        <v>9070</v>
      </c>
      <c r="C2100" s="49" t="s">
        <v>7966</v>
      </c>
      <c r="D2100" s="49" t="s">
        <v>1264</v>
      </c>
      <c r="E2100" s="49" t="s">
        <v>2774</v>
      </c>
      <c r="F2100" s="49" t="s">
        <v>2825</v>
      </c>
      <c r="G2100" s="49" t="s">
        <v>2826</v>
      </c>
      <c r="H2100" s="49" t="s">
        <v>2827</v>
      </c>
      <c r="I2100" s="50">
        <v>35256</v>
      </c>
      <c r="J2100" s="50">
        <v>35360</v>
      </c>
      <c r="K2100" s="50">
        <v>36821</v>
      </c>
      <c r="M2100" s="49" t="s">
        <v>9071</v>
      </c>
    </row>
    <row r="2101" spans="1:13" x14ac:dyDescent="0.35">
      <c r="A2101" s="49" t="s">
        <v>9072</v>
      </c>
      <c r="B2101" s="49" t="s">
        <v>9073</v>
      </c>
      <c r="C2101" s="49" t="s">
        <v>9074</v>
      </c>
      <c r="D2101" s="49" t="s">
        <v>1264</v>
      </c>
      <c r="E2101" s="49" t="s">
        <v>2774</v>
      </c>
      <c r="F2101" s="49" t="s">
        <v>3598</v>
      </c>
      <c r="G2101" s="49" t="s">
        <v>2826</v>
      </c>
      <c r="H2101" s="49" t="s">
        <v>2827</v>
      </c>
      <c r="I2101" s="50">
        <v>35815</v>
      </c>
      <c r="J2101" s="50">
        <v>35866</v>
      </c>
      <c r="K2101" s="50">
        <v>40379</v>
      </c>
      <c r="M2101" s="49" t="s">
        <v>2970</v>
      </c>
    </row>
    <row r="2102" spans="1:13" x14ac:dyDescent="0.35">
      <c r="A2102" s="49" t="s">
        <v>9075</v>
      </c>
      <c r="B2102" s="49" t="s">
        <v>9076</v>
      </c>
      <c r="C2102" s="49" t="s">
        <v>7966</v>
      </c>
      <c r="D2102" s="49" t="s">
        <v>1264</v>
      </c>
      <c r="E2102" s="49" t="s">
        <v>2774</v>
      </c>
      <c r="F2102" s="49" t="s">
        <v>3598</v>
      </c>
      <c r="G2102" s="49" t="s">
        <v>2826</v>
      </c>
      <c r="H2102" s="49" t="s">
        <v>973</v>
      </c>
      <c r="I2102" s="50">
        <v>36886</v>
      </c>
      <c r="J2102" s="50">
        <v>37558</v>
      </c>
      <c r="K2102" s="50">
        <v>39019</v>
      </c>
    </row>
    <row r="2103" spans="1:13" x14ac:dyDescent="0.35">
      <c r="A2103" s="49" t="s">
        <v>9077</v>
      </c>
      <c r="B2103" s="49" t="s">
        <v>9078</v>
      </c>
      <c r="C2103" s="49" t="s">
        <v>7966</v>
      </c>
      <c r="D2103" s="49" t="s">
        <v>1264</v>
      </c>
      <c r="E2103" s="49" t="s">
        <v>2774</v>
      </c>
      <c r="F2103" s="49" t="s">
        <v>3598</v>
      </c>
      <c r="G2103" s="49" t="s">
        <v>2826</v>
      </c>
      <c r="H2103" s="49" t="s">
        <v>973</v>
      </c>
      <c r="J2103" s="50">
        <v>37761</v>
      </c>
      <c r="K2103" s="50">
        <v>40410</v>
      </c>
    </row>
    <row r="2104" spans="1:13" x14ac:dyDescent="0.35">
      <c r="A2104" s="49" t="s">
        <v>9079</v>
      </c>
      <c r="B2104" s="49" t="s">
        <v>9080</v>
      </c>
      <c r="C2104" s="49" t="s">
        <v>9081</v>
      </c>
      <c r="D2104" s="49" t="s">
        <v>1264</v>
      </c>
      <c r="E2104" s="49" t="s">
        <v>2899</v>
      </c>
      <c r="F2104" s="49" t="s">
        <v>3108</v>
      </c>
      <c r="G2104" s="49" t="s">
        <v>2975</v>
      </c>
      <c r="H2104" s="49" t="s">
        <v>973</v>
      </c>
      <c r="I2104" s="50">
        <v>36920</v>
      </c>
      <c r="J2104" s="50">
        <v>38414</v>
      </c>
      <c r="K2104" s="50">
        <v>47545</v>
      </c>
      <c r="M2104" s="49" t="s">
        <v>9082</v>
      </c>
    </row>
    <row r="2105" spans="1:13" x14ac:dyDescent="0.35">
      <c r="A2105" s="49" t="s">
        <v>9083</v>
      </c>
      <c r="B2105" s="49" t="s">
        <v>9084</v>
      </c>
      <c r="C2105" s="49" t="s">
        <v>9085</v>
      </c>
      <c r="D2105" s="49" t="s">
        <v>1264</v>
      </c>
      <c r="E2105" s="49" t="s">
        <v>2899</v>
      </c>
      <c r="F2105" s="49" t="s">
        <v>3108</v>
      </c>
      <c r="G2105" s="49" t="s">
        <v>2975</v>
      </c>
      <c r="H2105" s="49" t="s">
        <v>973</v>
      </c>
      <c r="I2105" s="50">
        <v>37151</v>
      </c>
      <c r="J2105" s="50">
        <v>38414</v>
      </c>
      <c r="K2105" s="50">
        <v>47545</v>
      </c>
      <c r="M2105" s="49" t="s">
        <v>9086</v>
      </c>
    </row>
    <row r="2106" spans="1:13" x14ac:dyDescent="0.35">
      <c r="A2106" s="49" t="s">
        <v>9087</v>
      </c>
      <c r="B2106" s="49" t="s">
        <v>9088</v>
      </c>
      <c r="C2106" s="49" t="s">
        <v>9089</v>
      </c>
      <c r="D2106" s="49" t="s">
        <v>1264</v>
      </c>
      <c r="E2106" s="49" t="s">
        <v>2899</v>
      </c>
      <c r="F2106" s="49" t="s">
        <v>3108</v>
      </c>
      <c r="G2106" s="49" t="s">
        <v>2975</v>
      </c>
      <c r="H2106" s="49" t="s">
        <v>973</v>
      </c>
      <c r="I2106" s="50">
        <v>37054</v>
      </c>
      <c r="J2106" s="50">
        <v>38414</v>
      </c>
      <c r="K2106" s="50">
        <v>47545</v>
      </c>
      <c r="M2106" s="49" t="s">
        <v>9090</v>
      </c>
    </row>
    <row r="2107" spans="1:13" x14ac:dyDescent="0.35">
      <c r="A2107" s="49" t="s">
        <v>9091</v>
      </c>
      <c r="B2107" s="49" t="s">
        <v>9092</v>
      </c>
      <c r="C2107" s="49" t="s">
        <v>9093</v>
      </c>
      <c r="D2107" s="49" t="s">
        <v>1264</v>
      </c>
      <c r="E2107" s="49" t="s">
        <v>2899</v>
      </c>
      <c r="F2107" s="49" t="s">
        <v>2825</v>
      </c>
      <c r="G2107" s="49" t="s">
        <v>2826</v>
      </c>
      <c r="H2107" s="49" t="s">
        <v>2827</v>
      </c>
      <c r="I2107" s="50">
        <v>40046</v>
      </c>
      <c r="J2107" s="50">
        <v>40204</v>
      </c>
      <c r="K2107" s="50">
        <v>45682</v>
      </c>
      <c r="M2107" s="49" t="s">
        <v>9094</v>
      </c>
    </row>
    <row r="2108" spans="1:13" x14ac:dyDescent="0.35">
      <c r="A2108" s="49" t="s">
        <v>9095</v>
      </c>
      <c r="B2108" s="49" t="s">
        <v>9096</v>
      </c>
      <c r="C2108" s="49" t="s">
        <v>9097</v>
      </c>
      <c r="D2108" s="49" t="s">
        <v>1264</v>
      </c>
      <c r="E2108" s="49" t="s">
        <v>3413</v>
      </c>
      <c r="F2108" s="49" t="s">
        <v>2825</v>
      </c>
      <c r="G2108" s="49" t="s">
        <v>2787</v>
      </c>
      <c r="H2108" s="49" t="s">
        <v>2827</v>
      </c>
      <c r="I2108" s="50">
        <v>40041</v>
      </c>
      <c r="J2108" s="50">
        <v>40403</v>
      </c>
      <c r="K2108" s="50">
        <v>42228</v>
      </c>
      <c r="M2108" s="49" t="s">
        <v>9098</v>
      </c>
    </row>
    <row r="2109" spans="1:13" x14ac:dyDescent="0.35">
      <c r="A2109" s="49" t="s">
        <v>9099</v>
      </c>
      <c r="B2109" s="49" t="s">
        <v>2937</v>
      </c>
      <c r="C2109" s="49" t="s">
        <v>9100</v>
      </c>
      <c r="D2109" s="49" t="s">
        <v>1264</v>
      </c>
      <c r="E2109" s="49" t="s">
        <v>2899</v>
      </c>
      <c r="F2109" s="49" t="s">
        <v>2939</v>
      </c>
      <c r="G2109" s="49" t="s">
        <v>2975</v>
      </c>
      <c r="H2109" s="49" t="s">
        <v>980</v>
      </c>
      <c r="I2109" s="50">
        <v>40100</v>
      </c>
      <c r="J2109" s="50">
        <v>39367</v>
      </c>
      <c r="K2109" s="50">
        <v>41986</v>
      </c>
      <c r="M2109" s="49" t="s">
        <v>9101</v>
      </c>
    </row>
    <row r="2110" spans="1:13" x14ac:dyDescent="0.35">
      <c r="A2110" s="49" t="s">
        <v>9102</v>
      </c>
      <c r="B2110" s="49" t="s">
        <v>9103</v>
      </c>
      <c r="C2110" s="49" t="s">
        <v>9104</v>
      </c>
      <c r="D2110" s="49" t="s">
        <v>1264</v>
      </c>
      <c r="E2110" s="49" t="s">
        <v>2899</v>
      </c>
      <c r="F2110" s="49" t="s">
        <v>3648</v>
      </c>
      <c r="G2110" s="49" t="s">
        <v>2975</v>
      </c>
      <c r="H2110" s="49" t="s">
        <v>980</v>
      </c>
      <c r="I2110" s="50">
        <v>40833</v>
      </c>
      <c r="J2110" s="50">
        <v>40981</v>
      </c>
      <c r="K2110" s="50">
        <v>50112</v>
      </c>
      <c r="M2110" s="49" t="s">
        <v>9105</v>
      </c>
    </row>
    <row r="2111" spans="1:13" x14ac:dyDescent="0.35">
      <c r="A2111" s="49" t="s">
        <v>9106</v>
      </c>
      <c r="C2111" s="49" t="s">
        <v>9107</v>
      </c>
      <c r="D2111" s="49" t="s">
        <v>1264</v>
      </c>
      <c r="E2111" s="49" t="s">
        <v>2899</v>
      </c>
      <c r="F2111" s="49" t="s">
        <v>2775</v>
      </c>
      <c r="G2111" s="49" t="s">
        <v>2787</v>
      </c>
      <c r="H2111" s="49" t="s">
        <v>980</v>
      </c>
      <c r="I2111" s="50">
        <v>41407</v>
      </c>
      <c r="M2111" s="49" t="s">
        <v>9108</v>
      </c>
    </row>
    <row r="2112" spans="1:13" x14ac:dyDescent="0.35">
      <c r="A2112" s="49" t="s">
        <v>9109</v>
      </c>
      <c r="B2112" s="49" t="s">
        <v>3260</v>
      </c>
      <c r="C2112" s="49" t="s">
        <v>3837</v>
      </c>
      <c r="D2112" s="49" t="s">
        <v>1264</v>
      </c>
      <c r="E2112" s="49" t="s">
        <v>2814</v>
      </c>
      <c r="F2112" s="49" t="s">
        <v>2900</v>
      </c>
      <c r="G2112" s="49" t="s">
        <v>2787</v>
      </c>
      <c r="H2112" s="49" t="s">
        <v>3229</v>
      </c>
      <c r="I2112" s="50">
        <v>41694</v>
      </c>
      <c r="M2112" s="49" t="s">
        <v>9110</v>
      </c>
    </row>
    <row r="2113" spans="1:13" x14ac:dyDescent="0.35">
      <c r="A2113" s="49" t="s">
        <v>9111</v>
      </c>
      <c r="B2113" s="49" t="s">
        <v>2795</v>
      </c>
      <c r="C2113" s="49" t="s">
        <v>9112</v>
      </c>
      <c r="D2113" s="49" t="s">
        <v>1264</v>
      </c>
      <c r="E2113" s="49" t="s">
        <v>2785</v>
      </c>
      <c r="F2113" s="49" t="s">
        <v>2792</v>
      </c>
      <c r="G2113" s="49" t="s">
        <v>2787</v>
      </c>
      <c r="H2113" s="49" t="s">
        <v>980</v>
      </c>
      <c r="I2113" s="50">
        <v>42956</v>
      </c>
      <c r="J2113" s="50">
        <v>43283</v>
      </c>
      <c r="K2113" s="50">
        <v>43466</v>
      </c>
      <c r="M2113" s="49" t="s">
        <v>9113</v>
      </c>
    </row>
    <row r="2114" spans="1:13" x14ac:dyDescent="0.35">
      <c r="A2114" s="49" t="s">
        <v>9114</v>
      </c>
      <c r="C2114" s="49" t="s">
        <v>9115</v>
      </c>
      <c r="D2114" s="49" t="s">
        <v>1264</v>
      </c>
      <c r="E2114" s="49" t="s">
        <v>7057</v>
      </c>
      <c r="F2114" s="49" t="s">
        <v>2825</v>
      </c>
      <c r="G2114" s="49" t="s">
        <v>2776</v>
      </c>
      <c r="H2114" s="49" t="s">
        <v>2827</v>
      </c>
      <c r="I2114" s="50">
        <v>41722</v>
      </c>
      <c r="M2114" s="49" t="s">
        <v>3100</v>
      </c>
    </row>
    <row r="2115" spans="1:13" x14ac:dyDescent="0.35">
      <c r="A2115" s="49" t="s">
        <v>9116</v>
      </c>
      <c r="C2115" s="49" t="s">
        <v>9117</v>
      </c>
      <c r="D2115" s="49" t="s">
        <v>1264</v>
      </c>
      <c r="E2115" s="49" t="s">
        <v>2908</v>
      </c>
      <c r="F2115" s="49" t="s">
        <v>2939</v>
      </c>
      <c r="G2115" s="49" t="s">
        <v>2776</v>
      </c>
      <c r="H2115" s="49" t="s">
        <v>980</v>
      </c>
      <c r="I2115" s="50">
        <v>41669</v>
      </c>
      <c r="M2115" s="49" t="s">
        <v>9118</v>
      </c>
    </row>
    <row r="2116" spans="1:13" x14ac:dyDescent="0.35">
      <c r="A2116" s="49" t="s">
        <v>9119</v>
      </c>
      <c r="C2116" s="49" t="s">
        <v>2813</v>
      </c>
      <c r="D2116" s="49" t="s">
        <v>1264</v>
      </c>
      <c r="E2116" s="49" t="s">
        <v>2908</v>
      </c>
      <c r="F2116" s="49" t="s">
        <v>2939</v>
      </c>
      <c r="G2116" s="49" t="s">
        <v>2776</v>
      </c>
      <c r="H2116" s="49" t="s">
        <v>8</v>
      </c>
      <c r="I2116" s="50">
        <v>41479</v>
      </c>
      <c r="M2116" s="49" t="s">
        <v>9120</v>
      </c>
    </row>
    <row r="2117" spans="1:13" x14ac:dyDescent="0.35">
      <c r="A2117" s="49" t="s">
        <v>9121</v>
      </c>
      <c r="B2117" s="49" t="s">
        <v>9122</v>
      </c>
      <c r="C2117" s="49" t="s">
        <v>9123</v>
      </c>
      <c r="D2117" s="49" t="s">
        <v>1264</v>
      </c>
      <c r="E2117" s="49" t="s">
        <v>2774</v>
      </c>
      <c r="F2117" s="49" t="s">
        <v>2900</v>
      </c>
      <c r="G2117" s="49" t="s">
        <v>2776</v>
      </c>
      <c r="H2117" s="49" t="s">
        <v>3207</v>
      </c>
      <c r="I2117" s="50">
        <v>42111</v>
      </c>
      <c r="M2117" s="49" t="s">
        <v>9124</v>
      </c>
    </row>
    <row r="2118" spans="1:13" x14ac:dyDescent="0.35">
      <c r="A2118" s="49" t="s">
        <v>9125</v>
      </c>
      <c r="B2118" s="49" t="s">
        <v>9126</v>
      </c>
      <c r="C2118" s="49" t="s">
        <v>3280</v>
      </c>
      <c r="D2118" s="49" t="s">
        <v>1264</v>
      </c>
      <c r="E2118" s="49" t="s">
        <v>3748</v>
      </c>
      <c r="F2118" s="49" t="s">
        <v>2792</v>
      </c>
      <c r="G2118" s="49" t="s">
        <v>2776</v>
      </c>
      <c r="H2118" s="49" t="s">
        <v>980</v>
      </c>
      <c r="I2118" s="50">
        <v>42578</v>
      </c>
      <c r="M2118" s="49" t="s">
        <v>3505</v>
      </c>
    </row>
    <row r="2119" spans="1:13" x14ac:dyDescent="0.35">
      <c r="A2119" s="49" t="s">
        <v>9127</v>
      </c>
      <c r="B2119" s="49" t="s">
        <v>3063</v>
      </c>
      <c r="C2119" s="49" t="s">
        <v>9128</v>
      </c>
      <c r="D2119" s="49" t="s">
        <v>1264</v>
      </c>
      <c r="E2119" s="49" t="s">
        <v>2908</v>
      </c>
      <c r="F2119" s="49" t="s">
        <v>2837</v>
      </c>
      <c r="G2119" s="49" t="s">
        <v>2776</v>
      </c>
      <c r="H2119" s="49" t="s">
        <v>980</v>
      </c>
      <c r="I2119" s="50">
        <v>41967</v>
      </c>
      <c r="M2119" s="49" t="s">
        <v>9129</v>
      </c>
    </row>
    <row r="2120" spans="1:13" x14ac:dyDescent="0.35">
      <c r="A2120" s="49" t="s">
        <v>9130</v>
      </c>
      <c r="C2120" s="49" t="s">
        <v>9131</v>
      </c>
      <c r="D2120" s="49" t="s">
        <v>1264</v>
      </c>
      <c r="E2120" s="49" t="s">
        <v>2908</v>
      </c>
      <c r="F2120" s="49" t="s">
        <v>2837</v>
      </c>
      <c r="G2120" s="49" t="s">
        <v>2776</v>
      </c>
      <c r="H2120" s="49" t="s">
        <v>980</v>
      </c>
      <c r="I2120" s="50">
        <v>42135</v>
      </c>
      <c r="M2120" s="49" t="s">
        <v>9132</v>
      </c>
    </row>
    <row r="2121" spans="1:13" x14ac:dyDescent="0.35">
      <c r="A2121" s="49" t="s">
        <v>9133</v>
      </c>
      <c r="C2121" s="49" t="s">
        <v>9134</v>
      </c>
      <c r="D2121" s="49" t="s">
        <v>1264</v>
      </c>
      <c r="E2121" s="49" t="s">
        <v>2908</v>
      </c>
      <c r="F2121" s="49" t="s">
        <v>2939</v>
      </c>
      <c r="G2121" s="49" t="s">
        <v>2776</v>
      </c>
      <c r="H2121" s="49" t="s">
        <v>980</v>
      </c>
      <c r="I2121" s="50">
        <v>42139</v>
      </c>
      <c r="M2121" s="49" t="s">
        <v>9135</v>
      </c>
    </row>
    <row r="2122" spans="1:13" x14ac:dyDescent="0.35">
      <c r="A2122" s="49" t="s">
        <v>9136</v>
      </c>
      <c r="B2122" s="49" t="s">
        <v>9137</v>
      </c>
      <c r="C2122" s="49" t="s">
        <v>3280</v>
      </c>
      <c r="D2122" s="49" t="s">
        <v>1264</v>
      </c>
      <c r="E2122" s="49" t="s">
        <v>3748</v>
      </c>
      <c r="F2122" s="49" t="s">
        <v>2792</v>
      </c>
      <c r="G2122" s="49" t="s">
        <v>2776</v>
      </c>
      <c r="H2122" s="49" t="s">
        <v>3207</v>
      </c>
      <c r="I2122" s="50">
        <v>42039</v>
      </c>
      <c r="M2122" s="49" t="s">
        <v>9138</v>
      </c>
    </row>
    <row r="2123" spans="1:13" x14ac:dyDescent="0.35">
      <c r="A2123" s="49" t="s">
        <v>9139</v>
      </c>
      <c r="C2123" s="49" t="s">
        <v>9140</v>
      </c>
      <c r="D2123" s="49" t="s">
        <v>1264</v>
      </c>
      <c r="E2123" s="49" t="s">
        <v>2908</v>
      </c>
      <c r="F2123" s="49" t="s">
        <v>2939</v>
      </c>
      <c r="G2123" s="49" t="s">
        <v>2776</v>
      </c>
      <c r="H2123" s="49" t="s">
        <v>980</v>
      </c>
      <c r="I2123" s="50">
        <v>42055</v>
      </c>
      <c r="M2123" s="49" t="s">
        <v>9141</v>
      </c>
    </row>
    <row r="2124" spans="1:13" x14ac:dyDescent="0.35">
      <c r="A2124" s="49" t="s">
        <v>9142</v>
      </c>
      <c r="C2124" s="49" t="s">
        <v>2993</v>
      </c>
      <c r="D2124" s="49" t="s">
        <v>1264</v>
      </c>
      <c r="E2124" s="49" t="s">
        <v>2908</v>
      </c>
      <c r="F2124" s="49" t="s">
        <v>2786</v>
      </c>
      <c r="G2124" s="49" t="s">
        <v>2776</v>
      </c>
      <c r="H2124" s="49" t="s">
        <v>980</v>
      </c>
      <c r="I2124" s="50">
        <v>42135</v>
      </c>
      <c r="M2124" s="49" t="s">
        <v>3913</v>
      </c>
    </row>
    <row r="2125" spans="1:13" x14ac:dyDescent="0.35">
      <c r="A2125" s="49" t="s">
        <v>9143</v>
      </c>
      <c r="B2125" s="49" t="s">
        <v>9144</v>
      </c>
      <c r="C2125" s="49" t="s">
        <v>4141</v>
      </c>
      <c r="D2125" s="49" t="s">
        <v>1264</v>
      </c>
      <c r="E2125" s="49" t="s">
        <v>3748</v>
      </c>
      <c r="F2125" s="49" t="s">
        <v>2792</v>
      </c>
      <c r="G2125" s="49" t="s">
        <v>2776</v>
      </c>
      <c r="H2125" s="49" t="s">
        <v>3229</v>
      </c>
      <c r="I2125" s="50">
        <v>44125</v>
      </c>
      <c r="M2125" s="49" t="s">
        <v>8277</v>
      </c>
    </row>
    <row r="2126" spans="1:13" x14ac:dyDescent="0.35">
      <c r="A2126" s="49" t="s">
        <v>9145</v>
      </c>
      <c r="C2126" s="49" t="s">
        <v>6819</v>
      </c>
      <c r="D2126" s="49" t="s">
        <v>1264</v>
      </c>
      <c r="E2126" s="49" t="s">
        <v>3748</v>
      </c>
      <c r="F2126" s="49" t="s">
        <v>2792</v>
      </c>
      <c r="G2126" s="49" t="s">
        <v>2776</v>
      </c>
      <c r="H2126" s="49" t="s">
        <v>3207</v>
      </c>
      <c r="I2126" s="50">
        <v>42325</v>
      </c>
      <c r="M2126" s="49" t="s">
        <v>9146</v>
      </c>
    </row>
    <row r="2127" spans="1:13" x14ac:dyDescent="0.35">
      <c r="A2127" s="49" t="s">
        <v>9147</v>
      </c>
      <c r="B2127" s="49" t="s">
        <v>3420</v>
      </c>
      <c r="C2127" s="49" t="s">
        <v>9148</v>
      </c>
      <c r="D2127" s="49" t="s">
        <v>1264</v>
      </c>
      <c r="E2127" s="49" t="s">
        <v>2908</v>
      </c>
      <c r="F2127" s="49" t="s">
        <v>2939</v>
      </c>
      <c r="G2127" s="49" t="s">
        <v>2776</v>
      </c>
      <c r="H2127" s="49" t="s">
        <v>980</v>
      </c>
      <c r="I2127" s="50">
        <v>42024</v>
      </c>
      <c r="M2127" s="49" t="s">
        <v>9149</v>
      </c>
    </row>
    <row r="2128" spans="1:13" x14ac:dyDescent="0.35">
      <c r="A2128" s="49" t="s">
        <v>9150</v>
      </c>
      <c r="B2128" s="49" t="s">
        <v>9151</v>
      </c>
      <c r="C2128" s="49" t="s">
        <v>3280</v>
      </c>
      <c r="D2128" s="49" t="s">
        <v>1264</v>
      </c>
      <c r="E2128" s="49" t="s">
        <v>3748</v>
      </c>
      <c r="F2128" s="49" t="s">
        <v>2786</v>
      </c>
      <c r="G2128" s="49" t="s">
        <v>2776</v>
      </c>
      <c r="H2128" s="49" t="s">
        <v>864</v>
      </c>
      <c r="I2128" s="50">
        <v>42521</v>
      </c>
      <c r="M2128" s="49" t="s">
        <v>7400</v>
      </c>
    </row>
    <row r="2129" spans="1:13" x14ac:dyDescent="0.35">
      <c r="A2129" s="49" t="s">
        <v>9152</v>
      </c>
      <c r="B2129" s="49" t="s">
        <v>9153</v>
      </c>
      <c r="C2129" s="49" t="s">
        <v>3280</v>
      </c>
      <c r="D2129" s="49" t="s">
        <v>1264</v>
      </c>
      <c r="E2129" s="49" t="s">
        <v>3748</v>
      </c>
      <c r="F2129" s="49" t="s">
        <v>2792</v>
      </c>
      <c r="G2129" s="49" t="s">
        <v>2820</v>
      </c>
      <c r="H2129" s="49" t="s">
        <v>980</v>
      </c>
      <c r="I2129" s="50">
        <v>42415</v>
      </c>
      <c r="M2129" s="49" t="s">
        <v>9154</v>
      </c>
    </row>
    <row r="2130" spans="1:13" x14ac:dyDescent="0.35">
      <c r="A2130" s="49" t="s">
        <v>9155</v>
      </c>
      <c r="C2130" s="49" t="s">
        <v>3280</v>
      </c>
      <c r="D2130" s="49" t="s">
        <v>1264</v>
      </c>
      <c r="E2130" s="49" t="s">
        <v>3748</v>
      </c>
      <c r="F2130" s="49" t="s">
        <v>2792</v>
      </c>
      <c r="G2130" s="49" t="s">
        <v>2776</v>
      </c>
      <c r="H2130" s="49" t="s">
        <v>3207</v>
      </c>
      <c r="I2130" s="50">
        <v>43825</v>
      </c>
      <c r="M2130" s="49" t="s">
        <v>9156</v>
      </c>
    </row>
    <row r="2131" spans="1:13" x14ac:dyDescent="0.35">
      <c r="A2131" s="49" t="s">
        <v>9157</v>
      </c>
      <c r="C2131" s="49" t="s">
        <v>9158</v>
      </c>
      <c r="D2131" s="49" t="s">
        <v>1264</v>
      </c>
      <c r="E2131" s="49" t="s">
        <v>2908</v>
      </c>
      <c r="F2131" s="49" t="s">
        <v>8985</v>
      </c>
      <c r="G2131" s="49" t="s">
        <v>2776</v>
      </c>
      <c r="H2131" s="49" t="s">
        <v>980</v>
      </c>
      <c r="I2131" s="50">
        <v>41386</v>
      </c>
      <c r="M2131" s="49" t="s">
        <v>9159</v>
      </c>
    </row>
    <row r="2132" spans="1:13" x14ac:dyDescent="0.35">
      <c r="A2132" s="49" t="s">
        <v>9160</v>
      </c>
      <c r="C2132" s="49" t="s">
        <v>9161</v>
      </c>
      <c r="D2132" s="49" t="s">
        <v>1264</v>
      </c>
      <c r="E2132" s="49" t="s">
        <v>2785</v>
      </c>
      <c r="F2132" s="49" t="s">
        <v>2792</v>
      </c>
      <c r="G2132" s="49" t="s">
        <v>2776</v>
      </c>
      <c r="H2132" s="49" t="s">
        <v>8</v>
      </c>
      <c r="I2132" s="50">
        <v>44055</v>
      </c>
      <c r="M2132" s="49" t="s">
        <v>9162</v>
      </c>
    </row>
    <row r="2133" spans="1:13" x14ac:dyDescent="0.35">
      <c r="A2133" s="49" t="s">
        <v>9163</v>
      </c>
      <c r="B2133" s="49" t="s">
        <v>3784</v>
      </c>
      <c r="C2133" s="49" t="s">
        <v>9164</v>
      </c>
      <c r="D2133" s="49" t="s">
        <v>1264</v>
      </c>
      <c r="E2133" s="49" t="s">
        <v>2908</v>
      </c>
      <c r="F2133" s="49" t="s">
        <v>2837</v>
      </c>
      <c r="G2133" s="49" t="s">
        <v>2776</v>
      </c>
      <c r="H2133" s="49" t="s">
        <v>2827</v>
      </c>
      <c r="I2133" s="50">
        <v>43479</v>
      </c>
      <c r="M2133" s="49" t="s">
        <v>6706</v>
      </c>
    </row>
    <row r="2134" spans="1:13" x14ac:dyDescent="0.35">
      <c r="A2134" s="49" t="s">
        <v>9165</v>
      </c>
      <c r="B2134" s="49" t="s">
        <v>3784</v>
      </c>
      <c r="C2134" s="49" t="s">
        <v>9166</v>
      </c>
      <c r="D2134" s="49" t="s">
        <v>1264</v>
      </c>
      <c r="E2134" s="49" t="s">
        <v>2908</v>
      </c>
      <c r="F2134" s="49" t="s">
        <v>2837</v>
      </c>
      <c r="G2134" s="49" t="s">
        <v>2776</v>
      </c>
      <c r="H2134" s="49" t="s">
        <v>2827</v>
      </c>
      <c r="I2134" s="50">
        <v>43490</v>
      </c>
      <c r="M2134" s="49" t="s">
        <v>9167</v>
      </c>
    </row>
    <row r="2135" spans="1:13" x14ac:dyDescent="0.35">
      <c r="A2135" s="49" t="s">
        <v>9168</v>
      </c>
      <c r="B2135" s="49" t="s">
        <v>8581</v>
      </c>
      <c r="C2135" s="49" t="s">
        <v>9169</v>
      </c>
      <c r="D2135" s="49" t="s">
        <v>1264</v>
      </c>
      <c r="E2135" s="49" t="s">
        <v>2908</v>
      </c>
      <c r="F2135" s="49" t="s">
        <v>2837</v>
      </c>
      <c r="G2135" s="49" t="s">
        <v>2776</v>
      </c>
      <c r="H2135" s="49" t="s">
        <v>980</v>
      </c>
      <c r="I2135" s="50">
        <v>43311</v>
      </c>
      <c r="M2135" s="49" t="s">
        <v>9170</v>
      </c>
    </row>
    <row r="2136" spans="1:13" x14ac:dyDescent="0.35">
      <c r="A2136" s="49" t="s">
        <v>9171</v>
      </c>
      <c r="C2136" s="49" t="s">
        <v>9172</v>
      </c>
      <c r="D2136" s="49" t="s">
        <v>1264</v>
      </c>
      <c r="E2136" s="49" t="s">
        <v>2908</v>
      </c>
      <c r="F2136" s="49" t="s">
        <v>2837</v>
      </c>
      <c r="G2136" s="49" t="s">
        <v>2776</v>
      </c>
      <c r="H2136" s="49" t="s">
        <v>980</v>
      </c>
      <c r="I2136" s="50">
        <v>43440</v>
      </c>
      <c r="M2136" s="49" t="s">
        <v>9173</v>
      </c>
    </row>
    <row r="2137" spans="1:13" x14ac:dyDescent="0.35">
      <c r="A2137" s="49" t="s">
        <v>9174</v>
      </c>
      <c r="C2137" s="49" t="s">
        <v>3777</v>
      </c>
      <c r="D2137" s="49" t="s">
        <v>1264</v>
      </c>
      <c r="E2137" s="49" t="s">
        <v>2908</v>
      </c>
      <c r="F2137" s="49" t="s">
        <v>3253</v>
      </c>
      <c r="G2137" s="49" t="s">
        <v>2776</v>
      </c>
      <c r="H2137" s="49" t="s">
        <v>973</v>
      </c>
      <c r="I2137" s="50">
        <v>44231</v>
      </c>
      <c r="M2137" s="49" t="s">
        <v>9175</v>
      </c>
    </row>
    <row r="2138" spans="1:13" x14ac:dyDescent="0.35">
      <c r="A2138" s="49" t="s">
        <v>9176</v>
      </c>
      <c r="C2138" s="49" t="s">
        <v>9177</v>
      </c>
      <c r="D2138" s="49" t="s">
        <v>1264</v>
      </c>
      <c r="E2138" s="49" t="s">
        <v>2908</v>
      </c>
      <c r="F2138" s="49" t="s">
        <v>2837</v>
      </c>
      <c r="G2138" s="49" t="s">
        <v>2776</v>
      </c>
      <c r="H2138" s="49" t="s">
        <v>2827</v>
      </c>
      <c r="I2138" s="50">
        <v>43332</v>
      </c>
      <c r="M2138" s="49" t="s">
        <v>9178</v>
      </c>
    </row>
    <row r="2139" spans="1:13" x14ac:dyDescent="0.35">
      <c r="A2139" s="49" t="s">
        <v>9179</v>
      </c>
      <c r="C2139" s="49" t="s">
        <v>8945</v>
      </c>
      <c r="D2139" s="49" t="s">
        <v>1264</v>
      </c>
      <c r="E2139" s="49" t="s">
        <v>2908</v>
      </c>
      <c r="F2139" s="49" t="s">
        <v>2837</v>
      </c>
      <c r="G2139" s="49" t="s">
        <v>2776</v>
      </c>
      <c r="H2139" s="49" t="s">
        <v>973</v>
      </c>
      <c r="I2139" s="50">
        <v>43346</v>
      </c>
      <c r="M2139" s="49" t="s">
        <v>9180</v>
      </c>
    </row>
    <row r="2140" spans="1:13" x14ac:dyDescent="0.35">
      <c r="A2140" s="49" t="s">
        <v>9181</v>
      </c>
      <c r="C2140" s="49" t="s">
        <v>4204</v>
      </c>
      <c r="D2140" s="49" t="s">
        <v>1264</v>
      </c>
      <c r="E2140" s="49" t="s">
        <v>2908</v>
      </c>
      <c r="F2140" s="49" t="s">
        <v>2939</v>
      </c>
      <c r="G2140" s="49" t="s">
        <v>2776</v>
      </c>
      <c r="H2140" s="49" t="s">
        <v>980</v>
      </c>
      <c r="I2140" s="50">
        <v>42611</v>
      </c>
      <c r="M2140" s="49" t="s">
        <v>9182</v>
      </c>
    </row>
    <row r="2141" spans="1:13" x14ac:dyDescent="0.35">
      <c r="A2141" s="49" t="s">
        <v>9183</v>
      </c>
      <c r="C2141" s="49" t="s">
        <v>4345</v>
      </c>
      <c r="D2141" s="49" t="s">
        <v>1264</v>
      </c>
      <c r="E2141" s="49" t="s">
        <v>2908</v>
      </c>
      <c r="F2141" s="49" t="s">
        <v>2837</v>
      </c>
      <c r="G2141" s="49" t="s">
        <v>2776</v>
      </c>
      <c r="H2141" s="49" t="s">
        <v>2827</v>
      </c>
      <c r="I2141" s="50">
        <v>43340</v>
      </c>
      <c r="M2141" s="49" t="s">
        <v>9184</v>
      </c>
    </row>
    <row r="2142" spans="1:13" x14ac:dyDescent="0.35">
      <c r="A2142" s="49" t="s">
        <v>9185</v>
      </c>
      <c r="C2142" s="49" t="s">
        <v>9186</v>
      </c>
      <c r="D2142" s="49" t="s">
        <v>1264</v>
      </c>
      <c r="E2142" s="49" t="s">
        <v>2908</v>
      </c>
      <c r="F2142" s="49" t="s">
        <v>2805</v>
      </c>
      <c r="G2142" s="49" t="s">
        <v>2776</v>
      </c>
      <c r="H2142" s="49" t="s">
        <v>2806</v>
      </c>
      <c r="I2142" s="50">
        <v>43987</v>
      </c>
      <c r="M2142" s="49" t="s">
        <v>9187</v>
      </c>
    </row>
    <row r="2143" spans="1:13" x14ac:dyDescent="0.35">
      <c r="A2143" s="49" t="s">
        <v>9188</v>
      </c>
      <c r="C2143" s="49" t="s">
        <v>7292</v>
      </c>
      <c r="D2143" s="49" t="s">
        <v>1264</v>
      </c>
      <c r="E2143" s="49" t="s">
        <v>2908</v>
      </c>
      <c r="F2143" s="49" t="s">
        <v>2939</v>
      </c>
      <c r="G2143" s="49" t="s">
        <v>2776</v>
      </c>
      <c r="H2143" s="49" t="s">
        <v>980</v>
      </c>
      <c r="I2143" s="50">
        <v>43682</v>
      </c>
      <c r="M2143" s="49" t="s">
        <v>9189</v>
      </c>
    </row>
    <row r="2144" spans="1:13" x14ac:dyDescent="0.35">
      <c r="A2144" s="49" t="s">
        <v>9190</v>
      </c>
      <c r="C2144" s="49" t="s">
        <v>9191</v>
      </c>
      <c r="D2144" s="49" t="s">
        <v>1264</v>
      </c>
      <c r="E2144" s="49" t="s">
        <v>2908</v>
      </c>
      <c r="F2144" s="49" t="s">
        <v>2837</v>
      </c>
      <c r="G2144" s="49" t="s">
        <v>2776</v>
      </c>
      <c r="H2144" s="49" t="s">
        <v>980</v>
      </c>
      <c r="I2144" s="50">
        <v>42985</v>
      </c>
      <c r="M2144" s="49" t="s">
        <v>6677</v>
      </c>
    </row>
    <row r="2145" spans="1:13" x14ac:dyDescent="0.35">
      <c r="A2145" s="49" t="s">
        <v>9192</v>
      </c>
      <c r="C2145" s="49" t="s">
        <v>5077</v>
      </c>
      <c r="D2145" s="49" t="s">
        <v>1264</v>
      </c>
      <c r="E2145" s="49" t="s">
        <v>2908</v>
      </c>
      <c r="F2145" s="49" t="s">
        <v>2837</v>
      </c>
      <c r="G2145" s="49" t="s">
        <v>2776</v>
      </c>
      <c r="H2145" s="49" t="s">
        <v>980</v>
      </c>
      <c r="I2145" s="50">
        <v>43432</v>
      </c>
      <c r="M2145" s="49" t="s">
        <v>9193</v>
      </c>
    </row>
    <row r="2146" spans="1:13" x14ac:dyDescent="0.35">
      <c r="A2146" s="49" t="s">
        <v>9194</v>
      </c>
      <c r="B2146" s="49" t="s">
        <v>3615</v>
      </c>
      <c r="C2146" s="49" t="s">
        <v>6371</v>
      </c>
      <c r="D2146" s="49" t="s">
        <v>1264</v>
      </c>
      <c r="E2146" s="49" t="s">
        <v>2908</v>
      </c>
      <c r="F2146" s="49" t="s">
        <v>3010</v>
      </c>
      <c r="G2146" s="49" t="s">
        <v>2776</v>
      </c>
      <c r="H2146" s="49" t="s">
        <v>8</v>
      </c>
      <c r="I2146" s="50">
        <v>42877</v>
      </c>
      <c r="M2146" s="49" t="s">
        <v>9195</v>
      </c>
    </row>
    <row r="2147" spans="1:13" x14ac:dyDescent="0.35">
      <c r="A2147" s="49" t="s">
        <v>9196</v>
      </c>
      <c r="C2147" s="49" t="s">
        <v>9197</v>
      </c>
      <c r="D2147" s="49" t="s">
        <v>1264</v>
      </c>
      <c r="E2147" s="49" t="s">
        <v>2908</v>
      </c>
      <c r="F2147" s="49" t="s">
        <v>2837</v>
      </c>
      <c r="G2147" s="49" t="s">
        <v>2776</v>
      </c>
      <c r="H2147" s="49" t="s">
        <v>2827</v>
      </c>
      <c r="I2147" s="50">
        <v>42889</v>
      </c>
      <c r="M2147" s="49" t="s">
        <v>9198</v>
      </c>
    </row>
    <row r="2148" spans="1:13" x14ac:dyDescent="0.35">
      <c r="A2148" s="49" t="s">
        <v>9199</v>
      </c>
      <c r="C2148" s="49" t="s">
        <v>9200</v>
      </c>
      <c r="D2148" s="49" t="s">
        <v>1264</v>
      </c>
      <c r="E2148" s="49" t="s">
        <v>2908</v>
      </c>
      <c r="F2148" s="49" t="s">
        <v>2837</v>
      </c>
      <c r="G2148" s="49" t="s">
        <v>2776</v>
      </c>
      <c r="H2148" s="49" t="s">
        <v>980</v>
      </c>
      <c r="I2148" s="50">
        <v>43343</v>
      </c>
      <c r="M2148" s="49" t="s">
        <v>9201</v>
      </c>
    </row>
    <row r="2149" spans="1:13" x14ac:dyDescent="0.35">
      <c r="A2149" s="49" t="s">
        <v>9202</v>
      </c>
      <c r="C2149" s="49" t="s">
        <v>4935</v>
      </c>
      <c r="D2149" s="49" t="s">
        <v>1264</v>
      </c>
      <c r="E2149" s="49" t="s">
        <v>2908</v>
      </c>
      <c r="F2149" s="49" t="s">
        <v>2939</v>
      </c>
      <c r="G2149" s="49" t="s">
        <v>2776</v>
      </c>
      <c r="H2149" s="49" t="s">
        <v>980</v>
      </c>
      <c r="I2149" s="50">
        <v>43458</v>
      </c>
      <c r="M2149" s="49" t="s">
        <v>9203</v>
      </c>
    </row>
    <row r="2150" spans="1:13" x14ac:dyDescent="0.35">
      <c r="A2150" s="49" t="s">
        <v>9204</v>
      </c>
      <c r="C2150" s="49" t="s">
        <v>9205</v>
      </c>
      <c r="D2150" s="49" t="s">
        <v>1264</v>
      </c>
      <c r="E2150" s="49" t="s">
        <v>2908</v>
      </c>
      <c r="F2150" s="49" t="s">
        <v>3898</v>
      </c>
      <c r="G2150" s="49" t="s">
        <v>2776</v>
      </c>
      <c r="H2150" s="49" t="s">
        <v>2827</v>
      </c>
      <c r="I2150" s="50">
        <v>44242</v>
      </c>
      <c r="M2150" s="49" t="s">
        <v>9206</v>
      </c>
    </row>
    <row r="2151" spans="1:13" x14ac:dyDescent="0.35">
      <c r="A2151" s="49" t="s">
        <v>9207</v>
      </c>
      <c r="C2151" s="49" t="s">
        <v>8362</v>
      </c>
      <c r="D2151" s="49" t="s">
        <v>1264</v>
      </c>
      <c r="E2151" s="49" t="s">
        <v>2908</v>
      </c>
      <c r="F2151" s="49" t="s">
        <v>2837</v>
      </c>
      <c r="G2151" s="49" t="s">
        <v>2776</v>
      </c>
      <c r="H2151" s="49" t="s">
        <v>2827</v>
      </c>
      <c r="I2151" s="50">
        <v>43118</v>
      </c>
      <c r="M2151" s="49" t="s">
        <v>3470</v>
      </c>
    </row>
    <row r="2152" spans="1:13" x14ac:dyDescent="0.35">
      <c r="A2152" s="49" t="s">
        <v>9208</v>
      </c>
      <c r="C2152" s="49" t="s">
        <v>9209</v>
      </c>
      <c r="D2152" s="49" t="s">
        <v>1264</v>
      </c>
      <c r="E2152" s="49" t="s">
        <v>2908</v>
      </c>
      <c r="F2152" s="49" t="s">
        <v>2786</v>
      </c>
      <c r="G2152" s="49" t="s">
        <v>2776</v>
      </c>
      <c r="H2152" s="49" t="s">
        <v>8</v>
      </c>
      <c r="I2152" s="50">
        <v>43686</v>
      </c>
      <c r="M2152" s="49" t="s">
        <v>9210</v>
      </c>
    </row>
    <row r="2153" spans="1:13" x14ac:dyDescent="0.35">
      <c r="A2153" s="49" t="s">
        <v>9211</v>
      </c>
      <c r="C2153" s="49" t="s">
        <v>2927</v>
      </c>
      <c r="D2153" s="49" t="s">
        <v>1264</v>
      </c>
      <c r="E2153" s="49" t="s">
        <v>2908</v>
      </c>
      <c r="F2153" s="49" t="s">
        <v>2939</v>
      </c>
      <c r="G2153" s="49" t="s">
        <v>2776</v>
      </c>
      <c r="H2153" s="49" t="s">
        <v>980</v>
      </c>
      <c r="I2153" s="50">
        <v>43249</v>
      </c>
      <c r="M2153" s="49" t="s">
        <v>9212</v>
      </c>
    </row>
    <row r="2154" spans="1:13" x14ac:dyDescent="0.35">
      <c r="A2154" s="49" t="s">
        <v>9213</v>
      </c>
      <c r="C2154" s="49" t="s">
        <v>9214</v>
      </c>
      <c r="D2154" s="49" t="s">
        <v>1264</v>
      </c>
      <c r="E2154" s="49" t="s">
        <v>2908</v>
      </c>
      <c r="F2154" s="49" t="s">
        <v>3108</v>
      </c>
      <c r="G2154" s="49" t="s">
        <v>2776</v>
      </c>
      <c r="H2154" s="49" t="s">
        <v>2827</v>
      </c>
      <c r="I2154" s="50">
        <v>43116</v>
      </c>
      <c r="M2154" s="49" t="s">
        <v>3470</v>
      </c>
    </row>
    <row r="2155" spans="1:13" x14ac:dyDescent="0.35">
      <c r="A2155" s="49" t="s">
        <v>9215</v>
      </c>
      <c r="B2155" s="49" t="s">
        <v>9216</v>
      </c>
      <c r="C2155" s="49" t="s">
        <v>3708</v>
      </c>
      <c r="D2155" s="49" t="s">
        <v>1264</v>
      </c>
      <c r="E2155" s="49" t="s">
        <v>2908</v>
      </c>
      <c r="F2155" s="49" t="s">
        <v>3898</v>
      </c>
      <c r="G2155" s="49" t="s">
        <v>2776</v>
      </c>
      <c r="H2155" s="49" t="s">
        <v>2827</v>
      </c>
      <c r="I2155" s="50">
        <v>43188</v>
      </c>
      <c r="M2155" s="49" t="s">
        <v>9217</v>
      </c>
    </row>
    <row r="2156" spans="1:13" x14ac:dyDescent="0.35">
      <c r="A2156" s="49" t="s">
        <v>9218</v>
      </c>
      <c r="B2156" s="49" t="s">
        <v>5917</v>
      </c>
      <c r="C2156" s="49" t="s">
        <v>3708</v>
      </c>
      <c r="D2156" s="49" t="s">
        <v>1264</v>
      </c>
      <c r="E2156" s="49" t="s">
        <v>2908</v>
      </c>
      <c r="F2156" s="49" t="s">
        <v>3898</v>
      </c>
      <c r="G2156" s="49" t="s">
        <v>2776</v>
      </c>
      <c r="H2156" s="49" t="s">
        <v>2827</v>
      </c>
      <c r="I2156" s="50">
        <v>43188</v>
      </c>
      <c r="M2156" s="49" t="s">
        <v>9219</v>
      </c>
    </row>
    <row r="2157" spans="1:13" x14ac:dyDescent="0.35">
      <c r="A2157" s="49" t="s">
        <v>9220</v>
      </c>
      <c r="B2157" s="49" t="s">
        <v>8581</v>
      </c>
      <c r="C2157" s="49" t="s">
        <v>9221</v>
      </c>
      <c r="D2157" s="49" t="s">
        <v>1264</v>
      </c>
      <c r="E2157" s="49" t="s">
        <v>2908</v>
      </c>
      <c r="F2157" s="49" t="s">
        <v>2837</v>
      </c>
      <c r="G2157" s="49" t="s">
        <v>2776</v>
      </c>
      <c r="H2157" s="49" t="s">
        <v>980</v>
      </c>
      <c r="I2157" s="50">
        <v>43262</v>
      </c>
      <c r="M2157" s="49" t="s">
        <v>9222</v>
      </c>
    </row>
    <row r="2158" spans="1:13" x14ac:dyDescent="0.35">
      <c r="A2158" s="49" t="s">
        <v>9223</v>
      </c>
      <c r="C2158" s="49" t="s">
        <v>9224</v>
      </c>
      <c r="D2158" s="49" t="s">
        <v>1264</v>
      </c>
      <c r="E2158" s="49" t="s">
        <v>2908</v>
      </c>
      <c r="F2158" s="49" t="s">
        <v>2837</v>
      </c>
      <c r="G2158" s="49" t="s">
        <v>2776</v>
      </c>
      <c r="H2158" s="49" t="s">
        <v>2827</v>
      </c>
      <c r="I2158" s="50">
        <v>43483</v>
      </c>
      <c r="M2158" s="49" t="s">
        <v>9225</v>
      </c>
    </row>
    <row r="2159" spans="1:13" x14ac:dyDescent="0.35">
      <c r="A2159" s="49" t="s">
        <v>9226</v>
      </c>
      <c r="C2159" s="49" t="s">
        <v>6479</v>
      </c>
      <c r="D2159" s="49" t="s">
        <v>1264</v>
      </c>
      <c r="E2159" s="49" t="s">
        <v>3443</v>
      </c>
      <c r="F2159" s="49" t="s">
        <v>3124</v>
      </c>
      <c r="G2159" s="49" t="s">
        <v>4891</v>
      </c>
      <c r="H2159" s="49" t="s">
        <v>980</v>
      </c>
      <c r="I2159" s="50">
        <v>43129</v>
      </c>
      <c r="M2159" s="49" t="s">
        <v>3505</v>
      </c>
    </row>
    <row r="2160" spans="1:13" x14ac:dyDescent="0.35">
      <c r="A2160" s="49" t="s">
        <v>9227</v>
      </c>
      <c r="C2160" s="49" t="s">
        <v>8945</v>
      </c>
      <c r="D2160" s="49" t="s">
        <v>1264</v>
      </c>
      <c r="E2160" s="49" t="s">
        <v>2908</v>
      </c>
      <c r="F2160" s="49" t="s">
        <v>2837</v>
      </c>
      <c r="G2160" s="49" t="s">
        <v>2776</v>
      </c>
      <c r="H2160" s="49" t="s">
        <v>980</v>
      </c>
      <c r="I2160" s="50">
        <v>43144</v>
      </c>
      <c r="M2160" s="49" t="s">
        <v>9228</v>
      </c>
    </row>
    <row r="2161" spans="1:13" x14ac:dyDescent="0.35">
      <c r="A2161" s="49" t="s">
        <v>9229</v>
      </c>
      <c r="B2161" s="49" t="s">
        <v>3582</v>
      </c>
      <c r="C2161" s="49" t="s">
        <v>3696</v>
      </c>
      <c r="D2161" s="49" t="s">
        <v>1264</v>
      </c>
      <c r="E2161" s="49" t="s">
        <v>3443</v>
      </c>
      <c r="F2161" s="49" t="s">
        <v>2792</v>
      </c>
      <c r="G2161" s="49" t="s">
        <v>4891</v>
      </c>
      <c r="H2161" s="49" t="s">
        <v>980</v>
      </c>
      <c r="I2161" s="50">
        <v>43166</v>
      </c>
      <c r="M2161" s="49" t="s">
        <v>9230</v>
      </c>
    </row>
    <row r="2162" spans="1:13" x14ac:dyDescent="0.35">
      <c r="A2162" s="49" t="s">
        <v>9231</v>
      </c>
      <c r="B2162" s="49" t="s">
        <v>3950</v>
      </c>
      <c r="C2162" s="49" t="s">
        <v>3708</v>
      </c>
      <c r="D2162" s="49" t="s">
        <v>1264</v>
      </c>
      <c r="E2162" s="49" t="s">
        <v>2908</v>
      </c>
      <c r="F2162" s="49" t="s">
        <v>2805</v>
      </c>
      <c r="G2162" s="49" t="s">
        <v>2776</v>
      </c>
      <c r="I2162" s="50">
        <v>43223</v>
      </c>
      <c r="M2162" s="49" t="s">
        <v>9232</v>
      </c>
    </row>
    <row r="2163" spans="1:13" x14ac:dyDescent="0.35">
      <c r="A2163" s="49" t="s">
        <v>9233</v>
      </c>
      <c r="C2163" s="49" t="s">
        <v>8945</v>
      </c>
      <c r="D2163" s="49" t="s">
        <v>1264</v>
      </c>
      <c r="E2163" s="49" t="s">
        <v>2908</v>
      </c>
      <c r="F2163" s="49" t="s">
        <v>2837</v>
      </c>
      <c r="G2163" s="49" t="s">
        <v>2776</v>
      </c>
      <c r="H2163" s="49" t="s">
        <v>2827</v>
      </c>
      <c r="I2163" s="50">
        <v>43461</v>
      </c>
      <c r="M2163" s="49" t="s">
        <v>3638</v>
      </c>
    </row>
    <row r="2164" spans="1:13" x14ac:dyDescent="0.35">
      <c r="A2164" s="49" t="s">
        <v>9234</v>
      </c>
      <c r="B2164" s="49" t="s">
        <v>3399</v>
      </c>
      <c r="C2164" s="49" t="s">
        <v>3708</v>
      </c>
      <c r="D2164" s="49" t="s">
        <v>1264</v>
      </c>
      <c r="E2164" s="49" t="s">
        <v>2908</v>
      </c>
      <c r="F2164" s="49" t="s">
        <v>3898</v>
      </c>
      <c r="G2164" s="49" t="s">
        <v>2776</v>
      </c>
      <c r="H2164" s="49" t="s">
        <v>2827</v>
      </c>
      <c r="I2164" s="50">
        <v>43367</v>
      </c>
      <c r="M2164" s="49" t="s">
        <v>9235</v>
      </c>
    </row>
    <row r="2165" spans="1:13" x14ac:dyDescent="0.35">
      <c r="A2165" s="49" t="s">
        <v>9236</v>
      </c>
      <c r="B2165" s="49" t="s">
        <v>3626</v>
      </c>
      <c r="C2165" s="49" t="s">
        <v>3708</v>
      </c>
      <c r="D2165" s="49" t="s">
        <v>1264</v>
      </c>
      <c r="E2165" s="49" t="s">
        <v>2908</v>
      </c>
      <c r="F2165" s="49" t="s">
        <v>3898</v>
      </c>
      <c r="G2165" s="49" t="s">
        <v>2776</v>
      </c>
      <c r="H2165" s="49" t="s">
        <v>2827</v>
      </c>
      <c r="I2165" s="50">
        <v>43367</v>
      </c>
      <c r="M2165" s="49" t="s">
        <v>9237</v>
      </c>
    </row>
    <row r="2166" spans="1:13" x14ac:dyDescent="0.35">
      <c r="A2166" s="49" t="s">
        <v>9238</v>
      </c>
      <c r="B2166" s="49" t="s">
        <v>9239</v>
      </c>
      <c r="C2166" s="49" t="s">
        <v>3708</v>
      </c>
      <c r="D2166" s="49" t="s">
        <v>1264</v>
      </c>
      <c r="E2166" s="49" t="s">
        <v>2908</v>
      </c>
      <c r="F2166" s="49" t="s">
        <v>2805</v>
      </c>
      <c r="G2166" s="49" t="s">
        <v>2776</v>
      </c>
      <c r="H2166" s="49" t="s">
        <v>864</v>
      </c>
      <c r="I2166" s="50">
        <v>43367</v>
      </c>
      <c r="M2166" s="49" t="s">
        <v>9240</v>
      </c>
    </row>
    <row r="2167" spans="1:13" x14ac:dyDescent="0.35">
      <c r="A2167" s="49" t="s">
        <v>9241</v>
      </c>
      <c r="C2167" s="49" t="s">
        <v>9214</v>
      </c>
      <c r="D2167" s="49" t="s">
        <v>1264</v>
      </c>
      <c r="E2167" s="49" t="s">
        <v>2908</v>
      </c>
      <c r="F2167" s="49" t="s">
        <v>3898</v>
      </c>
      <c r="G2167" s="49" t="s">
        <v>2776</v>
      </c>
      <c r="H2167" s="49" t="s">
        <v>2827</v>
      </c>
      <c r="I2167" s="50">
        <v>43378</v>
      </c>
      <c r="M2167" s="49" t="s">
        <v>9242</v>
      </c>
    </row>
    <row r="2168" spans="1:13" x14ac:dyDescent="0.35">
      <c r="A2168" s="49" t="s">
        <v>9243</v>
      </c>
      <c r="C2168" s="49" t="s">
        <v>6995</v>
      </c>
      <c r="D2168" s="49" t="s">
        <v>1264</v>
      </c>
      <c r="E2168" s="49" t="s">
        <v>2908</v>
      </c>
      <c r="F2168" s="49" t="s">
        <v>2837</v>
      </c>
      <c r="G2168" s="49" t="s">
        <v>2776</v>
      </c>
      <c r="H2168" s="49" t="s">
        <v>973</v>
      </c>
      <c r="I2168" s="50">
        <v>43370</v>
      </c>
      <c r="M2168" s="49" t="s">
        <v>9244</v>
      </c>
    </row>
    <row r="2169" spans="1:13" x14ac:dyDescent="0.35">
      <c r="A2169" s="49" t="s">
        <v>9245</v>
      </c>
      <c r="C2169" s="49" t="s">
        <v>9246</v>
      </c>
      <c r="D2169" s="49" t="s">
        <v>1264</v>
      </c>
      <c r="E2169" s="49" t="s">
        <v>2908</v>
      </c>
      <c r="F2169" s="49" t="s">
        <v>2805</v>
      </c>
      <c r="G2169" s="49" t="s">
        <v>2776</v>
      </c>
      <c r="H2169" s="49" t="s">
        <v>980</v>
      </c>
      <c r="I2169" s="50">
        <v>43528</v>
      </c>
      <c r="M2169" s="49" t="s">
        <v>9247</v>
      </c>
    </row>
    <row r="2170" spans="1:13" x14ac:dyDescent="0.35">
      <c r="A2170" s="49" t="s">
        <v>9248</v>
      </c>
      <c r="C2170" s="49" t="s">
        <v>5077</v>
      </c>
      <c r="D2170" s="49" t="s">
        <v>1264</v>
      </c>
      <c r="E2170" s="49" t="s">
        <v>2908</v>
      </c>
      <c r="F2170" s="49" t="s">
        <v>2837</v>
      </c>
      <c r="G2170" s="49" t="s">
        <v>2776</v>
      </c>
      <c r="H2170" s="49" t="s">
        <v>980</v>
      </c>
      <c r="I2170" s="50">
        <v>43727</v>
      </c>
      <c r="M2170" s="49" t="s">
        <v>9193</v>
      </c>
    </row>
    <row r="2171" spans="1:13" x14ac:dyDescent="0.35">
      <c r="A2171" s="49" t="s">
        <v>9249</v>
      </c>
      <c r="C2171" s="49" t="s">
        <v>6371</v>
      </c>
      <c r="D2171" s="49" t="s">
        <v>1264</v>
      </c>
      <c r="E2171" s="49" t="s">
        <v>2908</v>
      </c>
      <c r="F2171" s="49" t="s">
        <v>2837</v>
      </c>
      <c r="G2171" s="49" t="s">
        <v>2776</v>
      </c>
      <c r="H2171" s="49" t="s">
        <v>980</v>
      </c>
      <c r="I2171" s="50">
        <v>43171</v>
      </c>
      <c r="M2171" s="49" t="s">
        <v>9250</v>
      </c>
    </row>
    <row r="2172" spans="1:13" x14ac:dyDescent="0.35">
      <c r="A2172" s="49" t="s">
        <v>9251</v>
      </c>
      <c r="B2172" s="49" t="s">
        <v>9252</v>
      </c>
      <c r="C2172" s="49" t="s">
        <v>7595</v>
      </c>
      <c r="D2172" s="49" t="s">
        <v>1264</v>
      </c>
      <c r="E2172" s="49" t="s">
        <v>2908</v>
      </c>
      <c r="F2172" s="49" t="s">
        <v>2786</v>
      </c>
      <c r="G2172" s="49" t="s">
        <v>2776</v>
      </c>
      <c r="H2172" s="49" t="s">
        <v>8</v>
      </c>
      <c r="I2172" s="50">
        <v>43910</v>
      </c>
      <c r="M2172" s="49" t="s">
        <v>9253</v>
      </c>
    </row>
    <row r="2173" spans="1:13" x14ac:dyDescent="0.35">
      <c r="A2173" s="49" t="s">
        <v>9254</v>
      </c>
      <c r="C2173" s="49" t="s">
        <v>9255</v>
      </c>
      <c r="D2173" s="49" t="s">
        <v>1264</v>
      </c>
      <c r="E2173" s="49" t="s">
        <v>2908</v>
      </c>
      <c r="F2173" s="49" t="s">
        <v>2837</v>
      </c>
      <c r="G2173" s="49" t="s">
        <v>2776</v>
      </c>
      <c r="H2173" s="49" t="s">
        <v>2827</v>
      </c>
      <c r="I2173" s="50">
        <v>42825</v>
      </c>
      <c r="M2173" s="49" t="s">
        <v>9256</v>
      </c>
    </row>
    <row r="2174" spans="1:13" x14ac:dyDescent="0.35">
      <c r="A2174" s="49" t="s">
        <v>9257</v>
      </c>
      <c r="C2174" s="49" t="s">
        <v>9258</v>
      </c>
      <c r="D2174" s="49" t="s">
        <v>1264</v>
      </c>
      <c r="E2174" s="49" t="s">
        <v>2908</v>
      </c>
      <c r="F2174" s="49" t="s">
        <v>2939</v>
      </c>
      <c r="G2174" s="49" t="s">
        <v>2776</v>
      </c>
      <c r="H2174" s="49" t="s">
        <v>980</v>
      </c>
      <c r="I2174" s="50">
        <v>43258</v>
      </c>
      <c r="M2174" s="49" t="s">
        <v>9259</v>
      </c>
    </row>
    <row r="2175" spans="1:13" x14ac:dyDescent="0.35">
      <c r="A2175" s="49" t="s">
        <v>9260</v>
      </c>
      <c r="C2175" s="49" t="s">
        <v>3228</v>
      </c>
      <c r="D2175" s="49" t="s">
        <v>1264</v>
      </c>
      <c r="E2175" s="49" t="s">
        <v>2908</v>
      </c>
      <c r="F2175" s="49" t="s">
        <v>2939</v>
      </c>
      <c r="G2175" s="49" t="s">
        <v>2776</v>
      </c>
      <c r="H2175" s="49" t="s">
        <v>980</v>
      </c>
      <c r="I2175" s="50">
        <v>42905</v>
      </c>
      <c r="M2175" s="49" t="s">
        <v>9261</v>
      </c>
    </row>
    <row r="2176" spans="1:13" x14ac:dyDescent="0.35">
      <c r="A2176" s="49" t="s">
        <v>9262</v>
      </c>
      <c r="C2176" s="49" t="s">
        <v>3927</v>
      </c>
      <c r="D2176" s="49" t="s">
        <v>1264</v>
      </c>
      <c r="E2176" s="49" t="s">
        <v>2908</v>
      </c>
      <c r="F2176" s="49" t="s">
        <v>2837</v>
      </c>
      <c r="G2176" s="49" t="s">
        <v>2776</v>
      </c>
      <c r="H2176" s="49" t="s">
        <v>2827</v>
      </c>
      <c r="I2176" s="50">
        <v>43276</v>
      </c>
      <c r="M2176" s="49" t="s">
        <v>9263</v>
      </c>
    </row>
    <row r="2177" spans="1:13" x14ac:dyDescent="0.35">
      <c r="A2177" s="49" t="s">
        <v>9264</v>
      </c>
      <c r="B2177" s="49" t="s">
        <v>9265</v>
      </c>
      <c r="C2177" s="49" t="s">
        <v>9266</v>
      </c>
      <c r="D2177" s="49" t="s">
        <v>1264</v>
      </c>
      <c r="E2177" s="49" t="s">
        <v>2908</v>
      </c>
      <c r="F2177" s="49" t="s">
        <v>3898</v>
      </c>
      <c r="G2177" s="49" t="s">
        <v>2776</v>
      </c>
      <c r="H2177" s="49" t="s">
        <v>2827</v>
      </c>
      <c r="I2177" s="50">
        <v>44126</v>
      </c>
      <c r="M2177" s="49" t="s">
        <v>9267</v>
      </c>
    </row>
    <row r="2178" spans="1:13" x14ac:dyDescent="0.35">
      <c r="A2178" s="49" t="s">
        <v>9268</v>
      </c>
      <c r="C2178" s="49" t="s">
        <v>4345</v>
      </c>
      <c r="D2178" s="49" t="s">
        <v>1264</v>
      </c>
      <c r="E2178" s="49" t="s">
        <v>2908</v>
      </c>
      <c r="F2178" s="49" t="s">
        <v>2837</v>
      </c>
      <c r="G2178" s="49" t="s">
        <v>2776</v>
      </c>
      <c r="H2178" s="49" t="s">
        <v>973</v>
      </c>
      <c r="I2178" s="50">
        <v>43791</v>
      </c>
      <c r="M2178" s="49" t="s">
        <v>9269</v>
      </c>
    </row>
    <row r="2179" spans="1:13" x14ac:dyDescent="0.35">
      <c r="A2179" s="49" t="s">
        <v>9270</v>
      </c>
      <c r="C2179" s="49" t="s">
        <v>9164</v>
      </c>
      <c r="D2179" s="49" t="s">
        <v>1264</v>
      </c>
      <c r="E2179" s="49" t="s">
        <v>2908</v>
      </c>
      <c r="F2179" s="49" t="s">
        <v>2939</v>
      </c>
      <c r="G2179" s="49" t="s">
        <v>2776</v>
      </c>
      <c r="H2179" s="49" t="s">
        <v>980</v>
      </c>
      <c r="I2179" s="50">
        <v>43199</v>
      </c>
      <c r="M2179" s="49" t="s">
        <v>9271</v>
      </c>
    </row>
    <row r="2180" spans="1:13" x14ac:dyDescent="0.35">
      <c r="A2180" s="49" t="s">
        <v>9272</v>
      </c>
      <c r="C2180" s="49" t="s">
        <v>3927</v>
      </c>
      <c r="D2180" s="49" t="s">
        <v>1264</v>
      </c>
      <c r="E2180" s="49" t="s">
        <v>2908</v>
      </c>
      <c r="F2180" s="49" t="s">
        <v>2939</v>
      </c>
      <c r="G2180" s="49" t="s">
        <v>2776</v>
      </c>
      <c r="H2180" s="49" t="s">
        <v>980</v>
      </c>
      <c r="I2180" s="50">
        <v>43306</v>
      </c>
      <c r="M2180" s="49" t="s">
        <v>9273</v>
      </c>
    </row>
    <row r="2181" spans="1:13" x14ac:dyDescent="0.35">
      <c r="A2181" s="49" t="s">
        <v>9274</v>
      </c>
      <c r="C2181" s="49" t="s">
        <v>5685</v>
      </c>
      <c r="D2181" s="49" t="s">
        <v>1264</v>
      </c>
      <c r="E2181" s="49" t="s">
        <v>2908</v>
      </c>
      <c r="F2181" s="49" t="s">
        <v>3253</v>
      </c>
      <c r="G2181" s="49" t="s">
        <v>2776</v>
      </c>
      <c r="H2181" s="49" t="s">
        <v>2827</v>
      </c>
      <c r="I2181" s="50">
        <v>43264</v>
      </c>
      <c r="M2181" s="49" t="s">
        <v>9275</v>
      </c>
    </row>
    <row r="2182" spans="1:13" x14ac:dyDescent="0.35">
      <c r="A2182" s="49" t="s">
        <v>9276</v>
      </c>
      <c r="C2182" s="49" t="s">
        <v>2892</v>
      </c>
      <c r="D2182" s="49" t="s">
        <v>1264</v>
      </c>
      <c r="E2182" s="49" t="s">
        <v>2908</v>
      </c>
      <c r="F2182" s="49" t="s">
        <v>2837</v>
      </c>
      <c r="G2182" s="49" t="s">
        <v>2776</v>
      </c>
      <c r="H2182" s="49" t="s">
        <v>980</v>
      </c>
      <c r="I2182" s="50">
        <v>43360</v>
      </c>
      <c r="M2182" s="49" t="s">
        <v>2893</v>
      </c>
    </row>
    <row r="2183" spans="1:13" x14ac:dyDescent="0.35">
      <c r="A2183" s="49" t="s">
        <v>9277</v>
      </c>
      <c r="C2183" s="49" t="s">
        <v>9278</v>
      </c>
      <c r="D2183" s="49" t="s">
        <v>1264</v>
      </c>
      <c r="E2183" s="49" t="s">
        <v>2908</v>
      </c>
      <c r="F2183" s="49" t="s">
        <v>2837</v>
      </c>
      <c r="G2183" s="49" t="s">
        <v>2776</v>
      </c>
      <c r="H2183" s="49" t="s">
        <v>973</v>
      </c>
      <c r="I2183" s="50">
        <v>43202</v>
      </c>
      <c r="M2183" s="49" t="s">
        <v>9279</v>
      </c>
    </row>
    <row r="2184" spans="1:13" x14ac:dyDescent="0.35">
      <c r="A2184" s="49" t="s">
        <v>9280</v>
      </c>
      <c r="C2184" s="49" t="s">
        <v>9281</v>
      </c>
      <c r="D2184" s="49" t="s">
        <v>1264</v>
      </c>
      <c r="E2184" s="49" t="s">
        <v>2908</v>
      </c>
      <c r="F2184" s="49" t="s">
        <v>2939</v>
      </c>
      <c r="G2184" s="49" t="s">
        <v>2776</v>
      </c>
      <c r="H2184" s="49" t="s">
        <v>980</v>
      </c>
      <c r="I2184" s="50">
        <v>44242</v>
      </c>
      <c r="M2184" s="49" t="s">
        <v>9282</v>
      </c>
    </row>
    <row r="2185" spans="1:13" x14ac:dyDescent="0.35">
      <c r="A2185" s="49" t="s">
        <v>9283</v>
      </c>
      <c r="C2185" s="49" t="s">
        <v>9284</v>
      </c>
      <c r="D2185" s="49" t="s">
        <v>1264</v>
      </c>
      <c r="E2185" s="49" t="s">
        <v>2908</v>
      </c>
      <c r="F2185" s="49" t="s">
        <v>2837</v>
      </c>
      <c r="G2185" s="49" t="s">
        <v>2776</v>
      </c>
      <c r="H2185" s="49" t="s">
        <v>980</v>
      </c>
      <c r="I2185" s="50">
        <v>43543</v>
      </c>
      <c r="M2185" s="49" t="s">
        <v>9285</v>
      </c>
    </row>
    <row r="2186" spans="1:13" x14ac:dyDescent="0.35">
      <c r="A2186" s="49" t="s">
        <v>9286</v>
      </c>
      <c r="C2186" s="49" t="s">
        <v>4412</v>
      </c>
      <c r="D2186" s="49" t="s">
        <v>1264</v>
      </c>
      <c r="E2186" s="49" t="s">
        <v>2908</v>
      </c>
      <c r="F2186" s="49" t="s">
        <v>2837</v>
      </c>
      <c r="G2186" s="49" t="s">
        <v>4891</v>
      </c>
      <c r="H2186" s="49" t="s">
        <v>980</v>
      </c>
      <c r="I2186" s="50">
        <v>43977</v>
      </c>
      <c r="M2186" s="49" t="s">
        <v>9287</v>
      </c>
    </row>
    <row r="2187" spans="1:13" x14ac:dyDescent="0.35">
      <c r="A2187" s="49" t="s">
        <v>9288</v>
      </c>
      <c r="C2187" s="49" t="s">
        <v>4922</v>
      </c>
      <c r="D2187" s="49" t="s">
        <v>1264</v>
      </c>
      <c r="E2187" s="49" t="s">
        <v>2908</v>
      </c>
      <c r="F2187" s="49" t="s">
        <v>2939</v>
      </c>
      <c r="G2187" s="49" t="s">
        <v>2776</v>
      </c>
      <c r="H2187" s="49" t="s">
        <v>980</v>
      </c>
      <c r="I2187" s="50">
        <v>42919</v>
      </c>
      <c r="M2187" s="49" t="s">
        <v>9289</v>
      </c>
    </row>
    <row r="2188" spans="1:13" x14ac:dyDescent="0.35">
      <c r="A2188" s="49" t="s">
        <v>9290</v>
      </c>
      <c r="C2188" s="49" t="s">
        <v>3483</v>
      </c>
      <c r="D2188" s="49" t="s">
        <v>1264</v>
      </c>
      <c r="E2188" s="49" t="s">
        <v>2908</v>
      </c>
      <c r="F2188" s="49" t="s">
        <v>2837</v>
      </c>
      <c r="G2188" s="49" t="s">
        <v>2776</v>
      </c>
      <c r="H2188" s="49" t="s">
        <v>2827</v>
      </c>
      <c r="I2188" s="50">
        <v>43350</v>
      </c>
      <c r="M2188" s="49" t="s">
        <v>9291</v>
      </c>
    </row>
    <row r="2189" spans="1:13" x14ac:dyDescent="0.35">
      <c r="A2189" s="49" t="s">
        <v>9292</v>
      </c>
      <c r="C2189" s="49" t="s">
        <v>4356</v>
      </c>
      <c r="D2189" s="49" t="s">
        <v>1264</v>
      </c>
      <c r="E2189" s="49" t="s">
        <v>2908</v>
      </c>
      <c r="F2189" s="49" t="s">
        <v>2837</v>
      </c>
      <c r="G2189" s="49" t="s">
        <v>2776</v>
      </c>
      <c r="H2189" s="49" t="s">
        <v>2827</v>
      </c>
      <c r="I2189" s="50">
        <v>43126</v>
      </c>
      <c r="M2189" s="49" t="s">
        <v>3526</v>
      </c>
    </row>
    <row r="2190" spans="1:13" x14ac:dyDescent="0.35">
      <c r="A2190" s="49" t="s">
        <v>9293</v>
      </c>
      <c r="C2190" s="49" t="s">
        <v>2892</v>
      </c>
      <c r="D2190" s="49" t="s">
        <v>1264</v>
      </c>
      <c r="E2190" s="49" t="s">
        <v>2908</v>
      </c>
      <c r="F2190" s="49" t="s">
        <v>2837</v>
      </c>
      <c r="G2190" s="49" t="s">
        <v>2776</v>
      </c>
      <c r="H2190" s="49" t="s">
        <v>2827</v>
      </c>
      <c r="I2190" s="50">
        <v>43180</v>
      </c>
      <c r="M2190" s="49" t="s">
        <v>9294</v>
      </c>
    </row>
    <row r="2191" spans="1:13" x14ac:dyDescent="0.35">
      <c r="A2191" s="49" t="s">
        <v>9295</v>
      </c>
      <c r="C2191" s="49" t="s">
        <v>9296</v>
      </c>
      <c r="D2191" s="49" t="s">
        <v>1264</v>
      </c>
      <c r="E2191" s="49" t="s">
        <v>2908</v>
      </c>
      <c r="F2191" s="49" t="s">
        <v>2837</v>
      </c>
      <c r="G2191" s="49" t="s">
        <v>2776</v>
      </c>
      <c r="H2191" s="49" t="s">
        <v>2827</v>
      </c>
      <c r="I2191" s="50">
        <v>43174</v>
      </c>
      <c r="M2191" s="49" t="s">
        <v>9297</v>
      </c>
    </row>
    <row r="2192" spans="1:13" x14ac:dyDescent="0.35">
      <c r="A2192" s="49" t="s">
        <v>9298</v>
      </c>
      <c r="B2192" s="49" t="s">
        <v>9299</v>
      </c>
      <c r="C2192" s="49" t="s">
        <v>9300</v>
      </c>
      <c r="D2192" s="49" t="s">
        <v>1264</v>
      </c>
      <c r="E2192" s="49" t="s">
        <v>2908</v>
      </c>
      <c r="F2192" s="49" t="s">
        <v>2805</v>
      </c>
      <c r="G2192" s="49" t="s">
        <v>2975</v>
      </c>
      <c r="H2192" s="49" t="s">
        <v>2827</v>
      </c>
      <c r="I2192" s="50">
        <v>43406</v>
      </c>
      <c r="M2192" s="49" t="s">
        <v>3470</v>
      </c>
    </row>
    <row r="2193" spans="1:13" x14ac:dyDescent="0.35">
      <c r="A2193" s="49" t="s">
        <v>9301</v>
      </c>
      <c r="C2193" s="49" t="s">
        <v>3609</v>
      </c>
      <c r="D2193" s="49" t="s">
        <v>1264</v>
      </c>
      <c r="E2193" s="49" t="s">
        <v>2908</v>
      </c>
      <c r="F2193" s="49" t="s">
        <v>2837</v>
      </c>
      <c r="G2193" s="49" t="s">
        <v>2776</v>
      </c>
      <c r="H2193" s="49" t="s">
        <v>980</v>
      </c>
      <c r="I2193" s="50">
        <v>43096</v>
      </c>
      <c r="M2193" s="49" t="s">
        <v>9302</v>
      </c>
    </row>
    <row r="2194" spans="1:13" x14ac:dyDescent="0.35">
      <c r="A2194" s="49" t="s">
        <v>9303</v>
      </c>
      <c r="C2194" s="49" t="s">
        <v>3791</v>
      </c>
      <c r="D2194" s="49" t="s">
        <v>1264</v>
      </c>
      <c r="E2194" s="49" t="s">
        <v>2908</v>
      </c>
      <c r="F2194" s="49" t="s">
        <v>2837</v>
      </c>
      <c r="G2194" s="49" t="s">
        <v>2776</v>
      </c>
      <c r="H2194" s="49" t="s">
        <v>2827</v>
      </c>
      <c r="I2194" s="50">
        <v>43096</v>
      </c>
      <c r="M2194" s="49" t="s">
        <v>9304</v>
      </c>
    </row>
    <row r="2195" spans="1:13" x14ac:dyDescent="0.35">
      <c r="A2195" s="49" t="s">
        <v>9305</v>
      </c>
      <c r="C2195" s="49" t="s">
        <v>9306</v>
      </c>
      <c r="D2195" s="49" t="s">
        <v>1264</v>
      </c>
      <c r="E2195" s="49" t="s">
        <v>2908</v>
      </c>
      <c r="F2195" s="49" t="s">
        <v>2837</v>
      </c>
      <c r="G2195" s="49" t="s">
        <v>2776</v>
      </c>
      <c r="H2195" s="49" t="s">
        <v>2827</v>
      </c>
      <c r="I2195" s="50">
        <v>43284</v>
      </c>
      <c r="M2195" s="49" t="s">
        <v>9307</v>
      </c>
    </row>
    <row r="2196" spans="1:13" x14ac:dyDescent="0.35">
      <c r="A2196" s="49" t="s">
        <v>9308</v>
      </c>
      <c r="C2196" s="49" t="s">
        <v>9306</v>
      </c>
      <c r="D2196" s="49" t="s">
        <v>1264</v>
      </c>
      <c r="E2196" s="49" t="s">
        <v>2908</v>
      </c>
      <c r="F2196" s="49" t="s">
        <v>3108</v>
      </c>
      <c r="G2196" s="49" t="s">
        <v>2776</v>
      </c>
      <c r="H2196" s="49" t="s">
        <v>2827</v>
      </c>
      <c r="I2196" s="50">
        <v>43284</v>
      </c>
      <c r="M2196" s="49" t="s">
        <v>9309</v>
      </c>
    </row>
    <row r="2197" spans="1:13" x14ac:dyDescent="0.35">
      <c r="A2197" s="49" t="s">
        <v>9310</v>
      </c>
      <c r="C2197" s="49" t="s">
        <v>4935</v>
      </c>
      <c r="D2197" s="49" t="s">
        <v>1264</v>
      </c>
      <c r="E2197" s="49" t="s">
        <v>2908</v>
      </c>
      <c r="F2197" s="49" t="s">
        <v>2837</v>
      </c>
      <c r="G2197" s="49" t="s">
        <v>2776</v>
      </c>
      <c r="H2197" s="49" t="s">
        <v>980</v>
      </c>
      <c r="I2197" s="50">
        <v>43439</v>
      </c>
      <c r="M2197" s="49" t="s">
        <v>7869</v>
      </c>
    </row>
    <row r="2198" spans="1:13" x14ac:dyDescent="0.35">
      <c r="A2198" s="49" t="s">
        <v>9311</v>
      </c>
      <c r="C2198" s="49" t="s">
        <v>8983</v>
      </c>
      <c r="D2198" s="49" t="s">
        <v>1264</v>
      </c>
      <c r="E2198" s="49" t="s">
        <v>2908</v>
      </c>
      <c r="F2198" s="49" t="s">
        <v>2837</v>
      </c>
      <c r="G2198" s="49" t="s">
        <v>2787</v>
      </c>
      <c r="H2198" s="49" t="s">
        <v>2827</v>
      </c>
      <c r="I2198" s="50">
        <v>43445</v>
      </c>
      <c r="M2198" s="49" t="s">
        <v>9312</v>
      </c>
    </row>
    <row r="2199" spans="1:13" x14ac:dyDescent="0.35">
      <c r="A2199" s="49" t="s">
        <v>9313</v>
      </c>
      <c r="B2199" s="49" t="s">
        <v>4262</v>
      </c>
      <c r="C2199" s="49" t="s">
        <v>9314</v>
      </c>
      <c r="D2199" s="49" t="s">
        <v>1264</v>
      </c>
      <c r="E2199" s="49" t="s">
        <v>2908</v>
      </c>
      <c r="F2199" s="49" t="s">
        <v>2837</v>
      </c>
      <c r="G2199" s="49" t="s">
        <v>2776</v>
      </c>
      <c r="H2199" s="49" t="s">
        <v>973</v>
      </c>
      <c r="I2199" s="50">
        <v>42900</v>
      </c>
      <c r="M2199" s="49" t="s">
        <v>9315</v>
      </c>
    </row>
    <row r="2200" spans="1:13" x14ac:dyDescent="0.35">
      <c r="A2200" s="49" t="s">
        <v>9316</v>
      </c>
      <c r="B2200" s="49" t="s">
        <v>9317</v>
      </c>
      <c r="C2200" s="49" t="s">
        <v>3731</v>
      </c>
      <c r="D2200" s="49" t="s">
        <v>1264</v>
      </c>
      <c r="E2200" s="49" t="s">
        <v>2908</v>
      </c>
      <c r="F2200" s="49" t="s">
        <v>2837</v>
      </c>
      <c r="G2200" s="49" t="s">
        <v>2776</v>
      </c>
      <c r="H2200" s="49" t="s">
        <v>2827</v>
      </c>
      <c r="I2200" s="50">
        <v>43299</v>
      </c>
      <c r="M2200" s="49" t="s">
        <v>9318</v>
      </c>
    </row>
    <row r="2201" spans="1:13" x14ac:dyDescent="0.35">
      <c r="A2201" s="49" t="s">
        <v>9319</v>
      </c>
      <c r="C2201" s="49" t="s">
        <v>6352</v>
      </c>
      <c r="D2201" s="49" t="s">
        <v>1264</v>
      </c>
      <c r="E2201" s="49" t="s">
        <v>2814</v>
      </c>
      <c r="F2201" s="49" t="s">
        <v>2805</v>
      </c>
      <c r="G2201" s="49" t="s">
        <v>2776</v>
      </c>
      <c r="H2201" s="49" t="s">
        <v>980</v>
      </c>
      <c r="I2201" s="50">
        <v>43991</v>
      </c>
      <c r="M2201" s="49" t="s">
        <v>9320</v>
      </c>
    </row>
    <row r="2202" spans="1:13" x14ac:dyDescent="0.35">
      <c r="A2202" s="49" t="s">
        <v>9321</v>
      </c>
      <c r="C2202" s="49" t="s">
        <v>9322</v>
      </c>
      <c r="D2202" s="49" t="s">
        <v>1264</v>
      </c>
      <c r="E2202" s="49" t="s">
        <v>2785</v>
      </c>
      <c r="F2202" s="49" t="s">
        <v>3898</v>
      </c>
      <c r="G2202" s="49" t="s">
        <v>2921</v>
      </c>
      <c r="H2202" s="49" t="s">
        <v>2827</v>
      </c>
      <c r="I2202" s="50">
        <v>43822</v>
      </c>
      <c r="J2202" s="50">
        <v>44861</v>
      </c>
      <c r="K2202" s="50">
        <v>45604</v>
      </c>
      <c r="M2202" s="49" t="s">
        <v>9323</v>
      </c>
    </row>
    <row r="2203" spans="1:13" x14ac:dyDescent="0.35">
      <c r="A2203" s="49" t="s">
        <v>9324</v>
      </c>
      <c r="C2203" s="49" t="s">
        <v>9325</v>
      </c>
      <c r="D2203" s="49" t="s">
        <v>1264</v>
      </c>
      <c r="E2203" s="49" t="s">
        <v>2785</v>
      </c>
      <c r="F2203" s="49" t="s">
        <v>2786</v>
      </c>
      <c r="G2203" s="49" t="s">
        <v>2776</v>
      </c>
      <c r="H2203" s="49" t="s">
        <v>8</v>
      </c>
      <c r="I2203" s="50">
        <v>43108</v>
      </c>
      <c r="M2203" s="49" t="s">
        <v>3826</v>
      </c>
    </row>
    <row r="2204" spans="1:13" x14ac:dyDescent="0.35">
      <c r="A2204" s="49" t="s">
        <v>9326</v>
      </c>
      <c r="C2204" s="49" t="s">
        <v>9327</v>
      </c>
      <c r="D2204" s="49" t="s">
        <v>1264</v>
      </c>
      <c r="E2204" s="49" t="s">
        <v>2785</v>
      </c>
      <c r="F2204" s="49" t="s">
        <v>2786</v>
      </c>
      <c r="G2204" s="49" t="s">
        <v>2776</v>
      </c>
      <c r="H2204" s="49" t="s">
        <v>980</v>
      </c>
      <c r="I2204" s="50">
        <v>43406</v>
      </c>
      <c r="M2204" s="49" t="s">
        <v>9328</v>
      </c>
    </row>
    <row r="2205" spans="1:13" x14ac:dyDescent="0.35">
      <c r="A2205" s="49" t="s">
        <v>9329</v>
      </c>
      <c r="C2205" s="49" t="s">
        <v>9330</v>
      </c>
      <c r="D2205" s="49" t="s">
        <v>1264</v>
      </c>
      <c r="E2205" s="49" t="s">
        <v>2785</v>
      </c>
      <c r="F2205" s="49" t="s">
        <v>2792</v>
      </c>
      <c r="G2205" s="49" t="s">
        <v>2776</v>
      </c>
      <c r="H2205" s="49" t="s">
        <v>980</v>
      </c>
      <c r="I2205" s="50">
        <v>43892</v>
      </c>
      <c r="M2205" s="49" t="s">
        <v>9331</v>
      </c>
    </row>
    <row r="2206" spans="1:13" x14ac:dyDescent="0.35">
      <c r="A2206" s="49" t="s">
        <v>9332</v>
      </c>
      <c r="C2206" s="49" t="s">
        <v>4161</v>
      </c>
      <c r="D2206" s="49" t="s">
        <v>1264</v>
      </c>
      <c r="E2206" s="49" t="s">
        <v>2785</v>
      </c>
      <c r="F2206" s="49" t="s">
        <v>2786</v>
      </c>
      <c r="G2206" s="49" t="s">
        <v>2776</v>
      </c>
      <c r="H2206" s="49" t="s">
        <v>2827</v>
      </c>
      <c r="I2206" s="50">
        <v>44280</v>
      </c>
      <c r="M2206" s="49" t="s">
        <v>9333</v>
      </c>
    </row>
    <row r="2207" spans="1:13" x14ac:dyDescent="0.35">
      <c r="A2207" s="49" t="s">
        <v>9334</v>
      </c>
      <c r="B2207" s="49" t="s">
        <v>9335</v>
      </c>
      <c r="C2207" s="49" t="s">
        <v>9336</v>
      </c>
      <c r="D2207" s="49" t="s">
        <v>1264</v>
      </c>
      <c r="E2207" s="49" t="s">
        <v>2785</v>
      </c>
      <c r="F2207" s="49" t="s">
        <v>2792</v>
      </c>
      <c r="G2207" s="49" t="s">
        <v>2776</v>
      </c>
      <c r="H2207" s="49" t="s">
        <v>8</v>
      </c>
      <c r="I2207" s="50">
        <v>43208</v>
      </c>
      <c r="M2207" s="49" t="s">
        <v>9337</v>
      </c>
    </row>
    <row r="2208" spans="1:13" x14ac:dyDescent="0.35">
      <c r="A2208" s="49" t="s">
        <v>9338</v>
      </c>
      <c r="B2208" s="49" t="s">
        <v>2809</v>
      </c>
      <c r="C2208" s="49" t="s">
        <v>4470</v>
      </c>
      <c r="D2208" s="49" t="s">
        <v>1264</v>
      </c>
      <c r="E2208" s="49" t="s">
        <v>2785</v>
      </c>
      <c r="F2208" s="49" t="s">
        <v>2792</v>
      </c>
      <c r="G2208" s="49" t="s">
        <v>2776</v>
      </c>
      <c r="H2208" s="49" t="s">
        <v>8</v>
      </c>
      <c r="I2208" s="50">
        <v>43801</v>
      </c>
      <c r="M2208" s="49" t="s">
        <v>9339</v>
      </c>
    </row>
    <row r="2209" spans="1:13" x14ac:dyDescent="0.35">
      <c r="A2209" s="49" t="s">
        <v>9340</v>
      </c>
      <c r="B2209" s="49" t="s">
        <v>4576</v>
      </c>
      <c r="C2209" s="49" t="s">
        <v>4470</v>
      </c>
      <c r="D2209" s="49" t="s">
        <v>1264</v>
      </c>
      <c r="E2209" s="49" t="s">
        <v>2785</v>
      </c>
      <c r="F2209" s="49" t="s">
        <v>2792</v>
      </c>
      <c r="G2209" s="49" t="s">
        <v>2776</v>
      </c>
      <c r="H2209" s="49" t="s">
        <v>980</v>
      </c>
      <c r="I2209" s="50">
        <v>44167</v>
      </c>
      <c r="M2209" s="49" t="s">
        <v>9341</v>
      </c>
    </row>
    <row r="2210" spans="1:13" x14ac:dyDescent="0.35">
      <c r="A2210" s="49" t="s">
        <v>9342</v>
      </c>
      <c r="C2210" s="49" t="s">
        <v>3616</v>
      </c>
      <c r="D2210" s="49" t="s">
        <v>1264</v>
      </c>
      <c r="E2210" s="49" t="s">
        <v>2785</v>
      </c>
      <c r="F2210" s="49" t="s">
        <v>2786</v>
      </c>
      <c r="G2210" s="49" t="s">
        <v>2776</v>
      </c>
      <c r="H2210" s="49" t="s">
        <v>980</v>
      </c>
      <c r="I2210" s="50">
        <v>42985</v>
      </c>
      <c r="M2210" s="49" t="s">
        <v>9343</v>
      </c>
    </row>
    <row r="2211" spans="1:13" x14ac:dyDescent="0.35">
      <c r="A2211" s="49" t="s">
        <v>9344</v>
      </c>
      <c r="C2211" s="49" t="s">
        <v>9345</v>
      </c>
      <c r="D2211" s="49" t="s">
        <v>1264</v>
      </c>
      <c r="E2211" s="49" t="s">
        <v>2785</v>
      </c>
      <c r="F2211" s="49" t="s">
        <v>2786</v>
      </c>
      <c r="G2211" s="49" t="s">
        <v>2776</v>
      </c>
      <c r="H2211" s="49" t="s">
        <v>980</v>
      </c>
      <c r="I2211" s="50">
        <v>44298</v>
      </c>
      <c r="M2211" s="49" t="s">
        <v>9346</v>
      </c>
    </row>
    <row r="2212" spans="1:13" x14ac:dyDescent="0.35">
      <c r="A2212" s="49" t="s">
        <v>9347</v>
      </c>
      <c r="C2212" s="49" t="s">
        <v>9348</v>
      </c>
      <c r="D2212" s="49" t="s">
        <v>1264</v>
      </c>
      <c r="E2212" s="49" t="s">
        <v>2785</v>
      </c>
      <c r="F2212" s="49" t="s">
        <v>2786</v>
      </c>
      <c r="G2212" s="49" t="s">
        <v>2776</v>
      </c>
      <c r="H2212" s="49" t="s">
        <v>980</v>
      </c>
      <c r="I2212" s="50">
        <v>43263</v>
      </c>
      <c r="M2212" s="49" t="s">
        <v>4542</v>
      </c>
    </row>
    <row r="2213" spans="1:13" x14ac:dyDescent="0.35">
      <c r="A2213" s="49" t="s">
        <v>9349</v>
      </c>
      <c r="C2213" s="49" t="s">
        <v>9161</v>
      </c>
      <c r="D2213" s="49" t="s">
        <v>1264</v>
      </c>
      <c r="E2213" s="49" t="s">
        <v>2785</v>
      </c>
      <c r="F2213" s="49" t="s">
        <v>2792</v>
      </c>
      <c r="G2213" s="49" t="s">
        <v>2776</v>
      </c>
      <c r="H2213" s="49" t="s">
        <v>980</v>
      </c>
      <c r="I2213" s="50">
        <v>44251</v>
      </c>
      <c r="M2213" s="49" t="s">
        <v>4437</v>
      </c>
    </row>
    <row r="2214" spans="1:13" x14ac:dyDescent="0.35">
      <c r="A2214" s="49" t="s">
        <v>9350</v>
      </c>
      <c r="C2214" s="49" t="s">
        <v>3660</v>
      </c>
      <c r="D2214" s="49" t="s">
        <v>1264</v>
      </c>
      <c r="E2214" s="49" t="s">
        <v>2785</v>
      </c>
      <c r="F2214" s="49" t="s">
        <v>2792</v>
      </c>
      <c r="G2214" s="49" t="s">
        <v>2776</v>
      </c>
      <c r="H2214" s="49" t="s">
        <v>8</v>
      </c>
      <c r="I2214" s="50">
        <v>42410</v>
      </c>
      <c r="M2214" s="49" t="s">
        <v>9351</v>
      </c>
    </row>
    <row r="2215" spans="1:13" x14ac:dyDescent="0.35">
      <c r="A2215" s="49" t="s">
        <v>9352</v>
      </c>
      <c r="B2215" s="49" t="s">
        <v>9353</v>
      </c>
      <c r="C2215" s="49" t="s">
        <v>7581</v>
      </c>
      <c r="D2215" s="49" t="s">
        <v>1264</v>
      </c>
      <c r="E2215" s="49" t="s">
        <v>2785</v>
      </c>
      <c r="F2215" s="49" t="s">
        <v>2786</v>
      </c>
      <c r="G2215" s="49" t="s">
        <v>2776</v>
      </c>
      <c r="H2215" s="49" t="s">
        <v>980</v>
      </c>
      <c r="I2215" s="50">
        <v>42906</v>
      </c>
      <c r="M2215" s="49" t="s">
        <v>9354</v>
      </c>
    </row>
    <row r="2216" spans="1:13" x14ac:dyDescent="0.35">
      <c r="A2216" s="49" t="s">
        <v>9355</v>
      </c>
      <c r="B2216" s="49" t="s">
        <v>9356</v>
      </c>
      <c r="C2216" s="49" t="s">
        <v>7229</v>
      </c>
      <c r="D2216" s="49" t="s">
        <v>1264</v>
      </c>
      <c r="E2216" s="49" t="s">
        <v>2785</v>
      </c>
      <c r="F2216" s="49" t="s">
        <v>2792</v>
      </c>
      <c r="G2216" s="49" t="s">
        <v>2776</v>
      </c>
      <c r="H2216" s="49" t="s">
        <v>8</v>
      </c>
      <c r="I2216" s="50">
        <v>43511</v>
      </c>
      <c r="M2216" s="49" t="s">
        <v>9357</v>
      </c>
    </row>
    <row r="2217" spans="1:13" x14ac:dyDescent="0.35">
      <c r="A2217" s="49" t="s">
        <v>9358</v>
      </c>
      <c r="B2217" s="49" t="s">
        <v>9359</v>
      </c>
      <c r="C2217" s="49" t="s">
        <v>9360</v>
      </c>
      <c r="D2217" s="49" t="s">
        <v>1264</v>
      </c>
      <c r="E2217" s="49" t="s">
        <v>2785</v>
      </c>
      <c r="F2217" s="49" t="s">
        <v>2792</v>
      </c>
      <c r="G2217" s="49" t="s">
        <v>2776</v>
      </c>
      <c r="H2217" s="49" t="s">
        <v>8</v>
      </c>
      <c r="I2217" s="50">
        <v>43191</v>
      </c>
      <c r="M2217" s="49" t="s">
        <v>9361</v>
      </c>
    </row>
    <row r="2218" spans="1:13" x14ac:dyDescent="0.35">
      <c r="A2218" s="49" t="s">
        <v>9362</v>
      </c>
      <c r="B2218" s="49" t="s">
        <v>9363</v>
      </c>
      <c r="C2218" s="49" t="s">
        <v>9364</v>
      </c>
      <c r="D2218" s="49" t="s">
        <v>1264</v>
      </c>
      <c r="E2218" s="49" t="s">
        <v>2785</v>
      </c>
      <c r="F2218" s="49" t="s">
        <v>2792</v>
      </c>
      <c r="G2218" s="49" t="s">
        <v>2776</v>
      </c>
      <c r="H2218" s="49" t="s">
        <v>980</v>
      </c>
      <c r="I2218" s="50">
        <v>44081</v>
      </c>
      <c r="M2218" s="49" t="s">
        <v>9365</v>
      </c>
    </row>
    <row r="2219" spans="1:13" x14ac:dyDescent="0.35">
      <c r="A2219" s="49" t="s">
        <v>9366</v>
      </c>
      <c r="C2219" s="49" t="s">
        <v>9367</v>
      </c>
      <c r="D2219" s="49" t="s">
        <v>1264</v>
      </c>
      <c r="E2219" s="49" t="s">
        <v>2785</v>
      </c>
      <c r="F2219" s="49" t="s">
        <v>2786</v>
      </c>
      <c r="G2219" s="49" t="s">
        <v>2776</v>
      </c>
      <c r="H2219" s="49" t="s">
        <v>2827</v>
      </c>
      <c r="I2219" s="50">
        <v>43838</v>
      </c>
      <c r="M2219" s="49" t="s">
        <v>9368</v>
      </c>
    </row>
    <row r="2220" spans="1:13" x14ac:dyDescent="0.35">
      <c r="A2220" s="49" t="s">
        <v>9369</v>
      </c>
      <c r="C2220" s="49" t="s">
        <v>9370</v>
      </c>
      <c r="D2220" s="49" t="s">
        <v>1264</v>
      </c>
      <c r="E2220" s="49" t="s">
        <v>2785</v>
      </c>
      <c r="F2220" s="49" t="s">
        <v>2837</v>
      </c>
      <c r="G2220" s="49" t="s">
        <v>2776</v>
      </c>
      <c r="H2220" s="49" t="s">
        <v>2827</v>
      </c>
      <c r="I2220" s="50">
        <v>43592</v>
      </c>
      <c r="M2220" s="49" t="s">
        <v>9371</v>
      </c>
    </row>
    <row r="2221" spans="1:13" x14ac:dyDescent="0.35">
      <c r="A2221" s="49" t="s">
        <v>9372</v>
      </c>
      <c r="C2221" s="49" t="s">
        <v>3660</v>
      </c>
      <c r="D2221" s="49" t="s">
        <v>1264</v>
      </c>
      <c r="E2221" s="49" t="s">
        <v>2785</v>
      </c>
      <c r="F2221" s="49" t="s">
        <v>2792</v>
      </c>
      <c r="G2221" s="49" t="s">
        <v>2776</v>
      </c>
      <c r="H2221" s="49" t="s">
        <v>8</v>
      </c>
      <c r="I2221" s="50">
        <v>43634</v>
      </c>
      <c r="M2221" s="49" t="s">
        <v>9373</v>
      </c>
    </row>
    <row r="2222" spans="1:13" x14ac:dyDescent="0.35">
      <c r="A2222" s="49" t="s">
        <v>9374</v>
      </c>
      <c r="B2222" s="49" t="s">
        <v>2849</v>
      </c>
      <c r="C2222" s="49" t="s">
        <v>9375</v>
      </c>
      <c r="D2222" s="49" t="s">
        <v>1264</v>
      </c>
      <c r="E2222" s="49" t="s">
        <v>2785</v>
      </c>
      <c r="F2222" s="49" t="s">
        <v>2792</v>
      </c>
      <c r="G2222" s="49" t="s">
        <v>2776</v>
      </c>
      <c r="H2222" s="49" t="s">
        <v>980</v>
      </c>
      <c r="I2222" s="50">
        <v>44082</v>
      </c>
      <c r="M2222" s="49" t="s">
        <v>9376</v>
      </c>
    </row>
    <row r="2223" spans="1:13" x14ac:dyDescent="0.35">
      <c r="A2223" s="49" t="s">
        <v>9377</v>
      </c>
      <c r="B2223" s="49" t="s">
        <v>9378</v>
      </c>
      <c r="C2223" s="49" t="s">
        <v>9379</v>
      </c>
      <c r="D2223" s="49" t="s">
        <v>1264</v>
      </c>
      <c r="E2223" s="49" t="s">
        <v>2785</v>
      </c>
      <c r="F2223" s="49" t="s">
        <v>2792</v>
      </c>
      <c r="G2223" s="49" t="s">
        <v>2776</v>
      </c>
      <c r="H2223" s="49" t="s">
        <v>8</v>
      </c>
      <c r="I2223" s="50">
        <v>44112</v>
      </c>
      <c r="M2223" s="49" t="s">
        <v>9380</v>
      </c>
    </row>
    <row r="2224" spans="1:13" x14ac:dyDescent="0.35">
      <c r="A2224" s="49" t="s">
        <v>9381</v>
      </c>
      <c r="C2224" s="49" t="s">
        <v>4070</v>
      </c>
      <c r="D2224" s="49" t="s">
        <v>1264</v>
      </c>
      <c r="E2224" s="49" t="s">
        <v>2785</v>
      </c>
      <c r="F2224" s="49" t="s">
        <v>2792</v>
      </c>
      <c r="G2224" s="49" t="s">
        <v>2776</v>
      </c>
      <c r="H2224" s="49" t="s">
        <v>980</v>
      </c>
      <c r="I2224" s="50">
        <v>44202</v>
      </c>
      <c r="M2224" s="49" t="s">
        <v>9382</v>
      </c>
    </row>
    <row r="2225" spans="1:13" x14ac:dyDescent="0.35">
      <c r="A2225" s="49" t="s">
        <v>9383</v>
      </c>
      <c r="C2225" s="49" t="s">
        <v>9209</v>
      </c>
      <c r="D2225" s="49" t="s">
        <v>1264</v>
      </c>
      <c r="E2225" s="49" t="s">
        <v>2785</v>
      </c>
      <c r="F2225" s="49" t="s">
        <v>2786</v>
      </c>
      <c r="G2225" s="49" t="s">
        <v>2776</v>
      </c>
      <c r="H2225" s="49" t="s">
        <v>8</v>
      </c>
      <c r="I2225" s="50">
        <v>43549</v>
      </c>
      <c r="M2225" s="49" t="s">
        <v>9210</v>
      </c>
    </row>
    <row r="2226" spans="1:13" x14ac:dyDescent="0.35">
      <c r="A2226" s="49" t="s">
        <v>9384</v>
      </c>
      <c r="C2226" s="49" t="s">
        <v>4531</v>
      </c>
      <c r="D2226" s="49" t="s">
        <v>1264</v>
      </c>
      <c r="E2226" s="49" t="s">
        <v>2785</v>
      </c>
      <c r="F2226" s="49" t="s">
        <v>2786</v>
      </c>
      <c r="G2226" s="49" t="s">
        <v>2776</v>
      </c>
      <c r="H2226" s="49" t="s">
        <v>8</v>
      </c>
      <c r="I2226" s="50">
        <v>43704</v>
      </c>
      <c r="M2226" s="49" t="s">
        <v>9385</v>
      </c>
    </row>
    <row r="2227" spans="1:13" x14ac:dyDescent="0.35">
      <c r="A2227" s="49" t="s">
        <v>9386</v>
      </c>
      <c r="C2227" s="49" t="s">
        <v>9387</v>
      </c>
      <c r="D2227" s="49" t="s">
        <v>1264</v>
      </c>
      <c r="E2227" s="49" t="s">
        <v>2785</v>
      </c>
      <c r="F2227" s="49" t="s">
        <v>2786</v>
      </c>
      <c r="G2227" s="49" t="s">
        <v>2776</v>
      </c>
      <c r="H2227" s="49" t="s">
        <v>980</v>
      </c>
      <c r="I2227" s="50">
        <v>44144</v>
      </c>
      <c r="M2227" s="49" t="s">
        <v>9388</v>
      </c>
    </row>
    <row r="2228" spans="1:13" x14ac:dyDescent="0.35">
      <c r="A2228" s="49" t="s">
        <v>9389</v>
      </c>
      <c r="D2228" s="49" t="s">
        <v>1264</v>
      </c>
      <c r="E2228" s="49" t="s">
        <v>2785</v>
      </c>
      <c r="F2228" s="49" t="s">
        <v>2786</v>
      </c>
      <c r="G2228" s="49" t="s">
        <v>2776</v>
      </c>
      <c r="H2228" s="49" t="s">
        <v>8</v>
      </c>
      <c r="I2228" s="50">
        <v>43375</v>
      </c>
      <c r="M2228" s="49" t="s">
        <v>9390</v>
      </c>
    </row>
    <row r="2229" spans="1:13" x14ac:dyDescent="0.35">
      <c r="A2229" s="49" t="s">
        <v>9391</v>
      </c>
      <c r="C2229" s="49" t="s">
        <v>3925</v>
      </c>
      <c r="D2229" s="49" t="s">
        <v>1264</v>
      </c>
      <c r="E2229" s="49" t="s">
        <v>2785</v>
      </c>
      <c r="F2229" s="49" t="s">
        <v>2786</v>
      </c>
      <c r="G2229" s="49" t="s">
        <v>2776</v>
      </c>
      <c r="H2229" s="49" t="s">
        <v>980</v>
      </c>
      <c r="I2229" s="50">
        <v>44145</v>
      </c>
      <c r="M2229" s="49" t="s">
        <v>9392</v>
      </c>
    </row>
    <row r="2230" spans="1:13" x14ac:dyDescent="0.35">
      <c r="A2230" s="49" t="s">
        <v>9393</v>
      </c>
      <c r="C2230" s="49" t="s">
        <v>2791</v>
      </c>
      <c r="D2230" s="49" t="s">
        <v>1264</v>
      </c>
      <c r="E2230" s="49" t="s">
        <v>2785</v>
      </c>
      <c r="F2230" s="49" t="s">
        <v>2792</v>
      </c>
      <c r="G2230" s="49" t="s">
        <v>2776</v>
      </c>
      <c r="H2230" s="49" t="s">
        <v>980</v>
      </c>
      <c r="I2230" s="50">
        <v>44175</v>
      </c>
      <c r="M2230" s="49" t="s">
        <v>9394</v>
      </c>
    </row>
    <row r="2231" spans="1:13" x14ac:dyDescent="0.35">
      <c r="A2231" s="49" t="s">
        <v>9395</v>
      </c>
      <c r="C2231" s="49" t="s">
        <v>2933</v>
      </c>
      <c r="D2231" s="49" t="s">
        <v>1264</v>
      </c>
      <c r="E2231" s="49" t="s">
        <v>2908</v>
      </c>
      <c r="F2231" s="49" t="s">
        <v>2837</v>
      </c>
      <c r="G2231" s="49" t="s">
        <v>3997</v>
      </c>
      <c r="H2231" s="49" t="s">
        <v>980</v>
      </c>
      <c r="I2231" s="50">
        <v>44245</v>
      </c>
      <c r="M2231" s="49" t="s">
        <v>5237</v>
      </c>
    </row>
    <row r="2232" spans="1:13" x14ac:dyDescent="0.35">
      <c r="A2232" s="49" t="s">
        <v>9396</v>
      </c>
      <c r="C2232" s="49" t="s">
        <v>4272</v>
      </c>
      <c r="D2232" s="49" t="s">
        <v>1264</v>
      </c>
      <c r="E2232" s="49" t="s">
        <v>2785</v>
      </c>
      <c r="F2232" s="49" t="s">
        <v>2786</v>
      </c>
      <c r="G2232" s="49" t="s">
        <v>2776</v>
      </c>
      <c r="H2232" s="49" t="s">
        <v>980</v>
      </c>
      <c r="I2232" s="50">
        <v>43425</v>
      </c>
      <c r="M2232" s="49" t="s">
        <v>9397</v>
      </c>
    </row>
    <row r="2233" spans="1:13" x14ac:dyDescent="0.35">
      <c r="A2233" s="49" t="s">
        <v>9398</v>
      </c>
      <c r="C2233" s="49" t="s">
        <v>9399</v>
      </c>
      <c r="D2233" s="49" t="s">
        <v>1264</v>
      </c>
      <c r="E2233" s="49" t="s">
        <v>2785</v>
      </c>
      <c r="F2233" s="49" t="s">
        <v>2786</v>
      </c>
      <c r="G2233" s="49" t="s">
        <v>2776</v>
      </c>
      <c r="H2233" s="49" t="s">
        <v>980</v>
      </c>
      <c r="I2233" s="50">
        <v>43495</v>
      </c>
      <c r="M2233" s="49" t="s">
        <v>9400</v>
      </c>
    </row>
    <row r="2234" spans="1:13" x14ac:dyDescent="0.35">
      <c r="A2234" s="49" t="s">
        <v>9401</v>
      </c>
      <c r="C2234" s="49" t="s">
        <v>7052</v>
      </c>
      <c r="D2234" s="49" t="s">
        <v>1264</v>
      </c>
      <c r="E2234" s="49" t="s">
        <v>2785</v>
      </c>
      <c r="F2234" s="49" t="s">
        <v>2792</v>
      </c>
      <c r="G2234" s="49" t="s">
        <v>2776</v>
      </c>
      <c r="H2234" s="49" t="s">
        <v>8</v>
      </c>
      <c r="I2234" s="50">
        <v>43901</v>
      </c>
      <c r="M2234" s="49" t="s">
        <v>9402</v>
      </c>
    </row>
    <row r="2235" spans="1:13" x14ac:dyDescent="0.35">
      <c r="A2235" s="49" t="s">
        <v>9403</v>
      </c>
      <c r="C2235" s="49" t="s">
        <v>4015</v>
      </c>
      <c r="D2235" s="49" t="s">
        <v>1264</v>
      </c>
      <c r="E2235" s="49" t="s">
        <v>2785</v>
      </c>
      <c r="F2235" s="49" t="s">
        <v>2792</v>
      </c>
      <c r="G2235" s="49" t="s">
        <v>2776</v>
      </c>
      <c r="H2235" s="49" t="s">
        <v>8</v>
      </c>
      <c r="I2235" s="50">
        <v>43368</v>
      </c>
      <c r="M2235" s="49" t="s">
        <v>9404</v>
      </c>
    </row>
    <row r="2236" spans="1:13" x14ac:dyDescent="0.35">
      <c r="A2236" s="49" t="s">
        <v>9405</v>
      </c>
      <c r="C2236" s="49" t="s">
        <v>9406</v>
      </c>
      <c r="D2236" s="49" t="s">
        <v>1264</v>
      </c>
      <c r="E2236" s="49" t="s">
        <v>2785</v>
      </c>
      <c r="F2236" s="49" t="s">
        <v>2792</v>
      </c>
      <c r="G2236" s="49" t="s">
        <v>2776</v>
      </c>
      <c r="H2236" s="49" t="s">
        <v>980</v>
      </c>
      <c r="I2236" s="50">
        <v>43749</v>
      </c>
      <c r="M2236" s="49" t="s">
        <v>9407</v>
      </c>
    </row>
    <row r="2237" spans="1:13" x14ac:dyDescent="0.35">
      <c r="A2237" s="49" t="s">
        <v>9408</v>
      </c>
      <c r="C2237" s="49" t="s">
        <v>9409</v>
      </c>
      <c r="D2237" s="49" t="s">
        <v>1264</v>
      </c>
      <c r="E2237" s="49" t="s">
        <v>2785</v>
      </c>
      <c r="F2237" s="49" t="s">
        <v>2792</v>
      </c>
      <c r="G2237" s="49" t="s">
        <v>2776</v>
      </c>
      <c r="H2237" s="49" t="s">
        <v>980</v>
      </c>
      <c r="I2237" s="50">
        <v>44182</v>
      </c>
      <c r="M2237" s="49" t="s">
        <v>9410</v>
      </c>
    </row>
    <row r="2238" spans="1:13" x14ac:dyDescent="0.35">
      <c r="A2238" s="49" t="s">
        <v>9411</v>
      </c>
      <c r="C2238" s="49" t="s">
        <v>7158</v>
      </c>
      <c r="D2238" s="49" t="s">
        <v>1264</v>
      </c>
      <c r="E2238" s="49" t="s">
        <v>2785</v>
      </c>
      <c r="F2238" s="49" t="s">
        <v>2786</v>
      </c>
      <c r="G2238" s="49" t="s">
        <v>2776</v>
      </c>
      <c r="H2238" s="49" t="s">
        <v>8</v>
      </c>
      <c r="I2238" s="50">
        <v>43080</v>
      </c>
      <c r="M2238" s="49" t="s">
        <v>9412</v>
      </c>
    </row>
    <row r="2239" spans="1:13" x14ac:dyDescent="0.35">
      <c r="A2239" s="49" t="s">
        <v>9413</v>
      </c>
      <c r="C2239" s="49" t="s">
        <v>7158</v>
      </c>
      <c r="D2239" s="49" t="s">
        <v>1264</v>
      </c>
      <c r="E2239" s="49" t="s">
        <v>2785</v>
      </c>
      <c r="F2239" s="49" t="s">
        <v>2792</v>
      </c>
      <c r="G2239" s="49" t="s">
        <v>2776</v>
      </c>
      <c r="H2239" s="49" t="s">
        <v>980</v>
      </c>
      <c r="I2239" s="50">
        <v>43080</v>
      </c>
      <c r="M2239" s="49" t="s">
        <v>9414</v>
      </c>
    </row>
    <row r="2240" spans="1:13" x14ac:dyDescent="0.35">
      <c r="A2240" s="49" t="s">
        <v>9415</v>
      </c>
      <c r="C2240" s="49" t="s">
        <v>9416</v>
      </c>
      <c r="D2240" s="49" t="s">
        <v>1264</v>
      </c>
      <c r="E2240" s="49" t="s">
        <v>2785</v>
      </c>
      <c r="F2240" s="49" t="s">
        <v>2786</v>
      </c>
      <c r="G2240" s="49" t="s">
        <v>2776</v>
      </c>
      <c r="H2240" s="49" t="s">
        <v>980</v>
      </c>
      <c r="I2240" s="50">
        <v>43417</v>
      </c>
      <c r="M2240" s="49" t="s">
        <v>9417</v>
      </c>
    </row>
    <row r="2241" spans="1:13" x14ac:dyDescent="0.35">
      <c r="A2241" s="49" t="s">
        <v>9418</v>
      </c>
      <c r="B2241" s="49" t="s">
        <v>9419</v>
      </c>
      <c r="C2241" s="49" t="s">
        <v>9420</v>
      </c>
      <c r="D2241" s="49" t="s">
        <v>1264</v>
      </c>
      <c r="E2241" s="49" t="s">
        <v>2785</v>
      </c>
      <c r="F2241" s="49" t="s">
        <v>2792</v>
      </c>
      <c r="G2241" s="49" t="s">
        <v>2776</v>
      </c>
      <c r="H2241" s="49" t="s">
        <v>980</v>
      </c>
      <c r="I2241" s="50">
        <v>43873</v>
      </c>
      <c r="M2241" s="49" t="s">
        <v>9421</v>
      </c>
    </row>
    <row r="2242" spans="1:13" x14ac:dyDescent="0.35">
      <c r="A2242" s="49" t="s">
        <v>9422</v>
      </c>
      <c r="C2242" s="49" t="s">
        <v>3660</v>
      </c>
      <c r="D2242" s="49" t="s">
        <v>1264</v>
      </c>
      <c r="E2242" s="49" t="s">
        <v>2785</v>
      </c>
      <c r="F2242" s="49" t="s">
        <v>2792</v>
      </c>
      <c r="G2242" s="49" t="s">
        <v>2776</v>
      </c>
      <c r="H2242" s="49" t="s">
        <v>8</v>
      </c>
      <c r="I2242" s="50">
        <v>43902</v>
      </c>
      <c r="M2242" s="49" t="s">
        <v>9423</v>
      </c>
    </row>
    <row r="2243" spans="1:13" x14ac:dyDescent="0.35">
      <c r="A2243" s="49" t="s">
        <v>9424</v>
      </c>
      <c r="B2243" s="49" t="s">
        <v>9425</v>
      </c>
      <c r="C2243" s="49" t="s">
        <v>9426</v>
      </c>
      <c r="D2243" s="49" t="s">
        <v>1264</v>
      </c>
      <c r="E2243" s="49" t="s">
        <v>2785</v>
      </c>
      <c r="F2243" s="49" t="s">
        <v>4048</v>
      </c>
      <c r="G2243" s="49" t="s">
        <v>2776</v>
      </c>
      <c r="H2243" s="49" t="s">
        <v>2827</v>
      </c>
      <c r="I2243" s="50">
        <v>44055</v>
      </c>
      <c r="M2243" s="49" t="s">
        <v>9427</v>
      </c>
    </row>
    <row r="2244" spans="1:13" x14ac:dyDescent="0.35">
      <c r="A2244" s="49" t="s">
        <v>9428</v>
      </c>
      <c r="C2244" s="49" t="s">
        <v>4178</v>
      </c>
      <c r="D2244" s="49" t="s">
        <v>1264</v>
      </c>
      <c r="E2244" s="49" t="s">
        <v>2785</v>
      </c>
      <c r="F2244" s="49" t="s">
        <v>3253</v>
      </c>
      <c r="G2244" s="49" t="s">
        <v>2776</v>
      </c>
      <c r="H2244" s="49" t="s">
        <v>2827</v>
      </c>
      <c r="I2244" s="50">
        <v>43003</v>
      </c>
      <c r="M2244" s="49" t="s">
        <v>9429</v>
      </c>
    </row>
    <row r="2245" spans="1:13" x14ac:dyDescent="0.35">
      <c r="A2245" s="49" t="s">
        <v>9430</v>
      </c>
      <c r="C2245" s="49" t="s">
        <v>9431</v>
      </c>
      <c r="D2245" s="49" t="s">
        <v>1264</v>
      </c>
      <c r="E2245" s="49" t="s">
        <v>2785</v>
      </c>
      <c r="F2245" s="49" t="s">
        <v>2786</v>
      </c>
      <c r="G2245" s="49" t="s">
        <v>2776</v>
      </c>
      <c r="H2245" s="49" t="s">
        <v>8</v>
      </c>
      <c r="I2245" s="50">
        <v>43091</v>
      </c>
      <c r="M2245" s="49" t="s">
        <v>9432</v>
      </c>
    </row>
    <row r="2246" spans="1:13" x14ac:dyDescent="0.35">
      <c r="A2246" s="49" t="s">
        <v>9433</v>
      </c>
      <c r="C2246" s="49" t="s">
        <v>9434</v>
      </c>
      <c r="D2246" s="49" t="s">
        <v>1264</v>
      </c>
      <c r="E2246" s="49" t="s">
        <v>2785</v>
      </c>
      <c r="F2246" s="49" t="s">
        <v>2786</v>
      </c>
      <c r="G2246" s="49" t="s">
        <v>2776</v>
      </c>
      <c r="H2246" s="49" t="s">
        <v>8</v>
      </c>
      <c r="I2246" s="50">
        <v>43453</v>
      </c>
      <c r="M2246" s="49" t="s">
        <v>3871</v>
      </c>
    </row>
    <row r="2247" spans="1:13" x14ac:dyDescent="0.35">
      <c r="A2247" s="49" t="s">
        <v>9435</v>
      </c>
      <c r="C2247" s="49" t="s">
        <v>9336</v>
      </c>
      <c r="D2247" s="49" t="s">
        <v>1264</v>
      </c>
      <c r="E2247" s="49" t="s">
        <v>2785</v>
      </c>
      <c r="F2247" s="49" t="s">
        <v>2792</v>
      </c>
      <c r="G2247" s="49" t="s">
        <v>2776</v>
      </c>
      <c r="H2247" s="49" t="s">
        <v>8</v>
      </c>
      <c r="I2247" s="50">
        <v>43496</v>
      </c>
      <c r="M2247" s="49" t="s">
        <v>9436</v>
      </c>
    </row>
    <row r="2248" spans="1:13" x14ac:dyDescent="0.35">
      <c r="A2248" s="49" t="s">
        <v>9437</v>
      </c>
      <c r="C2248" s="49" t="s">
        <v>9438</v>
      </c>
      <c r="D2248" s="49" t="s">
        <v>1264</v>
      </c>
      <c r="E2248" s="49" t="s">
        <v>2785</v>
      </c>
      <c r="F2248" s="49" t="s">
        <v>2792</v>
      </c>
      <c r="G2248" s="49" t="s">
        <v>2776</v>
      </c>
      <c r="H2248" s="49" t="s">
        <v>980</v>
      </c>
      <c r="I2248" s="50">
        <v>44242</v>
      </c>
      <c r="M2248" s="49" t="s">
        <v>9439</v>
      </c>
    </row>
    <row r="2249" spans="1:13" x14ac:dyDescent="0.35">
      <c r="A2249" s="49" t="s">
        <v>9440</v>
      </c>
      <c r="C2249" s="49" t="s">
        <v>7299</v>
      </c>
      <c r="D2249" s="49" t="s">
        <v>1264</v>
      </c>
      <c r="E2249" s="49" t="s">
        <v>2785</v>
      </c>
      <c r="F2249" s="49" t="s">
        <v>2792</v>
      </c>
      <c r="G2249" s="49" t="s">
        <v>2776</v>
      </c>
      <c r="H2249" s="49" t="s">
        <v>8</v>
      </c>
      <c r="I2249" s="50">
        <v>43080</v>
      </c>
      <c r="M2249" s="49" t="s">
        <v>9441</v>
      </c>
    </row>
    <row r="2250" spans="1:13" x14ac:dyDescent="0.35">
      <c r="A2250" s="49" t="s">
        <v>9442</v>
      </c>
      <c r="B2250" s="49" t="s">
        <v>3218</v>
      </c>
      <c r="C2250" s="49" t="s">
        <v>3882</v>
      </c>
      <c r="D2250" s="49" t="s">
        <v>1264</v>
      </c>
      <c r="E2250" s="49" t="s">
        <v>2785</v>
      </c>
      <c r="F2250" s="49" t="s">
        <v>2805</v>
      </c>
      <c r="G2250" s="49" t="s">
        <v>2776</v>
      </c>
      <c r="H2250" s="49" t="s">
        <v>980</v>
      </c>
      <c r="I2250" s="50">
        <v>44026</v>
      </c>
      <c r="M2250" s="49" t="s">
        <v>6081</v>
      </c>
    </row>
    <row r="2251" spans="1:13" x14ac:dyDescent="0.35">
      <c r="A2251" s="49" t="s">
        <v>9443</v>
      </c>
      <c r="B2251" s="49" t="s">
        <v>7164</v>
      </c>
      <c r="C2251" s="49" t="s">
        <v>7299</v>
      </c>
      <c r="D2251" s="49" t="s">
        <v>1264</v>
      </c>
      <c r="E2251" s="49" t="s">
        <v>2785</v>
      </c>
      <c r="F2251" s="49" t="s">
        <v>2792</v>
      </c>
      <c r="G2251" s="49" t="s">
        <v>2776</v>
      </c>
      <c r="H2251" s="49" t="s">
        <v>8</v>
      </c>
      <c r="I2251" s="50">
        <v>42999</v>
      </c>
      <c r="M2251" s="49" t="s">
        <v>9444</v>
      </c>
    </row>
    <row r="2252" spans="1:13" x14ac:dyDescent="0.35">
      <c r="A2252" s="49" t="s">
        <v>9445</v>
      </c>
      <c r="C2252" s="49" t="s">
        <v>3462</v>
      </c>
      <c r="D2252" s="49" t="s">
        <v>1264</v>
      </c>
      <c r="E2252" s="49" t="s">
        <v>2785</v>
      </c>
      <c r="F2252" s="49" t="s">
        <v>2786</v>
      </c>
      <c r="G2252" s="49" t="s">
        <v>2776</v>
      </c>
      <c r="H2252" s="49" t="s">
        <v>980</v>
      </c>
      <c r="I2252" s="50">
        <v>42395</v>
      </c>
      <c r="M2252" s="49" t="s">
        <v>9446</v>
      </c>
    </row>
    <row r="2253" spans="1:13" x14ac:dyDescent="0.35">
      <c r="A2253" s="49" t="s">
        <v>9447</v>
      </c>
      <c r="C2253" s="49" t="s">
        <v>9448</v>
      </c>
      <c r="D2253" s="49" t="s">
        <v>1264</v>
      </c>
      <c r="E2253" s="49" t="s">
        <v>2785</v>
      </c>
      <c r="F2253" s="49" t="s">
        <v>2792</v>
      </c>
      <c r="G2253" s="49" t="s">
        <v>2776</v>
      </c>
      <c r="H2253" s="49" t="s">
        <v>980</v>
      </c>
      <c r="I2253" s="50">
        <v>43236</v>
      </c>
      <c r="M2253" s="49" t="s">
        <v>9449</v>
      </c>
    </row>
    <row r="2254" spans="1:13" x14ac:dyDescent="0.35">
      <c r="A2254" s="49" t="s">
        <v>9450</v>
      </c>
      <c r="C2254" s="49" t="s">
        <v>9451</v>
      </c>
      <c r="D2254" s="49" t="s">
        <v>1264</v>
      </c>
      <c r="E2254" s="49" t="s">
        <v>2785</v>
      </c>
      <c r="F2254" s="49" t="s">
        <v>2792</v>
      </c>
      <c r="G2254" s="49" t="s">
        <v>2776</v>
      </c>
      <c r="H2254" s="49" t="s">
        <v>2827</v>
      </c>
      <c r="I2254" s="50">
        <v>43145</v>
      </c>
      <c r="M2254" s="49" t="s">
        <v>9452</v>
      </c>
    </row>
    <row r="2255" spans="1:13" x14ac:dyDescent="0.35">
      <c r="A2255" s="49" t="s">
        <v>9453</v>
      </c>
      <c r="C2255" s="49" t="s">
        <v>9454</v>
      </c>
      <c r="D2255" s="49" t="s">
        <v>1264</v>
      </c>
      <c r="E2255" s="49" t="s">
        <v>2785</v>
      </c>
      <c r="F2255" s="49" t="s">
        <v>2805</v>
      </c>
      <c r="G2255" s="49" t="s">
        <v>2776</v>
      </c>
      <c r="H2255" s="49" t="s">
        <v>2806</v>
      </c>
      <c r="I2255" s="50">
        <v>43638</v>
      </c>
      <c r="M2255" s="49" t="s">
        <v>9455</v>
      </c>
    </row>
    <row r="2256" spans="1:13" x14ac:dyDescent="0.35">
      <c r="A2256" s="49" t="s">
        <v>9456</v>
      </c>
      <c r="C2256" s="49" t="s">
        <v>9336</v>
      </c>
      <c r="D2256" s="49" t="s">
        <v>1264</v>
      </c>
      <c r="E2256" s="49" t="s">
        <v>2785</v>
      </c>
      <c r="F2256" s="49" t="s">
        <v>2792</v>
      </c>
      <c r="G2256" s="49" t="s">
        <v>2776</v>
      </c>
      <c r="H2256" s="49" t="s">
        <v>8</v>
      </c>
      <c r="I2256" s="50">
        <v>43033</v>
      </c>
      <c r="M2256" s="49" t="s">
        <v>9436</v>
      </c>
    </row>
    <row r="2257" spans="1:13" x14ac:dyDescent="0.35">
      <c r="A2257" s="49" t="s">
        <v>9457</v>
      </c>
      <c r="C2257" s="49" t="s">
        <v>9458</v>
      </c>
      <c r="D2257" s="49" t="s">
        <v>1264</v>
      </c>
      <c r="E2257" s="49" t="s">
        <v>2785</v>
      </c>
      <c r="F2257" s="49" t="s">
        <v>2792</v>
      </c>
      <c r="G2257" s="49" t="s">
        <v>2776</v>
      </c>
      <c r="H2257" s="49" t="s">
        <v>980</v>
      </c>
      <c r="I2257" s="50">
        <v>43291</v>
      </c>
      <c r="M2257" s="49" t="s">
        <v>9459</v>
      </c>
    </row>
    <row r="2258" spans="1:13" x14ac:dyDescent="0.35">
      <c r="A2258" s="49" t="s">
        <v>9460</v>
      </c>
      <c r="B2258" s="49" t="s">
        <v>3881</v>
      </c>
      <c r="C2258" s="49" t="s">
        <v>9186</v>
      </c>
      <c r="D2258" s="49" t="s">
        <v>1264</v>
      </c>
      <c r="E2258" s="49" t="s">
        <v>2785</v>
      </c>
      <c r="F2258" s="49" t="s">
        <v>2786</v>
      </c>
      <c r="G2258" s="49" t="s">
        <v>2776</v>
      </c>
      <c r="H2258" s="49" t="s">
        <v>980</v>
      </c>
      <c r="I2258" s="50">
        <v>43998</v>
      </c>
      <c r="M2258" s="49" t="s">
        <v>9461</v>
      </c>
    </row>
    <row r="2259" spans="1:13" x14ac:dyDescent="0.35">
      <c r="A2259" s="49" t="s">
        <v>9462</v>
      </c>
      <c r="B2259" s="49" t="s">
        <v>9463</v>
      </c>
      <c r="C2259" s="49" t="s">
        <v>4214</v>
      </c>
      <c r="D2259" s="49" t="s">
        <v>1264</v>
      </c>
      <c r="E2259" s="49" t="s">
        <v>2785</v>
      </c>
      <c r="F2259" s="49" t="s">
        <v>2805</v>
      </c>
      <c r="G2259" s="49" t="s">
        <v>2776</v>
      </c>
      <c r="H2259" s="49" t="s">
        <v>980</v>
      </c>
      <c r="I2259" s="50">
        <v>43662</v>
      </c>
      <c r="M2259" s="49" t="s">
        <v>9464</v>
      </c>
    </row>
    <row r="2260" spans="1:13" x14ac:dyDescent="0.35">
      <c r="A2260" s="49" t="s">
        <v>9465</v>
      </c>
      <c r="C2260" s="49" t="s">
        <v>9466</v>
      </c>
      <c r="D2260" s="49" t="s">
        <v>1264</v>
      </c>
      <c r="E2260" s="49" t="s">
        <v>2785</v>
      </c>
      <c r="F2260" s="49" t="s">
        <v>2792</v>
      </c>
      <c r="G2260" s="49" t="s">
        <v>2776</v>
      </c>
      <c r="H2260" s="49" t="s">
        <v>8</v>
      </c>
      <c r="I2260" s="50">
        <v>44028</v>
      </c>
      <c r="M2260" s="49" t="s">
        <v>9467</v>
      </c>
    </row>
    <row r="2261" spans="1:13" x14ac:dyDescent="0.35">
      <c r="A2261" s="49" t="s">
        <v>9468</v>
      </c>
      <c r="C2261" s="49" t="s">
        <v>2850</v>
      </c>
      <c r="D2261" s="49" t="s">
        <v>1264</v>
      </c>
      <c r="E2261" s="49" t="s">
        <v>2785</v>
      </c>
      <c r="F2261" s="49" t="s">
        <v>2792</v>
      </c>
      <c r="G2261" s="49" t="s">
        <v>2776</v>
      </c>
      <c r="H2261" s="49" t="s">
        <v>980</v>
      </c>
      <c r="I2261" s="50">
        <v>43319</v>
      </c>
      <c r="M2261" s="49" t="s">
        <v>9469</v>
      </c>
    </row>
    <row r="2262" spans="1:13" x14ac:dyDescent="0.35">
      <c r="A2262" s="49" t="s">
        <v>9470</v>
      </c>
      <c r="C2262" s="49" t="s">
        <v>4232</v>
      </c>
      <c r="D2262" s="49" t="s">
        <v>1264</v>
      </c>
      <c r="E2262" s="49" t="s">
        <v>2785</v>
      </c>
      <c r="F2262" s="49" t="s">
        <v>2792</v>
      </c>
      <c r="G2262" s="49" t="s">
        <v>2776</v>
      </c>
      <c r="H2262" s="49" t="s">
        <v>2827</v>
      </c>
      <c r="I2262" s="50">
        <v>43938</v>
      </c>
      <c r="M2262" s="49" t="s">
        <v>9471</v>
      </c>
    </row>
    <row r="2263" spans="1:13" x14ac:dyDescent="0.35">
      <c r="A2263" s="49" t="s">
        <v>9472</v>
      </c>
      <c r="B2263" s="49" t="s">
        <v>9473</v>
      </c>
      <c r="C2263" s="49" t="s">
        <v>9474</v>
      </c>
      <c r="D2263" s="49" t="s">
        <v>1264</v>
      </c>
      <c r="E2263" s="49" t="s">
        <v>2785</v>
      </c>
      <c r="F2263" s="49" t="s">
        <v>2792</v>
      </c>
      <c r="G2263" s="49" t="s">
        <v>2776</v>
      </c>
      <c r="H2263" s="49" t="s">
        <v>980</v>
      </c>
      <c r="I2263" s="50">
        <v>43999</v>
      </c>
      <c r="M2263" s="49" t="s">
        <v>4499</v>
      </c>
    </row>
    <row r="2264" spans="1:13" x14ac:dyDescent="0.35">
      <c r="A2264" s="49" t="s">
        <v>9475</v>
      </c>
      <c r="C2264" s="49" t="s">
        <v>9476</v>
      </c>
      <c r="D2264" s="49" t="s">
        <v>1264</v>
      </c>
      <c r="E2264" s="49" t="s">
        <v>2785</v>
      </c>
      <c r="F2264" s="49" t="s">
        <v>2805</v>
      </c>
      <c r="G2264" s="49" t="s">
        <v>2776</v>
      </c>
      <c r="H2264" s="49" t="s">
        <v>980</v>
      </c>
      <c r="I2264" s="50">
        <v>43725</v>
      </c>
      <c r="M2264" s="49" t="s">
        <v>9477</v>
      </c>
    </row>
    <row r="2265" spans="1:13" x14ac:dyDescent="0.35">
      <c r="A2265" s="49" t="s">
        <v>9478</v>
      </c>
      <c r="C2265" s="49" t="s">
        <v>7219</v>
      </c>
      <c r="D2265" s="49" t="s">
        <v>1264</v>
      </c>
      <c r="E2265" s="49" t="s">
        <v>2785</v>
      </c>
      <c r="F2265" s="49" t="s">
        <v>2792</v>
      </c>
      <c r="G2265" s="49" t="s">
        <v>2776</v>
      </c>
      <c r="H2265" s="49" t="s">
        <v>980</v>
      </c>
      <c r="I2265" s="50">
        <v>43178</v>
      </c>
      <c r="M2265" s="49" t="s">
        <v>9479</v>
      </c>
    </row>
    <row r="2266" spans="1:13" x14ac:dyDescent="0.35">
      <c r="A2266" s="49" t="s">
        <v>9480</v>
      </c>
      <c r="B2266" s="49" t="s">
        <v>4453</v>
      </c>
      <c r="C2266" s="49" t="s">
        <v>4286</v>
      </c>
      <c r="D2266" s="49" t="s">
        <v>1264</v>
      </c>
      <c r="E2266" s="49" t="s">
        <v>2785</v>
      </c>
      <c r="F2266" s="49" t="s">
        <v>2792</v>
      </c>
      <c r="G2266" s="49" t="s">
        <v>2776</v>
      </c>
      <c r="H2266" s="49" t="s">
        <v>980</v>
      </c>
      <c r="I2266" s="50">
        <v>43879</v>
      </c>
      <c r="M2266" s="49" t="s">
        <v>3477</v>
      </c>
    </row>
    <row r="2267" spans="1:13" x14ac:dyDescent="0.35">
      <c r="A2267" s="49" t="s">
        <v>9481</v>
      </c>
      <c r="C2267" s="49" t="s">
        <v>3620</v>
      </c>
      <c r="D2267" s="49" t="s">
        <v>1264</v>
      </c>
      <c r="E2267" s="49" t="s">
        <v>2785</v>
      </c>
      <c r="F2267" s="49" t="s">
        <v>3253</v>
      </c>
      <c r="G2267" s="49" t="s">
        <v>2776</v>
      </c>
      <c r="H2267" s="49" t="s">
        <v>2827</v>
      </c>
      <c r="I2267" s="50">
        <v>42860</v>
      </c>
      <c r="M2267" s="49" t="s">
        <v>9482</v>
      </c>
    </row>
    <row r="2268" spans="1:13" x14ac:dyDescent="0.35">
      <c r="A2268" s="49" t="s">
        <v>9483</v>
      </c>
      <c r="C2268" s="49" t="s">
        <v>3925</v>
      </c>
      <c r="D2268" s="49" t="s">
        <v>1264</v>
      </c>
      <c r="E2268" s="49" t="s">
        <v>2785</v>
      </c>
      <c r="F2268" s="49" t="s">
        <v>2786</v>
      </c>
      <c r="G2268" s="49" t="s">
        <v>2776</v>
      </c>
      <c r="H2268" s="49" t="s">
        <v>980</v>
      </c>
      <c r="I2268" s="50">
        <v>44000</v>
      </c>
      <c r="M2268" s="49" t="s">
        <v>9484</v>
      </c>
    </row>
    <row r="2269" spans="1:13" x14ac:dyDescent="0.35">
      <c r="A2269" s="49" t="s">
        <v>9485</v>
      </c>
      <c r="C2269" s="49" t="s">
        <v>9486</v>
      </c>
      <c r="D2269" s="49" t="s">
        <v>1264</v>
      </c>
      <c r="E2269" s="49" t="s">
        <v>2785</v>
      </c>
      <c r="F2269" s="49" t="s">
        <v>2786</v>
      </c>
      <c r="G2269" s="49" t="s">
        <v>2776</v>
      </c>
      <c r="H2269" s="49" t="s">
        <v>980</v>
      </c>
      <c r="I2269" s="50">
        <v>42873</v>
      </c>
      <c r="M2269" s="49" t="s">
        <v>3011</v>
      </c>
    </row>
    <row r="2270" spans="1:13" x14ac:dyDescent="0.35">
      <c r="A2270" s="49" t="s">
        <v>9487</v>
      </c>
      <c r="C2270" s="49" t="s">
        <v>5999</v>
      </c>
      <c r="D2270" s="49" t="s">
        <v>1264</v>
      </c>
      <c r="E2270" s="49" t="s">
        <v>2785</v>
      </c>
      <c r="F2270" s="49" t="s">
        <v>2792</v>
      </c>
      <c r="G2270" s="49" t="s">
        <v>2776</v>
      </c>
      <c r="H2270" s="49" t="s">
        <v>980</v>
      </c>
      <c r="I2270" s="50">
        <v>44001</v>
      </c>
      <c r="M2270" s="49" t="s">
        <v>9488</v>
      </c>
    </row>
    <row r="2271" spans="1:13" x14ac:dyDescent="0.35">
      <c r="A2271" s="49" t="s">
        <v>9489</v>
      </c>
      <c r="C2271" s="49" t="s">
        <v>5380</v>
      </c>
      <c r="D2271" s="49" t="s">
        <v>1264</v>
      </c>
      <c r="E2271" s="49" t="s">
        <v>2785</v>
      </c>
      <c r="F2271" s="49" t="s">
        <v>2792</v>
      </c>
      <c r="G2271" s="49" t="s">
        <v>2776</v>
      </c>
      <c r="H2271" s="49" t="s">
        <v>980</v>
      </c>
      <c r="I2271" s="50">
        <v>43727</v>
      </c>
      <c r="M2271" s="49" t="s">
        <v>9490</v>
      </c>
    </row>
    <row r="2272" spans="1:13" x14ac:dyDescent="0.35">
      <c r="A2272" s="49" t="s">
        <v>9491</v>
      </c>
      <c r="C2272" s="49" t="s">
        <v>6352</v>
      </c>
      <c r="D2272" s="49" t="s">
        <v>1264</v>
      </c>
      <c r="E2272" s="49" t="s">
        <v>2908</v>
      </c>
      <c r="F2272" s="49" t="s">
        <v>2805</v>
      </c>
      <c r="G2272" s="49" t="s">
        <v>2776</v>
      </c>
      <c r="H2272" s="49" t="s">
        <v>980</v>
      </c>
      <c r="I2272" s="50">
        <v>44032</v>
      </c>
      <c r="M2272" s="49" t="s">
        <v>9492</v>
      </c>
    </row>
    <row r="2273" spans="1:13" x14ac:dyDescent="0.35">
      <c r="A2273" s="49" t="s">
        <v>9493</v>
      </c>
      <c r="B2273" s="49" t="s">
        <v>7551</v>
      </c>
      <c r="C2273" s="49" t="s">
        <v>9494</v>
      </c>
      <c r="D2273" s="49" t="s">
        <v>1264</v>
      </c>
      <c r="E2273" s="49" t="s">
        <v>2785</v>
      </c>
      <c r="F2273" s="49" t="s">
        <v>2792</v>
      </c>
      <c r="G2273" s="49" t="s">
        <v>2776</v>
      </c>
      <c r="H2273" s="49" t="s">
        <v>980</v>
      </c>
      <c r="I2273" s="50">
        <v>44032</v>
      </c>
      <c r="M2273" s="49" t="s">
        <v>9495</v>
      </c>
    </row>
    <row r="2274" spans="1:13" x14ac:dyDescent="0.35">
      <c r="A2274" s="49" t="s">
        <v>9496</v>
      </c>
      <c r="C2274" s="49" t="s">
        <v>9497</v>
      </c>
      <c r="D2274" s="49" t="s">
        <v>1264</v>
      </c>
      <c r="E2274" s="49" t="s">
        <v>2785</v>
      </c>
      <c r="F2274" s="49" t="s">
        <v>2792</v>
      </c>
      <c r="G2274" s="49" t="s">
        <v>2776</v>
      </c>
      <c r="H2274" s="49" t="s">
        <v>980</v>
      </c>
      <c r="I2274" s="50">
        <v>43728</v>
      </c>
      <c r="M2274" s="49" t="s">
        <v>9498</v>
      </c>
    </row>
    <row r="2275" spans="1:13" x14ac:dyDescent="0.35">
      <c r="A2275" s="49" t="s">
        <v>9499</v>
      </c>
      <c r="C2275" s="49" t="s">
        <v>9500</v>
      </c>
      <c r="D2275" s="49" t="s">
        <v>1264</v>
      </c>
      <c r="E2275" s="49" t="s">
        <v>2785</v>
      </c>
      <c r="F2275" s="49" t="s">
        <v>2792</v>
      </c>
      <c r="G2275" s="49" t="s">
        <v>2776</v>
      </c>
      <c r="H2275" s="49" t="s">
        <v>8</v>
      </c>
      <c r="I2275" s="50">
        <v>43396</v>
      </c>
      <c r="M2275" s="49" t="s">
        <v>9501</v>
      </c>
    </row>
    <row r="2276" spans="1:13" x14ac:dyDescent="0.35">
      <c r="A2276" s="49" t="s">
        <v>9502</v>
      </c>
      <c r="B2276" s="49" t="s">
        <v>9503</v>
      </c>
      <c r="C2276" s="49" t="s">
        <v>9504</v>
      </c>
      <c r="D2276" s="49" t="s">
        <v>1264</v>
      </c>
      <c r="E2276" s="49" t="s">
        <v>2785</v>
      </c>
      <c r="F2276" s="49" t="s">
        <v>2792</v>
      </c>
      <c r="G2276" s="49" t="s">
        <v>2776</v>
      </c>
      <c r="H2276" s="49" t="s">
        <v>8</v>
      </c>
      <c r="I2276" s="50">
        <v>43601</v>
      </c>
      <c r="M2276" s="49" t="s">
        <v>9505</v>
      </c>
    </row>
    <row r="2277" spans="1:13" x14ac:dyDescent="0.35">
      <c r="A2277" s="49" t="s">
        <v>9506</v>
      </c>
      <c r="C2277" s="49" t="s">
        <v>7043</v>
      </c>
      <c r="D2277" s="49" t="s">
        <v>1264</v>
      </c>
      <c r="E2277" s="49" t="s">
        <v>2785</v>
      </c>
      <c r="F2277" s="49" t="s">
        <v>2792</v>
      </c>
      <c r="G2277" s="49" t="s">
        <v>2776</v>
      </c>
      <c r="H2277" s="49" t="s">
        <v>8</v>
      </c>
      <c r="I2277" s="50">
        <v>42886</v>
      </c>
      <c r="M2277" s="49" t="s">
        <v>9507</v>
      </c>
    </row>
    <row r="2278" spans="1:13" x14ac:dyDescent="0.35">
      <c r="A2278" s="49" t="s">
        <v>9508</v>
      </c>
      <c r="C2278" s="49" t="s">
        <v>4477</v>
      </c>
      <c r="D2278" s="49" t="s">
        <v>1264</v>
      </c>
      <c r="E2278" s="49" t="s">
        <v>2785</v>
      </c>
      <c r="F2278" s="49" t="s">
        <v>2805</v>
      </c>
      <c r="G2278" s="49" t="s">
        <v>2776</v>
      </c>
      <c r="H2278" s="49" t="s">
        <v>8</v>
      </c>
      <c r="I2278" s="50">
        <v>44286</v>
      </c>
      <c r="M2278" s="49" t="s">
        <v>9509</v>
      </c>
    </row>
    <row r="2279" spans="1:13" x14ac:dyDescent="0.35">
      <c r="A2279" s="49" t="s">
        <v>9510</v>
      </c>
      <c r="C2279" s="49" t="s">
        <v>5368</v>
      </c>
      <c r="D2279" s="49" t="s">
        <v>1264</v>
      </c>
      <c r="E2279" s="49" t="s">
        <v>2785</v>
      </c>
      <c r="F2279" s="49" t="s">
        <v>2792</v>
      </c>
      <c r="G2279" s="49" t="s">
        <v>2776</v>
      </c>
      <c r="H2279" s="49" t="s">
        <v>980</v>
      </c>
      <c r="I2279" s="50">
        <v>42787</v>
      </c>
      <c r="M2279" s="49" t="s">
        <v>9511</v>
      </c>
    </row>
    <row r="2280" spans="1:13" x14ac:dyDescent="0.35">
      <c r="A2280" s="49" t="s">
        <v>9512</v>
      </c>
      <c r="C2280" s="49" t="s">
        <v>9513</v>
      </c>
      <c r="D2280" s="49" t="s">
        <v>1264</v>
      </c>
      <c r="E2280" s="49" t="s">
        <v>2785</v>
      </c>
      <c r="F2280" s="49" t="s">
        <v>2786</v>
      </c>
      <c r="G2280" s="49" t="s">
        <v>2776</v>
      </c>
      <c r="H2280" s="49" t="s">
        <v>980</v>
      </c>
      <c r="I2280" s="50">
        <v>43605</v>
      </c>
      <c r="M2280" s="49" t="s">
        <v>9514</v>
      </c>
    </row>
    <row r="2281" spans="1:13" x14ac:dyDescent="0.35">
      <c r="A2281" s="49" t="s">
        <v>9515</v>
      </c>
      <c r="C2281" s="49" t="s">
        <v>7429</v>
      </c>
      <c r="D2281" s="49" t="s">
        <v>1264</v>
      </c>
      <c r="E2281" s="49" t="s">
        <v>2785</v>
      </c>
      <c r="F2281" s="49" t="s">
        <v>2786</v>
      </c>
      <c r="G2281" s="49" t="s">
        <v>2776</v>
      </c>
      <c r="H2281" s="49" t="s">
        <v>980</v>
      </c>
      <c r="I2281" s="50">
        <v>42836</v>
      </c>
      <c r="M2281" s="49" t="s">
        <v>9516</v>
      </c>
    </row>
    <row r="2282" spans="1:13" x14ac:dyDescent="0.35">
      <c r="A2282" s="49" t="s">
        <v>9517</v>
      </c>
      <c r="B2282" s="49" t="s">
        <v>5066</v>
      </c>
      <c r="C2282" s="49" t="s">
        <v>9518</v>
      </c>
      <c r="D2282" s="49" t="s">
        <v>1264</v>
      </c>
      <c r="E2282" s="49" t="s">
        <v>2785</v>
      </c>
      <c r="F2282" s="49" t="s">
        <v>2792</v>
      </c>
      <c r="G2282" s="49" t="s">
        <v>2776</v>
      </c>
      <c r="H2282" s="49" t="s">
        <v>8</v>
      </c>
      <c r="I2282" s="50">
        <v>44004</v>
      </c>
      <c r="M2282" s="49" t="s">
        <v>9519</v>
      </c>
    </row>
    <row r="2283" spans="1:13" x14ac:dyDescent="0.35">
      <c r="A2283" s="49" t="s">
        <v>9520</v>
      </c>
      <c r="B2283" s="49" t="s">
        <v>7241</v>
      </c>
      <c r="C2283" s="49" t="s">
        <v>9521</v>
      </c>
      <c r="D2283" s="49" t="s">
        <v>1264</v>
      </c>
      <c r="E2283" s="49" t="s">
        <v>2785</v>
      </c>
      <c r="F2283" s="49" t="s">
        <v>2792</v>
      </c>
      <c r="G2283" s="49" t="s">
        <v>2776</v>
      </c>
      <c r="H2283" s="49" t="s">
        <v>8</v>
      </c>
      <c r="I2283" s="50">
        <v>44004</v>
      </c>
      <c r="M2283" s="49" t="s">
        <v>9522</v>
      </c>
    </row>
    <row r="2284" spans="1:13" x14ac:dyDescent="0.35">
      <c r="A2284" s="49" t="s">
        <v>9523</v>
      </c>
      <c r="B2284" s="49" t="s">
        <v>2876</v>
      </c>
      <c r="C2284" s="49" t="s">
        <v>9524</v>
      </c>
      <c r="D2284" s="49" t="s">
        <v>1264</v>
      </c>
      <c r="E2284" s="49" t="s">
        <v>2785</v>
      </c>
      <c r="F2284" s="49" t="s">
        <v>2786</v>
      </c>
      <c r="G2284" s="49" t="s">
        <v>2776</v>
      </c>
      <c r="H2284" s="49" t="s">
        <v>8</v>
      </c>
      <c r="I2284" s="50">
        <v>44004</v>
      </c>
      <c r="M2284" s="49" t="s">
        <v>6679</v>
      </c>
    </row>
    <row r="2285" spans="1:13" x14ac:dyDescent="0.35">
      <c r="A2285" s="49" t="s">
        <v>9525</v>
      </c>
      <c r="B2285" s="49" t="s">
        <v>9526</v>
      </c>
      <c r="C2285" s="49" t="s">
        <v>9527</v>
      </c>
      <c r="D2285" s="49" t="s">
        <v>1264</v>
      </c>
      <c r="E2285" s="49" t="s">
        <v>2785</v>
      </c>
      <c r="F2285" s="49" t="s">
        <v>2786</v>
      </c>
      <c r="G2285" s="49" t="s">
        <v>2776</v>
      </c>
      <c r="H2285" s="49" t="s">
        <v>8</v>
      </c>
      <c r="I2285" s="50">
        <v>44004</v>
      </c>
      <c r="M2285" s="49" t="s">
        <v>9528</v>
      </c>
    </row>
    <row r="2286" spans="1:13" x14ac:dyDescent="0.35">
      <c r="A2286" s="49" t="s">
        <v>9529</v>
      </c>
      <c r="C2286" s="49" t="s">
        <v>3538</v>
      </c>
      <c r="D2286" s="49" t="s">
        <v>1264</v>
      </c>
      <c r="E2286" s="49" t="s">
        <v>2785</v>
      </c>
      <c r="F2286" s="49" t="s">
        <v>2786</v>
      </c>
      <c r="G2286" s="49" t="s">
        <v>2776</v>
      </c>
      <c r="H2286" s="49" t="s">
        <v>980</v>
      </c>
      <c r="I2286" s="50">
        <v>43194</v>
      </c>
      <c r="M2286" s="49" t="s">
        <v>9530</v>
      </c>
    </row>
    <row r="2287" spans="1:13" x14ac:dyDescent="0.35">
      <c r="A2287" s="49" t="s">
        <v>9531</v>
      </c>
      <c r="C2287" s="49" t="s">
        <v>4470</v>
      </c>
      <c r="D2287" s="49" t="s">
        <v>1264</v>
      </c>
      <c r="E2287" s="49" t="s">
        <v>2785</v>
      </c>
      <c r="F2287" s="49" t="s">
        <v>2792</v>
      </c>
      <c r="G2287" s="49" t="s">
        <v>2776</v>
      </c>
      <c r="H2287" s="49" t="s">
        <v>980</v>
      </c>
      <c r="I2287" s="50">
        <v>43273</v>
      </c>
      <c r="M2287" s="49" t="s">
        <v>9532</v>
      </c>
    </row>
    <row r="2288" spans="1:13" x14ac:dyDescent="0.35">
      <c r="A2288" s="49" t="s">
        <v>9533</v>
      </c>
      <c r="C2288" s="49" t="s">
        <v>9534</v>
      </c>
      <c r="D2288" s="49" t="s">
        <v>1264</v>
      </c>
      <c r="E2288" s="49" t="s">
        <v>2785</v>
      </c>
      <c r="F2288" s="49" t="s">
        <v>2837</v>
      </c>
      <c r="G2288" s="49" t="s">
        <v>2776</v>
      </c>
      <c r="H2288" s="49" t="s">
        <v>2827</v>
      </c>
      <c r="I2288" s="50">
        <v>43732</v>
      </c>
      <c r="M2288" s="49" t="s">
        <v>3270</v>
      </c>
    </row>
    <row r="2289" spans="1:13" x14ac:dyDescent="0.35">
      <c r="A2289" s="49" t="s">
        <v>9535</v>
      </c>
      <c r="B2289" s="49" t="s">
        <v>9536</v>
      </c>
      <c r="C2289" s="49" t="s">
        <v>9537</v>
      </c>
      <c r="D2289" s="49" t="s">
        <v>1264</v>
      </c>
      <c r="E2289" s="49" t="s">
        <v>2785</v>
      </c>
      <c r="F2289" s="49" t="s">
        <v>2792</v>
      </c>
      <c r="G2289" s="49" t="s">
        <v>2776</v>
      </c>
      <c r="H2289" s="49" t="s">
        <v>8</v>
      </c>
      <c r="I2289" s="50">
        <v>44098</v>
      </c>
      <c r="M2289" s="49" t="s">
        <v>9538</v>
      </c>
    </row>
    <row r="2290" spans="1:13" ht="29" x14ac:dyDescent="0.35">
      <c r="A2290" s="49" t="s">
        <v>9539</v>
      </c>
      <c r="B2290" s="51" t="s">
        <v>9540</v>
      </c>
      <c r="C2290" s="49" t="s">
        <v>3462</v>
      </c>
      <c r="D2290" s="49" t="s">
        <v>1264</v>
      </c>
      <c r="E2290" s="49" t="s">
        <v>2785</v>
      </c>
      <c r="F2290" s="49" t="s">
        <v>2792</v>
      </c>
      <c r="G2290" s="49" t="s">
        <v>2776</v>
      </c>
      <c r="H2290" s="49" t="s">
        <v>3207</v>
      </c>
      <c r="I2290" s="50">
        <v>44300</v>
      </c>
      <c r="M2290" s="49" t="s">
        <v>9541</v>
      </c>
    </row>
    <row r="2291" spans="1:13" x14ac:dyDescent="0.35">
      <c r="A2291" s="49" t="s">
        <v>9542</v>
      </c>
      <c r="B2291" s="49" t="s">
        <v>9543</v>
      </c>
      <c r="C2291" s="49" t="s">
        <v>3462</v>
      </c>
      <c r="D2291" s="49" t="s">
        <v>1264</v>
      </c>
      <c r="E2291" s="49" t="s">
        <v>2785</v>
      </c>
      <c r="F2291" s="49" t="s">
        <v>2792</v>
      </c>
      <c r="G2291" s="49" t="s">
        <v>2776</v>
      </c>
      <c r="H2291" s="49" t="s">
        <v>3207</v>
      </c>
      <c r="I2291" s="50">
        <v>44300</v>
      </c>
      <c r="M2291" s="49" t="s">
        <v>9544</v>
      </c>
    </row>
    <row r="2292" spans="1:13" x14ac:dyDescent="0.35">
      <c r="A2292" s="49" t="s">
        <v>9545</v>
      </c>
      <c r="C2292" s="49" t="s">
        <v>3660</v>
      </c>
      <c r="D2292" s="49" t="s">
        <v>1264</v>
      </c>
      <c r="E2292" s="49" t="s">
        <v>2785</v>
      </c>
      <c r="F2292" s="49" t="s">
        <v>2792</v>
      </c>
      <c r="G2292" s="49" t="s">
        <v>2776</v>
      </c>
      <c r="H2292" s="49" t="s">
        <v>2827</v>
      </c>
      <c r="I2292" s="50">
        <v>43671</v>
      </c>
      <c r="M2292" s="49" t="s">
        <v>9546</v>
      </c>
    </row>
    <row r="2293" spans="1:13" x14ac:dyDescent="0.35">
      <c r="A2293" s="49" t="s">
        <v>9547</v>
      </c>
      <c r="B2293" s="49" t="s">
        <v>9548</v>
      </c>
      <c r="C2293" s="49" t="s">
        <v>9549</v>
      </c>
      <c r="D2293" s="49" t="s">
        <v>1264</v>
      </c>
      <c r="E2293" s="49" t="s">
        <v>2785</v>
      </c>
      <c r="F2293" s="49" t="s">
        <v>2792</v>
      </c>
      <c r="G2293" s="49" t="s">
        <v>2776</v>
      </c>
      <c r="H2293" s="49" t="s">
        <v>980</v>
      </c>
      <c r="I2293" s="50">
        <v>43887</v>
      </c>
      <c r="M2293" s="49" t="s">
        <v>9550</v>
      </c>
    </row>
    <row r="2294" spans="1:13" x14ac:dyDescent="0.35">
      <c r="A2294" s="49" t="s">
        <v>9551</v>
      </c>
      <c r="B2294" s="49" t="s">
        <v>9552</v>
      </c>
      <c r="C2294" s="49" t="s">
        <v>8570</v>
      </c>
      <c r="D2294" s="49" t="s">
        <v>1264</v>
      </c>
      <c r="E2294" s="49" t="s">
        <v>2785</v>
      </c>
      <c r="F2294" s="49" t="s">
        <v>2786</v>
      </c>
      <c r="G2294" s="49" t="s">
        <v>2776</v>
      </c>
      <c r="H2294" s="49" t="s">
        <v>8</v>
      </c>
      <c r="I2294" s="50">
        <v>42795</v>
      </c>
      <c r="M2294" s="49" t="s">
        <v>7438</v>
      </c>
    </row>
    <row r="2295" spans="1:13" x14ac:dyDescent="0.35">
      <c r="A2295" s="49" t="s">
        <v>9553</v>
      </c>
      <c r="B2295" s="49" t="s">
        <v>5503</v>
      </c>
      <c r="C2295" s="49" t="s">
        <v>9431</v>
      </c>
      <c r="D2295" s="49" t="s">
        <v>1264</v>
      </c>
      <c r="E2295" s="49" t="s">
        <v>2785</v>
      </c>
      <c r="F2295" s="49" t="s">
        <v>2786</v>
      </c>
      <c r="G2295" s="49" t="s">
        <v>2776</v>
      </c>
      <c r="H2295" s="49" t="s">
        <v>8</v>
      </c>
      <c r="I2295" s="50">
        <v>43258</v>
      </c>
      <c r="M2295" s="49" t="s">
        <v>9554</v>
      </c>
    </row>
    <row r="2296" spans="1:13" x14ac:dyDescent="0.35">
      <c r="A2296" s="49" t="s">
        <v>9555</v>
      </c>
      <c r="C2296" s="49" t="s">
        <v>9431</v>
      </c>
      <c r="D2296" s="49" t="s">
        <v>1264</v>
      </c>
      <c r="E2296" s="49" t="s">
        <v>2785</v>
      </c>
      <c r="F2296" s="49" t="s">
        <v>2786</v>
      </c>
      <c r="G2296" s="49" t="s">
        <v>2776</v>
      </c>
      <c r="H2296" s="49" t="s">
        <v>980</v>
      </c>
      <c r="I2296" s="50">
        <v>43672</v>
      </c>
      <c r="M2296" s="49" t="s">
        <v>9556</v>
      </c>
    </row>
    <row r="2297" spans="1:13" x14ac:dyDescent="0.35">
      <c r="A2297" s="49" t="s">
        <v>9557</v>
      </c>
      <c r="C2297" s="49" t="s">
        <v>9327</v>
      </c>
      <c r="D2297" s="49" t="s">
        <v>1264</v>
      </c>
      <c r="E2297" s="49" t="s">
        <v>2785</v>
      </c>
      <c r="F2297" s="49" t="s">
        <v>2792</v>
      </c>
      <c r="G2297" s="49" t="s">
        <v>2776</v>
      </c>
      <c r="H2297" s="49" t="s">
        <v>8</v>
      </c>
      <c r="I2297" s="50">
        <v>43354</v>
      </c>
      <c r="M2297" s="49" t="s">
        <v>9558</v>
      </c>
    </row>
    <row r="2298" spans="1:13" x14ac:dyDescent="0.35">
      <c r="A2298" s="49" t="s">
        <v>9559</v>
      </c>
      <c r="C2298" s="49" t="s">
        <v>9560</v>
      </c>
      <c r="D2298" s="49" t="s">
        <v>1264</v>
      </c>
      <c r="E2298" s="49" t="s">
        <v>2785</v>
      </c>
      <c r="F2298" s="49" t="s">
        <v>2786</v>
      </c>
      <c r="G2298" s="49" t="s">
        <v>2776</v>
      </c>
      <c r="H2298" s="49" t="s">
        <v>980</v>
      </c>
      <c r="I2298" s="50">
        <v>44201</v>
      </c>
      <c r="M2298" s="49" t="s">
        <v>9561</v>
      </c>
    </row>
    <row r="2299" spans="1:13" x14ac:dyDescent="0.35">
      <c r="A2299" s="49" t="s">
        <v>9562</v>
      </c>
      <c r="C2299" s="49" t="s">
        <v>4272</v>
      </c>
      <c r="D2299" s="49" t="s">
        <v>1264</v>
      </c>
      <c r="E2299" s="49" t="s">
        <v>2785</v>
      </c>
      <c r="F2299" s="49" t="s">
        <v>4048</v>
      </c>
      <c r="G2299" s="49" t="s">
        <v>2776</v>
      </c>
      <c r="H2299" s="49" t="s">
        <v>2827</v>
      </c>
      <c r="I2299" s="50">
        <v>43825</v>
      </c>
      <c r="M2299" s="49" t="s">
        <v>9563</v>
      </c>
    </row>
    <row r="2300" spans="1:13" x14ac:dyDescent="0.35">
      <c r="A2300" s="49" t="s">
        <v>9564</v>
      </c>
      <c r="C2300" s="49" t="s">
        <v>4463</v>
      </c>
      <c r="D2300" s="49" t="s">
        <v>1264</v>
      </c>
      <c r="E2300" s="49" t="s">
        <v>2785</v>
      </c>
      <c r="F2300" s="49" t="s">
        <v>2792</v>
      </c>
      <c r="G2300" s="49" t="s">
        <v>2776</v>
      </c>
      <c r="H2300" s="49" t="s">
        <v>980</v>
      </c>
      <c r="I2300" s="50">
        <v>43825</v>
      </c>
      <c r="M2300" s="49" t="s">
        <v>4437</v>
      </c>
    </row>
    <row r="2301" spans="1:13" x14ac:dyDescent="0.35">
      <c r="A2301" s="49" t="s">
        <v>9565</v>
      </c>
      <c r="C2301" s="49" t="s">
        <v>7595</v>
      </c>
      <c r="D2301" s="49" t="s">
        <v>1264</v>
      </c>
      <c r="E2301" s="49" t="s">
        <v>2785</v>
      </c>
      <c r="F2301" s="49" t="s">
        <v>2786</v>
      </c>
      <c r="G2301" s="49" t="s">
        <v>2776</v>
      </c>
      <c r="H2301" s="49" t="s">
        <v>8</v>
      </c>
      <c r="I2301" s="50">
        <v>43155</v>
      </c>
      <c r="M2301" s="49" t="s">
        <v>9566</v>
      </c>
    </row>
    <row r="2302" spans="1:13" x14ac:dyDescent="0.35">
      <c r="A2302" s="49" t="s">
        <v>9567</v>
      </c>
      <c r="C2302" s="49" t="s">
        <v>9568</v>
      </c>
      <c r="D2302" s="49" t="s">
        <v>1264</v>
      </c>
      <c r="E2302" s="49" t="s">
        <v>2785</v>
      </c>
      <c r="F2302" s="49" t="s">
        <v>2786</v>
      </c>
      <c r="G2302" s="49" t="s">
        <v>2776</v>
      </c>
      <c r="H2302" s="49" t="s">
        <v>980</v>
      </c>
      <c r="I2302" s="50">
        <v>43157</v>
      </c>
      <c r="M2302" s="49" t="s">
        <v>7883</v>
      </c>
    </row>
    <row r="2303" spans="1:13" x14ac:dyDescent="0.35">
      <c r="A2303" s="49" t="s">
        <v>9569</v>
      </c>
      <c r="C2303" s="49" t="s">
        <v>9570</v>
      </c>
      <c r="D2303" s="49" t="s">
        <v>1264</v>
      </c>
      <c r="E2303" s="49" t="s">
        <v>2785</v>
      </c>
      <c r="F2303" s="49" t="s">
        <v>2786</v>
      </c>
      <c r="G2303" s="49" t="s">
        <v>2776</v>
      </c>
      <c r="H2303" s="49" t="s">
        <v>980</v>
      </c>
      <c r="I2303" s="50">
        <v>43346</v>
      </c>
      <c r="M2303" s="49" t="s">
        <v>9571</v>
      </c>
    </row>
    <row r="2304" spans="1:13" x14ac:dyDescent="0.35">
      <c r="A2304" s="49" t="s">
        <v>9572</v>
      </c>
      <c r="B2304" s="49" t="s">
        <v>9473</v>
      </c>
      <c r="C2304" s="49" t="s">
        <v>5896</v>
      </c>
      <c r="D2304" s="49" t="s">
        <v>1264</v>
      </c>
      <c r="E2304" s="49" t="s">
        <v>2785</v>
      </c>
      <c r="F2304" s="49" t="s">
        <v>2792</v>
      </c>
      <c r="G2304" s="49" t="s">
        <v>2776</v>
      </c>
      <c r="H2304" s="49" t="s">
        <v>980</v>
      </c>
      <c r="I2304" s="50">
        <v>44131</v>
      </c>
      <c r="M2304" s="49" t="s">
        <v>6961</v>
      </c>
    </row>
    <row r="2305" spans="1:13" x14ac:dyDescent="0.35">
      <c r="A2305" s="49" t="s">
        <v>9573</v>
      </c>
      <c r="C2305" s="49" t="s">
        <v>9322</v>
      </c>
      <c r="D2305" s="49" t="s">
        <v>1264</v>
      </c>
      <c r="E2305" s="49" t="s">
        <v>2785</v>
      </c>
      <c r="F2305" s="49" t="s">
        <v>4048</v>
      </c>
      <c r="G2305" s="49" t="s">
        <v>2776</v>
      </c>
      <c r="H2305" s="49" t="s">
        <v>2827</v>
      </c>
      <c r="I2305" s="50">
        <v>43826</v>
      </c>
      <c r="M2305" s="49" t="s">
        <v>9574</v>
      </c>
    </row>
    <row r="2306" spans="1:13" x14ac:dyDescent="0.35">
      <c r="A2306" s="49" t="s">
        <v>9575</v>
      </c>
      <c r="B2306" s="49" t="s">
        <v>3615</v>
      </c>
      <c r="C2306" s="49" t="s">
        <v>8570</v>
      </c>
      <c r="D2306" s="49" t="s">
        <v>1264</v>
      </c>
      <c r="E2306" s="49" t="s">
        <v>2785</v>
      </c>
      <c r="F2306" s="49" t="s">
        <v>2786</v>
      </c>
      <c r="G2306" s="49" t="s">
        <v>2776</v>
      </c>
      <c r="H2306" s="49" t="s">
        <v>980</v>
      </c>
      <c r="I2306" s="50">
        <v>42879</v>
      </c>
      <c r="M2306" s="49" t="s">
        <v>9576</v>
      </c>
    </row>
    <row r="2307" spans="1:13" x14ac:dyDescent="0.35">
      <c r="A2307" s="49" t="s">
        <v>9577</v>
      </c>
      <c r="C2307" s="49" t="s">
        <v>7595</v>
      </c>
      <c r="D2307" s="49" t="s">
        <v>1264</v>
      </c>
      <c r="E2307" s="49" t="s">
        <v>2785</v>
      </c>
      <c r="F2307" s="49" t="s">
        <v>2786</v>
      </c>
      <c r="G2307" s="49" t="s">
        <v>2776</v>
      </c>
      <c r="H2307" s="49" t="s">
        <v>980</v>
      </c>
      <c r="I2307" s="50">
        <v>43270</v>
      </c>
      <c r="M2307" s="49" t="s">
        <v>9578</v>
      </c>
    </row>
    <row r="2308" spans="1:13" x14ac:dyDescent="0.35">
      <c r="A2308" s="49" t="s">
        <v>9579</v>
      </c>
      <c r="B2308" s="49" t="s">
        <v>9580</v>
      </c>
      <c r="C2308" s="49" t="s">
        <v>4015</v>
      </c>
      <c r="D2308" s="49" t="s">
        <v>1264</v>
      </c>
      <c r="E2308" s="49" t="s">
        <v>2785</v>
      </c>
      <c r="F2308" s="49" t="s">
        <v>2792</v>
      </c>
      <c r="G2308" s="49" t="s">
        <v>2776</v>
      </c>
      <c r="H2308" s="49" t="s">
        <v>8</v>
      </c>
      <c r="I2308" s="50">
        <v>43614</v>
      </c>
      <c r="M2308" s="49" t="s">
        <v>9581</v>
      </c>
    </row>
    <row r="2309" spans="1:13" x14ac:dyDescent="0.35">
      <c r="A2309" s="49" t="s">
        <v>9582</v>
      </c>
      <c r="C2309" s="49" t="s">
        <v>4470</v>
      </c>
      <c r="D2309" s="49" t="s">
        <v>1264</v>
      </c>
      <c r="E2309" s="49" t="s">
        <v>2785</v>
      </c>
      <c r="F2309" s="49" t="s">
        <v>2792</v>
      </c>
      <c r="G2309" s="49" t="s">
        <v>2776</v>
      </c>
      <c r="H2309" s="49" t="s">
        <v>8</v>
      </c>
      <c r="I2309" s="50">
        <v>43297</v>
      </c>
      <c r="M2309" s="49" t="s">
        <v>8797</v>
      </c>
    </row>
    <row r="2310" spans="1:13" x14ac:dyDescent="0.35">
      <c r="A2310" s="49" t="s">
        <v>9583</v>
      </c>
      <c r="C2310" s="49" t="s">
        <v>9584</v>
      </c>
      <c r="D2310" s="49" t="s">
        <v>1264</v>
      </c>
      <c r="E2310" s="49" t="s">
        <v>2785</v>
      </c>
      <c r="F2310" s="49" t="s">
        <v>2792</v>
      </c>
      <c r="G2310" s="49" t="s">
        <v>2776</v>
      </c>
      <c r="H2310" s="49" t="s">
        <v>980</v>
      </c>
      <c r="I2310" s="50">
        <v>43181</v>
      </c>
      <c r="M2310" s="49" t="s">
        <v>9585</v>
      </c>
    </row>
    <row r="2311" spans="1:13" x14ac:dyDescent="0.35">
      <c r="A2311" s="49" t="s">
        <v>9586</v>
      </c>
      <c r="C2311" s="49" t="s">
        <v>9587</v>
      </c>
      <c r="D2311" s="49" t="s">
        <v>1264</v>
      </c>
      <c r="E2311" s="49" t="s">
        <v>2785</v>
      </c>
      <c r="F2311" s="49" t="s">
        <v>2792</v>
      </c>
      <c r="G2311" s="49" t="s">
        <v>2776</v>
      </c>
      <c r="H2311" s="49" t="s">
        <v>8</v>
      </c>
      <c r="I2311" s="50">
        <v>44295</v>
      </c>
      <c r="M2311" s="49" t="s">
        <v>9588</v>
      </c>
    </row>
    <row r="2312" spans="1:13" x14ac:dyDescent="0.35">
      <c r="A2312" s="49" t="s">
        <v>9589</v>
      </c>
      <c r="C2312" s="49" t="s">
        <v>4015</v>
      </c>
      <c r="D2312" s="49" t="s">
        <v>1264</v>
      </c>
      <c r="E2312" s="49" t="s">
        <v>2785</v>
      </c>
      <c r="F2312" s="49" t="s">
        <v>2792</v>
      </c>
      <c r="G2312" s="49" t="s">
        <v>2776</v>
      </c>
      <c r="H2312" s="49" t="s">
        <v>980</v>
      </c>
      <c r="I2312" s="50">
        <v>43571</v>
      </c>
      <c r="M2312" s="49" t="s">
        <v>9590</v>
      </c>
    </row>
    <row r="2313" spans="1:13" x14ac:dyDescent="0.35">
      <c r="A2313" s="49" t="s">
        <v>9591</v>
      </c>
      <c r="C2313" s="49" t="s">
        <v>4161</v>
      </c>
      <c r="D2313" s="49" t="s">
        <v>1264</v>
      </c>
      <c r="E2313" s="49" t="s">
        <v>2785</v>
      </c>
      <c r="F2313" s="49" t="s">
        <v>2792</v>
      </c>
      <c r="G2313" s="49" t="s">
        <v>2776</v>
      </c>
      <c r="H2313" s="49" t="s">
        <v>2827</v>
      </c>
      <c r="I2313" s="50">
        <v>43245</v>
      </c>
      <c r="M2313" s="49" t="s">
        <v>3444</v>
      </c>
    </row>
    <row r="2314" spans="1:13" x14ac:dyDescent="0.35">
      <c r="A2314" s="49" t="s">
        <v>9592</v>
      </c>
      <c r="C2314" s="49" t="s">
        <v>7595</v>
      </c>
      <c r="D2314" s="49" t="s">
        <v>1264</v>
      </c>
      <c r="E2314" s="49" t="s">
        <v>2785</v>
      </c>
      <c r="F2314" s="49" t="s">
        <v>2792</v>
      </c>
      <c r="G2314" s="49" t="s">
        <v>2776</v>
      </c>
      <c r="H2314" s="49" t="s">
        <v>8</v>
      </c>
      <c r="I2314" s="50">
        <v>43237</v>
      </c>
      <c r="M2314" s="49" t="s">
        <v>9593</v>
      </c>
    </row>
    <row r="2315" spans="1:13" x14ac:dyDescent="0.35">
      <c r="A2315" s="49" t="s">
        <v>9594</v>
      </c>
      <c r="C2315" s="49" t="s">
        <v>9595</v>
      </c>
      <c r="D2315" s="49" t="s">
        <v>1264</v>
      </c>
      <c r="E2315" s="49" t="s">
        <v>2785</v>
      </c>
      <c r="F2315" s="49" t="s">
        <v>2786</v>
      </c>
      <c r="G2315" s="49" t="s">
        <v>2776</v>
      </c>
      <c r="H2315" s="49" t="s">
        <v>980</v>
      </c>
      <c r="I2315" s="50">
        <v>42899</v>
      </c>
      <c r="M2315" s="49" t="s">
        <v>3486</v>
      </c>
    </row>
    <row r="2316" spans="1:13" x14ac:dyDescent="0.35">
      <c r="A2316" s="49" t="s">
        <v>9596</v>
      </c>
      <c r="C2316" s="49" t="s">
        <v>9597</v>
      </c>
      <c r="D2316" s="49" t="s">
        <v>1264</v>
      </c>
      <c r="E2316" s="49" t="s">
        <v>2785</v>
      </c>
      <c r="F2316" s="49" t="s">
        <v>2792</v>
      </c>
      <c r="G2316" s="49" t="s">
        <v>2776</v>
      </c>
      <c r="H2316" s="49" t="s">
        <v>2827</v>
      </c>
      <c r="I2316" s="50">
        <v>43767</v>
      </c>
      <c r="M2316" s="49" t="s">
        <v>3859</v>
      </c>
    </row>
    <row r="2317" spans="1:13" x14ac:dyDescent="0.35">
      <c r="A2317" s="49" t="s">
        <v>9598</v>
      </c>
      <c r="C2317" s="49" t="s">
        <v>3686</v>
      </c>
      <c r="D2317" s="49" t="s">
        <v>1264</v>
      </c>
      <c r="E2317" s="49" t="s">
        <v>2785</v>
      </c>
      <c r="F2317" s="49" t="s">
        <v>2792</v>
      </c>
      <c r="G2317" s="49" t="s">
        <v>2776</v>
      </c>
      <c r="H2317" s="49" t="s">
        <v>980</v>
      </c>
      <c r="I2317" s="50">
        <v>43004</v>
      </c>
      <c r="M2317" s="49" t="s">
        <v>9599</v>
      </c>
    </row>
    <row r="2318" spans="1:13" x14ac:dyDescent="0.35">
      <c r="A2318" s="49" t="s">
        <v>9600</v>
      </c>
      <c r="C2318" s="49" t="s">
        <v>9504</v>
      </c>
      <c r="D2318" s="49" t="s">
        <v>1264</v>
      </c>
      <c r="E2318" s="49" t="s">
        <v>2785</v>
      </c>
      <c r="F2318" s="49" t="s">
        <v>2792</v>
      </c>
      <c r="G2318" s="49" t="s">
        <v>2776</v>
      </c>
      <c r="H2318" s="49" t="s">
        <v>8</v>
      </c>
      <c r="I2318" s="50">
        <v>43409</v>
      </c>
      <c r="M2318" s="49" t="s">
        <v>9601</v>
      </c>
    </row>
    <row r="2319" spans="1:13" x14ac:dyDescent="0.35">
      <c r="A2319" s="49" t="s">
        <v>9602</v>
      </c>
      <c r="C2319" s="49" t="s">
        <v>7043</v>
      </c>
      <c r="D2319" s="49" t="s">
        <v>1264</v>
      </c>
      <c r="E2319" s="49" t="s">
        <v>2785</v>
      </c>
      <c r="F2319" s="49" t="s">
        <v>2792</v>
      </c>
      <c r="G2319" s="49" t="s">
        <v>2776</v>
      </c>
      <c r="H2319" s="49" t="s">
        <v>8</v>
      </c>
      <c r="I2319" s="50">
        <v>43305</v>
      </c>
      <c r="M2319" s="49" t="s">
        <v>9603</v>
      </c>
    </row>
    <row r="2320" spans="1:13" x14ac:dyDescent="0.35">
      <c r="A2320" s="49" t="s">
        <v>9604</v>
      </c>
      <c r="C2320" s="49" t="s">
        <v>3660</v>
      </c>
      <c r="D2320" s="49" t="s">
        <v>1264</v>
      </c>
      <c r="E2320" s="49" t="s">
        <v>2785</v>
      </c>
      <c r="F2320" s="49" t="s">
        <v>2792</v>
      </c>
      <c r="G2320" s="49" t="s">
        <v>2776</v>
      </c>
      <c r="H2320" s="49" t="s">
        <v>8</v>
      </c>
      <c r="I2320" s="50">
        <v>43104</v>
      </c>
      <c r="M2320" s="49" t="s">
        <v>9605</v>
      </c>
    </row>
    <row r="2321" spans="1:13" x14ac:dyDescent="0.35">
      <c r="A2321" s="49" t="s">
        <v>9606</v>
      </c>
      <c r="C2321" s="49" t="s">
        <v>7219</v>
      </c>
      <c r="D2321" s="49" t="s">
        <v>1264</v>
      </c>
      <c r="E2321" s="49" t="s">
        <v>2785</v>
      </c>
      <c r="F2321" s="49" t="s">
        <v>2792</v>
      </c>
      <c r="G2321" s="49" t="s">
        <v>2776</v>
      </c>
      <c r="H2321" s="49" t="s">
        <v>8</v>
      </c>
      <c r="I2321" s="50">
        <v>43237</v>
      </c>
      <c r="M2321" s="49" t="s">
        <v>9607</v>
      </c>
    </row>
    <row r="2322" spans="1:13" x14ac:dyDescent="0.35">
      <c r="A2322" s="49" t="s">
        <v>9608</v>
      </c>
      <c r="C2322" s="49" t="s">
        <v>3837</v>
      </c>
      <c r="D2322" s="49" t="s">
        <v>1264</v>
      </c>
      <c r="E2322" s="49" t="s">
        <v>2785</v>
      </c>
      <c r="F2322" s="49" t="s">
        <v>2792</v>
      </c>
      <c r="G2322" s="49" t="s">
        <v>2776</v>
      </c>
      <c r="H2322" s="49" t="s">
        <v>980</v>
      </c>
      <c r="I2322" s="50">
        <v>43754</v>
      </c>
      <c r="M2322" s="49" t="s">
        <v>9609</v>
      </c>
    </row>
    <row r="2323" spans="1:13" x14ac:dyDescent="0.35">
      <c r="A2323" s="49" t="s">
        <v>9610</v>
      </c>
      <c r="C2323" s="49" t="s">
        <v>9611</v>
      </c>
      <c r="D2323" s="49" t="s">
        <v>1264</v>
      </c>
      <c r="E2323" s="49" t="s">
        <v>2908</v>
      </c>
      <c r="F2323" s="49" t="s">
        <v>2775</v>
      </c>
      <c r="G2323" s="49" t="s">
        <v>2776</v>
      </c>
      <c r="H2323" s="49" t="s">
        <v>980</v>
      </c>
      <c r="I2323" s="50">
        <v>42384</v>
      </c>
      <c r="M2323" s="49" t="s">
        <v>3470</v>
      </c>
    </row>
    <row r="2324" spans="1:13" x14ac:dyDescent="0.35">
      <c r="A2324" s="49" t="s">
        <v>9612</v>
      </c>
      <c r="C2324" s="49" t="s">
        <v>9613</v>
      </c>
      <c r="D2324" s="49" t="s">
        <v>1264</v>
      </c>
      <c r="E2324" s="49" t="s">
        <v>3443</v>
      </c>
      <c r="F2324" s="49" t="s">
        <v>3124</v>
      </c>
      <c r="G2324" s="49" t="s">
        <v>2776</v>
      </c>
      <c r="H2324" s="49" t="s">
        <v>980</v>
      </c>
      <c r="I2324" s="50">
        <v>42605</v>
      </c>
      <c r="M2324" s="49" t="s">
        <v>3613</v>
      </c>
    </row>
    <row r="2325" spans="1:13" x14ac:dyDescent="0.35">
      <c r="A2325" s="49" t="s">
        <v>9614</v>
      </c>
      <c r="B2325" s="49" t="s">
        <v>3784</v>
      </c>
      <c r="C2325" s="49" t="s">
        <v>9615</v>
      </c>
      <c r="D2325" s="49" t="s">
        <v>1264</v>
      </c>
      <c r="E2325" s="49" t="s">
        <v>2908</v>
      </c>
      <c r="F2325" s="49" t="s">
        <v>2837</v>
      </c>
      <c r="G2325" s="49" t="s">
        <v>2776</v>
      </c>
      <c r="H2325" s="49" t="s">
        <v>2827</v>
      </c>
      <c r="I2325" s="50">
        <v>42474</v>
      </c>
      <c r="M2325" s="49" t="s">
        <v>3728</v>
      </c>
    </row>
    <row r="2326" spans="1:13" x14ac:dyDescent="0.35">
      <c r="A2326" s="49" t="s">
        <v>9616</v>
      </c>
      <c r="B2326" s="49" t="s">
        <v>2942</v>
      </c>
      <c r="C2326" s="49" t="s">
        <v>9617</v>
      </c>
      <c r="D2326" s="49" t="s">
        <v>1264</v>
      </c>
      <c r="E2326" s="49" t="s">
        <v>2908</v>
      </c>
      <c r="F2326" s="49" t="s">
        <v>2939</v>
      </c>
      <c r="G2326" s="49" t="s">
        <v>2776</v>
      </c>
      <c r="H2326" s="49" t="s">
        <v>980</v>
      </c>
      <c r="I2326" s="50">
        <v>42144</v>
      </c>
      <c r="M2326" s="49" t="s">
        <v>3871</v>
      </c>
    </row>
    <row r="2327" spans="1:13" x14ac:dyDescent="0.35">
      <c r="A2327" s="49" t="s">
        <v>9618</v>
      </c>
      <c r="B2327" s="49" t="s">
        <v>5940</v>
      </c>
      <c r="C2327" s="49" t="s">
        <v>7990</v>
      </c>
      <c r="D2327" s="49" t="s">
        <v>1264</v>
      </c>
      <c r="E2327" s="49" t="s">
        <v>2908</v>
      </c>
      <c r="F2327" s="49" t="s">
        <v>2939</v>
      </c>
      <c r="G2327" s="49" t="s">
        <v>2776</v>
      </c>
      <c r="H2327" s="49" t="s">
        <v>980</v>
      </c>
      <c r="I2327" s="50">
        <v>42341</v>
      </c>
      <c r="M2327" s="49" t="s">
        <v>9619</v>
      </c>
    </row>
    <row r="2328" spans="1:13" x14ac:dyDescent="0.35">
      <c r="A2328" s="49" t="s">
        <v>9620</v>
      </c>
      <c r="C2328" s="49" t="s">
        <v>9621</v>
      </c>
      <c r="D2328" s="49" t="s">
        <v>1264</v>
      </c>
      <c r="E2328" s="49" t="s">
        <v>2908</v>
      </c>
      <c r="F2328" s="49" t="s">
        <v>2939</v>
      </c>
      <c r="G2328" s="49" t="s">
        <v>2776</v>
      </c>
      <c r="H2328" s="49" t="s">
        <v>980</v>
      </c>
      <c r="I2328" s="50">
        <v>42166</v>
      </c>
      <c r="M2328" s="49" t="s">
        <v>3470</v>
      </c>
    </row>
    <row r="2329" spans="1:13" x14ac:dyDescent="0.35">
      <c r="A2329" s="49" t="s">
        <v>9622</v>
      </c>
      <c r="C2329" s="49" t="s">
        <v>9623</v>
      </c>
      <c r="D2329" s="49" t="s">
        <v>1264</v>
      </c>
      <c r="E2329" s="49" t="s">
        <v>3443</v>
      </c>
      <c r="F2329" s="49" t="s">
        <v>3124</v>
      </c>
      <c r="G2329" s="49" t="s">
        <v>2776</v>
      </c>
      <c r="H2329" s="49" t="s">
        <v>980</v>
      </c>
      <c r="I2329" s="50">
        <v>42305</v>
      </c>
      <c r="M2329" s="49" t="s">
        <v>9624</v>
      </c>
    </row>
    <row r="2330" spans="1:13" x14ac:dyDescent="0.35">
      <c r="A2330" s="49" t="s">
        <v>9625</v>
      </c>
      <c r="C2330" s="49" t="s">
        <v>9626</v>
      </c>
      <c r="D2330" s="49" t="s">
        <v>1264</v>
      </c>
      <c r="E2330" s="49" t="s">
        <v>2908</v>
      </c>
      <c r="F2330" s="49" t="s">
        <v>2939</v>
      </c>
      <c r="G2330" s="49" t="s">
        <v>2776</v>
      </c>
      <c r="H2330" s="49" t="s">
        <v>8</v>
      </c>
      <c r="I2330" s="50">
        <v>42202</v>
      </c>
      <c r="M2330" s="49" t="s">
        <v>9627</v>
      </c>
    </row>
    <row r="2331" spans="1:13" x14ac:dyDescent="0.35">
      <c r="A2331" s="49" t="s">
        <v>9628</v>
      </c>
      <c r="C2331" s="49" t="s">
        <v>9629</v>
      </c>
      <c r="D2331" s="49" t="s">
        <v>1264</v>
      </c>
      <c r="E2331" s="49" t="s">
        <v>2908</v>
      </c>
      <c r="F2331" s="49" t="s">
        <v>2939</v>
      </c>
      <c r="G2331" s="49" t="s">
        <v>2776</v>
      </c>
      <c r="H2331" s="49" t="s">
        <v>980</v>
      </c>
      <c r="I2331" s="50">
        <v>42460</v>
      </c>
      <c r="M2331" s="49" t="s">
        <v>9630</v>
      </c>
    </row>
    <row r="2332" spans="1:13" x14ac:dyDescent="0.35">
      <c r="A2332" s="49" t="s">
        <v>9631</v>
      </c>
      <c r="C2332" s="49" t="s">
        <v>9632</v>
      </c>
      <c r="D2332" s="49" t="s">
        <v>1264</v>
      </c>
      <c r="E2332" s="49" t="s">
        <v>2908</v>
      </c>
      <c r="F2332" s="49" t="s">
        <v>9633</v>
      </c>
      <c r="G2332" s="49" t="s">
        <v>2776</v>
      </c>
      <c r="H2332" s="49" t="s">
        <v>2827</v>
      </c>
      <c r="I2332" s="50">
        <v>42316</v>
      </c>
      <c r="M2332" s="49" t="s">
        <v>3470</v>
      </c>
    </row>
    <row r="2333" spans="1:13" x14ac:dyDescent="0.35">
      <c r="A2333" s="49" t="s">
        <v>9634</v>
      </c>
      <c r="B2333" s="49" t="s">
        <v>3420</v>
      </c>
      <c r="C2333" s="49" t="s">
        <v>9635</v>
      </c>
      <c r="D2333" s="49" t="s">
        <v>1264</v>
      </c>
      <c r="E2333" s="49" t="s">
        <v>2908</v>
      </c>
      <c r="F2333" s="49" t="s">
        <v>2939</v>
      </c>
      <c r="G2333" s="49" t="s">
        <v>2776</v>
      </c>
      <c r="H2333" s="49" t="s">
        <v>980</v>
      </c>
      <c r="I2333" s="50">
        <v>42148</v>
      </c>
      <c r="M2333" s="49" t="s">
        <v>3826</v>
      </c>
    </row>
    <row r="2334" spans="1:13" x14ac:dyDescent="0.35">
      <c r="A2334" s="49" t="s">
        <v>9636</v>
      </c>
      <c r="C2334" s="49" t="s">
        <v>9637</v>
      </c>
      <c r="D2334" s="49" t="s">
        <v>1264</v>
      </c>
      <c r="E2334" s="49" t="s">
        <v>2908</v>
      </c>
      <c r="F2334" s="49" t="s">
        <v>2939</v>
      </c>
      <c r="G2334" s="49" t="s">
        <v>2776</v>
      </c>
      <c r="H2334" s="49" t="s">
        <v>8</v>
      </c>
      <c r="I2334" s="50">
        <v>42209</v>
      </c>
      <c r="M2334" s="49" t="s">
        <v>3470</v>
      </c>
    </row>
    <row r="2335" spans="1:13" x14ac:dyDescent="0.35">
      <c r="A2335" s="49" t="s">
        <v>9638</v>
      </c>
      <c r="C2335" s="49" t="s">
        <v>9639</v>
      </c>
      <c r="D2335" s="49" t="s">
        <v>1264</v>
      </c>
      <c r="E2335" s="49" t="s">
        <v>3443</v>
      </c>
      <c r="F2335" s="49" t="s">
        <v>3124</v>
      </c>
      <c r="G2335" s="49" t="s">
        <v>2776</v>
      </c>
      <c r="H2335" s="49" t="s">
        <v>980</v>
      </c>
      <c r="I2335" s="50">
        <v>42318</v>
      </c>
      <c r="M2335" s="49" t="s">
        <v>3470</v>
      </c>
    </row>
    <row r="2336" spans="1:13" x14ac:dyDescent="0.35">
      <c r="A2336" s="49" t="s">
        <v>9640</v>
      </c>
      <c r="C2336" s="49" t="s">
        <v>9641</v>
      </c>
      <c r="D2336" s="49" t="s">
        <v>1264</v>
      </c>
      <c r="E2336" s="49" t="s">
        <v>2908</v>
      </c>
      <c r="F2336" s="49" t="s">
        <v>2939</v>
      </c>
      <c r="G2336" s="49" t="s">
        <v>2776</v>
      </c>
      <c r="H2336" s="49" t="s">
        <v>980</v>
      </c>
      <c r="I2336" s="50">
        <v>42717</v>
      </c>
      <c r="M2336" s="49" t="s">
        <v>9642</v>
      </c>
    </row>
    <row r="2337" spans="1:13" x14ac:dyDescent="0.35">
      <c r="A2337" s="49" t="s">
        <v>9643</v>
      </c>
      <c r="C2337" s="49" t="s">
        <v>9626</v>
      </c>
      <c r="D2337" s="49" t="s">
        <v>1264</v>
      </c>
      <c r="E2337" s="49" t="s">
        <v>2908</v>
      </c>
      <c r="F2337" s="49" t="s">
        <v>2939</v>
      </c>
      <c r="G2337" s="49" t="s">
        <v>2776</v>
      </c>
      <c r="H2337" s="49" t="s">
        <v>980</v>
      </c>
      <c r="I2337" s="50">
        <v>42457</v>
      </c>
      <c r="M2337" s="49" t="s">
        <v>9644</v>
      </c>
    </row>
    <row r="2338" spans="1:13" x14ac:dyDescent="0.35">
      <c r="A2338" s="49" t="s">
        <v>9645</v>
      </c>
      <c r="B2338" s="49" t="s">
        <v>3420</v>
      </c>
      <c r="C2338" s="49" t="s">
        <v>3504</v>
      </c>
      <c r="D2338" s="49" t="s">
        <v>1264</v>
      </c>
      <c r="E2338" s="49" t="s">
        <v>2908</v>
      </c>
      <c r="F2338" s="49" t="s">
        <v>2939</v>
      </c>
      <c r="G2338" s="49" t="s">
        <v>2776</v>
      </c>
      <c r="H2338" s="49" t="s">
        <v>980</v>
      </c>
      <c r="I2338" s="50">
        <v>42150</v>
      </c>
      <c r="M2338" s="49" t="s">
        <v>9646</v>
      </c>
    </row>
    <row r="2339" spans="1:13" x14ac:dyDescent="0.35">
      <c r="A2339" s="49" t="s">
        <v>9647</v>
      </c>
      <c r="B2339" s="49" t="s">
        <v>3642</v>
      </c>
      <c r="C2339" s="49" t="s">
        <v>5014</v>
      </c>
      <c r="D2339" s="49" t="s">
        <v>1264</v>
      </c>
      <c r="E2339" s="49" t="s">
        <v>2908</v>
      </c>
      <c r="F2339" s="49" t="s">
        <v>2939</v>
      </c>
      <c r="G2339" s="49" t="s">
        <v>2776</v>
      </c>
      <c r="H2339" s="49" t="s">
        <v>8</v>
      </c>
      <c r="I2339" s="50">
        <v>42528</v>
      </c>
      <c r="M2339" s="49" t="s">
        <v>9648</v>
      </c>
    </row>
    <row r="2340" spans="1:13" x14ac:dyDescent="0.35">
      <c r="A2340" s="49" t="s">
        <v>9649</v>
      </c>
      <c r="C2340" s="49" t="s">
        <v>9650</v>
      </c>
      <c r="D2340" s="49" t="s">
        <v>1264</v>
      </c>
      <c r="E2340" s="49" t="s">
        <v>2908</v>
      </c>
      <c r="F2340" s="49" t="s">
        <v>2837</v>
      </c>
      <c r="G2340" s="49" t="s">
        <v>2776</v>
      </c>
      <c r="H2340" s="49" t="s">
        <v>2827</v>
      </c>
      <c r="I2340" s="50">
        <v>42569</v>
      </c>
      <c r="M2340" s="49" t="s">
        <v>9651</v>
      </c>
    </row>
    <row r="2341" spans="1:13" x14ac:dyDescent="0.35">
      <c r="A2341" s="49" t="s">
        <v>9652</v>
      </c>
      <c r="B2341" s="49" t="s">
        <v>9653</v>
      </c>
      <c r="C2341" s="49" t="s">
        <v>7161</v>
      </c>
      <c r="D2341" s="49" t="s">
        <v>1264</v>
      </c>
      <c r="E2341" s="49" t="s">
        <v>2908</v>
      </c>
      <c r="F2341" s="49" t="s">
        <v>9654</v>
      </c>
      <c r="G2341" s="49" t="s">
        <v>2776</v>
      </c>
      <c r="H2341" s="49" t="s">
        <v>980</v>
      </c>
      <c r="I2341" s="50">
        <v>41677</v>
      </c>
      <c r="M2341" s="49" t="s">
        <v>9655</v>
      </c>
    </row>
    <row r="2342" spans="1:13" x14ac:dyDescent="0.35">
      <c r="A2342" s="49" t="s">
        <v>9656</v>
      </c>
      <c r="B2342" s="49" t="s">
        <v>3615</v>
      </c>
      <c r="C2342" s="49" t="s">
        <v>9657</v>
      </c>
      <c r="D2342" s="49" t="s">
        <v>1264</v>
      </c>
      <c r="E2342" s="49" t="s">
        <v>2908</v>
      </c>
      <c r="F2342" s="49" t="s">
        <v>3010</v>
      </c>
      <c r="G2342" s="49" t="s">
        <v>2776</v>
      </c>
      <c r="H2342" s="49" t="s">
        <v>980</v>
      </c>
      <c r="I2342" s="50">
        <v>42390</v>
      </c>
      <c r="M2342" s="49" t="s">
        <v>9658</v>
      </c>
    </row>
    <row r="2343" spans="1:13" x14ac:dyDescent="0.35">
      <c r="A2343" s="49" t="s">
        <v>9659</v>
      </c>
      <c r="C2343" s="49" t="s">
        <v>9660</v>
      </c>
      <c r="D2343" s="49" t="s">
        <v>1264</v>
      </c>
      <c r="E2343" s="49" t="s">
        <v>2908</v>
      </c>
      <c r="F2343" s="49" t="s">
        <v>9661</v>
      </c>
      <c r="G2343" s="49" t="s">
        <v>2776</v>
      </c>
      <c r="H2343" s="49" t="s">
        <v>980</v>
      </c>
      <c r="I2343" s="50">
        <v>42426</v>
      </c>
      <c r="M2343" s="49" t="s">
        <v>9662</v>
      </c>
    </row>
    <row r="2344" spans="1:13" x14ac:dyDescent="0.35">
      <c r="A2344" s="49" t="s">
        <v>9663</v>
      </c>
      <c r="C2344" s="49" t="s">
        <v>9664</v>
      </c>
      <c r="D2344" s="49" t="s">
        <v>1264</v>
      </c>
      <c r="E2344" s="49" t="s">
        <v>2908</v>
      </c>
      <c r="F2344" s="49" t="s">
        <v>3108</v>
      </c>
      <c r="G2344" s="49" t="s">
        <v>2776</v>
      </c>
      <c r="H2344" s="49" t="s">
        <v>2827</v>
      </c>
      <c r="I2344" s="50">
        <v>42373</v>
      </c>
      <c r="M2344" s="49" t="s">
        <v>3470</v>
      </c>
    </row>
    <row r="2345" spans="1:13" x14ac:dyDescent="0.35">
      <c r="A2345" s="49" t="s">
        <v>9665</v>
      </c>
      <c r="C2345" s="49" t="s">
        <v>9666</v>
      </c>
      <c r="D2345" s="49" t="s">
        <v>1264</v>
      </c>
      <c r="E2345" s="49" t="s">
        <v>2908</v>
      </c>
      <c r="F2345" s="49" t="s">
        <v>2939</v>
      </c>
      <c r="G2345" s="49" t="s">
        <v>2776</v>
      </c>
      <c r="H2345" s="49" t="s">
        <v>980</v>
      </c>
      <c r="I2345" s="50">
        <v>42429</v>
      </c>
      <c r="M2345" s="49" t="s">
        <v>4340</v>
      </c>
    </row>
    <row r="2346" spans="1:13" x14ac:dyDescent="0.35">
      <c r="A2346" s="49" t="s">
        <v>9667</v>
      </c>
      <c r="C2346" s="49" t="s">
        <v>9615</v>
      </c>
      <c r="D2346" s="49" t="s">
        <v>1264</v>
      </c>
      <c r="E2346" s="49" t="s">
        <v>2908</v>
      </c>
      <c r="F2346" s="49" t="s">
        <v>3010</v>
      </c>
      <c r="G2346" s="49" t="s">
        <v>2776</v>
      </c>
      <c r="H2346" s="49" t="s">
        <v>980</v>
      </c>
      <c r="I2346" s="50">
        <v>42474</v>
      </c>
      <c r="M2346" s="49" t="s">
        <v>3505</v>
      </c>
    </row>
    <row r="2347" spans="1:13" x14ac:dyDescent="0.35">
      <c r="A2347" s="49" t="s">
        <v>9668</v>
      </c>
      <c r="C2347" s="49" t="s">
        <v>9669</v>
      </c>
      <c r="D2347" s="49" t="s">
        <v>1264</v>
      </c>
      <c r="E2347" s="49" t="s">
        <v>2908</v>
      </c>
      <c r="F2347" s="49" t="s">
        <v>3108</v>
      </c>
      <c r="G2347" s="49" t="s">
        <v>2776</v>
      </c>
      <c r="H2347" s="49" t="s">
        <v>2827</v>
      </c>
      <c r="I2347" s="50">
        <v>42447</v>
      </c>
      <c r="M2347" s="49" t="s">
        <v>9670</v>
      </c>
    </row>
    <row r="2348" spans="1:13" x14ac:dyDescent="0.35">
      <c r="A2348" s="49" t="s">
        <v>9671</v>
      </c>
      <c r="B2348" s="49" t="s">
        <v>3420</v>
      </c>
      <c r="C2348" s="49" t="s">
        <v>9672</v>
      </c>
      <c r="D2348" s="49" t="s">
        <v>1264</v>
      </c>
      <c r="E2348" s="49" t="s">
        <v>2908</v>
      </c>
      <c r="F2348" s="49" t="s">
        <v>2939</v>
      </c>
      <c r="G2348" s="49" t="s">
        <v>2776</v>
      </c>
      <c r="H2348" s="49" t="s">
        <v>980</v>
      </c>
      <c r="I2348" s="50">
        <v>42850</v>
      </c>
      <c r="M2348" s="49" t="s">
        <v>9673</v>
      </c>
    </row>
    <row r="2349" spans="1:13" x14ac:dyDescent="0.35">
      <c r="A2349" s="49" t="s">
        <v>9674</v>
      </c>
      <c r="C2349" s="49" t="s">
        <v>9675</v>
      </c>
      <c r="D2349" s="49" t="s">
        <v>1264</v>
      </c>
      <c r="E2349" s="49" t="s">
        <v>2908</v>
      </c>
      <c r="F2349" s="49" t="s">
        <v>3108</v>
      </c>
      <c r="G2349" s="49" t="s">
        <v>2776</v>
      </c>
      <c r="H2349" s="49" t="s">
        <v>2827</v>
      </c>
      <c r="I2349" s="50">
        <v>42565</v>
      </c>
      <c r="M2349" s="49" t="s">
        <v>9676</v>
      </c>
    </row>
    <row r="2350" spans="1:13" x14ac:dyDescent="0.35">
      <c r="A2350" s="49" t="s">
        <v>9677</v>
      </c>
      <c r="C2350" s="49" t="s">
        <v>9675</v>
      </c>
      <c r="D2350" s="49" t="s">
        <v>1264</v>
      </c>
      <c r="E2350" s="49" t="s">
        <v>2908</v>
      </c>
      <c r="F2350" s="49" t="s">
        <v>3108</v>
      </c>
      <c r="G2350" s="49" t="s">
        <v>2776</v>
      </c>
      <c r="H2350" s="49" t="s">
        <v>2827</v>
      </c>
      <c r="I2350" s="50">
        <v>42565</v>
      </c>
      <c r="M2350" s="49" t="s">
        <v>9678</v>
      </c>
    </row>
    <row r="2351" spans="1:13" x14ac:dyDescent="0.35">
      <c r="A2351" s="49" t="s">
        <v>9679</v>
      </c>
      <c r="C2351" s="49" t="s">
        <v>8410</v>
      </c>
      <c r="D2351" s="49" t="s">
        <v>1264</v>
      </c>
      <c r="E2351" s="49" t="s">
        <v>2908</v>
      </c>
      <c r="F2351" s="49" t="s">
        <v>2837</v>
      </c>
      <c r="G2351" s="49" t="s">
        <v>2826</v>
      </c>
      <c r="H2351" s="49" t="s">
        <v>980</v>
      </c>
      <c r="I2351" s="50">
        <v>42593</v>
      </c>
      <c r="J2351" s="50">
        <v>41816</v>
      </c>
      <c r="K2351" s="50">
        <v>43641</v>
      </c>
      <c r="M2351" s="49" t="s">
        <v>3706</v>
      </c>
    </row>
    <row r="2352" spans="1:13" x14ac:dyDescent="0.35">
      <c r="A2352" s="49" t="s">
        <v>9680</v>
      </c>
      <c r="B2352" s="49" t="s">
        <v>9681</v>
      </c>
      <c r="C2352" s="49" t="s">
        <v>3483</v>
      </c>
      <c r="D2352" s="49" t="s">
        <v>1264</v>
      </c>
      <c r="E2352" s="49" t="s">
        <v>2908</v>
      </c>
      <c r="F2352" s="49" t="s">
        <v>2939</v>
      </c>
      <c r="G2352" s="49" t="s">
        <v>2776</v>
      </c>
      <c r="H2352" s="49" t="s">
        <v>980</v>
      </c>
      <c r="I2352" s="50">
        <v>42422</v>
      </c>
      <c r="M2352" s="49" t="s">
        <v>9682</v>
      </c>
    </row>
    <row r="2353" spans="1:13" x14ac:dyDescent="0.35">
      <c r="A2353" s="49" t="s">
        <v>9683</v>
      </c>
      <c r="B2353" s="49" t="s">
        <v>3420</v>
      </c>
      <c r="C2353" s="49" t="s">
        <v>9684</v>
      </c>
      <c r="D2353" s="49" t="s">
        <v>1264</v>
      </c>
      <c r="E2353" s="49" t="s">
        <v>2908</v>
      </c>
      <c r="F2353" s="49" t="s">
        <v>2939</v>
      </c>
      <c r="G2353" s="49" t="s">
        <v>2776</v>
      </c>
      <c r="H2353" s="49" t="s">
        <v>980</v>
      </c>
      <c r="I2353" s="50">
        <v>42176</v>
      </c>
      <c r="M2353" s="49" t="s">
        <v>3470</v>
      </c>
    </row>
    <row r="2354" spans="1:13" x14ac:dyDescent="0.35">
      <c r="A2354" s="49" t="s">
        <v>9685</v>
      </c>
      <c r="B2354" s="49" t="s">
        <v>3503</v>
      </c>
      <c r="C2354" s="49" t="s">
        <v>9686</v>
      </c>
      <c r="D2354" s="49" t="s">
        <v>1264</v>
      </c>
      <c r="E2354" s="49" t="s">
        <v>3443</v>
      </c>
      <c r="F2354" s="49" t="s">
        <v>3124</v>
      </c>
      <c r="G2354" s="49" t="s">
        <v>2776</v>
      </c>
      <c r="H2354" s="49" t="s">
        <v>980</v>
      </c>
      <c r="I2354" s="50">
        <v>42411</v>
      </c>
      <c r="M2354" s="49" t="s">
        <v>6129</v>
      </c>
    </row>
    <row r="2355" spans="1:13" x14ac:dyDescent="0.35">
      <c r="A2355" s="49" t="s">
        <v>9687</v>
      </c>
      <c r="C2355" s="49" t="s">
        <v>9672</v>
      </c>
      <c r="D2355" s="49" t="s">
        <v>1264</v>
      </c>
      <c r="E2355" s="49" t="s">
        <v>2908</v>
      </c>
      <c r="F2355" s="49" t="s">
        <v>2939</v>
      </c>
      <c r="G2355" s="49" t="s">
        <v>2776</v>
      </c>
      <c r="H2355" s="49" t="s">
        <v>980</v>
      </c>
      <c r="I2355" s="50">
        <v>42863</v>
      </c>
      <c r="M2355" s="49" t="s">
        <v>9688</v>
      </c>
    </row>
    <row r="2356" spans="1:13" x14ac:dyDescent="0.35">
      <c r="A2356" s="49" t="s">
        <v>9689</v>
      </c>
      <c r="B2356" s="49" t="s">
        <v>3420</v>
      </c>
      <c r="C2356" s="49" t="s">
        <v>3568</v>
      </c>
      <c r="D2356" s="49" t="s">
        <v>1264</v>
      </c>
      <c r="E2356" s="49" t="s">
        <v>2908</v>
      </c>
      <c r="F2356" s="49" t="s">
        <v>2939</v>
      </c>
      <c r="G2356" s="49" t="s">
        <v>3997</v>
      </c>
      <c r="H2356" s="49" t="s">
        <v>980</v>
      </c>
      <c r="I2356" s="50">
        <v>42124</v>
      </c>
      <c r="M2356" s="49" t="s">
        <v>9690</v>
      </c>
    </row>
    <row r="2357" spans="1:13" x14ac:dyDescent="0.35">
      <c r="A2357" s="49" t="s">
        <v>9691</v>
      </c>
      <c r="C2357" s="49" t="s">
        <v>8933</v>
      </c>
      <c r="D2357" s="49" t="s">
        <v>1264</v>
      </c>
      <c r="E2357" s="49" t="s">
        <v>2908</v>
      </c>
      <c r="F2357" s="49" t="s">
        <v>3898</v>
      </c>
      <c r="G2357" s="49" t="s">
        <v>2776</v>
      </c>
      <c r="H2357" s="49" t="s">
        <v>2827</v>
      </c>
      <c r="I2357" s="50">
        <v>42222</v>
      </c>
      <c r="M2357" s="49" t="s">
        <v>9692</v>
      </c>
    </row>
    <row r="2358" spans="1:13" x14ac:dyDescent="0.35">
      <c r="A2358" s="49" t="s">
        <v>9693</v>
      </c>
      <c r="B2358" s="49" t="s">
        <v>2937</v>
      </c>
      <c r="C2358" s="49" t="s">
        <v>9694</v>
      </c>
      <c r="D2358" s="49" t="s">
        <v>1264</v>
      </c>
      <c r="E2358" s="49" t="s">
        <v>2908</v>
      </c>
      <c r="F2358" s="49" t="s">
        <v>2939</v>
      </c>
      <c r="G2358" s="49" t="s">
        <v>2776</v>
      </c>
      <c r="H2358" s="49" t="s">
        <v>980</v>
      </c>
      <c r="I2358" s="50">
        <v>42732</v>
      </c>
      <c r="M2358" s="49" t="s">
        <v>9695</v>
      </c>
    </row>
    <row r="2359" spans="1:13" x14ac:dyDescent="0.35">
      <c r="A2359" s="49" t="s">
        <v>9696</v>
      </c>
      <c r="B2359" s="49" t="s">
        <v>2942</v>
      </c>
      <c r="C2359" s="49" t="s">
        <v>9697</v>
      </c>
      <c r="D2359" s="49" t="s">
        <v>1264</v>
      </c>
      <c r="E2359" s="49" t="s">
        <v>2908</v>
      </c>
      <c r="F2359" s="49" t="s">
        <v>2939</v>
      </c>
      <c r="G2359" s="49" t="s">
        <v>2776</v>
      </c>
      <c r="H2359" s="49" t="s">
        <v>980</v>
      </c>
      <c r="I2359" s="50">
        <v>42055</v>
      </c>
      <c r="M2359" s="49" t="s">
        <v>9698</v>
      </c>
    </row>
    <row r="2360" spans="1:13" x14ac:dyDescent="0.35">
      <c r="A2360" s="49" t="s">
        <v>9699</v>
      </c>
      <c r="B2360" s="49" t="s">
        <v>3063</v>
      </c>
      <c r="C2360" s="49" t="s">
        <v>9700</v>
      </c>
      <c r="D2360" s="49" t="s">
        <v>1264</v>
      </c>
      <c r="E2360" s="49" t="s">
        <v>2908</v>
      </c>
      <c r="F2360" s="49" t="s">
        <v>2837</v>
      </c>
      <c r="G2360" s="49" t="s">
        <v>2776</v>
      </c>
      <c r="H2360" s="49" t="s">
        <v>980</v>
      </c>
      <c r="I2360" s="50">
        <v>42087</v>
      </c>
      <c r="M2360" s="49" t="s">
        <v>9701</v>
      </c>
    </row>
    <row r="2361" spans="1:13" x14ac:dyDescent="0.35">
      <c r="A2361" s="49" t="s">
        <v>9702</v>
      </c>
      <c r="C2361" s="49" t="s">
        <v>9703</v>
      </c>
      <c r="D2361" s="49" t="s">
        <v>1264</v>
      </c>
      <c r="E2361" s="49" t="s">
        <v>3443</v>
      </c>
      <c r="F2361" s="49" t="s">
        <v>3124</v>
      </c>
      <c r="G2361" s="49" t="s">
        <v>2776</v>
      </c>
      <c r="H2361" s="49" t="s">
        <v>980</v>
      </c>
      <c r="I2361" s="50">
        <v>42521</v>
      </c>
      <c r="M2361" s="49" t="s">
        <v>8955</v>
      </c>
    </row>
    <row r="2362" spans="1:13" x14ac:dyDescent="0.35">
      <c r="A2362" s="49" t="s">
        <v>9704</v>
      </c>
      <c r="C2362" s="49" t="s">
        <v>9705</v>
      </c>
      <c r="D2362" s="49" t="s">
        <v>1264</v>
      </c>
      <c r="E2362" s="49" t="s">
        <v>2908</v>
      </c>
      <c r="F2362" s="49" t="s">
        <v>2837</v>
      </c>
      <c r="G2362" s="49" t="s">
        <v>2776</v>
      </c>
      <c r="H2362" s="49" t="s">
        <v>2827</v>
      </c>
      <c r="I2362" s="50">
        <v>42760</v>
      </c>
      <c r="M2362" s="49" t="s">
        <v>3270</v>
      </c>
    </row>
    <row r="2363" spans="1:13" x14ac:dyDescent="0.35">
      <c r="A2363" s="49" t="s">
        <v>9706</v>
      </c>
      <c r="B2363" s="49" t="s">
        <v>6999</v>
      </c>
      <c r="C2363" s="49" t="s">
        <v>3396</v>
      </c>
      <c r="D2363" s="49" t="s">
        <v>1264</v>
      </c>
      <c r="E2363" s="49" t="s">
        <v>2785</v>
      </c>
      <c r="F2363" s="49" t="s">
        <v>2792</v>
      </c>
      <c r="G2363" s="49" t="s">
        <v>2776</v>
      </c>
      <c r="H2363" s="49" t="s">
        <v>8</v>
      </c>
      <c r="I2363" s="50">
        <v>41486</v>
      </c>
      <c r="M2363" s="49" t="s">
        <v>9707</v>
      </c>
    </row>
    <row r="2364" spans="1:13" x14ac:dyDescent="0.35">
      <c r="A2364" s="49" t="s">
        <v>9708</v>
      </c>
      <c r="B2364" s="49" t="s">
        <v>9709</v>
      </c>
      <c r="C2364" s="49" t="s">
        <v>9710</v>
      </c>
      <c r="D2364" s="49" t="s">
        <v>1264</v>
      </c>
      <c r="E2364" s="49" t="s">
        <v>2785</v>
      </c>
      <c r="F2364" s="49" t="s">
        <v>2792</v>
      </c>
      <c r="G2364" s="49" t="s">
        <v>2776</v>
      </c>
      <c r="H2364" s="49" t="s">
        <v>8</v>
      </c>
      <c r="I2364" s="50">
        <v>41216</v>
      </c>
      <c r="M2364" s="49" t="s">
        <v>9711</v>
      </c>
    </row>
    <row r="2365" spans="1:13" x14ac:dyDescent="0.35">
      <c r="A2365" s="49" t="s">
        <v>9712</v>
      </c>
      <c r="C2365" s="49" t="s">
        <v>9713</v>
      </c>
      <c r="D2365" s="49" t="s">
        <v>1264</v>
      </c>
      <c r="E2365" s="49" t="s">
        <v>2785</v>
      </c>
      <c r="F2365" s="49" t="s">
        <v>2786</v>
      </c>
      <c r="G2365" s="49" t="s">
        <v>2776</v>
      </c>
      <c r="H2365" s="49" t="s">
        <v>980</v>
      </c>
      <c r="I2365" s="50">
        <v>42354</v>
      </c>
      <c r="M2365" s="49" t="s">
        <v>3470</v>
      </c>
    </row>
    <row r="2366" spans="1:13" x14ac:dyDescent="0.35">
      <c r="A2366" s="49" t="s">
        <v>9714</v>
      </c>
      <c r="B2366" s="49" t="s">
        <v>9715</v>
      </c>
      <c r="C2366" s="49" t="s">
        <v>9716</v>
      </c>
      <c r="D2366" s="49" t="s">
        <v>1264</v>
      </c>
      <c r="E2366" s="49" t="s">
        <v>2785</v>
      </c>
      <c r="F2366" s="49" t="s">
        <v>2792</v>
      </c>
      <c r="G2366" s="49" t="s">
        <v>2776</v>
      </c>
      <c r="H2366" s="49" t="s">
        <v>8</v>
      </c>
      <c r="I2366" s="50">
        <v>42409</v>
      </c>
      <c r="M2366" s="49" t="s">
        <v>9717</v>
      </c>
    </row>
    <row r="2367" spans="1:13" x14ac:dyDescent="0.35">
      <c r="A2367" s="49" t="s">
        <v>9718</v>
      </c>
      <c r="C2367" s="49" t="s">
        <v>3116</v>
      </c>
      <c r="D2367" s="49" t="s">
        <v>1264</v>
      </c>
      <c r="E2367" s="49" t="s">
        <v>2785</v>
      </c>
      <c r="F2367" s="49" t="s">
        <v>2786</v>
      </c>
      <c r="G2367" s="49" t="s">
        <v>2776</v>
      </c>
      <c r="H2367" s="49" t="s">
        <v>8</v>
      </c>
      <c r="I2367" s="50">
        <v>42150</v>
      </c>
      <c r="M2367" s="49" t="s">
        <v>9719</v>
      </c>
    </row>
    <row r="2368" spans="1:13" x14ac:dyDescent="0.35">
      <c r="A2368" s="49" t="s">
        <v>9720</v>
      </c>
      <c r="C2368" s="49" t="s">
        <v>3934</v>
      </c>
      <c r="D2368" s="49" t="s">
        <v>1264</v>
      </c>
      <c r="E2368" s="49" t="s">
        <v>2785</v>
      </c>
      <c r="F2368" s="49" t="s">
        <v>2786</v>
      </c>
      <c r="G2368" s="49" t="s">
        <v>2776</v>
      </c>
      <c r="H2368" s="49" t="s">
        <v>980</v>
      </c>
      <c r="I2368" s="50">
        <v>42457</v>
      </c>
      <c r="M2368" s="49" t="s">
        <v>6129</v>
      </c>
    </row>
    <row r="2369" spans="1:13" x14ac:dyDescent="0.35">
      <c r="A2369" s="49" t="s">
        <v>9721</v>
      </c>
      <c r="C2369" s="49" t="s">
        <v>7083</v>
      </c>
      <c r="D2369" s="49" t="s">
        <v>1264</v>
      </c>
      <c r="E2369" s="49" t="s">
        <v>2785</v>
      </c>
      <c r="F2369" s="49" t="s">
        <v>2792</v>
      </c>
      <c r="G2369" s="49" t="s">
        <v>2776</v>
      </c>
      <c r="H2369" s="49" t="s">
        <v>8</v>
      </c>
      <c r="I2369" s="50">
        <v>42585</v>
      </c>
      <c r="M2369" s="49" t="s">
        <v>9722</v>
      </c>
    </row>
    <row r="2370" spans="1:13" x14ac:dyDescent="0.35">
      <c r="A2370" s="49" t="s">
        <v>9723</v>
      </c>
      <c r="C2370" s="49" t="s">
        <v>7175</v>
      </c>
      <c r="D2370" s="49" t="s">
        <v>1264</v>
      </c>
      <c r="E2370" s="49" t="s">
        <v>2785</v>
      </c>
      <c r="F2370" s="49" t="s">
        <v>2786</v>
      </c>
      <c r="G2370" s="49" t="s">
        <v>2776</v>
      </c>
      <c r="H2370" s="49" t="s">
        <v>980</v>
      </c>
      <c r="I2370" s="50">
        <v>42144</v>
      </c>
      <c r="M2370" s="49" t="s">
        <v>9724</v>
      </c>
    </row>
    <row r="2371" spans="1:13" x14ac:dyDescent="0.35">
      <c r="A2371" s="49" t="s">
        <v>9725</v>
      </c>
      <c r="C2371" s="49" t="s">
        <v>3280</v>
      </c>
      <c r="D2371" s="49" t="s">
        <v>1264</v>
      </c>
      <c r="E2371" s="49" t="s">
        <v>2785</v>
      </c>
      <c r="F2371" s="49" t="s">
        <v>2792</v>
      </c>
      <c r="G2371" s="49" t="s">
        <v>2776</v>
      </c>
      <c r="H2371" s="49" t="s">
        <v>980</v>
      </c>
      <c r="I2371" s="50">
        <v>42212</v>
      </c>
      <c r="M2371" s="49" t="s">
        <v>9414</v>
      </c>
    </row>
    <row r="2372" spans="1:13" x14ac:dyDescent="0.35">
      <c r="A2372" s="49" t="s">
        <v>9726</v>
      </c>
      <c r="B2372" s="49" t="s">
        <v>9727</v>
      </c>
      <c r="C2372" s="49" t="s">
        <v>5240</v>
      </c>
      <c r="D2372" s="49" t="s">
        <v>1264</v>
      </c>
      <c r="E2372" s="49" t="s">
        <v>2785</v>
      </c>
      <c r="F2372" s="49" t="s">
        <v>2786</v>
      </c>
      <c r="G2372" s="49" t="s">
        <v>2787</v>
      </c>
      <c r="H2372" s="49" t="s">
        <v>835</v>
      </c>
      <c r="I2372" s="50">
        <v>42249</v>
      </c>
      <c r="M2372" s="49" t="s">
        <v>9728</v>
      </c>
    </row>
    <row r="2373" spans="1:13" x14ac:dyDescent="0.35">
      <c r="A2373" s="49" t="s">
        <v>9729</v>
      </c>
      <c r="B2373" s="49" t="s">
        <v>2818</v>
      </c>
      <c r="C2373" s="49" t="s">
        <v>9730</v>
      </c>
      <c r="D2373" s="49" t="s">
        <v>1264</v>
      </c>
      <c r="E2373" s="49" t="s">
        <v>2785</v>
      </c>
      <c r="F2373" s="49" t="s">
        <v>2792</v>
      </c>
      <c r="G2373" s="49" t="s">
        <v>2776</v>
      </c>
      <c r="H2373" s="49" t="s">
        <v>8</v>
      </c>
      <c r="I2373" s="50">
        <v>42235</v>
      </c>
      <c r="M2373" s="49" t="s">
        <v>9731</v>
      </c>
    </row>
    <row r="2374" spans="1:13" x14ac:dyDescent="0.35">
      <c r="A2374" s="49" t="s">
        <v>9732</v>
      </c>
      <c r="C2374" s="49" t="s">
        <v>5240</v>
      </c>
      <c r="D2374" s="49" t="s">
        <v>1264</v>
      </c>
      <c r="E2374" s="49" t="s">
        <v>2785</v>
      </c>
      <c r="F2374" s="49" t="s">
        <v>2786</v>
      </c>
      <c r="G2374" s="49" t="s">
        <v>2776</v>
      </c>
      <c r="H2374" s="49" t="s">
        <v>980</v>
      </c>
      <c r="I2374" s="50">
        <v>42236</v>
      </c>
      <c r="M2374" s="49" t="s">
        <v>9733</v>
      </c>
    </row>
    <row r="2375" spans="1:13" x14ac:dyDescent="0.35">
      <c r="A2375" s="49" t="s">
        <v>9734</v>
      </c>
      <c r="B2375" s="49" t="s">
        <v>8200</v>
      </c>
      <c r="C2375" s="49" t="s">
        <v>9735</v>
      </c>
      <c r="D2375" s="49" t="s">
        <v>1264</v>
      </c>
      <c r="E2375" s="49" t="s">
        <v>2785</v>
      </c>
      <c r="F2375" s="49" t="s">
        <v>2786</v>
      </c>
      <c r="G2375" s="49" t="s">
        <v>2776</v>
      </c>
      <c r="H2375" s="49" t="s">
        <v>980</v>
      </c>
      <c r="I2375" s="50">
        <v>42515</v>
      </c>
      <c r="M2375" s="49" t="s">
        <v>9736</v>
      </c>
    </row>
    <row r="2376" spans="1:13" x14ac:dyDescent="0.35">
      <c r="A2376" s="49" t="s">
        <v>9737</v>
      </c>
      <c r="B2376" s="49" t="s">
        <v>9536</v>
      </c>
      <c r="C2376" s="49" t="s">
        <v>9738</v>
      </c>
      <c r="D2376" s="49" t="s">
        <v>1264</v>
      </c>
      <c r="E2376" s="49" t="s">
        <v>2785</v>
      </c>
      <c r="F2376" s="49" t="s">
        <v>2792</v>
      </c>
      <c r="G2376" s="49" t="s">
        <v>2776</v>
      </c>
      <c r="H2376" s="49" t="s">
        <v>8</v>
      </c>
      <c r="I2376" s="50">
        <v>42194</v>
      </c>
      <c r="M2376" s="49" t="s">
        <v>9739</v>
      </c>
    </row>
    <row r="2377" spans="1:13" x14ac:dyDescent="0.35">
      <c r="A2377" s="49" t="s">
        <v>9740</v>
      </c>
      <c r="B2377" s="49" t="s">
        <v>9741</v>
      </c>
      <c r="C2377" s="49" t="s">
        <v>7111</v>
      </c>
      <c r="D2377" s="49" t="s">
        <v>1264</v>
      </c>
      <c r="E2377" s="49" t="s">
        <v>2785</v>
      </c>
      <c r="F2377" s="49" t="s">
        <v>2792</v>
      </c>
      <c r="G2377" s="49" t="s">
        <v>2776</v>
      </c>
      <c r="H2377" s="49" t="s">
        <v>3207</v>
      </c>
      <c r="I2377" s="50">
        <v>42079</v>
      </c>
      <c r="M2377" s="49" t="s">
        <v>9742</v>
      </c>
    </row>
    <row r="2378" spans="1:13" x14ac:dyDescent="0.35">
      <c r="A2378" s="49" t="s">
        <v>9743</v>
      </c>
      <c r="C2378" s="49" t="s">
        <v>3556</v>
      </c>
      <c r="D2378" s="49" t="s">
        <v>1264</v>
      </c>
      <c r="E2378" s="49" t="s">
        <v>2785</v>
      </c>
      <c r="F2378" s="49" t="s">
        <v>2792</v>
      </c>
      <c r="G2378" s="49" t="s">
        <v>2826</v>
      </c>
      <c r="H2378" s="49" t="s">
        <v>8</v>
      </c>
      <c r="I2378" s="50">
        <v>41513</v>
      </c>
      <c r="J2378" s="50">
        <v>41542</v>
      </c>
      <c r="K2378" s="50">
        <v>41722</v>
      </c>
      <c r="M2378" s="49" t="s">
        <v>9744</v>
      </c>
    </row>
    <row r="2379" spans="1:13" x14ac:dyDescent="0.35">
      <c r="A2379" s="49" t="s">
        <v>9745</v>
      </c>
      <c r="C2379" s="49" t="s">
        <v>7595</v>
      </c>
      <c r="D2379" s="49" t="s">
        <v>1264</v>
      </c>
      <c r="E2379" s="49" t="s">
        <v>2785</v>
      </c>
      <c r="F2379" s="49" t="s">
        <v>5423</v>
      </c>
      <c r="G2379" s="49" t="s">
        <v>2776</v>
      </c>
      <c r="H2379" s="49" t="s">
        <v>980</v>
      </c>
      <c r="I2379" s="50">
        <v>42129</v>
      </c>
      <c r="M2379" s="49" t="s">
        <v>9746</v>
      </c>
    </row>
    <row r="2380" spans="1:13" x14ac:dyDescent="0.35">
      <c r="A2380" s="49" t="s">
        <v>9747</v>
      </c>
      <c r="C2380" s="49" t="s">
        <v>9748</v>
      </c>
      <c r="D2380" s="49" t="s">
        <v>1264</v>
      </c>
      <c r="E2380" s="49" t="s">
        <v>2785</v>
      </c>
      <c r="F2380" s="49" t="s">
        <v>2792</v>
      </c>
      <c r="G2380" s="49" t="s">
        <v>2776</v>
      </c>
      <c r="H2380" s="49" t="s">
        <v>3207</v>
      </c>
      <c r="I2380" s="50">
        <v>42306</v>
      </c>
      <c r="M2380" s="49" t="s">
        <v>9749</v>
      </c>
    </row>
    <row r="2381" spans="1:13" x14ac:dyDescent="0.35">
      <c r="A2381" s="49" t="s">
        <v>9750</v>
      </c>
      <c r="C2381" s="49" t="s">
        <v>9751</v>
      </c>
      <c r="D2381" s="49" t="s">
        <v>1264</v>
      </c>
      <c r="E2381" s="49" t="s">
        <v>2785</v>
      </c>
      <c r="F2381" s="49" t="s">
        <v>2786</v>
      </c>
      <c r="G2381" s="49" t="s">
        <v>2776</v>
      </c>
      <c r="H2381" s="49" t="s">
        <v>980</v>
      </c>
      <c r="I2381" s="50">
        <v>43810</v>
      </c>
      <c r="M2381" s="49" t="s">
        <v>9752</v>
      </c>
    </row>
    <row r="2382" spans="1:13" x14ac:dyDescent="0.35">
      <c r="A2382" s="49" t="s">
        <v>9753</v>
      </c>
      <c r="B2382" s="49" t="s">
        <v>966</v>
      </c>
      <c r="C2382" s="49" t="s">
        <v>9754</v>
      </c>
      <c r="D2382" s="49" t="s">
        <v>1264</v>
      </c>
      <c r="E2382" s="49" t="s">
        <v>2785</v>
      </c>
      <c r="F2382" s="49" t="s">
        <v>5423</v>
      </c>
      <c r="G2382" s="49" t="s">
        <v>2776</v>
      </c>
      <c r="H2382" s="49" t="s">
        <v>980</v>
      </c>
      <c r="I2382" s="50">
        <v>42461</v>
      </c>
      <c r="M2382" s="49" t="s">
        <v>3470</v>
      </c>
    </row>
    <row r="2383" spans="1:13" x14ac:dyDescent="0.35">
      <c r="A2383" s="49" t="s">
        <v>9755</v>
      </c>
      <c r="B2383" s="49" t="s">
        <v>9756</v>
      </c>
      <c r="C2383" s="49" t="s">
        <v>7757</v>
      </c>
      <c r="D2383" s="49" t="s">
        <v>1264</v>
      </c>
      <c r="E2383" s="49" t="s">
        <v>2785</v>
      </c>
      <c r="F2383" s="49" t="s">
        <v>2792</v>
      </c>
      <c r="G2383" s="49" t="s">
        <v>2776</v>
      </c>
      <c r="H2383" s="49" t="s">
        <v>8</v>
      </c>
      <c r="I2383" s="50">
        <v>42219</v>
      </c>
      <c r="M2383" s="49" t="s">
        <v>3470</v>
      </c>
    </row>
    <row r="2384" spans="1:13" x14ac:dyDescent="0.35">
      <c r="A2384" s="49" t="s">
        <v>9757</v>
      </c>
      <c r="C2384" s="49" t="s">
        <v>9758</v>
      </c>
      <c r="D2384" s="49" t="s">
        <v>1264</v>
      </c>
      <c r="E2384" s="49" t="s">
        <v>2785</v>
      </c>
      <c r="F2384" s="49" t="s">
        <v>2786</v>
      </c>
      <c r="G2384" s="49" t="s">
        <v>2776</v>
      </c>
      <c r="H2384" s="49" t="s">
        <v>980</v>
      </c>
      <c r="I2384" s="50">
        <v>42240</v>
      </c>
      <c r="M2384" s="49" t="s">
        <v>9759</v>
      </c>
    </row>
    <row r="2385" spans="1:13" x14ac:dyDescent="0.35">
      <c r="A2385" s="49" t="s">
        <v>9760</v>
      </c>
      <c r="B2385" s="49" t="s">
        <v>9761</v>
      </c>
      <c r="C2385" s="49" t="s">
        <v>9762</v>
      </c>
      <c r="D2385" s="49" t="s">
        <v>1264</v>
      </c>
      <c r="E2385" s="49" t="s">
        <v>2785</v>
      </c>
      <c r="F2385" s="49" t="s">
        <v>2786</v>
      </c>
      <c r="G2385" s="49" t="s">
        <v>2776</v>
      </c>
      <c r="H2385" s="49" t="s">
        <v>8</v>
      </c>
      <c r="I2385" s="50">
        <v>42347</v>
      </c>
      <c r="M2385" s="49" t="s">
        <v>3470</v>
      </c>
    </row>
    <row r="2386" spans="1:13" x14ac:dyDescent="0.35">
      <c r="A2386" s="49" t="s">
        <v>9763</v>
      </c>
      <c r="B2386" s="49" t="s">
        <v>9764</v>
      </c>
      <c r="C2386" s="49" t="s">
        <v>3469</v>
      </c>
      <c r="D2386" s="49" t="s">
        <v>1264</v>
      </c>
      <c r="E2386" s="49" t="s">
        <v>2785</v>
      </c>
      <c r="F2386" s="49" t="s">
        <v>2786</v>
      </c>
      <c r="G2386" s="49" t="s">
        <v>2776</v>
      </c>
      <c r="H2386" s="49" t="s">
        <v>980</v>
      </c>
      <c r="I2386" s="50">
        <v>42466</v>
      </c>
      <c r="M2386" s="49" t="s">
        <v>9765</v>
      </c>
    </row>
    <row r="2387" spans="1:13" x14ac:dyDescent="0.35">
      <c r="A2387" s="49" t="s">
        <v>9766</v>
      </c>
      <c r="B2387" s="49" t="s">
        <v>9767</v>
      </c>
      <c r="C2387" s="49" t="s">
        <v>7029</v>
      </c>
      <c r="D2387" s="49" t="s">
        <v>1264</v>
      </c>
      <c r="E2387" s="49" t="s">
        <v>2785</v>
      </c>
      <c r="F2387" s="49" t="s">
        <v>2805</v>
      </c>
      <c r="G2387" s="49" t="s">
        <v>2776</v>
      </c>
      <c r="H2387" s="49" t="s">
        <v>3207</v>
      </c>
      <c r="I2387" s="50">
        <v>42111</v>
      </c>
      <c r="M2387" s="49" t="s">
        <v>9768</v>
      </c>
    </row>
    <row r="2388" spans="1:13" x14ac:dyDescent="0.35">
      <c r="A2388" s="49" t="s">
        <v>9769</v>
      </c>
      <c r="B2388" s="49" t="s">
        <v>7184</v>
      </c>
      <c r="C2388" s="49" t="s">
        <v>9770</v>
      </c>
      <c r="D2388" s="49" t="s">
        <v>1264</v>
      </c>
      <c r="E2388" s="49" t="s">
        <v>2785</v>
      </c>
      <c r="F2388" s="49" t="s">
        <v>2792</v>
      </c>
      <c r="G2388" s="49" t="s">
        <v>2776</v>
      </c>
      <c r="H2388" s="49" t="s">
        <v>8</v>
      </c>
      <c r="I2388" s="50">
        <v>42129</v>
      </c>
      <c r="M2388" s="49" t="s">
        <v>9771</v>
      </c>
    </row>
    <row r="2389" spans="1:13" x14ac:dyDescent="0.35">
      <c r="A2389" s="49" t="s">
        <v>9772</v>
      </c>
      <c r="B2389" s="49" t="s">
        <v>9773</v>
      </c>
      <c r="C2389" s="49" t="s">
        <v>9774</v>
      </c>
      <c r="D2389" s="49" t="s">
        <v>1264</v>
      </c>
      <c r="E2389" s="49" t="s">
        <v>2785</v>
      </c>
      <c r="F2389" s="49" t="s">
        <v>2792</v>
      </c>
      <c r="G2389" s="49" t="s">
        <v>2776</v>
      </c>
      <c r="H2389" s="49" t="s">
        <v>8</v>
      </c>
      <c r="I2389" s="50">
        <v>42377</v>
      </c>
      <c r="M2389" s="49" t="s">
        <v>9775</v>
      </c>
    </row>
    <row r="2390" spans="1:13" x14ac:dyDescent="0.35">
      <c r="A2390" s="49" t="s">
        <v>9776</v>
      </c>
      <c r="C2390" s="49" t="s">
        <v>9777</v>
      </c>
      <c r="D2390" s="49" t="s">
        <v>1264</v>
      </c>
      <c r="E2390" s="49" t="s">
        <v>2785</v>
      </c>
      <c r="F2390" s="49" t="s">
        <v>2786</v>
      </c>
      <c r="G2390" s="49" t="s">
        <v>2776</v>
      </c>
      <c r="H2390" s="49" t="s">
        <v>3229</v>
      </c>
      <c r="I2390" s="50">
        <v>42263</v>
      </c>
      <c r="M2390" s="49" t="s">
        <v>3470</v>
      </c>
    </row>
    <row r="2391" spans="1:13" x14ac:dyDescent="0.35">
      <c r="A2391" s="49" t="s">
        <v>9778</v>
      </c>
      <c r="B2391" s="49" t="s">
        <v>9779</v>
      </c>
      <c r="C2391" s="49" t="s">
        <v>7111</v>
      </c>
      <c r="D2391" s="49" t="s">
        <v>1264</v>
      </c>
      <c r="E2391" s="49" t="s">
        <v>2785</v>
      </c>
      <c r="F2391" s="49" t="s">
        <v>2792</v>
      </c>
      <c r="G2391" s="49" t="s">
        <v>2776</v>
      </c>
      <c r="H2391" s="49" t="s">
        <v>3207</v>
      </c>
      <c r="I2391" s="50">
        <v>42034</v>
      </c>
      <c r="M2391" s="49" t="s">
        <v>9780</v>
      </c>
    </row>
    <row r="2392" spans="1:13" x14ac:dyDescent="0.35">
      <c r="A2392" s="49" t="s">
        <v>9781</v>
      </c>
      <c r="C2392" s="49" t="s">
        <v>9782</v>
      </c>
      <c r="D2392" s="49" t="s">
        <v>1264</v>
      </c>
      <c r="E2392" s="49" t="s">
        <v>2785</v>
      </c>
      <c r="F2392" s="49" t="s">
        <v>2786</v>
      </c>
      <c r="G2392" s="49" t="s">
        <v>2776</v>
      </c>
      <c r="H2392" s="49" t="s">
        <v>980</v>
      </c>
      <c r="I2392" s="50">
        <v>42152</v>
      </c>
      <c r="M2392" s="49" t="s">
        <v>3444</v>
      </c>
    </row>
    <row r="2393" spans="1:13" x14ac:dyDescent="0.35">
      <c r="A2393" s="49" t="s">
        <v>9783</v>
      </c>
      <c r="B2393" s="49" t="s">
        <v>9784</v>
      </c>
      <c r="C2393" s="49" t="s">
        <v>9785</v>
      </c>
      <c r="D2393" s="49" t="s">
        <v>1264</v>
      </c>
      <c r="E2393" s="49" t="s">
        <v>2785</v>
      </c>
      <c r="F2393" s="49" t="s">
        <v>2792</v>
      </c>
      <c r="G2393" s="49" t="s">
        <v>2776</v>
      </c>
      <c r="H2393" s="49" t="s">
        <v>2827</v>
      </c>
      <c r="I2393" s="50">
        <v>42151</v>
      </c>
      <c r="M2393" s="49" t="s">
        <v>9786</v>
      </c>
    </row>
    <row r="2394" spans="1:13" x14ac:dyDescent="0.35">
      <c r="A2394" s="49" t="s">
        <v>9787</v>
      </c>
      <c r="B2394" s="49" t="s">
        <v>9788</v>
      </c>
      <c r="C2394" s="49" t="s">
        <v>9785</v>
      </c>
      <c r="D2394" s="49" t="s">
        <v>1264</v>
      </c>
      <c r="E2394" s="49" t="s">
        <v>2785</v>
      </c>
      <c r="F2394" s="49" t="s">
        <v>2792</v>
      </c>
      <c r="G2394" s="49" t="s">
        <v>2776</v>
      </c>
      <c r="H2394" s="49" t="s">
        <v>2827</v>
      </c>
      <c r="I2394" s="50">
        <v>42151</v>
      </c>
      <c r="M2394" s="49" t="s">
        <v>9789</v>
      </c>
    </row>
    <row r="2395" spans="1:13" x14ac:dyDescent="0.35">
      <c r="A2395" s="49" t="s">
        <v>9790</v>
      </c>
      <c r="B2395" s="49" t="s">
        <v>9791</v>
      </c>
      <c r="C2395" s="49" t="s">
        <v>3439</v>
      </c>
      <c r="D2395" s="49" t="s">
        <v>1264</v>
      </c>
      <c r="E2395" s="49" t="s">
        <v>2785</v>
      </c>
      <c r="F2395" s="49" t="s">
        <v>2792</v>
      </c>
      <c r="G2395" s="49" t="s">
        <v>2776</v>
      </c>
      <c r="H2395" s="49" t="s">
        <v>8</v>
      </c>
      <c r="I2395" s="50">
        <v>42290</v>
      </c>
      <c r="M2395" s="49" t="s">
        <v>9792</v>
      </c>
    </row>
    <row r="2396" spans="1:13" x14ac:dyDescent="0.35">
      <c r="A2396" s="49" t="s">
        <v>9793</v>
      </c>
      <c r="C2396" s="49" t="s">
        <v>9794</v>
      </c>
      <c r="D2396" s="49" t="s">
        <v>1264</v>
      </c>
      <c r="E2396" s="49" t="s">
        <v>2785</v>
      </c>
      <c r="F2396" s="49" t="s">
        <v>2792</v>
      </c>
      <c r="G2396" s="49" t="s">
        <v>2776</v>
      </c>
      <c r="H2396" s="49" t="s">
        <v>8</v>
      </c>
      <c r="I2396" s="50">
        <v>42317</v>
      </c>
      <c r="M2396" s="49" t="s">
        <v>9795</v>
      </c>
    </row>
    <row r="2397" spans="1:13" x14ac:dyDescent="0.35">
      <c r="A2397" s="49" t="s">
        <v>9796</v>
      </c>
      <c r="C2397" s="49" t="s">
        <v>7029</v>
      </c>
      <c r="D2397" s="49" t="s">
        <v>1264</v>
      </c>
      <c r="E2397" s="49" t="s">
        <v>2785</v>
      </c>
      <c r="F2397" s="49" t="s">
        <v>2805</v>
      </c>
      <c r="G2397" s="49" t="s">
        <v>2776</v>
      </c>
      <c r="H2397" s="49" t="s">
        <v>3207</v>
      </c>
      <c r="I2397" s="50">
        <v>42059</v>
      </c>
      <c r="M2397" s="49" t="s">
        <v>9797</v>
      </c>
    </row>
    <row r="2398" spans="1:13" x14ac:dyDescent="0.35">
      <c r="A2398" s="49" t="s">
        <v>9798</v>
      </c>
      <c r="C2398" s="49" t="s">
        <v>9799</v>
      </c>
      <c r="D2398" s="49" t="s">
        <v>1264</v>
      </c>
      <c r="E2398" s="49" t="s">
        <v>2785</v>
      </c>
      <c r="F2398" s="49" t="s">
        <v>2792</v>
      </c>
      <c r="G2398" s="49" t="s">
        <v>2776</v>
      </c>
      <c r="H2398" s="49" t="s">
        <v>8</v>
      </c>
      <c r="I2398" s="50">
        <v>42685</v>
      </c>
      <c r="M2398" s="49" t="s">
        <v>9800</v>
      </c>
    </row>
    <row r="2399" spans="1:13" x14ac:dyDescent="0.35">
      <c r="A2399" s="49" t="s">
        <v>9801</v>
      </c>
      <c r="C2399" s="49" t="s">
        <v>9802</v>
      </c>
      <c r="D2399" s="49" t="s">
        <v>1264</v>
      </c>
      <c r="E2399" s="49" t="s">
        <v>2785</v>
      </c>
      <c r="F2399" s="49" t="s">
        <v>2792</v>
      </c>
      <c r="G2399" s="49" t="s">
        <v>2776</v>
      </c>
      <c r="H2399" s="49" t="s">
        <v>8</v>
      </c>
      <c r="I2399" s="50">
        <v>42310</v>
      </c>
      <c r="M2399" s="49" t="s">
        <v>9803</v>
      </c>
    </row>
    <row r="2400" spans="1:13" x14ac:dyDescent="0.35">
      <c r="A2400" s="49" t="s">
        <v>9804</v>
      </c>
      <c r="B2400" s="49" t="s">
        <v>9805</v>
      </c>
      <c r="C2400" s="49" t="s">
        <v>9806</v>
      </c>
      <c r="D2400" s="49" t="s">
        <v>1264</v>
      </c>
      <c r="E2400" s="49" t="s">
        <v>2785</v>
      </c>
      <c r="F2400" s="49" t="s">
        <v>2786</v>
      </c>
      <c r="G2400" s="49" t="s">
        <v>2776</v>
      </c>
      <c r="H2400" s="49" t="s">
        <v>1062</v>
      </c>
      <c r="I2400" s="50">
        <v>42310</v>
      </c>
      <c r="M2400" s="49" t="s">
        <v>9807</v>
      </c>
    </row>
    <row r="2401" spans="1:13" x14ac:dyDescent="0.35">
      <c r="A2401" s="49" t="s">
        <v>9808</v>
      </c>
      <c r="C2401" s="49" t="s">
        <v>7250</v>
      </c>
      <c r="D2401" s="49" t="s">
        <v>1264</v>
      </c>
      <c r="E2401" s="49" t="s">
        <v>2785</v>
      </c>
      <c r="F2401" s="49" t="s">
        <v>2792</v>
      </c>
      <c r="G2401" s="49" t="s">
        <v>2776</v>
      </c>
      <c r="H2401" s="49" t="s">
        <v>8</v>
      </c>
      <c r="I2401" s="50">
        <v>42367</v>
      </c>
      <c r="M2401" s="49" t="s">
        <v>9809</v>
      </c>
    </row>
    <row r="2402" spans="1:13" x14ac:dyDescent="0.35">
      <c r="A2402" s="49" t="s">
        <v>9810</v>
      </c>
      <c r="B2402" s="49" t="s">
        <v>3881</v>
      </c>
      <c r="C2402" s="49" t="s">
        <v>9811</v>
      </c>
      <c r="D2402" s="49" t="s">
        <v>1264</v>
      </c>
      <c r="E2402" s="49" t="s">
        <v>2785</v>
      </c>
      <c r="F2402" s="49" t="s">
        <v>2786</v>
      </c>
      <c r="G2402" s="49" t="s">
        <v>2776</v>
      </c>
      <c r="H2402" s="49" t="s">
        <v>980</v>
      </c>
      <c r="I2402" s="50">
        <v>42411</v>
      </c>
      <c r="M2402" s="49" t="s">
        <v>9812</v>
      </c>
    </row>
    <row r="2403" spans="1:13" x14ac:dyDescent="0.35">
      <c r="A2403" s="49" t="s">
        <v>9813</v>
      </c>
      <c r="B2403" s="49" t="s">
        <v>9503</v>
      </c>
      <c r="C2403" s="49" t="s">
        <v>9811</v>
      </c>
      <c r="D2403" s="49" t="s">
        <v>1264</v>
      </c>
      <c r="E2403" s="49" t="s">
        <v>2785</v>
      </c>
      <c r="F2403" s="49" t="s">
        <v>2792</v>
      </c>
      <c r="G2403" s="49" t="s">
        <v>2776</v>
      </c>
      <c r="H2403" s="49" t="s">
        <v>8</v>
      </c>
      <c r="I2403" s="50">
        <v>42411</v>
      </c>
      <c r="M2403" s="49" t="s">
        <v>9814</v>
      </c>
    </row>
    <row r="2404" spans="1:13" x14ac:dyDescent="0.35">
      <c r="A2404" s="49" t="s">
        <v>9815</v>
      </c>
      <c r="B2404" s="49" t="s">
        <v>9816</v>
      </c>
      <c r="C2404" s="49" t="s">
        <v>7111</v>
      </c>
      <c r="D2404" s="49" t="s">
        <v>1264</v>
      </c>
      <c r="E2404" s="49" t="s">
        <v>2785</v>
      </c>
      <c r="F2404" s="49" t="s">
        <v>2792</v>
      </c>
      <c r="G2404" s="49" t="s">
        <v>2776</v>
      </c>
      <c r="H2404" s="49" t="s">
        <v>3207</v>
      </c>
      <c r="I2404" s="50">
        <v>42118</v>
      </c>
      <c r="M2404" s="49" t="s">
        <v>9817</v>
      </c>
    </row>
    <row r="2405" spans="1:13" x14ac:dyDescent="0.35">
      <c r="A2405" s="49" t="s">
        <v>9818</v>
      </c>
      <c r="C2405" s="49" t="s">
        <v>9819</v>
      </c>
      <c r="D2405" s="49" t="s">
        <v>1264</v>
      </c>
      <c r="E2405" s="49" t="s">
        <v>2785</v>
      </c>
      <c r="F2405" s="49" t="s">
        <v>2786</v>
      </c>
      <c r="G2405" s="49" t="s">
        <v>2776</v>
      </c>
      <c r="H2405" s="49" t="s">
        <v>980</v>
      </c>
      <c r="I2405" s="50">
        <v>42576</v>
      </c>
      <c r="M2405" s="49" t="s">
        <v>8852</v>
      </c>
    </row>
    <row r="2406" spans="1:13" x14ac:dyDescent="0.35">
      <c r="A2406" s="49" t="s">
        <v>9820</v>
      </c>
      <c r="B2406" s="49" t="s">
        <v>9137</v>
      </c>
      <c r="C2406" s="49" t="s">
        <v>3280</v>
      </c>
      <c r="D2406" s="49" t="s">
        <v>1264</v>
      </c>
      <c r="E2406" s="49" t="s">
        <v>3748</v>
      </c>
      <c r="F2406" s="49" t="s">
        <v>2792</v>
      </c>
      <c r="G2406" s="49" t="s">
        <v>2826</v>
      </c>
      <c r="H2406" s="49" t="s">
        <v>3207</v>
      </c>
      <c r="I2406" s="50">
        <v>42039</v>
      </c>
      <c r="J2406" s="50">
        <v>42160</v>
      </c>
      <c r="M2406" s="49" t="s">
        <v>9821</v>
      </c>
    </row>
    <row r="2407" spans="1:13" x14ac:dyDescent="0.35">
      <c r="A2407" s="49" t="s">
        <v>9822</v>
      </c>
      <c r="C2407" s="49" t="s">
        <v>9823</v>
      </c>
      <c r="D2407" s="49" t="s">
        <v>1264</v>
      </c>
      <c r="E2407" s="49" t="s">
        <v>2785</v>
      </c>
      <c r="F2407" s="49" t="s">
        <v>2792</v>
      </c>
      <c r="G2407" s="49" t="s">
        <v>2776</v>
      </c>
      <c r="H2407" s="49" t="s">
        <v>980</v>
      </c>
      <c r="I2407" s="50">
        <v>42471</v>
      </c>
      <c r="M2407" s="49" t="s">
        <v>3691</v>
      </c>
    </row>
    <row r="2408" spans="1:13" x14ac:dyDescent="0.35">
      <c r="A2408" s="49" t="s">
        <v>9824</v>
      </c>
      <c r="B2408" s="49" t="s">
        <v>9825</v>
      </c>
      <c r="C2408" s="49" t="s">
        <v>7111</v>
      </c>
      <c r="D2408" s="49" t="s">
        <v>1264</v>
      </c>
      <c r="E2408" s="49" t="s">
        <v>2785</v>
      </c>
      <c r="F2408" s="49" t="s">
        <v>2792</v>
      </c>
      <c r="G2408" s="49" t="s">
        <v>2787</v>
      </c>
      <c r="H2408" s="49" t="s">
        <v>3207</v>
      </c>
      <c r="I2408" s="50">
        <v>41991</v>
      </c>
      <c r="M2408" s="49" t="s">
        <v>9826</v>
      </c>
    </row>
    <row r="2409" spans="1:13" x14ac:dyDescent="0.35">
      <c r="A2409" s="49" t="s">
        <v>9827</v>
      </c>
      <c r="C2409" s="49" t="s">
        <v>9828</v>
      </c>
      <c r="D2409" s="49" t="s">
        <v>1264</v>
      </c>
      <c r="E2409" s="49" t="s">
        <v>2785</v>
      </c>
      <c r="F2409" s="49" t="s">
        <v>2792</v>
      </c>
      <c r="G2409" s="49" t="s">
        <v>2776</v>
      </c>
      <c r="H2409" s="49" t="s">
        <v>8</v>
      </c>
      <c r="I2409" s="50">
        <v>42528</v>
      </c>
      <c r="M2409" s="49" t="s">
        <v>3444</v>
      </c>
    </row>
    <row r="2410" spans="1:13" x14ac:dyDescent="0.35">
      <c r="A2410" s="49" t="s">
        <v>9829</v>
      </c>
      <c r="B2410" s="49" t="s">
        <v>4269</v>
      </c>
      <c r="C2410" s="49" t="s">
        <v>9830</v>
      </c>
      <c r="D2410" s="49" t="s">
        <v>1264</v>
      </c>
      <c r="E2410" s="49" t="s">
        <v>2785</v>
      </c>
      <c r="F2410" s="49" t="s">
        <v>2786</v>
      </c>
      <c r="G2410" s="49" t="s">
        <v>2776</v>
      </c>
      <c r="H2410" s="49" t="s">
        <v>8</v>
      </c>
      <c r="I2410" s="50">
        <v>42380</v>
      </c>
      <c r="M2410" s="49" t="s">
        <v>3477</v>
      </c>
    </row>
    <row r="2411" spans="1:13" x14ac:dyDescent="0.35">
      <c r="A2411" s="49" t="s">
        <v>9831</v>
      </c>
      <c r="C2411" s="49" t="s">
        <v>9832</v>
      </c>
      <c r="D2411" s="49" t="s">
        <v>1264</v>
      </c>
      <c r="E2411" s="49" t="s">
        <v>2785</v>
      </c>
      <c r="F2411" s="49" t="s">
        <v>2792</v>
      </c>
      <c r="G2411" s="49" t="s">
        <v>2776</v>
      </c>
      <c r="H2411" s="49" t="s">
        <v>1062</v>
      </c>
      <c r="I2411" s="50">
        <v>42562</v>
      </c>
      <c r="M2411" s="49" t="s">
        <v>9833</v>
      </c>
    </row>
    <row r="2412" spans="1:13" x14ac:dyDescent="0.35">
      <c r="A2412" s="49" t="s">
        <v>9834</v>
      </c>
      <c r="B2412" s="49" t="s">
        <v>8</v>
      </c>
      <c r="C2412" s="49" t="s">
        <v>9835</v>
      </c>
      <c r="D2412" s="49" t="s">
        <v>1264</v>
      </c>
      <c r="E2412" s="49" t="s">
        <v>2785</v>
      </c>
      <c r="F2412" s="49" t="s">
        <v>9836</v>
      </c>
      <c r="G2412" s="49" t="s">
        <v>2776</v>
      </c>
      <c r="H2412" s="49" t="s">
        <v>8</v>
      </c>
      <c r="I2412" s="50">
        <v>42401</v>
      </c>
      <c r="M2412" s="49" t="s">
        <v>3526</v>
      </c>
    </row>
    <row r="2413" spans="1:13" x14ac:dyDescent="0.35">
      <c r="A2413" s="49" t="s">
        <v>9837</v>
      </c>
      <c r="B2413" s="49" t="s">
        <v>9838</v>
      </c>
      <c r="C2413" s="49" t="s">
        <v>9839</v>
      </c>
      <c r="D2413" s="49" t="s">
        <v>1264</v>
      </c>
      <c r="E2413" s="49" t="s">
        <v>2785</v>
      </c>
      <c r="F2413" s="49" t="s">
        <v>2786</v>
      </c>
      <c r="G2413" s="49" t="s">
        <v>2776</v>
      </c>
      <c r="H2413" s="49" t="s">
        <v>8</v>
      </c>
      <c r="I2413" s="50">
        <v>42401</v>
      </c>
      <c r="M2413" s="49" t="s">
        <v>8237</v>
      </c>
    </row>
    <row r="2414" spans="1:13" x14ac:dyDescent="0.35">
      <c r="A2414" s="49" t="s">
        <v>9840</v>
      </c>
      <c r="C2414" s="49" t="s">
        <v>9841</v>
      </c>
      <c r="D2414" s="49" t="s">
        <v>1264</v>
      </c>
      <c r="E2414" s="49" t="s">
        <v>2785</v>
      </c>
      <c r="F2414" s="49" t="s">
        <v>2792</v>
      </c>
      <c r="G2414" s="49" t="s">
        <v>2776</v>
      </c>
      <c r="H2414" s="49" t="s">
        <v>980</v>
      </c>
      <c r="I2414" s="50">
        <v>42095</v>
      </c>
      <c r="M2414" s="49" t="s">
        <v>3470</v>
      </c>
    </row>
    <row r="2415" spans="1:13" x14ac:dyDescent="0.35">
      <c r="A2415" s="49" t="s">
        <v>9842</v>
      </c>
      <c r="C2415" s="49" t="s">
        <v>9843</v>
      </c>
      <c r="D2415" s="49" t="s">
        <v>1264</v>
      </c>
      <c r="E2415" s="49" t="s">
        <v>2785</v>
      </c>
      <c r="F2415" s="49" t="s">
        <v>2792</v>
      </c>
      <c r="G2415" s="49" t="s">
        <v>2776</v>
      </c>
      <c r="H2415" s="49" t="s">
        <v>8</v>
      </c>
      <c r="I2415" s="50">
        <v>42180</v>
      </c>
      <c r="M2415" s="49" t="s">
        <v>9844</v>
      </c>
    </row>
    <row r="2416" spans="1:13" x14ac:dyDescent="0.35">
      <c r="A2416" s="49" t="s">
        <v>9845</v>
      </c>
      <c r="C2416" s="49" t="s">
        <v>9846</v>
      </c>
      <c r="D2416" s="49" t="s">
        <v>1264</v>
      </c>
      <c r="E2416" s="49" t="s">
        <v>2785</v>
      </c>
      <c r="F2416" s="49" t="s">
        <v>2792</v>
      </c>
      <c r="G2416" s="49" t="s">
        <v>2776</v>
      </c>
      <c r="H2416" s="49" t="s">
        <v>8</v>
      </c>
      <c r="I2416" s="50">
        <v>42068</v>
      </c>
      <c r="M2416" s="49" t="s">
        <v>7804</v>
      </c>
    </row>
    <row r="2417" spans="1:13" x14ac:dyDescent="0.35">
      <c r="A2417" s="49" t="s">
        <v>9847</v>
      </c>
      <c r="B2417" s="49" t="s">
        <v>9848</v>
      </c>
      <c r="C2417" s="49" t="s">
        <v>9849</v>
      </c>
      <c r="D2417" s="49" t="s">
        <v>1264</v>
      </c>
      <c r="E2417" s="49" t="s">
        <v>2785</v>
      </c>
      <c r="F2417" s="49" t="s">
        <v>2792</v>
      </c>
      <c r="G2417" s="49" t="s">
        <v>2776</v>
      </c>
      <c r="H2417" s="49" t="s">
        <v>8</v>
      </c>
      <c r="I2417" s="50">
        <v>42037</v>
      </c>
      <c r="M2417" s="49" t="s">
        <v>9850</v>
      </c>
    </row>
    <row r="2418" spans="1:13" x14ac:dyDescent="0.35">
      <c r="A2418" s="49" t="s">
        <v>9851</v>
      </c>
      <c r="B2418" s="49" t="s">
        <v>9852</v>
      </c>
      <c r="C2418" s="49" t="s">
        <v>9853</v>
      </c>
      <c r="D2418" s="49" t="s">
        <v>1264</v>
      </c>
      <c r="E2418" s="49" t="s">
        <v>2785</v>
      </c>
      <c r="F2418" s="49" t="s">
        <v>2786</v>
      </c>
      <c r="G2418" s="49" t="s">
        <v>2776</v>
      </c>
      <c r="H2418" s="49" t="s">
        <v>2832</v>
      </c>
      <c r="I2418" s="50">
        <v>42425</v>
      </c>
      <c r="M2418" s="49" t="s">
        <v>9854</v>
      </c>
    </row>
    <row r="2419" spans="1:13" x14ac:dyDescent="0.35">
      <c r="A2419" s="49" t="s">
        <v>9855</v>
      </c>
      <c r="B2419" s="49" t="s">
        <v>9856</v>
      </c>
      <c r="C2419" s="49" t="s">
        <v>7029</v>
      </c>
      <c r="D2419" s="49" t="s">
        <v>1264</v>
      </c>
      <c r="E2419" s="49" t="s">
        <v>2785</v>
      </c>
      <c r="F2419" s="49" t="s">
        <v>2805</v>
      </c>
      <c r="G2419" s="49" t="s">
        <v>2776</v>
      </c>
      <c r="H2419" s="49" t="s">
        <v>3207</v>
      </c>
      <c r="I2419" s="50">
        <v>42136</v>
      </c>
      <c r="M2419" s="49" t="s">
        <v>9857</v>
      </c>
    </row>
    <row r="2420" spans="1:13" ht="29" x14ac:dyDescent="0.35">
      <c r="A2420" s="49" t="s">
        <v>9858</v>
      </c>
      <c r="B2420" s="51" t="s">
        <v>9859</v>
      </c>
      <c r="C2420" s="49" t="s">
        <v>9860</v>
      </c>
      <c r="D2420" s="49" t="s">
        <v>1264</v>
      </c>
      <c r="E2420" s="49" t="s">
        <v>2785</v>
      </c>
      <c r="F2420" s="49" t="s">
        <v>2792</v>
      </c>
      <c r="G2420" s="49" t="s">
        <v>2776</v>
      </c>
      <c r="H2420" s="49" t="s">
        <v>980</v>
      </c>
      <c r="I2420" s="50">
        <v>42368</v>
      </c>
      <c r="M2420" s="49" t="s">
        <v>9861</v>
      </c>
    </row>
    <row r="2421" spans="1:13" x14ac:dyDescent="0.35">
      <c r="A2421" s="49" t="s">
        <v>9862</v>
      </c>
      <c r="C2421" s="49" t="s">
        <v>7175</v>
      </c>
      <c r="D2421" s="49" t="s">
        <v>1264</v>
      </c>
      <c r="E2421" s="49" t="s">
        <v>2785</v>
      </c>
      <c r="F2421" s="49" t="s">
        <v>2786</v>
      </c>
      <c r="G2421" s="49" t="s">
        <v>2776</v>
      </c>
      <c r="H2421" s="49" t="s">
        <v>980</v>
      </c>
      <c r="I2421" s="50">
        <v>42459</v>
      </c>
      <c r="M2421" s="49" t="s">
        <v>9863</v>
      </c>
    </row>
    <row r="2422" spans="1:13" x14ac:dyDescent="0.35">
      <c r="A2422" s="49" t="s">
        <v>9864</v>
      </c>
      <c r="C2422" s="49" t="s">
        <v>9865</v>
      </c>
      <c r="D2422" s="49" t="s">
        <v>1264</v>
      </c>
      <c r="E2422" s="49" t="s">
        <v>2785</v>
      </c>
      <c r="F2422" s="49" t="s">
        <v>2786</v>
      </c>
      <c r="G2422" s="49" t="s">
        <v>2776</v>
      </c>
      <c r="H2422" s="49" t="s">
        <v>980</v>
      </c>
      <c r="I2422" s="50">
        <v>42324</v>
      </c>
      <c r="M2422" s="49" t="s">
        <v>3470</v>
      </c>
    </row>
    <row r="2423" spans="1:13" x14ac:dyDescent="0.35">
      <c r="A2423" s="49" t="s">
        <v>9866</v>
      </c>
      <c r="C2423" s="49" t="s">
        <v>9867</v>
      </c>
      <c r="D2423" s="49" t="s">
        <v>1264</v>
      </c>
      <c r="E2423" s="49" t="s">
        <v>2785</v>
      </c>
      <c r="F2423" s="49" t="s">
        <v>2786</v>
      </c>
      <c r="G2423" s="49" t="s">
        <v>2776</v>
      </c>
      <c r="H2423" s="49" t="s">
        <v>1062</v>
      </c>
      <c r="I2423" s="50">
        <v>42318</v>
      </c>
      <c r="M2423" s="49" t="s">
        <v>3470</v>
      </c>
    </row>
    <row r="2424" spans="1:13" x14ac:dyDescent="0.35">
      <c r="A2424" s="49" t="s">
        <v>9868</v>
      </c>
      <c r="C2424" s="49" t="s">
        <v>3072</v>
      </c>
      <c r="D2424" s="49" t="s">
        <v>1264</v>
      </c>
      <c r="E2424" s="49" t="s">
        <v>2785</v>
      </c>
      <c r="F2424" s="49" t="s">
        <v>2792</v>
      </c>
      <c r="G2424" s="49" t="s">
        <v>2776</v>
      </c>
      <c r="H2424" s="49" t="s">
        <v>980</v>
      </c>
      <c r="I2424" s="50">
        <v>42822</v>
      </c>
      <c r="M2424" s="49" t="s">
        <v>9869</v>
      </c>
    </row>
    <row r="2425" spans="1:13" x14ac:dyDescent="0.35">
      <c r="A2425" s="49" t="s">
        <v>9870</v>
      </c>
      <c r="B2425" s="49" t="s">
        <v>5940</v>
      </c>
      <c r="C2425" s="49" t="s">
        <v>9871</v>
      </c>
      <c r="D2425" s="49" t="s">
        <v>1264</v>
      </c>
      <c r="E2425" s="49" t="s">
        <v>2785</v>
      </c>
      <c r="F2425" s="49" t="s">
        <v>2786</v>
      </c>
      <c r="G2425" s="49" t="s">
        <v>2776</v>
      </c>
      <c r="H2425" s="49" t="s">
        <v>980</v>
      </c>
      <c r="I2425" s="50">
        <v>42320</v>
      </c>
      <c r="M2425" s="49" t="s">
        <v>9872</v>
      </c>
    </row>
    <row r="2426" spans="1:13" x14ac:dyDescent="0.35">
      <c r="A2426" s="49" t="s">
        <v>9873</v>
      </c>
      <c r="B2426" s="49" t="s">
        <v>7082</v>
      </c>
      <c r="C2426" s="49" t="s">
        <v>3556</v>
      </c>
      <c r="D2426" s="49" t="s">
        <v>1264</v>
      </c>
      <c r="E2426" s="49" t="s">
        <v>2785</v>
      </c>
      <c r="F2426" s="49" t="s">
        <v>2792</v>
      </c>
      <c r="G2426" s="49" t="s">
        <v>2776</v>
      </c>
      <c r="H2426" s="49" t="s">
        <v>8</v>
      </c>
      <c r="I2426" s="50">
        <v>42187</v>
      </c>
      <c r="M2426" s="49" t="s">
        <v>9874</v>
      </c>
    </row>
    <row r="2427" spans="1:13" x14ac:dyDescent="0.35">
      <c r="A2427" s="49" t="s">
        <v>9875</v>
      </c>
      <c r="B2427" s="49" t="s">
        <v>8837</v>
      </c>
      <c r="C2427" s="49" t="s">
        <v>9876</v>
      </c>
      <c r="D2427" s="49" t="s">
        <v>1264</v>
      </c>
      <c r="E2427" s="49" t="s">
        <v>2785</v>
      </c>
      <c r="F2427" s="49" t="s">
        <v>2792</v>
      </c>
      <c r="G2427" s="49" t="s">
        <v>2776</v>
      </c>
      <c r="H2427" s="49" t="s">
        <v>8</v>
      </c>
      <c r="I2427" s="50">
        <v>42193</v>
      </c>
      <c r="M2427" s="49" t="s">
        <v>9877</v>
      </c>
    </row>
    <row r="2428" spans="1:13" x14ac:dyDescent="0.35">
      <c r="A2428" s="49" t="s">
        <v>9878</v>
      </c>
      <c r="B2428" s="49" t="s">
        <v>8355</v>
      </c>
      <c r="C2428" s="49" t="s">
        <v>8356</v>
      </c>
      <c r="D2428" s="49" t="s">
        <v>1264</v>
      </c>
      <c r="E2428" s="49" t="s">
        <v>7057</v>
      </c>
      <c r="F2428" s="49" t="s">
        <v>2825</v>
      </c>
      <c r="G2428" s="49" t="s">
        <v>2787</v>
      </c>
      <c r="H2428" s="49" t="s">
        <v>2827</v>
      </c>
      <c r="I2428" s="50">
        <v>41540</v>
      </c>
      <c r="J2428" s="50">
        <v>41808</v>
      </c>
      <c r="K2428" s="50">
        <v>42539</v>
      </c>
      <c r="M2428" s="49" t="s">
        <v>8357</v>
      </c>
    </row>
    <row r="2429" spans="1:13" x14ac:dyDescent="0.35">
      <c r="A2429" s="49" t="s">
        <v>9879</v>
      </c>
      <c r="B2429" s="49" t="s">
        <v>9880</v>
      </c>
      <c r="C2429" s="49" t="s">
        <v>7740</v>
      </c>
      <c r="D2429" s="49" t="s">
        <v>1264</v>
      </c>
      <c r="E2429" s="49" t="s">
        <v>7057</v>
      </c>
      <c r="F2429" s="49" t="s">
        <v>2825</v>
      </c>
      <c r="G2429" s="49" t="s">
        <v>2776</v>
      </c>
      <c r="H2429" s="49" t="s">
        <v>2827</v>
      </c>
      <c r="I2429" s="50">
        <v>41626</v>
      </c>
      <c r="M2429" s="49" t="s">
        <v>3270</v>
      </c>
    </row>
    <row r="2430" spans="1:13" x14ac:dyDescent="0.35">
      <c r="A2430" s="49" t="s">
        <v>9881</v>
      </c>
      <c r="B2430" s="49" t="s">
        <v>9882</v>
      </c>
      <c r="C2430" s="49" t="s">
        <v>8229</v>
      </c>
      <c r="D2430" s="49" t="s">
        <v>1264</v>
      </c>
      <c r="E2430" s="49" t="s">
        <v>7057</v>
      </c>
      <c r="F2430" s="49" t="s">
        <v>2825</v>
      </c>
      <c r="G2430" s="49" t="s">
        <v>2787</v>
      </c>
      <c r="H2430" s="49" t="s">
        <v>2827</v>
      </c>
      <c r="I2430" s="50">
        <v>41687</v>
      </c>
      <c r="J2430" s="50">
        <v>41808</v>
      </c>
      <c r="K2430" s="50">
        <v>42538</v>
      </c>
      <c r="M2430" s="49" t="s">
        <v>9883</v>
      </c>
    </row>
    <row r="2431" spans="1:13" x14ac:dyDescent="0.35">
      <c r="A2431" s="49" t="s">
        <v>9884</v>
      </c>
      <c r="B2431" s="49" t="s">
        <v>9885</v>
      </c>
      <c r="C2431" s="49" t="s">
        <v>9886</v>
      </c>
      <c r="D2431" s="49" t="s">
        <v>1264</v>
      </c>
      <c r="E2431" s="49" t="s">
        <v>7057</v>
      </c>
      <c r="F2431" s="49" t="s">
        <v>2825</v>
      </c>
      <c r="G2431" s="49" t="s">
        <v>2776</v>
      </c>
      <c r="H2431" s="49" t="s">
        <v>2827</v>
      </c>
      <c r="I2431" s="50">
        <v>41759</v>
      </c>
      <c r="M2431" s="49" t="s">
        <v>3270</v>
      </c>
    </row>
    <row r="2432" spans="1:13" x14ac:dyDescent="0.35">
      <c r="A2432" s="49" t="s">
        <v>9887</v>
      </c>
      <c r="C2432" s="49" t="s">
        <v>9888</v>
      </c>
      <c r="D2432" s="49" t="s">
        <v>1264</v>
      </c>
      <c r="E2432" s="49" t="s">
        <v>7057</v>
      </c>
      <c r="F2432" s="49" t="s">
        <v>2825</v>
      </c>
      <c r="G2432" s="49" t="s">
        <v>2776</v>
      </c>
      <c r="H2432" s="49" t="s">
        <v>2827</v>
      </c>
      <c r="I2432" s="50">
        <v>41418</v>
      </c>
      <c r="M2432" s="49" t="s">
        <v>9889</v>
      </c>
    </row>
    <row r="2433" spans="1:13" x14ac:dyDescent="0.35">
      <c r="A2433" s="49" t="s">
        <v>9890</v>
      </c>
      <c r="B2433" s="49" t="s">
        <v>9891</v>
      </c>
      <c r="C2433" s="49" t="s">
        <v>9888</v>
      </c>
      <c r="D2433" s="49" t="s">
        <v>1264</v>
      </c>
      <c r="E2433" s="49" t="s">
        <v>7057</v>
      </c>
      <c r="F2433" s="49" t="s">
        <v>2825</v>
      </c>
      <c r="G2433" s="49" t="s">
        <v>2776</v>
      </c>
      <c r="H2433" s="49" t="s">
        <v>2827</v>
      </c>
      <c r="I2433" s="50">
        <v>41439</v>
      </c>
      <c r="M2433" s="49" t="s">
        <v>9892</v>
      </c>
    </row>
    <row r="2434" spans="1:13" x14ac:dyDescent="0.35">
      <c r="A2434" s="49" t="s">
        <v>9893</v>
      </c>
      <c r="C2434" s="49" t="s">
        <v>3338</v>
      </c>
      <c r="D2434" s="49" t="s">
        <v>1264</v>
      </c>
      <c r="E2434" s="49" t="s">
        <v>7057</v>
      </c>
      <c r="F2434" s="49" t="s">
        <v>2825</v>
      </c>
      <c r="G2434" s="49" t="s">
        <v>2776</v>
      </c>
      <c r="H2434" s="49" t="s">
        <v>2827</v>
      </c>
      <c r="I2434" s="50">
        <v>41512</v>
      </c>
      <c r="M2434" s="49" t="s">
        <v>9894</v>
      </c>
    </row>
    <row r="2435" spans="1:13" x14ac:dyDescent="0.35">
      <c r="A2435" s="49" t="s">
        <v>9895</v>
      </c>
      <c r="B2435" s="49" t="s">
        <v>9896</v>
      </c>
      <c r="C2435" s="49" t="s">
        <v>3941</v>
      </c>
      <c r="D2435" s="49" t="s">
        <v>1264</v>
      </c>
      <c r="E2435" s="49" t="s">
        <v>7057</v>
      </c>
      <c r="F2435" s="49" t="s">
        <v>2825</v>
      </c>
      <c r="G2435" s="49" t="s">
        <v>2776</v>
      </c>
      <c r="H2435" s="49" t="s">
        <v>2827</v>
      </c>
      <c r="I2435" s="50">
        <v>41638</v>
      </c>
      <c r="M2435" s="49" t="s">
        <v>9897</v>
      </c>
    </row>
    <row r="2436" spans="1:13" x14ac:dyDescent="0.35">
      <c r="A2436" s="49" t="s">
        <v>9898</v>
      </c>
      <c r="C2436" s="49" t="s">
        <v>4336</v>
      </c>
      <c r="D2436" s="49" t="s">
        <v>1264</v>
      </c>
      <c r="E2436" s="49" t="s">
        <v>7057</v>
      </c>
      <c r="F2436" s="49" t="s">
        <v>2825</v>
      </c>
      <c r="G2436" s="49" t="s">
        <v>2776</v>
      </c>
      <c r="H2436" s="49" t="s">
        <v>2827</v>
      </c>
      <c r="I2436" s="50">
        <v>42548</v>
      </c>
      <c r="M2436" s="49" t="s">
        <v>3100</v>
      </c>
    </row>
    <row r="2437" spans="1:13" x14ac:dyDescent="0.35">
      <c r="A2437" s="49" t="s">
        <v>9899</v>
      </c>
      <c r="C2437" s="49" t="s">
        <v>9900</v>
      </c>
      <c r="D2437" s="49" t="s">
        <v>1264</v>
      </c>
      <c r="E2437" s="49" t="s">
        <v>7057</v>
      </c>
      <c r="F2437" s="49" t="s">
        <v>2825</v>
      </c>
      <c r="G2437" s="49" t="s">
        <v>2776</v>
      </c>
      <c r="H2437" s="49" t="s">
        <v>2827</v>
      </c>
      <c r="I2437" s="50">
        <v>42548</v>
      </c>
      <c r="M2437" s="49" t="s">
        <v>9901</v>
      </c>
    </row>
    <row r="2438" spans="1:13" x14ac:dyDescent="0.35">
      <c r="A2438" s="49" t="s">
        <v>9902</v>
      </c>
      <c r="B2438" s="49" t="s">
        <v>2863</v>
      </c>
      <c r="C2438" s="49" t="s">
        <v>9903</v>
      </c>
      <c r="D2438" s="49" t="s">
        <v>1264</v>
      </c>
      <c r="E2438" s="49" t="s">
        <v>7057</v>
      </c>
      <c r="F2438" s="49" t="s">
        <v>2825</v>
      </c>
      <c r="G2438" s="49" t="s">
        <v>2776</v>
      </c>
      <c r="H2438" s="49" t="s">
        <v>2827</v>
      </c>
      <c r="I2438" s="50">
        <v>42380</v>
      </c>
      <c r="M2438" s="49" t="s">
        <v>3212</v>
      </c>
    </row>
    <row r="2439" spans="1:13" x14ac:dyDescent="0.35">
      <c r="A2439" s="49" t="s">
        <v>9904</v>
      </c>
      <c r="B2439" s="49" t="s">
        <v>9905</v>
      </c>
      <c r="C2439" s="49" t="s">
        <v>9906</v>
      </c>
      <c r="D2439" s="49" t="s">
        <v>1264</v>
      </c>
      <c r="E2439" s="49" t="s">
        <v>7057</v>
      </c>
      <c r="F2439" s="49" t="s">
        <v>2825</v>
      </c>
      <c r="G2439" s="49" t="s">
        <v>2776</v>
      </c>
      <c r="H2439" s="49" t="s">
        <v>2827</v>
      </c>
      <c r="I2439" s="50">
        <v>42193</v>
      </c>
      <c r="M2439" s="49" t="s">
        <v>9907</v>
      </c>
    </row>
    <row r="2440" spans="1:13" x14ac:dyDescent="0.35">
      <c r="A2440" s="49" t="s">
        <v>9908</v>
      </c>
      <c r="B2440" s="49" t="s">
        <v>949</v>
      </c>
      <c r="C2440" s="49" t="s">
        <v>9909</v>
      </c>
      <c r="D2440" s="49" t="s">
        <v>1264</v>
      </c>
      <c r="E2440" s="49" t="s">
        <v>7057</v>
      </c>
      <c r="F2440" s="49" t="s">
        <v>2825</v>
      </c>
      <c r="G2440" s="49" t="s">
        <v>2776</v>
      </c>
      <c r="H2440" s="49" t="s">
        <v>2827</v>
      </c>
      <c r="I2440" s="50">
        <v>42644</v>
      </c>
      <c r="M2440" s="49" t="s">
        <v>3270</v>
      </c>
    </row>
    <row r="2441" spans="1:13" x14ac:dyDescent="0.35">
      <c r="A2441" s="49" t="s">
        <v>9910</v>
      </c>
      <c r="C2441" s="49" t="s">
        <v>9911</v>
      </c>
      <c r="D2441" s="49" t="s">
        <v>1264</v>
      </c>
      <c r="E2441" s="49" t="s">
        <v>7057</v>
      </c>
      <c r="F2441" s="49" t="s">
        <v>2825</v>
      </c>
      <c r="G2441" s="49" t="s">
        <v>2776</v>
      </c>
      <c r="H2441" s="49" t="s">
        <v>2827</v>
      </c>
      <c r="I2441" s="50">
        <v>42319</v>
      </c>
      <c r="M2441" s="49" t="s">
        <v>3270</v>
      </c>
    </row>
    <row r="2442" spans="1:13" x14ac:dyDescent="0.35">
      <c r="A2442" s="49" t="s">
        <v>9912</v>
      </c>
      <c r="B2442" s="49" t="s">
        <v>9913</v>
      </c>
      <c r="C2442" s="49" t="s">
        <v>9914</v>
      </c>
      <c r="D2442" s="49" t="s">
        <v>1264</v>
      </c>
      <c r="E2442" s="49" t="s">
        <v>7057</v>
      </c>
      <c r="F2442" s="49" t="s">
        <v>2825</v>
      </c>
      <c r="G2442" s="49" t="s">
        <v>2776</v>
      </c>
      <c r="H2442" s="49" t="s">
        <v>2827</v>
      </c>
      <c r="I2442" s="50">
        <v>42356</v>
      </c>
      <c r="M2442" s="49" t="s">
        <v>9915</v>
      </c>
    </row>
    <row r="2443" spans="1:13" x14ac:dyDescent="0.35">
      <c r="A2443" s="49" t="s">
        <v>9916</v>
      </c>
      <c r="C2443" s="49" t="s">
        <v>9917</v>
      </c>
      <c r="D2443" s="49" t="s">
        <v>1264</v>
      </c>
      <c r="E2443" s="49" t="s">
        <v>7057</v>
      </c>
      <c r="F2443" s="49" t="s">
        <v>2825</v>
      </c>
      <c r="G2443" s="49" t="s">
        <v>2776</v>
      </c>
      <c r="H2443" s="49" t="s">
        <v>2827</v>
      </c>
      <c r="I2443" s="50">
        <v>42275</v>
      </c>
      <c r="M2443" s="49" t="s">
        <v>3270</v>
      </c>
    </row>
    <row r="2444" spans="1:13" x14ac:dyDescent="0.35">
      <c r="A2444" s="49" t="s">
        <v>9918</v>
      </c>
      <c r="C2444" s="49" t="s">
        <v>8952</v>
      </c>
      <c r="D2444" s="49" t="s">
        <v>1264</v>
      </c>
      <c r="E2444" s="49" t="s">
        <v>7057</v>
      </c>
      <c r="F2444" s="49" t="s">
        <v>2825</v>
      </c>
      <c r="G2444" s="49" t="s">
        <v>2776</v>
      </c>
      <c r="H2444" s="49" t="s">
        <v>2827</v>
      </c>
      <c r="I2444" s="50">
        <v>42129</v>
      </c>
      <c r="M2444" s="49" t="s">
        <v>3270</v>
      </c>
    </row>
    <row r="2445" spans="1:13" x14ac:dyDescent="0.35">
      <c r="A2445" s="49" t="s">
        <v>9919</v>
      </c>
      <c r="C2445" s="49" t="s">
        <v>9920</v>
      </c>
      <c r="D2445" s="49" t="s">
        <v>1264</v>
      </c>
      <c r="E2445" s="49" t="s">
        <v>7057</v>
      </c>
      <c r="F2445" s="49" t="s">
        <v>2825</v>
      </c>
      <c r="G2445" s="49" t="s">
        <v>2776</v>
      </c>
      <c r="H2445" s="49" t="s">
        <v>2827</v>
      </c>
      <c r="I2445" s="50">
        <v>42367</v>
      </c>
      <c r="M2445" s="49" t="s">
        <v>9921</v>
      </c>
    </row>
    <row r="2446" spans="1:13" x14ac:dyDescent="0.35">
      <c r="A2446" s="49" t="s">
        <v>9922</v>
      </c>
      <c r="B2446" s="49" t="s">
        <v>3337</v>
      </c>
      <c r="C2446" s="49" t="s">
        <v>9923</v>
      </c>
      <c r="D2446" s="49" t="s">
        <v>1264</v>
      </c>
      <c r="E2446" s="49" t="s">
        <v>7057</v>
      </c>
      <c r="F2446" s="49" t="s">
        <v>2825</v>
      </c>
      <c r="G2446" s="49" t="s">
        <v>2776</v>
      </c>
      <c r="H2446" s="49" t="s">
        <v>2827</v>
      </c>
      <c r="I2446" s="50">
        <v>42119</v>
      </c>
      <c r="M2446" s="49" t="s">
        <v>9924</v>
      </c>
    </row>
    <row r="2447" spans="1:13" x14ac:dyDescent="0.35">
      <c r="A2447" s="49" t="s">
        <v>9925</v>
      </c>
      <c r="B2447" s="49" t="s">
        <v>9926</v>
      </c>
      <c r="C2447" s="49" t="s">
        <v>7510</v>
      </c>
      <c r="D2447" s="49" t="s">
        <v>1264</v>
      </c>
      <c r="E2447" s="49" t="s">
        <v>7057</v>
      </c>
      <c r="F2447" s="49" t="s">
        <v>2825</v>
      </c>
      <c r="G2447" s="49" t="s">
        <v>2776</v>
      </c>
      <c r="H2447" s="49" t="s">
        <v>973</v>
      </c>
      <c r="I2447" s="50">
        <v>42278</v>
      </c>
      <c r="M2447" s="49" t="s">
        <v>9927</v>
      </c>
    </row>
    <row r="2448" spans="1:13" x14ac:dyDescent="0.35">
      <c r="A2448" s="49" t="s">
        <v>9928</v>
      </c>
      <c r="B2448" s="49" t="s">
        <v>9929</v>
      </c>
      <c r="C2448" s="49" t="s">
        <v>9923</v>
      </c>
      <c r="D2448" s="49" t="s">
        <v>1264</v>
      </c>
      <c r="E2448" s="49" t="s">
        <v>7057</v>
      </c>
      <c r="F2448" s="49" t="s">
        <v>2825</v>
      </c>
      <c r="G2448" s="49" t="s">
        <v>2776</v>
      </c>
      <c r="H2448" s="49" t="s">
        <v>2827</v>
      </c>
      <c r="I2448" s="50">
        <v>42233</v>
      </c>
      <c r="M2448" s="49" t="s">
        <v>9930</v>
      </c>
    </row>
    <row r="2449" spans="1:13" x14ac:dyDescent="0.35">
      <c r="A2449" s="49" t="s">
        <v>9931</v>
      </c>
      <c r="C2449" s="49" t="s">
        <v>5262</v>
      </c>
      <c r="D2449" s="49" t="s">
        <v>1264</v>
      </c>
      <c r="E2449" s="49" t="s">
        <v>7057</v>
      </c>
      <c r="F2449" s="49" t="s">
        <v>2825</v>
      </c>
      <c r="G2449" s="49" t="s">
        <v>2776</v>
      </c>
      <c r="H2449" s="49" t="s">
        <v>2827</v>
      </c>
      <c r="I2449" s="50">
        <v>42676</v>
      </c>
      <c r="M2449" s="49" t="s">
        <v>9932</v>
      </c>
    </row>
    <row r="2450" spans="1:13" x14ac:dyDescent="0.35">
      <c r="A2450" s="49" t="s">
        <v>9933</v>
      </c>
      <c r="C2450" s="49" t="s">
        <v>3187</v>
      </c>
      <c r="D2450" s="49" t="s">
        <v>1264</v>
      </c>
      <c r="E2450" s="49" t="s">
        <v>7057</v>
      </c>
      <c r="F2450" s="49" t="s">
        <v>2825</v>
      </c>
      <c r="G2450" s="49" t="s">
        <v>2776</v>
      </c>
      <c r="H2450" s="49" t="s">
        <v>2827</v>
      </c>
      <c r="I2450" s="50">
        <v>42692</v>
      </c>
      <c r="M2450" s="49" t="s">
        <v>9934</v>
      </c>
    </row>
    <row r="2451" spans="1:13" x14ac:dyDescent="0.35">
      <c r="A2451" s="49" t="s">
        <v>9935</v>
      </c>
      <c r="C2451" s="49" t="s">
        <v>5262</v>
      </c>
      <c r="D2451" s="49" t="s">
        <v>1264</v>
      </c>
      <c r="E2451" s="49" t="s">
        <v>7057</v>
      </c>
      <c r="F2451" s="49" t="s">
        <v>2825</v>
      </c>
      <c r="G2451" s="49" t="s">
        <v>2776</v>
      </c>
      <c r="H2451" s="49" t="s">
        <v>2827</v>
      </c>
      <c r="I2451" s="50">
        <v>42695</v>
      </c>
      <c r="M2451" s="49" t="s">
        <v>9936</v>
      </c>
    </row>
    <row r="2452" spans="1:13" x14ac:dyDescent="0.35">
      <c r="A2452" s="49" t="s">
        <v>9937</v>
      </c>
      <c r="B2452" s="49" t="s">
        <v>3562</v>
      </c>
      <c r="C2452" s="49" t="s">
        <v>9938</v>
      </c>
      <c r="D2452" s="49" t="s">
        <v>1264</v>
      </c>
      <c r="E2452" s="49" t="s">
        <v>7057</v>
      </c>
      <c r="F2452" s="49" t="s">
        <v>2825</v>
      </c>
      <c r="G2452" s="49" t="s">
        <v>2776</v>
      </c>
      <c r="H2452" s="49" t="s">
        <v>2827</v>
      </c>
      <c r="I2452" s="50">
        <v>42443</v>
      </c>
      <c r="M2452" s="49" t="s">
        <v>3270</v>
      </c>
    </row>
    <row r="2453" spans="1:13" x14ac:dyDescent="0.35">
      <c r="A2453" s="49" t="s">
        <v>9939</v>
      </c>
      <c r="B2453" s="49" t="s">
        <v>9940</v>
      </c>
      <c r="C2453" s="49" t="s">
        <v>7352</v>
      </c>
      <c r="D2453" s="49" t="s">
        <v>1264</v>
      </c>
      <c r="E2453" s="49" t="s">
        <v>7057</v>
      </c>
      <c r="F2453" s="49" t="s">
        <v>2825</v>
      </c>
      <c r="G2453" s="49" t="s">
        <v>2776</v>
      </c>
      <c r="H2453" s="49" t="s">
        <v>2827</v>
      </c>
      <c r="I2453" s="50">
        <v>42324</v>
      </c>
      <c r="M2453" s="49" t="s">
        <v>9941</v>
      </c>
    </row>
    <row r="2454" spans="1:13" x14ac:dyDescent="0.35">
      <c r="A2454" s="49" t="s">
        <v>9942</v>
      </c>
      <c r="B2454" s="49" t="s">
        <v>8585</v>
      </c>
      <c r="C2454" s="49" t="s">
        <v>9943</v>
      </c>
      <c r="D2454" s="49" t="s">
        <v>1264</v>
      </c>
      <c r="E2454" s="49" t="s">
        <v>7057</v>
      </c>
      <c r="F2454" s="49" t="s">
        <v>2825</v>
      </c>
      <c r="G2454" s="49" t="s">
        <v>2776</v>
      </c>
      <c r="H2454" s="49" t="s">
        <v>2827</v>
      </c>
      <c r="I2454" s="50">
        <v>42444</v>
      </c>
      <c r="M2454" s="49" t="s">
        <v>3100</v>
      </c>
    </row>
    <row r="2455" spans="1:13" x14ac:dyDescent="0.35">
      <c r="A2455" s="49" t="s">
        <v>9944</v>
      </c>
      <c r="B2455" s="49" t="s">
        <v>9945</v>
      </c>
      <c r="C2455" s="49" t="s">
        <v>7624</v>
      </c>
      <c r="D2455" s="49" t="s">
        <v>1264</v>
      </c>
      <c r="E2455" s="49" t="s">
        <v>7057</v>
      </c>
      <c r="F2455" s="49" t="s">
        <v>2825</v>
      </c>
      <c r="G2455" s="49" t="s">
        <v>2776</v>
      </c>
      <c r="H2455" s="49" t="s">
        <v>2827</v>
      </c>
      <c r="I2455" s="50">
        <v>42583</v>
      </c>
      <c r="M2455" s="49" t="s">
        <v>9946</v>
      </c>
    </row>
    <row r="2456" spans="1:13" x14ac:dyDescent="0.35">
      <c r="A2456" s="49" t="s">
        <v>9947</v>
      </c>
      <c r="C2456" s="49" t="s">
        <v>9002</v>
      </c>
      <c r="D2456" s="49" t="s">
        <v>1264</v>
      </c>
      <c r="E2456" s="49" t="s">
        <v>7057</v>
      </c>
      <c r="F2456" s="49" t="s">
        <v>2825</v>
      </c>
      <c r="G2456" s="49" t="s">
        <v>2776</v>
      </c>
      <c r="H2456" s="49" t="s">
        <v>2827</v>
      </c>
      <c r="I2456" s="50">
        <v>42483</v>
      </c>
      <c r="M2456" s="49" t="s">
        <v>9948</v>
      </c>
    </row>
    <row r="2457" spans="1:13" x14ac:dyDescent="0.35">
      <c r="A2457" s="49" t="s">
        <v>9949</v>
      </c>
      <c r="C2457" s="49" t="s">
        <v>9950</v>
      </c>
      <c r="D2457" s="49" t="s">
        <v>1264</v>
      </c>
      <c r="E2457" s="49" t="s">
        <v>7057</v>
      </c>
      <c r="F2457" s="49" t="s">
        <v>2825</v>
      </c>
      <c r="G2457" s="49" t="s">
        <v>2776</v>
      </c>
      <c r="H2457" s="49" t="s">
        <v>2827</v>
      </c>
      <c r="I2457" s="50">
        <v>42289</v>
      </c>
      <c r="M2457" s="49" t="s">
        <v>9951</v>
      </c>
    </row>
    <row r="2458" spans="1:13" x14ac:dyDescent="0.35">
      <c r="A2458" s="49" t="s">
        <v>9952</v>
      </c>
      <c r="B2458" s="49" t="s">
        <v>8228</v>
      </c>
      <c r="C2458" s="49" t="s">
        <v>8229</v>
      </c>
      <c r="D2458" s="49" t="s">
        <v>1264</v>
      </c>
      <c r="E2458" s="49" t="s">
        <v>7057</v>
      </c>
      <c r="F2458" s="49" t="s">
        <v>2825</v>
      </c>
      <c r="G2458" s="49" t="s">
        <v>2776</v>
      </c>
      <c r="H2458" s="49" t="s">
        <v>2827</v>
      </c>
      <c r="I2458" s="50">
        <v>42627</v>
      </c>
      <c r="M2458" s="49" t="s">
        <v>8230</v>
      </c>
    </row>
    <row r="2459" spans="1:13" x14ac:dyDescent="0.35">
      <c r="A2459" s="49" t="s">
        <v>9953</v>
      </c>
      <c r="B2459" s="49" t="s">
        <v>9954</v>
      </c>
      <c r="C2459" s="49" t="s">
        <v>4956</v>
      </c>
      <c r="D2459" s="49" t="s">
        <v>1264</v>
      </c>
      <c r="E2459" s="49" t="s">
        <v>7057</v>
      </c>
      <c r="F2459" s="49" t="s">
        <v>2825</v>
      </c>
      <c r="G2459" s="49" t="s">
        <v>2776</v>
      </c>
      <c r="H2459" s="49" t="s">
        <v>973</v>
      </c>
      <c r="I2459" s="50">
        <v>44706</v>
      </c>
      <c r="M2459" s="49" t="s">
        <v>9955</v>
      </c>
    </row>
    <row r="2460" spans="1:13" x14ac:dyDescent="0.35">
      <c r="A2460" s="49" t="s">
        <v>9956</v>
      </c>
      <c r="B2460" s="49" t="s">
        <v>9957</v>
      </c>
      <c r="C2460" s="49" t="s">
        <v>3563</v>
      </c>
      <c r="D2460" s="49" t="s">
        <v>1264</v>
      </c>
      <c r="E2460" s="49" t="s">
        <v>7057</v>
      </c>
      <c r="F2460" s="49" t="s">
        <v>2825</v>
      </c>
      <c r="G2460" s="49" t="s">
        <v>2776</v>
      </c>
      <c r="H2460" s="49" t="s">
        <v>2827</v>
      </c>
      <c r="I2460" s="50">
        <v>42443</v>
      </c>
      <c r="M2460" s="49" t="s">
        <v>9958</v>
      </c>
    </row>
    <row r="2461" spans="1:13" x14ac:dyDescent="0.35">
      <c r="A2461" s="49" t="s">
        <v>9959</v>
      </c>
      <c r="B2461" s="49" t="s">
        <v>9960</v>
      </c>
      <c r="C2461" s="49" t="s">
        <v>9906</v>
      </c>
      <c r="D2461" s="49" t="s">
        <v>1264</v>
      </c>
      <c r="E2461" s="49" t="s">
        <v>7057</v>
      </c>
      <c r="F2461" s="49" t="s">
        <v>2825</v>
      </c>
      <c r="G2461" s="49" t="s">
        <v>2776</v>
      </c>
      <c r="H2461" s="49" t="s">
        <v>2827</v>
      </c>
      <c r="I2461" s="50">
        <v>42055</v>
      </c>
      <c r="M2461" s="49" t="s">
        <v>9961</v>
      </c>
    </row>
    <row r="2462" spans="1:13" x14ac:dyDescent="0.35">
      <c r="A2462" s="49" t="s">
        <v>9962</v>
      </c>
      <c r="C2462" s="49" t="s">
        <v>9963</v>
      </c>
      <c r="D2462" s="49" t="s">
        <v>1264</v>
      </c>
      <c r="E2462" s="49" t="s">
        <v>7057</v>
      </c>
      <c r="F2462" s="49" t="s">
        <v>2825</v>
      </c>
      <c r="G2462" s="49" t="s">
        <v>2776</v>
      </c>
      <c r="H2462" s="49" t="s">
        <v>2827</v>
      </c>
      <c r="I2462" s="50">
        <v>42604</v>
      </c>
      <c r="M2462" s="49" t="s">
        <v>8587</v>
      </c>
    </row>
    <row r="2463" spans="1:13" x14ac:dyDescent="0.35">
      <c r="A2463" s="49" t="s">
        <v>9964</v>
      </c>
      <c r="C2463" s="49" t="s">
        <v>9965</v>
      </c>
      <c r="D2463" s="49" t="s">
        <v>1264</v>
      </c>
      <c r="E2463" s="49" t="s">
        <v>7057</v>
      </c>
      <c r="F2463" s="49" t="s">
        <v>2825</v>
      </c>
      <c r="G2463" s="49" t="s">
        <v>2776</v>
      </c>
      <c r="H2463" s="49" t="s">
        <v>2827</v>
      </c>
      <c r="I2463" s="50">
        <v>42223</v>
      </c>
      <c r="M2463" s="49" t="s">
        <v>9966</v>
      </c>
    </row>
    <row r="2464" spans="1:13" x14ac:dyDescent="0.35">
      <c r="A2464" s="49" t="s">
        <v>9967</v>
      </c>
      <c r="C2464" s="49" t="s">
        <v>9968</v>
      </c>
      <c r="D2464" s="49" t="s">
        <v>1264</v>
      </c>
      <c r="E2464" s="49" t="s">
        <v>7057</v>
      </c>
      <c r="F2464" s="49" t="s">
        <v>2825</v>
      </c>
      <c r="G2464" s="49" t="s">
        <v>2776</v>
      </c>
      <c r="H2464" s="49" t="s">
        <v>2827</v>
      </c>
      <c r="I2464" s="50">
        <v>42223</v>
      </c>
      <c r="M2464" s="49" t="s">
        <v>9969</v>
      </c>
    </row>
    <row r="2465" spans="1:13" x14ac:dyDescent="0.35">
      <c r="A2465" s="49" t="s">
        <v>9970</v>
      </c>
      <c r="B2465" s="49" t="s">
        <v>9971</v>
      </c>
      <c r="C2465" s="49" t="s">
        <v>7600</v>
      </c>
      <c r="D2465" s="49" t="s">
        <v>1264</v>
      </c>
      <c r="E2465" s="49" t="s">
        <v>7057</v>
      </c>
      <c r="F2465" s="49" t="s">
        <v>2825</v>
      </c>
      <c r="G2465" s="49" t="s">
        <v>2776</v>
      </c>
      <c r="H2465" s="49" t="s">
        <v>2827</v>
      </c>
      <c r="I2465" s="50">
        <v>42326</v>
      </c>
      <c r="M2465" s="49" t="s">
        <v>9972</v>
      </c>
    </row>
    <row r="2466" spans="1:13" x14ac:dyDescent="0.35">
      <c r="A2466" s="49" t="s">
        <v>9973</v>
      </c>
      <c r="C2466" s="49" t="s">
        <v>9974</v>
      </c>
      <c r="D2466" s="49" t="s">
        <v>1264</v>
      </c>
      <c r="E2466" s="49" t="s">
        <v>7057</v>
      </c>
      <c r="F2466" s="49" t="s">
        <v>2825</v>
      </c>
      <c r="G2466" s="49" t="s">
        <v>2776</v>
      </c>
      <c r="H2466" s="49" t="s">
        <v>2827</v>
      </c>
      <c r="I2466" s="50">
        <v>42326</v>
      </c>
      <c r="M2466" s="49" t="s">
        <v>3270</v>
      </c>
    </row>
    <row r="2467" spans="1:13" x14ac:dyDescent="0.35">
      <c r="A2467" s="49" t="s">
        <v>9975</v>
      </c>
      <c r="B2467" s="49" t="s">
        <v>9976</v>
      </c>
      <c r="C2467" s="49" t="s">
        <v>8721</v>
      </c>
      <c r="D2467" s="49" t="s">
        <v>1264</v>
      </c>
      <c r="E2467" s="49" t="s">
        <v>7057</v>
      </c>
      <c r="F2467" s="49" t="s">
        <v>2825</v>
      </c>
      <c r="G2467" s="49" t="s">
        <v>2776</v>
      </c>
      <c r="H2467" s="49" t="s">
        <v>2827</v>
      </c>
      <c r="I2467" s="50">
        <v>42492</v>
      </c>
      <c r="M2467" s="49" t="s">
        <v>9977</v>
      </c>
    </row>
    <row r="2468" spans="1:13" x14ac:dyDescent="0.35">
      <c r="A2468" s="49" t="s">
        <v>9978</v>
      </c>
      <c r="C2468" s="49" t="s">
        <v>9675</v>
      </c>
      <c r="D2468" s="49" t="s">
        <v>1264</v>
      </c>
      <c r="E2468" s="49" t="s">
        <v>7057</v>
      </c>
      <c r="F2468" s="49" t="s">
        <v>2825</v>
      </c>
      <c r="G2468" s="49" t="s">
        <v>2776</v>
      </c>
      <c r="H2468" s="49" t="s">
        <v>2827</v>
      </c>
      <c r="I2468" s="50">
        <v>42565</v>
      </c>
      <c r="M2468" s="49" t="s">
        <v>3470</v>
      </c>
    </row>
    <row r="2469" spans="1:13" x14ac:dyDescent="0.35">
      <c r="A2469" s="49" t="s">
        <v>9979</v>
      </c>
      <c r="B2469" s="49" t="s">
        <v>9980</v>
      </c>
      <c r="C2469" s="49" t="s">
        <v>7600</v>
      </c>
      <c r="D2469" s="49" t="s">
        <v>1264</v>
      </c>
      <c r="E2469" s="49" t="s">
        <v>7057</v>
      </c>
      <c r="F2469" s="49" t="s">
        <v>2825</v>
      </c>
      <c r="G2469" s="49" t="s">
        <v>2776</v>
      </c>
      <c r="H2469" s="49" t="s">
        <v>2827</v>
      </c>
      <c r="I2469" s="50">
        <v>42451</v>
      </c>
      <c r="M2469" s="49" t="s">
        <v>9981</v>
      </c>
    </row>
    <row r="2470" spans="1:13" x14ac:dyDescent="0.35">
      <c r="A2470" s="49" t="s">
        <v>9982</v>
      </c>
      <c r="B2470" s="49" t="s">
        <v>9983</v>
      </c>
      <c r="C2470" s="49" t="s">
        <v>7352</v>
      </c>
      <c r="D2470" s="49" t="s">
        <v>1264</v>
      </c>
      <c r="E2470" s="49" t="s">
        <v>7057</v>
      </c>
      <c r="F2470" s="49" t="s">
        <v>2825</v>
      </c>
      <c r="G2470" s="49" t="s">
        <v>2776</v>
      </c>
      <c r="H2470" s="49" t="s">
        <v>2827</v>
      </c>
      <c r="I2470" s="50">
        <v>42324</v>
      </c>
      <c r="M2470" s="49" t="s">
        <v>9984</v>
      </c>
    </row>
    <row r="2471" spans="1:13" x14ac:dyDescent="0.35">
      <c r="A2471" s="49" t="s">
        <v>9985</v>
      </c>
      <c r="B2471" s="49" t="s">
        <v>9986</v>
      </c>
      <c r="C2471" s="49" t="s">
        <v>3620</v>
      </c>
      <c r="D2471" s="49" t="s">
        <v>1264</v>
      </c>
      <c r="E2471" s="49" t="s">
        <v>2908</v>
      </c>
      <c r="F2471" s="49" t="s">
        <v>2939</v>
      </c>
      <c r="G2471" s="49" t="s">
        <v>2776</v>
      </c>
      <c r="H2471" s="49" t="s">
        <v>980</v>
      </c>
      <c r="I2471" s="50">
        <v>41737</v>
      </c>
      <c r="M2471" s="49" t="s">
        <v>9987</v>
      </c>
    </row>
    <row r="2472" spans="1:13" x14ac:dyDescent="0.35">
      <c r="A2472" s="49" t="s">
        <v>9988</v>
      </c>
      <c r="C2472" s="49" t="s">
        <v>8794</v>
      </c>
      <c r="D2472" s="49" t="s">
        <v>1264</v>
      </c>
      <c r="E2472" s="49" t="s">
        <v>2908</v>
      </c>
      <c r="F2472" s="49" t="s">
        <v>2939</v>
      </c>
      <c r="G2472" s="49" t="s">
        <v>2776</v>
      </c>
      <c r="H2472" s="49" t="s">
        <v>980</v>
      </c>
      <c r="I2472" s="50">
        <v>41509</v>
      </c>
      <c r="M2472" s="49" t="s">
        <v>9989</v>
      </c>
    </row>
    <row r="2473" spans="1:13" x14ac:dyDescent="0.35">
      <c r="A2473" s="49" t="s">
        <v>9990</v>
      </c>
      <c r="C2473" s="49" t="s">
        <v>9991</v>
      </c>
      <c r="D2473" s="49" t="s">
        <v>1264</v>
      </c>
      <c r="E2473" s="49" t="s">
        <v>2908</v>
      </c>
      <c r="F2473" s="49" t="s">
        <v>2939</v>
      </c>
      <c r="G2473" s="49" t="s">
        <v>2776</v>
      </c>
      <c r="H2473" s="49" t="s">
        <v>980</v>
      </c>
      <c r="I2473" s="50">
        <v>41795</v>
      </c>
      <c r="M2473" s="49" t="s">
        <v>9992</v>
      </c>
    </row>
    <row r="2474" spans="1:13" x14ac:dyDescent="0.35">
      <c r="A2474" s="49" t="s">
        <v>9993</v>
      </c>
      <c r="C2474" s="49" t="s">
        <v>4320</v>
      </c>
      <c r="D2474" s="49" t="s">
        <v>1264</v>
      </c>
      <c r="E2474" s="49" t="s">
        <v>2785</v>
      </c>
      <c r="F2474" s="49" t="s">
        <v>2792</v>
      </c>
      <c r="G2474" s="49" t="s">
        <v>2776</v>
      </c>
      <c r="H2474" s="49" t="s">
        <v>980</v>
      </c>
      <c r="I2474" s="50">
        <v>43720</v>
      </c>
      <c r="M2474" s="49" t="s">
        <v>9994</v>
      </c>
    </row>
    <row r="2475" spans="1:13" x14ac:dyDescent="0.35">
      <c r="A2475" s="49" t="s">
        <v>9995</v>
      </c>
      <c r="B2475" s="49" t="s">
        <v>9996</v>
      </c>
      <c r="C2475" s="49" t="s">
        <v>9997</v>
      </c>
      <c r="D2475" s="49" t="s">
        <v>1264</v>
      </c>
      <c r="E2475" s="49" t="s">
        <v>2908</v>
      </c>
      <c r="F2475" s="49" t="s">
        <v>2837</v>
      </c>
      <c r="G2475" s="49" t="s">
        <v>2776</v>
      </c>
      <c r="H2475" s="49" t="s">
        <v>2827</v>
      </c>
      <c r="I2475" s="50">
        <v>42065</v>
      </c>
      <c r="M2475" s="49" t="s">
        <v>3876</v>
      </c>
    </row>
    <row r="2476" spans="1:13" x14ac:dyDescent="0.35">
      <c r="A2476" s="49" t="s">
        <v>9998</v>
      </c>
      <c r="C2476" s="49" t="s">
        <v>2810</v>
      </c>
      <c r="D2476" s="49" t="s">
        <v>1264</v>
      </c>
      <c r="E2476" s="49" t="s">
        <v>2785</v>
      </c>
      <c r="F2476" s="49" t="s">
        <v>2792</v>
      </c>
      <c r="G2476" s="49" t="s">
        <v>2776</v>
      </c>
      <c r="H2476" s="49" t="s">
        <v>980</v>
      </c>
      <c r="I2476" s="50">
        <v>43801</v>
      </c>
      <c r="M2476" s="49" t="s">
        <v>9999</v>
      </c>
    </row>
    <row r="2477" spans="1:13" x14ac:dyDescent="0.35">
      <c r="A2477" s="49" t="s">
        <v>10000</v>
      </c>
      <c r="C2477" s="49" t="s">
        <v>9330</v>
      </c>
      <c r="D2477" s="49" t="s">
        <v>1264</v>
      </c>
      <c r="E2477" s="49" t="s">
        <v>2785</v>
      </c>
      <c r="F2477" s="49" t="s">
        <v>2792</v>
      </c>
      <c r="G2477" s="49" t="s">
        <v>2776</v>
      </c>
      <c r="H2477" s="49" t="s">
        <v>980</v>
      </c>
      <c r="I2477" s="50">
        <v>43803</v>
      </c>
      <c r="M2477" s="49" t="s">
        <v>4283</v>
      </c>
    </row>
    <row r="2478" spans="1:13" x14ac:dyDescent="0.35">
      <c r="A2478" s="49" t="s">
        <v>10001</v>
      </c>
      <c r="B2478" s="49" t="s">
        <v>6474</v>
      </c>
      <c r="C2478" s="49" t="s">
        <v>3882</v>
      </c>
      <c r="D2478" s="49" t="s">
        <v>1264</v>
      </c>
      <c r="E2478" s="49" t="s">
        <v>2785</v>
      </c>
      <c r="F2478" s="49" t="s">
        <v>2805</v>
      </c>
      <c r="G2478" s="49" t="s">
        <v>2776</v>
      </c>
      <c r="H2478" s="49" t="s">
        <v>980</v>
      </c>
      <c r="I2478" s="50">
        <v>43840</v>
      </c>
      <c r="M2478" s="49" t="s">
        <v>6623</v>
      </c>
    </row>
    <row r="2479" spans="1:13" x14ac:dyDescent="0.35">
      <c r="A2479" s="49" t="s">
        <v>10002</v>
      </c>
      <c r="C2479" s="49" t="s">
        <v>5287</v>
      </c>
      <c r="D2479" s="49" t="s">
        <v>1264</v>
      </c>
      <c r="E2479" s="49" t="s">
        <v>2785</v>
      </c>
      <c r="F2479" s="49" t="s">
        <v>2786</v>
      </c>
      <c r="G2479" s="49" t="s">
        <v>2776</v>
      </c>
      <c r="H2479" s="49" t="s">
        <v>8</v>
      </c>
      <c r="I2479" s="50">
        <v>43844</v>
      </c>
      <c r="M2479" s="49" t="s">
        <v>10003</v>
      </c>
    </row>
    <row r="2480" spans="1:13" x14ac:dyDescent="0.35">
      <c r="A2480" s="49" t="s">
        <v>10004</v>
      </c>
      <c r="C2480" s="49" t="s">
        <v>2997</v>
      </c>
      <c r="D2480" s="49" t="s">
        <v>1264</v>
      </c>
      <c r="E2480" s="49" t="s">
        <v>2785</v>
      </c>
      <c r="F2480" s="49" t="s">
        <v>2786</v>
      </c>
      <c r="G2480" s="49" t="s">
        <v>2776</v>
      </c>
      <c r="H2480" s="49" t="s">
        <v>980</v>
      </c>
      <c r="I2480" s="50">
        <v>41509</v>
      </c>
      <c r="M2480" s="49" t="s">
        <v>3871</v>
      </c>
    </row>
    <row r="2481" spans="1:13" x14ac:dyDescent="0.35">
      <c r="A2481" s="49" t="s">
        <v>10005</v>
      </c>
      <c r="C2481" s="49" t="s">
        <v>9832</v>
      </c>
      <c r="D2481" s="49" t="s">
        <v>1264</v>
      </c>
      <c r="E2481" s="49" t="s">
        <v>2785</v>
      </c>
      <c r="F2481" s="49" t="s">
        <v>2786</v>
      </c>
      <c r="G2481" s="49" t="s">
        <v>2776</v>
      </c>
      <c r="H2481" s="49" t="s">
        <v>1062</v>
      </c>
      <c r="I2481" s="50">
        <v>41647</v>
      </c>
      <c r="M2481" s="49" t="s">
        <v>10006</v>
      </c>
    </row>
    <row r="2482" spans="1:13" x14ac:dyDescent="0.35">
      <c r="A2482" s="49" t="s">
        <v>10007</v>
      </c>
      <c r="C2482" s="49" t="s">
        <v>9716</v>
      </c>
      <c r="D2482" s="49" t="s">
        <v>1264</v>
      </c>
      <c r="E2482" s="49" t="s">
        <v>2785</v>
      </c>
      <c r="F2482" s="49" t="s">
        <v>2792</v>
      </c>
      <c r="G2482" s="49" t="s">
        <v>2776</v>
      </c>
      <c r="H2482" s="49" t="s">
        <v>8</v>
      </c>
      <c r="I2482" s="50">
        <v>41786</v>
      </c>
      <c r="M2482" s="49" t="s">
        <v>10008</v>
      </c>
    </row>
    <row r="2483" spans="1:13" x14ac:dyDescent="0.35">
      <c r="A2483" s="49" t="s">
        <v>10009</v>
      </c>
      <c r="C2483" s="49" t="s">
        <v>10010</v>
      </c>
      <c r="D2483" s="49" t="s">
        <v>1264</v>
      </c>
      <c r="E2483" s="49" t="s">
        <v>2785</v>
      </c>
      <c r="F2483" s="49" t="s">
        <v>2792</v>
      </c>
      <c r="G2483" s="49" t="s">
        <v>2826</v>
      </c>
      <c r="H2483" s="49" t="s">
        <v>8</v>
      </c>
      <c r="I2483" s="50">
        <v>41505</v>
      </c>
      <c r="M2483" s="49" t="s">
        <v>10008</v>
      </c>
    </row>
    <row r="2484" spans="1:13" x14ac:dyDescent="0.35">
      <c r="A2484" s="49" t="s">
        <v>10011</v>
      </c>
      <c r="B2484" s="49" t="s">
        <v>10012</v>
      </c>
      <c r="C2484" s="49" t="s">
        <v>9832</v>
      </c>
      <c r="D2484" s="49" t="s">
        <v>1264</v>
      </c>
      <c r="E2484" s="49" t="s">
        <v>2785</v>
      </c>
      <c r="F2484" s="49" t="s">
        <v>2786</v>
      </c>
      <c r="G2484" s="49" t="s">
        <v>2826</v>
      </c>
      <c r="H2484" s="49" t="s">
        <v>1062</v>
      </c>
      <c r="I2484" s="50">
        <v>41626</v>
      </c>
      <c r="M2484" s="49" t="s">
        <v>10013</v>
      </c>
    </row>
    <row r="2485" spans="1:13" x14ac:dyDescent="0.35">
      <c r="A2485" s="49" t="s">
        <v>10014</v>
      </c>
      <c r="C2485" s="49" t="s">
        <v>10015</v>
      </c>
      <c r="D2485" s="49" t="s">
        <v>1264</v>
      </c>
      <c r="E2485" s="49" t="s">
        <v>2785</v>
      </c>
      <c r="F2485" s="49" t="s">
        <v>2792</v>
      </c>
      <c r="G2485" s="49" t="s">
        <v>2826</v>
      </c>
      <c r="H2485" s="49" t="s">
        <v>8</v>
      </c>
      <c r="I2485" s="50">
        <v>41656</v>
      </c>
      <c r="M2485" s="49" t="s">
        <v>10016</v>
      </c>
    </row>
    <row r="2486" spans="1:13" x14ac:dyDescent="0.35">
      <c r="A2486" s="49" t="s">
        <v>10017</v>
      </c>
      <c r="C2486" s="49" t="s">
        <v>10018</v>
      </c>
      <c r="D2486" s="49" t="s">
        <v>1264</v>
      </c>
      <c r="E2486" s="49" t="s">
        <v>2785</v>
      </c>
      <c r="F2486" s="49" t="s">
        <v>2792</v>
      </c>
      <c r="G2486" s="49" t="s">
        <v>2826</v>
      </c>
      <c r="H2486" s="49" t="s">
        <v>8</v>
      </c>
      <c r="I2486" s="50">
        <v>41754</v>
      </c>
      <c r="M2486" s="49" t="s">
        <v>10019</v>
      </c>
    </row>
    <row r="2487" spans="1:13" x14ac:dyDescent="0.35">
      <c r="A2487" s="49" t="s">
        <v>10020</v>
      </c>
      <c r="C2487" s="49" t="s">
        <v>10021</v>
      </c>
      <c r="D2487" s="49" t="s">
        <v>1264</v>
      </c>
      <c r="E2487" s="49" t="s">
        <v>2785</v>
      </c>
      <c r="F2487" s="49" t="s">
        <v>2792</v>
      </c>
      <c r="G2487" s="49" t="s">
        <v>2826</v>
      </c>
      <c r="H2487" s="49" t="s">
        <v>980</v>
      </c>
      <c r="I2487" s="50">
        <v>41711</v>
      </c>
      <c r="M2487" s="49" t="s">
        <v>10022</v>
      </c>
    </row>
    <row r="2488" spans="1:13" x14ac:dyDescent="0.35">
      <c r="A2488" s="49" t="s">
        <v>10023</v>
      </c>
      <c r="B2488" s="49" t="s">
        <v>10024</v>
      </c>
      <c r="C2488" s="49" t="s">
        <v>10025</v>
      </c>
      <c r="D2488" s="49" t="s">
        <v>1264</v>
      </c>
      <c r="E2488" s="49" t="s">
        <v>2785</v>
      </c>
      <c r="F2488" s="49" t="s">
        <v>2786</v>
      </c>
      <c r="G2488" s="49" t="s">
        <v>2826</v>
      </c>
      <c r="H2488" s="49" t="s">
        <v>8</v>
      </c>
      <c r="I2488" s="50">
        <v>41512</v>
      </c>
      <c r="M2488" s="49" t="s">
        <v>10026</v>
      </c>
    </row>
    <row r="2489" spans="1:13" x14ac:dyDescent="0.35">
      <c r="A2489" s="49" t="s">
        <v>10027</v>
      </c>
      <c r="B2489" s="49" t="s">
        <v>6999</v>
      </c>
      <c r="C2489" s="49" t="s">
        <v>10028</v>
      </c>
      <c r="D2489" s="49" t="s">
        <v>1264</v>
      </c>
      <c r="E2489" s="49" t="s">
        <v>2785</v>
      </c>
      <c r="F2489" s="49" t="s">
        <v>2792</v>
      </c>
      <c r="G2489" s="49" t="s">
        <v>2776</v>
      </c>
      <c r="H2489" s="49" t="s">
        <v>8</v>
      </c>
      <c r="I2489" s="50">
        <v>41507</v>
      </c>
      <c r="M2489" s="49" t="s">
        <v>8855</v>
      </c>
    </row>
    <row r="2490" spans="1:13" x14ac:dyDescent="0.35">
      <c r="A2490" s="49" t="s">
        <v>10029</v>
      </c>
      <c r="B2490" s="49" t="s">
        <v>6999</v>
      </c>
      <c r="C2490" s="49" t="s">
        <v>10030</v>
      </c>
      <c r="D2490" s="49" t="s">
        <v>1264</v>
      </c>
      <c r="E2490" s="49" t="s">
        <v>2785</v>
      </c>
      <c r="F2490" s="49" t="s">
        <v>2792</v>
      </c>
      <c r="G2490" s="49" t="s">
        <v>2776</v>
      </c>
      <c r="H2490" s="49" t="s">
        <v>8</v>
      </c>
      <c r="I2490" s="50">
        <v>41610</v>
      </c>
      <c r="M2490" s="49" t="s">
        <v>10031</v>
      </c>
    </row>
    <row r="2491" spans="1:13" x14ac:dyDescent="0.35">
      <c r="A2491" s="49" t="s">
        <v>10032</v>
      </c>
      <c r="C2491" s="49" t="s">
        <v>7319</v>
      </c>
      <c r="D2491" s="49" t="s">
        <v>1264</v>
      </c>
      <c r="E2491" s="49" t="s">
        <v>2785</v>
      </c>
      <c r="F2491" s="49" t="s">
        <v>2792</v>
      </c>
      <c r="G2491" s="49" t="s">
        <v>2826</v>
      </c>
      <c r="H2491" s="49" t="s">
        <v>8</v>
      </c>
      <c r="I2491" s="50">
        <v>41715</v>
      </c>
      <c r="M2491" s="49" t="s">
        <v>10033</v>
      </c>
    </row>
    <row r="2492" spans="1:13" x14ac:dyDescent="0.35">
      <c r="A2492" s="49" t="s">
        <v>10034</v>
      </c>
      <c r="C2492" s="49" t="s">
        <v>10035</v>
      </c>
      <c r="D2492" s="49" t="s">
        <v>1264</v>
      </c>
      <c r="E2492" s="49" t="s">
        <v>2785</v>
      </c>
      <c r="F2492" s="49" t="s">
        <v>2792</v>
      </c>
      <c r="G2492" s="49" t="s">
        <v>2776</v>
      </c>
      <c r="H2492" s="49" t="s">
        <v>8</v>
      </c>
      <c r="I2492" s="50">
        <v>41995</v>
      </c>
      <c r="M2492" s="49" t="s">
        <v>10036</v>
      </c>
    </row>
    <row r="2493" spans="1:13" x14ac:dyDescent="0.35">
      <c r="A2493" s="49" t="s">
        <v>10037</v>
      </c>
      <c r="C2493" s="49" t="s">
        <v>8851</v>
      </c>
      <c r="D2493" s="49" t="s">
        <v>1264</v>
      </c>
      <c r="E2493" s="49" t="s">
        <v>2785</v>
      </c>
      <c r="F2493" s="49" t="s">
        <v>2792</v>
      </c>
      <c r="G2493" s="49" t="s">
        <v>2776</v>
      </c>
      <c r="H2493" s="49" t="s">
        <v>8</v>
      </c>
      <c r="I2493" s="50">
        <v>41995</v>
      </c>
      <c r="M2493" s="49" t="s">
        <v>9060</v>
      </c>
    </row>
    <row r="2494" spans="1:13" x14ac:dyDescent="0.35">
      <c r="A2494" s="49" t="s">
        <v>10038</v>
      </c>
      <c r="C2494" s="49" t="s">
        <v>10039</v>
      </c>
      <c r="D2494" s="49" t="s">
        <v>1264</v>
      </c>
      <c r="E2494" s="49" t="s">
        <v>2785</v>
      </c>
      <c r="F2494" s="49" t="s">
        <v>2792</v>
      </c>
      <c r="G2494" s="49" t="s">
        <v>2776</v>
      </c>
      <c r="H2494" s="49" t="s">
        <v>8</v>
      </c>
      <c r="I2494" s="50">
        <v>41878</v>
      </c>
      <c r="M2494" s="49" t="s">
        <v>10040</v>
      </c>
    </row>
    <row r="2495" spans="1:13" x14ac:dyDescent="0.35">
      <c r="A2495" s="49" t="s">
        <v>10041</v>
      </c>
      <c r="B2495" s="49" t="s">
        <v>10042</v>
      </c>
      <c r="C2495" s="49" t="s">
        <v>4033</v>
      </c>
      <c r="D2495" s="49" t="s">
        <v>1264</v>
      </c>
      <c r="E2495" s="49" t="s">
        <v>2974</v>
      </c>
      <c r="F2495" s="49" t="s">
        <v>2825</v>
      </c>
      <c r="G2495" s="49" t="s">
        <v>2776</v>
      </c>
      <c r="H2495" s="49" t="s">
        <v>2827</v>
      </c>
      <c r="I2495" s="50">
        <v>41618</v>
      </c>
      <c r="M2495" s="49" t="s">
        <v>10043</v>
      </c>
    </row>
    <row r="2496" spans="1:13" x14ac:dyDescent="0.35">
      <c r="A2496" s="49" t="s">
        <v>10044</v>
      </c>
      <c r="B2496" s="49" t="s">
        <v>10045</v>
      </c>
      <c r="C2496" s="49" t="s">
        <v>10046</v>
      </c>
      <c r="D2496" s="49" t="s">
        <v>1264</v>
      </c>
      <c r="E2496" s="49" t="s">
        <v>2974</v>
      </c>
      <c r="F2496" s="49" t="s">
        <v>2825</v>
      </c>
      <c r="G2496" s="49" t="s">
        <v>2826</v>
      </c>
      <c r="H2496" s="49" t="s">
        <v>2827</v>
      </c>
      <c r="I2496" s="50">
        <v>44155</v>
      </c>
      <c r="M2496" s="49" t="s">
        <v>10047</v>
      </c>
    </row>
    <row r="2497" spans="1:13" x14ac:dyDescent="0.35">
      <c r="A2497" s="49" t="s">
        <v>10048</v>
      </c>
      <c r="C2497" s="49" t="s">
        <v>4314</v>
      </c>
      <c r="D2497" s="49" t="s">
        <v>1264</v>
      </c>
      <c r="E2497" s="49" t="s">
        <v>2974</v>
      </c>
      <c r="F2497" s="49" t="s">
        <v>2825</v>
      </c>
      <c r="G2497" s="49" t="s">
        <v>2776</v>
      </c>
      <c r="H2497" s="49" t="s">
        <v>2827</v>
      </c>
      <c r="I2497" s="50">
        <v>43910</v>
      </c>
      <c r="M2497" s="49" t="s">
        <v>10049</v>
      </c>
    </row>
    <row r="2498" spans="1:13" x14ac:dyDescent="0.35">
      <c r="A2498" s="49" t="s">
        <v>10050</v>
      </c>
      <c r="C2498" s="49" t="s">
        <v>10051</v>
      </c>
      <c r="D2498" s="49" t="s">
        <v>1264</v>
      </c>
      <c r="E2498" s="49" t="s">
        <v>2974</v>
      </c>
      <c r="F2498" s="49" t="s">
        <v>2825</v>
      </c>
      <c r="G2498" s="49" t="s">
        <v>2776</v>
      </c>
      <c r="H2498" s="49" t="s">
        <v>2827</v>
      </c>
      <c r="I2498" s="50">
        <v>42583</v>
      </c>
      <c r="M2498" s="49" t="s">
        <v>10052</v>
      </c>
    </row>
    <row r="2499" spans="1:13" x14ac:dyDescent="0.35">
      <c r="A2499" s="49" t="s">
        <v>10053</v>
      </c>
      <c r="B2499" s="49" t="s">
        <v>4426</v>
      </c>
      <c r="C2499" s="49" t="s">
        <v>10054</v>
      </c>
      <c r="D2499" s="49" t="s">
        <v>1264</v>
      </c>
      <c r="E2499" s="49" t="s">
        <v>2974</v>
      </c>
      <c r="F2499" s="49" t="s">
        <v>2825</v>
      </c>
      <c r="G2499" s="49" t="s">
        <v>2826</v>
      </c>
      <c r="H2499" s="49" t="s">
        <v>2827</v>
      </c>
      <c r="I2499" s="50">
        <v>44198</v>
      </c>
      <c r="M2499" s="49" t="s">
        <v>10055</v>
      </c>
    </row>
    <row r="2500" spans="1:13" x14ac:dyDescent="0.35">
      <c r="A2500" s="49" t="s">
        <v>10056</v>
      </c>
      <c r="C2500" s="49" t="s">
        <v>10057</v>
      </c>
      <c r="D2500" s="49" t="s">
        <v>1264</v>
      </c>
      <c r="E2500" s="49" t="s">
        <v>2974</v>
      </c>
      <c r="F2500" s="49" t="s">
        <v>2825</v>
      </c>
      <c r="G2500" s="49" t="s">
        <v>2776</v>
      </c>
      <c r="H2500" s="49" t="s">
        <v>2827</v>
      </c>
      <c r="I2500" s="50">
        <v>44050</v>
      </c>
      <c r="M2500" s="49" t="s">
        <v>10058</v>
      </c>
    </row>
    <row r="2501" spans="1:13" x14ac:dyDescent="0.35">
      <c r="A2501" s="49" t="s">
        <v>10059</v>
      </c>
      <c r="C2501" s="49" t="s">
        <v>3342</v>
      </c>
      <c r="D2501" s="49" t="s">
        <v>1264</v>
      </c>
      <c r="E2501" s="49" t="s">
        <v>2974</v>
      </c>
      <c r="F2501" s="49" t="s">
        <v>2825</v>
      </c>
      <c r="G2501" s="49" t="s">
        <v>2776</v>
      </c>
      <c r="H2501" s="49" t="s">
        <v>2827</v>
      </c>
      <c r="I2501" s="50">
        <v>42576</v>
      </c>
      <c r="M2501" s="49" t="s">
        <v>10060</v>
      </c>
    </row>
    <row r="2502" spans="1:13" x14ac:dyDescent="0.35">
      <c r="A2502" s="49" t="s">
        <v>10061</v>
      </c>
      <c r="B2502" s="49" t="s">
        <v>10062</v>
      </c>
      <c r="C2502" s="49" t="s">
        <v>4033</v>
      </c>
      <c r="D2502" s="49" t="s">
        <v>1264</v>
      </c>
      <c r="E2502" s="49" t="s">
        <v>2974</v>
      </c>
      <c r="F2502" s="49" t="s">
        <v>2825</v>
      </c>
      <c r="G2502" s="49" t="s">
        <v>2776</v>
      </c>
      <c r="H2502" s="49" t="s">
        <v>2827</v>
      </c>
      <c r="I2502" s="50">
        <v>41621</v>
      </c>
      <c r="M2502" s="49" t="s">
        <v>10063</v>
      </c>
    </row>
    <row r="2503" spans="1:13" x14ac:dyDescent="0.35">
      <c r="A2503" s="49" t="s">
        <v>10064</v>
      </c>
      <c r="B2503" s="49" t="s">
        <v>10065</v>
      </c>
      <c r="C2503" s="49" t="s">
        <v>3609</v>
      </c>
      <c r="D2503" s="49" t="s">
        <v>1264</v>
      </c>
      <c r="E2503" s="49" t="s">
        <v>2986</v>
      </c>
      <c r="F2503" s="49" t="s">
        <v>2825</v>
      </c>
      <c r="G2503" s="49" t="s">
        <v>2776</v>
      </c>
      <c r="H2503" s="49" t="s">
        <v>2827</v>
      </c>
      <c r="I2503" s="50">
        <v>44184</v>
      </c>
      <c r="M2503" s="49" t="s">
        <v>10066</v>
      </c>
    </row>
    <row r="2504" spans="1:13" x14ac:dyDescent="0.35">
      <c r="A2504" s="49" t="s">
        <v>10067</v>
      </c>
      <c r="B2504" s="49" t="s">
        <v>10068</v>
      </c>
      <c r="C2504" s="49" t="s">
        <v>4314</v>
      </c>
      <c r="D2504" s="49" t="s">
        <v>1264</v>
      </c>
      <c r="E2504" s="49" t="s">
        <v>7057</v>
      </c>
      <c r="F2504" s="49" t="s">
        <v>2825</v>
      </c>
      <c r="G2504" s="49" t="s">
        <v>2776</v>
      </c>
      <c r="H2504" s="49" t="s">
        <v>2827</v>
      </c>
      <c r="I2504" s="50">
        <v>44106</v>
      </c>
      <c r="M2504" s="49" t="s">
        <v>10069</v>
      </c>
    </row>
    <row r="2505" spans="1:13" x14ac:dyDescent="0.35">
      <c r="A2505" s="49" t="s">
        <v>10070</v>
      </c>
      <c r="B2505" s="49" t="s">
        <v>10071</v>
      </c>
      <c r="C2505" s="49" t="s">
        <v>3791</v>
      </c>
      <c r="D2505" s="49" t="s">
        <v>1264</v>
      </c>
      <c r="E2505" s="49" t="s">
        <v>7057</v>
      </c>
      <c r="F2505" s="49" t="s">
        <v>2825</v>
      </c>
      <c r="G2505" s="49" t="s">
        <v>2776</v>
      </c>
      <c r="H2505" s="49" t="s">
        <v>2827</v>
      </c>
      <c r="I2505" s="50">
        <v>44182</v>
      </c>
      <c r="M2505" s="49" t="s">
        <v>10072</v>
      </c>
    </row>
    <row r="2506" spans="1:13" x14ac:dyDescent="0.35">
      <c r="A2506" s="49" t="s">
        <v>10073</v>
      </c>
      <c r="B2506" s="49" t="s">
        <v>10074</v>
      </c>
      <c r="C2506" s="49" t="s">
        <v>4710</v>
      </c>
      <c r="D2506" s="49" t="s">
        <v>1264</v>
      </c>
      <c r="E2506" s="49" t="s">
        <v>2986</v>
      </c>
      <c r="F2506" s="49" t="s">
        <v>2825</v>
      </c>
      <c r="G2506" s="49" t="s">
        <v>2776</v>
      </c>
      <c r="H2506" s="49" t="s">
        <v>2827</v>
      </c>
      <c r="I2506" s="50">
        <v>43822</v>
      </c>
      <c r="M2506" s="49" t="s">
        <v>8870</v>
      </c>
    </row>
    <row r="2507" spans="1:13" x14ac:dyDescent="0.35">
      <c r="A2507" s="49" t="s">
        <v>10075</v>
      </c>
      <c r="B2507" s="49" t="s">
        <v>10076</v>
      </c>
      <c r="C2507" s="49" t="s">
        <v>10077</v>
      </c>
      <c r="D2507" s="49" t="s">
        <v>1264</v>
      </c>
      <c r="E2507" s="49" t="s">
        <v>2986</v>
      </c>
      <c r="F2507" s="49" t="s">
        <v>2825</v>
      </c>
      <c r="G2507" s="49" t="s">
        <v>2776</v>
      </c>
      <c r="H2507" s="49" t="s">
        <v>2827</v>
      </c>
      <c r="I2507" s="50">
        <v>44048</v>
      </c>
      <c r="M2507" s="49" t="s">
        <v>10078</v>
      </c>
    </row>
    <row r="2508" spans="1:13" x14ac:dyDescent="0.35">
      <c r="A2508" s="49" t="s">
        <v>10079</v>
      </c>
      <c r="B2508" s="49" t="s">
        <v>10080</v>
      </c>
      <c r="C2508" s="49" t="s">
        <v>10081</v>
      </c>
      <c r="D2508" s="49" t="s">
        <v>1264</v>
      </c>
      <c r="E2508" s="49" t="s">
        <v>7057</v>
      </c>
      <c r="F2508" s="49" t="s">
        <v>2825</v>
      </c>
      <c r="G2508" s="49" t="s">
        <v>2776</v>
      </c>
      <c r="H2508" s="49" t="s">
        <v>2827</v>
      </c>
      <c r="I2508" s="50">
        <v>44109</v>
      </c>
      <c r="M2508" s="49" t="s">
        <v>3270</v>
      </c>
    </row>
    <row r="2509" spans="1:13" x14ac:dyDescent="0.35">
      <c r="A2509" s="49" t="s">
        <v>10082</v>
      </c>
      <c r="B2509" s="49" t="s">
        <v>10083</v>
      </c>
      <c r="C2509" s="49" t="s">
        <v>10084</v>
      </c>
      <c r="D2509" s="49" t="s">
        <v>1264</v>
      </c>
      <c r="E2509" s="49" t="s">
        <v>2986</v>
      </c>
      <c r="F2509" s="49" t="s">
        <v>2825</v>
      </c>
      <c r="G2509" s="49" t="s">
        <v>2776</v>
      </c>
      <c r="H2509" s="49" t="s">
        <v>2827</v>
      </c>
      <c r="I2509" s="50">
        <v>44102</v>
      </c>
      <c r="M2509" s="49" t="s">
        <v>10085</v>
      </c>
    </row>
    <row r="2510" spans="1:13" x14ac:dyDescent="0.35">
      <c r="A2510" s="49" t="s">
        <v>10086</v>
      </c>
      <c r="C2510" s="49" t="s">
        <v>8960</v>
      </c>
      <c r="D2510" s="49" t="s">
        <v>1264</v>
      </c>
      <c r="E2510" s="49" t="s">
        <v>2986</v>
      </c>
      <c r="F2510" s="49" t="s">
        <v>2825</v>
      </c>
      <c r="G2510" s="49" t="s">
        <v>2921</v>
      </c>
      <c r="H2510" s="49" t="s">
        <v>2827</v>
      </c>
      <c r="I2510" s="50">
        <v>44193</v>
      </c>
      <c r="J2510" s="50">
        <v>44404</v>
      </c>
      <c r="K2510" s="50">
        <v>45499</v>
      </c>
      <c r="M2510" s="49" t="s">
        <v>10087</v>
      </c>
    </row>
    <row r="2511" spans="1:13" x14ac:dyDescent="0.35">
      <c r="A2511" s="49" t="s">
        <v>10088</v>
      </c>
      <c r="C2511" s="49" t="s">
        <v>10089</v>
      </c>
      <c r="D2511" s="49" t="s">
        <v>1264</v>
      </c>
      <c r="E2511" s="49" t="s">
        <v>2986</v>
      </c>
      <c r="F2511" s="49" t="s">
        <v>2825</v>
      </c>
      <c r="G2511" s="49" t="s">
        <v>2776</v>
      </c>
      <c r="H2511" s="49" t="s">
        <v>2827</v>
      </c>
      <c r="I2511" s="50">
        <v>44154</v>
      </c>
      <c r="M2511" s="49" t="s">
        <v>10090</v>
      </c>
    </row>
    <row r="2512" spans="1:13" x14ac:dyDescent="0.35">
      <c r="A2512" s="49" t="s">
        <v>10091</v>
      </c>
      <c r="B2512" s="49" t="s">
        <v>10092</v>
      </c>
      <c r="C2512" s="49" t="s">
        <v>10093</v>
      </c>
      <c r="D2512" s="49" t="s">
        <v>1264</v>
      </c>
      <c r="E2512" s="49" t="s">
        <v>2986</v>
      </c>
      <c r="F2512" s="49" t="s">
        <v>2825</v>
      </c>
      <c r="G2512" s="49" t="s">
        <v>4891</v>
      </c>
      <c r="H2512" s="49" t="s">
        <v>2827</v>
      </c>
      <c r="I2512" s="50">
        <v>44034</v>
      </c>
      <c r="M2512" s="49" t="s">
        <v>10094</v>
      </c>
    </row>
    <row r="2513" spans="1:13" x14ac:dyDescent="0.35">
      <c r="A2513" s="49" t="s">
        <v>10095</v>
      </c>
      <c r="C2513" s="49" t="s">
        <v>10096</v>
      </c>
      <c r="D2513" s="49" t="s">
        <v>1264</v>
      </c>
      <c r="E2513" s="49" t="s">
        <v>2986</v>
      </c>
      <c r="F2513" s="49" t="s">
        <v>2825</v>
      </c>
      <c r="G2513" s="49" t="s">
        <v>2776</v>
      </c>
      <c r="H2513" s="49" t="s">
        <v>2827</v>
      </c>
      <c r="I2513" s="50">
        <v>44060</v>
      </c>
      <c r="M2513" s="49" t="s">
        <v>10097</v>
      </c>
    </row>
    <row r="2514" spans="1:13" x14ac:dyDescent="0.35">
      <c r="A2514" s="49" t="s">
        <v>10098</v>
      </c>
      <c r="C2514" s="49" t="s">
        <v>10099</v>
      </c>
      <c r="D2514" s="49" t="s">
        <v>1264</v>
      </c>
      <c r="E2514" s="49" t="s">
        <v>2986</v>
      </c>
      <c r="F2514" s="49" t="s">
        <v>2825</v>
      </c>
      <c r="G2514" s="49" t="s">
        <v>2776</v>
      </c>
      <c r="H2514" s="49" t="s">
        <v>2827</v>
      </c>
      <c r="I2514" s="50">
        <v>44032</v>
      </c>
      <c r="M2514" s="49" t="s">
        <v>10100</v>
      </c>
    </row>
    <row r="2515" spans="1:13" x14ac:dyDescent="0.35">
      <c r="A2515" s="49" t="s">
        <v>10101</v>
      </c>
      <c r="C2515" s="49" t="s">
        <v>2860</v>
      </c>
      <c r="D2515" s="49" t="s">
        <v>1264</v>
      </c>
      <c r="E2515" s="49" t="s">
        <v>2814</v>
      </c>
      <c r="F2515" s="49" t="s">
        <v>2825</v>
      </c>
      <c r="G2515" s="49" t="s">
        <v>2776</v>
      </c>
      <c r="H2515" s="49" t="s">
        <v>2827</v>
      </c>
      <c r="I2515" s="50">
        <v>41337</v>
      </c>
      <c r="M2515" s="49" t="s">
        <v>8971</v>
      </c>
    </row>
    <row r="2516" spans="1:13" x14ac:dyDescent="0.35">
      <c r="A2516" s="49" t="s">
        <v>10102</v>
      </c>
      <c r="C2516" s="49" t="s">
        <v>3373</v>
      </c>
      <c r="D2516" s="49" t="s">
        <v>1264</v>
      </c>
      <c r="E2516" s="49" t="s">
        <v>2814</v>
      </c>
      <c r="F2516" s="49" t="s">
        <v>2900</v>
      </c>
      <c r="G2516" s="49" t="s">
        <v>2787</v>
      </c>
      <c r="H2516" s="49" t="s">
        <v>980</v>
      </c>
      <c r="I2516" s="50">
        <v>42006</v>
      </c>
      <c r="M2516" s="49" t="s">
        <v>3374</v>
      </c>
    </row>
    <row r="2517" spans="1:13" x14ac:dyDescent="0.35">
      <c r="A2517" s="49" t="s">
        <v>10103</v>
      </c>
      <c r="C2517" s="49" t="s">
        <v>10104</v>
      </c>
      <c r="D2517" s="49" t="s">
        <v>1264</v>
      </c>
      <c r="E2517" s="49" t="s">
        <v>2814</v>
      </c>
      <c r="F2517" s="49" t="s">
        <v>2825</v>
      </c>
      <c r="G2517" s="49" t="s">
        <v>2826</v>
      </c>
      <c r="H2517" s="49" t="s">
        <v>2827</v>
      </c>
      <c r="I2517" s="50">
        <v>41402</v>
      </c>
      <c r="J2517" s="50">
        <v>41502</v>
      </c>
      <c r="K2517" s="50">
        <v>41685</v>
      </c>
      <c r="M2517" s="49" t="s">
        <v>10105</v>
      </c>
    </row>
    <row r="2518" spans="1:13" x14ac:dyDescent="0.35">
      <c r="A2518" s="49" t="s">
        <v>10106</v>
      </c>
      <c r="C2518" s="49" t="s">
        <v>8594</v>
      </c>
      <c r="D2518" s="49" t="s">
        <v>1264</v>
      </c>
      <c r="E2518" s="49" t="s">
        <v>2814</v>
      </c>
      <c r="F2518" s="49" t="s">
        <v>2825</v>
      </c>
      <c r="G2518" s="49" t="s">
        <v>2776</v>
      </c>
      <c r="H2518" s="49" t="s">
        <v>2827</v>
      </c>
      <c r="I2518" s="50">
        <v>41393</v>
      </c>
      <c r="M2518" s="49" t="s">
        <v>10107</v>
      </c>
    </row>
    <row r="2519" spans="1:13" x14ac:dyDescent="0.35">
      <c r="A2519" s="49" t="s">
        <v>10108</v>
      </c>
      <c r="C2519" s="49" t="s">
        <v>9923</v>
      </c>
      <c r="D2519" s="49" t="s">
        <v>1264</v>
      </c>
      <c r="E2519" s="49" t="s">
        <v>2814</v>
      </c>
      <c r="F2519" s="49" t="s">
        <v>2825</v>
      </c>
      <c r="G2519" s="49" t="s">
        <v>2776</v>
      </c>
      <c r="H2519" s="49" t="s">
        <v>2827</v>
      </c>
      <c r="I2519" s="50">
        <v>41373</v>
      </c>
      <c r="M2519" s="49" t="s">
        <v>10109</v>
      </c>
    </row>
    <row r="2520" spans="1:13" x14ac:dyDescent="0.35">
      <c r="A2520" s="49" t="s">
        <v>10110</v>
      </c>
      <c r="C2520" s="49" t="s">
        <v>2813</v>
      </c>
      <c r="D2520" s="49" t="s">
        <v>1264</v>
      </c>
      <c r="E2520" s="49" t="s">
        <v>2814</v>
      </c>
      <c r="F2520" s="49" t="s">
        <v>2939</v>
      </c>
      <c r="G2520" s="49" t="s">
        <v>2826</v>
      </c>
      <c r="H2520" s="49" t="s">
        <v>980</v>
      </c>
      <c r="I2520" s="50">
        <v>41520</v>
      </c>
      <c r="M2520" s="49" t="s">
        <v>10111</v>
      </c>
    </row>
    <row r="2521" spans="1:13" x14ac:dyDescent="0.35">
      <c r="A2521" s="49" t="s">
        <v>10112</v>
      </c>
      <c r="B2521" s="49" t="s">
        <v>8530</v>
      </c>
      <c r="C2521" s="49" t="s">
        <v>10113</v>
      </c>
      <c r="D2521" s="49" t="s">
        <v>1264</v>
      </c>
      <c r="E2521" s="49" t="s">
        <v>2814</v>
      </c>
      <c r="F2521" s="49" t="s">
        <v>2775</v>
      </c>
      <c r="G2521" s="49" t="s">
        <v>2776</v>
      </c>
      <c r="H2521" s="49" t="s">
        <v>2827</v>
      </c>
      <c r="I2521" s="50">
        <v>41479</v>
      </c>
      <c r="M2521" s="49" t="s">
        <v>10114</v>
      </c>
    </row>
    <row r="2522" spans="1:13" x14ac:dyDescent="0.35">
      <c r="A2522" s="49" t="s">
        <v>10115</v>
      </c>
      <c r="C2522" s="49" t="s">
        <v>8441</v>
      </c>
      <c r="D2522" s="49" t="s">
        <v>1264</v>
      </c>
      <c r="E2522" s="49" t="s">
        <v>2814</v>
      </c>
      <c r="F2522" s="49" t="s">
        <v>2780</v>
      </c>
      <c r="G2522" s="49" t="s">
        <v>2826</v>
      </c>
      <c r="H2522" s="49" t="s">
        <v>980</v>
      </c>
      <c r="I2522" s="50">
        <v>41417</v>
      </c>
      <c r="M2522" s="49" t="s">
        <v>10116</v>
      </c>
    </row>
    <row r="2523" spans="1:13" x14ac:dyDescent="0.35">
      <c r="A2523" s="49" t="s">
        <v>10117</v>
      </c>
      <c r="C2523" s="49" t="s">
        <v>10118</v>
      </c>
      <c r="D2523" s="49" t="s">
        <v>1264</v>
      </c>
      <c r="E2523" s="49" t="s">
        <v>2814</v>
      </c>
      <c r="F2523" s="49" t="s">
        <v>3010</v>
      </c>
      <c r="G2523" s="49" t="s">
        <v>2787</v>
      </c>
      <c r="H2523" s="49" t="s">
        <v>980</v>
      </c>
      <c r="I2523" s="50">
        <v>41620</v>
      </c>
      <c r="M2523" s="49" t="s">
        <v>10119</v>
      </c>
    </row>
    <row r="2524" spans="1:13" x14ac:dyDescent="0.35">
      <c r="A2524" s="49" t="s">
        <v>10120</v>
      </c>
      <c r="C2524" s="49" t="s">
        <v>10121</v>
      </c>
      <c r="D2524" s="49" t="s">
        <v>1264</v>
      </c>
      <c r="E2524" s="49" t="s">
        <v>2814</v>
      </c>
      <c r="F2524" s="49" t="s">
        <v>2939</v>
      </c>
      <c r="G2524" s="49" t="s">
        <v>2787</v>
      </c>
      <c r="H2524" s="49" t="s">
        <v>3229</v>
      </c>
      <c r="I2524" s="50">
        <v>41435</v>
      </c>
      <c r="M2524" s="49" t="s">
        <v>10122</v>
      </c>
    </row>
    <row r="2525" spans="1:13" x14ac:dyDescent="0.35">
      <c r="A2525" s="49" t="s">
        <v>10123</v>
      </c>
      <c r="C2525" s="49" t="s">
        <v>9911</v>
      </c>
      <c r="D2525" s="49" t="s">
        <v>1264</v>
      </c>
      <c r="E2525" s="49" t="s">
        <v>2814</v>
      </c>
      <c r="F2525" s="49" t="s">
        <v>2825</v>
      </c>
      <c r="G2525" s="49" t="s">
        <v>2776</v>
      </c>
      <c r="H2525" s="49" t="s">
        <v>2827</v>
      </c>
      <c r="I2525" s="50">
        <v>42290</v>
      </c>
      <c r="M2525" s="49" t="s">
        <v>3470</v>
      </c>
    </row>
    <row r="2526" spans="1:13" x14ac:dyDescent="0.35">
      <c r="A2526" s="49" t="s">
        <v>10124</v>
      </c>
      <c r="B2526" s="49" t="s">
        <v>10125</v>
      </c>
      <c r="C2526" s="49" t="s">
        <v>10126</v>
      </c>
      <c r="D2526" s="49" t="s">
        <v>1264</v>
      </c>
      <c r="E2526" s="49" t="s">
        <v>2814</v>
      </c>
      <c r="F2526" s="49" t="s">
        <v>2825</v>
      </c>
      <c r="G2526" s="49" t="s">
        <v>2776</v>
      </c>
      <c r="H2526" s="49" t="s">
        <v>2827</v>
      </c>
      <c r="I2526" s="50">
        <v>42930</v>
      </c>
      <c r="M2526" s="49" t="s">
        <v>3270</v>
      </c>
    </row>
    <row r="2527" spans="1:13" x14ac:dyDescent="0.35">
      <c r="A2527" s="49" t="s">
        <v>10127</v>
      </c>
      <c r="C2527" s="49" t="s">
        <v>3616</v>
      </c>
      <c r="D2527" s="49" t="s">
        <v>1264</v>
      </c>
      <c r="E2527" s="49" t="s">
        <v>2814</v>
      </c>
      <c r="F2527" s="49" t="s">
        <v>2837</v>
      </c>
      <c r="G2527" s="49" t="s">
        <v>2776</v>
      </c>
      <c r="H2527" s="49" t="s">
        <v>980</v>
      </c>
      <c r="I2527" s="50">
        <v>43467</v>
      </c>
      <c r="M2527" s="49" t="s">
        <v>10128</v>
      </c>
    </row>
    <row r="2528" spans="1:13" x14ac:dyDescent="0.35">
      <c r="A2528" s="49" t="s">
        <v>10129</v>
      </c>
      <c r="B2528" s="49" t="s">
        <v>4257</v>
      </c>
      <c r="C2528" s="49" t="s">
        <v>4258</v>
      </c>
      <c r="D2528" s="49" t="s">
        <v>1264</v>
      </c>
      <c r="E2528" s="49" t="s">
        <v>2814</v>
      </c>
      <c r="F2528" s="49" t="s">
        <v>4259</v>
      </c>
      <c r="G2528" s="49" t="s">
        <v>2776</v>
      </c>
      <c r="H2528" s="49" t="s">
        <v>980</v>
      </c>
      <c r="I2528" s="50">
        <v>42380</v>
      </c>
      <c r="M2528" s="49" t="s">
        <v>4260</v>
      </c>
    </row>
    <row r="2529" spans="1:13" x14ac:dyDescent="0.35">
      <c r="A2529" s="49" t="s">
        <v>10130</v>
      </c>
      <c r="C2529" s="49" t="s">
        <v>10131</v>
      </c>
      <c r="D2529" s="49" t="s">
        <v>1264</v>
      </c>
      <c r="E2529" s="49" t="s">
        <v>2814</v>
      </c>
      <c r="F2529" s="49" t="s">
        <v>2825</v>
      </c>
      <c r="G2529" s="49" t="s">
        <v>2776</v>
      </c>
      <c r="H2529" s="49" t="s">
        <v>2827</v>
      </c>
      <c r="I2529" s="50">
        <v>42408</v>
      </c>
      <c r="M2529" s="49" t="s">
        <v>3470</v>
      </c>
    </row>
    <row r="2530" spans="1:13" x14ac:dyDescent="0.35">
      <c r="A2530" s="49" t="s">
        <v>10132</v>
      </c>
      <c r="C2530" s="49" t="s">
        <v>10133</v>
      </c>
      <c r="D2530" s="49" t="s">
        <v>1264</v>
      </c>
      <c r="E2530" s="49" t="s">
        <v>2814</v>
      </c>
      <c r="F2530" s="49" t="s">
        <v>2825</v>
      </c>
      <c r="G2530" s="49" t="s">
        <v>2776</v>
      </c>
      <c r="H2530" s="49" t="s">
        <v>2827</v>
      </c>
      <c r="I2530" s="50">
        <v>43923</v>
      </c>
      <c r="M2530" s="49" t="s">
        <v>10134</v>
      </c>
    </row>
    <row r="2531" spans="1:13" x14ac:dyDescent="0.35">
      <c r="A2531" s="49" t="s">
        <v>10135</v>
      </c>
      <c r="B2531" s="49" t="s">
        <v>10136</v>
      </c>
      <c r="C2531" s="49" t="s">
        <v>10137</v>
      </c>
      <c r="D2531" s="49" t="s">
        <v>1264</v>
      </c>
      <c r="E2531" s="49" t="s">
        <v>2814</v>
      </c>
      <c r="F2531" s="49" t="s">
        <v>2825</v>
      </c>
      <c r="G2531" s="49" t="s">
        <v>2776</v>
      </c>
      <c r="H2531" s="49" t="s">
        <v>980</v>
      </c>
      <c r="I2531" s="50">
        <v>42728</v>
      </c>
      <c r="M2531" s="49" t="s">
        <v>10138</v>
      </c>
    </row>
    <row r="2532" spans="1:13" x14ac:dyDescent="0.35">
      <c r="A2532" s="49" t="s">
        <v>10139</v>
      </c>
      <c r="B2532" s="49" t="s">
        <v>8197</v>
      </c>
      <c r="C2532" s="49" t="s">
        <v>10140</v>
      </c>
      <c r="D2532" s="49" t="s">
        <v>1264</v>
      </c>
      <c r="E2532" s="49" t="s">
        <v>2814</v>
      </c>
      <c r="F2532" s="49" t="s">
        <v>3188</v>
      </c>
      <c r="G2532" s="49" t="s">
        <v>2776</v>
      </c>
      <c r="H2532" s="49" t="s">
        <v>973</v>
      </c>
      <c r="I2532" s="50">
        <v>43271</v>
      </c>
      <c r="M2532" s="49" t="s">
        <v>10141</v>
      </c>
    </row>
    <row r="2533" spans="1:13" x14ac:dyDescent="0.35">
      <c r="A2533" s="49" t="s">
        <v>10142</v>
      </c>
      <c r="C2533" s="49" t="s">
        <v>10143</v>
      </c>
      <c r="D2533" s="49" t="s">
        <v>1264</v>
      </c>
      <c r="E2533" s="49" t="s">
        <v>2814</v>
      </c>
      <c r="F2533" s="49" t="s">
        <v>2837</v>
      </c>
      <c r="G2533" s="49" t="s">
        <v>2776</v>
      </c>
      <c r="H2533" s="49" t="s">
        <v>2827</v>
      </c>
      <c r="I2533" s="50">
        <v>42940</v>
      </c>
      <c r="M2533" s="49" t="s">
        <v>3470</v>
      </c>
    </row>
    <row r="2534" spans="1:13" x14ac:dyDescent="0.35">
      <c r="A2534" s="49" t="s">
        <v>10144</v>
      </c>
      <c r="C2534" s="49" t="s">
        <v>10145</v>
      </c>
      <c r="D2534" s="49" t="s">
        <v>1264</v>
      </c>
      <c r="E2534" s="49" t="s">
        <v>2814</v>
      </c>
      <c r="F2534" s="49" t="s">
        <v>5002</v>
      </c>
      <c r="G2534" s="49" t="s">
        <v>2776</v>
      </c>
      <c r="H2534" s="49" t="s">
        <v>980</v>
      </c>
      <c r="I2534" s="50">
        <v>42937</v>
      </c>
      <c r="M2534" s="49" t="s">
        <v>10146</v>
      </c>
    </row>
    <row r="2535" spans="1:13" x14ac:dyDescent="0.35">
      <c r="A2535" s="49" t="s">
        <v>10147</v>
      </c>
      <c r="C2535" s="49" t="s">
        <v>6317</v>
      </c>
      <c r="D2535" s="49" t="s">
        <v>1264</v>
      </c>
      <c r="E2535" s="49" t="s">
        <v>2814</v>
      </c>
      <c r="F2535" s="49" t="s">
        <v>2825</v>
      </c>
      <c r="G2535" s="49" t="s">
        <v>2776</v>
      </c>
      <c r="H2535" s="49" t="s">
        <v>2827</v>
      </c>
      <c r="I2535" s="50">
        <v>43033</v>
      </c>
      <c r="M2535" s="49" t="s">
        <v>3859</v>
      </c>
    </row>
    <row r="2536" spans="1:13" x14ac:dyDescent="0.35">
      <c r="A2536" s="49" t="s">
        <v>10148</v>
      </c>
      <c r="C2536" s="49" t="s">
        <v>10149</v>
      </c>
      <c r="D2536" s="49" t="s">
        <v>1264</v>
      </c>
      <c r="E2536" s="49" t="s">
        <v>2814</v>
      </c>
      <c r="F2536" s="49" t="s">
        <v>2825</v>
      </c>
      <c r="G2536" s="49" t="s">
        <v>2776</v>
      </c>
      <c r="H2536" s="49" t="s">
        <v>2827</v>
      </c>
      <c r="I2536" s="50">
        <v>42650</v>
      </c>
      <c r="M2536" s="49" t="s">
        <v>10150</v>
      </c>
    </row>
    <row r="2537" spans="1:13" x14ac:dyDescent="0.35">
      <c r="A2537" s="49" t="s">
        <v>10151</v>
      </c>
      <c r="B2537" s="49" t="s">
        <v>3251</v>
      </c>
      <c r="C2537" s="49" t="s">
        <v>10152</v>
      </c>
      <c r="D2537" s="49" t="s">
        <v>1264</v>
      </c>
      <c r="E2537" s="49" t="s">
        <v>2814</v>
      </c>
      <c r="F2537" s="49" t="s">
        <v>2825</v>
      </c>
      <c r="G2537" s="49" t="s">
        <v>2776</v>
      </c>
      <c r="H2537" s="49" t="s">
        <v>2827</v>
      </c>
      <c r="I2537" s="50">
        <v>42668</v>
      </c>
      <c r="M2537" s="49" t="s">
        <v>10153</v>
      </c>
    </row>
    <row r="2538" spans="1:13" x14ac:dyDescent="0.35">
      <c r="A2538" s="49" t="s">
        <v>10154</v>
      </c>
      <c r="B2538" s="49" t="s">
        <v>10155</v>
      </c>
      <c r="C2538" s="49" t="s">
        <v>260</v>
      </c>
      <c r="D2538" s="49" t="s">
        <v>1264</v>
      </c>
      <c r="E2538" s="49" t="s">
        <v>2814</v>
      </c>
      <c r="F2538" s="49" t="s">
        <v>2825</v>
      </c>
      <c r="G2538" s="49" t="s">
        <v>2776</v>
      </c>
      <c r="H2538" s="49" t="s">
        <v>2827</v>
      </c>
      <c r="I2538" s="50">
        <v>42669</v>
      </c>
      <c r="M2538" s="49" t="s">
        <v>3470</v>
      </c>
    </row>
    <row r="2539" spans="1:13" x14ac:dyDescent="0.35">
      <c r="A2539" s="49" t="s">
        <v>10156</v>
      </c>
      <c r="B2539" s="49" t="s">
        <v>3251</v>
      </c>
      <c r="C2539" s="49" t="s">
        <v>3620</v>
      </c>
      <c r="D2539" s="49" t="s">
        <v>1264</v>
      </c>
      <c r="E2539" s="49" t="s">
        <v>2814</v>
      </c>
      <c r="F2539" s="49" t="s">
        <v>3253</v>
      </c>
      <c r="G2539" s="49" t="s">
        <v>2776</v>
      </c>
      <c r="H2539" s="49" t="s">
        <v>2827</v>
      </c>
      <c r="I2539" s="50">
        <v>42649</v>
      </c>
      <c r="M2539" s="49" t="s">
        <v>3470</v>
      </c>
    </row>
    <row r="2540" spans="1:13" x14ac:dyDescent="0.35">
      <c r="A2540" s="49" t="s">
        <v>10157</v>
      </c>
      <c r="C2540" s="49" t="s">
        <v>3745</v>
      </c>
      <c r="D2540" s="49" t="s">
        <v>1264</v>
      </c>
      <c r="E2540" s="49" t="s">
        <v>2814</v>
      </c>
      <c r="F2540" s="49" t="s">
        <v>2825</v>
      </c>
      <c r="G2540" s="49" t="s">
        <v>2776</v>
      </c>
      <c r="H2540" s="49" t="s">
        <v>2827</v>
      </c>
      <c r="I2540" s="50">
        <v>43549</v>
      </c>
      <c r="M2540" s="49" t="s">
        <v>10158</v>
      </c>
    </row>
    <row r="2541" spans="1:13" x14ac:dyDescent="0.35">
      <c r="A2541" s="49" t="s">
        <v>10159</v>
      </c>
      <c r="B2541" s="49" t="s">
        <v>10160</v>
      </c>
      <c r="C2541" s="49" t="s">
        <v>5685</v>
      </c>
      <c r="D2541" s="49" t="s">
        <v>1264</v>
      </c>
      <c r="E2541" s="49" t="s">
        <v>2814</v>
      </c>
      <c r="F2541" s="49" t="s">
        <v>2939</v>
      </c>
      <c r="G2541" s="49" t="s">
        <v>2776</v>
      </c>
      <c r="H2541" s="49" t="s">
        <v>980</v>
      </c>
      <c r="I2541" s="50">
        <v>42433</v>
      </c>
      <c r="M2541" s="49" t="s">
        <v>10161</v>
      </c>
    </row>
    <row r="2542" spans="1:13" x14ac:dyDescent="0.35">
      <c r="A2542" s="49" t="s">
        <v>10162</v>
      </c>
      <c r="C2542" s="49" t="s">
        <v>9200</v>
      </c>
      <c r="D2542" s="49" t="s">
        <v>1264</v>
      </c>
      <c r="E2542" s="49" t="s">
        <v>2814</v>
      </c>
      <c r="F2542" s="49" t="s">
        <v>2837</v>
      </c>
      <c r="G2542" s="49" t="s">
        <v>2776</v>
      </c>
      <c r="H2542" s="49" t="s">
        <v>980</v>
      </c>
      <c r="I2542" s="50">
        <v>43339</v>
      </c>
      <c r="M2542" s="49" t="s">
        <v>10163</v>
      </c>
    </row>
    <row r="2543" spans="1:13" x14ac:dyDescent="0.35">
      <c r="A2543" s="49" t="s">
        <v>10164</v>
      </c>
      <c r="B2543" s="49" t="s">
        <v>2863</v>
      </c>
      <c r="C2543" s="49" t="s">
        <v>10165</v>
      </c>
      <c r="D2543" s="49" t="s">
        <v>1264</v>
      </c>
      <c r="E2543" s="49" t="s">
        <v>2814</v>
      </c>
      <c r="F2543" s="49" t="s">
        <v>2825</v>
      </c>
      <c r="G2543" s="49" t="s">
        <v>2776</v>
      </c>
      <c r="H2543" s="49" t="s">
        <v>2827</v>
      </c>
      <c r="I2543" s="50">
        <v>42341</v>
      </c>
      <c r="M2543" s="49" t="s">
        <v>3470</v>
      </c>
    </row>
    <row r="2544" spans="1:13" x14ac:dyDescent="0.35">
      <c r="A2544" s="49" t="s">
        <v>10166</v>
      </c>
      <c r="B2544" s="49" t="s">
        <v>2863</v>
      </c>
      <c r="C2544" s="49" t="s">
        <v>10167</v>
      </c>
      <c r="D2544" s="49" t="s">
        <v>1264</v>
      </c>
      <c r="E2544" s="49" t="s">
        <v>2814</v>
      </c>
      <c r="F2544" s="49" t="s">
        <v>2825</v>
      </c>
      <c r="G2544" s="49" t="s">
        <v>2776</v>
      </c>
      <c r="H2544" s="49" t="s">
        <v>2827</v>
      </c>
      <c r="I2544" s="50">
        <v>42355</v>
      </c>
      <c r="M2544" s="49" t="s">
        <v>3470</v>
      </c>
    </row>
    <row r="2545" spans="1:13" x14ac:dyDescent="0.35">
      <c r="A2545" s="49" t="s">
        <v>10168</v>
      </c>
      <c r="C2545" s="49" t="s">
        <v>10169</v>
      </c>
      <c r="D2545" s="49" t="s">
        <v>1264</v>
      </c>
      <c r="E2545" s="49" t="s">
        <v>2814</v>
      </c>
      <c r="F2545" s="49" t="s">
        <v>2825</v>
      </c>
      <c r="G2545" s="49" t="s">
        <v>2776</v>
      </c>
      <c r="H2545" s="49" t="s">
        <v>2827</v>
      </c>
      <c r="I2545" s="50">
        <v>42359</v>
      </c>
      <c r="M2545" s="49" t="s">
        <v>3470</v>
      </c>
    </row>
    <row r="2546" spans="1:13" x14ac:dyDescent="0.35">
      <c r="A2546" s="49" t="s">
        <v>10170</v>
      </c>
      <c r="C2546" s="49" t="s">
        <v>10171</v>
      </c>
      <c r="D2546" s="49" t="s">
        <v>1264</v>
      </c>
      <c r="E2546" s="49" t="s">
        <v>2814</v>
      </c>
      <c r="F2546" s="49" t="s">
        <v>2825</v>
      </c>
      <c r="G2546" s="49" t="s">
        <v>2776</v>
      </c>
      <c r="H2546" s="49" t="s">
        <v>2827</v>
      </c>
      <c r="I2546" s="50">
        <v>42383</v>
      </c>
      <c r="M2546" s="49" t="s">
        <v>10172</v>
      </c>
    </row>
    <row r="2547" spans="1:13" x14ac:dyDescent="0.35">
      <c r="A2547" s="49" t="s">
        <v>10173</v>
      </c>
      <c r="B2547" s="49" t="s">
        <v>3420</v>
      </c>
      <c r="C2547" s="49" t="s">
        <v>10174</v>
      </c>
      <c r="D2547" s="49" t="s">
        <v>1264</v>
      </c>
      <c r="E2547" s="49" t="s">
        <v>2814</v>
      </c>
      <c r="F2547" s="49" t="s">
        <v>2837</v>
      </c>
      <c r="G2547" s="49" t="s">
        <v>2776</v>
      </c>
      <c r="H2547" s="49" t="s">
        <v>980</v>
      </c>
      <c r="I2547" s="50">
        <v>42937</v>
      </c>
      <c r="M2547" s="49" t="s">
        <v>10175</v>
      </c>
    </row>
    <row r="2548" spans="1:13" x14ac:dyDescent="0.35">
      <c r="A2548" s="49" t="s">
        <v>10176</v>
      </c>
      <c r="B2548" s="49" t="s">
        <v>10177</v>
      </c>
      <c r="C2548" s="49" t="s">
        <v>10174</v>
      </c>
      <c r="D2548" s="49" t="s">
        <v>1264</v>
      </c>
      <c r="E2548" s="49" t="s">
        <v>2814</v>
      </c>
      <c r="F2548" s="49" t="s">
        <v>2837</v>
      </c>
      <c r="G2548" s="49" t="s">
        <v>2776</v>
      </c>
      <c r="H2548" s="49" t="s">
        <v>973</v>
      </c>
      <c r="I2548" s="50">
        <v>42937</v>
      </c>
      <c r="M2548" s="49" t="s">
        <v>10178</v>
      </c>
    </row>
    <row r="2549" spans="1:13" x14ac:dyDescent="0.35">
      <c r="A2549" s="49" t="s">
        <v>10179</v>
      </c>
      <c r="C2549" s="49" t="s">
        <v>3563</v>
      </c>
      <c r="D2549" s="49" t="s">
        <v>1264</v>
      </c>
      <c r="E2549" s="49" t="s">
        <v>2814</v>
      </c>
      <c r="F2549" s="49" t="s">
        <v>2825</v>
      </c>
      <c r="G2549" s="49" t="s">
        <v>2776</v>
      </c>
      <c r="H2549" s="49" t="s">
        <v>2827</v>
      </c>
      <c r="I2549" s="50">
        <v>42235</v>
      </c>
      <c r="M2549" s="49" t="s">
        <v>3470</v>
      </c>
    </row>
    <row r="2550" spans="1:13" x14ac:dyDescent="0.35">
      <c r="A2550" s="49" t="s">
        <v>10180</v>
      </c>
      <c r="C2550" s="49" t="s">
        <v>2997</v>
      </c>
      <c r="D2550" s="49" t="s">
        <v>1264</v>
      </c>
      <c r="E2550" s="49" t="s">
        <v>2814</v>
      </c>
      <c r="F2550" s="49" t="s">
        <v>2939</v>
      </c>
      <c r="G2550" s="49" t="s">
        <v>2776</v>
      </c>
      <c r="H2550" s="49" t="s">
        <v>980</v>
      </c>
      <c r="I2550" s="50">
        <v>42628</v>
      </c>
      <c r="M2550" s="49" t="s">
        <v>10181</v>
      </c>
    </row>
    <row r="2551" spans="1:13" x14ac:dyDescent="0.35">
      <c r="A2551" s="49" t="s">
        <v>10182</v>
      </c>
      <c r="C2551" s="49" t="s">
        <v>10183</v>
      </c>
      <c r="D2551" s="49" t="s">
        <v>1264</v>
      </c>
      <c r="E2551" s="49" t="s">
        <v>2814</v>
      </c>
      <c r="F2551" s="49" t="s">
        <v>2825</v>
      </c>
      <c r="G2551" s="49" t="s">
        <v>2776</v>
      </c>
      <c r="H2551" s="49" t="s">
        <v>2827</v>
      </c>
      <c r="I2551" s="50">
        <v>42304</v>
      </c>
      <c r="M2551" s="49" t="s">
        <v>3470</v>
      </c>
    </row>
    <row r="2552" spans="1:13" x14ac:dyDescent="0.35">
      <c r="A2552" s="49" t="s">
        <v>10184</v>
      </c>
      <c r="C2552" s="49" t="s">
        <v>5262</v>
      </c>
      <c r="D2552" s="49" t="s">
        <v>1264</v>
      </c>
      <c r="E2552" s="49" t="s">
        <v>2814</v>
      </c>
      <c r="F2552" s="49" t="s">
        <v>3188</v>
      </c>
      <c r="G2552" s="49" t="s">
        <v>2776</v>
      </c>
      <c r="H2552" s="49" t="s">
        <v>973</v>
      </c>
      <c r="I2552" s="50">
        <v>41977</v>
      </c>
      <c r="M2552" s="49" t="s">
        <v>10185</v>
      </c>
    </row>
    <row r="2553" spans="1:13" x14ac:dyDescent="0.35">
      <c r="A2553" s="49" t="s">
        <v>10186</v>
      </c>
      <c r="C2553" s="49" t="s">
        <v>10187</v>
      </c>
      <c r="D2553" s="49" t="s">
        <v>1264</v>
      </c>
      <c r="E2553" s="49" t="s">
        <v>2814</v>
      </c>
      <c r="F2553" s="49" t="s">
        <v>2825</v>
      </c>
      <c r="G2553" s="49" t="s">
        <v>2776</v>
      </c>
      <c r="H2553" s="49" t="s">
        <v>2827</v>
      </c>
      <c r="I2553" s="50">
        <v>43417</v>
      </c>
      <c r="M2553" s="49" t="s">
        <v>10188</v>
      </c>
    </row>
    <row r="2554" spans="1:13" x14ac:dyDescent="0.35">
      <c r="A2554" s="49" t="s">
        <v>10189</v>
      </c>
      <c r="C2554" s="49" t="s">
        <v>5415</v>
      </c>
      <c r="D2554" s="49" t="s">
        <v>1264</v>
      </c>
      <c r="E2554" s="49" t="s">
        <v>2814</v>
      </c>
      <c r="F2554" s="49" t="s">
        <v>2825</v>
      </c>
      <c r="G2554" s="49" t="s">
        <v>2776</v>
      </c>
      <c r="H2554" s="49" t="s">
        <v>2827</v>
      </c>
      <c r="I2554" s="50">
        <v>43416</v>
      </c>
      <c r="M2554" s="49" t="s">
        <v>3876</v>
      </c>
    </row>
    <row r="2555" spans="1:13" x14ac:dyDescent="0.35">
      <c r="A2555" s="49" t="s">
        <v>10190</v>
      </c>
      <c r="C2555" s="49" t="s">
        <v>10191</v>
      </c>
      <c r="D2555" s="49" t="s">
        <v>1264</v>
      </c>
      <c r="E2555" s="49" t="s">
        <v>2814</v>
      </c>
      <c r="F2555" s="49" t="s">
        <v>2825</v>
      </c>
      <c r="G2555" s="49" t="s">
        <v>2776</v>
      </c>
      <c r="H2555" s="49" t="s">
        <v>2827</v>
      </c>
      <c r="I2555" s="50">
        <v>42353</v>
      </c>
      <c r="M2555" s="49" t="s">
        <v>3470</v>
      </c>
    </row>
    <row r="2556" spans="1:13" x14ac:dyDescent="0.35">
      <c r="A2556" s="49" t="s">
        <v>10192</v>
      </c>
      <c r="B2556" s="49" t="s">
        <v>873</v>
      </c>
      <c r="C2556" s="49" t="s">
        <v>10193</v>
      </c>
      <c r="D2556" s="49" t="s">
        <v>1264</v>
      </c>
      <c r="E2556" s="49" t="s">
        <v>2814</v>
      </c>
      <c r="F2556" s="49" t="s">
        <v>2825</v>
      </c>
      <c r="G2556" s="49" t="s">
        <v>2787</v>
      </c>
      <c r="H2556" s="49" t="s">
        <v>2827</v>
      </c>
      <c r="I2556" s="50">
        <v>42374</v>
      </c>
      <c r="J2556" s="50">
        <v>42401</v>
      </c>
      <c r="K2556" s="50">
        <v>42583</v>
      </c>
      <c r="M2556" s="49" t="s">
        <v>3470</v>
      </c>
    </row>
    <row r="2557" spans="1:13" x14ac:dyDescent="0.35">
      <c r="A2557" s="49" t="s">
        <v>10194</v>
      </c>
      <c r="C2557" s="49" t="s">
        <v>10195</v>
      </c>
      <c r="D2557" s="49" t="s">
        <v>1264</v>
      </c>
      <c r="E2557" s="49" t="s">
        <v>2814</v>
      </c>
      <c r="F2557" s="49" t="s">
        <v>2825</v>
      </c>
      <c r="G2557" s="49" t="s">
        <v>2776</v>
      </c>
      <c r="H2557" s="49" t="s">
        <v>2827</v>
      </c>
      <c r="I2557" s="50">
        <v>42381</v>
      </c>
      <c r="M2557" s="49" t="s">
        <v>10196</v>
      </c>
    </row>
    <row r="2558" spans="1:13" x14ac:dyDescent="0.35">
      <c r="A2558" s="49" t="s">
        <v>10197</v>
      </c>
      <c r="B2558" s="49" t="s">
        <v>4739</v>
      </c>
      <c r="C2558" s="49" t="s">
        <v>10198</v>
      </c>
      <c r="D2558" s="49" t="s">
        <v>1264</v>
      </c>
      <c r="E2558" s="49" t="s">
        <v>2814</v>
      </c>
      <c r="F2558" s="49" t="s">
        <v>2825</v>
      </c>
      <c r="G2558" s="49" t="s">
        <v>2776</v>
      </c>
      <c r="H2558" s="49" t="s">
        <v>2827</v>
      </c>
      <c r="I2558" s="50">
        <v>43189</v>
      </c>
      <c r="M2558" s="49" t="s">
        <v>10199</v>
      </c>
    </row>
    <row r="2559" spans="1:13" x14ac:dyDescent="0.35">
      <c r="A2559" s="49" t="s">
        <v>10200</v>
      </c>
      <c r="C2559" s="49" t="s">
        <v>10201</v>
      </c>
      <c r="D2559" s="49" t="s">
        <v>1264</v>
      </c>
      <c r="E2559" s="49" t="s">
        <v>2814</v>
      </c>
      <c r="F2559" s="49" t="s">
        <v>2825</v>
      </c>
      <c r="G2559" s="49" t="s">
        <v>2776</v>
      </c>
      <c r="H2559" s="49" t="s">
        <v>2827</v>
      </c>
      <c r="I2559" s="50">
        <v>43956</v>
      </c>
      <c r="M2559" s="49" t="s">
        <v>10202</v>
      </c>
    </row>
    <row r="2560" spans="1:13" x14ac:dyDescent="0.35">
      <c r="A2560" s="49" t="s">
        <v>10203</v>
      </c>
      <c r="C2560" s="49" t="s">
        <v>7022</v>
      </c>
      <c r="D2560" s="49" t="s">
        <v>1264</v>
      </c>
      <c r="E2560" s="49" t="s">
        <v>2814</v>
      </c>
      <c r="F2560" s="49" t="s">
        <v>2837</v>
      </c>
      <c r="G2560" s="49" t="s">
        <v>2776</v>
      </c>
      <c r="H2560" s="49" t="s">
        <v>980</v>
      </c>
      <c r="I2560" s="50">
        <v>43242</v>
      </c>
      <c r="M2560" s="49" t="s">
        <v>3871</v>
      </c>
    </row>
    <row r="2561" spans="1:13" x14ac:dyDescent="0.35">
      <c r="A2561" s="49" t="s">
        <v>10204</v>
      </c>
      <c r="C2561" s="49" t="s">
        <v>6371</v>
      </c>
      <c r="D2561" s="49" t="s">
        <v>1264</v>
      </c>
      <c r="E2561" s="49" t="s">
        <v>2814</v>
      </c>
      <c r="F2561" s="49" t="s">
        <v>2837</v>
      </c>
      <c r="G2561" s="49" t="s">
        <v>2776</v>
      </c>
      <c r="H2561" s="49" t="s">
        <v>980</v>
      </c>
      <c r="I2561" s="50">
        <v>43235</v>
      </c>
      <c r="M2561" s="49" t="s">
        <v>9250</v>
      </c>
    </row>
    <row r="2562" spans="1:13" x14ac:dyDescent="0.35">
      <c r="A2562" s="49" t="s">
        <v>10205</v>
      </c>
      <c r="B2562" s="49" t="s">
        <v>10206</v>
      </c>
      <c r="C2562" s="49" t="s">
        <v>10207</v>
      </c>
      <c r="D2562" s="49" t="s">
        <v>1264</v>
      </c>
      <c r="E2562" s="49" t="s">
        <v>2814</v>
      </c>
      <c r="F2562" s="49" t="s">
        <v>2825</v>
      </c>
      <c r="G2562" s="49" t="s">
        <v>2787</v>
      </c>
      <c r="H2562" s="49" t="s">
        <v>2827</v>
      </c>
      <c r="I2562" s="50">
        <v>41900</v>
      </c>
      <c r="J2562" s="50">
        <v>41900</v>
      </c>
      <c r="K2562" s="50">
        <v>42080</v>
      </c>
      <c r="M2562" s="49" t="s">
        <v>10208</v>
      </c>
    </row>
    <row r="2563" spans="1:13" x14ac:dyDescent="0.35">
      <c r="A2563" s="49" t="s">
        <v>10209</v>
      </c>
      <c r="C2563" s="49" t="s">
        <v>10210</v>
      </c>
      <c r="D2563" s="49" t="s">
        <v>1264</v>
      </c>
      <c r="E2563" s="49" t="s">
        <v>2814</v>
      </c>
      <c r="F2563" s="49" t="s">
        <v>10211</v>
      </c>
      <c r="G2563" s="49" t="s">
        <v>2776</v>
      </c>
      <c r="H2563" s="49" t="s">
        <v>835</v>
      </c>
      <c r="I2563" s="50">
        <v>42304</v>
      </c>
      <c r="M2563" s="49" t="s">
        <v>3470</v>
      </c>
    </row>
    <row r="2564" spans="1:13" x14ac:dyDescent="0.35">
      <c r="A2564" s="49" t="s">
        <v>10212</v>
      </c>
      <c r="C2564" s="49" t="s">
        <v>7595</v>
      </c>
      <c r="D2564" s="49" t="s">
        <v>1264</v>
      </c>
      <c r="E2564" s="49" t="s">
        <v>2814</v>
      </c>
      <c r="F2564" s="49" t="s">
        <v>2837</v>
      </c>
      <c r="G2564" s="49" t="s">
        <v>2776</v>
      </c>
      <c r="H2564" s="49" t="s">
        <v>980</v>
      </c>
      <c r="I2564" s="50">
        <v>43383</v>
      </c>
      <c r="M2564" s="49" t="s">
        <v>10213</v>
      </c>
    </row>
    <row r="2565" spans="1:13" x14ac:dyDescent="0.35">
      <c r="A2565" s="49" t="s">
        <v>10214</v>
      </c>
      <c r="C2565" s="49" t="s">
        <v>4320</v>
      </c>
      <c r="D2565" s="49" t="s">
        <v>1264</v>
      </c>
      <c r="E2565" s="49" t="s">
        <v>2814</v>
      </c>
      <c r="F2565" s="49" t="s">
        <v>2837</v>
      </c>
      <c r="G2565" s="49" t="s">
        <v>2776</v>
      </c>
      <c r="H2565" s="49" t="s">
        <v>980</v>
      </c>
      <c r="I2565" s="50">
        <v>43383</v>
      </c>
      <c r="M2565" s="49" t="s">
        <v>10215</v>
      </c>
    </row>
    <row r="2566" spans="1:13" x14ac:dyDescent="0.35">
      <c r="A2566" s="49" t="s">
        <v>10216</v>
      </c>
      <c r="C2566" s="49" t="s">
        <v>10217</v>
      </c>
      <c r="D2566" s="49" t="s">
        <v>1264</v>
      </c>
      <c r="E2566" s="49" t="s">
        <v>2814</v>
      </c>
      <c r="F2566" s="49" t="s">
        <v>2837</v>
      </c>
      <c r="G2566" s="49" t="s">
        <v>2776</v>
      </c>
      <c r="H2566" s="49" t="s">
        <v>980</v>
      </c>
      <c r="I2566" s="50">
        <v>43376</v>
      </c>
      <c r="M2566" s="49" t="s">
        <v>10218</v>
      </c>
    </row>
    <row r="2567" spans="1:13" x14ac:dyDescent="0.35">
      <c r="A2567" s="49" t="s">
        <v>10219</v>
      </c>
      <c r="B2567" s="49" t="s">
        <v>10206</v>
      </c>
      <c r="C2567" s="49" t="s">
        <v>10220</v>
      </c>
      <c r="D2567" s="49" t="s">
        <v>1264</v>
      </c>
      <c r="E2567" s="49" t="s">
        <v>2814</v>
      </c>
      <c r="F2567" s="49" t="s">
        <v>2825</v>
      </c>
      <c r="G2567" s="49" t="s">
        <v>2776</v>
      </c>
      <c r="H2567" s="49" t="s">
        <v>2827</v>
      </c>
      <c r="I2567" s="50">
        <v>42542</v>
      </c>
      <c r="M2567" s="49" t="s">
        <v>10221</v>
      </c>
    </row>
    <row r="2568" spans="1:13" x14ac:dyDescent="0.35">
      <c r="A2568" s="49" t="s">
        <v>10222</v>
      </c>
      <c r="B2568" s="49" t="s">
        <v>3636</v>
      </c>
      <c r="C2568" s="49" t="s">
        <v>10223</v>
      </c>
      <c r="D2568" s="49" t="s">
        <v>1264</v>
      </c>
      <c r="E2568" s="49" t="s">
        <v>2814</v>
      </c>
      <c r="F2568" s="49" t="s">
        <v>2825</v>
      </c>
      <c r="G2568" s="49" t="s">
        <v>2776</v>
      </c>
      <c r="H2568" s="49" t="s">
        <v>2827</v>
      </c>
      <c r="I2568" s="50">
        <v>42700</v>
      </c>
      <c r="M2568" s="49" t="s">
        <v>7015</v>
      </c>
    </row>
    <row r="2569" spans="1:13" x14ac:dyDescent="0.35">
      <c r="A2569" s="49" t="s">
        <v>10224</v>
      </c>
      <c r="C2569" s="49" t="s">
        <v>10225</v>
      </c>
      <c r="D2569" s="49" t="s">
        <v>1264</v>
      </c>
      <c r="E2569" s="49" t="s">
        <v>2814</v>
      </c>
      <c r="F2569" s="49" t="s">
        <v>2825</v>
      </c>
      <c r="G2569" s="49" t="s">
        <v>2776</v>
      </c>
      <c r="H2569" s="49" t="s">
        <v>2827</v>
      </c>
      <c r="I2569" s="50">
        <v>42703</v>
      </c>
      <c r="M2569" s="49" t="s">
        <v>10226</v>
      </c>
    </row>
    <row r="2570" spans="1:13" x14ac:dyDescent="0.35">
      <c r="A2570" s="49" t="s">
        <v>10227</v>
      </c>
      <c r="B2570" s="49" t="s">
        <v>10160</v>
      </c>
      <c r="C2570" s="49" t="s">
        <v>10228</v>
      </c>
      <c r="D2570" s="49" t="s">
        <v>1264</v>
      </c>
      <c r="E2570" s="49" t="s">
        <v>2814</v>
      </c>
      <c r="F2570" s="49" t="s">
        <v>2792</v>
      </c>
      <c r="G2570" s="49" t="s">
        <v>2776</v>
      </c>
      <c r="H2570" s="49" t="s">
        <v>980</v>
      </c>
      <c r="I2570" s="50">
        <v>42163</v>
      </c>
      <c r="M2570" s="49" t="s">
        <v>3470</v>
      </c>
    </row>
    <row r="2571" spans="1:13" x14ac:dyDescent="0.35">
      <c r="A2571" s="49" t="s">
        <v>10229</v>
      </c>
      <c r="C2571" s="49" t="s">
        <v>10230</v>
      </c>
      <c r="D2571" s="49" t="s">
        <v>1264</v>
      </c>
      <c r="E2571" s="49" t="s">
        <v>2814</v>
      </c>
      <c r="F2571" s="49" t="s">
        <v>2825</v>
      </c>
      <c r="G2571" s="49" t="s">
        <v>2776</v>
      </c>
      <c r="H2571" s="49" t="s">
        <v>2827</v>
      </c>
      <c r="I2571" s="50">
        <v>42230</v>
      </c>
      <c r="M2571" s="49" t="s">
        <v>3470</v>
      </c>
    </row>
    <row r="2572" spans="1:13" x14ac:dyDescent="0.35">
      <c r="A2572" s="49" t="s">
        <v>10231</v>
      </c>
      <c r="C2572" s="49" t="s">
        <v>10232</v>
      </c>
      <c r="D2572" s="49" t="s">
        <v>1264</v>
      </c>
      <c r="E2572" s="49" t="s">
        <v>2814</v>
      </c>
      <c r="F2572" s="49" t="s">
        <v>2825</v>
      </c>
      <c r="G2572" s="49" t="s">
        <v>2787</v>
      </c>
      <c r="H2572" s="49" t="s">
        <v>2827</v>
      </c>
      <c r="I2572" s="50">
        <v>42324</v>
      </c>
      <c r="M2572" s="49" t="s">
        <v>10233</v>
      </c>
    </row>
    <row r="2573" spans="1:13" x14ac:dyDescent="0.35">
      <c r="A2573" s="49" t="s">
        <v>10234</v>
      </c>
      <c r="C2573" s="49" t="s">
        <v>10235</v>
      </c>
      <c r="D2573" s="49" t="s">
        <v>1264</v>
      </c>
      <c r="E2573" s="49" t="s">
        <v>2814</v>
      </c>
      <c r="F2573" s="49" t="s">
        <v>3188</v>
      </c>
      <c r="G2573" s="49" t="s">
        <v>2776</v>
      </c>
      <c r="H2573" s="49" t="s">
        <v>973</v>
      </c>
      <c r="I2573" s="50">
        <v>43462</v>
      </c>
      <c r="M2573" s="49" t="s">
        <v>10236</v>
      </c>
    </row>
    <row r="2574" spans="1:13" x14ac:dyDescent="0.35">
      <c r="A2574" s="49" t="s">
        <v>10237</v>
      </c>
      <c r="C2574" s="49" t="s">
        <v>10238</v>
      </c>
      <c r="D2574" s="49" t="s">
        <v>1264</v>
      </c>
      <c r="E2574" s="49" t="s">
        <v>2814</v>
      </c>
      <c r="F2574" s="49" t="s">
        <v>10239</v>
      </c>
      <c r="G2574" s="49" t="s">
        <v>2776</v>
      </c>
      <c r="H2574" s="49" t="s">
        <v>864</v>
      </c>
      <c r="I2574" s="50">
        <v>44257</v>
      </c>
      <c r="M2574" s="49" t="s">
        <v>10240</v>
      </c>
    </row>
    <row r="2575" spans="1:13" x14ac:dyDescent="0.35">
      <c r="A2575" s="49" t="s">
        <v>10241</v>
      </c>
      <c r="B2575" s="49" t="s">
        <v>7361</v>
      </c>
      <c r="C2575" s="49" t="s">
        <v>2836</v>
      </c>
      <c r="D2575" s="49" t="s">
        <v>1264</v>
      </c>
      <c r="E2575" s="49" t="s">
        <v>2814</v>
      </c>
      <c r="F2575" s="49" t="s">
        <v>2837</v>
      </c>
      <c r="G2575" s="49" t="s">
        <v>2776</v>
      </c>
      <c r="H2575" s="49" t="s">
        <v>980</v>
      </c>
      <c r="I2575" s="50">
        <v>44006</v>
      </c>
      <c r="M2575" s="49" t="s">
        <v>10242</v>
      </c>
    </row>
    <row r="2576" spans="1:13" x14ac:dyDescent="0.35">
      <c r="A2576" s="49" t="s">
        <v>10243</v>
      </c>
      <c r="B2576" s="49" t="s">
        <v>4175</v>
      </c>
      <c r="C2576" s="49" t="s">
        <v>2836</v>
      </c>
      <c r="D2576" s="49" t="s">
        <v>1264</v>
      </c>
      <c r="E2576" s="49" t="s">
        <v>2814</v>
      </c>
      <c r="F2576" s="49" t="s">
        <v>2837</v>
      </c>
      <c r="G2576" s="49" t="s">
        <v>2776</v>
      </c>
      <c r="H2576" s="49" t="s">
        <v>980</v>
      </c>
      <c r="I2576" s="50">
        <v>44006</v>
      </c>
      <c r="M2576" s="49" t="s">
        <v>10244</v>
      </c>
    </row>
    <row r="2577" spans="1:13" x14ac:dyDescent="0.35">
      <c r="A2577" s="49" t="s">
        <v>10245</v>
      </c>
      <c r="B2577" s="49" t="s">
        <v>10246</v>
      </c>
      <c r="C2577" s="49" t="s">
        <v>2836</v>
      </c>
      <c r="D2577" s="49" t="s">
        <v>1264</v>
      </c>
      <c r="E2577" s="49" t="s">
        <v>2814</v>
      </c>
      <c r="F2577" s="49" t="s">
        <v>2837</v>
      </c>
      <c r="G2577" s="49" t="s">
        <v>2776</v>
      </c>
      <c r="H2577" s="49" t="s">
        <v>980</v>
      </c>
      <c r="I2577" s="50">
        <v>44006</v>
      </c>
      <c r="M2577" s="49" t="s">
        <v>10247</v>
      </c>
    </row>
    <row r="2578" spans="1:13" x14ac:dyDescent="0.35">
      <c r="A2578" s="49" t="s">
        <v>10248</v>
      </c>
      <c r="C2578" s="49" t="s">
        <v>10249</v>
      </c>
      <c r="D2578" s="49" t="s">
        <v>1264</v>
      </c>
      <c r="E2578" s="49" t="s">
        <v>2814</v>
      </c>
      <c r="F2578" s="49" t="s">
        <v>2939</v>
      </c>
      <c r="G2578" s="49" t="s">
        <v>2776</v>
      </c>
      <c r="H2578" s="49" t="s">
        <v>980</v>
      </c>
      <c r="I2578" s="50">
        <v>42417</v>
      </c>
      <c r="M2578" s="49" t="s">
        <v>3470</v>
      </c>
    </row>
    <row r="2579" spans="1:13" x14ac:dyDescent="0.35">
      <c r="A2579" s="49" t="s">
        <v>10250</v>
      </c>
      <c r="C2579" s="49" t="s">
        <v>10251</v>
      </c>
      <c r="D2579" s="49" t="s">
        <v>1264</v>
      </c>
      <c r="E2579" s="49" t="s">
        <v>2814</v>
      </c>
      <c r="F2579" s="49" t="s">
        <v>2837</v>
      </c>
      <c r="G2579" s="49" t="s">
        <v>2776</v>
      </c>
      <c r="H2579" s="49" t="s">
        <v>980</v>
      </c>
      <c r="I2579" s="50">
        <v>43196</v>
      </c>
      <c r="M2579" s="49" t="s">
        <v>3444</v>
      </c>
    </row>
    <row r="2580" spans="1:13" x14ac:dyDescent="0.35">
      <c r="A2580" s="49" t="s">
        <v>10252</v>
      </c>
      <c r="C2580" s="49" t="s">
        <v>5415</v>
      </c>
      <c r="D2580" s="49" t="s">
        <v>1264</v>
      </c>
      <c r="E2580" s="49" t="s">
        <v>2814</v>
      </c>
      <c r="F2580" s="49" t="s">
        <v>2825</v>
      </c>
      <c r="G2580" s="49" t="s">
        <v>2776</v>
      </c>
      <c r="H2580" s="49" t="s">
        <v>2827</v>
      </c>
      <c r="I2580" s="50">
        <v>43556</v>
      </c>
      <c r="M2580" s="49" t="s">
        <v>10253</v>
      </c>
    </row>
    <row r="2581" spans="1:13" x14ac:dyDescent="0.35">
      <c r="A2581" s="49" t="s">
        <v>10254</v>
      </c>
      <c r="B2581" s="49" t="s">
        <v>4579</v>
      </c>
      <c r="C2581" s="49" t="s">
        <v>4113</v>
      </c>
      <c r="D2581" s="49" t="s">
        <v>1264</v>
      </c>
      <c r="E2581" s="49" t="s">
        <v>2814</v>
      </c>
      <c r="F2581" s="49" t="s">
        <v>2825</v>
      </c>
      <c r="G2581" s="49" t="s">
        <v>2776</v>
      </c>
      <c r="H2581" s="49" t="s">
        <v>2827</v>
      </c>
      <c r="I2581" s="50">
        <v>43416</v>
      </c>
      <c r="M2581" s="49" t="s">
        <v>3270</v>
      </c>
    </row>
    <row r="2582" spans="1:13" x14ac:dyDescent="0.35">
      <c r="A2582" s="49" t="s">
        <v>10255</v>
      </c>
      <c r="C2582" s="49" t="s">
        <v>10256</v>
      </c>
      <c r="D2582" s="49" t="s">
        <v>1264</v>
      </c>
      <c r="E2582" s="49" t="s">
        <v>2814</v>
      </c>
      <c r="F2582" s="49" t="s">
        <v>2825</v>
      </c>
      <c r="G2582" s="49" t="s">
        <v>2776</v>
      </c>
      <c r="H2582" s="49" t="s">
        <v>2827</v>
      </c>
      <c r="I2582" s="50">
        <v>42461</v>
      </c>
      <c r="M2582" s="49" t="s">
        <v>3470</v>
      </c>
    </row>
    <row r="2583" spans="1:13" x14ac:dyDescent="0.35">
      <c r="A2583" s="49" t="s">
        <v>10257</v>
      </c>
      <c r="B2583" s="49" t="s">
        <v>10258</v>
      </c>
      <c r="C2583" s="49" t="s">
        <v>10259</v>
      </c>
      <c r="D2583" s="49" t="s">
        <v>1264</v>
      </c>
      <c r="E2583" s="49" t="s">
        <v>2814</v>
      </c>
      <c r="F2583" s="49" t="s">
        <v>2825</v>
      </c>
      <c r="G2583" s="49" t="s">
        <v>2776</v>
      </c>
      <c r="H2583" s="49" t="s">
        <v>2827</v>
      </c>
      <c r="I2583" s="50">
        <v>42676</v>
      </c>
      <c r="M2583" s="49" t="s">
        <v>3470</v>
      </c>
    </row>
    <row r="2584" spans="1:13" x14ac:dyDescent="0.35">
      <c r="A2584" s="49" t="s">
        <v>10260</v>
      </c>
      <c r="C2584" s="49" t="s">
        <v>3702</v>
      </c>
      <c r="D2584" s="49" t="s">
        <v>1264</v>
      </c>
      <c r="E2584" s="49" t="s">
        <v>2814</v>
      </c>
      <c r="F2584" s="49" t="s">
        <v>2825</v>
      </c>
      <c r="G2584" s="49" t="s">
        <v>2776</v>
      </c>
      <c r="H2584" s="49" t="s">
        <v>2827</v>
      </c>
      <c r="I2584" s="50">
        <v>43582</v>
      </c>
      <c r="M2584" s="49" t="s">
        <v>10261</v>
      </c>
    </row>
    <row r="2585" spans="1:13" x14ac:dyDescent="0.35">
      <c r="A2585" s="49" t="s">
        <v>10262</v>
      </c>
      <c r="C2585" s="49" t="s">
        <v>10263</v>
      </c>
      <c r="D2585" s="49" t="s">
        <v>1264</v>
      </c>
      <c r="E2585" s="49" t="s">
        <v>2814</v>
      </c>
      <c r="F2585" s="49" t="s">
        <v>2825</v>
      </c>
      <c r="G2585" s="49" t="s">
        <v>2776</v>
      </c>
      <c r="H2585" s="49" t="s">
        <v>2827</v>
      </c>
      <c r="I2585" s="50">
        <v>42236</v>
      </c>
      <c r="M2585" s="49" t="s">
        <v>10153</v>
      </c>
    </row>
    <row r="2586" spans="1:13" x14ac:dyDescent="0.35">
      <c r="A2586" s="49" t="s">
        <v>10264</v>
      </c>
      <c r="C2586" s="49" t="s">
        <v>10265</v>
      </c>
      <c r="D2586" s="49" t="s">
        <v>1264</v>
      </c>
      <c r="E2586" s="49" t="s">
        <v>2814</v>
      </c>
      <c r="F2586" s="49" t="s">
        <v>2825</v>
      </c>
      <c r="G2586" s="49" t="s">
        <v>2776</v>
      </c>
      <c r="H2586" s="49" t="s">
        <v>2827</v>
      </c>
      <c r="I2586" s="50">
        <v>43003</v>
      </c>
      <c r="M2586" s="49" t="s">
        <v>3270</v>
      </c>
    </row>
    <row r="2587" spans="1:13" x14ac:dyDescent="0.35">
      <c r="A2587" s="49" t="s">
        <v>10266</v>
      </c>
      <c r="C2587" s="49" t="s">
        <v>10096</v>
      </c>
      <c r="D2587" s="49" t="s">
        <v>1264</v>
      </c>
      <c r="E2587" s="49" t="s">
        <v>2814</v>
      </c>
      <c r="F2587" s="49" t="s">
        <v>2825</v>
      </c>
      <c r="G2587" s="49" t="s">
        <v>2776</v>
      </c>
      <c r="H2587" s="49" t="s">
        <v>2827</v>
      </c>
      <c r="I2587" s="50">
        <v>42038</v>
      </c>
      <c r="M2587" s="49" t="s">
        <v>10267</v>
      </c>
    </row>
    <row r="2588" spans="1:13" x14ac:dyDescent="0.35">
      <c r="A2588" s="49" t="s">
        <v>10268</v>
      </c>
      <c r="B2588" s="49" t="s">
        <v>10269</v>
      </c>
      <c r="C2588" s="49" t="s">
        <v>10270</v>
      </c>
      <c r="D2588" s="49" t="s">
        <v>1264</v>
      </c>
      <c r="E2588" s="49" t="s">
        <v>2814</v>
      </c>
      <c r="F2588" s="49" t="s">
        <v>3681</v>
      </c>
      <c r="G2588" s="49" t="s">
        <v>2776</v>
      </c>
      <c r="H2588" s="49" t="s">
        <v>973</v>
      </c>
      <c r="I2588" s="50">
        <v>42418</v>
      </c>
      <c r="M2588" s="49" t="s">
        <v>3470</v>
      </c>
    </row>
    <row r="2589" spans="1:13" x14ac:dyDescent="0.35">
      <c r="A2589" s="49" t="s">
        <v>10271</v>
      </c>
      <c r="C2589" s="49" t="s">
        <v>10272</v>
      </c>
      <c r="D2589" s="49" t="s">
        <v>1264</v>
      </c>
      <c r="E2589" s="49" t="s">
        <v>2814</v>
      </c>
      <c r="F2589" s="49" t="s">
        <v>2825</v>
      </c>
      <c r="G2589" s="49" t="s">
        <v>2776</v>
      </c>
      <c r="H2589" s="49" t="s">
        <v>2827</v>
      </c>
      <c r="I2589" s="50">
        <v>42418</v>
      </c>
      <c r="M2589" s="49" t="s">
        <v>3470</v>
      </c>
    </row>
    <row r="2590" spans="1:13" x14ac:dyDescent="0.35">
      <c r="A2590" s="49" t="s">
        <v>10273</v>
      </c>
      <c r="C2590" s="49" t="s">
        <v>9938</v>
      </c>
      <c r="D2590" s="49" t="s">
        <v>1264</v>
      </c>
      <c r="E2590" s="49" t="s">
        <v>2814</v>
      </c>
      <c r="F2590" s="49" t="s">
        <v>2825</v>
      </c>
      <c r="G2590" s="49" t="s">
        <v>2776</v>
      </c>
      <c r="H2590" s="49" t="s">
        <v>2827</v>
      </c>
      <c r="I2590" s="50">
        <v>42084</v>
      </c>
      <c r="M2590" s="49" t="s">
        <v>10274</v>
      </c>
    </row>
    <row r="2591" spans="1:13" x14ac:dyDescent="0.35">
      <c r="A2591" s="49" t="s">
        <v>10275</v>
      </c>
      <c r="C2591" s="49" t="s">
        <v>10276</v>
      </c>
      <c r="D2591" s="49" t="s">
        <v>1264</v>
      </c>
      <c r="E2591" s="49" t="s">
        <v>2814</v>
      </c>
      <c r="F2591" s="49" t="s">
        <v>2825</v>
      </c>
      <c r="G2591" s="49" t="s">
        <v>2776</v>
      </c>
      <c r="H2591" s="49" t="s">
        <v>2827</v>
      </c>
      <c r="I2591" s="50">
        <v>42765</v>
      </c>
      <c r="M2591" s="49" t="s">
        <v>10277</v>
      </c>
    </row>
    <row r="2592" spans="1:13" x14ac:dyDescent="0.35">
      <c r="A2592" s="49" t="s">
        <v>10278</v>
      </c>
      <c r="C2592" s="49" t="s">
        <v>10279</v>
      </c>
      <c r="D2592" s="49" t="s">
        <v>1264</v>
      </c>
      <c r="E2592" s="49" t="s">
        <v>2814</v>
      </c>
      <c r="F2592" s="49" t="s">
        <v>2825</v>
      </c>
      <c r="G2592" s="49" t="s">
        <v>2776</v>
      </c>
      <c r="H2592" s="49" t="s">
        <v>2827</v>
      </c>
      <c r="I2592" s="50">
        <v>42756</v>
      </c>
      <c r="M2592" s="49" t="s">
        <v>4179</v>
      </c>
    </row>
    <row r="2593" spans="1:13" x14ac:dyDescent="0.35">
      <c r="A2593" s="49" t="s">
        <v>10280</v>
      </c>
      <c r="C2593" s="49" t="s">
        <v>10281</v>
      </c>
      <c r="D2593" s="49" t="s">
        <v>1264</v>
      </c>
      <c r="E2593" s="49" t="s">
        <v>2814</v>
      </c>
      <c r="F2593" s="49" t="s">
        <v>2825</v>
      </c>
      <c r="G2593" s="49" t="s">
        <v>2776</v>
      </c>
      <c r="H2593" s="49" t="s">
        <v>2827</v>
      </c>
      <c r="I2593" s="50">
        <v>42730</v>
      </c>
      <c r="M2593" s="49" t="s">
        <v>3470</v>
      </c>
    </row>
    <row r="2594" spans="1:13" x14ac:dyDescent="0.35">
      <c r="A2594" s="49" t="s">
        <v>10282</v>
      </c>
      <c r="C2594" s="49" t="s">
        <v>10283</v>
      </c>
      <c r="D2594" s="49" t="s">
        <v>1264</v>
      </c>
      <c r="E2594" s="49" t="s">
        <v>2814</v>
      </c>
      <c r="F2594" s="49" t="s">
        <v>2825</v>
      </c>
      <c r="G2594" s="49" t="s">
        <v>2776</v>
      </c>
      <c r="H2594" s="49" t="s">
        <v>2827</v>
      </c>
      <c r="I2594" s="50">
        <v>42493</v>
      </c>
      <c r="M2594" s="49" t="s">
        <v>10284</v>
      </c>
    </row>
    <row r="2595" spans="1:13" x14ac:dyDescent="0.35">
      <c r="A2595" s="49" t="s">
        <v>10285</v>
      </c>
      <c r="C2595" s="49" t="s">
        <v>10286</v>
      </c>
      <c r="D2595" s="49" t="s">
        <v>1264</v>
      </c>
      <c r="E2595" s="49" t="s">
        <v>2814</v>
      </c>
      <c r="F2595" s="49" t="s">
        <v>2825</v>
      </c>
      <c r="G2595" s="49" t="s">
        <v>2787</v>
      </c>
      <c r="H2595" s="49" t="s">
        <v>2827</v>
      </c>
      <c r="I2595" s="50">
        <v>41997</v>
      </c>
      <c r="M2595" s="49" t="s">
        <v>10287</v>
      </c>
    </row>
    <row r="2596" spans="1:13" x14ac:dyDescent="0.35">
      <c r="A2596" s="49" t="s">
        <v>10288</v>
      </c>
      <c r="B2596" s="49" t="s">
        <v>10289</v>
      </c>
      <c r="C2596" s="49" t="s">
        <v>5262</v>
      </c>
      <c r="D2596" s="49" t="s">
        <v>1264</v>
      </c>
      <c r="E2596" s="49" t="s">
        <v>2814</v>
      </c>
      <c r="F2596" s="49" t="s">
        <v>2837</v>
      </c>
      <c r="G2596" s="49" t="s">
        <v>2787</v>
      </c>
      <c r="H2596" s="49" t="s">
        <v>2827</v>
      </c>
      <c r="I2596" s="50">
        <v>42034</v>
      </c>
      <c r="J2596" s="50">
        <v>42061</v>
      </c>
      <c r="K2596" s="50">
        <v>42241</v>
      </c>
      <c r="M2596" s="49" t="s">
        <v>10290</v>
      </c>
    </row>
    <row r="2597" spans="1:13" x14ac:dyDescent="0.35">
      <c r="A2597" s="49" t="s">
        <v>10291</v>
      </c>
      <c r="B2597" s="49" t="s">
        <v>6573</v>
      </c>
      <c r="C2597" s="49" t="s">
        <v>5262</v>
      </c>
      <c r="D2597" s="49" t="s">
        <v>1264</v>
      </c>
      <c r="E2597" s="49" t="s">
        <v>2814</v>
      </c>
      <c r="F2597" s="49" t="s">
        <v>3010</v>
      </c>
      <c r="G2597" s="49" t="s">
        <v>2787</v>
      </c>
      <c r="H2597" s="49" t="s">
        <v>980</v>
      </c>
      <c r="I2597" s="50">
        <v>42007</v>
      </c>
      <c r="M2597" s="49" t="s">
        <v>10292</v>
      </c>
    </row>
    <row r="2598" spans="1:13" x14ac:dyDescent="0.35">
      <c r="A2598" s="49" t="s">
        <v>10293</v>
      </c>
      <c r="B2598" s="49" t="s">
        <v>10294</v>
      </c>
      <c r="C2598" s="49" t="s">
        <v>5415</v>
      </c>
      <c r="D2598" s="49" t="s">
        <v>1264</v>
      </c>
      <c r="E2598" s="49" t="s">
        <v>2814</v>
      </c>
      <c r="F2598" s="49" t="s">
        <v>2825</v>
      </c>
      <c r="G2598" s="49" t="s">
        <v>2776</v>
      </c>
      <c r="H2598" s="49" t="s">
        <v>2827</v>
      </c>
      <c r="I2598" s="50">
        <v>43556</v>
      </c>
      <c r="M2598" s="49" t="s">
        <v>10253</v>
      </c>
    </row>
    <row r="2599" spans="1:13" x14ac:dyDescent="0.35">
      <c r="A2599" s="49" t="s">
        <v>10295</v>
      </c>
      <c r="C2599" s="49" t="s">
        <v>10296</v>
      </c>
      <c r="D2599" s="49" t="s">
        <v>1264</v>
      </c>
      <c r="E2599" s="49" t="s">
        <v>2814</v>
      </c>
      <c r="F2599" s="49" t="s">
        <v>2825</v>
      </c>
      <c r="G2599" s="49" t="s">
        <v>2776</v>
      </c>
      <c r="H2599" s="49" t="s">
        <v>2827</v>
      </c>
      <c r="I2599" s="50">
        <v>42730</v>
      </c>
      <c r="M2599" s="49" t="s">
        <v>3470</v>
      </c>
    </row>
    <row r="2600" spans="1:13" x14ac:dyDescent="0.35">
      <c r="A2600" s="49" t="s">
        <v>10297</v>
      </c>
      <c r="C2600" s="49" t="s">
        <v>10298</v>
      </c>
      <c r="D2600" s="49" t="s">
        <v>1264</v>
      </c>
      <c r="E2600" s="49" t="s">
        <v>2814</v>
      </c>
      <c r="F2600" s="49" t="s">
        <v>2825</v>
      </c>
      <c r="G2600" s="49" t="s">
        <v>2776</v>
      </c>
      <c r="H2600" s="49" t="s">
        <v>2827</v>
      </c>
      <c r="I2600" s="50">
        <v>42802</v>
      </c>
      <c r="M2600" s="49" t="s">
        <v>3470</v>
      </c>
    </row>
    <row r="2601" spans="1:13" x14ac:dyDescent="0.35">
      <c r="A2601" s="49" t="s">
        <v>10299</v>
      </c>
      <c r="C2601" s="49" t="s">
        <v>10300</v>
      </c>
      <c r="D2601" s="49" t="s">
        <v>1264</v>
      </c>
      <c r="E2601" s="49" t="s">
        <v>2814</v>
      </c>
      <c r="F2601" s="49" t="s">
        <v>2825</v>
      </c>
      <c r="G2601" s="49" t="s">
        <v>2776</v>
      </c>
      <c r="H2601" s="49" t="s">
        <v>2827</v>
      </c>
      <c r="I2601" s="50">
        <v>42809</v>
      </c>
      <c r="M2601" s="49" t="s">
        <v>3470</v>
      </c>
    </row>
    <row r="2602" spans="1:13" x14ac:dyDescent="0.35">
      <c r="A2602" s="49" t="s">
        <v>10301</v>
      </c>
      <c r="B2602" s="49" t="s">
        <v>4739</v>
      </c>
      <c r="C2602" s="49" t="s">
        <v>10302</v>
      </c>
      <c r="D2602" s="49" t="s">
        <v>1264</v>
      </c>
      <c r="E2602" s="49" t="s">
        <v>2814</v>
      </c>
      <c r="F2602" s="49" t="s">
        <v>2825</v>
      </c>
      <c r="G2602" s="49" t="s">
        <v>2776</v>
      </c>
      <c r="H2602" s="49" t="s">
        <v>2827</v>
      </c>
      <c r="I2602" s="50">
        <v>43377</v>
      </c>
      <c r="M2602" s="49" t="s">
        <v>10303</v>
      </c>
    </row>
    <row r="2603" spans="1:13" x14ac:dyDescent="0.35">
      <c r="A2603" s="49" t="s">
        <v>10304</v>
      </c>
      <c r="C2603" s="49" t="s">
        <v>10305</v>
      </c>
      <c r="D2603" s="49" t="s">
        <v>1264</v>
      </c>
      <c r="E2603" s="49" t="s">
        <v>2814</v>
      </c>
      <c r="F2603" s="49" t="s">
        <v>2837</v>
      </c>
      <c r="G2603" s="49" t="s">
        <v>2776</v>
      </c>
      <c r="H2603" s="49" t="s">
        <v>980</v>
      </c>
      <c r="I2603" s="50">
        <v>43355</v>
      </c>
      <c r="M2603" s="49" t="s">
        <v>10306</v>
      </c>
    </row>
    <row r="2604" spans="1:13" x14ac:dyDescent="0.35">
      <c r="A2604" s="49" t="s">
        <v>10307</v>
      </c>
      <c r="B2604" s="49" t="s">
        <v>3933</v>
      </c>
      <c r="C2604" s="49" t="s">
        <v>7390</v>
      </c>
      <c r="D2604" s="49" t="s">
        <v>1264</v>
      </c>
      <c r="E2604" s="49" t="s">
        <v>2814</v>
      </c>
      <c r="F2604" s="49" t="s">
        <v>2825</v>
      </c>
      <c r="G2604" s="49" t="s">
        <v>2776</v>
      </c>
      <c r="H2604" s="49" t="s">
        <v>2827</v>
      </c>
      <c r="I2604" s="50">
        <v>43430</v>
      </c>
      <c r="M2604" s="49" t="s">
        <v>10308</v>
      </c>
    </row>
    <row r="2605" spans="1:13" x14ac:dyDescent="0.35">
      <c r="A2605" s="49" t="s">
        <v>10309</v>
      </c>
      <c r="B2605" s="49" t="s">
        <v>3354</v>
      </c>
      <c r="C2605" s="49" t="s">
        <v>4430</v>
      </c>
      <c r="D2605" s="49" t="s">
        <v>1264</v>
      </c>
      <c r="E2605" s="49" t="s">
        <v>2814</v>
      </c>
      <c r="F2605" s="49" t="s">
        <v>2837</v>
      </c>
      <c r="G2605" s="49" t="s">
        <v>2776</v>
      </c>
      <c r="H2605" s="49" t="s">
        <v>980</v>
      </c>
      <c r="I2605" s="50">
        <v>43426</v>
      </c>
      <c r="M2605" s="49" t="s">
        <v>10310</v>
      </c>
    </row>
    <row r="2606" spans="1:13" x14ac:dyDescent="0.35">
      <c r="A2606" s="49" t="s">
        <v>10311</v>
      </c>
      <c r="C2606" s="49" t="s">
        <v>4430</v>
      </c>
      <c r="D2606" s="49" t="s">
        <v>1264</v>
      </c>
      <c r="E2606" s="49" t="s">
        <v>2814</v>
      </c>
      <c r="F2606" s="49" t="s">
        <v>2837</v>
      </c>
      <c r="G2606" s="49" t="s">
        <v>2776</v>
      </c>
      <c r="H2606" s="49" t="s">
        <v>980</v>
      </c>
      <c r="I2606" s="50">
        <v>43433</v>
      </c>
      <c r="M2606" s="49" t="s">
        <v>10312</v>
      </c>
    </row>
    <row r="2607" spans="1:13" x14ac:dyDescent="0.35">
      <c r="A2607" s="49" t="s">
        <v>10313</v>
      </c>
      <c r="C2607" s="49" t="s">
        <v>7595</v>
      </c>
      <c r="D2607" s="49" t="s">
        <v>1264</v>
      </c>
      <c r="E2607" s="49" t="s">
        <v>2814</v>
      </c>
      <c r="F2607" s="49" t="s">
        <v>2837</v>
      </c>
      <c r="G2607" s="49" t="s">
        <v>2776</v>
      </c>
      <c r="H2607" s="49" t="s">
        <v>980</v>
      </c>
      <c r="I2607" s="50">
        <v>43444</v>
      </c>
      <c r="M2607" s="49" t="s">
        <v>10314</v>
      </c>
    </row>
    <row r="2608" spans="1:13" x14ac:dyDescent="0.35">
      <c r="A2608" s="49" t="s">
        <v>10315</v>
      </c>
      <c r="C2608" s="49" t="s">
        <v>2813</v>
      </c>
      <c r="D2608" s="49" t="s">
        <v>1264</v>
      </c>
      <c r="E2608" s="49" t="s">
        <v>2814</v>
      </c>
      <c r="F2608" s="49" t="s">
        <v>2805</v>
      </c>
      <c r="G2608" s="49" t="s">
        <v>2826</v>
      </c>
      <c r="H2608" s="49" t="s">
        <v>980</v>
      </c>
      <c r="I2608" s="50">
        <v>41673</v>
      </c>
      <c r="M2608" s="49" t="s">
        <v>10316</v>
      </c>
    </row>
    <row r="2609" spans="1:13" x14ac:dyDescent="0.35">
      <c r="A2609" s="49" t="s">
        <v>10317</v>
      </c>
      <c r="C2609" s="49" t="s">
        <v>10133</v>
      </c>
      <c r="D2609" s="49" t="s">
        <v>1264</v>
      </c>
      <c r="E2609" s="49" t="s">
        <v>2814</v>
      </c>
      <c r="F2609" s="49" t="s">
        <v>2825</v>
      </c>
      <c r="G2609" s="49" t="s">
        <v>2776</v>
      </c>
      <c r="H2609" s="49" t="s">
        <v>2827</v>
      </c>
      <c r="I2609" s="50">
        <v>43096</v>
      </c>
      <c r="M2609" s="49" t="s">
        <v>10318</v>
      </c>
    </row>
    <row r="2610" spans="1:13" x14ac:dyDescent="0.35">
      <c r="A2610" s="49" t="s">
        <v>10319</v>
      </c>
      <c r="C2610" s="49" t="s">
        <v>10320</v>
      </c>
      <c r="D2610" s="49" t="s">
        <v>1264</v>
      </c>
      <c r="E2610" s="49" t="s">
        <v>2814</v>
      </c>
      <c r="F2610" s="49" t="s">
        <v>2825</v>
      </c>
      <c r="G2610" s="49" t="s">
        <v>2776</v>
      </c>
      <c r="H2610" s="49" t="s">
        <v>2827</v>
      </c>
      <c r="I2610" s="50">
        <v>43372</v>
      </c>
      <c r="M2610" s="49" t="s">
        <v>3270</v>
      </c>
    </row>
    <row r="2611" spans="1:13" x14ac:dyDescent="0.35">
      <c r="A2611" s="49" t="s">
        <v>10321</v>
      </c>
      <c r="B2611" s="49" t="s">
        <v>7599</v>
      </c>
      <c r="C2611" s="49" t="s">
        <v>7600</v>
      </c>
      <c r="D2611" s="49" t="s">
        <v>1264</v>
      </c>
      <c r="E2611" s="49" t="s">
        <v>2814</v>
      </c>
      <c r="F2611" s="49" t="s">
        <v>2825</v>
      </c>
      <c r="G2611" s="49" t="s">
        <v>2776</v>
      </c>
      <c r="H2611" s="49" t="s">
        <v>2827</v>
      </c>
      <c r="I2611" s="50">
        <v>42366</v>
      </c>
      <c r="M2611" s="49" t="s">
        <v>3470</v>
      </c>
    </row>
    <row r="2612" spans="1:13" x14ac:dyDescent="0.35">
      <c r="A2612" s="49" t="s">
        <v>10322</v>
      </c>
      <c r="C2612" s="49" t="s">
        <v>10323</v>
      </c>
      <c r="D2612" s="49" t="s">
        <v>1264</v>
      </c>
      <c r="E2612" s="49" t="s">
        <v>2814</v>
      </c>
      <c r="F2612" s="49" t="s">
        <v>10324</v>
      </c>
      <c r="G2612" s="49" t="s">
        <v>2776</v>
      </c>
      <c r="H2612" s="49" t="s">
        <v>2827</v>
      </c>
      <c r="I2612" s="50">
        <v>43159</v>
      </c>
      <c r="M2612" s="49" t="s">
        <v>10325</v>
      </c>
    </row>
    <row r="2613" spans="1:13" x14ac:dyDescent="0.35">
      <c r="A2613" s="49" t="s">
        <v>10326</v>
      </c>
      <c r="C2613" s="49" t="s">
        <v>10327</v>
      </c>
      <c r="D2613" s="49" t="s">
        <v>1264</v>
      </c>
      <c r="E2613" s="49" t="s">
        <v>2814</v>
      </c>
      <c r="F2613" s="49" t="s">
        <v>2837</v>
      </c>
      <c r="G2613" s="49" t="s">
        <v>2776</v>
      </c>
      <c r="H2613" s="49" t="s">
        <v>2827</v>
      </c>
      <c r="I2613" s="50">
        <v>43525</v>
      </c>
      <c r="M2613" s="49" t="s">
        <v>3470</v>
      </c>
    </row>
    <row r="2614" spans="1:13" x14ac:dyDescent="0.35">
      <c r="A2614" s="49" t="s">
        <v>10328</v>
      </c>
      <c r="B2614" s="49" t="s">
        <v>10329</v>
      </c>
      <c r="C2614" s="49" t="s">
        <v>4004</v>
      </c>
      <c r="D2614" s="49" t="s">
        <v>1264</v>
      </c>
      <c r="E2614" s="49" t="s">
        <v>2814</v>
      </c>
      <c r="F2614" s="49" t="s">
        <v>2837</v>
      </c>
      <c r="G2614" s="49" t="s">
        <v>2776</v>
      </c>
      <c r="H2614" s="49" t="s">
        <v>980</v>
      </c>
      <c r="I2614" s="50">
        <v>43593</v>
      </c>
      <c r="M2614" s="49" t="s">
        <v>10330</v>
      </c>
    </row>
    <row r="2615" spans="1:13" x14ac:dyDescent="0.35">
      <c r="A2615" s="49" t="s">
        <v>10331</v>
      </c>
      <c r="B2615" s="49" t="s">
        <v>10332</v>
      </c>
      <c r="C2615" s="49" t="s">
        <v>10333</v>
      </c>
      <c r="D2615" s="49" t="s">
        <v>1264</v>
      </c>
      <c r="E2615" s="49" t="s">
        <v>2814</v>
      </c>
      <c r="F2615" s="49" t="s">
        <v>2837</v>
      </c>
      <c r="G2615" s="49" t="s">
        <v>2776</v>
      </c>
      <c r="H2615" s="49" t="s">
        <v>980</v>
      </c>
      <c r="I2615" s="50">
        <v>44025</v>
      </c>
      <c r="M2615" s="49" t="s">
        <v>10334</v>
      </c>
    </row>
    <row r="2616" spans="1:13" x14ac:dyDescent="0.35">
      <c r="A2616" s="49" t="s">
        <v>10335</v>
      </c>
      <c r="C2616" s="49" t="s">
        <v>10336</v>
      </c>
      <c r="D2616" s="49" t="s">
        <v>1264</v>
      </c>
      <c r="E2616" s="49" t="s">
        <v>2814</v>
      </c>
      <c r="F2616" s="49" t="s">
        <v>2837</v>
      </c>
      <c r="G2616" s="49" t="s">
        <v>2776</v>
      </c>
      <c r="H2616" s="49" t="s">
        <v>980</v>
      </c>
      <c r="I2616" s="50">
        <v>43339</v>
      </c>
      <c r="M2616" s="49" t="s">
        <v>10337</v>
      </c>
    </row>
    <row r="2617" spans="1:13" x14ac:dyDescent="0.35">
      <c r="A2617" s="49" t="s">
        <v>10338</v>
      </c>
      <c r="C2617" s="49" t="s">
        <v>8905</v>
      </c>
      <c r="D2617" s="49" t="s">
        <v>1264</v>
      </c>
      <c r="E2617" s="49" t="s">
        <v>2814</v>
      </c>
      <c r="F2617" s="49" t="s">
        <v>2825</v>
      </c>
      <c r="G2617" s="49" t="s">
        <v>2776</v>
      </c>
      <c r="H2617" s="49" t="s">
        <v>2827</v>
      </c>
      <c r="I2617" s="50">
        <v>41956</v>
      </c>
      <c r="M2617" s="49" t="s">
        <v>10339</v>
      </c>
    </row>
    <row r="2618" spans="1:13" x14ac:dyDescent="0.35">
      <c r="A2618" s="49" t="s">
        <v>10340</v>
      </c>
      <c r="B2618" s="49" t="s">
        <v>2863</v>
      </c>
      <c r="C2618" s="49" t="s">
        <v>10341</v>
      </c>
      <c r="D2618" s="49" t="s">
        <v>1264</v>
      </c>
      <c r="E2618" s="49" t="s">
        <v>2814</v>
      </c>
      <c r="F2618" s="49" t="s">
        <v>2825</v>
      </c>
      <c r="G2618" s="49" t="s">
        <v>2776</v>
      </c>
      <c r="H2618" s="49" t="s">
        <v>2827</v>
      </c>
      <c r="I2618" s="50">
        <v>42324</v>
      </c>
      <c r="M2618" s="49" t="s">
        <v>10342</v>
      </c>
    </row>
    <row r="2619" spans="1:13" x14ac:dyDescent="0.35">
      <c r="A2619" s="49" t="s">
        <v>10343</v>
      </c>
      <c r="B2619" s="49" t="s">
        <v>2863</v>
      </c>
      <c r="C2619" s="49" t="s">
        <v>10344</v>
      </c>
      <c r="D2619" s="49" t="s">
        <v>1264</v>
      </c>
      <c r="E2619" s="49" t="s">
        <v>2814</v>
      </c>
      <c r="F2619" s="49" t="s">
        <v>2825</v>
      </c>
      <c r="G2619" s="49" t="s">
        <v>2776</v>
      </c>
      <c r="H2619" s="49" t="s">
        <v>2827</v>
      </c>
      <c r="I2619" s="50">
        <v>42423</v>
      </c>
      <c r="M2619" s="49" t="s">
        <v>3470</v>
      </c>
    </row>
    <row r="2620" spans="1:13" x14ac:dyDescent="0.35">
      <c r="A2620" s="49" t="s">
        <v>10345</v>
      </c>
      <c r="C2620" s="49" t="s">
        <v>10195</v>
      </c>
      <c r="D2620" s="49" t="s">
        <v>1264</v>
      </c>
      <c r="E2620" s="49" t="s">
        <v>2814</v>
      </c>
      <c r="F2620" s="49" t="s">
        <v>2825</v>
      </c>
      <c r="G2620" s="49" t="s">
        <v>2776</v>
      </c>
      <c r="H2620" s="49" t="s">
        <v>2827</v>
      </c>
      <c r="I2620" s="50">
        <v>42461</v>
      </c>
      <c r="M2620" s="49" t="s">
        <v>10346</v>
      </c>
    </row>
    <row r="2621" spans="1:13" x14ac:dyDescent="0.35">
      <c r="A2621" s="49" t="s">
        <v>10347</v>
      </c>
      <c r="C2621" s="49" t="s">
        <v>10348</v>
      </c>
      <c r="D2621" s="49" t="s">
        <v>1264</v>
      </c>
      <c r="E2621" s="49" t="s">
        <v>2814</v>
      </c>
      <c r="F2621" s="49" t="s">
        <v>2825</v>
      </c>
      <c r="G2621" s="49" t="s">
        <v>2776</v>
      </c>
      <c r="H2621" s="49" t="s">
        <v>2827</v>
      </c>
      <c r="I2621" s="50">
        <v>42461</v>
      </c>
      <c r="M2621" s="49" t="s">
        <v>10349</v>
      </c>
    </row>
    <row r="2622" spans="1:13" x14ac:dyDescent="0.35">
      <c r="A2622" s="49" t="s">
        <v>10350</v>
      </c>
      <c r="C2622" s="49" t="s">
        <v>10351</v>
      </c>
      <c r="D2622" s="49" t="s">
        <v>1264</v>
      </c>
      <c r="E2622" s="49" t="s">
        <v>2814</v>
      </c>
      <c r="F2622" s="49" t="s">
        <v>2825</v>
      </c>
      <c r="G2622" s="49" t="s">
        <v>2776</v>
      </c>
      <c r="H2622" s="49" t="s">
        <v>2827</v>
      </c>
      <c r="I2622" s="50">
        <v>42892</v>
      </c>
      <c r="M2622" s="49" t="s">
        <v>3270</v>
      </c>
    </row>
    <row r="2623" spans="1:13" x14ac:dyDescent="0.35">
      <c r="A2623" s="49" t="s">
        <v>10352</v>
      </c>
      <c r="C2623" s="49" t="s">
        <v>8497</v>
      </c>
      <c r="D2623" s="49" t="s">
        <v>1264</v>
      </c>
      <c r="E2623" s="49" t="s">
        <v>2814</v>
      </c>
      <c r="F2623" s="49" t="s">
        <v>2825</v>
      </c>
      <c r="G2623" s="49" t="s">
        <v>2776</v>
      </c>
      <c r="H2623" s="49" t="s">
        <v>2827</v>
      </c>
      <c r="I2623" s="50">
        <v>42583</v>
      </c>
      <c r="M2623" s="49" t="s">
        <v>10353</v>
      </c>
    </row>
    <row r="2624" spans="1:13" x14ac:dyDescent="0.35">
      <c r="A2624" s="49" t="s">
        <v>10354</v>
      </c>
      <c r="C2624" s="49" t="s">
        <v>10355</v>
      </c>
      <c r="D2624" s="49" t="s">
        <v>1264</v>
      </c>
      <c r="E2624" s="49" t="s">
        <v>2814</v>
      </c>
      <c r="F2624" s="49" t="s">
        <v>2825</v>
      </c>
      <c r="G2624" s="49" t="s">
        <v>2776</v>
      </c>
      <c r="H2624" s="49" t="s">
        <v>2827</v>
      </c>
      <c r="I2624" s="50">
        <v>42650</v>
      </c>
      <c r="M2624" s="49" t="s">
        <v>3270</v>
      </c>
    </row>
    <row r="2625" spans="1:13" x14ac:dyDescent="0.35">
      <c r="A2625" s="49" t="s">
        <v>10356</v>
      </c>
      <c r="C2625" s="49" t="s">
        <v>10355</v>
      </c>
      <c r="D2625" s="49" t="s">
        <v>1264</v>
      </c>
      <c r="E2625" s="49" t="s">
        <v>2814</v>
      </c>
      <c r="F2625" s="49" t="s">
        <v>2825</v>
      </c>
      <c r="G2625" s="49" t="s">
        <v>2776</v>
      </c>
      <c r="H2625" s="49" t="s">
        <v>2827</v>
      </c>
      <c r="I2625" s="50">
        <v>42660</v>
      </c>
      <c r="M2625" s="49" t="s">
        <v>10357</v>
      </c>
    </row>
    <row r="2626" spans="1:13" x14ac:dyDescent="0.35">
      <c r="A2626" s="49" t="s">
        <v>10358</v>
      </c>
      <c r="C2626" s="49" t="s">
        <v>10084</v>
      </c>
      <c r="D2626" s="49" t="s">
        <v>1264</v>
      </c>
      <c r="E2626" s="49" t="s">
        <v>2814</v>
      </c>
      <c r="F2626" s="49" t="s">
        <v>2825</v>
      </c>
      <c r="G2626" s="49" t="s">
        <v>2787</v>
      </c>
      <c r="H2626" s="49" t="s">
        <v>2827</v>
      </c>
      <c r="I2626" s="50">
        <v>41946</v>
      </c>
      <c r="M2626" s="49" t="s">
        <v>10359</v>
      </c>
    </row>
    <row r="2627" spans="1:13" x14ac:dyDescent="0.35">
      <c r="A2627" s="49" t="s">
        <v>10360</v>
      </c>
      <c r="B2627" s="49" t="s">
        <v>3881</v>
      </c>
      <c r="C2627" s="49" t="s">
        <v>10361</v>
      </c>
      <c r="D2627" s="49" t="s">
        <v>1264</v>
      </c>
      <c r="E2627" s="49" t="s">
        <v>2814</v>
      </c>
      <c r="F2627" s="49" t="s">
        <v>2939</v>
      </c>
      <c r="G2627" s="49" t="s">
        <v>2776</v>
      </c>
      <c r="H2627" s="49" t="s">
        <v>980</v>
      </c>
      <c r="I2627" s="50">
        <v>43845</v>
      </c>
      <c r="M2627" s="49" t="s">
        <v>9189</v>
      </c>
    </row>
    <row r="2628" spans="1:13" x14ac:dyDescent="0.35">
      <c r="A2628" s="49" t="s">
        <v>10362</v>
      </c>
      <c r="C2628" s="49" t="s">
        <v>10363</v>
      </c>
      <c r="D2628" s="49" t="s">
        <v>1264</v>
      </c>
      <c r="E2628" s="49" t="s">
        <v>2814</v>
      </c>
      <c r="F2628" s="49" t="s">
        <v>2825</v>
      </c>
      <c r="G2628" s="49" t="s">
        <v>2776</v>
      </c>
      <c r="H2628" s="49" t="s">
        <v>2827</v>
      </c>
      <c r="I2628" s="50">
        <v>42423</v>
      </c>
      <c r="M2628" s="49" t="s">
        <v>3470</v>
      </c>
    </row>
    <row r="2629" spans="1:13" x14ac:dyDescent="0.35">
      <c r="A2629" s="49" t="s">
        <v>10364</v>
      </c>
      <c r="C2629" s="49" t="s">
        <v>10365</v>
      </c>
      <c r="D2629" s="49" t="s">
        <v>1264</v>
      </c>
      <c r="E2629" s="49" t="s">
        <v>2814</v>
      </c>
      <c r="F2629" s="49" t="s">
        <v>2837</v>
      </c>
      <c r="G2629" s="49" t="s">
        <v>2776</v>
      </c>
      <c r="H2629" s="49" t="s">
        <v>980</v>
      </c>
      <c r="I2629" s="50">
        <v>43535</v>
      </c>
      <c r="M2629" s="49" t="s">
        <v>10366</v>
      </c>
    </row>
    <row r="2630" spans="1:13" x14ac:dyDescent="0.35">
      <c r="A2630" s="49" t="s">
        <v>10367</v>
      </c>
      <c r="C2630" s="49" t="s">
        <v>10368</v>
      </c>
      <c r="D2630" s="49" t="s">
        <v>1264</v>
      </c>
      <c r="E2630" s="49" t="s">
        <v>2814</v>
      </c>
      <c r="F2630" s="49" t="s">
        <v>2837</v>
      </c>
      <c r="G2630" s="49" t="s">
        <v>2776</v>
      </c>
      <c r="H2630" s="49" t="s">
        <v>980</v>
      </c>
      <c r="I2630" s="50">
        <v>44277</v>
      </c>
      <c r="M2630" s="49" t="s">
        <v>10369</v>
      </c>
    </row>
    <row r="2631" spans="1:13" x14ac:dyDescent="0.35">
      <c r="A2631" s="49" t="s">
        <v>10370</v>
      </c>
      <c r="C2631" s="49" t="s">
        <v>10371</v>
      </c>
      <c r="D2631" s="49" t="s">
        <v>1264</v>
      </c>
      <c r="E2631" s="49" t="s">
        <v>2814</v>
      </c>
      <c r="F2631" s="49" t="s">
        <v>2825</v>
      </c>
      <c r="G2631" s="49" t="s">
        <v>2776</v>
      </c>
      <c r="H2631" s="49" t="s">
        <v>2827</v>
      </c>
      <c r="I2631" s="50">
        <v>42459</v>
      </c>
      <c r="M2631" s="49" t="s">
        <v>3470</v>
      </c>
    </row>
    <row r="2632" spans="1:13" x14ac:dyDescent="0.35">
      <c r="A2632" s="49" t="s">
        <v>10372</v>
      </c>
      <c r="B2632" s="49" t="s">
        <v>10373</v>
      </c>
      <c r="C2632" s="49" t="s">
        <v>3693</v>
      </c>
      <c r="D2632" s="49" t="s">
        <v>1264</v>
      </c>
      <c r="E2632" s="49" t="s">
        <v>2814</v>
      </c>
      <c r="F2632" s="49" t="s">
        <v>2825</v>
      </c>
      <c r="G2632" s="49" t="s">
        <v>2776</v>
      </c>
      <c r="H2632" s="49" t="s">
        <v>2827</v>
      </c>
      <c r="I2632" s="50">
        <v>43600</v>
      </c>
      <c r="M2632" s="49" t="s">
        <v>10374</v>
      </c>
    </row>
    <row r="2633" spans="1:13" x14ac:dyDescent="0.35">
      <c r="A2633" s="49" t="s">
        <v>10375</v>
      </c>
      <c r="B2633" s="49" t="s">
        <v>10376</v>
      </c>
      <c r="C2633" s="49" t="s">
        <v>8497</v>
      </c>
      <c r="D2633" s="49" t="s">
        <v>1264</v>
      </c>
      <c r="E2633" s="49" t="s">
        <v>2814</v>
      </c>
      <c r="F2633" s="49" t="s">
        <v>2825</v>
      </c>
      <c r="G2633" s="49" t="s">
        <v>2776</v>
      </c>
      <c r="H2633" s="49" t="s">
        <v>2827</v>
      </c>
      <c r="I2633" s="50">
        <v>43042</v>
      </c>
      <c r="M2633" s="49" t="s">
        <v>10377</v>
      </c>
    </row>
    <row r="2634" spans="1:13" x14ac:dyDescent="0.35">
      <c r="A2634" s="49" t="s">
        <v>10378</v>
      </c>
      <c r="C2634" s="49" t="s">
        <v>10379</v>
      </c>
      <c r="D2634" s="49" t="s">
        <v>1264</v>
      </c>
      <c r="E2634" s="49" t="s">
        <v>2814</v>
      </c>
      <c r="F2634" s="49" t="s">
        <v>2837</v>
      </c>
      <c r="G2634" s="49" t="s">
        <v>2776</v>
      </c>
      <c r="H2634" s="49" t="s">
        <v>980</v>
      </c>
      <c r="I2634" s="50">
        <v>43388</v>
      </c>
      <c r="M2634" s="49" t="s">
        <v>10380</v>
      </c>
    </row>
    <row r="2635" spans="1:13" x14ac:dyDescent="0.35">
      <c r="A2635" s="49" t="s">
        <v>10381</v>
      </c>
      <c r="C2635" s="49" t="s">
        <v>9016</v>
      </c>
      <c r="D2635" s="49" t="s">
        <v>1264</v>
      </c>
      <c r="E2635" s="49" t="s">
        <v>2814</v>
      </c>
      <c r="F2635" s="49" t="s">
        <v>2825</v>
      </c>
      <c r="G2635" s="49" t="s">
        <v>2776</v>
      </c>
      <c r="H2635" s="49" t="s">
        <v>2827</v>
      </c>
      <c r="I2635" s="50">
        <v>42011</v>
      </c>
      <c r="M2635" s="49" t="s">
        <v>10382</v>
      </c>
    </row>
    <row r="2636" spans="1:13" x14ac:dyDescent="0.35">
      <c r="A2636" s="49" t="s">
        <v>10383</v>
      </c>
      <c r="C2636" s="49" t="s">
        <v>10384</v>
      </c>
      <c r="D2636" s="49" t="s">
        <v>1264</v>
      </c>
      <c r="E2636" s="49" t="s">
        <v>2814</v>
      </c>
      <c r="F2636" s="49" t="s">
        <v>2825</v>
      </c>
      <c r="G2636" s="49" t="s">
        <v>2776</v>
      </c>
      <c r="H2636" s="49" t="s">
        <v>2827</v>
      </c>
      <c r="I2636" s="50">
        <v>42719</v>
      </c>
      <c r="M2636" s="49" t="s">
        <v>3470</v>
      </c>
    </row>
    <row r="2637" spans="1:13" x14ac:dyDescent="0.35">
      <c r="A2637" s="49" t="s">
        <v>10385</v>
      </c>
      <c r="C2637" s="49" t="s">
        <v>10386</v>
      </c>
      <c r="D2637" s="49" t="s">
        <v>1264</v>
      </c>
      <c r="E2637" s="49" t="s">
        <v>2814</v>
      </c>
      <c r="F2637" s="49" t="s">
        <v>2825</v>
      </c>
      <c r="G2637" s="49" t="s">
        <v>2776</v>
      </c>
      <c r="H2637" s="49" t="s">
        <v>2827</v>
      </c>
      <c r="I2637" s="50">
        <v>42751</v>
      </c>
      <c r="M2637" s="49" t="s">
        <v>3470</v>
      </c>
    </row>
    <row r="2638" spans="1:13" x14ac:dyDescent="0.35">
      <c r="A2638" s="49" t="s">
        <v>10387</v>
      </c>
      <c r="C2638" s="49" t="s">
        <v>10388</v>
      </c>
      <c r="D2638" s="49" t="s">
        <v>1264</v>
      </c>
      <c r="E2638" s="49" t="s">
        <v>2814</v>
      </c>
      <c r="F2638" s="49" t="s">
        <v>2825</v>
      </c>
      <c r="G2638" s="49" t="s">
        <v>2776</v>
      </c>
      <c r="H2638" s="49" t="s">
        <v>2827</v>
      </c>
      <c r="I2638" s="50">
        <v>42718</v>
      </c>
      <c r="M2638" s="49" t="s">
        <v>3470</v>
      </c>
    </row>
    <row r="2639" spans="1:13" x14ac:dyDescent="0.35">
      <c r="A2639" s="49" t="s">
        <v>10389</v>
      </c>
      <c r="C2639" s="49" t="s">
        <v>10390</v>
      </c>
      <c r="D2639" s="49" t="s">
        <v>1264</v>
      </c>
      <c r="E2639" s="49" t="s">
        <v>2814</v>
      </c>
      <c r="F2639" s="49" t="s">
        <v>2825</v>
      </c>
      <c r="G2639" s="49" t="s">
        <v>2776</v>
      </c>
      <c r="H2639" s="49" t="s">
        <v>2827</v>
      </c>
      <c r="I2639" s="50">
        <v>42718</v>
      </c>
      <c r="M2639" s="49" t="s">
        <v>3470</v>
      </c>
    </row>
    <row r="2640" spans="1:13" x14ac:dyDescent="0.35">
      <c r="A2640" s="49" t="s">
        <v>10391</v>
      </c>
      <c r="B2640" s="49" t="s">
        <v>5940</v>
      </c>
      <c r="C2640" s="49" t="s">
        <v>10392</v>
      </c>
      <c r="D2640" s="49" t="s">
        <v>1264</v>
      </c>
      <c r="E2640" s="49" t="s">
        <v>2814</v>
      </c>
      <c r="F2640" s="49" t="s">
        <v>2805</v>
      </c>
      <c r="G2640" s="49" t="s">
        <v>2776</v>
      </c>
      <c r="H2640" s="49" t="s">
        <v>980</v>
      </c>
      <c r="I2640" s="50">
        <v>42720</v>
      </c>
      <c r="M2640" s="49" t="s">
        <v>10393</v>
      </c>
    </row>
    <row r="2641" spans="1:13" x14ac:dyDescent="0.35">
      <c r="A2641" s="49" t="s">
        <v>10394</v>
      </c>
      <c r="B2641" s="49" t="s">
        <v>3046</v>
      </c>
      <c r="C2641" s="49" t="s">
        <v>4962</v>
      </c>
      <c r="D2641" s="49" t="s">
        <v>1264</v>
      </c>
      <c r="E2641" s="49" t="s">
        <v>2814</v>
      </c>
      <c r="F2641" s="49" t="s">
        <v>2825</v>
      </c>
      <c r="G2641" s="49" t="s">
        <v>2776</v>
      </c>
      <c r="H2641" s="49" t="s">
        <v>2827</v>
      </c>
      <c r="I2641" s="50">
        <v>43846</v>
      </c>
      <c r="M2641" s="49" t="s">
        <v>8882</v>
      </c>
    </row>
    <row r="2642" spans="1:13" x14ac:dyDescent="0.35">
      <c r="A2642" s="49" t="s">
        <v>10395</v>
      </c>
      <c r="B2642" s="49" t="s">
        <v>7509</v>
      </c>
      <c r="C2642" s="49" t="s">
        <v>3680</v>
      </c>
      <c r="D2642" s="49" t="s">
        <v>1264</v>
      </c>
      <c r="E2642" s="49" t="s">
        <v>2814</v>
      </c>
      <c r="F2642" s="49" t="s">
        <v>2825</v>
      </c>
      <c r="G2642" s="49" t="s">
        <v>2776</v>
      </c>
      <c r="H2642" s="49" t="s">
        <v>2827</v>
      </c>
      <c r="I2642" s="50">
        <v>43563</v>
      </c>
      <c r="M2642" s="49" t="s">
        <v>10396</v>
      </c>
    </row>
    <row r="2643" spans="1:13" x14ac:dyDescent="0.35">
      <c r="A2643" s="49" t="s">
        <v>10397</v>
      </c>
      <c r="C2643" s="49" t="s">
        <v>5893</v>
      </c>
      <c r="D2643" s="49" t="s">
        <v>1264</v>
      </c>
      <c r="E2643" s="49" t="s">
        <v>2814</v>
      </c>
      <c r="F2643" s="49" t="s">
        <v>2825</v>
      </c>
      <c r="G2643" s="49" t="s">
        <v>2776</v>
      </c>
      <c r="H2643" s="49" t="s">
        <v>2827</v>
      </c>
      <c r="I2643" s="50">
        <v>42898</v>
      </c>
      <c r="M2643" s="49" t="s">
        <v>10398</v>
      </c>
    </row>
    <row r="2644" spans="1:13" x14ac:dyDescent="0.35">
      <c r="A2644" s="49" t="s">
        <v>10399</v>
      </c>
      <c r="C2644" s="49" t="s">
        <v>10400</v>
      </c>
      <c r="D2644" s="49" t="s">
        <v>1264</v>
      </c>
      <c r="E2644" s="49" t="s">
        <v>2814</v>
      </c>
      <c r="F2644" s="49" t="s">
        <v>2825</v>
      </c>
      <c r="G2644" s="49" t="s">
        <v>2776</v>
      </c>
      <c r="H2644" s="49" t="s">
        <v>2827</v>
      </c>
      <c r="I2644" s="50">
        <v>42882</v>
      </c>
      <c r="M2644" s="49" t="s">
        <v>3470</v>
      </c>
    </row>
    <row r="2645" spans="1:13" x14ac:dyDescent="0.35">
      <c r="A2645" s="49" t="s">
        <v>10401</v>
      </c>
      <c r="C2645" s="49" t="s">
        <v>10137</v>
      </c>
      <c r="D2645" s="49" t="s">
        <v>1264</v>
      </c>
      <c r="E2645" s="49" t="s">
        <v>2814</v>
      </c>
      <c r="F2645" s="49" t="s">
        <v>2837</v>
      </c>
      <c r="G2645" s="49" t="s">
        <v>2776</v>
      </c>
      <c r="H2645" s="49" t="s">
        <v>2827</v>
      </c>
      <c r="I2645" s="50">
        <v>42849</v>
      </c>
      <c r="M2645" s="49" t="s">
        <v>10402</v>
      </c>
    </row>
    <row r="2646" spans="1:13" x14ac:dyDescent="0.35">
      <c r="A2646" s="49" t="s">
        <v>10403</v>
      </c>
      <c r="C2646" s="49" t="s">
        <v>10404</v>
      </c>
      <c r="D2646" s="49" t="s">
        <v>1264</v>
      </c>
      <c r="E2646" s="49" t="s">
        <v>2814</v>
      </c>
      <c r="F2646" s="49" t="s">
        <v>2825</v>
      </c>
      <c r="G2646" s="49" t="s">
        <v>2776</v>
      </c>
      <c r="H2646" s="49" t="s">
        <v>2827</v>
      </c>
      <c r="I2646" s="50">
        <v>42052</v>
      </c>
      <c r="M2646" s="49" t="s">
        <v>3470</v>
      </c>
    </row>
    <row r="2647" spans="1:13" x14ac:dyDescent="0.35">
      <c r="A2647" s="49" t="s">
        <v>10405</v>
      </c>
      <c r="B2647" s="49" t="s">
        <v>2863</v>
      </c>
      <c r="C2647" s="49" t="s">
        <v>10406</v>
      </c>
      <c r="D2647" s="49" t="s">
        <v>1264</v>
      </c>
      <c r="E2647" s="49" t="s">
        <v>2814</v>
      </c>
      <c r="G2647" s="49" t="s">
        <v>2787</v>
      </c>
      <c r="H2647" s="49" t="s">
        <v>2827</v>
      </c>
      <c r="I2647" s="50">
        <v>42041</v>
      </c>
      <c r="J2647" s="50">
        <v>42174</v>
      </c>
      <c r="K2647" s="50">
        <v>42356</v>
      </c>
      <c r="M2647" s="49" t="s">
        <v>10407</v>
      </c>
    </row>
    <row r="2648" spans="1:13" x14ac:dyDescent="0.35">
      <c r="A2648" s="49" t="s">
        <v>10408</v>
      </c>
      <c r="C2648" s="49" t="s">
        <v>3735</v>
      </c>
      <c r="D2648" s="49" t="s">
        <v>1264</v>
      </c>
      <c r="E2648" s="49" t="s">
        <v>2814</v>
      </c>
      <c r="F2648" s="49" t="s">
        <v>2837</v>
      </c>
      <c r="G2648" s="49" t="s">
        <v>2776</v>
      </c>
      <c r="H2648" s="49" t="s">
        <v>980</v>
      </c>
      <c r="I2648" s="50">
        <v>43907</v>
      </c>
      <c r="M2648" s="49" t="s">
        <v>10409</v>
      </c>
    </row>
    <row r="2649" spans="1:13" x14ac:dyDescent="0.35">
      <c r="A2649" s="49" t="s">
        <v>10410</v>
      </c>
      <c r="C2649" s="49" t="s">
        <v>10411</v>
      </c>
      <c r="D2649" s="49" t="s">
        <v>1264</v>
      </c>
      <c r="E2649" s="49" t="s">
        <v>2814</v>
      </c>
      <c r="F2649" s="49" t="s">
        <v>2825</v>
      </c>
      <c r="G2649" s="49" t="s">
        <v>2776</v>
      </c>
      <c r="H2649" s="49" t="s">
        <v>2827</v>
      </c>
      <c r="I2649" s="50">
        <v>42442</v>
      </c>
      <c r="M2649" s="49" t="s">
        <v>3470</v>
      </c>
    </row>
    <row r="2650" spans="1:13" x14ac:dyDescent="0.35">
      <c r="A2650" s="49" t="s">
        <v>10412</v>
      </c>
      <c r="C2650" s="49" t="s">
        <v>8794</v>
      </c>
      <c r="D2650" s="49" t="s">
        <v>1264</v>
      </c>
      <c r="E2650" s="49" t="s">
        <v>2814</v>
      </c>
      <c r="F2650" s="49" t="s">
        <v>10413</v>
      </c>
      <c r="G2650" s="49" t="s">
        <v>2776</v>
      </c>
      <c r="H2650" s="49" t="s">
        <v>2827</v>
      </c>
      <c r="I2650" s="50">
        <v>43347</v>
      </c>
      <c r="M2650" s="49" t="s">
        <v>3470</v>
      </c>
    </row>
    <row r="2651" spans="1:13" x14ac:dyDescent="0.35">
      <c r="A2651" s="49" t="s">
        <v>10414</v>
      </c>
      <c r="C2651" s="49" t="s">
        <v>4935</v>
      </c>
      <c r="D2651" s="49" t="s">
        <v>1264</v>
      </c>
      <c r="E2651" s="49" t="s">
        <v>2814</v>
      </c>
      <c r="F2651" s="49" t="s">
        <v>2939</v>
      </c>
      <c r="G2651" s="49" t="s">
        <v>2776</v>
      </c>
      <c r="H2651" s="49" t="s">
        <v>980</v>
      </c>
      <c r="I2651" s="50">
        <v>42576</v>
      </c>
      <c r="M2651" s="49" t="s">
        <v>10415</v>
      </c>
    </row>
    <row r="2652" spans="1:13" x14ac:dyDescent="0.35">
      <c r="A2652" s="49" t="s">
        <v>10416</v>
      </c>
      <c r="B2652" s="49" t="s">
        <v>10417</v>
      </c>
      <c r="C2652" s="49" t="s">
        <v>9246</v>
      </c>
      <c r="D2652" s="49" t="s">
        <v>1264</v>
      </c>
      <c r="E2652" s="49" t="s">
        <v>2814</v>
      </c>
      <c r="F2652" s="49" t="s">
        <v>2805</v>
      </c>
      <c r="G2652" s="49" t="s">
        <v>2776</v>
      </c>
      <c r="H2652" s="49" t="s">
        <v>1062</v>
      </c>
      <c r="I2652" s="50">
        <v>43384</v>
      </c>
      <c r="M2652" s="49" t="s">
        <v>10418</v>
      </c>
    </row>
    <row r="2653" spans="1:13" x14ac:dyDescent="0.35">
      <c r="A2653" s="49" t="s">
        <v>10419</v>
      </c>
      <c r="B2653" s="49" t="s">
        <v>10420</v>
      </c>
      <c r="C2653" s="49" t="s">
        <v>9246</v>
      </c>
      <c r="D2653" s="49" t="s">
        <v>1264</v>
      </c>
      <c r="E2653" s="49" t="s">
        <v>2814</v>
      </c>
      <c r="F2653" s="49" t="s">
        <v>2805</v>
      </c>
      <c r="G2653" s="49" t="s">
        <v>2776</v>
      </c>
      <c r="H2653" s="49" t="s">
        <v>3207</v>
      </c>
      <c r="I2653" s="50">
        <v>43384</v>
      </c>
      <c r="M2653" s="49" t="s">
        <v>6985</v>
      </c>
    </row>
    <row r="2654" spans="1:13" x14ac:dyDescent="0.35">
      <c r="A2654" s="49" t="s">
        <v>10421</v>
      </c>
      <c r="B2654" s="49" t="s">
        <v>10422</v>
      </c>
      <c r="C2654" s="49" t="s">
        <v>9246</v>
      </c>
      <c r="D2654" s="49" t="s">
        <v>1264</v>
      </c>
      <c r="E2654" s="49" t="s">
        <v>2814</v>
      </c>
      <c r="F2654" s="49" t="s">
        <v>2805</v>
      </c>
      <c r="G2654" s="49" t="s">
        <v>2776</v>
      </c>
      <c r="H2654" s="49" t="s">
        <v>980</v>
      </c>
      <c r="I2654" s="50">
        <v>43384</v>
      </c>
      <c r="M2654" s="49" t="s">
        <v>10423</v>
      </c>
    </row>
    <row r="2655" spans="1:13" x14ac:dyDescent="0.35">
      <c r="A2655" s="49" t="s">
        <v>10424</v>
      </c>
      <c r="B2655" s="49" t="s">
        <v>10425</v>
      </c>
      <c r="C2655" s="49" t="s">
        <v>9246</v>
      </c>
      <c r="D2655" s="49" t="s">
        <v>1264</v>
      </c>
      <c r="E2655" s="49" t="s">
        <v>2814</v>
      </c>
      <c r="F2655" s="49" t="s">
        <v>2837</v>
      </c>
      <c r="G2655" s="49" t="s">
        <v>2776</v>
      </c>
      <c r="H2655" s="49" t="s">
        <v>1062</v>
      </c>
      <c r="I2655" s="50">
        <v>43384</v>
      </c>
      <c r="M2655" s="49" t="s">
        <v>10426</v>
      </c>
    </row>
    <row r="2656" spans="1:13" x14ac:dyDescent="0.35">
      <c r="A2656" s="49" t="s">
        <v>10427</v>
      </c>
      <c r="B2656" s="49" t="s">
        <v>10428</v>
      </c>
      <c r="C2656" s="49" t="s">
        <v>9246</v>
      </c>
      <c r="D2656" s="49" t="s">
        <v>1264</v>
      </c>
      <c r="E2656" s="49" t="s">
        <v>2814</v>
      </c>
      <c r="F2656" s="49" t="s">
        <v>2805</v>
      </c>
      <c r="G2656" s="49" t="s">
        <v>2776</v>
      </c>
      <c r="H2656" s="49" t="s">
        <v>3207</v>
      </c>
      <c r="I2656" s="50">
        <v>43384</v>
      </c>
      <c r="M2656" s="49" t="s">
        <v>10429</v>
      </c>
    </row>
    <row r="2657" spans="1:13" x14ac:dyDescent="0.35">
      <c r="A2657" s="49" t="s">
        <v>10430</v>
      </c>
      <c r="B2657" s="49" t="s">
        <v>3730</v>
      </c>
      <c r="C2657" s="49" t="s">
        <v>9534</v>
      </c>
      <c r="D2657" s="49" t="s">
        <v>1264</v>
      </c>
      <c r="E2657" s="49" t="s">
        <v>2814</v>
      </c>
      <c r="F2657" s="49" t="s">
        <v>2837</v>
      </c>
      <c r="G2657" s="49" t="s">
        <v>2776</v>
      </c>
      <c r="H2657" s="49" t="s">
        <v>973</v>
      </c>
      <c r="I2657" s="50">
        <v>43524</v>
      </c>
      <c r="M2657" s="49" t="s">
        <v>3270</v>
      </c>
    </row>
    <row r="2658" spans="1:13" x14ac:dyDescent="0.35">
      <c r="A2658" s="49" t="s">
        <v>10431</v>
      </c>
      <c r="B2658" s="49" t="s">
        <v>10432</v>
      </c>
      <c r="C2658" s="49" t="s">
        <v>10433</v>
      </c>
      <c r="D2658" s="49" t="s">
        <v>1264</v>
      </c>
      <c r="E2658" s="49" t="s">
        <v>2814</v>
      </c>
      <c r="F2658" s="49" t="s">
        <v>3188</v>
      </c>
      <c r="G2658" s="49" t="s">
        <v>2776</v>
      </c>
      <c r="H2658" s="49" t="s">
        <v>973</v>
      </c>
      <c r="I2658" s="50">
        <v>43531</v>
      </c>
      <c r="M2658" s="49" t="s">
        <v>10434</v>
      </c>
    </row>
    <row r="2659" spans="1:13" x14ac:dyDescent="0.35">
      <c r="A2659" s="49" t="s">
        <v>10435</v>
      </c>
      <c r="B2659" s="49" t="s">
        <v>10436</v>
      </c>
      <c r="C2659" s="49" t="s">
        <v>10437</v>
      </c>
      <c r="D2659" s="49" t="s">
        <v>1264</v>
      </c>
      <c r="E2659" s="49" t="s">
        <v>2814</v>
      </c>
      <c r="F2659" s="49" t="s">
        <v>2837</v>
      </c>
      <c r="G2659" s="49" t="s">
        <v>2776</v>
      </c>
      <c r="H2659" s="49" t="s">
        <v>2827</v>
      </c>
      <c r="I2659" s="50">
        <v>43201</v>
      </c>
      <c r="M2659" s="49" t="s">
        <v>10438</v>
      </c>
    </row>
    <row r="2660" spans="1:13" x14ac:dyDescent="0.35">
      <c r="A2660" s="49" t="s">
        <v>10439</v>
      </c>
      <c r="C2660" s="49" t="s">
        <v>10437</v>
      </c>
      <c r="D2660" s="49" t="s">
        <v>1264</v>
      </c>
      <c r="E2660" s="49" t="s">
        <v>2814</v>
      </c>
      <c r="F2660" s="49" t="s">
        <v>3898</v>
      </c>
      <c r="G2660" s="49" t="s">
        <v>2776</v>
      </c>
      <c r="H2660" s="49" t="s">
        <v>2827</v>
      </c>
      <c r="I2660" s="50">
        <v>43201</v>
      </c>
      <c r="M2660" s="49" t="s">
        <v>10440</v>
      </c>
    </row>
    <row r="2661" spans="1:13" x14ac:dyDescent="0.35">
      <c r="A2661" s="49" t="s">
        <v>10441</v>
      </c>
      <c r="C2661" s="49" t="s">
        <v>10442</v>
      </c>
      <c r="D2661" s="49" t="s">
        <v>1264</v>
      </c>
      <c r="E2661" s="49" t="s">
        <v>2814</v>
      </c>
      <c r="F2661" s="49" t="s">
        <v>2825</v>
      </c>
      <c r="G2661" s="49" t="s">
        <v>2776</v>
      </c>
      <c r="H2661" s="49" t="s">
        <v>2827</v>
      </c>
      <c r="I2661" s="50">
        <v>42346</v>
      </c>
      <c r="M2661" s="49" t="s">
        <v>3470</v>
      </c>
    </row>
    <row r="2662" spans="1:13" x14ac:dyDescent="0.35">
      <c r="A2662" s="49" t="s">
        <v>10443</v>
      </c>
      <c r="B2662" s="49" t="s">
        <v>8228</v>
      </c>
      <c r="C2662" s="49" t="s">
        <v>8497</v>
      </c>
      <c r="D2662" s="49" t="s">
        <v>1264</v>
      </c>
      <c r="E2662" s="49" t="s">
        <v>2814</v>
      </c>
      <c r="F2662" s="49" t="s">
        <v>2825</v>
      </c>
      <c r="G2662" s="49" t="s">
        <v>2776</v>
      </c>
      <c r="H2662" s="49" t="s">
        <v>2827</v>
      </c>
      <c r="I2662" s="50">
        <v>42786</v>
      </c>
      <c r="M2662" s="49" t="s">
        <v>10444</v>
      </c>
    </row>
    <row r="2663" spans="1:13" x14ac:dyDescent="0.35">
      <c r="A2663" s="49" t="s">
        <v>10445</v>
      </c>
      <c r="B2663" s="49" t="s">
        <v>3098</v>
      </c>
      <c r="C2663" s="49" t="s">
        <v>7946</v>
      </c>
      <c r="D2663" s="49" t="s">
        <v>1264</v>
      </c>
      <c r="E2663" s="49" t="s">
        <v>2814</v>
      </c>
      <c r="F2663" s="49" t="s">
        <v>2825</v>
      </c>
      <c r="G2663" s="49" t="s">
        <v>2787</v>
      </c>
      <c r="H2663" s="49" t="s">
        <v>2827</v>
      </c>
      <c r="I2663" s="50">
        <v>42171</v>
      </c>
      <c r="J2663" s="50">
        <v>42171</v>
      </c>
      <c r="K2663" s="50">
        <v>42353</v>
      </c>
      <c r="M2663" s="49" t="s">
        <v>5565</v>
      </c>
    </row>
    <row r="2664" spans="1:13" x14ac:dyDescent="0.35">
      <c r="A2664" s="49" t="s">
        <v>10446</v>
      </c>
      <c r="C2664" s="49" t="s">
        <v>8920</v>
      </c>
      <c r="D2664" s="49" t="s">
        <v>1264</v>
      </c>
      <c r="E2664" s="49" t="s">
        <v>2814</v>
      </c>
      <c r="F2664" s="49" t="s">
        <v>2825</v>
      </c>
      <c r="G2664" s="49" t="s">
        <v>2776</v>
      </c>
      <c r="H2664" s="49" t="s">
        <v>2827</v>
      </c>
      <c r="I2664" s="50">
        <v>44000</v>
      </c>
      <c r="M2664" s="49" t="s">
        <v>3859</v>
      </c>
    </row>
    <row r="2665" spans="1:13" x14ac:dyDescent="0.35">
      <c r="A2665" s="49" t="s">
        <v>10447</v>
      </c>
      <c r="B2665" s="49" t="s">
        <v>10448</v>
      </c>
      <c r="C2665" s="49" t="s">
        <v>8630</v>
      </c>
      <c r="D2665" s="49" t="s">
        <v>1264</v>
      </c>
      <c r="E2665" s="49" t="s">
        <v>2814</v>
      </c>
      <c r="F2665" s="49" t="s">
        <v>2825</v>
      </c>
      <c r="G2665" s="49" t="s">
        <v>2787</v>
      </c>
      <c r="H2665" s="49" t="s">
        <v>2827</v>
      </c>
      <c r="I2665" s="50">
        <v>41484</v>
      </c>
      <c r="M2665" s="49" t="s">
        <v>10449</v>
      </c>
    </row>
    <row r="2666" spans="1:13" x14ac:dyDescent="0.35">
      <c r="A2666" s="49" t="s">
        <v>10450</v>
      </c>
      <c r="B2666" s="49" t="s">
        <v>10451</v>
      </c>
      <c r="C2666" s="49" t="s">
        <v>10452</v>
      </c>
      <c r="D2666" s="49" t="s">
        <v>1264</v>
      </c>
      <c r="E2666" s="49" t="s">
        <v>2814</v>
      </c>
      <c r="F2666" s="49" t="s">
        <v>2825</v>
      </c>
      <c r="G2666" s="49" t="s">
        <v>2776</v>
      </c>
      <c r="H2666" s="49" t="s">
        <v>2827</v>
      </c>
      <c r="I2666" s="50">
        <v>42850</v>
      </c>
      <c r="M2666" s="49" t="s">
        <v>3270</v>
      </c>
    </row>
    <row r="2667" spans="1:13" x14ac:dyDescent="0.35">
      <c r="A2667" s="49" t="s">
        <v>10453</v>
      </c>
      <c r="C2667" s="49" t="s">
        <v>10454</v>
      </c>
      <c r="D2667" s="49" t="s">
        <v>1264</v>
      </c>
      <c r="E2667" s="49" t="s">
        <v>2814</v>
      </c>
      <c r="F2667" s="49" t="s">
        <v>2825</v>
      </c>
      <c r="G2667" s="49" t="s">
        <v>2776</v>
      </c>
      <c r="H2667" s="49" t="s">
        <v>2827</v>
      </c>
      <c r="I2667" s="50">
        <v>42874</v>
      </c>
      <c r="M2667" s="49" t="s">
        <v>3270</v>
      </c>
    </row>
    <row r="2668" spans="1:13" x14ac:dyDescent="0.35">
      <c r="A2668" s="49" t="s">
        <v>10455</v>
      </c>
      <c r="C2668" s="49" t="s">
        <v>10456</v>
      </c>
      <c r="D2668" s="49" t="s">
        <v>1264</v>
      </c>
      <c r="E2668" s="49" t="s">
        <v>2814</v>
      </c>
      <c r="F2668" s="49" t="s">
        <v>2825</v>
      </c>
      <c r="G2668" s="49" t="s">
        <v>2776</v>
      </c>
      <c r="H2668" s="49" t="s">
        <v>2827</v>
      </c>
      <c r="I2668" s="50">
        <v>42509</v>
      </c>
      <c r="M2668" s="49" t="s">
        <v>3470</v>
      </c>
    </row>
    <row r="2669" spans="1:13" x14ac:dyDescent="0.35">
      <c r="A2669" s="49" t="s">
        <v>10457</v>
      </c>
      <c r="C2669" s="49" t="s">
        <v>3525</v>
      </c>
      <c r="D2669" s="49" t="s">
        <v>1264</v>
      </c>
      <c r="E2669" s="49" t="s">
        <v>2814</v>
      </c>
      <c r="F2669" s="49" t="s">
        <v>10458</v>
      </c>
      <c r="G2669" s="49" t="s">
        <v>2776</v>
      </c>
      <c r="H2669" s="49" t="s">
        <v>980</v>
      </c>
      <c r="I2669" s="50">
        <v>42606</v>
      </c>
      <c r="M2669" s="49" t="s">
        <v>3728</v>
      </c>
    </row>
    <row r="2670" spans="1:13" x14ac:dyDescent="0.35">
      <c r="A2670" s="49" t="s">
        <v>10459</v>
      </c>
      <c r="C2670" s="49" t="s">
        <v>10460</v>
      </c>
      <c r="D2670" s="49" t="s">
        <v>1264</v>
      </c>
      <c r="E2670" s="49" t="s">
        <v>2814</v>
      </c>
      <c r="F2670" s="49" t="s">
        <v>2837</v>
      </c>
      <c r="G2670" s="49" t="s">
        <v>2776</v>
      </c>
      <c r="H2670" s="49" t="s">
        <v>980</v>
      </c>
      <c r="I2670" s="50">
        <v>43818</v>
      </c>
      <c r="M2670" s="49" t="s">
        <v>10461</v>
      </c>
    </row>
    <row r="2671" spans="1:13" x14ac:dyDescent="0.35">
      <c r="A2671" s="49" t="s">
        <v>10462</v>
      </c>
      <c r="B2671" s="49" t="s">
        <v>2823</v>
      </c>
      <c r="C2671" s="49" t="s">
        <v>10463</v>
      </c>
      <c r="D2671" s="49" t="s">
        <v>1264</v>
      </c>
      <c r="E2671" s="49" t="s">
        <v>2814</v>
      </c>
      <c r="F2671" s="49" t="s">
        <v>2825</v>
      </c>
      <c r="G2671" s="49" t="s">
        <v>2776</v>
      </c>
      <c r="H2671" s="49" t="s">
        <v>2827</v>
      </c>
      <c r="I2671" s="50">
        <v>43818</v>
      </c>
      <c r="M2671" s="49" t="s">
        <v>10464</v>
      </c>
    </row>
    <row r="2672" spans="1:13" x14ac:dyDescent="0.35">
      <c r="A2672" s="49" t="s">
        <v>10465</v>
      </c>
      <c r="D2672" s="49" t="s">
        <v>1264</v>
      </c>
      <c r="E2672" s="49" t="s">
        <v>2814</v>
      </c>
      <c r="G2672" s="49" t="s">
        <v>2826</v>
      </c>
      <c r="M2672" s="49" t="s">
        <v>8885</v>
      </c>
    </row>
    <row r="2673" spans="1:13" x14ac:dyDescent="0.35">
      <c r="A2673" s="49" t="s">
        <v>10466</v>
      </c>
      <c r="C2673" s="49" t="s">
        <v>10467</v>
      </c>
      <c r="D2673" s="49" t="s">
        <v>1264</v>
      </c>
      <c r="E2673" s="49" t="s">
        <v>2814</v>
      </c>
      <c r="F2673" s="49" t="s">
        <v>2825</v>
      </c>
      <c r="G2673" s="49" t="s">
        <v>2776</v>
      </c>
      <c r="H2673" s="49" t="s">
        <v>2827</v>
      </c>
      <c r="I2673" s="50">
        <v>42065</v>
      </c>
      <c r="M2673" s="49" t="s">
        <v>10468</v>
      </c>
    </row>
    <row r="2674" spans="1:13" x14ac:dyDescent="0.35">
      <c r="A2674" s="49" t="s">
        <v>10469</v>
      </c>
      <c r="B2674" s="49" t="s">
        <v>3075</v>
      </c>
      <c r="C2674" s="49" t="s">
        <v>9888</v>
      </c>
      <c r="D2674" s="49" t="s">
        <v>1264</v>
      </c>
      <c r="E2674" s="49" t="s">
        <v>2814</v>
      </c>
      <c r="F2674" s="49" t="s">
        <v>2825</v>
      </c>
      <c r="G2674" s="49" t="s">
        <v>2787</v>
      </c>
      <c r="H2674" s="49" t="s">
        <v>2827</v>
      </c>
      <c r="I2674" s="50">
        <v>43538</v>
      </c>
      <c r="M2674" s="49" t="s">
        <v>10470</v>
      </c>
    </row>
    <row r="2675" spans="1:13" x14ac:dyDescent="0.35">
      <c r="A2675" s="49" t="s">
        <v>10471</v>
      </c>
      <c r="B2675" s="49" t="s">
        <v>10329</v>
      </c>
      <c r="C2675" s="49" t="s">
        <v>4004</v>
      </c>
      <c r="D2675" s="49" t="s">
        <v>1264</v>
      </c>
      <c r="E2675" s="49" t="s">
        <v>2814</v>
      </c>
      <c r="F2675" s="49" t="s">
        <v>2837</v>
      </c>
      <c r="G2675" s="49" t="s">
        <v>2776</v>
      </c>
      <c r="H2675" s="49" t="s">
        <v>980</v>
      </c>
      <c r="I2675" s="50">
        <v>43598</v>
      </c>
      <c r="M2675" s="49" t="s">
        <v>3871</v>
      </c>
    </row>
    <row r="2676" spans="1:13" x14ac:dyDescent="0.35">
      <c r="A2676" s="49" t="s">
        <v>10472</v>
      </c>
      <c r="B2676" s="49" t="s">
        <v>3784</v>
      </c>
      <c r="C2676" s="49" t="s">
        <v>10473</v>
      </c>
      <c r="D2676" s="49" t="s">
        <v>1264</v>
      </c>
      <c r="E2676" s="49" t="s">
        <v>2814</v>
      </c>
      <c r="F2676" s="49" t="s">
        <v>2825</v>
      </c>
      <c r="G2676" s="49" t="s">
        <v>2776</v>
      </c>
      <c r="H2676" s="49" t="s">
        <v>2827</v>
      </c>
      <c r="I2676" s="50">
        <v>43265</v>
      </c>
      <c r="M2676" s="49" t="s">
        <v>10474</v>
      </c>
    </row>
    <row r="2677" spans="1:13" x14ac:dyDescent="0.35">
      <c r="A2677" s="49" t="s">
        <v>10475</v>
      </c>
      <c r="B2677" s="49" t="s">
        <v>10476</v>
      </c>
      <c r="C2677" s="49" t="s">
        <v>5657</v>
      </c>
      <c r="D2677" s="49" t="s">
        <v>1264</v>
      </c>
      <c r="E2677" s="49" t="s">
        <v>2814</v>
      </c>
      <c r="F2677" s="49" t="s">
        <v>2837</v>
      </c>
      <c r="G2677" s="49" t="s">
        <v>2776</v>
      </c>
      <c r="H2677" s="49" t="s">
        <v>980</v>
      </c>
      <c r="I2677" s="50">
        <v>43264</v>
      </c>
      <c r="M2677" s="49" t="s">
        <v>3470</v>
      </c>
    </row>
    <row r="2678" spans="1:13" x14ac:dyDescent="0.35">
      <c r="A2678" s="49" t="s">
        <v>10477</v>
      </c>
      <c r="C2678" s="49" t="s">
        <v>10478</v>
      </c>
      <c r="D2678" s="49" t="s">
        <v>1264</v>
      </c>
      <c r="E2678" s="49" t="s">
        <v>2814</v>
      </c>
      <c r="F2678" s="49" t="s">
        <v>2825</v>
      </c>
      <c r="G2678" s="49" t="s">
        <v>2776</v>
      </c>
      <c r="H2678" s="49" t="s">
        <v>2827</v>
      </c>
      <c r="I2678" s="50">
        <v>43503</v>
      </c>
      <c r="M2678" s="49" t="s">
        <v>10479</v>
      </c>
    </row>
    <row r="2679" spans="1:13" x14ac:dyDescent="0.35">
      <c r="A2679" s="49" t="s">
        <v>10480</v>
      </c>
      <c r="C2679" s="49" t="s">
        <v>10481</v>
      </c>
      <c r="D2679" s="49" t="s">
        <v>1264</v>
      </c>
      <c r="E2679" s="49" t="s">
        <v>2814</v>
      </c>
      <c r="F2679" s="49" t="s">
        <v>2825</v>
      </c>
      <c r="G2679" s="49" t="s">
        <v>2776</v>
      </c>
      <c r="H2679" s="49" t="s">
        <v>2827</v>
      </c>
      <c r="I2679" s="50">
        <v>42384</v>
      </c>
      <c r="M2679" s="49" t="s">
        <v>3470</v>
      </c>
    </row>
    <row r="2680" spans="1:13" x14ac:dyDescent="0.35">
      <c r="A2680" s="49" t="s">
        <v>10482</v>
      </c>
      <c r="B2680" s="49" t="s">
        <v>2863</v>
      </c>
      <c r="C2680" s="49" t="s">
        <v>10483</v>
      </c>
      <c r="D2680" s="49" t="s">
        <v>1264</v>
      </c>
      <c r="E2680" s="49" t="s">
        <v>2814</v>
      </c>
      <c r="F2680" s="49" t="s">
        <v>2825</v>
      </c>
      <c r="G2680" s="49" t="s">
        <v>2776</v>
      </c>
      <c r="H2680" s="49" t="s">
        <v>2827</v>
      </c>
      <c r="I2680" s="50">
        <v>42425</v>
      </c>
      <c r="M2680" s="49" t="s">
        <v>10484</v>
      </c>
    </row>
    <row r="2681" spans="1:13" x14ac:dyDescent="0.35">
      <c r="A2681" s="49" t="s">
        <v>10485</v>
      </c>
      <c r="B2681" s="49" t="s">
        <v>10080</v>
      </c>
      <c r="C2681" s="49" t="s">
        <v>10081</v>
      </c>
      <c r="D2681" s="49" t="s">
        <v>1264</v>
      </c>
      <c r="E2681" s="49" t="s">
        <v>2814</v>
      </c>
      <c r="F2681" s="49" t="s">
        <v>2825</v>
      </c>
      <c r="G2681" s="49" t="s">
        <v>2776</v>
      </c>
      <c r="H2681" s="49" t="s">
        <v>2827</v>
      </c>
      <c r="I2681" s="50">
        <v>43592</v>
      </c>
      <c r="M2681" s="49" t="s">
        <v>3270</v>
      </c>
    </row>
    <row r="2682" spans="1:13" x14ac:dyDescent="0.35">
      <c r="A2682" s="49" t="s">
        <v>10486</v>
      </c>
      <c r="C2682" s="49" t="s">
        <v>10487</v>
      </c>
      <c r="D2682" s="49" t="s">
        <v>1264</v>
      </c>
      <c r="E2682" s="49" t="s">
        <v>2814</v>
      </c>
      <c r="F2682" s="49" t="s">
        <v>2825</v>
      </c>
      <c r="G2682" s="49" t="s">
        <v>2776</v>
      </c>
      <c r="H2682" s="49" t="s">
        <v>2827</v>
      </c>
      <c r="I2682" s="50">
        <v>42650</v>
      </c>
      <c r="M2682" s="49" t="s">
        <v>10488</v>
      </c>
    </row>
    <row r="2683" spans="1:13" x14ac:dyDescent="0.35">
      <c r="A2683" s="49" t="s">
        <v>10489</v>
      </c>
      <c r="B2683" s="49" t="s">
        <v>10490</v>
      </c>
      <c r="C2683" s="49" t="s">
        <v>4977</v>
      </c>
      <c r="D2683" s="49" t="s">
        <v>1264</v>
      </c>
      <c r="E2683" s="49" t="s">
        <v>2814</v>
      </c>
      <c r="F2683" s="49" t="s">
        <v>2825</v>
      </c>
      <c r="G2683" s="49" t="s">
        <v>2776</v>
      </c>
      <c r="H2683" s="49" t="s">
        <v>2827</v>
      </c>
      <c r="I2683" s="50">
        <v>43790</v>
      </c>
      <c r="M2683" s="49" t="s">
        <v>10491</v>
      </c>
    </row>
    <row r="2684" spans="1:13" x14ac:dyDescent="0.35">
      <c r="A2684" s="49" t="s">
        <v>10492</v>
      </c>
      <c r="C2684" s="49" t="s">
        <v>10493</v>
      </c>
      <c r="D2684" s="49" t="s">
        <v>1264</v>
      </c>
      <c r="E2684" s="49" t="s">
        <v>2814</v>
      </c>
      <c r="F2684" s="49" t="s">
        <v>2825</v>
      </c>
      <c r="G2684" s="49" t="s">
        <v>2776</v>
      </c>
      <c r="H2684" s="49" t="s">
        <v>2827</v>
      </c>
      <c r="I2684" s="50">
        <v>43440</v>
      </c>
      <c r="M2684" s="49" t="s">
        <v>3876</v>
      </c>
    </row>
    <row r="2685" spans="1:13" x14ac:dyDescent="0.35">
      <c r="A2685" s="49" t="s">
        <v>10494</v>
      </c>
      <c r="B2685" s="49" t="s">
        <v>10495</v>
      </c>
      <c r="C2685" s="49" t="s">
        <v>4977</v>
      </c>
      <c r="D2685" s="49" t="s">
        <v>1264</v>
      </c>
      <c r="E2685" s="49" t="s">
        <v>2814</v>
      </c>
      <c r="F2685" s="49" t="s">
        <v>2825</v>
      </c>
      <c r="G2685" s="49" t="s">
        <v>2776</v>
      </c>
      <c r="H2685" s="49" t="s">
        <v>2827</v>
      </c>
      <c r="I2685" s="50">
        <v>43852</v>
      </c>
      <c r="M2685" s="49" t="s">
        <v>8888</v>
      </c>
    </row>
    <row r="2686" spans="1:13" x14ac:dyDescent="0.35">
      <c r="A2686" s="49" t="s">
        <v>10496</v>
      </c>
      <c r="B2686" s="49" t="s">
        <v>2863</v>
      </c>
      <c r="C2686" s="49" t="s">
        <v>10497</v>
      </c>
      <c r="D2686" s="49" t="s">
        <v>1264</v>
      </c>
      <c r="E2686" s="49" t="s">
        <v>2814</v>
      </c>
      <c r="F2686" s="49" t="s">
        <v>2825</v>
      </c>
      <c r="G2686" s="49" t="s">
        <v>2776</v>
      </c>
      <c r="H2686" s="49" t="s">
        <v>2827</v>
      </c>
      <c r="I2686" s="50">
        <v>42432</v>
      </c>
      <c r="M2686" s="49" t="s">
        <v>10498</v>
      </c>
    </row>
    <row r="2687" spans="1:13" x14ac:dyDescent="0.35">
      <c r="A2687" s="49" t="s">
        <v>10499</v>
      </c>
      <c r="B2687" s="49" t="s">
        <v>10500</v>
      </c>
      <c r="C2687" s="49" t="s">
        <v>7990</v>
      </c>
      <c r="D2687" s="49" t="s">
        <v>1264</v>
      </c>
      <c r="E2687" s="49" t="s">
        <v>2814</v>
      </c>
      <c r="F2687" s="49" t="s">
        <v>2939</v>
      </c>
      <c r="G2687" s="49" t="s">
        <v>2776</v>
      </c>
      <c r="H2687" s="49" t="s">
        <v>980</v>
      </c>
      <c r="I2687" s="50">
        <v>42439</v>
      </c>
      <c r="M2687" s="49" t="s">
        <v>7991</v>
      </c>
    </row>
    <row r="2688" spans="1:13" x14ac:dyDescent="0.35">
      <c r="A2688" s="49" t="s">
        <v>10501</v>
      </c>
      <c r="C2688" s="49" t="s">
        <v>10502</v>
      </c>
      <c r="D2688" s="49" t="s">
        <v>1264</v>
      </c>
      <c r="E2688" s="49" t="s">
        <v>2814</v>
      </c>
      <c r="F2688" s="49" t="s">
        <v>2837</v>
      </c>
      <c r="G2688" s="49" t="s">
        <v>2776</v>
      </c>
      <c r="H2688" s="49" t="s">
        <v>980</v>
      </c>
      <c r="I2688" s="50">
        <v>43542</v>
      </c>
      <c r="M2688" s="49" t="s">
        <v>10503</v>
      </c>
    </row>
    <row r="2689" spans="1:13" x14ac:dyDescent="0.35">
      <c r="A2689" s="49" t="s">
        <v>10504</v>
      </c>
      <c r="C2689" s="49" t="s">
        <v>10505</v>
      </c>
      <c r="D2689" s="49" t="s">
        <v>1264</v>
      </c>
      <c r="E2689" s="49" t="s">
        <v>2814</v>
      </c>
      <c r="F2689" s="49" t="s">
        <v>2825</v>
      </c>
      <c r="G2689" s="49" t="s">
        <v>2776</v>
      </c>
      <c r="H2689" s="49" t="s">
        <v>2827</v>
      </c>
      <c r="I2689" s="50">
        <v>42094</v>
      </c>
      <c r="M2689" s="49" t="s">
        <v>7750</v>
      </c>
    </row>
    <row r="2690" spans="1:13" x14ac:dyDescent="0.35">
      <c r="A2690" s="49" t="s">
        <v>10506</v>
      </c>
      <c r="C2690" s="49" t="s">
        <v>10507</v>
      </c>
      <c r="D2690" s="49" t="s">
        <v>1264</v>
      </c>
      <c r="E2690" s="49" t="s">
        <v>2814</v>
      </c>
      <c r="F2690" s="49" t="s">
        <v>2825</v>
      </c>
      <c r="G2690" s="49" t="s">
        <v>2776</v>
      </c>
      <c r="H2690" s="49" t="s">
        <v>2827</v>
      </c>
      <c r="I2690" s="50">
        <v>42094</v>
      </c>
      <c r="M2690" s="49" t="s">
        <v>10508</v>
      </c>
    </row>
    <row r="2691" spans="1:13" x14ac:dyDescent="0.35">
      <c r="A2691" s="49" t="s">
        <v>10509</v>
      </c>
      <c r="B2691" s="49" t="s">
        <v>3541</v>
      </c>
      <c r="C2691" s="49" t="s">
        <v>10510</v>
      </c>
      <c r="D2691" s="49" t="s">
        <v>1264</v>
      </c>
      <c r="E2691" s="49" t="s">
        <v>2814</v>
      </c>
      <c r="F2691" s="49" t="s">
        <v>2825</v>
      </c>
      <c r="G2691" s="49" t="s">
        <v>2776</v>
      </c>
      <c r="H2691" s="49" t="s">
        <v>2827</v>
      </c>
      <c r="I2691" s="50">
        <v>42696</v>
      </c>
      <c r="M2691" s="49" t="s">
        <v>10511</v>
      </c>
    </row>
    <row r="2692" spans="1:13" x14ac:dyDescent="0.35">
      <c r="A2692" s="49" t="s">
        <v>10512</v>
      </c>
      <c r="C2692" s="49" t="s">
        <v>10513</v>
      </c>
      <c r="D2692" s="49" t="s">
        <v>1264</v>
      </c>
      <c r="E2692" s="49" t="s">
        <v>2814</v>
      </c>
      <c r="F2692" s="49" t="s">
        <v>2825</v>
      </c>
      <c r="G2692" s="49" t="s">
        <v>2776</v>
      </c>
      <c r="H2692" s="49" t="s">
        <v>2827</v>
      </c>
      <c r="I2692" s="50">
        <v>42842</v>
      </c>
      <c r="M2692" s="49" t="s">
        <v>10514</v>
      </c>
    </row>
    <row r="2693" spans="1:13" x14ac:dyDescent="0.35">
      <c r="A2693" s="49" t="s">
        <v>10515</v>
      </c>
      <c r="B2693" s="49" t="s">
        <v>3730</v>
      </c>
      <c r="C2693" s="49" t="s">
        <v>9258</v>
      </c>
      <c r="D2693" s="49" t="s">
        <v>1264</v>
      </c>
      <c r="E2693" s="49" t="s">
        <v>2814</v>
      </c>
      <c r="F2693" s="49" t="s">
        <v>2837</v>
      </c>
      <c r="G2693" s="49" t="s">
        <v>2776</v>
      </c>
      <c r="H2693" s="49" t="s">
        <v>973</v>
      </c>
      <c r="I2693" s="50">
        <v>43269</v>
      </c>
      <c r="M2693" s="49" t="s">
        <v>3470</v>
      </c>
    </row>
    <row r="2694" spans="1:13" x14ac:dyDescent="0.35">
      <c r="A2694" s="49" t="s">
        <v>10516</v>
      </c>
      <c r="B2694" s="49" t="s">
        <v>2827</v>
      </c>
      <c r="C2694" s="49" t="s">
        <v>9258</v>
      </c>
      <c r="D2694" s="49" t="s">
        <v>1264</v>
      </c>
      <c r="E2694" s="49" t="s">
        <v>2814</v>
      </c>
      <c r="F2694" s="49" t="s">
        <v>2837</v>
      </c>
      <c r="G2694" s="49" t="s">
        <v>2776</v>
      </c>
      <c r="H2694" s="49" t="s">
        <v>2827</v>
      </c>
      <c r="I2694" s="50">
        <v>43269</v>
      </c>
      <c r="M2694" s="49" t="s">
        <v>3470</v>
      </c>
    </row>
    <row r="2695" spans="1:13" x14ac:dyDescent="0.35">
      <c r="A2695" s="49" t="s">
        <v>10517</v>
      </c>
      <c r="C2695" s="49" t="s">
        <v>9888</v>
      </c>
      <c r="D2695" s="49" t="s">
        <v>1264</v>
      </c>
      <c r="E2695" s="49" t="s">
        <v>2814</v>
      </c>
      <c r="F2695" s="49" t="s">
        <v>2825</v>
      </c>
      <c r="G2695" s="49" t="s">
        <v>2776</v>
      </c>
      <c r="H2695" s="49" t="s">
        <v>2827</v>
      </c>
      <c r="I2695" s="50">
        <v>43999</v>
      </c>
      <c r="M2695" s="49" t="s">
        <v>10470</v>
      </c>
    </row>
    <row r="2696" spans="1:13" x14ac:dyDescent="0.35">
      <c r="A2696" s="49" t="s">
        <v>10518</v>
      </c>
      <c r="C2696" s="49" t="s">
        <v>10519</v>
      </c>
      <c r="D2696" s="49" t="s">
        <v>1264</v>
      </c>
      <c r="E2696" s="49" t="s">
        <v>2814</v>
      </c>
      <c r="F2696" s="49" t="s">
        <v>2825</v>
      </c>
      <c r="G2696" s="49" t="s">
        <v>2776</v>
      </c>
      <c r="H2696" s="49" t="s">
        <v>2827</v>
      </c>
      <c r="I2696" s="50">
        <v>42401</v>
      </c>
      <c r="M2696" s="49" t="s">
        <v>3470</v>
      </c>
    </row>
    <row r="2697" spans="1:13" x14ac:dyDescent="0.35">
      <c r="A2697" s="49" t="s">
        <v>10520</v>
      </c>
      <c r="C2697" s="49" t="s">
        <v>10521</v>
      </c>
      <c r="D2697" s="49" t="s">
        <v>1264</v>
      </c>
      <c r="E2697" s="49" t="s">
        <v>2814</v>
      </c>
      <c r="F2697" s="49" t="s">
        <v>2825</v>
      </c>
      <c r="G2697" s="49" t="s">
        <v>2776</v>
      </c>
      <c r="H2697" s="49" t="s">
        <v>2827</v>
      </c>
      <c r="I2697" s="50">
        <v>42875</v>
      </c>
      <c r="M2697" s="49" t="s">
        <v>3470</v>
      </c>
    </row>
    <row r="2698" spans="1:13" x14ac:dyDescent="0.35">
      <c r="A2698" s="49" t="s">
        <v>10522</v>
      </c>
      <c r="C2698" s="49" t="s">
        <v>10523</v>
      </c>
      <c r="D2698" s="49" t="s">
        <v>1264</v>
      </c>
      <c r="E2698" s="49" t="s">
        <v>2814</v>
      </c>
      <c r="F2698" s="49" t="s">
        <v>2825</v>
      </c>
      <c r="G2698" s="49" t="s">
        <v>2776</v>
      </c>
      <c r="H2698" s="49" t="s">
        <v>2827</v>
      </c>
      <c r="I2698" s="50">
        <v>42874</v>
      </c>
      <c r="M2698" s="49" t="s">
        <v>3470</v>
      </c>
    </row>
    <row r="2699" spans="1:13" x14ac:dyDescent="0.35">
      <c r="A2699" s="49" t="s">
        <v>10524</v>
      </c>
      <c r="C2699" s="49" t="s">
        <v>8945</v>
      </c>
      <c r="D2699" s="49" t="s">
        <v>1264</v>
      </c>
      <c r="E2699" s="49" t="s">
        <v>2814</v>
      </c>
      <c r="F2699" s="49" t="s">
        <v>2837</v>
      </c>
      <c r="G2699" s="49" t="s">
        <v>2776</v>
      </c>
      <c r="H2699" s="49" t="s">
        <v>2827</v>
      </c>
      <c r="I2699" s="50">
        <v>43291</v>
      </c>
      <c r="M2699" s="49" t="s">
        <v>3470</v>
      </c>
    </row>
    <row r="2700" spans="1:13" x14ac:dyDescent="0.35">
      <c r="A2700" s="49" t="s">
        <v>10525</v>
      </c>
      <c r="B2700" s="49" t="s">
        <v>10526</v>
      </c>
      <c r="C2700" s="49" t="s">
        <v>8109</v>
      </c>
      <c r="D2700" s="49" t="s">
        <v>1264</v>
      </c>
      <c r="E2700" s="49" t="s">
        <v>2814</v>
      </c>
      <c r="F2700" s="49" t="s">
        <v>2837</v>
      </c>
      <c r="G2700" s="49" t="s">
        <v>2776</v>
      </c>
      <c r="H2700" s="49" t="s">
        <v>980</v>
      </c>
      <c r="I2700" s="50">
        <v>42958</v>
      </c>
      <c r="M2700" s="49" t="s">
        <v>3470</v>
      </c>
    </row>
    <row r="2701" spans="1:13" x14ac:dyDescent="0.35">
      <c r="A2701" s="49" t="s">
        <v>10527</v>
      </c>
      <c r="B2701" s="49" t="s">
        <v>10528</v>
      </c>
      <c r="C2701" s="49" t="s">
        <v>3668</v>
      </c>
      <c r="D2701" s="49" t="s">
        <v>1264</v>
      </c>
      <c r="E2701" s="49" t="s">
        <v>2814</v>
      </c>
      <c r="F2701" s="49" t="s">
        <v>2825</v>
      </c>
      <c r="G2701" s="49" t="s">
        <v>2776</v>
      </c>
      <c r="H2701" s="49" t="s">
        <v>2827</v>
      </c>
      <c r="I2701" s="50">
        <v>43038</v>
      </c>
      <c r="M2701" s="49" t="s">
        <v>10529</v>
      </c>
    </row>
    <row r="2702" spans="1:13" x14ac:dyDescent="0.35">
      <c r="A2702" s="49" t="s">
        <v>10530</v>
      </c>
      <c r="C2702" s="49" t="s">
        <v>10531</v>
      </c>
      <c r="D2702" s="49" t="s">
        <v>1264</v>
      </c>
      <c r="E2702" s="49" t="s">
        <v>2814</v>
      </c>
      <c r="F2702" s="49" t="s">
        <v>2825</v>
      </c>
      <c r="G2702" s="49" t="s">
        <v>2776</v>
      </c>
      <c r="H2702" s="49" t="s">
        <v>2827</v>
      </c>
      <c r="I2702" s="50">
        <v>42699</v>
      </c>
      <c r="M2702" s="49" t="s">
        <v>3100</v>
      </c>
    </row>
    <row r="2703" spans="1:13" x14ac:dyDescent="0.35">
      <c r="A2703" s="49" t="s">
        <v>10532</v>
      </c>
      <c r="C2703" s="49" t="s">
        <v>10533</v>
      </c>
      <c r="D2703" s="49" t="s">
        <v>1264</v>
      </c>
      <c r="E2703" s="49" t="s">
        <v>2814</v>
      </c>
      <c r="F2703" s="49" t="s">
        <v>2825</v>
      </c>
      <c r="G2703" s="49" t="s">
        <v>2787</v>
      </c>
      <c r="H2703" s="49" t="s">
        <v>2827</v>
      </c>
      <c r="I2703" s="50">
        <v>42079</v>
      </c>
      <c r="J2703" s="50">
        <v>42090</v>
      </c>
      <c r="K2703" s="50">
        <v>42273</v>
      </c>
      <c r="M2703" s="49" t="s">
        <v>10534</v>
      </c>
    </row>
    <row r="2704" spans="1:13" x14ac:dyDescent="0.35">
      <c r="A2704" s="49" t="s">
        <v>10535</v>
      </c>
      <c r="B2704" s="49" t="s">
        <v>2863</v>
      </c>
      <c r="C2704" s="49" t="s">
        <v>10536</v>
      </c>
      <c r="D2704" s="49" t="s">
        <v>1264</v>
      </c>
      <c r="E2704" s="49" t="s">
        <v>2814</v>
      </c>
      <c r="F2704" s="49" t="s">
        <v>2825</v>
      </c>
      <c r="G2704" s="49" t="s">
        <v>2776</v>
      </c>
      <c r="H2704" s="49" t="s">
        <v>2827</v>
      </c>
      <c r="I2704" s="50">
        <v>42430</v>
      </c>
      <c r="M2704" s="49" t="s">
        <v>10537</v>
      </c>
    </row>
    <row r="2705" spans="1:13" x14ac:dyDescent="0.35">
      <c r="A2705" s="49" t="s">
        <v>10538</v>
      </c>
      <c r="C2705" s="49" t="s">
        <v>10539</v>
      </c>
      <c r="D2705" s="49" t="s">
        <v>1264</v>
      </c>
      <c r="E2705" s="49" t="s">
        <v>2814</v>
      </c>
      <c r="F2705" s="49" t="s">
        <v>2825</v>
      </c>
      <c r="G2705" s="49" t="s">
        <v>2776</v>
      </c>
      <c r="H2705" s="49" t="s">
        <v>2827</v>
      </c>
      <c r="I2705" s="50">
        <v>42426</v>
      </c>
      <c r="M2705" s="49" t="s">
        <v>3470</v>
      </c>
    </row>
    <row r="2706" spans="1:13" x14ac:dyDescent="0.35">
      <c r="A2706" s="49" t="s">
        <v>10540</v>
      </c>
      <c r="B2706" s="49" t="s">
        <v>8939</v>
      </c>
      <c r="C2706" s="49" t="s">
        <v>10541</v>
      </c>
      <c r="D2706" s="49" t="s">
        <v>1264</v>
      </c>
      <c r="E2706" s="49" t="s">
        <v>2814</v>
      </c>
      <c r="F2706" s="49" t="s">
        <v>2825</v>
      </c>
      <c r="G2706" s="49" t="s">
        <v>2776</v>
      </c>
      <c r="H2706" s="49" t="s">
        <v>2827</v>
      </c>
      <c r="I2706" s="50">
        <v>42809</v>
      </c>
      <c r="M2706" s="49" t="s">
        <v>3270</v>
      </c>
    </row>
    <row r="2707" spans="1:13" x14ac:dyDescent="0.35">
      <c r="A2707" s="49" t="s">
        <v>10542</v>
      </c>
      <c r="C2707" s="49" t="s">
        <v>10404</v>
      </c>
      <c r="D2707" s="49" t="s">
        <v>1264</v>
      </c>
      <c r="E2707" s="49" t="s">
        <v>2814</v>
      </c>
      <c r="F2707" s="49" t="s">
        <v>2825</v>
      </c>
      <c r="G2707" s="49" t="s">
        <v>2776</v>
      </c>
      <c r="H2707" s="49" t="s">
        <v>2827</v>
      </c>
      <c r="I2707" s="50">
        <v>42052</v>
      </c>
      <c r="M2707" s="49" t="s">
        <v>10543</v>
      </c>
    </row>
    <row r="2708" spans="1:13" x14ac:dyDescent="0.35">
      <c r="A2708" s="49" t="s">
        <v>10544</v>
      </c>
      <c r="C2708" s="49" t="s">
        <v>3970</v>
      </c>
      <c r="D2708" s="49" t="s">
        <v>1264</v>
      </c>
      <c r="E2708" s="49" t="s">
        <v>2814</v>
      </c>
      <c r="F2708" s="49" t="s">
        <v>2825</v>
      </c>
      <c r="G2708" s="49" t="s">
        <v>2776</v>
      </c>
      <c r="H2708" s="49" t="s">
        <v>2827</v>
      </c>
      <c r="I2708" s="50">
        <v>43549</v>
      </c>
      <c r="M2708" s="49" t="s">
        <v>10545</v>
      </c>
    </row>
    <row r="2709" spans="1:13" x14ac:dyDescent="0.35">
      <c r="A2709" s="49" t="s">
        <v>10546</v>
      </c>
      <c r="B2709" s="49" t="s">
        <v>10547</v>
      </c>
      <c r="C2709" s="49" t="s">
        <v>10548</v>
      </c>
      <c r="D2709" s="49" t="s">
        <v>1264</v>
      </c>
      <c r="E2709" s="49" t="s">
        <v>2814</v>
      </c>
      <c r="F2709" s="49" t="s">
        <v>2939</v>
      </c>
      <c r="G2709" s="49" t="s">
        <v>2776</v>
      </c>
      <c r="H2709" s="49" t="s">
        <v>8</v>
      </c>
      <c r="I2709" s="50">
        <v>42902</v>
      </c>
      <c r="M2709" s="49" t="s">
        <v>10549</v>
      </c>
    </row>
    <row r="2710" spans="1:13" x14ac:dyDescent="0.35">
      <c r="A2710" s="49" t="s">
        <v>10550</v>
      </c>
      <c r="C2710" s="49" t="s">
        <v>9968</v>
      </c>
      <c r="D2710" s="49" t="s">
        <v>1264</v>
      </c>
      <c r="E2710" s="49" t="s">
        <v>2814</v>
      </c>
      <c r="F2710" s="49" t="s">
        <v>2825</v>
      </c>
      <c r="G2710" s="49" t="s">
        <v>2787</v>
      </c>
      <c r="H2710" s="49" t="s">
        <v>2827</v>
      </c>
      <c r="I2710" s="50">
        <v>42079</v>
      </c>
      <c r="J2710" s="50">
        <v>42094</v>
      </c>
      <c r="K2710" s="50">
        <v>42277</v>
      </c>
      <c r="M2710" s="49" t="s">
        <v>10551</v>
      </c>
    </row>
    <row r="2711" spans="1:13" x14ac:dyDescent="0.35">
      <c r="A2711" s="49" t="s">
        <v>10552</v>
      </c>
      <c r="C2711" s="49" t="s">
        <v>10553</v>
      </c>
      <c r="D2711" s="49" t="s">
        <v>1264</v>
      </c>
      <c r="E2711" s="49" t="s">
        <v>2814</v>
      </c>
      <c r="F2711" s="49" t="s">
        <v>2825</v>
      </c>
      <c r="G2711" s="49" t="s">
        <v>2787</v>
      </c>
      <c r="H2711" s="49" t="s">
        <v>2827</v>
      </c>
      <c r="I2711" s="50">
        <v>42080</v>
      </c>
      <c r="J2711" s="50">
        <v>42090</v>
      </c>
      <c r="K2711" s="50">
        <v>42274</v>
      </c>
      <c r="M2711" s="49" t="s">
        <v>3505</v>
      </c>
    </row>
    <row r="2712" spans="1:13" x14ac:dyDescent="0.35">
      <c r="A2712" s="49" t="s">
        <v>10554</v>
      </c>
      <c r="C2712" s="49" t="s">
        <v>10555</v>
      </c>
      <c r="D2712" s="49" t="s">
        <v>1264</v>
      </c>
      <c r="E2712" s="49" t="s">
        <v>2814</v>
      </c>
      <c r="F2712" s="49" t="s">
        <v>2825</v>
      </c>
      <c r="G2712" s="49" t="s">
        <v>2787</v>
      </c>
      <c r="H2712" s="49" t="s">
        <v>2827</v>
      </c>
      <c r="I2712" s="50">
        <v>41942</v>
      </c>
      <c r="J2712" s="50">
        <v>42090</v>
      </c>
      <c r="K2712" s="50">
        <v>42274</v>
      </c>
      <c r="M2712" s="49" t="s">
        <v>10556</v>
      </c>
    </row>
    <row r="2713" spans="1:13" x14ac:dyDescent="0.35">
      <c r="A2713" s="49" t="s">
        <v>10557</v>
      </c>
      <c r="C2713" s="49" t="s">
        <v>8109</v>
      </c>
      <c r="D2713" s="49" t="s">
        <v>1264</v>
      </c>
      <c r="E2713" s="49" t="s">
        <v>2814</v>
      </c>
      <c r="F2713" s="49" t="s">
        <v>2825</v>
      </c>
      <c r="G2713" s="49" t="s">
        <v>2776</v>
      </c>
      <c r="H2713" s="49" t="s">
        <v>2827</v>
      </c>
      <c r="I2713" s="50">
        <v>43566</v>
      </c>
      <c r="M2713" s="49" t="s">
        <v>6706</v>
      </c>
    </row>
    <row r="2714" spans="1:13" x14ac:dyDescent="0.35">
      <c r="A2714" s="49" t="s">
        <v>10558</v>
      </c>
      <c r="C2714" s="49" t="s">
        <v>10559</v>
      </c>
      <c r="D2714" s="49" t="s">
        <v>1264</v>
      </c>
      <c r="E2714" s="49" t="s">
        <v>2814</v>
      </c>
      <c r="F2714" s="49" t="s">
        <v>2825</v>
      </c>
      <c r="G2714" s="49" t="s">
        <v>2776</v>
      </c>
      <c r="H2714" s="49" t="s">
        <v>2827</v>
      </c>
      <c r="I2714" s="50">
        <v>42264</v>
      </c>
      <c r="M2714" s="49" t="s">
        <v>3470</v>
      </c>
    </row>
    <row r="2715" spans="1:13" x14ac:dyDescent="0.35">
      <c r="A2715" s="49" t="s">
        <v>10560</v>
      </c>
      <c r="C2715" s="49" t="s">
        <v>10561</v>
      </c>
      <c r="D2715" s="49" t="s">
        <v>1264</v>
      </c>
      <c r="E2715" s="49" t="s">
        <v>2814</v>
      </c>
      <c r="F2715" s="49" t="s">
        <v>2825</v>
      </c>
      <c r="G2715" s="49" t="s">
        <v>2776</v>
      </c>
      <c r="H2715" s="49" t="s">
        <v>2827</v>
      </c>
      <c r="I2715" s="50">
        <v>42290</v>
      </c>
      <c r="M2715" s="49" t="s">
        <v>3470</v>
      </c>
    </row>
    <row r="2716" spans="1:13" x14ac:dyDescent="0.35">
      <c r="A2716" s="49" t="s">
        <v>10562</v>
      </c>
      <c r="B2716" s="49" t="s">
        <v>10563</v>
      </c>
      <c r="C2716" s="49" t="s">
        <v>9943</v>
      </c>
      <c r="D2716" s="49" t="s">
        <v>1264</v>
      </c>
      <c r="E2716" s="49" t="s">
        <v>2814</v>
      </c>
      <c r="F2716" s="49" t="s">
        <v>2825</v>
      </c>
      <c r="G2716" s="49" t="s">
        <v>2776</v>
      </c>
      <c r="H2716" s="49" t="s">
        <v>2827</v>
      </c>
      <c r="I2716" s="50">
        <v>42321</v>
      </c>
      <c r="M2716" s="49" t="s">
        <v>3470</v>
      </c>
    </row>
    <row r="2717" spans="1:13" x14ac:dyDescent="0.35">
      <c r="A2717" s="49" t="s">
        <v>10564</v>
      </c>
      <c r="C2717" s="49" t="s">
        <v>10565</v>
      </c>
      <c r="D2717" s="49" t="s">
        <v>1264</v>
      </c>
      <c r="E2717" s="49" t="s">
        <v>2814</v>
      </c>
      <c r="F2717" s="49" t="s">
        <v>2825</v>
      </c>
      <c r="G2717" s="49" t="s">
        <v>2776</v>
      </c>
      <c r="H2717" s="49" t="s">
        <v>2827</v>
      </c>
      <c r="I2717" s="50">
        <v>42319</v>
      </c>
      <c r="M2717" s="49" t="s">
        <v>3470</v>
      </c>
    </row>
    <row r="2718" spans="1:13" x14ac:dyDescent="0.35">
      <c r="A2718" s="49" t="s">
        <v>10566</v>
      </c>
      <c r="C2718" s="49" t="s">
        <v>5447</v>
      </c>
      <c r="D2718" s="49" t="s">
        <v>1264</v>
      </c>
      <c r="E2718" s="49" t="s">
        <v>2814</v>
      </c>
      <c r="F2718" s="49" t="s">
        <v>3648</v>
      </c>
      <c r="G2718" s="49" t="s">
        <v>2776</v>
      </c>
      <c r="H2718" s="49" t="s">
        <v>980</v>
      </c>
      <c r="I2718" s="50">
        <v>42480</v>
      </c>
      <c r="M2718" s="49" t="s">
        <v>10567</v>
      </c>
    </row>
    <row r="2719" spans="1:13" x14ac:dyDescent="0.35">
      <c r="A2719" s="49" t="s">
        <v>10568</v>
      </c>
      <c r="C2719" s="49" t="s">
        <v>10569</v>
      </c>
      <c r="D2719" s="49" t="s">
        <v>1264</v>
      </c>
      <c r="E2719" s="49" t="s">
        <v>2814</v>
      </c>
      <c r="F2719" s="49" t="s">
        <v>2825</v>
      </c>
      <c r="G2719" s="49" t="s">
        <v>2776</v>
      </c>
      <c r="H2719" s="49" t="s">
        <v>2827</v>
      </c>
      <c r="I2719" s="50">
        <v>42478</v>
      </c>
      <c r="M2719" s="49" t="s">
        <v>10570</v>
      </c>
    </row>
    <row r="2720" spans="1:13" x14ac:dyDescent="0.35">
      <c r="A2720" s="49" t="s">
        <v>10571</v>
      </c>
      <c r="B2720" s="49" t="s">
        <v>10572</v>
      </c>
      <c r="C2720" s="49" t="s">
        <v>10573</v>
      </c>
      <c r="D2720" s="49" t="s">
        <v>1264</v>
      </c>
      <c r="E2720" s="49" t="s">
        <v>2814</v>
      </c>
      <c r="F2720" s="49" t="s">
        <v>2837</v>
      </c>
      <c r="G2720" s="49" t="s">
        <v>2787</v>
      </c>
      <c r="H2720" s="49" t="s">
        <v>980</v>
      </c>
      <c r="I2720" s="50">
        <v>42928</v>
      </c>
      <c r="M2720" s="49" t="s">
        <v>10574</v>
      </c>
    </row>
    <row r="2721" spans="1:13" x14ac:dyDescent="0.35">
      <c r="A2721" s="49" t="s">
        <v>10575</v>
      </c>
      <c r="C2721" s="49" t="s">
        <v>3780</v>
      </c>
      <c r="D2721" s="49" t="s">
        <v>1264</v>
      </c>
      <c r="E2721" s="49" t="s">
        <v>2814</v>
      </c>
      <c r="F2721" s="49" t="s">
        <v>4842</v>
      </c>
      <c r="G2721" s="49" t="s">
        <v>2776</v>
      </c>
      <c r="H2721" s="49" t="s">
        <v>2827</v>
      </c>
      <c r="I2721" s="50">
        <v>42888</v>
      </c>
      <c r="M2721" s="49" t="s">
        <v>10576</v>
      </c>
    </row>
    <row r="2722" spans="1:13" x14ac:dyDescent="0.35">
      <c r="A2722" s="49" t="s">
        <v>10577</v>
      </c>
      <c r="C2722" s="49" t="s">
        <v>9950</v>
      </c>
      <c r="D2722" s="49" t="s">
        <v>1264</v>
      </c>
      <c r="E2722" s="49" t="s">
        <v>2814</v>
      </c>
      <c r="F2722" s="49" t="s">
        <v>2825</v>
      </c>
      <c r="G2722" s="49" t="s">
        <v>2787</v>
      </c>
      <c r="H2722" s="49" t="s">
        <v>2827</v>
      </c>
      <c r="I2722" s="50">
        <v>41886</v>
      </c>
      <c r="J2722" s="50">
        <v>41912</v>
      </c>
      <c r="K2722" s="50">
        <v>42275</v>
      </c>
      <c r="M2722" s="49" t="s">
        <v>10578</v>
      </c>
    </row>
    <row r="2723" spans="1:13" x14ac:dyDescent="0.35">
      <c r="A2723" s="49" t="s">
        <v>10579</v>
      </c>
      <c r="C2723" s="49" t="s">
        <v>10580</v>
      </c>
      <c r="D2723" s="49" t="s">
        <v>1264</v>
      </c>
      <c r="E2723" s="49" t="s">
        <v>2814</v>
      </c>
      <c r="F2723" s="49" t="s">
        <v>10581</v>
      </c>
      <c r="G2723" s="49" t="s">
        <v>2776</v>
      </c>
      <c r="H2723" s="49" t="s">
        <v>980</v>
      </c>
      <c r="I2723" s="50">
        <v>42627</v>
      </c>
      <c r="M2723" s="49" t="s">
        <v>3470</v>
      </c>
    </row>
    <row r="2724" spans="1:13" x14ac:dyDescent="0.35">
      <c r="A2724" s="49" t="s">
        <v>10582</v>
      </c>
      <c r="C2724" s="49" t="s">
        <v>2857</v>
      </c>
      <c r="D2724" s="49" t="s">
        <v>1264</v>
      </c>
      <c r="E2724" s="49" t="s">
        <v>2814</v>
      </c>
      <c r="F2724" s="49" t="s">
        <v>2837</v>
      </c>
      <c r="G2724" s="49" t="s">
        <v>2776</v>
      </c>
      <c r="H2724" s="49" t="s">
        <v>973</v>
      </c>
      <c r="I2724" s="50">
        <v>44124</v>
      </c>
      <c r="M2724" s="49" t="s">
        <v>10583</v>
      </c>
    </row>
    <row r="2725" spans="1:13" x14ac:dyDescent="0.35">
      <c r="A2725" s="49" t="s">
        <v>10584</v>
      </c>
      <c r="B2725" s="49" t="s">
        <v>2863</v>
      </c>
      <c r="C2725" s="49" t="s">
        <v>10585</v>
      </c>
      <c r="D2725" s="49" t="s">
        <v>1264</v>
      </c>
      <c r="E2725" s="49" t="s">
        <v>2814</v>
      </c>
      <c r="F2725" s="49" t="s">
        <v>2825</v>
      </c>
      <c r="G2725" s="49" t="s">
        <v>2776</v>
      </c>
      <c r="H2725" s="49" t="s">
        <v>2827</v>
      </c>
      <c r="I2725" s="50">
        <v>42324</v>
      </c>
      <c r="M2725" s="49" t="s">
        <v>3470</v>
      </c>
    </row>
    <row r="2726" spans="1:13" x14ac:dyDescent="0.35">
      <c r="A2726" s="49" t="s">
        <v>10586</v>
      </c>
      <c r="B2726" s="49" t="s">
        <v>2863</v>
      </c>
      <c r="C2726" s="49" t="s">
        <v>10587</v>
      </c>
      <c r="D2726" s="49" t="s">
        <v>1264</v>
      </c>
      <c r="E2726" s="49" t="s">
        <v>2814</v>
      </c>
      <c r="F2726" s="49" t="s">
        <v>2825</v>
      </c>
      <c r="G2726" s="49" t="s">
        <v>2787</v>
      </c>
      <c r="H2726" s="49" t="s">
        <v>2827</v>
      </c>
      <c r="I2726" s="50">
        <v>42122</v>
      </c>
      <c r="J2726" s="50">
        <v>42157</v>
      </c>
      <c r="K2726" s="50">
        <v>42340</v>
      </c>
      <c r="M2726" s="49" t="s">
        <v>4340</v>
      </c>
    </row>
    <row r="2727" spans="1:13" x14ac:dyDescent="0.35">
      <c r="A2727" s="49" t="s">
        <v>10588</v>
      </c>
      <c r="B2727" s="49" t="s">
        <v>3075</v>
      </c>
      <c r="C2727" s="49" t="s">
        <v>10589</v>
      </c>
      <c r="D2727" s="49" t="s">
        <v>1264</v>
      </c>
      <c r="E2727" s="49" t="s">
        <v>2814</v>
      </c>
      <c r="F2727" s="49" t="s">
        <v>2825</v>
      </c>
      <c r="G2727" s="49" t="s">
        <v>2776</v>
      </c>
      <c r="H2727" s="49" t="s">
        <v>2827</v>
      </c>
      <c r="I2727" s="50">
        <v>43623</v>
      </c>
      <c r="M2727" s="49" t="s">
        <v>10590</v>
      </c>
    </row>
    <row r="2728" spans="1:13" x14ac:dyDescent="0.35">
      <c r="A2728" s="49" t="s">
        <v>10591</v>
      </c>
      <c r="B2728" s="49" t="s">
        <v>10592</v>
      </c>
      <c r="C2728" s="49" t="s">
        <v>4977</v>
      </c>
      <c r="D2728" s="49" t="s">
        <v>1264</v>
      </c>
      <c r="E2728" s="49" t="s">
        <v>2814</v>
      </c>
      <c r="F2728" s="49" t="s">
        <v>2825</v>
      </c>
      <c r="G2728" s="49" t="s">
        <v>2776</v>
      </c>
      <c r="H2728" s="49" t="s">
        <v>2827</v>
      </c>
      <c r="I2728" s="50">
        <v>43642</v>
      </c>
      <c r="M2728" s="49" t="s">
        <v>10593</v>
      </c>
    </row>
    <row r="2729" spans="1:13" x14ac:dyDescent="0.35">
      <c r="A2729" s="49" t="s">
        <v>10594</v>
      </c>
      <c r="B2729" s="49" t="s">
        <v>10595</v>
      </c>
      <c r="C2729" s="49" t="s">
        <v>3735</v>
      </c>
      <c r="D2729" s="49" t="s">
        <v>1264</v>
      </c>
      <c r="E2729" s="49" t="s">
        <v>2814</v>
      </c>
      <c r="F2729" s="49" t="s">
        <v>2837</v>
      </c>
      <c r="G2729" s="49" t="s">
        <v>2776</v>
      </c>
      <c r="H2729" s="49" t="s">
        <v>980</v>
      </c>
      <c r="I2729" s="50">
        <v>44040</v>
      </c>
      <c r="M2729" s="49" t="s">
        <v>10409</v>
      </c>
    </row>
    <row r="2730" spans="1:13" x14ac:dyDescent="0.35">
      <c r="A2730" s="49" t="s">
        <v>10596</v>
      </c>
      <c r="B2730" s="49" t="s">
        <v>2863</v>
      </c>
      <c r="C2730" s="49" t="s">
        <v>10597</v>
      </c>
      <c r="D2730" s="49" t="s">
        <v>1264</v>
      </c>
      <c r="E2730" s="49" t="s">
        <v>2814</v>
      </c>
      <c r="F2730" s="49" t="s">
        <v>2825</v>
      </c>
      <c r="G2730" s="49" t="s">
        <v>2776</v>
      </c>
      <c r="H2730" s="49" t="s">
        <v>2827</v>
      </c>
      <c r="I2730" s="50">
        <v>42290</v>
      </c>
      <c r="M2730" s="49" t="s">
        <v>3470</v>
      </c>
    </row>
    <row r="2731" spans="1:13" x14ac:dyDescent="0.35">
      <c r="A2731" s="49" t="s">
        <v>10598</v>
      </c>
      <c r="C2731" s="49" t="s">
        <v>10599</v>
      </c>
      <c r="D2731" s="49" t="s">
        <v>1264</v>
      </c>
      <c r="E2731" s="49" t="s">
        <v>2814</v>
      </c>
      <c r="F2731" s="49" t="s">
        <v>2825</v>
      </c>
      <c r="G2731" s="49" t="s">
        <v>2776</v>
      </c>
      <c r="H2731" s="49" t="s">
        <v>2827</v>
      </c>
      <c r="I2731" s="50">
        <v>42290</v>
      </c>
      <c r="M2731" s="49" t="s">
        <v>3470</v>
      </c>
    </row>
    <row r="2732" spans="1:13" ht="29" x14ac:dyDescent="0.35">
      <c r="A2732" s="49" t="s">
        <v>10600</v>
      </c>
      <c r="B2732" s="51" t="s">
        <v>10601</v>
      </c>
      <c r="C2732" s="49" t="s">
        <v>10602</v>
      </c>
      <c r="D2732" s="49" t="s">
        <v>1264</v>
      </c>
      <c r="E2732" s="49" t="s">
        <v>2814</v>
      </c>
      <c r="F2732" s="49" t="s">
        <v>2837</v>
      </c>
      <c r="G2732" s="49" t="s">
        <v>2776</v>
      </c>
      <c r="H2732" s="49" t="s">
        <v>980</v>
      </c>
      <c r="I2732" s="50">
        <v>42235</v>
      </c>
      <c r="M2732" s="49" t="s">
        <v>10603</v>
      </c>
    </row>
    <row r="2733" spans="1:13" x14ac:dyDescent="0.35">
      <c r="A2733" s="49" t="s">
        <v>10604</v>
      </c>
      <c r="C2733" s="49" t="s">
        <v>10605</v>
      </c>
      <c r="D2733" s="49" t="s">
        <v>1264</v>
      </c>
      <c r="E2733" s="49" t="s">
        <v>2814</v>
      </c>
      <c r="F2733" s="49" t="s">
        <v>2825</v>
      </c>
      <c r="G2733" s="49" t="s">
        <v>2776</v>
      </c>
      <c r="H2733" s="49" t="s">
        <v>2827</v>
      </c>
      <c r="I2733" s="50">
        <v>42668</v>
      </c>
      <c r="M2733" s="49" t="s">
        <v>10153</v>
      </c>
    </row>
    <row r="2734" spans="1:13" x14ac:dyDescent="0.35">
      <c r="A2734" s="49" t="s">
        <v>10606</v>
      </c>
      <c r="C2734" s="49" t="s">
        <v>10607</v>
      </c>
      <c r="D2734" s="49" t="s">
        <v>1264</v>
      </c>
      <c r="E2734" s="49" t="s">
        <v>2814</v>
      </c>
      <c r="F2734" s="49" t="s">
        <v>2825</v>
      </c>
      <c r="G2734" s="49" t="s">
        <v>2776</v>
      </c>
      <c r="H2734" s="49" t="s">
        <v>2827</v>
      </c>
      <c r="I2734" s="50">
        <v>43448</v>
      </c>
      <c r="M2734" s="49" t="s">
        <v>10608</v>
      </c>
    </row>
    <row r="2735" spans="1:13" x14ac:dyDescent="0.35">
      <c r="A2735" s="49" t="s">
        <v>10609</v>
      </c>
      <c r="B2735" s="49" t="s">
        <v>3075</v>
      </c>
      <c r="C2735" s="49" t="s">
        <v>10610</v>
      </c>
      <c r="D2735" s="49" t="s">
        <v>1264</v>
      </c>
      <c r="E2735" s="49" t="s">
        <v>2814</v>
      </c>
      <c r="F2735" s="49" t="s">
        <v>2825</v>
      </c>
      <c r="G2735" s="49" t="s">
        <v>2776</v>
      </c>
      <c r="H2735" s="49" t="s">
        <v>2827</v>
      </c>
      <c r="I2735" s="50">
        <v>43085</v>
      </c>
      <c r="M2735" s="49" t="s">
        <v>10611</v>
      </c>
    </row>
    <row r="2736" spans="1:13" x14ac:dyDescent="0.35">
      <c r="A2736" s="49" t="s">
        <v>10612</v>
      </c>
      <c r="C2736" s="49" t="s">
        <v>3745</v>
      </c>
      <c r="D2736" s="49" t="s">
        <v>1264</v>
      </c>
      <c r="E2736" s="49" t="s">
        <v>2814</v>
      </c>
      <c r="F2736" s="49" t="s">
        <v>2825</v>
      </c>
      <c r="G2736" s="49" t="s">
        <v>2776</v>
      </c>
      <c r="H2736" s="49" t="s">
        <v>2827</v>
      </c>
      <c r="I2736" s="50">
        <v>43494</v>
      </c>
      <c r="M2736" s="49" t="s">
        <v>10613</v>
      </c>
    </row>
    <row r="2737" spans="1:13" x14ac:dyDescent="0.35">
      <c r="A2737" s="49" t="s">
        <v>10614</v>
      </c>
      <c r="B2737" s="49" t="s">
        <v>10615</v>
      </c>
      <c r="C2737" s="49" t="s">
        <v>4977</v>
      </c>
      <c r="D2737" s="49" t="s">
        <v>1264</v>
      </c>
      <c r="E2737" s="49" t="s">
        <v>2814</v>
      </c>
      <c r="F2737" s="49" t="s">
        <v>2825</v>
      </c>
      <c r="G2737" s="49" t="s">
        <v>2776</v>
      </c>
      <c r="H2737" s="49" t="s">
        <v>2827</v>
      </c>
      <c r="I2737" s="50">
        <v>43859</v>
      </c>
      <c r="M2737" s="49" t="s">
        <v>10491</v>
      </c>
    </row>
    <row r="2738" spans="1:13" x14ac:dyDescent="0.35">
      <c r="A2738" s="49" t="s">
        <v>10616</v>
      </c>
      <c r="B2738" s="49" t="s">
        <v>10617</v>
      </c>
      <c r="C2738" s="49" t="s">
        <v>4977</v>
      </c>
      <c r="D2738" s="49" t="s">
        <v>1264</v>
      </c>
      <c r="E2738" s="49" t="s">
        <v>2814</v>
      </c>
      <c r="F2738" s="49" t="s">
        <v>2825</v>
      </c>
      <c r="G2738" s="49" t="s">
        <v>2776</v>
      </c>
      <c r="H2738" s="49" t="s">
        <v>2827</v>
      </c>
      <c r="I2738" s="50">
        <v>43859</v>
      </c>
      <c r="M2738" s="49" t="s">
        <v>8885</v>
      </c>
    </row>
    <row r="2739" spans="1:13" x14ac:dyDescent="0.35">
      <c r="A2739" s="49" t="s">
        <v>10618</v>
      </c>
      <c r="C2739" s="49" t="s">
        <v>7600</v>
      </c>
      <c r="D2739" s="49" t="s">
        <v>1264</v>
      </c>
      <c r="E2739" s="49" t="s">
        <v>2814</v>
      </c>
      <c r="F2739" s="49" t="s">
        <v>2825</v>
      </c>
      <c r="G2739" s="49" t="s">
        <v>2776</v>
      </c>
      <c r="H2739" s="49" t="s">
        <v>2827</v>
      </c>
      <c r="I2739" s="50">
        <v>42479</v>
      </c>
      <c r="M2739" s="49" t="s">
        <v>10619</v>
      </c>
    </row>
    <row r="2740" spans="1:13" x14ac:dyDescent="0.35">
      <c r="A2740" s="49" t="s">
        <v>10620</v>
      </c>
      <c r="C2740" s="49" t="s">
        <v>10621</v>
      </c>
      <c r="D2740" s="49" t="s">
        <v>1264</v>
      </c>
      <c r="E2740" s="49" t="s">
        <v>2814</v>
      </c>
      <c r="F2740" s="49" t="s">
        <v>2825</v>
      </c>
      <c r="G2740" s="49" t="s">
        <v>2776</v>
      </c>
      <c r="H2740" s="49" t="s">
        <v>2827</v>
      </c>
      <c r="I2740" s="50">
        <v>43581</v>
      </c>
      <c r="M2740" s="49" t="s">
        <v>10622</v>
      </c>
    </row>
    <row r="2741" spans="1:13" x14ac:dyDescent="0.35">
      <c r="A2741" s="49" t="s">
        <v>10623</v>
      </c>
      <c r="C2741" s="49" t="s">
        <v>10624</v>
      </c>
      <c r="D2741" s="49" t="s">
        <v>1264</v>
      </c>
      <c r="E2741" s="49" t="s">
        <v>2814</v>
      </c>
      <c r="F2741" s="49" t="s">
        <v>10625</v>
      </c>
      <c r="G2741" s="49" t="s">
        <v>2776</v>
      </c>
      <c r="H2741" s="49" t="s">
        <v>2827</v>
      </c>
      <c r="I2741" s="50">
        <v>42093</v>
      </c>
      <c r="M2741" s="49" t="s">
        <v>8909</v>
      </c>
    </row>
    <row r="2742" spans="1:13" x14ac:dyDescent="0.35">
      <c r="A2742" s="49" t="s">
        <v>10626</v>
      </c>
      <c r="C2742" s="49" t="s">
        <v>742</v>
      </c>
      <c r="D2742" s="49" t="s">
        <v>1264</v>
      </c>
      <c r="E2742" s="49" t="s">
        <v>2814</v>
      </c>
      <c r="F2742" s="49" t="s">
        <v>8985</v>
      </c>
      <c r="G2742" s="49" t="s">
        <v>2776</v>
      </c>
      <c r="H2742" s="49" t="s">
        <v>980</v>
      </c>
      <c r="I2742" s="50">
        <v>42590</v>
      </c>
      <c r="M2742" s="49" t="s">
        <v>3470</v>
      </c>
    </row>
    <row r="2743" spans="1:13" x14ac:dyDescent="0.35">
      <c r="A2743" s="49" t="s">
        <v>10627</v>
      </c>
      <c r="C2743" s="49" t="s">
        <v>742</v>
      </c>
      <c r="D2743" s="49" t="s">
        <v>1264</v>
      </c>
      <c r="E2743" s="49" t="s">
        <v>2814</v>
      </c>
      <c r="F2743" s="49" t="s">
        <v>2825</v>
      </c>
      <c r="G2743" s="49" t="s">
        <v>2776</v>
      </c>
      <c r="H2743" s="49" t="s">
        <v>2827</v>
      </c>
      <c r="I2743" s="50">
        <v>42590</v>
      </c>
      <c r="M2743" s="49" t="s">
        <v>3470</v>
      </c>
    </row>
    <row r="2744" spans="1:13" x14ac:dyDescent="0.35">
      <c r="A2744" s="49" t="s">
        <v>10628</v>
      </c>
      <c r="B2744" s="49" t="s">
        <v>10629</v>
      </c>
      <c r="C2744" s="49" t="s">
        <v>4333</v>
      </c>
      <c r="D2744" s="49" t="s">
        <v>1264</v>
      </c>
      <c r="E2744" s="49" t="s">
        <v>2814</v>
      </c>
      <c r="F2744" s="49" t="s">
        <v>2939</v>
      </c>
      <c r="G2744" s="49" t="s">
        <v>2776</v>
      </c>
      <c r="H2744" s="49" t="s">
        <v>980</v>
      </c>
      <c r="I2744" s="50">
        <v>44093</v>
      </c>
      <c r="M2744" s="49" t="s">
        <v>10630</v>
      </c>
    </row>
    <row r="2745" spans="1:13" x14ac:dyDescent="0.35">
      <c r="A2745" s="49" t="s">
        <v>10631</v>
      </c>
      <c r="C2745" s="49" t="s">
        <v>10632</v>
      </c>
      <c r="D2745" s="49" t="s">
        <v>1264</v>
      </c>
      <c r="E2745" s="49" t="s">
        <v>2814</v>
      </c>
      <c r="F2745" s="49" t="s">
        <v>2939</v>
      </c>
      <c r="G2745" s="49" t="s">
        <v>2776</v>
      </c>
      <c r="H2745" s="49" t="s">
        <v>980</v>
      </c>
      <c r="I2745" s="50">
        <v>44153</v>
      </c>
      <c r="M2745" s="49" t="s">
        <v>10633</v>
      </c>
    </row>
    <row r="2746" spans="1:13" x14ac:dyDescent="0.35">
      <c r="A2746" s="49" t="s">
        <v>10634</v>
      </c>
      <c r="C2746" s="49" t="s">
        <v>564</v>
      </c>
      <c r="D2746" s="49" t="s">
        <v>1264</v>
      </c>
      <c r="E2746" s="49" t="s">
        <v>2814</v>
      </c>
      <c r="F2746" s="49" t="s">
        <v>2939</v>
      </c>
      <c r="G2746" s="49" t="s">
        <v>2776</v>
      </c>
      <c r="H2746" s="49" t="s">
        <v>2827</v>
      </c>
      <c r="I2746" s="50">
        <v>42804</v>
      </c>
      <c r="M2746" s="49" t="s">
        <v>10635</v>
      </c>
    </row>
    <row r="2747" spans="1:13" x14ac:dyDescent="0.35">
      <c r="A2747" s="49" t="s">
        <v>10636</v>
      </c>
      <c r="B2747" s="49" t="s">
        <v>10637</v>
      </c>
      <c r="C2747" s="49" t="s">
        <v>10638</v>
      </c>
      <c r="D2747" s="49" t="s">
        <v>1264</v>
      </c>
      <c r="E2747" s="49" t="s">
        <v>2814</v>
      </c>
      <c r="F2747" s="49" t="s">
        <v>2939</v>
      </c>
      <c r="G2747" s="49" t="s">
        <v>2776</v>
      </c>
      <c r="H2747" s="49" t="s">
        <v>3229</v>
      </c>
      <c r="I2747" s="50">
        <v>42559</v>
      </c>
      <c r="M2747" s="49" t="s">
        <v>10639</v>
      </c>
    </row>
    <row r="2748" spans="1:13" x14ac:dyDescent="0.35">
      <c r="A2748" s="49" t="s">
        <v>10640</v>
      </c>
      <c r="B2748" s="49" t="s">
        <v>6594</v>
      </c>
      <c r="C2748" s="49" t="s">
        <v>9246</v>
      </c>
      <c r="D2748" s="49" t="s">
        <v>1264</v>
      </c>
      <c r="E2748" s="49" t="s">
        <v>2814</v>
      </c>
      <c r="F2748" s="49" t="s">
        <v>2805</v>
      </c>
      <c r="G2748" s="49" t="s">
        <v>2776</v>
      </c>
      <c r="H2748" s="49" t="s">
        <v>980</v>
      </c>
      <c r="I2748" s="50">
        <v>43384</v>
      </c>
      <c r="M2748" s="49" t="s">
        <v>10641</v>
      </c>
    </row>
    <row r="2749" spans="1:13" x14ac:dyDescent="0.35">
      <c r="A2749" s="49" t="s">
        <v>10642</v>
      </c>
      <c r="B2749" s="49" t="s">
        <v>10643</v>
      </c>
      <c r="C2749" s="49" t="s">
        <v>3390</v>
      </c>
      <c r="D2749" s="49" t="s">
        <v>1264</v>
      </c>
      <c r="E2749" s="49" t="s">
        <v>2814</v>
      </c>
      <c r="G2749" s="49" t="s">
        <v>2776</v>
      </c>
      <c r="I2749" s="50">
        <v>43383</v>
      </c>
      <c r="M2749" s="49" t="s">
        <v>10644</v>
      </c>
    </row>
    <row r="2750" spans="1:13" x14ac:dyDescent="0.35">
      <c r="A2750" s="49" t="s">
        <v>10645</v>
      </c>
      <c r="B2750" s="49" t="s">
        <v>3063</v>
      </c>
      <c r="C2750" s="49" t="s">
        <v>10646</v>
      </c>
      <c r="D2750" s="49" t="s">
        <v>1264</v>
      </c>
      <c r="E2750" s="49" t="s">
        <v>2814</v>
      </c>
      <c r="F2750" s="49" t="s">
        <v>2837</v>
      </c>
      <c r="G2750" s="49" t="s">
        <v>2776</v>
      </c>
      <c r="H2750" s="49" t="s">
        <v>980</v>
      </c>
      <c r="I2750" s="50">
        <v>42351</v>
      </c>
      <c r="M2750" s="49" t="s">
        <v>3470</v>
      </c>
    </row>
    <row r="2751" spans="1:13" x14ac:dyDescent="0.35">
      <c r="A2751" s="49" t="s">
        <v>10647</v>
      </c>
      <c r="B2751" s="49" t="s">
        <v>10648</v>
      </c>
      <c r="C2751" s="49" t="s">
        <v>9246</v>
      </c>
      <c r="D2751" s="49" t="s">
        <v>1264</v>
      </c>
      <c r="E2751" s="49" t="s">
        <v>2814</v>
      </c>
      <c r="F2751" s="49" t="s">
        <v>2805</v>
      </c>
      <c r="G2751" s="49" t="s">
        <v>2776</v>
      </c>
      <c r="H2751" s="49" t="s">
        <v>1062</v>
      </c>
      <c r="I2751" s="50">
        <v>43384</v>
      </c>
      <c r="M2751" s="49" t="s">
        <v>10649</v>
      </c>
    </row>
    <row r="2752" spans="1:13" x14ac:dyDescent="0.35">
      <c r="A2752" s="49" t="s">
        <v>10650</v>
      </c>
      <c r="C2752" s="49" t="s">
        <v>3905</v>
      </c>
      <c r="D2752" s="49" t="s">
        <v>1264</v>
      </c>
      <c r="E2752" s="49" t="s">
        <v>2814</v>
      </c>
      <c r="F2752" s="49" t="s">
        <v>2825</v>
      </c>
      <c r="G2752" s="49" t="s">
        <v>2776</v>
      </c>
      <c r="H2752" s="49" t="s">
        <v>2827</v>
      </c>
      <c r="I2752" s="50">
        <v>43915</v>
      </c>
      <c r="M2752" s="49" t="s">
        <v>10651</v>
      </c>
    </row>
    <row r="2753" spans="1:13" x14ac:dyDescent="0.35">
      <c r="A2753" s="49" t="s">
        <v>10652</v>
      </c>
      <c r="C2753" s="49" t="s">
        <v>2836</v>
      </c>
      <c r="D2753" s="49" t="s">
        <v>1264</v>
      </c>
      <c r="E2753" s="49" t="s">
        <v>2814</v>
      </c>
      <c r="F2753" s="49" t="s">
        <v>2837</v>
      </c>
      <c r="G2753" s="49" t="s">
        <v>2776</v>
      </c>
      <c r="H2753" s="49" t="s">
        <v>980</v>
      </c>
      <c r="I2753" s="50">
        <v>43864</v>
      </c>
      <c r="M2753" s="49" t="s">
        <v>10653</v>
      </c>
    </row>
    <row r="2754" spans="1:13" x14ac:dyDescent="0.35">
      <c r="A2754" s="49" t="s">
        <v>10654</v>
      </c>
      <c r="C2754" s="49" t="s">
        <v>10460</v>
      </c>
      <c r="D2754" s="49" t="s">
        <v>1264</v>
      </c>
      <c r="E2754" s="49" t="s">
        <v>2814</v>
      </c>
      <c r="F2754" s="49" t="s">
        <v>2939</v>
      </c>
      <c r="G2754" s="49" t="s">
        <v>2787</v>
      </c>
      <c r="H2754" s="49" t="s">
        <v>980</v>
      </c>
      <c r="I2754" s="50">
        <v>43826</v>
      </c>
      <c r="M2754" s="49" t="s">
        <v>10655</v>
      </c>
    </row>
    <row r="2755" spans="1:13" x14ac:dyDescent="0.35">
      <c r="A2755" s="49" t="s">
        <v>10656</v>
      </c>
      <c r="C2755" s="49" t="s">
        <v>10657</v>
      </c>
      <c r="D2755" s="49" t="s">
        <v>1264</v>
      </c>
      <c r="E2755" s="49" t="s">
        <v>3443</v>
      </c>
      <c r="F2755" s="49" t="s">
        <v>3124</v>
      </c>
      <c r="G2755" s="49" t="s">
        <v>4891</v>
      </c>
      <c r="H2755" s="49" t="s">
        <v>980</v>
      </c>
      <c r="I2755" s="50">
        <v>44174</v>
      </c>
      <c r="M2755" s="49" t="s">
        <v>10658</v>
      </c>
    </row>
    <row r="2756" spans="1:13" x14ac:dyDescent="0.35">
      <c r="A2756" s="49" t="s">
        <v>10659</v>
      </c>
      <c r="C2756" s="49" t="s">
        <v>10660</v>
      </c>
      <c r="D2756" s="49" t="s">
        <v>1264</v>
      </c>
      <c r="E2756" s="49" t="s">
        <v>2908</v>
      </c>
      <c r="F2756" s="49" t="s">
        <v>2805</v>
      </c>
      <c r="G2756" s="49" t="s">
        <v>2776</v>
      </c>
      <c r="H2756" s="49" t="s">
        <v>980</v>
      </c>
      <c r="I2756" s="50">
        <v>43998</v>
      </c>
      <c r="M2756" s="49" t="s">
        <v>10661</v>
      </c>
    </row>
    <row r="2757" spans="1:13" x14ac:dyDescent="0.35">
      <c r="A2757" s="49" t="s">
        <v>10662</v>
      </c>
      <c r="C2757" s="49" t="s">
        <v>10663</v>
      </c>
      <c r="D2757" s="49" t="s">
        <v>1264</v>
      </c>
      <c r="E2757" s="49" t="s">
        <v>2908</v>
      </c>
      <c r="F2757" s="49" t="s">
        <v>2837</v>
      </c>
      <c r="G2757" s="49" t="s">
        <v>2776</v>
      </c>
      <c r="H2757" s="49" t="s">
        <v>2827</v>
      </c>
      <c r="I2757" s="50">
        <v>44120</v>
      </c>
      <c r="M2757" s="49" t="s">
        <v>10664</v>
      </c>
    </row>
    <row r="2758" spans="1:13" x14ac:dyDescent="0.35">
      <c r="A2758" s="49" t="s">
        <v>10665</v>
      </c>
      <c r="C2758" s="49" t="s">
        <v>10666</v>
      </c>
      <c r="D2758" s="49" t="s">
        <v>1264</v>
      </c>
      <c r="E2758" s="49" t="s">
        <v>3443</v>
      </c>
      <c r="F2758" s="49" t="s">
        <v>3124</v>
      </c>
      <c r="G2758" s="49" t="s">
        <v>2776</v>
      </c>
      <c r="H2758" s="49" t="s">
        <v>980</v>
      </c>
      <c r="I2758" s="50">
        <v>44063</v>
      </c>
      <c r="M2758" s="49" t="s">
        <v>10658</v>
      </c>
    </row>
    <row r="2759" spans="1:13" x14ac:dyDescent="0.35">
      <c r="A2759" s="49" t="s">
        <v>10667</v>
      </c>
      <c r="C2759" s="49" t="s">
        <v>10668</v>
      </c>
      <c r="D2759" s="49" t="s">
        <v>1264</v>
      </c>
      <c r="E2759" s="49" t="s">
        <v>2785</v>
      </c>
      <c r="F2759" s="49" t="s">
        <v>3124</v>
      </c>
      <c r="G2759" s="49" t="s">
        <v>2776</v>
      </c>
      <c r="H2759" s="49" t="s">
        <v>980</v>
      </c>
      <c r="I2759" s="50">
        <v>44035</v>
      </c>
      <c r="M2759" s="49" t="s">
        <v>10669</v>
      </c>
    </row>
    <row r="2760" spans="1:13" x14ac:dyDescent="0.35">
      <c r="A2760" s="49" t="s">
        <v>10670</v>
      </c>
      <c r="C2760" s="49" t="s">
        <v>3885</v>
      </c>
      <c r="D2760" s="49" t="s">
        <v>1264</v>
      </c>
      <c r="E2760" s="49" t="s">
        <v>2908</v>
      </c>
      <c r="F2760" s="49" t="s">
        <v>3010</v>
      </c>
      <c r="G2760" s="49" t="s">
        <v>2776</v>
      </c>
      <c r="H2760" s="49" t="s">
        <v>980</v>
      </c>
      <c r="I2760" s="50">
        <v>43979</v>
      </c>
      <c r="M2760" s="49" t="s">
        <v>10671</v>
      </c>
    </row>
    <row r="2761" spans="1:13" x14ac:dyDescent="0.35">
      <c r="A2761" s="49" t="s">
        <v>10672</v>
      </c>
      <c r="C2761" s="49" t="s">
        <v>4430</v>
      </c>
      <c r="D2761" s="49" t="s">
        <v>1264</v>
      </c>
      <c r="E2761" s="49" t="s">
        <v>2908</v>
      </c>
      <c r="F2761" s="49" t="s">
        <v>2837</v>
      </c>
      <c r="G2761" s="49" t="s">
        <v>2776</v>
      </c>
      <c r="H2761" s="49" t="s">
        <v>980</v>
      </c>
      <c r="I2761" s="50">
        <v>44040</v>
      </c>
      <c r="M2761" s="49" t="s">
        <v>10673</v>
      </c>
    </row>
    <row r="2762" spans="1:13" x14ac:dyDescent="0.35">
      <c r="A2762" s="49" t="s">
        <v>10674</v>
      </c>
      <c r="C2762" s="49" t="s">
        <v>2892</v>
      </c>
      <c r="D2762" s="49" t="s">
        <v>1264</v>
      </c>
      <c r="E2762" s="49" t="s">
        <v>2814</v>
      </c>
      <c r="F2762" s="49" t="s">
        <v>4048</v>
      </c>
      <c r="G2762" s="49" t="s">
        <v>2776</v>
      </c>
      <c r="H2762" s="49" t="s">
        <v>2832</v>
      </c>
      <c r="I2762" s="50">
        <v>43906</v>
      </c>
      <c r="M2762" s="49" t="s">
        <v>10675</v>
      </c>
    </row>
    <row r="2763" spans="1:13" x14ac:dyDescent="0.35">
      <c r="A2763" s="49" t="s">
        <v>10676</v>
      </c>
      <c r="C2763" s="49" t="s">
        <v>4004</v>
      </c>
      <c r="D2763" s="49" t="s">
        <v>1264</v>
      </c>
      <c r="E2763" s="49" t="s">
        <v>2814</v>
      </c>
      <c r="F2763" s="49" t="s">
        <v>2825</v>
      </c>
      <c r="G2763" s="49" t="s">
        <v>3997</v>
      </c>
      <c r="H2763" s="49" t="s">
        <v>2827</v>
      </c>
      <c r="I2763" s="50">
        <v>43915</v>
      </c>
      <c r="M2763" s="49" t="s">
        <v>10677</v>
      </c>
    </row>
    <row r="2764" spans="1:13" x14ac:dyDescent="0.35">
      <c r="A2764" s="49" t="s">
        <v>10678</v>
      </c>
      <c r="C2764" s="49" t="s">
        <v>7029</v>
      </c>
      <c r="D2764" s="49" t="s">
        <v>1264</v>
      </c>
      <c r="E2764" s="49" t="s">
        <v>2785</v>
      </c>
      <c r="F2764" s="49" t="s">
        <v>2805</v>
      </c>
      <c r="G2764" s="49" t="s">
        <v>2826</v>
      </c>
      <c r="H2764" s="49" t="s">
        <v>3207</v>
      </c>
      <c r="I2764" s="50">
        <v>41662</v>
      </c>
      <c r="J2764" s="50">
        <v>41670</v>
      </c>
      <c r="K2764" s="50">
        <v>41850</v>
      </c>
      <c r="M2764" s="49" t="s">
        <v>10679</v>
      </c>
    </row>
    <row r="2765" spans="1:13" x14ac:dyDescent="0.35">
      <c r="A2765" s="49" t="s">
        <v>10680</v>
      </c>
      <c r="B2765" s="49" t="s">
        <v>4659</v>
      </c>
      <c r="C2765" s="49" t="s">
        <v>10681</v>
      </c>
      <c r="D2765" s="49" t="s">
        <v>1264</v>
      </c>
      <c r="E2765" s="49" t="s">
        <v>2899</v>
      </c>
      <c r="F2765" s="49" t="s">
        <v>2775</v>
      </c>
      <c r="G2765" s="49" t="s">
        <v>2776</v>
      </c>
      <c r="H2765" s="49" t="s">
        <v>980</v>
      </c>
      <c r="I2765" s="50">
        <v>42719</v>
      </c>
      <c r="M2765" s="49" t="s">
        <v>3444</v>
      </c>
    </row>
    <row r="2766" spans="1:13" x14ac:dyDescent="0.35">
      <c r="A2766" s="49" t="s">
        <v>10682</v>
      </c>
      <c r="B2766" s="49" t="s">
        <v>10683</v>
      </c>
      <c r="C2766" s="49" t="s">
        <v>10684</v>
      </c>
      <c r="D2766" s="49" t="s">
        <v>1264</v>
      </c>
      <c r="E2766" s="49" t="s">
        <v>2899</v>
      </c>
      <c r="F2766" s="49" t="s">
        <v>2825</v>
      </c>
      <c r="G2766" s="49" t="s">
        <v>2826</v>
      </c>
      <c r="H2766" s="49" t="s">
        <v>2827</v>
      </c>
      <c r="I2766" s="50">
        <v>42227</v>
      </c>
      <c r="M2766" s="49" t="s">
        <v>3470</v>
      </c>
    </row>
    <row r="2767" spans="1:13" x14ac:dyDescent="0.35">
      <c r="A2767" s="49" t="s">
        <v>10685</v>
      </c>
      <c r="B2767" s="49" t="s">
        <v>3260</v>
      </c>
      <c r="C2767" s="49" t="s">
        <v>10686</v>
      </c>
      <c r="D2767" s="49" t="s">
        <v>1264</v>
      </c>
      <c r="E2767" s="49" t="s">
        <v>2899</v>
      </c>
      <c r="F2767" s="49" t="s">
        <v>2900</v>
      </c>
      <c r="G2767" s="49" t="s">
        <v>2776</v>
      </c>
      <c r="H2767" s="49" t="s">
        <v>3229</v>
      </c>
      <c r="I2767" s="50">
        <v>42310</v>
      </c>
      <c r="M2767" s="49" t="s">
        <v>10687</v>
      </c>
    </row>
    <row r="2768" spans="1:13" x14ac:dyDescent="0.35">
      <c r="A2768" s="49" t="s">
        <v>10688</v>
      </c>
      <c r="B2768" s="49" t="s">
        <v>8647</v>
      </c>
      <c r="C2768" s="49" t="s">
        <v>10689</v>
      </c>
      <c r="D2768" s="49" t="s">
        <v>1264</v>
      </c>
      <c r="E2768" s="49" t="s">
        <v>3413</v>
      </c>
      <c r="F2768" s="49" t="s">
        <v>2900</v>
      </c>
      <c r="G2768" s="49" t="s">
        <v>2826</v>
      </c>
      <c r="H2768" s="49" t="s">
        <v>980</v>
      </c>
      <c r="I2768" s="50">
        <v>42373</v>
      </c>
      <c r="M2768" s="49" t="s">
        <v>10690</v>
      </c>
    </row>
    <row r="2769" spans="1:13" x14ac:dyDescent="0.35">
      <c r="A2769" s="49" t="s">
        <v>10691</v>
      </c>
      <c r="C2769" s="49" t="s">
        <v>10692</v>
      </c>
      <c r="D2769" s="49" t="s">
        <v>1264</v>
      </c>
      <c r="E2769" s="49" t="s">
        <v>2899</v>
      </c>
      <c r="F2769" s="49" t="s">
        <v>2825</v>
      </c>
      <c r="G2769" s="49" t="s">
        <v>2826</v>
      </c>
      <c r="H2769" s="49" t="s">
        <v>2827</v>
      </c>
      <c r="I2769" s="50">
        <v>42430</v>
      </c>
      <c r="M2769" s="49" t="s">
        <v>10693</v>
      </c>
    </row>
    <row r="2770" spans="1:13" x14ac:dyDescent="0.35">
      <c r="A2770" s="49" t="s">
        <v>10694</v>
      </c>
      <c r="B2770" s="49" t="s">
        <v>2937</v>
      </c>
      <c r="C2770" s="49" t="s">
        <v>10695</v>
      </c>
      <c r="D2770" s="49" t="s">
        <v>1264</v>
      </c>
      <c r="E2770" s="49" t="s">
        <v>2908</v>
      </c>
      <c r="F2770" s="49" t="s">
        <v>2939</v>
      </c>
      <c r="G2770" s="49" t="s">
        <v>2776</v>
      </c>
      <c r="H2770" s="49" t="s">
        <v>980</v>
      </c>
      <c r="I2770" s="50">
        <v>43325</v>
      </c>
      <c r="M2770" s="49" t="s">
        <v>10696</v>
      </c>
    </row>
    <row r="2771" spans="1:13" x14ac:dyDescent="0.35">
      <c r="A2771" s="49" t="s">
        <v>10697</v>
      </c>
      <c r="C2771" s="49" t="s">
        <v>9214</v>
      </c>
      <c r="D2771" s="49" t="s">
        <v>1264</v>
      </c>
      <c r="E2771" s="49" t="s">
        <v>2908</v>
      </c>
      <c r="F2771" s="49" t="s">
        <v>3108</v>
      </c>
      <c r="G2771" s="49" t="s">
        <v>4891</v>
      </c>
      <c r="H2771" s="49" t="s">
        <v>2827</v>
      </c>
      <c r="I2771" s="50">
        <v>43339</v>
      </c>
      <c r="M2771" s="49" t="s">
        <v>3270</v>
      </c>
    </row>
    <row r="2772" spans="1:13" x14ac:dyDescent="0.35">
      <c r="A2772" s="49" t="s">
        <v>10698</v>
      </c>
      <c r="B2772" s="49" t="s">
        <v>6573</v>
      </c>
      <c r="C2772" s="49" t="s">
        <v>10699</v>
      </c>
      <c r="D2772" s="49" t="s">
        <v>1264</v>
      </c>
      <c r="E2772" s="49" t="s">
        <v>2908</v>
      </c>
      <c r="F2772" s="49" t="s">
        <v>3010</v>
      </c>
      <c r="G2772" s="49" t="s">
        <v>4891</v>
      </c>
      <c r="H2772" s="49" t="s">
        <v>980</v>
      </c>
      <c r="I2772" s="50">
        <v>43326</v>
      </c>
      <c r="M2772" s="49" t="s">
        <v>10700</v>
      </c>
    </row>
    <row r="2773" spans="1:13" x14ac:dyDescent="0.35">
      <c r="A2773" s="49" t="s">
        <v>10701</v>
      </c>
      <c r="B2773" s="49" t="s">
        <v>2937</v>
      </c>
      <c r="C2773" s="49" t="s">
        <v>10702</v>
      </c>
      <c r="D2773" s="49" t="s">
        <v>1264</v>
      </c>
      <c r="E2773" s="49" t="s">
        <v>2908</v>
      </c>
      <c r="F2773" s="49" t="s">
        <v>2939</v>
      </c>
      <c r="G2773" s="49" t="s">
        <v>2776</v>
      </c>
      <c r="H2773" s="49" t="s">
        <v>980</v>
      </c>
      <c r="I2773" s="50">
        <v>43325</v>
      </c>
      <c r="M2773" s="49" t="s">
        <v>10703</v>
      </c>
    </row>
    <row r="2774" spans="1:13" x14ac:dyDescent="0.35">
      <c r="A2774" s="49" t="s">
        <v>10704</v>
      </c>
      <c r="C2774" s="49" t="s">
        <v>10705</v>
      </c>
      <c r="D2774" s="49" t="s">
        <v>1264</v>
      </c>
      <c r="E2774" s="49" t="s">
        <v>2785</v>
      </c>
      <c r="F2774" s="49" t="s">
        <v>2837</v>
      </c>
      <c r="G2774" s="49" t="s">
        <v>2776</v>
      </c>
      <c r="H2774" s="49" t="s">
        <v>973</v>
      </c>
      <c r="I2774" s="50">
        <v>43501</v>
      </c>
      <c r="M2774" s="49" t="s">
        <v>10706</v>
      </c>
    </row>
    <row r="2775" spans="1:13" x14ac:dyDescent="0.35">
      <c r="A2775" s="49" t="s">
        <v>10707</v>
      </c>
      <c r="B2775" s="49" t="s">
        <v>3399</v>
      </c>
      <c r="C2775" s="49" t="s">
        <v>3400</v>
      </c>
      <c r="D2775" s="49" t="s">
        <v>1264</v>
      </c>
      <c r="E2775" s="49" t="s">
        <v>2908</v>
      </c>
      <c r="F2775" s="49" t="s">
        <v>2837</v>
      </c>
      <c r="G2775" s="49" t="s">
        <v>2776</v>
      </c>
      <c r="H2775" s="49" t="s">
        <v>2827</v>
      </c>
      <c r="I2775" s="50">
        <v>42048</v>
      </c>
      <c r="M2775" s="49" t="s">
        <v>10708</v>
      </c>
    </row>
    <row r="2776" spans="1:13" x14ac:dyDescent="0.35">
      <c r="A2776" s="49" t="s">
        <v>10709</v>
      </c>
      <c r="C2776" s="49" t="s">
        <v>2943</v>
      </c>
      <c r="D2776" s="49" t="s">
        <v>1264</v>
      </c>
      <c r="E2776" s="49" t="s">
        <v>2908</v>
      </c>
      <c r="F2776" s="49" t="s">
        <v>2939</v>
      </c>
      <c r="G2776" s="49" t="s">
        <v>2776</v>
      </c>
      <c r="H2776" s="49" t="s">
        <v>980</v>
      </c>
      <c r="I2776" s="50">
        <v>41551</v>
      </c>
      <c r="M2776" s="49" t="s">
        <v>10710</v>
      </c>
    </row>
    <row r="2777" spans="1:13" x14ac:dyDescent="0.35">
      <c r="A2777" s="49" t="s">
        <v>10711</v>
      </c>
      <c r="B2777" s="49" t="s">
        <v>10712</v>
      </c>
      <c r="C2777" s="49" t="s">
        <v>10713</v>
      </c>
      <c r="D2777" s="49" t="s">
        <v>1264</v>
      </c>
      <c r="E2777" s="49" t="s">
        <v>2785</v>
      </c>
      <c r="F2777" s="49" t="s">
        <v>2900</v>
      </c>
      <c r="G2777" s="49" t="s">
        <v>2776</v>
      </c>
      <c r="H2777" s="49" t="s">
        <v>980</v>
      </c>
      <c r="I2777" s="50">
        <v>41411</v>
      </c>
      <c r="M2777" s="49" t="s">
        <v>10714</v>
      </c>
    </row>
    <row r="2778" spans="1:13" x14ac:dyDescent="0.35">
      <c r="A2778" s="49" t="s">
        <v>10715</v>
      </c>
      <c r="B2778" s="49" t="s">
        <v>10716</v>
      </c>
      <c r="C2778" s="49" t="s">
        <v>10717</v>
      </c>
      <c r="D2778" s="49" t="s">
        <v>1264</v>
      </c>
      <c r="E2778" s="49" t="s">
        <v>7057</v>
      </c>
      <c r="F2778" s="49" t="s">
        <v>2825</v>
      </c>
      <c r="G2778" s="49" t="s">
        <v>2776</v>
      </c>
      <c r="H2778" s="49" t="s">
        <v>2827</v>
      </c>
      <c r="I2778" s="50">
        <v>41409</v>
      </c>
      <c r="M2778" s="49" t="s">
        <v>3270</v>
      </c>
    </row>
    <row r="2779" spans="1:13" x14ac:dyDescent="0.35">
      <c r="A2779" s="49" t="s">
        <v>10718</v>
      </c>
      <c r="C2779" s="49" t="s">
        <v>10232</v>
      </c>
      <c r="D2779" s="49" t="s">
        <v>1264</v>
      </c>
      <c r="E2779" s="49" t="s">
        <v>2986</v>
      </c>
      <c r="F2779" s="49" t="s">
        <v>2825</v>
      </c>
      <c r="G2779" s="49" t="s">
        <v>2776</v>
      </c>
      <c r="H2779" s="49" t="s">
        <v>2827</v>
      </c>
      <c r="I2779" s="50">
        <v>41990</v>
      </c>
      <c r="M2779" s="49" t="s">
        <v>10719</v>
      </c>
    </row>
    <row r="2780" spans="1:13" x14ac:dyDescent="0.35">
      <c r="A2780" s="49" t="s">
        <v>10720</v>
      </c>
      <c r="C2780" s="49" t="s">
        <v>10721</v>
      </c>
      <c r="D2780" s="49" t="s">
        <v>1264</v>
      </c>
      <c r="E2780" s="49" t="s">
        <v>2814</v>
      </c>
      <c r="F2780" s="49" t="s">
        <v>10722</v>
      </c>
      <c r="G2780" s="49" t="s">
        <v>2776</v>
      </c>
      <c r="H2780" s="49" t="s">
        <v>2827</v>
      </c>
      <c r="I2780" s="50">
        <v>41556</v>
      </c>
      <c r="M2780" s="49" t="s">
        <v>10723</v>
      </c>
    </row>
    <row r="2781" spans="1:13" x14ac:dyDescent="0.35">
      <c r="A2781" s="49" t="s">
        <v>10724</v>
      </c>
      <c r="C2781" s="49" t="s">
        <v>10725</v>
      </c>
      <c r="D2781" s="49" t="s">
        <v>1264</v>
      </c>
      <c r="E2781" s="49" t="s">
        <v>2908</v>
      </c>
      <c r="F2781" s="49" t="s">
        <v>2939</v>
      </c>
      <c r="G2781" s="49" t="s">
        <v>2776</v>
      </c>
      <c r="H2781" s="49" t="s">
        <v>980</v>
      </c>
      <c r="I2781" s="50">
        <v>41775</v>
      </c>
      <c r="M2781" s="49" t="s">
        <v>10726</v>
      </c>
    </row>
    <row r="2782" spans="1:13" x14ac:dyDescent="0.35">
      <c r="A2782" s="49" t="s">
        <v>10727</v>
      </c>
      <c r="C2782" s="49" t="s">
        <v>10728</v>
      </c>
      <c r="D2782" s="49" t="s">
        <v>1264</v>
      </c>
      <c r="E2782" s="49" t="s">
        <v>2785</v>
      </c>
      <c r="F2782" s="49" t="s">
        <v>2792</v>
      </c>
      <c r="G2782" s="49" t="s">
        <v>2787</v>
      </c>
      <c r="H2782" s="49" t="s">
        <v>8</v>
      </c>
      <c r="I2782" s="50">
        <v>41764</v>
      </c>
      <c r="J2782" s="50">
        <v>41863</v>
      </c>
      <c r="K2782" s="50">
        <v>42046</v>
      </c>
      <c r="M2782" s="49" t="s">
        <v>10729</v>
      </c>
    </row>
    <row r="2783" spans="1:13" x14ac:dyDescent="0.35">
      <c r="A2783" s="49" t="s">
        <v>10730</v>
      </c>
      <c r="C2783" s="49" t="s">
        <v>10731</v>
      </c>
      <c r="D2783" s="49" t="s">
        <v>1264</v>
      </c>
      <c r="E2783" s="49" t="s">
        <v>2785</v>
      </c>
      <c r="F2783" s="49" t="s">
        <v>2792</v>
      </c>
      <c r="G2783" s="49" t="s">
        <v>2776</v>
      </c>
      <c r="H2783" s="49" t="s">
        <v>8</v>
      </c>
      <c r="I2783" s="50">
        <v>41869</v>
      </c>
      <c r="M2783" s="49" t="s">
        <v>10732</v>
      </c>
    </row>
    <row r="2784" spans="1:13" x14ac:dyDescent="0.35">
      <c r="A2784" s="49" t="s">
        <v>10733</v>
      </c>
      <c r="B2784" s="49" t="s">
        <v>6594</v>
      </c>
      <c r="C2784" s="49" t="s">
        <v>2813</v>
      </c>
      <c r="D2784" s="49" t="s">
        <v>1264</v>
      </c>
      <c r="E2784" s="49" t="s">
        <v>2908</v>
      </c>
      <c r="F2784" s="49" t="s">
        <v>9654</v>
      </c>
      <c r="G2784" s="49" t="s">
        <v>2776</v>
      </c>
      <c r="H2784" s="49" t="s">
        <v>980</v>
      </c>
      <c r="I2784" s="50">
        <v>41794</v>
      </c>
      <c r="M2784" s="49" t="s">
        <v>10734</v>
      </c>
    </row>
    <row r="2785" spans="1:13" x14ac:dyDescent="0.35">
      <c r="A2785" s="49" t="s">
        <v>10735</v>
      </c>
      <c r="C2785" s="49" t="s">
        <v>10736</v>
      </c>
      <c r="D2785" s="49" t="s">
        <v>1264</v>
      </c>
      <c r="E2785" s="49" t="s">
        <v>2785</v>
      </c>
      <c r="F2785" s="49" t="s">
        <v>2792</v>
      </c>
      <c r="G2785" s="49" t="s">
        <v>2787</v>
      </c>
      <c r="H2785" s="49" t="s">
        <v>8</v>
      </c>
      <c r="I2785" s="50">
        <v>41743</v>
      </c>
      <c r="J2785" s="50">
        <v>41863</v>
      </c>
      <c r="K2785" s="50">
        <v>42046</v>
      </c>
      <c r="M2785" s="49" t="s">
        <v>8165</v>
      </c>
    </row>
    <row r="2786" spans="1:13" x14ac:dyDescent="0.35">
      <c r="A2786" s="49" t="s">
        <v>10737</v>
      </c>
      <c r="C2786" s="49" t="s">
        <v>10738</v>
      </c>
      <c r="D2786" s="49" t="s">
        <v>1264</v>
      </c>
      <c r="E2786" s="49" t="s">
        <v>2908</v>
      </c>
      <c r="F2786" s="49" t="s">
        <v>2939</v>
      </c>
      <c r="G2786" s="49" t="s">
        <v>2776</v>
      </c>
      <c r="H2786" s="49" t="s">
        <v>980</v>
      </c>
      <c r="I2786" s="50">
        <v>41835</v>
      </c>
      <c r="M2786" s="49" t="s">
        <v>10739</v>
      </c>
    </row>
    <row r="2787" spans="1:13" x14ac:dyDescent="0.35">
      <c r="A2787" s="49" t="s">
        <v>10740</v>
      </c>
      <c r="B2787" s="49" t="s">
        <v>3593</v>
      </c>
      <c r="C2787" s="49" t="s">
        <v>3245</v>
      </c>
      <c r="D2787" s="49" t="s">
        <v>1264</v>
      </c>
      <c r="E2787" s="49" t="s">
        <v>2774</v>
      </c>
      <c r="F2787" s="49" t="s">
        <v>2825</v>
      </c>
      <c r="G2787" s="49" t="s">
        <v>2776</v>
      </c>
      <c r="H2787" s="49" t="s">
        <v>973</v>
      </c>
      <c r="I2787" s="50">
        <v>41806</v>
      </c>
      <c r="M2787" s="49" t="s">
        <v>10741</v>
      </c>
    </row>
    <row r="2788" spans="1:13" x14ac:dyDescent="0.35">
      <c r="A2788" s="49" t="s">
        <v>10742</v>
      </c>
      <c r="B2788" s="49" t="s">
        <v>8809</v>
      </c>
      <c r="C2788" s="49" t="s">
        <v>7111</v>
      </c>
      <c r="D2788" s="49" t="s">
        <v>1264</v>
      </c>
      <c r="E2788" s="49" t="s">
        <v>2785</v>
      </c>
      <c r="F2788" s="49" t="s">
        <v>2792</v>
      </c>
      <c r="G2788" s="49" t="s">
        <v>2826</v>
      </c>
      <c r="H2788" s="49" t="s">
        <v>3207</v>
      </c>
      <c r="I2788" s="50">
        <v>41667</v>
      </c>
      <c r="J2788" s="50">
        <v>41389</v>
      </c>
      <c r="K2788" s="50">
        <v>41571</v>
      </c>
      <c r="M2788" s="49" t="s">
        <v>10743</v>
      </c>
    </row>
    <row r="2789" spans="1:13" x14ac:dyDescent="0.35">
      <c r="A2789" s="49" t="s">
        <v>10744</v>
      </c>
      <c r="C2789" s="49" t="s">
        <v>10502</v>
      </c>
      <c r="D2789" s="49" t="s">
        <v>1264</v>
      </c>
      <c r="E2789" s="49" t="s">
        <v>2774</v>
      </c>
      <c r="F2789" s="49" t="s">
        <v>2900</v>
      </c>
      <c r="G2789" s="49" t="s">
        <v>3602</v>
      </c>
      <c r="H2789" s="49" t="s">
        <v>2832</v>
      </c>
      <c r="I2789" s="50">
        <v>41667</v>
      </c>
      <c r="M2789" s="49" t="s">
        <v>10745</v>
      </c>
    </row>
    <row r="2790" spans="1:13" x14ac:dyDescent="0.35">
      <c r="A2790" s="49" t="s">
        <v>10746</v>
      </c>
      <c r="B2790" s="49" t="s">
        <v>10747</v>
      </c>
      <c r="C2790" s="49" t="s">
        <v>8601</v>
      </c>
      <c r="D2790" s="49" t="s">
        <v>1264</v>
      </c>
      <c r="E2790" s="49" t="s">
        <v>2774</v>
      </c>
      <c r="F2790" s="49" t="s">
        <v>2900</v>
      </c>
      <c r="G2790" s="49" t="s">
        <v>2776</v>
      </c>
      <c r="H2790" s="49" t="s">
        <v>980</v>
      </c>
      <c r="I2790" s="50">
        <v>41683</v>
      </c>
      <c r="M2790" s="49" t="s">
        <v>10748</v>
      </c>
    </row>
    <row r="2791" spans="1:13" x14ac:dyDescent="0.35">
      <c r="A2791" s="49" t="s">
        <v>10749</v>
      </c>
      <c r="B2791" s="49" t="s">
        <v>10750</v>
      </c>
      <c r="C2791" s="49" t="s">
        <v>7946</v>
      </c>
      <c r="D2791" s="49" t="s">
        <v>1264</v>
      </c>
      <c r="E2791" s="49" t="s">
        <v>2974</v>
      </c>
      <c r="F2791" s="49" t="s">
        <v>2825</v>
      </c>
      <c r="G2791" s="49" t="s">
        <v>2776</v>
      </c>
      <c r="H2791" s="49" t="s">
        <v>2827</v>
      </c>
      <c r="I2791" s="50">
        <v>41030</v>
      </c>
      <c r="M2791" s="49" t="s">
        <v>10751</v>
      </c>
    </row>
    <row r="2792" spans="1:13" x14ac:dyDescent="0.35">
      <c r="A2792" s="49" t="s">
        <v>10752</v>
      </c>
      <c r="C2792" s="49" t="s">
        <v>10113</v>
      </c>
      <c r="D2792" s="49" t="s">
        <v>1264</v>
      </c>
      <c r="E2792" s="49" t="s">
        <v>2774</v>
      </c>
      <c r="F2792" s="49" t="s">
        <v>2900</v>
      </c>
      <c r="G2792" s="49" t="s">
        <v>2776</v>
      </c>
      <c r="H2792" s="49" t="s">
        <v>2827</v>
      </c>
      <c r="I2792" s="50">
        <v>41481</v>
      </c>
      <c r="M2792" s="49" t="s">
        <v>10114</v>
      </c>
    </row>
    <row r="2793" spans="1:13" x14ac:dyDescent="0.35">
      <c r="A2793" s="49" t="s">
        <v>10753</v>
      </c>
      <c r="C2793" s="49" t="s">
        <v>10754</v>
      </c>
      <c r="D2793" s="49" t="s">
        <v>1264</v>
      </c>
      <c r="E2793" s="49" t="s">
        <v>2974</v>
      </c>
      <c r="F2793" s="49" t="s">
        <v>3005</v>
      </c>
      <c r="G2793" s="49" t="s">
        <v>2776</v>
      </c>
      <c r="H2793" s="49" t="s">
        <v>1062</v>
      </c>
      <c r="I2793" s="50">
        <v>41558</v>
      </c>
      <c r="M2793" s="49" t="s">
        <v>10755</v>
      </c>
    </row>
    <row r="2794" spans="1:13" x14ac:dyDescent="0.35">
      <c r="A2794" s="49" t="s">
        <v>10756</v>
      </c>
      <c r="C2794" s="49" t="s">
        <v>10757</v>
      </c>
      <c r="D2794" s="49" t="s">
        <v>1264</v>
      </c>
      <c r="E2794" s="49" t="s">
        <v>2908</v>
      </c>
      <c r="F2794" s="49" t="s">
        <v>2939</v>
      </c>
      <c r="G2794" s="49" t="s">
        <v>2776</v>
      </c>
      <c r="H2794" s="49" t="s">
        <v>980</v>
      </c>
      <c r="I2794" s="50">
        <v>41611</v>
      </c>
      <c r="M2794" s="49" t="s">
        <v>10758</v>
      </c>
    </row>
    <row r="2795" spans="1:13" x14ac:dyDescent="0.35">
      <c r="A2795" s="49" t="s">
        <v>10759</v>
      </c>
      <c r="B2795" s="49" t="s">
        <v>10760</v>
      </c>
      <c r="C2795" s="49" t="s">
        <v>686</v>
      </c>
      <c r="D2795" s="49" t="s">
        <v>1264</v>
      </c>
      <c r="E2795" s="49" t="s">
        <v>2774</v>
      </c>
      <c r="F2795" s="49" t="s">
        <v>3598</v>
      </c>
      <c r="G2795" s="49" t="s">
        <v>2776</v>
      </c>
      <c r="H2795" s="49" t="s">
        <v>2827</v>
      </c>
      <c r="I2795" s="50">
        <v>41649</v>
      </c>
      <c r="M2795" s="49" t="s">
        <v>10761</v>
      </c>
    </row>
    <row r="2796" spans="1:13" x14ac:dyDescent="0.35">
      <c r="A2796" s="49" t="s">
        <v>10762</v>
      </c>
      <c r="C2796" s="49" t="s">
        <v>3568</v>
      </c>
      <c r="D2796" s="49" t="s">
        <v>1264</v>
      </c>
      <c r="E2796" s="49" t="s">
        <v>2908</v>
      </c>
      <c r="F2796" s="49" t="s">
        <v>2939</v>
      </c>
      <c r="G2796" s="49" t="s">
        <v>2776</v>
      </c>
      <c r="H2796" s="49" t="s">
        <v>980</v>
      </c>
      <c r="I2796" s="50">
        <v>41970</v>
      </c>
      <c r="M2796" s="49" t="s">
        <v>9690</v>
      </c>
    </row>
    <row r="2797" spans="1:13" x14ac:dyDescent="0.35">
      <c r="A2797" s="49" t="s">
        <v>10763</v>
      </c>
      <c r="C2797" s="49" t="s">
        <v>7810</v>
      </c>
      <c r="D2797" s="49" t="s">
        <v>1264</v>
      </c>
      <c r="E2797" s="49" t="s">
        <v>2774</v>
      </c>
      <c r="F2797" s="49" t="s">
        <v>2825</v>
      </c>
      <c r="G2797" s="49" t="s">
        <v>2776</v>
      </c>
      <c r="H2797" s="49" t="s">
        <v>2827</v>
      </c>
      <c r="I2797" s="50">
        <v>41884</v>
      </c>
      <c r="M2797" s="49" t="s">
        <v>10764</v>
      </c>
    </row>
    <row r="2798" spans="1:13" x14ac:dyDescent="0.35">
      <c r="A2798" s="49" t="s">
        <v>10765</v>
      </c>
      <c r="C2798" s="49" t="s">
        <v>3265</v>
      </c>
      <c r="D2798" s="49" t="s">
        <v>1264</v>
      </c>
      <c r="E2798" s="49" t="s">
        <v>2974</v>
      </c>
      <c r="F2798" s="49" t="s">
        <v>3188</v>
      </c>
      <c r="G2798" s="49" t="s">
        <v>2776</v>
      </c>
      <c r="H2798" s="49" t="s">
        <v>973</v>
      </c>
      <c r="I2798" s="50">
        <v>41859</v>
      </c>
      <c r="M2798" s="49" t="s">
        <v>3910</v>
      </c>
    </row>
    <row r="2799" spans="1:13" x14ac:dyDescent="0.35">
      <c r="A2799" s="49" t="s">
        <v>10766</v>
      </c>
      <c r="C2799" s="49" t="s">
        <v>10767</v>
      </c>
      <c r="D2799" s="49" t="s">
        <v>1264</v>
      </c>
      <c r="E2799" s="49" t="s">
        <v>2774</v>
      </c>
      <c r="F2799" s="49" t="s">
        <v>3648</v>
      </c>
      <c r="G2799" s="49" t="s">
        <v>2776</v>
      </c>
      <c r="H2799" s="49" t="s">
        <v>3229</v>
      </c>
      <c r="I2799" s="50">
        <v>41648</v>
      </c>
      <c r="M2799" s="49" t="s">
        <v>10768</v>
      </c>
    </row>
    <row r="2800" spans="1:13" x14ac:dyDescent="0.35">
      <c r="A2800" s="49" t="s">
        <v>10769</v>
      </c>
      <c r="C2800" s="49" t="s">
        <v>10770</v>
      </c>
      <c r="D2800" s="49" t="s">
        <v>1264</v>
      </c>
      <c r="E2800" s="49" t="s">
        <v>2908</v>
      </c>
      <c r="F2800" s="49" t="s">
        <v>3010</v>
      </c>
      <c r="G2800" s="49" t="s">
        <v>2776</v>
      </c>
      <c r="H2800" s="49" t="s">
        <v>973</v>
      </c>
      <c r="I2800" s="50">
        <v>41481</v>
      </c>
      <c r="M2800" s="49" t="s">
        <v>10771</v>
      </c>
    </row>
    <row r="2801" spans="1:13" x14ac:dyDescent="0.35">
      <c r="A2801" s="49" t="s">
        <v>10772</v>
      </c>
      <c r="C2801" s="49" t="s">
        <v>10773</v>
      </c>
      <c r="D2801" s="49" t="s">
        <v>1264</v>
      </c>
      <c r="E2801" s="49" t="s">
        <v>7057</v>
      </c>
      <c r="F2801" s="49" t="s">
        <v>2825</v>
      </c>
      <c r="G2801" s="49" t="s">
        <v>2776</v>
      </c>
      <c r="H2801" s="49" t="s">
        <v>2827</v>
      </c>
      <c r="I2801" s="50">
        <v>41437</v>
      </c>
      <c r="M2801" s="49" t="s">
        <v>10774</v>
      </c>
    </row>
    <row r="2802" spans="1:13" x14ac:dyDescent="0.35">
      <c r="A2802" s="49" t="s">
        <v>10775</v>
      </c>
      <c r="C2802" s="49" t="s">
        <v>8221</v>
      </c>
      <c r="D2802" s="49" t="s">
        <v>1264</v>
      </c>
      <c r="E2802" s="49" t="s">
        <v>2974</v>
      </c>
      <c r="F2802" s="49" t="s">
        <v>2825</v>
      </c>
      <c r="G2802" s="49" t="s">
        <v>2776</v>
      </c>
      <c r="H2802" s="49" t="s">
        <v>2827</v>
      </c>
      <c r="I2802" s="50">
        <v>41835</v>
      </c>
      <c r="M2802" s="49" t="s">
        <v>3910</v>
      </c>
    </row>
    <row r="2803" spans="1:13" x14ac:dyDescent="0.35">
      <c r="A2803" s="49" t="s">
        <v>10776</v>
      </c>
      <c r="C2803" s="49" t="s">
        <v>10777</v>
      </c>
      <c r="D2803" s="49" t="s">
        <v>1264</v>
      </c>
      <c r="E2803" s="49" t="s">
        <v>2908</v>
      </c>
      <c r="F2803" s="49" t="s">
        <v>2939</v>
      </c>
      <c r="G2803" s="49" t="s">
        <v>2776</v>
      </c>
      <c r="H2803" s="49" t="s">
        <v>980</v>
      </c>
      <c r="I2803" s="50">
        <v>42020</v>
      </c>
      <c r="M2803" s="49" t="s">
        <v>10778</v>
      </c>
    </row>
    <row r="2804" spans="1:13" x14ac:dyDescent="0.35">
      <c r="A2804" s="49" t="s">
        <v>10779</v>
      </c>
      <c r="B2804" s="49" t="s">
        <v>10780</v>
      </c>
      <c r="C2804" s="49" t="s">
        <v>3620</v>
      </c>
      <c r="D2804" s="49" t="s">
        <v>1264</v>
      </c>
      <c r="E2804" s="49" t="s">
        <v>2908</v>
      </c>
      <c r="F2804" s="49" t="s">
        <v>2939</v>
      </c>
      <c r="G2804" s="49" t="s">
        <v>2776</v>
      </c>
      <c r="H2804" s="49" t="s">
        <v>980</v>
      </c>
      <c r="I2804" s="50">
        <v>41523</v>
      </c>
      <c r="M2804" s="49" t="s">
        <v>10781</v>
      </c>
    </row>
    <row r="2805" spans="1:13" x14ac:dyDescent="0.35">
      <c r="A2805" s="49" t="s">
        <v>10782</v>
      </c>
      <c r="C2805" s="49" t="s">
        <v>3713</v>
      </c>
      <c r="D2805" s="49" t="s">
        <v>1264</v>
      </c>
      <c r="E2805" s="49" t="s">
        <v>2908</v>
      </c>
      <c r="F2805" s="49" t="s">
        <v>2939</v>
      </c>
      <c r="G2805" s="49" t="s">
        <v>2776</v>
      </c>
      <c r="H2805" s="49" t="s">
        <v>980</v>
      </c>
      <c r="I2805" s="50">
        <v>41872</v>
      </c>
      <c r="M2805" s="49" t="s">
        <v>10783</v>
      </c>
    </row>
    <row r="2806" spans="1:13" x14ac:dyDescent="0.35">
      <c r="A2806" s="49" t="s">
        <v>10784</v>
      </c>
      <c r="B2806" s="49" t="s">
        <v>3894</v>
      </c>
      <c r="C2806" s="49" t="s">
        <v>10118</v>
      </c>
      <c r="D2806" s="49" t="s">
        <v>1264</v>
      </c>
      <c r="E2806" s="49" t="s">
        <v>2908</v>
      </c>
      <c r="F2806" s="49" t="s">
        <v>3010</v>
      </c>
      <c r="G2806" s="49" t="s">
        <v>2776</v>
      </c>
      <c r="H2806" s="49" t="s">
        <v>980</v>
      </c>
      <c r="I2806" s="50">
        <v>41842</v>
      </c>
      <c r="M2806" s="49" t="s">
        <v>10785</v>
      </c>
    </row>
    <row r="2807" spans="1:13" x14ac:dyDescent="0.35">
      <c r="A2807" s="49" t="s">
        <v>10786</v>
      </c>
      <c r="B2807" s="49" t="s">
        <v>4025</v>
      </c>
      <c r="C2807" s="49" t="s">
        <v>8527</v>
      </c>
      <c r="D2807" s="49" t="s">
        <v>1264</v>
      </c>
      <c r="E2807" s="49" t="s">
        <v>2785</v>
      </c>
      <c r="F2807" s="49" t="s">
        <v>2792</v>
      </c>
      <c r="G2807" s="49" t="s">
        <v>2776</v>
      </c>
      <c r="H2807" s="49" t="s">
        <v>8</v>
      </c>
      <c r="I2807" s="50">
        <v>41551</v>
      </c>
      <c r="M2807" s="49" t="s">
        <v>7920</v>
      </c>
    </row>
    <row r="2808" spans="1:13" x14ac:dyDescent="0.35">
      <c r="A2808" s="49" t="s">
        <v>10787</v>
      </c>
      <c r="C2808" s="49" t="s">
        <v>10788</v>
      </c>
      <c r="D2808" s="49" t="s">
        <v>1264</v>
      </c>
      <c r="E2808" s="49" t="s">
        <v>2908</v>
      </c>
      <c r="F2808" s="49" t="s">
        <v>2837</v>
      </c>
      <c r="G2808" s="49" t="s">
        <v>2776</v>
      </c>
      <c r="H2808" s="49" t="s">
        <v>2827</v>
      </c>
      <c r="I2808" s="50">
        <v>41573</v>
      </c>
      <c r="M2808" s="49" t="s">
        <v>3876</v>
      </c>
    </row>
    <row r="2809" spans="1:13" x14ac:dyDescent="0.35">
      <c r="A2809" s="49" t="s">
        <v>10789</v>
      </c>
      <c r="C2809" s="49" t="s">
        <v>8437</v>
      </c>
      <c r="D2809" s="49" t="s">
        <v>1264</v>
      </c>
      <c r="E2809" s="49" t="s">
        <v>2814</v>
      </c>
      <c r="F2809" s="49" t="s">
        <v>2825</v>
      </c>
      <c r="G2809" s="49" t="s">
        <v>2826</v>
      </c>
      <c r="H2809" s="49" t="s">
        <v>2827</v>
      </c>
      <c r="I2809" s="50">
        <v>41556</v>
      </c>
      <c r="M2809" s="49" t="s">
        <v>10790</v>
      </c>
    </row>
    <row r="2810" spans="1:13" x14ac:dyDescent="0.35">
      <c r="A2810" s="49" t="s">
        <v>10791</v>
      </c>
      <c r="C2810" s="49" t="s">
        <v>10792</v>
      </c>
      <c r="D2810" s="49" t="s">
        <v>1264</v>
      </c>
      <c r="E2810" s="49" t="s">
        <v>2814</v>
      </c>
      <c r="F2810" s="49" t="s">
        <v>2775</v>
      </c>
      <c r="G2810" s="49" t="s">
        <v>2776</v>
      </c>
      <c r="H2810" s="49" t="s">
        <v>3229</v>
      </c>
      <c r="I2810" s="50">
        <v>40534</v>
      </c>
      <c r="M2810" s="49" t="s">
        <v>2777</v>
      </c>
    </row>
    <row r="2811" spans="1:13" x14ac:dyDescent="0.35">
      <c r="A2811" s="49" t="s">
        <v>10793</v>
      </c>
      <c r="C2811" s="49" t="s">
        <v>10792</v>
      </c>
      <c r="D2811" s="49" t="s">
        <v>1264</v>
      </c>
      <c r="E2811" s="49" t="s">
        <v>2814</v>
      </c>
      <c r="F2811" s="49" t="s">
        <v>2900</v>
      </c>
      <c r="G2811" s="49" t="s">
        <v>2787</v>
      </c>
      <c r="H2811" s="49" t="s">
        <v>3229</v>
      </c>
      <c r="I2811" s="50">
        <v>40534</v>
      </c>
      <c r="M2811" s="49" t="s">
        <v>10794</v>
      </c>
    </row>
    <row r="2812" spans="1:13" x14ac:dyDescent="0.35">
      <c r="A2812" s="49" t="s">
        <v>10795</v>
      </c>
      <c r="C2812" s="49" t="s">
        <v>8362</v>
      </c>
      <c r="D2812" s="49" t="s">
        <v>1264</v>
      </c>
      <c r="E2812" s="49" t="s">
        <v>2814</v>
      </c>
      <c r="F2812" s="49" t="s">
        <v>2805</v>
      </c>
      <c r="G2812" s="49" t="s">
        <v>2776</v>
      </c>
      <c r="H2812" s="49" t="s">
        <v>3717</v>
      </c>
      <c r="I2812" s="50">
        <v>44294</v>
      </c>
      <c r="M2812" s="49" t="s">
        <v>10796</v>
      </c>
    </row>
    <row r="2813" spans="1:13" x14ac:dyDescent="0.35">
      <c r="A2813" s="49" t="s">
        <v>10797</v>
      </c>
      <c r="C2813" s="49" t="s">
        <v>10798</v>
      </c>
      <c r="D2813" s="49" t="s">
        <v>1264</v>
      </c>
      <c r="E2813" s="49" t="s">
        <v>2785</v>
      </c>
      <c r="F2813" s="49" t="s">
        <v>2786</v>
      </c>
      <c r="G2813" s="49" t="s">
        <v>2776</v>
      </c>
      <c r="H2813" s="49" t="s">
        <v>980</v>
      </c>
      <c r="I2813" s="50">
        <v>44308</v>
      </c>
      <c r="M2813" s="49" t="s">
        <v>6961</v>
      </c>
    </row>
    <row r="2814" spans="1:13" x14ac:dyDescent="0.35">
      <c r="A2814" s="49" t="s">
        <v>10799</v>
      </c>
      <c r="C2814" s="49" t="s">
        <v>4610</v>
      </c>
      <c r="D2814" s="49" t="s">
        <v>1264</v>
      </c>
      <c r="E2814" s="49" t="s">
        <v>2908</v>
      </c>
      <c r="F2814" s="49" t="s">
        <v>10800</v>
      </c>
      <c r="G2814" s="49" t="s">
        <v>2776</v>
      </c>
      <c r="H2814" s="49" t="s">
        <v>980</v>
      </c>
      <c r="I2814" s="50">
        <v>44320</v>
      </c>
      <c r="M2814" s="49" t="s">
        <v>10801</v>
      </c>
    </row>
    <row r="2815" spans="1:13" x14ac:dyDescent="0.35">
      <c r="A2815" s="49" t="s">
        <v>10802</v>
      </c>
      <c r="C2815" s="49" t="s">
        <v>2973</v>
      </c>
      <c r="D2815" s="49" t="s">
        <v>1264</v>
      </c>
      <c r="E2815" s="49" t="s">
        <v>2974</v>
      </c>
      <c r="F2815" s="49" t="s">
        <v>2825</v>
      </c>
      <c r="G2815" s="49" t="s">
        <v>2776</v>
      </c>
      <c r="H2815" s="49" t="s">
        <v>2827</v>
      </c>
      <c r="I2815" s="50">
        <v>44301</v>
      </c>
      <c r="M2815" s="49" t="s">
        <v>4368</v>
      </c>
    </row>
    <row r="2816" spans="1:13" x14ac:dyDescent="0.35">
      <c r="A2816" s="49" t="s">
        <v>10803</v>
      </c>
      <c r="C2816" s="49" t="s">
        <v>3693</v>
      </c>
      <c r="D2816" s="49" t="s">
        <v>1264</v>
      </c>
      <c r="E2816" s="49" t="s">
        <v>2814</v>
      </c>
      <c r="F2816" s="49" t="s">
        <v>2837</v>
      </c>
      <c r="G2816" s="49" t="s">
        <v>2776</v>
      </c>
      <c r="H2816" s="49" t="s">
        <v>2827</v>
      </c>
      <c r="I2816" s="50">
        <v>44319</v>
      </c>
      <c r="M2816" s="49" t="s">
        <v>10804</v>
      </c>
    </row>
    <row r="2817" spans="1:13" x14ac:dyDescent="0.35">
      <c r="A2817" s="49" t="s">
        <v>10805</v>
      </c>
      <c r="C2817" s="49" t="s">
        <v>10806</v>
      </c>
      <c r="D2817" s="49" t="s">
        <v>1264</v>
      </c>
      <c r="E2817" s="49" t="s">
        <v>2785</v>
      </c>
      <c r="F2817" s="49" t="s">
        <v>2792</v>
      </c>
      <c r="G2817" s="49" t="s">
        <v>2776</v>
      </c>
      <c r="H2817" s="49" t="s">
        <v>980</v>
      </c>
      <c r="I2817" s="50">
        <v>44187</v>
      </c>
      <c r="M2817" s="49" t="s">
        <v>10807</v>
      </c>
    </row>
    <row r="2818" spans="1:13" x14ac:dyDescent="0.35">
      <c r="A2818" s="49" t="s">
        <v>10808</v>
      </c>
      <c r="B2818" s="49" t="s">
        <v>10809</v>
      </c>
      <c r="C2818" s="49" t="s">
        <v>10810</v>
      </c>
      <c r="D2818" s="49" t="s">
        <v>1264</v>
      </c>
      <c r="E2818" s="49" t="s">
        <v>2986</v>
      </c>
      <c r="F2818" s="49" t="s">
        <v>2825</v>
      </c>
      <c r="G2818" s="49" t="s">
        <v>4891</v>
      </c>
      <c r="H2818" s="49" t="s">
        <v>2827</v>
      </c>
      <c r="I2818" s="50">
        <v>44239</v>
      </c>
      <c r="M2818" s="49" t="s">
        <v>10087</v>
      </c>
    </row>
    <row r="2819" spans="1:13" x14ac:dyDescent="0.35">
      <c r="A2819" s="49" t="s">
        <v>10811</v>
      </c>
      <c r="C2819" s="49" t="s">
        <v>10054</v>
      </c>
      <c r="D2819" s="49" t="s">
        <v>1264</v>
      </c>
      <c r="E2819" s="49" t="s">
        <v>2814</v>
      </c>
      <c r="F2819" s="49" t="s">
        <v>2825</v>
      </c>
      <c r="G2819" s="49" t="s">
        <v>2776</v>
      </c>
      <c r="H2819" s="49" t="s">
        <v>2827</v>
      </c>
      <c r="I2819" s="50">
        <v>44343</v>
      </c>
      <c r="M2819" s="49" t="s">
        <v>10812</v>
      </c>
    </row>
    <row r="2820" spans="1:13" x14ac:dyDescent="0.35">
      <c r="A2820" s="49" t="s">
        <v>10813</v>
      </c>
      <c r="C2820" s="49" t="s">
        <v>4977</v>
      </c>
      <c r="D2820" s="49" t="s">
        <v>1264</v>
      </c>
      <c r="E2820" s="49" t="s">
        <v>2814</v>
      </c>
      <c r="F2820" s="49" t="s">
        <v>2837</v>
      </c>
      <c r="G2820" s="49" t="s">
        <v>2776</v>
      </c>
      <c r="H2820" s="49" t="s">
        <v>2827</v>
      </c>
      <c r="I2820" s="50">
        <v>44258</v>
      </c>
      <c r="M2820" s="49" t="s">
        <v>10814</v>
      </c>
    </row>
    <row r="2821" spans="1:13" x14ac:dyDescent="0.35">
      <c r="A2821" s="49" t="s">
        <v>10815</v>
      </c>
      <c r="C2821" s="49" t="s">
        <v>2824</v>
      </c>
      <c r="D2821" s="49" t="s">
        <v>1264</v>
      </c>
      <c r="E2821" s="49" t="s">
        <v>2814</v>
      </c>
      <c r="F2821" s="49" t="s">
        <v>2825</v>
      </c>
      <c r="G2821" s="49" t="s">
        <v>2826</v>
      </c>
      <c r="H2821" s="49" t="s">
        <v>2827</v>
      </c>
      <c r="I2821" s="50">
        <v>44357</v>
      </c>
      <c r="M2821" s="49" t="s">
        <v>10816</v>
      </c>
    </row>
    <row r="2822" spans="1:13" x14ac:dyDescent="0.35">
      <c r="A2822" s="49" t="s">
        <v>10817</v>
      </c>
      <c r="B2822" s="49" t="s">
        <v>4565</v>
      </c>
      <c r="C2822" s="49" t="s">
        <v>4610</v>
      </c>
      <c r="D2822" s="49" t="s">
        <v>1264</v>
      </c>
      <c r="E2822" s="49" t="s">
        <v>2814</v>
      </c>
      <c r="F2822" s="49" t="s">
        <v>10818</v>
      </c>
      <c r="G2822" s="49" t="s">
        <v>2776</v>
      </c>
      <c r="H2822" s="49" t="s">
        <v>980</v>
      </c>
      <c r="I2822" s="50">
        <v>44364</v>
      </c>
      <c r="M2822" s="49" t="s">
        <v>10819</v>
      </c>
    </row>
    <row r="2823" spans="1:13" x14ac:dyDescent="0.35">
      <c r="A2823" s="49" t="s">
        <v>10820</v>
      </c>
      <c r="C2823" s="49" t="s">
        <v>2824</v>
      </c>
      <c r="D2823" s="49" t="s">
        <v>1264</v>
      </c>
      <c r="E2823" s="49" t="s">
        <v>2814</v>
      </c>
      <c r="F2823" s="49" t="s">
        <v>2825</v>
      </c>
      <c r="G2823" s="49" t="s">
        <v>2776</v>
      </c>
      <c r="H2823" s="49" t="s">
        <v>2827</v>
      </c>
      <c r="I2823" s="50">
        <v>44357</v>
      </c>
      <c r="M2823" s="49" t="s">
        <v>10816</v>
      </c>
    </row>
    <row r="2824" spans="1:13" x14ac:dyDescent="0.35">
      <c r="A2824" s="49" t="s">
        <v>10821</v>
      </c>
      <c r="B2824" s="49" t="s">
        <v>10083</v>
      </c>
      <c r="C2824" s="49" t="s">
        <v>10822</v>
      </c>
      <c r="D2824" s="49" t="s">
        <v>1264</v>
      </c>
      <c r="E2824" s="49" t="s">
        <v>2986</v>
      </c>
      <c r="F2824" s="49" t="s">
        <v>2825</v>
      </c>
      <c r="G2824" s="49" t="s">
        <v>2776</v>
      </c>
      <c r="H2824" s="49" t="s">
        <v>2827</v>
      </c>
      <c r="I2824" s="50">
        <v>44368</v>
      </c>
      <c r="M2824" s="49" t="s">
        <v>10823</v>
      </c>
    </row>
    <row r="2825" spans="1:13" x14ac:dyDescent="0.35">
      <c r="A2825" s="49" t="s">
        <v>10824</v>
      </c>
      <c r="C2825" s="49" t="s">
        <v>10825</v>
      </c>
      <c r="D2825" s="49" t="s">
        <v>1264</v>
      </c>
      <c r="E2825" s="49" t="s">
        <v>2814</v>
      </c>
      <c r="F2825" s="49" t="s">
        <v>2825</v>
      </c>
      <c r="G2825" s="49" t="s">
        <v>2776</v>
      </c>
      <c r="H2825" s="49" t="s">
        <v>2827</v>
      </c>
      <c r="I2825" s="50">
        <v>44362</v>
      </c>
      <c r="M2825" s="49" t="s">
        <v>10826</v>
      </c>
    </row>
    <row r="2826" spans="1:13" x14ac:dyDescent="0.35">
      <c r="A2826" s="49" t="s">
        <v>10827</v>
      </c>
      <c r="C2826" s="49" t="s">
        <v>2973</v>
      </c>
      <c r="D2826" s="49" t="s">
        <v>1264</v>
      </c>
      <c r="E2826" s="49" t="s">
        <v>2814</v>
      </c>
      <c r="F2826" s="49" t="s">
        <v>2837</v>
      </c>
      <c r="G2826" s="49" t="s">
        <v>2776</v>
      </c>
      <c r="H2826" s="49" t="s">
        <v>980</v>
      </c>
      <c r="I2826" s="50">
        <v>44294</v>
      </c>
      <c r="M2826" s="49" t="s">
        <v>10828</v>
      </c>
    </row>
    <row r="2827" spans="1:13" x14ac:dyDescent="0.35">
      <c r="A2827" s="49" t="s">
        <v>10829</v>
      </c>
      <c r="B2827" s="49" t="s">
        <v>7361</v>
      </c>
      <c r="C2827" s="49" t="s">
        <v>10830</v>
      </c>
      <c r="D2827" s="49" t="s">
        <v>1264</v>
      </c>
      <c r="E2827" s="49" t="s">
        <v>2814</v>
      </c>
      <c r="F2827" s="49" t="s">
        <v>2837</v>
      </c>
      <c r="G2827" s="49" t="s">
        <v>2776</v>
      </c>
      <c r="H2827" s="49" t="s">
        <v>980</v>
      </c>
      <c r="I2827" s="50">
        <v>44383</v>
      </c>
      <c r="M2827" s="49" t="s">
        <v>10831</v>
      </c>
    </row>
    <row r="2828" spans="1:13" x14ac:dyDescent="0.35">
      <c r="A2828" s="49" t="s">
        <v>10832</v>
      </c>
      <c r="B2828" s="49" t="s">
        <v>10833</v>
      </c>
      <c r="C2828" s="49" t="s">
        <v>10834</v>
      </c>
      <c r="D2828" s="49" t="s">
        <v>1264</v>
      </c>
      <c r="E2828" s="49" t="s">
        <v>2814</v>
      </c>
      <c r="F2828" s="49" t="s">
        <v>2825</v>
      </c>
      <c r="G2828" s="49" t="s">
        <v>2776</v>
      </c>
      <c r="H2828" s="49" t="s">
        <v>2827</v>
      </c>
      <c r="I2828" s="50">
        <v>44384</v>
      </c>
      <c r="M2828" s="49" t="s">
        <v>10835</v>
      </c>
    </row>
    <row r="2829" spans="1:13" x14ac:dyDescent="0.35">
      <c r="A2829" s="49" t="s">
        <v>10836</v>
      </c>
      <c r="B2829" s="49" t="s">
        <v>4583</v>
      </c>
      <c r="C2829" s="49" t="s">
        <v>2997</v>
      </c>
      <c r="D2829" s="49" t="s">
        <v>1264</v>
      </c>
      <c r="E2829" s="49" t="s">
        <v>2814</v>
      </c>
      <c r="F2829" s="49" t="s">
        <v>2939</v>
      </c>
      <c r="G2829" s="49" t="s">
        <v>2776</v>
      </c>
      <c r="H2829" s="49" t="s">
        <v>980</v>
      </c>
      <c r="I2829" s="50">
        <v>44404</v>
      </c>
      <c r="M2829" s="49" t="s">
        <v>10837</v>
      </c>
    </row>
    <row r="2830" spans="1:13" x14ac:dyDescent="0.35">
      <c r="A2830" s="49" t="s">
        <v>10838</v>
      </c>
      <c r="B2830" s="49" t="s">
        <v>10839</v>
      </c>
      <c r="C2830" s="49" t="s">
        <v>2997</v>
      </c>
      <c r="D2830" s="49" t="s">
        <v>1264</v>
      </c>
      <c r="E2830" s="49" t="s">
        <v>2814</v>
      </c>
      <c r="F2830" s="49" t="s">
        <v>2939</v>
      </c>
      <c r="G2830" s="49" t="s">
        <v>2776</v>
      </c>
      <c r="H2830" s="49" t="s">
        <v>980</v>
      </c>
      <c r="I2830" s="50">
        <v>44404</v>
      </c>
      <c r="M2830" s="49" t="s">
        <v>10840</v>
      </c>
    </row>
    <row r="2831" spans="1:13" x14ac:dyDescent="0.35">
      <c r="A2831" s="49" t="s">
        <v>10841</v>
      </c>
      <c r="B2831" s="49" t="s">
        <v>3218</v>
      </c>
      <c r="C2831" s="49" t="s">
        <v>2997</v>
      </c>
      <c r="D2831" s="49" t="s">
        <v>1264</v>
      </c>
      <c r="E2831" s="49" t="s">
        <v>2814</v>
      </c>
      <c r="F2831" s="49" t="s">
        <v>4611</v>
      </c>
      <c r="G2831" s="49" t="s">
        <v>2776</v>
      </c>
      <c r="H2831" s="49" t="s">
        <v>980</v>
      </c>
      <c r="I2831" s="50">
        <v>44404</v>
      </c>
      <c r="M2831" s="49" t="s">
        <v>10842</v>
      </c>
    </row>
    <row r="2832" spans="1:13" x14ac:dyDescent="0.35">
      <c r="A2832" s="49" t="s">
        <v>10843</v>
      </c>
      <c r="B2832" s="49" t="s">
        <v>10844</v>
      </c>
      <c r="C2832" s="49" t="s">
        <v>2997</v>
      </c>
      <c r="D2832" s="49" t="s">
        <v>1264</v>
      </c>
      <c r="E2832" s="49" t="s">
        <v>2814</v>
      </c>
      <c r="F2832" s="49" t="s">
        <v>4611</v>
      </c>
      <c r="G2832" s="49" t="s">
        <v>2776</v>
      </c>
      <c r="H2832" s="49" t="s">
        <v>980</v>
      </c>
      <c r="I2832" s="50">
        <v>44404</v>
      </c>
      <c r="M2832" s="49" t="s">
        <v>10845</v>
      </c>
    </row>
    <row r="2833" spans="1:13" x14ac:dyDescent="0.35">
      <c r="A2833" s="49" t="s">
        <v>10846</v>
      </c>
      <c r="B2833" s="49" t="s">
        <v>4262</v>
      </c>
      <c r="C2833" s="49" t="s">
        <v>2997</v>
      </c>
      <c r="D2833" s="49" t="s">
        <v>1264</v>
      </c>
      <c r="E2833" s="49" t="s">
        <v>2814</v>
      </c>
      <c r="F2833" s="49" t="s">
        <v>2805</v>
      </c>
      <c r="G2833" s="49" t="s">
        <v>2776</v>
      </c>
      <c r="H2833" s="49" t="s">
        <v>973</v>
      </c>
      <c r="I2833" s="50">
        <v>44404</v>
      </c>
      <c r="M2833" s="49" t="s">
        <v>10847</v>
      </c>
    </row>
    <row r="2834" spans="1:13" x14ac:dyDescent="0.35">
      <c r="A2834" s="49" t="s">
        <v>10848</v>
      </c>
      <c r="B2834" s="49" t="s">
        <v>10849</v>
      </c>
      <c r="C2834" s="49" t="s">
        <v>3280</v>
      </c>
      <c r="D2834" s="49" t="s">
        <v>1264</v>
      </c>
      <c r="E2834" s="49" t="s">
        <v>3281</v>
      </c>
      <c r="F2834" s="49" t="s">
        <v>2825</v>
      </c>
      <c r="G2834" s="49" t="s">
        <v>4891</v>
      </c>
      <c r="H2834" s="49" t="s">
        <v>2827</v>
      </c>
      <c r="I2834" s="50">
        <v>44414</v>
      </c>
      <c r="M2834" s="49" t="s">
        <v>10850</v>
      </c>
    </row>
    <row r="2835" spans="1:13" x14ac:dyDescent="0.35">
      <c r="A2835" s="49" t="s">
        <v>10851</v>
      </c>
      <c r="B2835" s="49" t="s">
        <v>6982</v>
      </c>
      <c r="C2835" s="49" t="s">
        <v>4483</v>
      </c>
      <c r="D2835" s="49" t="s">
        <v>1264</v>
      </c>
      <c r="E2835" s="49" t="s">
        <v>2785</v>
      </c>
      <c r="F2835" s="49" t="s">
        <v>2792</v>
      </c>
      <c r="G2835" s="49" t="s">
        <v>2826</v>
      </c>
      <c r="H2835" s="49" t="s">
        <v>8</v>
      </c>
      <c r="I2835" s="50">
        <v>44372</v>
      </c>
      <c r="M2835" s="49" t="s">
        <v>4484</v>
      </c>
    </row>
    <row r="2836" spans="1:13" x14ac:dyDescent="0.35">
      <c r="A2836" s="49" t="s">
        <v>10852</v>
      </c>
      <c r="B2836" s="49" t="s">
        <v>10853</v>
      </c>
      <c r="C2836" s="49" t="s">
        <v>10854</v>
      </c>
      <c r="D2836" s="49" t="s">
        <v>1264</v>
      </c>
      <c r="E2836" s="49" t="s">
        <v>2774</v>
      </c>
      <c r="F2836" s="49" t="s">
        <v>2825</v>
      </c>
      <c r="G2836" s="49" t="s">
        <v>2826</v>
      </c>
      <c r="H2836" s="49" t="s">
        <v>2827</v>
      </c>
      <c r="I2836" s="50">
        <v>44406</v>
      </c>
      <c r="M2836" s="49" t="s">
        <v>10855</v>
      </c>
    </row>
    <row r="2837" spans="1:13" x14ac:dyDescent="0.35">
      <c r="A2837" s="49" t="s">
        <v>10856</v>
      </c>
      <c r="B2837" s="49" t="s">
        <v>8963</v>
      </c>
      <c r="C2837" s="49" t="s">
        <v>4412</v>
      </c>
      <c r="D2837" s="49" t="s">
        <v>1264</v>
      </c>
      <c r="E2837" s="49" t="s">
        <v>2814</v>
      </c>
      <c r="F2837" s="49" t="s">
        <v>2837</v>
      </c>
      <c r="G2837" s="49" t="s">
        <v>2776</v>
      </c>
      <c r="H2837" s="49" t="s">
        <v>8</v>
      </c>
      <c r="I2837" s="50">
        <v>44432</v>
      </c>
      <c r="M2837" s="49" t="s">
        <v>10857</v>
      </c>
    </row>
    <row r="2838" spans="1:13" x14ac:dyDescent="0.35">
      <c r="A2838" s="49" t="s">
        <v>10858</v>
      </c>
      <c r="B2838" s="49" t="s">
        <v>3776</v>
      </c>
      <c r="C2838" s="49" t="s">
        <v>4152</v>
      </c>
      <c r="D2838" s="49" t="s">
        <v>1264</v>
      </c>
      <c r="E2838" s="49" t="s">
        <v>2908</v>
      </c>
      <c r="F2838" s="49" t="s">
        <v>2837</v>
      </c>
      <c r="G2838" s="49" t="s">
        <v>4891</v>
      </c>
      <c r="H2838" s="49" t="s">
        <v>973</v>
      </c>
      <c r="I2838" s="50">
        <v>44420</v>
      </c>
      <c r="M2838" s="49" t="s">
        <v>10859</v>
      </c>
    </row>
    <row r="2839" spans="1:13" x14ac:dyDescent="0.35">
      <c r="A2839" s="49" t="s">
        <v>10860</v>
      </c>
      <c r="B2839" s="49" t="s">
        <v>8511</v>
      </c>
      <c r="C2839" s="49" t="s">
        <v>4152</v>
      </c>
      <c r="D2839" s="49" t="s">
        <v>1264</v>
      </c>
      <c r="E2839" s="49" t="s">
        <v>2908</v>
      </c>
      <c r="F2839" s="49" t="s">
        <v>3253</v>
      </c>
      <c r="G2839" s="49" t="s">
        <v>4891</v>
      </c>
      <c r="H2839" s="49" t="s">
        <v>973</v>
      </c>
      <c r="I2839" s="50">
        <v>44424</v>
      </c>
      <c r="M2839" s="49" t="s">
        <v>10861</v>
      </c>
    </row>
    <row r="2840" spans="1:13" x14ac:dyDescent="0.35">
      <c r="A2840" s="49" t="s">
        <v>10862</v>
      </c>
      <c r="B2840" s="49" t="s">
        <v>10863</v>
      </c>
      <c r="C2840" s="49" t="s">
        <v>4805</v>
      </c>
      <c r="D2840" s="49" t="s">
        <v>1264</v>
      </c>
      <c r="E2840" s="49" t="s">
        <v>2774</v>
      </c>
      <c r="F2840" s="49" t="s">
        <v>2900</v>
      </c>
      <c r="G2840" s="49" t="s">
        <v>4330</v>
      </c>
      <c r="H2840" s="49" t="s">
        <v>835</v>
      </c>
      <c r="I2840" s="50">
        <v>44393</v>
      </c>
      <c r="M2840" s="49" t="s">
        <v>10864</v>
      </c>
    </row>
    <row r="2841" spans="1:13" x14ac:dyDescent="0.35">
      <c r="A2841" s="49" t="s">
        <v>10865</v>
      </c>
      <c r="C2841" s="49" t="s">
        <v>10866</v>
      </c>
      <c r="D2841" s="49" t="s">
        <v>1264</v>
      </c>
      <c r="E2841" s="49" t="s">
        <v>2814</v>
      </c>
      <c r="F2841" s="49" t="s">
        <v>2939</v>
      </c>
      <c r="G2841" s="49" t="s">
        <v>2776</v>
      </c>
      <c r="H2841" s="49" t="s">
        <v>980</v>
      </c>
      <c r="I2841" s="50">
        <v>44447</v>
      </c>
      <c r="M2841" s="49" t="s">
        <v>10867</v>
      </c>
    </row>
    <row r="2842" spans="1:13" x14ac:dyDescent="0.35">
      <c r="A2842" s="49" t="s">
        <v>10868</v>
      </c>
      <c r="C2842" s="49" t="s">
        <v>4528</v>
      </c>
      <c r="D2842" s="49" t="s">
        <v>1264</v>
      </c>
      <c r="E2842" s="49" t="s">
        <v>2814</v>
      </c>
      <c r="F2842" s="49" t="s">
        <v>2837</v>
      </c>
      <c r="G2842" s="49" t="s">
        <v>2776</v>
      </c>
      <c r="H2842" s="49" t="s">
        <v>980</v>
      </c>
      <c r="I2842" s="50">
        <v>44421</v>
      </c>
      <c r="M2842" s="49" t="s">
        <v>4529</v>
      </c>
    </row>
    <row r="2843" spans="1:13" x14ac:dyDescent="0.35">
      <c r="A2843" s="49" t="s">
        <v>10869</v>
      </c>
      <c r="C2843" s="49" t="s">
        <v>4725</v>
      </c>
      <c r="D2843" s="49" t="s">
        <v>1264</v>
      </c>
      <c r="E2843" s="49" t="s">
        <v>2814</v>
      </c>
      <c r="F2843" s="49" t="s">
        <v>2939</v>
      </c>
      <c r="G2843" s="49" t="s">
        <v>2826</v>
      </c>
      <c r="H2843" s="49" t="s">
        <v>980</v>
      </c>
      <c r="I2843" s="50">
        <v>44455</v>
      </c>
      <c r="M2843" s="49" t="s">
        <v>10870</v>
      </c>
    </row>
    <row r="2844" spans="1:13" x14ac:dyDescent="0.35">
      <c r="A2844" s="49" t="s">
        <v>10871</v>
      </c>
      <c r="C2844" s="49" t="s">
        <v>10872</v>
      </c>
      <c r="D2844" s="49" t="s">
        <v>1264</v>
      </c>
      <c r="E2844" s="49" t="s">
        <v>2974</v>
      </c>
      <c r="F2844" s="49" t="s">
        <v>2900</v>
      </c>
      <c r="G2844" s="49" t="s">
        <v>2826</v>
      </c>
      <c r="H2844" s="49" t="s">
        <v>2832</v>
      </c>
      <c r="I2844" s="50">
        <v>44447</v>
      </c>
      <c r="M2844" s="49" t="s">
        <v>5612</v>
      </c>
    </row>
    <row r="2845" spans="1:13" x14ac:dyDescent="0.35">
      <c r="A2845" s="49" t="s">
        <v>10873</v>
      </c>
      <c r="C2845" s="49" t="s">
        <v>6609</v>
      </c>
      <c r="D2845" s="49" t="s">
        <v>1264</v>
      </c>
      <c r="E2845" s="49" t="s">
        <v>2974</v>
      </c>
      <c r="F2845" s="49" t="s">
        <v>2775</v>
      </c>
      <c r="G2845" s="49" t="s">
        <v>2826</v>
      </c>
      <c r="H2845" s="49" t="s">
        <v>980</v>
      </c>
      <c r="I2845" s="50">
        <v>44447</v>
      </c>
      <c r="M2845" s="49" t="s">
        <v>7978</v>
      </c>
    </row>
    <row r="2846" spans="1:13" x14ac:dyDescent="0.35">
      <c r="A2846" s="49" t="s">
        <v>10874</v>
      </c>
      <c r="C2846" s="49" t="s">
        <v>4525</v>
      </c>
      <c r="D2846" s="49" t="s">
        <v>1264</v>
      </c>
      <c r="E2846" s="49" t="s">
        <v>2974</v>
      </c>
      <c r="F2846" s="49" t="s">
        <v>2775</v>
      </c>
      <c r="G2846" s="49" t="s">
        <v>2826</v>
      </c>
      <c r="H2846" s="49" t="s">
        <v>980</v>
      </c>
      <c r="I2846" s="50">
        <v>44447</v>
      </c>
      <c r="M2846" s="49" t="s">
        <v>7960</v>
      </c>
    </row>
    <row r="2847" spans="1:13" x14ac:dyDescent="0.35">
      <c r="A2847" s="49" t="s">
        <v>10875</v>
      </c>
      <c r="B2847" s="49" t="s">
        <v>7133</v>
      </c>
      <c r="C2847" s="49" t="s">
        <v>10876</v>
      </c>
      <c r="D2847" s="49" t="s">
        <v>1264</v>
      </c>
      <c r="E2847" s="49" t="s">
        <v>2785</v>
      </c>
      <c r="F2847" s="49" t="s">
        <v>2792</v>
      </c>
      <c r="G2847" s="49" t="s">
        <v>2776</v>
      </c>
      <c r="H2847" s="49" t="s">
        <v>980</v>
      </c>
      <c r="I2847" s="50">
        <v>44495</v>
      </c>
      <c r="M2847" s="49" t="s">
        <v>10877</v>
      </c>
    </row>
    <row r="2848" spans="1:13" x14ac:dyDescent="0.35">
      <c r="A2848" s="49" t="s">
        <v>10878</v>
      </c>
      <c r="B2848" s="49" t="s">
        <v>10879</v>
      </c>
      <c r="C2848" s="49" t="s">
        <v>10880</v>
      </c>
      <c r="D2848" s="49" t="s">
        <v>1264</v>
      </c>
      <c r="E2848" s="49" t="s">
        <v>2986</v>
      </c>
      <c r="F2848" s="49" t="s">
        <v>2825</v>
      </c>
      <c r="G2848" s="49" t="s">
        <v>2776</v>
      </c>
      <c r="H2848" s="49" t="s">
        <v>2827</v>
      </c>
      <c r="I2848" s="50">
        <v>44496</v>
      </c>
      <c r="M2848" s="49" t="s">
        <v>3270</v>
      </c>
    </row>
    <row r="2849" spans="1:13" x14ac:dyDescent="0.35">
      <c r="A2849" s="49" t="s">
        <v>10881</v>
      </c>
      <c r="C2849" s="49" t="s">
        <v>4650</v>
      </c>
      <c r="D2849" s="49" t="s">
        <v>1264</v>
      </c>
      <c r="E2849" s="49" t="s">
        <v>2814</v>
      </c>
      <c r="F2849" s="49" t="s">
        <v>2939</v>
      </c>
      <c r="G2849" s="49" t="s">
        <v>2776</v>
      </c>
      <c r="H2849" s="49" t="s">
        <v>980</v>
      </c>
      <c r="I2849" s="50">
        <v>44456</v>
      </c>
      <c r="M2849" s="49" t="s">
        <v>10882</v>
      </c>
    </row>
    <row r="2850" spans="1:13" x14ac:dyDescent="0.35">
      <c r="A2850" s="49" t="s">
        <v>10883</v>
      </c>
      <c r="B2850" s="49" t="s">
        <v>10884</v>
      </c>
      <c r="C2850" s="49" t="s">
        <v>4178</v>
      </c>
      <c r="D2850" s="49" t="s">
        <v>1264</v>
      </c>
      <c r="E2850" s="49" t="s">
        <v>2986</v>
      </c>
      <c r="F2850" s="49" t="s">
        <v>2825</v>
      </c>
      <c r="G2850" s="49" t="s">
        <v>2776</v>
      </c>
      <c r="H2850" s="49" t="s">
        <v>2827</v>
      </c>
      <c r="I2850" s="50">
        <v>44527</v>
      </c>
      <c r="M2850" s="49" t="s">
        <v>5051</v>
      </c>
    </row>
    <row r="2851" spans="1:13" x14ac:dyDescent="0.35">
      <c r="A2851" s="49" t="s">
        <v>10885</v>
      </c>
      <c r="B2851" s="49" t="s">
        <v>10886</v>
      </c>
      <c r="C2851" s="49" t="s">
        <v>3180</v>
      </c>
      <c r="D2851" s="49" t="s">
        <v>1264</v>
      </c>
      <c r="E2851" s="49" t="s">
        <v>2986</v>
      </c>
      <c r="F2851" s="49" t="s">
        <v>2825</v>
      </c>
      <c r="G2851" s="49" t="s">
        <v>4891</v>
      </c>
      <c r="H2851" s="49" t="s">
        <v>2827</v>
      </c>
      <c r="I2851" s="50">
        <v>44517</v>
      </c>
      <c r="M2851" s="49" t="s">
        <v>10887</v>
      </c>
    </row>
    <row r="2852" spans="1:13" x14ac:dyDescent="0.35">
      <c r="A2852" s="49" t="s">
        <v>10888</v>
      </c>
      <c r="B2852" s="49" t="s">
        <v>10889</v>
      </c>
      <c r="C2852" s="49" t="s">
        <v>4528</v>
      </c>
      <c r="D2852" s="49" t="s">
        <v>1264</v>
      </c>
      <c r="E2852" s="49" t="s">
        <v>2986</v>
      </c>
      <c r="F2852" s="49" t="s">
        <v>2825</v>
      </c>
      <c r="G2852" s="49" t="s">
        <v>2776</v>
      </c>
      <c r="H2852" s="49" t="s">
        <v>2827</v>
      </c>
      <c r="I2852" s="50">
        <v>44517</v>
      </c>
      <c r="M2852" s="49" t="s">
        <v>10890</v>
      </c>
    </row>
    <row r="2853" spans="1:13" x14ac:dyDescent="0.35">
      <c r="A2853" s="49" t="s">
        <v>10891</v>
      </c>
      <c r="B2853" s="49" t="s">
        <v>10889</v>
      </c>
      <c r="C2853" s="49" t="s">
        <v>10892</v>
      </c>
      <c r="D2853" s="49" t="s">
        <v>1264</v>
      </c>
      <c r="E2853" s="49" t="s">
        <v>2986</v>
      </c>
      <c r="F2853" s="49" t="s">
        <v>2825</v>
      </c>
      <c r="G2853" s="49" t="s">
        <v>2776</v>
      </c>
      <c r="H2853" s="49" t="s">
        <v>2827</v>
      </c>
      <c r="I2853" s="50">
        <v>44518</v>
      </c>
      <c r="M2853" s="49" t="s">
        <v>10893</v>
      </c>
    </row>
    <row r="2854" spans="1:13" x14ac:dyDescent="0.35">
      <c r="A2854" s="49" t="s">
        <v>10894</v>
      </c>
      <c r="B2854" s="49" t="s">
        <v>3933</v>
      </c>
      <c r="C2854" s="49" t="s">
        <v>4232</v>
      </c>
      <c r="D2854" s="49" t="s">
        <v>1264</v>
      </c>
      <c r="E2854" s="49" t="s">
        <v>2785</v>
      </c>
      <c r="F2854" s="49" t="s">
        <v>3898</v>
      </c>
      <c r="G2854" s="49" t="s">
        <v>2776</v>
      </c>
      <c r="H2854" s="49" t="s">
        <v>2827</v>
      </c>
      <c r="I2854" s="50">
        <v>44529</v>
      </c>
      <c r="M2854" s="49" t="s">
        <v>10895</v>
      </c>
    </row>
    <row r="2855" spans="1:13" x14ac:dyDescent="0.35">
      <c r="A2855" s="49" t="s">
        <v>10896</v>
      </c>
      <c r="B2855" s="49" t="s">
        <v>10897</v>
      </c>
      <c r="C2855" s="49" t="s">
        <v>10898</v>
      </c>
      <c r="D2855" s="49" t="s">
        <v>1264</v>
      </c>
      <c r="E2855" s="49" t="s">
        <v>2986</v>
      </c>
      <c r="F2855" s="49" t="s">
        <v>2825</v>
      </c>
      <c r="G2855" s="49" t="s">
        <v>4891</v>
      </c>
      <c r="H2855" s="49" t="s">
        <v>2827</v>
      </c>
      <c r="I2855" s="50">
        <v>44461</v>
      </c>
      <c r="M2855" s="49" t="s">
        <v>10899</v>
      </c>
    </row>
    <row r="2856" spans="1:13" x14ac:dyDescent="0.35">
      <c r="A2856" s="49" t="s">
        <v>10900</v>
      </c>
      <c r="C2856" s="49" t="s">
        <v>5380</v>
      </c>
      <c r="D2856" s="49" t="s">
        <v>1264</v>
      </c>
      <c r="E2856" s="49" t="s">
        <v>2785</v>
      </c>
      <c r="F2856" s="49" t="s">
        <v>2792</v>
      </c>
      <c r="G2856" s="49" t="s">
        <v>2776</v>
      </c>
      <c r="H2856" s="49" t="s">
        <v>980</v>
      </c>
      <c r="I2856" s="50">
        <v>44509</v>
      </c>
      <c r="M2856" s="49" t="s">
        <v>10901</v>
      </c>
    </row>
    <row r="2857" spans="1:13" x14ac:dyDescent="0.35">
      <c r="A2857" s="49" t="s">
        <v>10902</v>
      </c>
      <c r="B2857" s="49" t="s">
        <v>3663</v>
      </c>
      <c r="C2857" s="49" t="s">
        <v>4736</v>
      </c>
      <c r="D2857" s="49" t="s">
        <v>1264</v>
      </c>
      <c r="E2857" s="49" t="s">
        <v>2986</v>
      </c>
      <c r="F2857" s="49" t="s">
        <v>2825</v>
      </c>
      <c r="G2857" s="49" t="s">
        <v>4891</v>
      </c>
      <c r="H2857" s="49" t="s">
        <v>2827</v>
      </c>
      <c r="I2857" s="50">
        <v>44537</v>
      </c>
      <c r="M2857" s="49" t="s">
        <v>10903</v>
      </c>
    </row>
    <row r="2858" spans="1:13" x14ac:dyDescent="0.35">
      <c r="A2858" s="49" t="s">
        <v>10904</v>
      </c>
      <c r="C2858" s="49" t="s">
        <v>3606</v>
      </c>
      <c r="D2858" s="49" t="s">
        <v>1264</v>
      </c>
      <c r="E2858" s="49" t="s">
        <v>2974</v>
      </c>
      <c r="F2858" s="49" t="s">
        <v>2825</v>
      </c>
      <c r="G2858" s="49" t="s">
        <v>2826</v>
      </c>
      <c r="H2858" s="49" t="s">
        <v>2827</v>
      </c>
      <c r="I2858" s="50">
        <v>44494</v>
      </c>
      <c r="M2858" s="49" t="s">
        <v>10905</v>
      </c>
    </row>
    <row r="2859" spans="1:13" x14ac:dyDescent="0.35">
      <c r="A2859" s="49" t="s">
        <v>10906</v>
      </c>
      <c r="B2859" s="49" t="s">
        <v>5917</v>
      </c>
      <c r="C2859" s="49" t="s">
        <v>10907</v>
      </c>
      <c r="D2859" s="49" t="s">
        <v>1264</v>
      </c>
      <c r="E2859" s="49" t="s">
        <v>2785</v>
      </c>
      <c r="F2859" s="49" t="s">
        <v>3898</v>
      </c>
      <c r="G2859" s="49" t="s">
        <v>2787</v>
      </c>
      <c r="H2859" s="49" t="s">
        <v>2827</v>
      </c>
      <c r="I2859" s="50">
        <v>44506</v>
      </c>
      <c r="J2859" s="50">
        <v>44837</v>
      </c>
      <c r="K2859" s="50">
        <v>45429</v>
      </c>
      <c r="M2859" s="49" t="s">
        <v>10908</v>
      </c>
    </row>
    <row r="2860" spans="1:13" x14ac:dyDescent="0.35">
      <c r="A2860" s="49" t="s">
        <v>10909</v>
      </c>
      <c r="C2860" s="49" t="s">
        <v>2864</v>
      </c>
      <c r="D2860" s="49" t="s">
        <v>1264</v>
      </c>
      <c r="E2860" s="49" t="s">
        <v>2814</v>
      </c>
      <c r="F2860" s="49" t="s">
        <v>3005</v>
      </c>
      <c r="G2860" s="49" t="s">
        <v>2776</v>
      </c>
      <c r="H2860" s="49" t="s">
        <v>3229</v>
      </c>
      <c r="I2860" s="50">
        <v>44526</v>
      </c>
      <c r="M2860" s="49" t="s">
        <v>10910</v>
      </c>
    </row>
    <row r="2861" spans="1:13" x14ac:dyDescent="0.35">
      <c r="A2861" s="49" t="s">
        <v>10911</v>
      </c>
      <c r="C2861" s="49" t="s">
        <v>5463</v>
      </c>
      <c r="D2861" s="49" t="s">
        <v>1264</v>
      </c>
      <c r="E2861" s="49" t="s">
        <v>2774</v>
      </c>
      <c r="F2861" s="49" t="s">
        <v>2825</v>
      </c>
      <c r="G2861" s="49" t="s">
        <v>2826</v>
      </c>
      <c r="H2861" s="49" t="s">
        <v>2827</v>
      </c>
      <c r="I2861" s="50">
        <v>44525</v>
      </c>
      <c r="M2861" s="49" t="s">
        <v>10912</v>
      </c>
    </row>
    <row r="2862" spans="1:13" x14ac:dyDescent="0.35">
      <c r="A2862" s="49" t="s">
        <v>10913</v>
      </c>
      <c r="B2862" s="49" t="s">
        <v>10914</v>
      </c>
      <c r="C2862" s="49" t="s">
        <v>2997</v>
      </c>
      <c r="D2862" s="49" t="s">
        <v>1264</v>
      </c>
      <c r="E2862" s="49" t="s">
        <v>2814</v>
      </c>
      <c r="F2862" s="49" t="s">
        <v>2939</v>
      </c>
      <c r="G2862" s="49" t="s">
        <v>2776</v>
      </c>
      <c r="H2862" s="49" t="s">
        <v>980</v>
      </c>
      <c r="I2862" s="50">
        <v>44518</v>
      </c>
      <c r="M2862" s="49" t="s">
        <v>10915</v>
      </c>
    </row>
    <row r="2863" spans="1:13" x14ac:dyDescent="0.35">
      <c r="A2863" s="49" t="s">
        <v>10916</v>
      </c>
      <c r="B2863" s="49" t="s">
        <v>10917</v>
      </c>
      <c r="C2863" s="49" t="s">
        <v>2997</v>
      </c>
      <c r="D2863" s="49" t="s">
        <v>1264</v>
      </c>
      <c r="E2863" s="49" t="s">
        <v>2814</v>
      </c>
      <c r="F2863" s="49" t="s">
        <v>2939</v>
      </c>
      <c r="G2863" s="49" t="s">
        <v>2776</v>
      </c>
      <c r="H2863" s="49" t="s">
        <v>980</v>
      </c>
      <c r="I2863" s="50">
        <v>44518</v>
      </c>
      <c r="M2863" s="49" t="s">
        <v>10918</v>
      </c>
    </row>
    <row r="2864" spans="1:13" x14ac:dyDescent="0.35">
      <c r="A2864" s="49" t="s">
        <v>10919</v>
      </c>
      <c r="B2864" s="49" t="s">
        <v>10920</v>
      </c>
      <c r="C2864" s="49" t="s">
        <v>2997</v>
      </c>
      <c r="D2864" s="49" t="s">
        <v>1264</v>
      </c>
      <c r="E2864" s="49" t="s">
        <v>2814</v>
      </c>
      <c r="F2864" s="49" t="s">
        <v>2939</v>
      </c>
      <c r="G2864" s="49" t="s">
        <v>2776</v>
      </c>
      <c r="H2864" s="49" t="s">
        <v>980</v>
      </c>
      <c r="I2864" s="50">
        <v>44518</v>
      </c>
      <c r="M2864" s="49" t="s">
        <v>10921</v>
      </c>
    </row>
    <row r="2865" spans="1:13" x14ac:dyDescent="0.35">
      <c r="A2865" s="49" t="s">
        <v>10922</v>
      </c>
      <c r="B2865" s="49" t="s">
        <v>10923</v>
      </c>
      <c r="C2865" s="49" t="s">
        <v>2997</v>
      </c>
      <c r="D2865" s="49" t="s">
        <v>1264</v>
      </c>
      <c r="E2865" s="49" t="s">
        <v>2814</v>
      </c>
      <c r="F2865" s="49" t="s">
        <v>4611</v>
      </c>
      <c r="G2865" s="49" t="s">
        <v>2776</v>
      </c>
      <c r="H2865" s="49" t="s">
        <v>980</v>
      </c>
      <c r="I2865" s="50">
        <v>44518</v>
      </c>
      <c r="M2865" s="49" t="s">
        <v>10924</v>
      </c>
    </row>
    <row r="2866" spans="1:13" x14ac:dyDescent="0.35">
      <c r="A2866" s="49" t="s">
        <v>10925</v>
      </c>
      <c r="B2866" s="49" t="s">
        <v>10926</v>
      </c>
      <c r="C2866" s="49" t="s">
        <v>2997</v>
      </c>
      <c r="D2866" s="49" t="s">
        <v>1264</v>
      </c>
      <c r="E2866" s="49" t="s">
        <v>2814</v>
      </c>
      <c r="F2866" s="49" t="s">
        <v>4611</v>
      </c>
      <c r="G2866" s="49" t="s">
        <v>2776</v>
      </c>
      <c r="H2866" s="49" t="s">
        <v>980</v>
      </c>
      <c r="I2866" s="50">
        <v>44518</v>
      </c>
      <c r="M2866" s="49" t="s">
        <v>10927</v>
      </c>
    </row>
    <row r="2867" spans="1:13" x14ac:dyDescent="0.35">
      <c r="A2867" s="49" t="s">
        <v>10928</v>
      </c>
      <c r="B2867" s="49" t="s">
        <v>2937</v>
      </c>
      <c r="C2867" s="49" t="s">
        <v>10929</v>
      </c>
      <c r="D2867" s="49" t="s">
        <v>1264</v>
      </c>
      <c r="E2867" s="49" t="s">
        <v>2814</v>
      </c>
      <c r="F2867" s="49" t="s">
        <v>2939</v>
      </c>
      <c r="G2867" s="49" t="s">
        <v>2776</v>
      </c>
      <c r="H2867" s="49" t="s">
        <v>980</v>
      </c>
      <c r="I2867" s="50">
        <v>44422</v>
      </c>
      <c r="M2867" s="49" t="s">
        <v>10930</v>
      </c>
    </row>
    <row r="2868" spans="1:13" x14ac:dyDescent="0.35">
      <c r="A2868" s="49" t="s">
        <v>10931</v>
      </c>
      <c r="B2868" s="49" t="s">
        <v>10932</v>
      </c>
      <c r="C2868" s="49" t="s">
        <v>10933</v>
      </c>
      <c r="D2868" s="49" t="s">
        <v>1264</v>
      </c>
      <c r="E2868" s="49" t="s">
        <v>2785</v>
      </c>
      <c r="F2868" s="49" t="s">
        <v>2792</v>
      </c>
      <c r="G2868" s="49" t="s">
        <v>2776</v>
      </c>
      <c r="H2868" s="49" t="s">
        <v>980</v>
      </c>
      <c r="I2868" s="50">
        <v>44531</v>
      </c>
      <c r="M2868" s="49" t="s">
        <v>10934</v>
      </c>
    </row>
    <row r="2869" spans="1:13" x14ac:dyDescent="0.35">
      <c r="A2869" s="49" t="s">
        <v>10935</v>
      </c>
      <c r="B2869" s="49" t="s">
        <v>5289</v>
      </c>
      <c r="C2869" s="49" t="s">
        <v>5404</v>
      </c>
      <c r="D2869" s="49" t="s">
        <v>1264</v>
      </c>
      <c r="E2869" s="49" t="s">
        <v>2908</v>
      </c>
      <c r="F2869" s="49" t="s">
        <v>2837</v>
      </c>
      <c r="G2869" s="49" t="s">
        <v>4891</v>
      </c>
      <c r="H2869" s="49" t="s">
        <v>2827</v>
      </c>
      <c r="I2869" s="50">
        <v>44532</v>
      </c>
      <c r="M2869" s="49" t="s">
        <v>10936</v>
      </c>
    </row>
    <row r="2870" spans="1:13" x14ac:dyDescent="0.35">
      <c r="A2870" s="49" t="s">
        <v>10937</v>
      </c>
      <c r="B2870" s="49" t="s">
        <v>4576</v>
      </c>
      <c r="C2870" s="49" t="s">
        <v>10938</v>
      </c>
      <c r="D2870" s="49" t="s">
        <v>1264</v>
      </c>
      <c r="E2870" s="49" t="s">
        <v>2785</v>
      </c>
      <c r="F2870" s="49" t="s">
        <v>2792</v>
      </c>
      <c r="G2870" s="49" t="s">
        <v>2776</v>
      </c>
      <c r="H2870" s="49" t="s">
        <v>980</v>
      </c>
      <c r="I2870" s="50">
        <v>44567</v>
      </c>
      <c r="M2870" s="49" t="s">
        <v>10939</v>
      </c>
    </row>
    <row r="2871" spans="1:13" x14ac:dyDescent="0.35">
      <c r="A2871" s="49" t="s">
        <v>10940</v>
      </c>
      <c r="B2871" s="49" t="s">
        <v>10941</v>
      </c>
      <c r="C2871" s="49" t="s">
        <v>4001</v>
      </c>
      <c r="D2871" s="49" t="s">
        <v>1264</v>
      </c>
      <c r="E2871" s="49" t="s">
        <v>2986</v>
      </c>
      <c r="F2871" s="49" t="s">
        <v>2825</v>
      </c>
      <c r="G2871" s="49" t="s">
        <v>4891</v>
      </c>
      <c r="H2871" s="49" t="s">
        <v>2827</v>
      </c>
      <c r="I2871" s="50">
        <v>44546</v>
      </c>
      <c r="M2871" s="49" t="s">
        <v>10942</v>
      </c>
    </row>
    <row r="2872" spans="1:13" x14ac:dyDescent="0.35">
      <c r="A2872" s="49" t="s">
        <v>10943</v>
      </c>
      <c r="B2872" s="49" t="s">
        <v>10944</v>
      </c>
      <c r="C2872" s="49" t="s">
        <v>4001</v>
      </c>
      <c r="D2872" s="49" t="s">
        <v>1264</v>
      </c>
      <c r="E2872" s="49" t="s">
        <v>2986</v>
      </c>
      <c r="F2872" s="49" t="s">
        <v>2825</v>
      </c>
      <c r="G2872" s="49" t="s">
        <v>2776</v>
      </c>
      <c r="H2872" s="49" t="s">
        <v>2827</v>
      </c>
      <c r="I2872" s="50">
        <v>44546</v>
      </c>
      <c r="M2872" s="49" t="s">
        <v>10945</v>
      </c>
    </row>
    <row r="2873" spans="1:13" x14ac:dyDescent="0.35">
      <c r="A2873" s="49" t="s">
        <v>10946</v>
      </c>
      <c r="B2873" s="49" t="s">
        <v>3776</v>
      </c>
      <c r="C2873" s="49" t="s">
        <v>3925</v>
      </c>
      <c r="D2873" s="49" t="s">
        <v>1264</v>
      </c>
      <c r="E2873" s="49" t="s">
        <v>2908</v>
      </c>
      <c r="F2873" s="49" t="s">
        <v>2939</v>
      </c>
      <c r="G2873" s="49" t="s">
        <v>4891</v>
      </c>
      <c r="H2873" s="49" t="s">
        <v>973</v>
      </c>
      <c r="I2873" s="50">
        <v>44557</v>
      </c>
      <c r="M2873" s="49" t="s">
        <v>10947</v>
      </c>
    </row>
    <row r="2874" spans="1:13" x14ac:dyDescent="0.35">
      <c r="A2874" s="49" t="s">
        <v>10948</v>
      </c>
      <c r="B2874" s="49" t="s">
        <v>10949</v>
      </c>
      <c r="C2874" s="49" t="s">
        <v>10950</v>
      </c>
      <c r="D2874" s="49" t="s">
        <v>1264</v>
      </c>
      <c r="E2874" s="49" t="s">
        <v>2986</v>
      </c>
      <c r="F2874" s="49" t="s">
        <v>2825</v>
      </c>
      <c r="G2874" s="49" t="s">
        <v>4891</v>
      </c>
      <c r="H2874" s="49" t="s">
        <v>2827</v>
      </c>
      <c r="I2874" s="50">
        <v>44572</v>
      </c>
      <c r="M2874" s="49" t="s">
        <v>5155</v>
      </c>
    </row>
    <row r="2875" spans="1:13" x14ac:dyDescent="0.35">
      <c r="A2875" s="49" t="s">
        <v>10951</v>
      </c>
      <c r="B2875" s="49" t="s">
        <v>10952</v>
      </c>
      <c r="C2875" s="49" t="s">
        <v>5762</v>
      </c>
      <c r="D2875" s="49" t="s">
        <v>1264</v>
      </c>
      <c r="E2875" s="49" t="s">
        <v>2814</v>
      </c>
      <c r="F2875" s="49" t="s">
        <v>10953</v>
      </c>
      <c r="G2875" s="49" t="s">
        <v>2776</v>
      </c>
      <c r="H2875" s="49" t="s">
        <v>3229</v>
      </c>
      <c r="I2875" s="50">
        <v>44578</v>
      </c>
      <c r="M2875" s="49" t="s">
        <v>10954</v>
      </c>
    </row>
    <row r="2876" spans="1:13" x14ac:dyDescent="0.35">
      <c r="A2876" s="49" t="s">
        <v>10955</v>
      </c>
      <c r="C2876" s="49" t="s">
        <v>5014</v>
      </c>
      <c r="D2876" s="49" t="s">
        <v>1264</v>
      </c>
      <c r="E2876" s="49" t="s">
        <v>2974</v>
      </c>
      <c r="F2876" s="49" t="s">
        <v>10956</v>
      </c>
      <c r="G2876" s="49" t="s">
        <v>2826</v>
      </c>
      <c r="H2876" s="49" t="s">
        <v>2832</v>
      </c>
      <c r="I2876" s="50">
        <v>44553</v>
      </c>
      <c r="M2876" s="49" t="s">
        <v>5480</v>
      </c>
    </row>
    <row r="2877" spans="1:13" x14ac:dyDescent="0.35">
      <c r="A2877" s="49" t="s">
        <v>10957</v>
      </c>
      <c r="B2877" s="49" t="s">
        <v>10958</v>
      </c>
      <c r="C2877" s="49" t="s">
        <v>10959</v>
      </c>
      <c r="D2877" s="49" t="s">
        <v>1264</v>
      </c>
      <c r="E2877" s="49" t="s">
        <v>2986</v>
      </c>
      <c r="F2877" s="49" t="s">
        <v>2825</v>
      </c>
      <c r="G2877" s="49" t="s">
        <v>4891</v>
      </c>
      <c r="H2877" s="49" t="s">
        <v>2827</v>
      </c>
      <c r="I2877" s="50">
        <v>44533</v>
      </c>
      <c r="M2877" s="49" t="s">
        <v>10960</v>
      </c>
    </row>
    <row r="2878" spans="1:13" x14ac:dyDescent="0.35">
      <c r="A2878" s="49" t="s">
        <v>10961</v>
      </c>
      <c r="B2878" s="49" t="s">
        <v>3776</v>
      </c>
      <c r="C2878" s="49" t="s">
        <v>4666</v>
      </c>
      <c r="D2878" s="49" t="s">
        <v>1264</v>
      </c>
      <c r="E2878" s="49" t="s">
        <v>2908</v>
      </c>
      <c r="F2878" s="49" t="s">
        <v>2837</v>
      </c>
      <c r="G2878" s="49" t="s">
        <v>2776</v>
      </c>
      <c r="H2878" s="49" t="s">
        <v>973</v>
      </c>
      <c r="I2878" s="50">
        <v>44560</v>
      </c>
      <c r="M2878" s="49" t="s">
        <v>10962</v>
      </c>
    </row>
    <row r="2879" spans="1:13" x14ac:dyDescent="0.35">
      <c r="A2879" s="49" t="s">
        <v>10963</v>
      </c>
      <c r="B2879" s="49" t="s">
        <v>10964</v>
      </c>
      <c r="C2879" s="49" t="s">
        <v>5762</v>
      </c>
      <c r="D2879" s="49" t="s">
        <v>1264</v>
      </c>
      <c r="E2879" s="49" t="s">
        <v>2774</v>
      </c>
      <c r="F2879" s="49" t="s">
        <v>10953</v>
      </c>
      <c r="G2879" s="49" t="s">
        <v>4891</v>
      </c>
      <c r="H2879" s="49" t="s">
        <v>3229</v>
      </c>
      <c r="I2879" s="50">
        <v>44571</v>
      </c>
      <c r="M2879" s="49" t="s">
        <v>10965</v>
      </c>
    </row>
    <row r="2880" spans="1:13" x14ac:dyDescent="0.35">
      <c r="A2880" s="49" t="s">
        <v>10966</v>
      </c>
      <c r="B2880" s="49" t="s">
        <v>8556</v>
      </c>
      <c r="C2880" s="49" t="s">
        <v>3727</v>
      </c>
      <c r="D2880" s="49" t="s">
        <v>1264</v>
      </c>
      <c r="E2880" s="49" t="s">
        <v>2774</v>
      </c>
      <c r="F2880" s="49" t="s">
        <v>3188</v>
      </c>
      <c r="G2880" s="49" t="s">
        <v>2776</v>
      </c>
      <c r="H2880" s="49" t="s">
        <v>973</v>
      </c>
      <c r="I2880" s="50">
        <v>44573</v>
      </c>
      <c r="M2880" s="49" t="s">
        <v>10967</v>
      </c>
    </row>
    <row r="2881" spans="1:13" x14ac:dyDescent="0.35">
      <c r="A2881" s="49" t="s">
        <v>10968</v>
      </c>
      <c r="B2881" s="49" t="s">
        <v>10969</v>
      </c>
      <c r="C2881" s="49" t="s">
        <v>10880</v>
      </c>
      <c r="D2881" s="49" t="s">
        <v>1264</v>
      </c>
      <c r="E2881" s="49" t="s">
        <v>2986</v>
      </c>
      <c r="F2881" s="49" t="s">
        <v>2825</v>
      </c>
      <c r="G2881" s="49" t="s">
        <v>2776</v>
      </c>
      <c r="H2881" s="49" t="s">
        <v>2827</v>
      </c>
      <c r="I2881" s="50">
        <v>44496</v>
      </c>
      <c r="M2881" s="49" t="s">
        <v>10970</v>
      </c>
    </row>
    <row r="2882" spans="1:13" x14ac:dyDescent="0.35">
      <c r="A2882" s="49" t="s">
        <v>10971</v>
      </c>
      <c r="B2882" s="49" t="s">
        <v>3354</v>
      </c>
      <c r="C2882" s="49" t="s">
        <v>3473</v>
      </c>
      <c r="D2882" s="49" t="s">
        <v>1264</v>
      </c>
      <c r="E2882" s="49" t="s">
        <v>2814</v>
      </c>
      <c r="F2882" s="49" t="s">
        <v>2837</v>
      </c>
      <c r="G2882" s="49" t="s">
        <v>2776</v>
      </c>
      <c r="H2882" s="49" t="s">
        <v>980</v>
      </c>
      <c r="I2882" s="50">
        <v>44216</v>
      </c>
      <c r="M2882" s="49" t="s">
        <v>10972</v>
      </c>
    </row>
    <row r="2883" spans="1:13" x14ac:dyDescent="0.35">
      <c r="A2883" s="49" t="s">
        <v>10973</v>
      </c>
      <c r="B2883" s="49" t="s">
        <v>10974</v>
      </c>
      <c r="C2883" s="49" t="s">
        <v>10975</v>
      </c>
      <c r="D2883" s="49" t="s">
        <v>1264</v>
      </c>
      <c r="E2883" s="49" t="s">
        <v>2986</v>
      </c>
      <c r="F2883" s="49" t="s">
        <v>2825</v>
      </c>
      <c r="G2883" s="49" t="s">
        <v>2776</v>
      </c>
      <c r="H2883" s="49" t="s">
        <v>2827</v>
      </c>
      <c r="I2883" s="50">
        <v>44596</v>
      </c>
      <c r="M2883" s="49" t="s">
        <v>10976</v>
      </c>
    </row>
    <row r="2884" spans="1:13" x14ac:dyDescent="0.35">
      <c r="A2884" s="49" t="s">
        <v>10977</v>
      </c>
      <c r="B2884" s="49" t="s">
        <v>10978</v>
      </c>
      <c r="C2884" s="49" t="s">
        <v>6203</v>
      </c>
      <c r="D2884" s="49" t="s">
        <v>1264</v>
      </c>
      <c r="E2884" s="49" t="s">
        <v>2986</v>
      </c>
      <c r="F2884" s="49" t="s">
        <v>2825</v>
      </c>
      <c r="G2884" s="49" t="s">
        <v>2776</v>
      </c>
      <c r="H2884" s="49" t="s">
        <v>2827</v>
      </c>
      <c r="I2884" s="50">
        <v>44596</v>
      </c>
      <c r="M2884" s="49" t="s">
        <v>3477</v>
      </c>
    </row>
    <row r="2885" spans="1:13" x14ac:dyDescent="0.35">
      <c r="A2885" s="49" t="s">
        <v>10979</v>
      </c>
      <c r="B2885" s="49" t="s">
        <v>10980</v>
      </c>
      <c r="C2885" s="49" t="s">
        <v>4835</v>
      </c>
      <c r="D2885" s="49" t="s">
        <v>1264</v>
      </c>
      <c r="E2885" s="49" t="s">
        <v>2986</v>
      </c>
      <c r="F2885" s="49" t="s">
        <v>2825</v>
      </c>
      <c r="G2885" s="49" t="s">
        <v>2776</v>
      </c>
      <c r="H2885" s="49" t="s">
        <v>2827</v>
      </c>
      <c r="I2885" s="50">
        <v>44596</v>
      </c>
      <c r="M2885" s="49" t="s">
        <v>10981</v>
      </c>
    </row>
    <row r="2886" spans="1:13" x14ac:dyDescent="0.35">
      <c r="A2886" s="49" t="s">
        <v>10982</v>
      </c>
      <c r="B2886" s="49" t="s">
        <v>2823</v>
      </c>
      <c r="C2886" s="49" t="s">
        <v>4749</v>
      </c>
      <c r="D2886" s="49" t="s">
        <v>1264</v>
      </c>
      <c r="E2886" s="49" t="s">
        <v>2986</v>
      </c>
      <c r="F2886" s="49" t="s">
        <v>2825</v>
      </c>
      <c r="G2886" s="49" t="s">
        <v>2776</v>
      </c>
      <c r="H2886" s="49" t="s">
        <v>8</v>
      </c>
      <c r="I2886" s="50">
        <v>44609</v>
      </c>
      <c r="M2886" s="49" t="s">
        <v>10983</v>
      </c>
    </row>
    <row r="2887" spans="1:13" x14ac:dyDescent="0.35">
      <c r="A2887" s="49" t="s">
        <v>10984</v>
      </c>
      <c r="B2887" s="49" t="s">
        <v>2823</v>
      </c>
      <c r="C2887" s="49" t="s">
        <v>4749</v>
      </c>
      <c r="D2887" s="49" t="s">
        <v>1264</v>
      </c>
      <c r="E2887" s="49" t="s">
        <v>2986</v>
      </c>
      <c r="F2887" s="49" t="s">
        <v>2825</v>
      </c>
      <c r="G2887" s="49" t="s">
        <v>2776</v>
      </c>
      <c r="H2887" s="49" t="s">
        <v>8</v>
      </c>
      <c r="I2887" s="50">
        <v>44609</v>
      </c>
      <c r="M2887" s="49" t="s">
        <v>10985</v>
      </c>
    </row>
    <row r="2888" spans="1:13" x14ac:dyDescent="0.35">
      <c r="A2888" s="49" t="s">
        <v>10986</v>
      </c>
      <c r="B2888" s="49" t="s">
        <v>2823</v>
      </c>
      <c r="C2888" s="49" t="s">
        <v>4749</v>
      </c>
      <c r="D2888" s="49" t="s">
        <v>1264</v>
      </c>
      <c r="E2888" s="49" t="s">
        <v>2986</v>
      </c>
      <c r="F2888" s="49" t="s">
        <v>2825</v>
      </c>
      <c r="G2888" s="49" t="s">
        <v>2776</v>
      </c>
      <c r="H2888" s="49" t="s">
        <v>2827</v>
      </c>
      <c r="I2888" s="50">
        <v>44609</v>
      </c>
      <c r="M2888" s="49" t="s">
        <v>10987</v>
      </c>
    </row>
    <row r="2889" spans="1:13" x14ac:dyDescent="0.35">
      <c r="A2889" s="49" t="s">
        <v>10988</v>
      </c>
      <c r="C2889" s="49" t="s">
        <v>10989</v>
      </c>
      <c r="D2889" s="49" t="s">
        <v>1264</v>
      </c>
      <c r="E2889" s="49" t="s">
        <v>2814</v>
      </c>
      <c r="F2889" s="49" t="s">
        <v>2825</v>
      </c>
      <c r="G2889" s="49" t="s">
        <v>2776</v>
      </c>
      <c r="H2889" s="49" t="s">
        <v>2827</v>
      </c>
      <c r="I2889" s="50">
        <v>44616</v>
      </c>
      <c r="M2889" s="49" t="s">
        <v>10990</v>
      </c>
    </row>
    <row r="2890" spans="1:13" x14ac:dyDescent="0.35">
      <c r="A2890" s="49" t="s">
        <v>10991</v>
      </c>
      <c r="B2890" s="49" t="s">
        <v>10992</v>
      </c>
      <c r="C2890" s="49" t="s">
        <v>4932</v>
      </c>
      <c r="D2890" s="49" t="s">
        <v>1264</v>
      </c>
      <c r="E2890" s="49" t="s">
        <v>2814</v>
      </c>
      <c r="F2890" s="49" t="s">
        <v>2900</v>
      </c>
      <c r="G2890" s="49" t="s">
        <v>2787</v>
      </c>
      <c r="H2890" s="49" t="s">
        <v>980</v>
      </c>
      <c r="I2890" s="50">
        <v>44613</v>
      </c>
      <c r="J2890" s="50">
        <v>44620</v>
      </c>
      <c r="K2890" s="50">
        <v>45520</v>
      </c>
      <c r="M2890" s="49" t="s">
        <v>10993</v>
      </c>
    </row>
    <row r="2891" spans="1:13" x14ac:dyDescent="0.35">
      <c r="A2891" s="49" t="s">
        <v>10994</v>
      </c>
      <c r="B2891" s="49" t="s">
        <v>10995</v>
      </c>
      <c r="C2891" s="49" t="s">
        <v>4725</v>
      </c>
      <c r="D2891" s="49" t="s">
        <v>1264</v>
      </c>
      <c r="E2891" s="49" t="s">
        <v>2986</v>
      </c>
      <c r="F2891" s="49" t="s">
        <v>2825</v>
      </c>
      <c r="G2891" s="49" t="s">
        <v>2776</v>
      </c>
      <c r="H2891" s="49" t="s">
        <v>2827</v>
      </c>
      <c r="I2891" s="50">
        <v>44616</v>
      </c>
      <c r="M2891" s="49" t="s">
        <v>10996</v>
      </c>
    </row>
    <row r="2892" spans="1:13" x14ac:dyDescent="0.35">
      <c r="A2892" s="49" t="s">
        <v>10997</v>
      </c>
      <c r="B2892" s="49" t="s">
        <v>5797</v>
      </c>
      <c r="C2892" s="49" t="s">
        <v>10998</v>
      </c>
      <c r="D2892" s="49" t="s">
        <v>1264</v>
      </c>
      <c r="E2892" s="49" t="s">
        <v>2785</v>
      </c>
      <c r="F2892" s="49" t="s">
        <v>2792</v>
      </c>
      <c r="G2892" s="49" t="s">
        <v>2776</v>
      </c>
      <c r="H2892" s="49" t="s">
        <v>857</v>
      </c>
      <c r="I2892" s="50">
        <v>44517</v>
      </c>
      <c r="M2892" s="49" t="s">
        <v>10999</v>
      </c>
    </row>
    <row r="2893" spans="1:13" x14ac:dyDescent="0.35">
      <c r="A2893" s="49" t="s">
        <v>11000</v>
      </c>
      <c r="B2893" s="49" t="s">
        <v>11001</v>
      </c>
      <c r="C2893" s="49" t="s">
        <v>4086</v>
      </c>
      <c r="D2893" s="49" t="s">
        <v>1264</v>
      </c>
      <c r="E2893" s="49" t="s">
        <v>2785</v>
      </c>
      <c r="F2893" s="49" t="s">
        <v>2786</v>
      </c>
      <c r="G2893" s="49" t="s">
        <v>2776</v>
      </c>
      <c r="H2893" s="49" t="s">
        <v>4225</v>
      </c>
      <c r="I2893" s="50">
        <v>44599</v>
      </c>
      <c r="M2893" s="49" t="s">
        <v>11002</v>
      </c>
    </row>
    <row r="2894" spans="1:13" x14ac:dyDescent="0.35">
      <c r="A2894" s="49" t="s">
        <v>11003</v>
      </c>
      <c r="B2894" s="49" t="s">
        <v>11004</v>
      </c>
      <c r="C2894" s="49" t="s">
        <v>4086</v>
      </c>
      <c r="D2894" s="49" t="s">
        <v>1264</v>
      </c>
      <c r="E2894" s="49" t="s">
        <v>2785</v>
      </c>
      <c r="F2894" s="49" t="s">
        <v>2786</v>
      </c>
      <c r="G2894" s="49" t="s">
        <v>2776</v>
      </c>
      <c r="H2894" s="49" t="s">
        <v>4225</v>
      </c>
      <c r="I2894" s="50">
        <v>44599</v>
      </c>
      <c r="M2894" s="49" t="s">
        <v>11005</v>
      </c>
    </row>
    <row r="2895" spans="1:13" x14ac:dyDescent="0.35">
      <c r="A2895" s="49" t="s">
        <v>11006</v>
      </c>
      <c r="B2895" s="49" t="s">
        <v>11007</v>
      </c>
      <c r="C2895" s="49" t="s">
        <v>4086</v>
      </c>
      <c r="D2895" s="49" t="s">
        <v>1264</v>
      </c>
      <c r="E2895" s="49" t="s">
        <v>2785</v>
      </c>
      <c r="F2895" s="49" t="s">
        <v>2786</v>
      </c>
      <c r="G2895" s="49" t="s">
        <v>2776</v>
      </c>
      <c r="H2895" s="49" t="s">
        <v>4225</v>
      </c>
      <c r="I2895" s="50">
        <v>44599</v>
      </c>
      <c r="M2895" s="49" t="s">
        <v>11008</v>
      </c>
    </row>
    <row r="2896" spans="1:13" x14ac:dyDescent="0.35">
      <c r="A2896" s="49" t="s">
        <v>11009</v>
      </c>
      <c r="B2896" s="49" t="s">
        <v>11010</v>
      </c>
      <c r="C2896" s="49" t="s">
        <v>11011</v>
      </c>
      <c r="D2896" s="49" t="s">
        <v>1264</v>
      </c>
      <c r="E2896" s="49" t="s">
        <v>2986</v>
      </c>
      <c r="F2896" s="49" t="s">
        <v>2825</v>
      </c>
      <c r="G2896" s="49" t="s">
        <v>2776</v>
      </c>
      <c r="H2896" s="49" t="s">
        <v>2827</v>
      </c>
      <c r="I2896" s="50">
        <v>44637</v>
      </c>
      <c r="M2896" s="49" t="s">
        <v>11012</v>
      </c>
    </row>
    <row r="2897" spans="1:13" x14ac:dyDescent="0.35">
      <c r="A2897" s="49" t="s">
        <v>11013</v>
      </c>
      <c r="B2897" s="49" t="s">
        <v>5917</v>
      </c>
      <c r="C2897" s="49" t="s">
        <v>2846</v>
      </c>
      <c r="D2897" s="49" t="s">
        <v>1264</v>
      </c>
      <c r="E2897" s="49" t="s">
        <v>2785</v>
      </c>
      <c r="F2897" s="49" t="s">
        <v>3898</v>
      </c>
      <c r="G2897" s="49" t="s">
        <v>2776</v>
      </c>
      <c r="H2897" s="49" t="s">
        <v>2827</v>
      </c>
      <c r="I2897" s="50">
        <v>44621</v>
      </c>
      <c r="M2897" s="49" t="s">
        <v>11014</v>
      </c>
    </row>
    <row r="2898" spans="1:13" x14ac:dyDescent="0.35">
      <c r="A2898" s="49" t="s">
        <v>11015</v>
      </c>
      <c r="C2898" s="49" t="s">
        <v>11016</v>
      </c>
      <c r="D2898" s="49" t="s">
        <v>1264</v>
      </c>
      <c r="E2898" s="49" t="s">
        <v>2814</v>
      </c>
      <c r="F2898" s="49" t="s">
        <v>2825</v>
      </c>
      <c r="G2898" s="49" t="s">
        <v>2776</v>
      </c>
      <c r="H2898" s="49" t="s">
        <v>2827</v>
      </c>
      <c r="I2898" s="50">
        <v>44657</v>
      </c>
      <c r="M2898" s="49" t="s">
        <v>11017</v>
      </c>
    </row>
    <row r="2899" spans="1:13" x14ac:dyDescent="0.35">
      <c r="A2899" s="49" t="s">
        <v>11018</v>
      </c>
      <c r="B2899" s="49" t="s">
        <v>5917</v>
      </c>
      <c r="C2899" s="49" t="s">
        <v>2846</v>
      </c>
      <c r="D2899" s="49" t="s">
        <v>1264</v>
      </c>
      <c r="E2899" s="49" t="s">
        <v>2785</v>
      </c>
      <c r="F2899" s="49" t="s">
        <v>3898</v>
      </c>
      <c r="G2899" s="49" t="s">
        <v>2776</v>
      </c>
      <c r="H2899" s="49" t="s">
        <v>2827</v>
      </c>
      <c r="I2899" s="50">
        <v>44621</v>
      </c>
      <c r="M2899" s="49" t="s">
        <v>11019</v>
      </c>
    </row>
    <row r="2900" spans="1:13" x14ac:dyDescent="0.35">
      <c r="A2900" s="49" t="s">
        <v>11020</v>
      </c>
      <c r="C2900" s="49" t="s">
        <v>4810</v>
      </c>
      <c r="D2900" s="49" t="s">
        <v>1264</v>
      </c>
      <c r="E2900" s="49" t="s">
        <v>2774</v>
      </c>
      <c r="F2900" s="49" t="s">
        <v>2825</v>
      </c>
      <c r="G2900" s="49" t="s">
        <v>2776</v>
      </c>
      <c r="H2900" s="49" t="s">
        <v>2827</v>
      </c>
      <c r="I2900" s="50">
        <v>44662</v>
      </c>
      <c r="M2900" s="49" t="s">
        <v>11021</v>
      </c>
    </row>
    <row r="2901" spans="1:13" x14ac:dyDescent="0.35">
      <c r="A2901" s="49" t="s">
        <v>11022</v>
      </c>
      <c r="B2901" s="49" t="s">
        <v>3730</v>
      </c>
      <c r="C2901" s="49" t="s">
        <v>3696</v>
      </c>
      <c r="D2901" s="49" t="s">
        <v>1264</v>
      </c>
      <c r="E2901" s="49" t="s">
        <v>2908</v>
      </c>
      <c r="F2901" s="49" t="s">
        <v>2837</v>
      </c>
      <c r="G2901" s="49" t="s">
        <v>4891</v>
      </c>
      <c r="H2901" s="49" t="s">
        <v>973</v>
      </c>
      <c r="I2901" s="50">
        <v>44551</v>
      </c>
      <c r="M2901" s="49" t="s">
        <v>11023</v>
      </c>
    </row>
    <row r="2902" spans="1:13" x14ac:dyDescent="0.35">
      <c r="A2902" s="49" t="s">
        <v>11024</v>
      </c>
      <c r="C2902" s="49" t="s">
        <v>4736</v>
      </c>
      <c r="D2902" s="49" t="s">
        <v>1264</v>
      </c>
      <c r="E2902" s="49" t="s">
        <v>2814</v>
      </c>
      <c r="F2902" s="49" t="s">
        <v>2825</v>
      </c>
      <c r="G2902" s="49" t="s">
        <v>2776</v>
      </c>
      <c r="H2902" s="49" t="s">
        <v>2827</v>
      </c>
      <c r="I2902" s="50">
        <v>44678</v>
      </c>
      <c r="M2902" s="49" t="s">
        <v>11025</v>
      </c>
    </row>
    <row r="2903" spans="1:13" x14ac:dyDescent="0.35">
      <c r="A2903" s="49" t="s">
        <v>11026</v>
      </c>
      <c r="C2903" s="49" t="s">
        <v>4862</v>
      </c>
      <c r="D2903" s="49" t="s">
        <v>1264</v>
      </c>
      <c r="E2903" s="49" t="s">
        <v>2974</v>
      </c>
      <c r="F2903" s="49" t="s">
        <v>2825</v>
      </c>
      <c r="G2903" s="49" t="s">
        <v>2776</v>
      </c>
      <c r="H2903" s="49" t="s">
        <v>2827</v>
      </c>
      <c r="I2903" s="50">
        <v>44697</v>
      </c>
      <c r="M2903" s="49" t="s">
        <v>11027</v>
      </c>
    </row>
    <row r="2904" spans="1:13" x14ac:dyDescent="0.35">
      <c r="A2904" s="49" t="s">
        <v>11028</v>
      </c>
      <c r="B2904" s="49" t="s">
        <v>11029</v>
      </c>
      <c r="C2904" s="49" t="s">
        <v>4862</v>
      </c>
      <c r="D2904" s="49" t="s">
        <v>1264</v>
      </c>
      <c r="E2904" s="49" t="s">
        <v>2774</v>
      </c>
      <c r="F2904" s="49" t="s">
        <v>2825</v>
      </c>
      <c r="G2904" s="49" t="s">
        <v>4891</v>
      </c>
      <c r="H2904" s="49" t="s">
        <v>2827</v>
      </c>
      <c r="I2904" s="50">
        <v>44697</v>
      </c>
      <c r="M2904" s="49" t="s">
        <v>11030</v>
      </c>
    </row>
    <row r="2905" spans="1:13" x14ac:dyDescent="0.35">
      <c r="A2905" s="49" t="s">
        <v>11031</v>
      </c>
      <c r="B2905" s="49" t="s">
        <v>11032</v>
      </c>
      <c r="C2905" s="49" t="s">
        <v>5762</v>
      </c>
      <c r="D2905" s="49" t="s">
        <v>1264</v>
      </c>
      <c r="E2905" s="49" t="s">
        <v>2986</v>
      </c>
      <c r="F2905" s="49" t="s">
        <v>2825</v>
      </c>
      <c r="G2905" s="49" t="s">
        <v>4891</v>
      </c>
      <c r="H2905" s="49" t="s">
        <v>2827</v>
      </c>
      <c r="I2905" s="50">
        <v>44690</v>
      </c>
      <c r="M2905" s="49" t="s">
        <v>11033</v>
      </c>
    </row>
    <row r="2906" spans="1:13" x14ac:dyDescent="0.35">
      <c r="A2906" s="49" t="s">
        <v>11034</v>
      </c>
      <c r="C2906" s="49" t="s">
        <v>4977</v>
      </c>
      <c r="D2906" s="49" t="s">
        <v>1264</v>
      </c>
      <c r="E2906" s="49" t="s">
        <v>2774</v>
      </c>
      <c r="F2906" s="49" t="s">
        <v>2900</v>
      </c>
      <c r="G2906" s="49" t="s">
        <v>2776</v>
      </c>
      <c r="H2906" s="49" t="s">
        <v>3207</v>
      </c>
      <c r="I2906" s="50">
        <v>44713</v>
      </c>
      <c r="M2906" s="49" t="s">
        <v>11035</v>
      </c>
    </row>
    <row r="2907" spans="1:13" x14ac:dyDescent="0.35">
      <c r="A2907" s="49" t="s">
        <v>11036</v>
      </c>
      <c r="C2907" s="49" t="s">
        <v>5762</v>
      </c>
      <c r="D2907" s="49" t="s">
        <v>1264</v>
      </c>
      <c r="E2907" s="49" t="s">
        <v>2814</v>
      </c>
      <c r="F2907" s="49" t="s">
        <v>2825</v>
      </c>
      <c r="G2907" s="49" t="s">
        <v>2776</v>
      </c>
      <c r="H2907" s="49" t="s">
        <v>973</v>
      </c>
      <c r="I2907" s="50">
        <v>44714</v>
      </c>
      <c r="M2907" s="49" t="s">
        <v>11037</v>
      </c>
    </row>
    <row r="2908" spans="1:13" x14ac:dyDescent="0.35">
      <c r="A2908" s="49" t="s">
        <v>11038</v>
      </c>
      <c r="C2908" s="49" t="s">
        <v>11039</v>
      </c>
      <c r="D2908" s="49" t="s">
        <v>1264</v>
      </c>
      <c r="E2908" s="49" t="s">
        <v>2814</v>
      </c>
      <c r="F2908" s="49" t="s">
        <v>4048</v>
      </c>
      <c r="G2908" s="49" t="s">
        <v>2826</v>
      </c>
      <c r="H2908" s="49" t="s">
        <v>8</v>
      </c>
      <c r="I2908" s="50">
        <v>44932</v>
      </c>
      <c r="M2908" s="49" t="s">
        <v>11040</v>
      </c>
    </row>
    <row r="2909" spans="1:13" x14ac:dyDescent="0.35">
      <c r="A2909" s="49" t="s">
        <v>11041</v>
      </c>
      <c r="C2909" s="49" t="s">
        <v>3473</v>
      </c>
      <c r="D2909" s="49" t="s">
        <v>1264</v>
      </c>
      <c r="E2909" s="49" t="s">
        <v>2774</v>
      </c>
      <c r="F2909" s="49" t="s">
        <v>4842</v>
      </c>
      <c r="G2909" s="49" t="s">
        <v>2776</v>
      </c>
      <c r="H2909" s="49" t="s">
        <v>2827</v>
      </c>
      <c r="I2909" s="50">
        <v>44714</v>
      </c>
      <c r="M2909" s="49" t="s">
        <v>11042</v>
      </c>
    </row>
    <row r="2910" spans="1:13" x14ac:dyDescent="0.35">
      <c r="A2910" s="49" t="s">
        <v>11043</v>
      </c>
      <c r="B2910" s="49" t="s">
        <v>7561</v>
      </c>
      <c r="C2910" s="49" t="s">
        <v>5902</v>
      </c>
      <c r="D2910" s="49" t="s">
        <v>1264</v>
      </c>
      <c r="E2910" s="49" t="s">
        <v>2785</v>
      </c>
      <c r="F2910" s="49" t="s">
        <v>2792</v>
      </c>
      <c r="G2910" s="49" t="s">
        <v>2776</v>
      </c>
      <c r="H2910" s="49" t="s">
        <v>980</v>
      </c>
      <c r="I2910" s="50">
        <v>44646</v>
      </c>
      <c r="M2910" s="49" t="s">
        <v>11044</v>
      </c>
    </row>
    <row r="2911" spans="1:13" x14ac:dyDescent="0.35">
      <c r="A2911" s="49" t="s">
        <v>11045</v>
      </c>
      <c r="C2911" s="49" t="s">
        <v>4977</v>
      </c>
      <c r="D2911" s="49" t="s">
        <v>1264</v>
      </c>
      <c r="E2911" s="49" t="s">
        <v>2774</v>
      </c>
      <c r="F2911" s="49" t="s">
        <v>2900</v>
      </c>
      <c r="G2911" s="49" t="s">
        <v>2776</v>
      </c>
      <c r="H2911" s="49" t="s">
        <v>3207</v>
      </c>
      <c r="I2911" s="50">
        <v>44733</v>
      </c>
      <c r="M2911" s="49" t="s">
        <v>11046</v>
      </c>
    </row>
    <row r="2912" spans="1:13" x14ac:dyDescent="0.35">
      <c r="A2912" s="49" t="s">
        <v>11047</v>
      </c>
      <c r="B2912" s="49" t="s">
        <v>11048</v>
      </c>
      <c r="C2912" s="49" t="s">
        <v>4525</v>
      </c>
      <c r="D2912" s="49" t="s">
        <v>1264</v>
      </c>
      <c r="E2912" s="49" t="s">
        <v>2986</v>
      </c>
      <c r="F2912" s="49" t="s">
        <v>2825</v>
      </c>
      <c r="G2912" s="49" t="s">
        <v>4891</v>
      </c>
      <c r="H2912" s="49" t="s">
        <v>2827</v>
      </c>
      <c r="I2912" s="50">
        <v>44734</v>
      </c>
      <c r="M2912" s="49" t="s">
        <v>11049</v>
      </c>
    </row>
    <row r="2913" spans="1:13" x14ac:dyDescent="0.35">
      <c r="A2913" s="49" t="s">
        <v>11050</v>
      </c>
      <c r="B2913" s="49" t="s">
        <v>3354</v>
      </c>
      <c r="C2913" s="49" t="s">
        <v>4646</v>
      </c>
      <c r="D2913" s="49" t="s">
        <v>1264</v>
      </c>
      <c r="E2913" s="49" t="s">
        <v>2908</v>
      </c>
      <c r="F2913" s="49" t="s">
        <v>2837</v>
      </c>
      <c r="G2913" s="49" t="s">
        <v>4891</v>
      </c>
      <c r="H2913" s="49" t="s">
        <v>980</v>
      </c>
      <c r="I2913" s="50">
        <v>44741</v>
      </c>
      <c r="M2913" s="49" t="s">
        <v>11051</v>
      </c>
    </row>
    <row r="2914" spans="1:13" x14ac:dyDescent="0.35">
      <c r="A2914" s="49" t="s">
        <v>11052</v>
      </c>
      <c r="C2914" s="49" t="s">
        <v>11053</v>
      </c>
      <c r="D2914" s="49" t="s">
        <v>1264</v>
      </c>
      <c r="E2914" s="49" t="s">
        <v>2774</v>
      </c>
      <c r="F2914" s="49" t="s">
        <v>3188</v>
      </c>
      <c r="G2914" s="49" t="s">
        <v>2776</v>
      </c>
      <c r="H2914" s="49" t="s">
        <v>973</v>
      </c>
      <c r="I2914" s="50">
        <v>44746</v>
      </c>
      <c r="M2914" s="49" t="s">
        <v>11054</v>
      </c>
    </row>
    <row r="2915" spans="1:13" x14ac:dyDescent="0.35">
      <c r="A2915" s="49" t="s">
        <v>11055</v>
      </c>
      <c r="B2915" s="49" t="s">
        <v>11048</v>
      </c>
      <c r="C2915" s="49" t="s">
        <v>4736</v>
      </c>
      <c r="D2915" s="49" t="s">
        <v>1264</v>
      </c>
      <c r="E2915" s="49" t="s">
        <v>2986</v>
      </c>
      <c r="F2915" s="49" t="s">
        <v>2825</v>
      </c>
      <c r="G2915" s="49" t="s">
        <v>4891</v>
      </c>
      <c r="H2915" s="49" t="s">
        <v>2827</v>
      </c>
      <c r="I2915" s="50">
        <v>44734</v>
      </c>
      <c r="M2915" s="49" t="s">
        <v>11056</v>
      </c>
    </row>
    <row r="2916" spans="1:13" x14ac:dyDescent="0.35">
      <c r="A2916" s="49" t="s">
        <v>11057</v>
      </c>
      <c r="C2916" s="49" t="s">
        <v>6045</v>
      </c>
      <c r="D2916" s="49" t="s">
        <v>1264</v>
      </c>
      <c r="E2916" s="49" t="s">
        <v>2774</v>
      </c>
      <c r="F2916" s="49" t="s">
        <v>2825</v>
      </c>
      <c r="G2916" s="49" t="s">
        <v>4891</v>
      </c>
      <c r="H2916" s="49" t="s">
        <v>2827</v>
      </c>
      <c r="I2916" s="50">
        <v>44746</v>
      </c>
      <c r="M2916" s="49" t="s">
        <v>11058</v>
      </c>
    </row>
    <row r="2917" spans="1:13" x14ac:dyDescent="0.35">
      <c r="A2917" s="49" t="s">
        <v>11059</v>
      </c>
      <c r="C2917" s="49" t="s">
        <v>6045</v>
      </c>
      <c r="D2917" s="49" t="s">
        <v>1264</v>
      </c>
      <c r="E2917" s="49" t="s">
        <v>2974</v>
      </c>
      <c r="F2917" s="49" t="s">
        <v>2825</v>
      </c>
      <c r="G2917" s="49" t="s">
        <v>2776</v>
      </c>
      <c r="H2917" s="49" t="s">
        <v>2827</v>
      </c>
      <c r="I2917" s="50">
        <v>44746</v>
      </c>
      <c r="M2917" s="49" t="s">
        <v>11060</v>
      </c>
    </row>
    <row r="2918" spans="1:13" x14ac:dyDescent="0.35">
      <c r="A2918" s="49" t="s">
        <v>11061</v>
      </c>
      <c r="C2918" s="49" t="s">
        <v>11062</v>
      </c>
      <c r="D2918" s="49" t="s">
        <v>1264</v>
      </c>
      <c r="E2918" s="49" t="s">
        <v>2774</v>
      </c>
      <c r="F2918" s="49" t="s">
        <v>2825</v>
      </c>
      <c r="G2918" s="49" t="s">
        <v>2776</v>
      </c>
      <c r="H2918" s="49" t="s">
        <v>2827</v>
      </c>
      <c r="I2918" s="50">
        <v>44747</v>
      </c>
      <c r="M2918" s="49" t="s">
        <v>11063</v>
      </c>
    </row>
    <row r="2919" spans="1:13" x14ac:dyDescent="0.35">
      <c r="A2919" s="49" t="s">
        <v>11064</v>
      </c>
      <c r="C2919" s="49" t="s">
        <v>4835</v>
      </c>
      <c r="D2919" s="49" t="s">
        <v>1264</v>
      </c>
      <c r="E2919" s="49" t="s">
        <v>2774</v>
      </c>
      <c r="F2919" s="49" t="s">
        <v>4842</v>
      </c>
      <c r="G2919" s="49" t="s">
        <v>2776</v>
      </c>
      <c r="H2919" s="49" t="s">
        <v>2827</v>
      </c>
      <c r="I2919" s="50">
        <v>44760</v>
      </c>
      <c r="M2919" s="49" t="s">
        <v>11065</v>
      </c>
    </row>
    <row r="2920" spans="1:13" x14ac:dyDescent="0.35">
      <c r="A2920" s="49" t="s">
        <v>11066</v>
      </c>
      <c r="C2920" s="49" t="s">
        <v>11067</v>
      </c>
      <c r="D2920" s="49" t="s">
        <v>1264</v>
      </c>
      <c r="E2920" s="49" t="s">
        <v>2774</v>
      </c>
      <c r="F2920" s="49" t="s">
        <v>2900</v>
      </c>
      <c r="G2920" s="49" t="s">
        <v>4891</v>
      </c>
      <c r="H2920" s="49" t="s">
        <v>835</v>
      </c>
      <c r="I2920" s="50">
        <v>44761</v>
      </c>
      <c r="M2920" s="49" t="s">
        <v>11068</v>
      </c>
    </row>
    <row r="2921" spans="1:13" x14ac:dyDescent="0.35">
      <c r="A2921" s="49" t="s">
        <v>11069</v>
      </c>
      <c r="B2921" s="49" t="s">
        <v>11070</v>
      </c>
      <c r="C2921" s="49" t="s">
        <v>11071</v>
      </c>
      <c r="D2921" s="49" t="s">
        <v>1264</v>
      </c>
      <c r="E2921" s="49" t="s">
        <v>2785</v>
      </c>
      <c r="F2921" s="49" t="s">
        <v>2786</v>
      </c>
      <c r="G2921" s="49" t="s">
        <v>2776</v>
      </c>
      <c r="H2921" s="49" t="s">
        <v>980</v>
      </c>
      <c r="I2921" s="50">
        <v>44762</v>
      </c>
      <c r="M2921" s="49" t="s">
        <v>11072</v>
      </c>
    </row>
    <row r="2922" spans="1:13" x14ac:dyDescent="0.35">
      <c r="A2922" s="49" t="s">
        <v>11073</v>
      </c>
      <c r="C2922" s="49" t="s">
        <v>4725</v>
      </c>
      <c r="D2922" s="49" t="s">
        <v>1264</v>
      </c>
      <c r="E2922" s="49" t="s">
        <v>2908</v>
      </c>
      <c r="F2922" s="49" t="s">
        <v>2939</v>
      </c>
      <c r="G2922" s="49" t="s">
        <v>4891</v>
      </c>
      <c r="H2922" s="49" t="s">
        <v>980</v>
      </c>
      <c r="I2922" s="50">
        <v>44762</v>
      </c>
      <c r="M2922" s="49" t="s">
        <v>11074</v>
      </c>
    </row>
    <row r="2923" spans="1:13" x14ac:dyDescent="0.35">
      <c r="A2923" s="49" t="s">
        <v>11075</v>
      </c>
      <c r="B2923" s="49" t="s">
        <v>11076</v>
      </c>
      <c r="C2923" s="49" t="s">
        <v>4450</v>
      </c>
      <c r="D2923" s="49" t="s">
        <v>1264</v>
      </c>
      <c r="E2923" s="49" t="s">
        <v>2986</v>
      </c>
      <c r="F2923" s="49" t="s">
        <v>2825</v>
      </c>
      <c r="G2923" s="49" t="s">
        <v>2776</v>
      </c>
      <c r="H2923" s="49" t="s">
        <v>2827</v>
      </c>
      <c r="I2923" s="50">
        <v>44740</v>
      </c>
      <c r="M2923" s="49" t="s">
        <v>11077</v>
      </c>
    </row>
    <row r="2924" spans="1:13" x14ac:dyDescent="0.35">
      <c r="A2924" s="49" t="s">
        <v>11078</v>
      </c>
      <c r="B2924" s="49" t="s">
        <v>11079</v>
      </c>
      <c r="C2924" s="49" t="s">
        <v>4450</v>
      </c>
      <c r="D2924" s="49" t="s">
        <v>1264</v>
      </c>
      <c r="E2924" s="49" t="s">
        <v>2986</v>
      </c>
      <c r="F2924" s="49" t="s">
        <v>2825</v>
      </c>
      <c r="G2924" s="49" t="s">
        <v>2776</v>
      </c>
      <c r="H2924" s="49" t="s">
        <v>2827</v>
      </c>
      <c r="I2924" s="50">
        <v>44740</v>
      </c>
      <c r="M2924" s="49" t="s">
        <v>4570</v>
      </c>
    </row>
    <row r="2925" spans="1:13" x14ac:dyDescent="0.35">
      <c r="A2925" s="49" t="s">
        <v>11080</v>
      </c>
      <c r="C2925" s="49" t="s">
        <v>4146</v>
      </c>
      <c r="D2925" s="49" t="s">
        <v>1264</v>
      </c>
      <c r="E2925" s="49" t="s">
        <v>2814</v>
      </c>
      <c r="F2925" s="49" t="s">
        <v>2825</v>
      </c>
      <c r="G2925" s="49" t="s">
        <v>2776</v>
      </c>
      <c r="H2925" s="49" t="s">
        <v>2827</v>
      </c>
      <c r="I2925" s="50">
        <v>44767</v>
      </c>
      <c r="M2925" s="49" t="s">
        <v>11081</v>
      </c>
    </row>
    <row r="2926" spans="1:13" x14ac:dyDescent="0.35">
      <c r="A2926" s="49" t="s">
        <v>11082</v>
      </c>
      <c r="C2926" s="49" t="s">
        <v>4146</v>
      </c>
      <c r="D2926" s="49" t="s">
        <v>1264</v>
      </c>
      <c r="E2926" s="49" t="s">
        <v>2814</v>
      </c>
      <c r="F2926" s="49" t="s">
        <v>2825</v>
      </c>
      <c r="G2926" s="49" t="s">
        <v>2776</v>
      </c>
      <c r="H2926" s="49" t="s">
        <v>2827</v>
      </c>
      <c r="I2926" s="50">
        <v>44767</v>
      </c>
      <c r="M2926" s="49" t="s">
        <v>11083</v>
      </c>
    </row>
    <row r="2927" spans="1:13" x14ac:dyDescent="0.35">
      <c r="A2927" s="49" t="s">
        <v>11084</v>
      </c>
      <c r="B2927" s="49" t="s">
        <v>11085</v>
      </c>
      <c r="C2927" s="49" t="s">
        <v>11086</v>
      </c>
      <c r="D2927" s="49" t="s">
        <v>1264</v>
      </c>
      <c r="E2927" s="49" t="s">
        <v>2785</v>
      </c>
      <c r="F2927" s="49" t="s">
        <v>2786</v>
      </c>
      <c r="G2927" s="49" t="s">
        <v>2776</v>
      </c>
      <c r="H2927" s="49" t="s">
        <v>973</v>
      </c>
      <c r="I2927" s="50">
        <v>44620</v>
      </c>
      <c r="M2927" s="49" t="s">
        <v>11087</v>
      </c>
    </row>
    <row r="2928" spans="1:13" x14ac:dyDescent="0.35">
      <c r="A2928" s="49" t="s">
        <v>11088</v>
      </c>
      <c r="B2928" s="49" t="s">
        <v>6594</v>
      </c>
      <c r="C2928" s="49" t="s">
        <v>5290</v>
      </c>
      <c r="D2928" s="49" t="s">
        <v>1264</v>
      </c>
      <c r="E2928" s="49" t="s">
        <v>2785</v>
      </c>
      <c r="F2928" s="49" t="s">
        <v>4611</v>
      </c>
      <c r="G2928" s="49" t="s">
        <v>2776</v>
      </c>
      <c r="H2928" s="49" t="s">
        <v>980</v>
      </c>
      <c r="I2928" s="50">
        <v>44768</v>
      </c>
      <c r="M2928" s="49" t="s">
        <v>11089</v>
      </c>
    </row>
    <row r="2929" spans="1:13" x14ac:dyDescent="0.35">
      <c r="A2929" s="49" t="s">
        <v>11090</v>
      </c>
      <c r="C2929" s="49" t="s">
        <v>4977</v>
      </c>
      <c r="D2929" s="49" t="s">
        <v>1264</v>
      </c>
      <c r="E2929" s="49" t="s">
        <v>2814</v>
      </c>
      <c r="F2929" s="49" t="s">
        <v>2900</v>
      </c>
      <c r="G2929" s="49" t="s">
        <v>2776</v>
      </c>
      <c r="H2929" s="49" t="s">
        <v>3207</v>
      </c>
      <c r="I2929" s="50">
        <v>44770</v>
      </c>
      <c r="M2929" s="49" t="s">
        <v>11091</v>
      </c>
    </row>
    <row r="2930" spans="1:13" x14ac:dyDescent="0.35">
      <c r="A2930" s="49" t="s">
        <v>11092</v>
      </c>
      <c r="B2930" s="49" t="s">
        <v>11093</v>
      </c>
      <c r="C2930" s="49" t="s">
        <v>11094</v>
      </c>
      <c r="D2930" s="49" t="s">
        <v>1264</v>
      </c>
      <c r="E2930" s="49" t="s">
        <v>2986</v>
      </c>
      <c r="F2930" s="49" t="s">
        <v>2825</v>
      </c>
      <c r="G2930" s="49" t="s">
        <v>2776</v>
      </c>
      <c r="H2930" s="49" t="s">
        <v>2827</v>
      </c>
      <c r="I2930" s="50">
        <v>44764</v>
      </c>
      <c r="M2930" s="49" t="s">
        <v>11095</v>
      </c>
    </row>
    <row r="2931" spans="1:13" x14ac:dyDescent="0.35">
      <c r="A2931" s="49" t="s">
        <v>11096</v>
      </c>
      <c r="C2931" s="49" t="s">
        <v>4195</v>
      </c>
      <c r="D2931" s="49" t="s">
        <v>1264</v>
      </c>
      <c r="E2931" s="49" t="s">
        <v>2974</v>
      </c>
      <c r="F2931" s="49" t="s">
        <v>4196</v>
      </c>
      <c r="G2931" s="49" t="s">
        <v>2826</v>
      </c>
      <c r="H2931" s="49" t="s">
        <v>973</v>
      </c>
      <c r="I2931" s="50">
        <v>44791</v>
      </c>
      <c r="M2931" s="49" t="s">
        <v>4197</v>
      </c>
    </row>
    <row r="2932" spans="1:13" x14ac:dyDescent="0.35">
      <c r="A2932" s="49" t="s">
        <v>11097</v>
      </c>
      <c r="C2932" s="49" t="s">
        <v>11098</v>
      </c>
      <c r="D2932" s="49" t="s">
        <v>1264</v>
      </c>
      <c r="E2932" s="49" t="s">
        <v>2986</v>
      </c>
      <c r="F2932" s="49" t="s">
        <v>2825</v>
      </c>
      <c r="G2932" s="49" t="s">
        <v>2776</v>
      </c>
      <c r="H2932" s="49" t="s">
        <v>2827</v>
      </c>
      <c r="I2932" s="50">
        <v>44790</v>
      </c>
      <c r="M2932" s="49" t="s">
        <v>11099</v>
      </c>
    </row>
    <row r="2933" spans="1:13" x14ac:dyDescent="0.35">
      <c r="A2933" s="49" t="s">
        <v>11100</v>
      </c>
      <c r="C2933" s="49" t="s">
        <v>4587</v>
      </c>
      <c r="D2933" s="49" t="s">
        <v>1264</v>
      </c>
      <c r="E2933" s="49" t="s">
        <v>2908</v>
      </c>
      <c r="F2933" s="49" t="s">
        <v>2939</v>
      </c>
      <c r="G2933" s="49" t="s">
        <v>4891</v>
      </c>
      <c r="H2933" s="49" t="s">
        <v>980</v>
      </c>
      <c r="I2933" s="50">
        <v>44430</v>
      </c>
      <c r="M2933" s="49" t="s">
        <v>11101</v>
      </c>
    </row>
    <row r="2934" spans="1:13" x14ac:dyDescent="0.35">
      <c r="A2934" s="49" t="s">
        <v>11102</v>
      </c>
      <c r="B2934" s="49" t="s">
        <v>2849</v>
      </c>
      <c r="C2934" s="49" t="s">
        <v>11103</v>
      </c>
      <c r="D2934" s="49" t="s">
        <v>1264</v>
      </c>
      <c r="E2934" s="49" t="s">
        <v>2785</v>
      </c>
      <c r="F2934" s="49" t="s">
        <v>2792</v>
      </c>
      <c r="G2934" s="49" t="s">
        <v>2776</v>
      </c>
      <c r="H2934" s="49" t="s">
        <v>980</v>
      </c>
      <c r="I2934" s="50">
        <v>44749</v>
      </c>
      <c r="M2934" s="49" t="s">
        <v>11104</v>
      </c>
    </row>
    <row r="2935" spans="1:13" x14ac:dyDescent="0.35">
      <c r="A2935" s="49" t="s">
        <v>11105</v>
      </c>
      <c r="B2935" s="49" t="s">
        <v>2867</v>
      </c>
      <c r="C2935" s="49" t="s">
        <v>11106</v>
      </c>
      <c r="D2935" s="49" t="s">
        <v>1264</v>
      </c>
      <c r="E2935" s="49" t="s">
        <v>2785</v>
      </c>
      <c r="F2935" s="49" t="s">
        <v>2792</v>
      </c>
      <c r="G2935" s="49" t="s">
        <v>2776</v>
      </c>
      <c r="H2935" s="49" t="s">
        <v>8</v>
      </c>
      <c r="I2935" s="50">
        <v>44585</v>
      </c>
      <c r="M2935" s="49" t="s">
        <v>11107</v>
      </c>
    </row>
    <row r="2936" spans="1:13" x14ac:dyDescent="0.35">
      <c r="A2936" s="49" t="s">
        <v>11108</v>
      </c>
      <c r="C2936" s="49" t="s">
        <v>11109</v>
      </c>
      <c r="D2936" s="49" t="s">
        <v>1264</v>
      </c>
      <c r="E2936" s="49" t="s">
        <v>2774</v>
      </c>
      <c r="F2936" s="49" t="s">
        <v>2900</v>
      </c>
      <c r="G2936" s="49" t="s">
        <v>2826</v>
      </c>
      <c r="H2936" s="49" t="s">
        <v>980</v>
      </c>
      <c r="I2936" s="50">
        <v>44810</v>
      </c>
      <c r="M2936" s="49" t="s">
        <v>11110</v>
      </c>
    </row>
    <row r="2937" spans="1:13" x14ac:dyDescent="0.35">
      <c r="A2937" s="49" t="s">
        <v>11111</v>
      </c>
      <c r="C2937" s="49" t="s">
        <v>11109</v>
      </c>
      <c r="D2937" s="49" t="s">
        <v>1264</v>
      </c>
      <c r="E2937" s="49" t="s">
        <v>2774</v>
      </c>
      <c r="F2937" s="49" t="s">
        <v>2900</v>
      </c>
      <c r="G2937" s="49" t="s">
        <v>2826</v>
      </c>
      <c r="H2937" s="49" t="s">
        <v>980</v>
      </c>
      <c r="I2937" s="50">
        <v>44810</v>
      </c>
      <c r="M2937" s="49" t="s">
        <v>11112</v>
      </c>
    </row>
    <row r="2938" spans="1:13" x14ac:dyDescent="0.35">
      <c r="A2938" s="49" t="s">
        <v>11113</v>
      </c>
      <c r="C2938" s="49" t="s">
        <v>5770</v>
      </c>
      <c r="D2938" s="49" t="s">
        <v>1264</v>
      </c>
      <c r="E2938" s="49" t="s">
        <v>2908</v>
      </c>
      <c r="F2938" s="49" t="s">
        <v>2939</v>
      </c>
      <c r="G2938" s="49" t="s">
        <v>4891</v>
      </c>
      <c r="H2938" s="49" t="s">
        <v>980</v>
      </c>
      <c r="I2938" s="50">
        <v>44748</v>
      </c>
      <c r="M2938" s="49" t="s">
        <v>11114</v>
      </c>
    </row>
    <row r="2939" spans="1:13" x14ac:dyDescent="0.35">
      <c r="A2939" s="49" t="s">
        <v>11115</v>
      </c>
      <c r="B2939" s="49" t="s">
        <v>3784</v>
      </c>
      <c r="C2939" s="49" t="s">
        <v>4086</v>
      </c>
      <c r="D2939" s="49" t="s">
        <v>1264</v>
      </c>
      <c r="E2939" s="49" t="s">
        <v>2908</v>
      </c>
      <c r="F2939" s="49" t="s">
        <v>2837</v>
      </c>
      <c r="G2939" s="49" t="s">
        <v>4891</v>
      </c>
      <c r="H2939" s="49" t="s">
        <v>2827</v>
      </c>
      <c r="I2939" s="50">
        <v>44764</v>
      </c>
      <c r="M2939" s="49" t="s">
        <v>11116</v>
      </c>
    </row>
    <row r="2940" spans="1:13" x14ac:dyDescent="0.35">
      <c r="A2940" s="49" t="s">
        <v>11117</v>
      </c>
      <c r="B2940" s="49" t="s">
        <v>11118</v>
      </c>
      <c r="C2940" s="49" t="s">
        <v>4086</v>
      </c>
      <c r="D2940" s="49" t="s">
        <v>1264</v>
      </c>
      <c r="E2940" s="49" t="s">
        <v>2908</v>
      </c>
      <c r="F2940" s="49" t="s">
        <v>2837</v>
      </c>
      <c r="G2940" s="49" t="s">
        <v>4891</v>
      </c>
      <c r="H2940" s="49" t="s">
        <v>2827</v>
      </c>
      <c r="I2940" s="50">
        <v>44762</v>
      </c>
      <c r="M2940" s="49" t="s">
        <v>11119</v>
      </c>
    </row>
    <row r="2941" spans="1:13" x14ac:dyDescent="0.35">
      <c r="A2941" s="49" t="s">
        <v>11120</v>
      </c>
      <c r="C2941" s="49" t="s">
        <v>5165</v>
      </c>
      <c r="D2941" s="49" t="s">
        <v>1264</v>
      </c>
      <c r="E2941" s="49" t="s">
        <v>2986</v>
      </c>
      <c r="F2941" s="49" t="s">
        <v>2825</v>
      </c>
      <c r="G2941" s="49" t="s">
        <v>4891</v>
      </c>
      <c r="H2941" s="49" t="s">
        <v>2827</v>
      </c>
      <c r="I2941" s="50">
        <v>44816</v>
      </c>
      <c r="M2941" s="49" t="s">
        <v>11121</v>
      </c>
    </row>
    <row r="2942" spans="1:13" x14ac:dyDescent="0.35">
      <c r="A2942" s="49" t="s">
        <v>11122</v>
      </c>
      <c r="B2942" s="49" t="s">
        <v>11123</v>
      </c>
      <c r="C2942" s="49" t="s">
        <v>4990</v>
      </c>
      <c r="D2942" s="49" t="s">
        <v>1264</v>
      </c>
      <c r="E2942" s="49" t="s">
        <v>2774</v>
      </c>
      <c r="F2942" s="49" t="s">
        <v>11124</v>
      </c>
      <c r="G2942" s="49" t="s">
        <v>2776</v>
      </c>
      <c r="H2942" s="49" t="s">
        <v>2827</v>
      </c>
      <c r="I2942" s="50">
        <v>44825</v>
      </c>
      <c r="M2942" s="49" t="s">
        <v>11125</v>
      </c>
    </row>
    <row r="2943" spans="1:13" x14ac:dyDescent="0.35">
      <c r="A2943" s="49" t="s">
        <v>11126</v>
      </c>
      <c r="B2943" s="49" t="s">
        <v>11127</v>
      </c>
      <c r="C2943" s="49" t="s">
        <v>11128</v>
      </c>
      <c r="D2943" s="49" t="s">
        <v>1264</v>
      </c>
      <c r="E2943" s="49" t="s">
        <v>2873</v>
      </c>
      <c r="F2943" s="49" t="s">
        <v>2792</v>
      </c>
      <c r="G2943" s="49" t="s">
        <v>4891</v>
      </c>
      <c r="H2943" s="49" t="s">
        <v>980</v>
      </c>
      <c r="I2943" s="50">
        <v>44762</v>
      </c>
      <c r="M2943" s="49" t="s">
        <v>11129</v>
      </c>
    </row>
    <row r="2944" spans="1:13" x14ac:dyDescent="0.35">
      <c r="A2944" s="49" t="s">
        <v>11130</v>
      </c>
      <c r="B2944" s="49" t="s">
        <v>4293</v>
      </c>
      <c r="C2944" s="49" t="s">
        <v>4061</v>
      </c>
      <c r="D2944" s="49" t="s">
        <v>1264</v>
      </c>
      <c r="E2944" s="49" t="s">
        <v>2785</v>
      </c>
      <c r="F2944" s="49" t="s">
        <v>2786</v>
      </c>
      <c r="G2944" s="49" t="s">
        <v>2776</v>
      </c>
      <c r="H2944" s="49" t="s">
        <v>980</v>
      </c>
      <c r="I2944" s="50">
        <v>44797</v>
      </c>
      <c r="M2944" s="49" t="s">
        <v>11131</v>
      </c>
    </row>
    <row r="2945" spans="1:13" x14ac:dyDescent="0.35">
      <c r="A2945" s="49" t="s">
        <v>11132</v>
      </c>
      <c r="B2945" s="49" t="s">
        <v>11133</v>
      </c>
      <c r="C2945" s="49" t="s">
        <v>11134</v>
      </c>
      <c r="D2945" s="49" t="s">
        <v>1264</v>
      </c>
      <c r="E2945" s="49" t="s">
        <v>2785</v>
      </c>
      <c r="F2945" s="49" t="s">
        <v>2792</v>
      </c>
      <c r="G2945" s="49" t="s">
        <v>2776</v>
      </c>
      <c r="H2945" s="49" t="s">
        <v>980</v>
      </c>
      <c r="I2945" s="50">
        <v>44762</v>
      </c>
      <c r="M2945" s="49" t="s">
        <v>11135</v>
      </c>
    </row>
    <row r="2946" spans="1:13" x14ac:dyDescent="0.35">
      <c r="A2946" s="49" t="s">
        <v>11136</v>
      </c>
      <c r="C2946" s="49" t="s">
        <v>5467</v>
      </c>
      <c r="D2946" s="49" t="s">
        <v>1264</v>
      </c>
      <c r="E2946" s="49" t="s">
        <v>2774</v>
      </c>
      <c r="F2946" s="49" t="s">
        <v>2825</v>
      </c>
      <c r="G2946" s="49" t="s">
        <v>4891</v>
      </c>
      <c r="H2946" s="49" t="s">
        <v>973</v>
      </c>
      <c r="I2946" s="50">
        <v>44789</v>
      </c>
      <c r="M2946" s="49" t="s">
        <v>11137</v>
      </c>
    </row>
    <row r="2947" spans="1:13" x14ac:dyDescent="0.35">
      <c r="A2947" s="49" t="s">
        <v>11138</v>
      </c>
      <c r="C2947" s="49" t="s">
        <v>5179</v>
      </c>
      <c r="D2947" s="49" t="s">
        <v>1264</v>
      </c>
      <c r="E2947" s="49" t="s">
        <v>2986</v>
      </c>
      <c r="F2947" s="49" t="s">
        <v>2825</v>
      </c>
      <c r="G2947" s="49" t="s">
        <v>4891</v>
      </c>
      <c r="H2947" s="49" t="s">
        <v>2827</v>
      </c>
      <c r="I2947" s="50">
        <v>44780</v>
      </c>
      <c r="M2947" s="49" t="s">
        <v>11139</v>
      </c>
    </row>
    <row r="2948" spans="1:13" x14ac:dyDescent="0.35">
      <c r="A2948" s="49" t="s">
        <v>11140</v>
      </c>
      <c r="B2948" s="49" t="s">
        <v>11141</v>
      </c>
      <c r="C2948" s="49" t="s">
        <v>11142</v>
      </c>
      <c r="D2948" s="49" t="s">
        <v>1264</v>
      </c>
      <c r="E2948" s="49" t="s">
        <v>2986</v>
      </c>
      <c r="F2948" s="49" t="s">
        <v>2825</v>
      </c>
      <c r="G2948" s="49" t="s">
        <v>2776</v>
      </c>
      <c r="H2948" s="49" t="s">
        <v>2827</v>
      </c>
      <c r="I2948" s="50">
        <v>44833</v>
      </c>
      <c r="M2948" s="49" t="s">
        <v>11143</v>
      </c>
    </row>
    <row r="2949" spans="1:13" x14ac:dyDescent="0.35">
      <c r="A2949" s="49" t="s">
        <v>11144</v>
      </c>
      <c r="B2949" s="49" t="s">
        <v>11145</v>
      </c>
      <c r="C2949" s="49" t="s">
        <v>4491</v>
      </c>
      <c r="D2949" s="49" t="s">
        <v>1264</v>
      </c>
      <c r="E2949" s="49" t="s">
        <v>2774</v>
      </c>
      <c r="F2949" s="49" t="s">
        <v>2825</v>
      </c>
      <c r="G2949" s="49" t="s">
        <v>2776</v>
      </c>
      <c r="H2949" s="49" t="s">
        <v>2827</v>
      </c>
      <c r="I2949" s="50">
        <v>44837</v>
      </c>
      <c r="M2949" s="49" t="s">
        <v>7964</v>
      </c>
    </row>
    <row r="2950" spans="1:13" x14ac:dyDescent="0.35">
      <c r="A2950" s="49" t="s">
        <v>11146</v>
      </c>
      <c r="C2950" s="49" t="s">
        <v>11147</v>
      </c>
      <c r="D2950" s="49" t="s">
        <v>1264</v>
      </c>
      <c r="E2950" s="49" t="s">
        <v>2908</v>
      </c>
      <c r="F2950" s="49" t="s">
        <v>2837</v>
      </c>
      <c r="G2950" s="49" t="s">
        <v>4891</v>
      </c>
      <c r="H2950" s="49" t="s">
        <v>2827</v>
      </c>
      <c r="I2950" s="50">
        <v>44819</v>
      </c>
      <c r="M2950" s="49" t="s">
        <v>11148</v>
      </c>
    </row>
    <row r="2951" spans="1:13" x14ac:dyDescent="0.35">
      <c r="A2951" s="49" t="s">
        <v>11149</v>
      </c>
      <c r="B2951" s="49" t="s">
        <v>11150</v>
      </c>
      <c r="C2951" s="49" t="s">
        <v>4310</v>
      </c>
      <c r="D2951" s="49" t="s">
        <v>1264</v>
      </c>
      <c r="E2951" s="49" t="s">
        <v>2986</v>
      </c>
      <c r="F2951" s="49" t="s">
        <v>2825</v>
      </c>
      <c r="G2951" s="49" t="s">
        <v>4891</v>
      </c>
      <c r="H2951" s="49" t="s">
        <v>2827</v>
      </c>
      <c r="I2951" s="50">
        <v>44839</v>
      </c>
      <c r="M2951" s="49" t="s">
        <v>11151</v>
      </c>
    </row>
    <row r="2952" spans="1:13" x14ac:dyDescent="0.35">
      <c r="A2952" s="49" t="s">
        <v>11152</v>
      </c>
      <c r="B2952" s="49" t="s">
        <v>11153</v>
      </c>
      <c r="C2952" s="49" t="s">
        <v>6613</v>
      </c>
      <c r="D2952" s="49" t="s">
        <v>1264</v>
      </c>
      <c r="E2952" s="49" t="s">
        <v>2774</v>
      </c>
      <c r="F2952" s="49" t="s">
        <v>4842</v>
      </c>
      <c r="G2952" s="49" t="s">
        <v>2776</v>
      </c>
      <c r="H2952" s="49" t="s">
        <v>2827</v>
      </c>
      <c r="I2952" s="50">
        <v>44841</v>
      </c>
      <c r="M2952" s="49" t="s">
        <v>11154</v>
      </c>
    </row>
    <row r="2953" spans="1:13" x14ac:dyDescent="0.35">
      <c r="A2953" s="49" t="s">
        <v>11155</v>
      </c>
      <c r="C2953" s="49" t="s">
        <v>14</v>
      </c>
      <c r="D2953" s="49" t="s">
        <v>1264</v>
      </c>
      <c r="E2953" s="49" t="s">
        <v>2986</v>
      </c>
      <c r="F2953" s="49" t="s">
        <v>2825</v>
      </c>
      <c r="G2953" s="49" t="s">
        <v>2776</v>
      </c>
      <c r="H2953" s="49" t="s">
        <v>2827</v>
      </c>
      <c r="I2953" s="50">
        <v>44826</v>
      </c>
      <c r="M2953" s="49" t="s">
        <v>11156</v>
      </c>
    </row>
    <row r="2954" spans="1:13" x14ac:dyDescent="0.35">
      <c r="A2954" s="49" t="s">
        <v>11157</v>
      </c>
      <c r="B2954" s="49" t="s">
        <v>6040</v>
      </c>
      <c r="C2954" s="49" t="s">
        <v>5159</v>
      </c>
      <c r="D2954" s="49" t="s">
        <v>1264</v>
      </c>
      <c r="E2954" s="49" t="s">
        <v>2785</v>
      </c>
      <c r="F2954" s="49" t="s">
        <v>2792</v>
      </c>
      <c r="G2954" s="49" t="s">
        <v>2776</v>
      </c>
      <c r="H2954" s="49" t="s">
        <v>980</v>
      </c>
      <c r="I2954" s="50">
        <v>44830</v>
      </c>
      <c r="M2954" s="49" t="s">
        <v>11158</v>
      </c>
    </row>
    <row r="2955" spans="1:13" ht="29" x14ac:dyDescent="0.35">
      <c r="A2955" s="49" t="s">
        <v>11159</v>
      </c>
      <c r="B2955" s="51" t="s">
        <v>11160</v>
      </c>
      <c r="C2955" s="49" t="s">
        <v>4805</v>
      </c>
      <c r="D2955" s="49" t="s">
        <v>1264</v>
      </c>
      <c r="E2955" s="49" t="s">
        <v>2774</v>
      </c>
      <c r="F2955" s="49" t="s">
        <v>2825</v>
      </c>
      <c r="G2955" s="49" t="s">
        <v>4891</v>
      </c>
      <c r="H2955" s="49" t="s">
        <v>2827</v>
      </c>
      <c r="I2955" s="50">
        <v>44860</v>
      </c>
      <c r="M2955" s="49" t="s">
        <v>11161</v>
      </c>
    </row>
    <row r="2956" spans="1:13" x14ac:dyDescent="0.35">
      <c r="A2956" s="49" t="s">
        <v>11162</v>
      </c>
      <c r="C2956" s="49" t="s">
        <v>11163</v>
      </c>
      <c r="D2956" s="49" t="s">
        <v>1264</v>
      </c>
      <c r="E2956" s="49" t="s">
        <v>2814</v>
      </c>
      <c r="F2956" s="49" t="s">
        <v>2825</v>
      </c>
      <c r="G2956" s="49" t="s">
        <v>2776</v>
      </c>
      <c r="H2956" s="49" t="s">
        <v>2827</v>
      </c>
      <c r="I2956" s="50">
        <v>44868</v>
      </c>
      <c r="M2956" s="49" t="s">
        <v>3100</v>
      </c>
    </row>
    <row r="2957" spans="1:13" x14ac:dyDescent="0.35">
      <c r="A2957" s="49" t="s">
        <v>11164</v>
      </c>
      <c r="B2957" s="49" t="s">
        <v>8473</v>
      </c>
      <c r="C2957" s="49" t="s">
        <v>11165</v>
      </c>
      <c r="D2957" s="49" t="s">
        <v>1264</v>
      </c>
      <c r="E2957" s="49" t="s">
        <v>2774</v>
      </c>
      <c r="F2957" s="49" t="s">
        <v>4842</v>
      </c>
      <c r="G2957" s="49" t="s">
        <v>2776</v>
      </c>
      <c r="H2957" s="49" t="s">
        <v>2827</v>
      </c>
      <c r="I2957" s="50">
        <v>44868</v>
      </c>
      <c r="M2957" s="49" t="s">
        <v>3782</v>
      </c>
    </row>
    <row r="2958" spans="1:13" x14ac:dyDescent="0.35">
      <c r="A2958" s="49" t="s">
        <v>11166</v>
      </c>
      <c r="C2958" s="49" t="s">
        <v>11167</v>
      </c>
      <c r="D2958" s="49" t="s">
        <v>1264</v>
      </c>
      <c r="E2958" s="49" t="s">
        <v>2814</v>
      </c>
      <c r="F2958" s="49" t="s">
        <v>2825</v>
      </c>
      <c r="G2958" s="49" t="s">
        <v>2776</v>
      </c>
      <c r="H2958" s="49" t="s">
        <v>2827</v>
      </c>
      <c r="I2958" s="50">
        <v>44879</v>
      </c>
      <c r="M2958" s="49" t="s">
        <v>11168</v>
      </c>
    </row>
    <row r="2959" spans="1:13" x14ac:dyDescent="0.35">
      <c r="A2959" s="49" t="s">
        <v>11169</v>
      </c>
      <c r="C2959" s="49" t="s">
        <v>3724</v>
      </c>
      <c r="D2959" s="49" t="s">
        <v>1264</v>
      </c>
      <c r="E2959" s="49" t="s">
        <v>2908</v>
      </c>
      <c r="F2959" s="49" t="s">
        <v>2837</v>
      </c>
      <c r="G2959" s="49" t="s">
        <v>4891</v>
      </c>
      <c r="H2959" s="49" t="s">
        <v>2827</v>
      </c>
      <c r="I2959" s="50">
        <v>44882</v>
      </c>
      <c r="M2959" s="49" t="s">
        <v>11170</v>
      </c>
    </row>
    <row r="2960" spans="1:13" x14ac:dyDescent="0.35">
      <c r="A2960" s="49" t="s">
        <v>11171</v>
      </c>
      <c r="C2960" s="49" t="s">
        <v>4525</v>
      </c>
      <c r="D2960" s="49" t="s">
        <v>1264</v>
      </c>
      <c r="E2960" s="49" t="s">
        <v>2814</v>
      </c>
      <c r="F2960" s="49" t="s">
        <v>2837</v>
      </c>
      <c r="G2960" s="49" t="s">
        <v>2776</v>
      </c>
      <c r="H2960" s="49" t="s">
        <v>980</v>
      </c>
      <c r="I2960" s="50">
        <v>44881</v>
      </c>
      <c r="M2960" s="49" t="s">
        <v>11172</v>
      </c>
    </row>
    <row r="2961" spans="1:13" x14ac:dyDescent="0.35">
      <c r="A2961" s="49" t="s">
        <v>11173</v>
      </c>
      <c r="B2961" s="49" t="s">
        <v>11174</v>
      </c>
      <c r="C2961" s="49" t="s">
        <v>4935</v>
      </c>
      <c r="D2961" s="49" t="s">
        <v>1264</v>
      </c>
      <c r="E2961" s="49" t="s">
        <v>2785</v>
      </c>
      <c r="F2961" s="49" t="s">
        <v>2792</v>
      </c>
      <c r="G2961" s="49" t="s">
        <v>2776</v>
      </c>
      <c r="H2961" s="49" t="s">
        <v>3207</v>
      </c>
      <c r="I2961" s="50">
        <v>44848</v>
      </c>
      <c r="M2961" s="49" t="s">
        <v>11175</v>
      </c>
    </row>
    <row r="2962" spans="1:13" x14ac:dyDescent="0.35">
      <c r="A2962" s="49" t="s">
        <v>11176</v>
      </c>
      <c r="C2962" s="49" t="s">
        <v>4638</v>
      </c>
      <c r="D2962" s="49" t="s">
        <v>1264</v>
      </c>
      <c r="E2962" s="49" t="s">
        <v>2908</v>
      </c>
      <c r="F2962" s="49" t="s">
        <v>2837</v>
      </c>
      <c r="G2962" s="49" t="s">
        <v>4891</v>
      </c>
      <c r="H2962" s="49" t="s">
        <v>8</v>
      </c>
      <c r="I2962" s="50">
        <v>44449</v>
      </c>
      <c r="M2962" s="49" t="s">
        <v>11177</v>
      </c>
    </row>
    <row r="2963" spans="1:13" x14ac:dyDescent="0.35">
      <c r="A2963" s="49" t="s">
        <v>11178</v>
      </c>
      <c r="B2963" s="49" t="s">
        <v>4809</v>
      </c>
      <c r="C2963" s="49" t="s">
        <v>5101</v>
      </c>
      <c r="D2963" s="49" t="s">
        <v>1264</v>
      </c>
      <c r="E2963" s="49" t="s">
        <v>2986</v>
      </c>
      <c r="F2963" s="49" t="s">
        <v>2825</v>
      </c>
      <c r="G2963" s="49" t="s">
        <v>4891</v>
      </c>
      <c r="H2963" s="49" t="s">
        <v>2827</v>
      </c>
      <c r="I2963" s="50">
        <v>44876</v>
      </c>
      <c r="M2963" s="49" t="s">
        <v>11179</v>
      </c>
    </row>
    <row r="2964" spans="1:13" x14ac:dyDescent="0.35">
      <c r="A2964" s="49" t="s">
        <v>11180</v>
      </c>
      <c r="C2964" s="49" t="s">
        <v>11181</v>
      </c>
      <c r="D2964" s="49" t="s">
        <v>1264</v>
      </c>
      <c r="E2964" s="49" t="s">
        <v>2974</v>
      </c>
      <c r="F2964" s="49" t="s">
        <v>2825</v>
      </c>
      <c r="G2964" s="49" t="s">
        <v>2826</v>
      </c>
      <c r="H2964" s="49" t="s">
        <v>2827</v>
      </c>
      <c r="I2964" s="50">
        <v>44881</v>
      </c>
      <c r="M2964" s="49" t="s">
        <v>11182</v>
      </c>
    </row>
    <row r="2965" spans="1:13" x14ac:dyDescent="0.35">
      <c r="A2965" s="49" t="s">
        <v>11183</v>
      </c>
      <c r="B2965" s="49" t="s">
        <v>10932</v>
      </c>
      <c r="C2965" s="49" t="s">
        <v>4814</v>
      </c>
      <c r="D2965" s="49" t="s">
        <v>1264</v>
      </c>
      <c r="E2965" s="49" t="s">
        <v>2785</v>
      </c>
      <c r="F2965" s="49" t="s">
        <v>2792</v>
      </c>
      <c r="G2965" s="49" t="s">
        <v>2776</v>
      </c>
      <c r="H2965" s="49" t="s">
        <v>980</v>
      </c>
      <c r="I2965" s="50">
        <v>44641</v>
      </c>
      <c r="M2965" s="49" t="s">
        <v>11184</v>
      </c>
    </row>
    <row r="2966" spans="1:13" x14ac:dyDescent="0.35">
      <c r="A2966" s="49" t="s">
        <v>11185</v>
      </c>
      <c r="B2966" s="49" t="s">
        <v>4231</v>
      </c>
      <c r="C2966" s="49" t="s">
        <v>4232</v>
      </c>
      <c r="D2966" s="49" t="s">
        <v>1264</v>
      </c>
      <c r="E2966" s="49" t="s">
        <v>2908</v>
      </c>
      <c r="F2966" s="49" t="s">
        <v>3898</v>
      </c>
      <c r="G2966" s="49" t="s">
        <v>4891</v>
      </c>
      <c r="H2966" s="49" t="s">
        <v>2827</v>
      </c>
      <c r="I2966" s="50">
        <v>44894</v>
      </c>
      <c r="M2966" s="49" t="s">
        <v>11186</v>
      </c>
    </row>
    <row r="2967" spans="1:13" x14ac:dyDescent="0.35">
      <c r="A2967" s="49" t="s">
        <v>11187</v>
      </c>
      <c r="B2967" s="49" t="s">
        <v>11188</v>
      </c>
      <c r="C2967" s="49" t="s">
        <v>3473</v>
      </c>
      <c r="D2967" s="49" t="s">
        <v>1264</v>
      </c>
      <c r="E2967" s="49" t="s">
        <v>2774</v>
      </c>
      <c r="F2967" s="49" t="s">
        <v>4842</v>
      </c>
      <c r="G2967" s="49" t="s">
        <v>2776</v>
      </c>
      <c r="H2967" s="49" t="s">
        <v>2827</v>
      </c>
      <c r="I2967" s="50">
        <v>44895</v>
      </c>
      <c r="M2967" s="49" t="s">
        <v>11189</v>
      </c>
    </row>
    <row r="2968" spans="1:13" x14ac:dyDescent="0.35">
      <c r="A2968" s="49" t="s">
        <v>11190</v>
      </c>
      <c r="C2968" s="49" t="s">
        <v>5223</v>
      </c>
      <c r="D2968" s="49" t="s">
        <v>1264</v>
      </c>
      <c r="E2968" s="49" t="s">
        <v>2814</v>
      </c>
      <c r="F2968" s="49" t="s">
        <v>2825</v>
      </c>
      <c r="G2968" s="49" t="s">
        <v>2776</v>
      </c>
      <c r="H2968" s="49" t="s">
        <v>973</v>
      </c>
      <c r="I2968" s="50">
        <v>44895</v>
      </c>
      <c r="M2968" s="49" t="s">
        <v>11191</v>
      </c>
    </row>
    <row r="2969" spans="1:13" x14ac:dyDescent="0.35">
      <c r="A2969" s="49" t="s">
        <v>11192</v>
      </c>
      <c r="C2969" s="49" t="s">
        <v>11193</v>
      </c>
      <c r="D2969" s="49" t="s">
        <v>1264</v>
      </c>
      <c r="E2969" s="49" t="s">
        <v>2986</v>
      </c>
      <c r="F2969" s="49" t="s">
        <v>2825</v>
      </c>
      <c r="G2969" s="49" t="s">
        <v>4891</v>
      </c>
      <c r="H2969" s="49" t="s">
        <v>2827</v>
      </c>
      <c r="I2969" s="50">
        <v>44887</v>
      </c>
      <c r="M2969" s="49" t="s">
        <v>3270</v>
      </c>
    </row>
    <row r="2970" spans="1:13" x14ac:dyDescent="0.35">
      <c r="A2970" s="49" t="s">
        <v>11194</v>
      </c>
      <c r="B2970" s="49" t="s">
        <v>3021</v>
      </c>
      <c r="C2970" s="49" t="s">
        <v>3947</v>
      </c>
      <c r="D2970" s="49" t="s">
        <v>1264</v>
      </c>
      <c r="E2970" s="49" t="s">
        <v>2774</v>
      </c>
      <c r="F2970" s="49" t="s">
        <v>2900</v>
      </c>
      <c r="G2970" s="49" t="s">
        <v>4891</v>
      </c>
      <c r="H2970" s="49" t="s">
        <v>2832</v>
      </c>
      <c r="I2970" s="50">
        <v>44881</v>
      </c>
      <c r="M2970" s="49" t="s">
        <v>11195</v>
      </c>
    </row>
    <row r="2971" spans="1:13" x14ac:dyDescent="0.35">
      <c r="A2971" s="49" t="s">
        <v>11196</v>
      </c>
      <c r="B2971" s="49" t="s">
        <v>11197</v>
      </c>
      <c r="C2971" s="49" t="s">
        <v>3947</v>
      </c>
      <c r="D2971" s="49" t="s">
        <v>1264</v>
      </c>
      <c r="E2971" s="49" t="s">
        <v>2774</v>
      </c>
      <c r="F2971" s="49" t="s">
        <v>3188</v>
      </c>
      <c r="G2971" s="49" t="s">
        <v>2776</v>
      </c>
      <c r="H2971" s="49" t="s">
        <v>973</v>
      </c>
      <c r="I2971" s="50">
        <v>44893</v>
      </c>
      <c r="M2971" s="49" t="s">
        <v>11198</v>
      </c>
    </row>
    <row r="2972" spans="1:13" x14ac:dyDescent="0.35">
      <c r="A2972" s="49" t="s">
        <v>11199</v>
      </c>
      <c r="B2972" s="49" t="s">
        <v>11200</v>
      </c>
      <c r="C2972" s="49" t="s">
        <v>11201</v>
      </c>
      <c r="D2972" s="49" t="s">
        <v>1264</v>
      </c>
      <c r="E2972" s="49" t="s">
        <v>2986</v>
      </c>
      <c r="F2972" s="49" t="s">
        <v>2825</v>
      </c>
      <c r="G2972" s="49" t="s">
        <v>2776</v>
      </c>
      <c r="H2972" s="49" t="s">
        <v>2827</v>
      </c>
      <c r="I2972" s="50">
        <v>44887</v>
      </c>
      <c r="M2972" s="49" t="s">
        <v>11202</v>
      </c>
    </row>
    <row r="2973" spans="1:13" x14ac:dyDescent="0.35">
      <c r="A2973" s="49" t="s">
        <v>11203</v>
      </c>
      <c r="B2973" s="49" t="s">
        <v>3075</v>
      </c>
      <c r="C2973" s="49" t="s">
        <v>11201</v>
      </c>
      <c r="D2973" s="49" t="s">
        <v>1264</v>
      </c>
      <c r="E2973" s="49" t="s">
        <v>2986</v>
      </c>
      <c r="F2973" s="49" t="s">
        <v>2825</v>
      </c>
      <c r="G2973" s="49" t="s">
        <v>4891</v>
      </c>
      <c r="H2973" s="49" t="s">
        <v>2827</v>
      </c>
      <c r="I2973" s="50">
        <v>44887</v>
      </c>
      <c r="M2973" s="49" t="s">
        <v>11204</v>
      </c>
    </row>
    <row r="2974" spans="1:13" x14ac:dyDescent="0.35">
      <c r="A2974" s="49" t="s">
        <v>11205</v>
      </c>
      <c r="C2974" s="49" t="s">
        <v>11206</v>
      </c>
      <c r="D2974" s="49" t="s">
        <v>1264</v>
      </c>
      <c r="E2974" s="49" t="s">
        <v>2986</v>
      </c>
      <c r="F2974" s="49" t="s">
        <v>2825</v>
      </c>
      <c r="G2974" s="49" t="s">
        <v>4891</v>
      </c>
      <c r="H2974" s="49" t="s">
        <v>2827</v>
      </c>
      <c r="I2974" s="50">
        <v>44901</v>
      </c>
      <c r="M2974" s="49" t="s">
        <v>11207</v>
      </c>
    </row>
    <row r="2975" spans="1:13" x14ac:dyDescent="0.35">
      <c r="A2975" s="49" t="s">
        <v>11208</v>
      </c>
      <c r="B2975" s="49" t="s">
        <v>11209</v>
      </c>
      <c r="C2975" s="49" t="s">
        <v>4044</v>
      </c>
      <c r="D2975" s="49" t="s">
        <v>1264</v>
      </c>
      <c r="E2975" s="49" t="s">
        <v>2814</v>
      </c>
      <c r="F2975" s="49" t="s">
        <v>2825</v>
      </c>
      <c r="G2975" s="49" t="s">
        <v>2776</v>
      </c>
      <c r="H2975" s="49" t="s">
        <v>2827</v>
      </c>
      <c r="I2975" s="50">
        <v>44907</v>
      </c>
      <c r="M2975" s="49" t="s">
        <v>11210</v>
      </c>
    </row>
    <row r="2976" spans="1:13" x14ac:dyDescent="0.35">
      <c r="A2976" s="49" t="s">
        <v>11211</v>
      </c>
      <c r="C2976" s="49" t="s">
        <v>4044</v>
      </c>
      <c r="D2976" s="49" t="s">
        <v>1264</v>
      </c>
      <c r="E2976" s="49" t="s">
        <v>2814</v>
      </c>
      <c r="F2976" s="49" t="s">
        <v>2825</v>
      </c>
      <c r="G2976" s="49" t="s">
        <v>2776</v>
      </c>
      <c r="H2976" s="49" t="s">
        <v>2827</v>
      </c>
      <c r="I2976" s="50">
        <v>44909</v>
      </c>
      <c r="M2976" s="49" t="s">
        <v>11212</v>
      </c>
    </row>
    <row r="2977" spans="1:13" x14ac:dyDescent="0.35">
      <c r="A2977" s="49" t="s">
        <v>11213</v>
      </c>
      <c r="C2977" s="49" t="s">
        <v>4749</v>
      </c>
      <c r="D2977" s="49" t="s">
        <v>1264</v>
      </c>
      <c r="E2977" s="49" t="s">
        <v>2774</v>
      </c>
      <c r="F2977" s="49" t="s">
        <v>2825</v>
      </c>
      <c r="G2977" s="49" t="s">
        <v>4891</v>
      </c>
      <c r="H2977" s="49" t="s">
        <v>2827</v>
      </c>
      <c r="I2977" s="50">
        <v>44914</v>
      </c>
      <c r="M2977" s="49" t="s">
        <v>3173</v>
      </c>
    </row>
    <row r="2978" spans="1:13" x14ac:dyDescent="0.35">
      <c r="A2978" s="49" t="s">
        <v>11214</v>
      </c>
      <c r="C2978" s="49" t="s">
        <v>11215</v>
      </c>
      <c r="D2978" s="49" t="s">
        <v>1264</v>
      </c>
      <c r="E2978" s="49" t="s">
        <v>2774</v>
      </c>
      <c r="F2978" s="49" t="s">
        <v>4842</v>
      </c>
      <c r="G2978" s="49" t="s">
        <v>2776</v>
      </c>
      <c r="H2978" s="49" t="s">
        <v>2827</v>
      </c>
      <c r="I2978" s="50">
        <v>44911</v>
      </c>
      <c r="M2978" s="49" t="s">
        <v>3782</v>
      </c>
    </row>
    <row r="2979" spans="1:13" x14ac:dyDescent="0.35">
      <c r="A2979" s="49" t="s">
        <v>11216</v>
      </c>
      <c r="C2979" s="49" t="s">
        <v>6884</v>
      </c>
      <c r="D2979" s="49" t="s">
        <v>1264</v>
      </c>
      <c r="E2979" s="49" t="s">
        <v>2774</v>
      </c>
      <c r="F2979" s="49" t="s">
        <v>2775</v>
      </c>
      <c r="G2979" s="49" t="s">
        <v>4891</v>
      </c>
      <c r="H2979" s="49" t="s">
        <v>980</v>
      </c>
      <c r="I2979" s="50">
        <v>44915</v>
      </c>
      <c r="M2979" s="49" t="s">
        <v>4914</v>
      </c>
    </row>
    <row r="2980" spans="1:13" x14ac:dyDescent="0.35">
      <c r="A2980" s="49" t="s">
        <v>11217</v>
      </c>
      <c r="B2980" s="49" t="s">
        <v>11218</v>
      </c>
      <c r="C2980" s="49" t="s">
        <v>3970</v>
      </c>
      <c r="D2980" s="49" t="s">
        <v>1264</v>
      </c>
      <c r="E2980" s="49" t="s">
        <v>2986</v>
      </c>
      <c r="F2980" s="49" t="s">
        <v>2825</v>
      </c>
      <c r="G2980" s="49" t="s">
        <v>4891</v>
      </c>
      <c r="H2980" s="49" t="s">
        <v>2827</v>
      </c>
      <c r="I2980" s="50">
        <v>44915</v>
      </c>
      <c r="M2980" s="49" t="s">
        <v>11219</v>
      </c>
    </row>
    <row r="2981" spans="1:13" x14ac:dyDescent="0.35">
      <c r="A2981" s="49" t="s">
        <v>11220</v>
      </c>
      <c r="B2981" s="49" t="s">
        <v>11221</v>
      </c>
      <c r="C2981" s="49" t="s">
        <v>5459</v>
      </c>
      <c r="D2981" s="49" t="s">
        <v>1264</v>
      </c>
      <c r="E2981" s="49" t="s">
        <v>2814</v>
      </c>
      <c r="F2981" s="49" t="s">
        <v>2825</v>
      </c>
      <c r="G2981" s="49" t="s">
        <v>2826</v>
      </c>
      <c r="H2981" s="49" t="s">
        <v>2827</v>
      </c>
      <c r="I2981" s="50">
        <v>44917</v>
      </c>
      <c r="M2981" s="49" t="s">
        <v>11222</v>
      </c>
    </row>
    <row r="2982" spans="1:13" x14ac:dyDescent="0.35">
      <c r="A2982" s="49" t="s">
        <v>11223</v>
      </c>
      <c r="B2982" s="49" t="s">
        <v>4036</v>
      </c>
      <c r="C2982" s="49" t="s">
        <v>5459</v>
      </c>
      <c r="D2982" s="49" t="s">
        <v>1264</v>
      </c>
      <c r="E2982" s="49" t="s">
        <v>2814</v>
      </c>
      <c r="F2982" s="49" t="s">
        <v>2825</v>
      </c>
      <c r="G2982" s="49" t="s">
        <v>2776</v>
      </c>
      <c r="H2982" s="49" t="s">
        <v>2827</v>
      </c>
      <c r="I2982" s="50">
        <v>44917</v>
      </c>
      <c r="M2982" s="49" t="s">
        <v>8222</v>
      </c>
    </row>
    <row r="2983" spans="1:13" x14ac:dyDescent="0.35">
      <c r="A2983" s="49" t="s">
        <v>11224</v>
      </c>
      <c r="C2983" s="49" t="s">
        <v>11225</v>
      </c>
      <c r="D2983" s="49" t="s">
        <v>1264</v>
      </c>
      <c r="E2983" s="49" t="s">
        <v>2986</v>
      </c>
      <c r="F2983" s="49" t="s">
        <v>2825</v>
      </c>
      <c r="G2983" s="49" t="s">
        <v>2776</v>
      </c>
      <c r="H2983" s="49" t="s">
        <v>2827</v>
      </c>
      <c r="I2983" s="50">
        <v>44911</v>
      </c>
      <c r="M2983" s="49" t="s">
        <v>11226</v>
      </c>
    </row>
    <row r="2984" spans="1:13" x14ac:dyDescent="0.35">
      <c r="A2984" s="49" t="s">
        <v>11227</v>
      </c>
      <c r="C2984" s="49" t="s">
        <v>5233</v>
      </c>
      <c r="D2984" s="49" t="s">
        <v>1264</v>
      </c>
      <c r="E2984" s="49" t="s">
        <v>2785</v>
      </c>
      <c r="F2984" s="49" t="s">
        <v>2805</v>
      </c>
      <c r="G2984" s="49" t="s">
        <v>2776</v>
      </c>
      <c r="H2984" s="49" t="s">
        <v>2827</v>
      </c>
      <c r="I2984" s="50">
        <v>44923</v>
      </c>
      <c r="M2984" s="49" t="s">
        <v>11228</v>
      </c>
    </row>
    <row r="2985" spans="1:13" x14ac:dyDescent="0.35">
      <c r="A2985" s="49" t="s">
        <v>11229</v>
      </c>
      <c r="C2985" s="49" t="s">
        <v>11193</v>
      </c>
      <c r="D2985" s="49" t="s">
        <v>1264</v>
      </c>
      <c r="E2985" s="49" t="s">
        <v>2974</v>
      </c>
      <c r="F2985" s="49" t="s">
        <v>3188</v>
      </c>
      <c r="G2985" s="49" t="s">
        <v>2826</v>
      </c>
      <c r="H2985" s="49" t="s">
        <v>973</v>
      </c>
      <c r="I2985" s="50">
        <v>44924</v>
      </c>
      <c r="M2985" s="49" t="s">
        <v>11230</v>
      </c>
    </row>
    <row r="2986" spans="1:13" x14ac:dyDescent="0.35">
      <c r="A2986" s="49" t="s">
        <v>11231</v>
      </c>
      <c r="B2986" s="49" t="s">
        <v>11232</v>
      </c>
      <c r="C2986" s="49" t="s">
        <v>4525</v>
      </c>
      <c r="D2986" s="49" t="s">
        <v>1264</v>
      </c>
      <c r="E2986" s="49" t="s">
        <v>2986</v>
      </c>
      <c r="F2986" s="49" t="s">
        <v>2825</v>
      </c>
      <c r="G2986" s="49" t="s">
        <v>4891</v>
      </c>
      <c r="H2986" s="49" t="s">
        <v>2827</v>
      </c>
      <c r="I2986" s="50">
        <v>44928</v>
      </c>
      <c r="M2986" s="49" t="s">
        <v>11233</v>
      </c>
    </row>
    <row r="2987" spans="1:13" x14ac:dyDescent="0.35">
      <c r="A2987" s="49" t="s">
        <v>11234</v>
      </c>
      <c r="B2987" s="49" t="s">
        <v>4718</v>
      </c>
      <c r="C2987" s="49" t="s">
        <v>4282</v>
      </c>
      <c r="D2987" s="49" t="s">
        <v>1264</v>
      </c>
      <c r="E2987" s="49" t="s">
        <v>2785</v>
      </c>
      <c r="F2987" s="49" t="s">
        <v>2792</v>
      </c>
      <c r="G2987" s="49" t="s">
        <v>2776</v>
      </c>
      <c r="H2987" s="49" t="s">
        <v>980</v>
      </c>
      <c r="I2987" s="50">
        <v>44567</v>
      </c>
      <c r="M2987" s="49" t="s">
        <v>11235</v>
      </c>
    </row>
    <row r="2988" spans="1:13" x14ac:dyDescent="0.35">
      <c r="A2988" s="49" t="s">
        <v>11236</v>
      </c>
      <c r="B2988" s="49" t="s">
        <v>5842</v>
      </c>
      <c r="C2988" s="49" t="s">
        <v>4525</v>
      </c>
      <c r="D2988" s="49" t="s">
        <v>1264</v>
      </c>
      <c r="E2988" s="49" t="s">
        <v>2986</v>
      </c>
      <c r="F2988" s="49" t="s">
        <v>2825</v>
      </c>
      <c r="G2988" s="49" t="s">
        <v>4891</v>
      </c>
      <c r="H2988" s="49" t="s">
        <v>2827</v>
      </c>
      <c r="I2988" s="50">
        <v>44928</v>
      </c>
      <c r="M2988" s="49" t="s">
        <v>11237</v>
      </c>
    </row>
    <row r="2989" spans="1:13" x14ac:dyDescent="0.35">
      <c r="A2989" s="49" t="s">
        <v>11238</v>
      </c>
      <c r="C2989" s="49" t="s">
        <v>11239</v>
      </c>
      <c r="D2989" s="49" t="s">
        <v>1264</v>
      </c>
      <c r="E2989" s="49" t="s">
        <v>2814</v>
      </c>
      <c r="F2989" s="49" t="s">
        <v>2837</v>
      </c>
      <c r="G2989" s="49" t="s">
        <v>2776</v>
      </c>
      <c r="H2989" s="49" t="s">
        <v>980</v>
      </c>
      <c r="I2989" s="50">
        <v>44942</v>
      </c>
      <c r="M2989" s="49" t="s">
        <v>11240</v>
      </c>
    </row>
    <row r="2990" spans="1:13" x14ac:dyDescent="0.35">
      <c r="A2990" s="49" t="s">
        <v>11241</v>
      </c>
      <c r="B2990" s="49" t="s">
        <v>11242</v>
      </c>
      <c r="C2990" s="49" t="s">
        <v>6510</v>
      </c>
      <c r="D2990" s="49" t="s">
        <v>1264</v>
      </c>
      <c r="E2990" s="49" t="s">
        <v>2774</v>
      </c>
      <c r="F2990" s="49" t="s">
        <v>2825</v>
      </c>
      <c r="G2990" s="49" t="s">
        <v>2776</v>
      </c>
      <c r="H2990" s="49" t="s">
        <v>2827</v>
      </c>
      <c r="I2990" s="50">
        <v>44942</v>
      </c>
      <c r="M2990" s="49" t="s">
        <v>11243</v>
      </c>
    </row>
    <row r="2991" spans="1:13" x14ac:dyDescent="0.35">
      <c r="A2991" s="49" t="s">
        <v>11244</v>
      </c>
      <c r="B2991" s="49" t="s">
        <v>11245</v>
      </c>
      <c r="C2991" s="49" t="s">
        <v>4070</v>
      </c>
      <c r="D2991" s="49" t="s">
        <v>1264</v>
      </c>
      <c r="E2991" s="49" t="s">
        <v>2785</v>
      </c>
      <c r="F2991" s="49" t="s">
        <v>2792</v>
      </c>
      <c r="G2991" s="49" t="s">
        <v>2776</v>
      </c>
      <c r="H2991" s="49" t="s">
        <v>8</v>
      </c>
      <c r="I2991" s="50">
        <v>44892</v>
      </c>
      <c r="M2991" s="49" t="s">
        <v>3054</v>
      </c>
    </row>
    <row r="2992" spans="1:13" x14ac:dyDescent="0.35">
      <c r="A2992" s="49" t="s">
        <v>11246</v>
      </c>
      <c r="B2992" s="49" t="s">
        <v>7339</v>
      </c>
      <c r="C2992" s="49" t="s">
        <v>11247</v>
      </c>
      <c r="D2992" s="49" t="s">
        <v>1264</v>
      </c>
      <c r="E2992" s="49" t="s">
        <v>2814</v>
      </c>
      <c r="F2992" s="49" t="s">
        <v>4774</v>
      </c>
      <c r="G2992" s="49" t="s">
        <v>2776</v>
      </c>
      <c r="H2992" s="49" t="s">
        <v>3207</v>
      </c>
      <c r="I2992" s="50">
        <v>44952</v>
      </c>
      <c r="M2992" s="49" t="s">
        <v>11248</v>
      </c>
    </row>
    <row r="2993" spans="1:13" x14ac:dyDescent="0.35">
      <c r="A2993" s="49" t="s">
        <v>11249</v>
      </c>
      <c r="B2993" s="49" t="s">
        <v>11250</v>
      </c>
      <c r="C2993" s="49" t="s">
        <v>3731</v>
      </c>
      <c r="D2993" s="49" t="s">
        <v>1264</v>
      </c>
      <c r="E2993" s="49" t="s">
        <v>2785</v>
      </c>
      <c r="F2993" s="49" t="s">
        <v>2786</v>
      </c>
      <c r="G2993" s="49" t="s">
        <v>2776</v>
      </c>
      <c r="H2993" s="49" t="s">
        <v>973</v>
      </c>
      <c r="I2993" s="50">
        <v>44886</v>
      </c>
      <c r="M2993" s="49" t="s">
        <v>11251</v>
      </c>
    </row>
    <row r="2994" spans="1:13" x14ac:dyDescent="0.35">
      <c r="A2994" s="49" t="s">
        <v>11252</v>
      </c>
      <c r="B2994" s="49" t="s">
        <v>10992</v>
      </c>
      <c r="C2994" s="49" t="s">
        <v>4932</v>
      </c>
      <c r="D2994" s="49" t="s">
        <v>1264</v>
      </c>
      <c r="E2994" s="49" t="s">
        <v>2774</v>
      </c>
      <c r="F2994" s="49" t="s">
        <v>2900</v>
      </c>
      <c r="G2994" s="49" t="s">
        <v>4891</v>
      </c>
      <c r="H2994" s="49" t="s">
        <v>980</v>
      </c>
      <c r="I2994" s="50">
        <v>44960</v>
      </c>
      <c r="M2994" s="49" t="s">
        <v>11253</v>
      </c>
    </row>
    <row r="2995" spans="1:13" x14ac:dyDescent="0.35">
      <c r="A2995" s="49" t="s">
        <v>11254</v>
      </c>
      <c r="C2995" s="49" t="s">
        <v>4638</v>
      </c>
      <c r="D2995" s="49" t="s">
        <v>1264</v>
      </c>
      <c r="E2995" s="49" t="s">
        <v>2814</v>
      </c>
      <c r="F2995" s="49" t="s">
        <v>2837</v>
      </c>
      <c r="G2995" s="49" t="s">
        <v>4891</v>
      </c>
      <c r="H2995" s="49" t="s">
        <v>980</v>
      </c>
      <c r="I2995" s="50">
        <v>44963</v>
      </c>
      <c r="M2995" s="49" t="s">
        <v>11255</v>
      </c>
    </row>
    <row r="2996" spans="1:13" x14ac:dyDescent="0.35">
      <c r="A2996" s="49" t="s">
        <v>11256</v>
      </c>
      <c r="B2996" s="49" t="s">
        <v>11257</v>
      </c>
      <c r="C2996" s="49" t="s">
        <v>11258</v>
      </c>
      <c r="D2996" s="49" t="s">
        <v>1264</v>
      </c>
      <c r="E2996" s="49" t="s">
        <v>2785</v>
      </c>
      <c r="F2996" s="49" t="s">
        <v>2786</v>
      </c>
      <c r="G2996" s="49" t="s">
        <v>2776</v>
      </c>
      <c r="H2996" s="49" t="s">
        <v>980</v>
      </c>
      <c r="I2996" s="50">
        <v>44845</v>
      </c>
      <c r="M2996" s="49" t="s">
        <v>8126</v>
      </c>
    </row>
    <row r="2997" spans="1:13" x14ac:dyDescent="0.35">
      <c r="A2997" s="49" t="s">
        <v>11259</v>
      </c>
      <c r="B2997" s="49" t="s">
        <v>2867</v>
      </c>
      <c r="C2997" s="49" t="s">
        <v>4152</v>
      </c>
      <c r="D2997" s="49" t="s">
        <v>1264</v>
      </c>
      <c r="E2997" s="49" t="s">
        <v>2785</v>
      </c>
      <c r="F2997" s="49" t="s">
        <v>2792</v>
      </c>
      <c r="G2997" s="49" t="s">
        <v>2776</v>
      </c>
      <c r="H2997" s="49" t="s">
        <v>8</v>
      </c>
      <c r="I2997" s="50">
        <v>44848</v>
      </c>
      <c r="M2997" s="49" t="s">
        <v>11260</v>
      </c>
    </row>
    <row r="2998" spans="1:13" x14ac:dyDescent="0.35">
      <c r="A2998" s="49" t="s">
        <v>11261</v>
      </c>
      <c r="C2998" s="49" t="s">
        <v>11262</v>
      </c>
      <c r="D2998" s="49" t="s">
        <v>1264</v>
      </c>
      <c r="E2998" s="49" t="s">
        <v>2774</v>
      </c>
      <c r="F2998" s="49" t="s">
        <v>2900</v>
      </c>
      <c r="G2998" s="49" t="s">
        <v>2776</v>
      </c>
      <c r="H2998" s="49" t="s">
        <v>980</v>
      </c>
      <c r="I2998" s="50">
        <v>44960</v>
      </c>
      <c r="M2998" s="49" t="s">
        <v>4933</v>
      </c>
    </row>
    <row r="2999" spans="1:13" x14ac:dyDescent="0.35">
      <c r="A2999" s="49" t="s">
        <v>11263</v>
      </c>
      <c r="B2999" s="49" t="s">
        <v>11264</v>
      </c>
      <c r="C2999" s="49" t="s">
        <v>3731</v>
      </c>
      <c r="D2999" s="49" t="s">
        <v>1264</v>
      </c>
      <c r="E2999" s="49" t="s">
        <v>2785</v>
      </c>
      <c r="F2999" s="49" t="s">
        <v>2786</v>
      </c>
      <c r="G2999" s="49" t="s">
        <v>4891</v>
      </c>
      <c r="H2999" s="49" t="s">
        <v>973</v>
      </c>
      <c r="I2999" s="50">
        <v>45251</v>
      </c>
      <c r="M2999" s="49" t="s">
        <v>11265</v>
      </c>
    </row>
    <row r="3000" spans="1:13" x14ac:dyDescent="0.35">
      <c r="A3000" s="49" t="s">
        <v>11266</v>
      </c>
      <c r="C3000" s="49" t="s">
        <v>11267</v>
      </c>
      <c r="D3000" s="49" t="s">
        <v>1264</v>
      </c>
      <c r="E3000" s="49" t="s">
        <v>2814</v>
      </c>
      <c r="F3000" s="49" t="s">
        <v>2825</v>
      </c>
      <c r="G3000" s="49" t="s">
        <v>4891</v>
      </c>
      <c r="H3000" s="49" t="s">
        <v>2827</v>
      </c>
      <c r="I3000" s="50">
        <v>44974</v>
      </c>
      <c r="M3000" s="49" t="s">
        <v>11268</v>
      </c>
    </row>
    <row r="3001" spans="1:13" x14ac:dyDescent="0.35">
      <c r="A3001" s="49" t="s">
        <v>11269</v>
      </c>
      <c r="C3001" s="49" t="s">
        <v>3144</v>
      </c>
      <c r="D3001" s="49" t="s">
        <v>1264</v>
      </c>
      <c r="E3001" s="49" t="s">
        <v>2908</v>
      </c>
      <c r="F3001" s="49" t="s">
        <v>2939</v>
      </c>
      <c r="G3001" s="49" t="s">
        <v>4891</v>
      </c>
      <c r="H3001" s="49" t="s">
        <v>980</v>
      </c>
      <c r="I3001" s="50">
        <v>44977</v>
      </c>
      <c r="M3001" s="49" t="s">
        <v>3871</v>
      </c>
    </row>
    <row r="3002" spans="1:13" x14ac:dyDescent="0.35">
      <c r="A3002" s="49" t="s">
        <v>11270</v>
      </c>
      <c r="C3002" s="49" t="s">
        <v>4980</v>
      </c>
      <c r="D3002" s="49" t="s">
        <v>1264</v>
      </c>
      <c r="E3002" s="49" t="s">
        <v>2814</v>
      </c>
      <c r="F3002" s="49" t="s">
        <v>2837</v>
      </c>
      <c r="G3002" s="49" t="s">
        <v>4891</v>
      </c>
      <c r="H3002" s="49" t="s">
        <v>980</v>
      </c>
      <c r="I3002" s="50">
        <v>44978</v>
      </c>
      <c r="M3002" s="49" t="s">
        <v>11271</v>
      </c>
    </row>
    <row r="3003" spans="1:13" x14ac:dyDescent="0.35">
      <c r="A3003" s="49" t="s">
        <v>11272</v>
      </c>
      <c r="C3003" s="49" t="s">
        <v>11273</v>
      </c>
      <c r="D3003" s="49" t="s">
        <v>1264</v>
      </c>
      <c r="E3003" s="49" t="s">
        <v>2814</v>
      </c>
      <c r="F3003" s="49" t="s">
        <v>2837</v>
      </c>
      <c r="G3003" s="49" t="s">
        <v>2776</v>
      </c>
      <c r="H3003" s="49" t="s">
        <v>980</v>
      </c>
      <c r="I3003" s="50">
        <v>44978</v>
      </c>
      <c r="M3003" s="49" t="s">
        <v>11274</v>
      </c>
    </row>
    <row r="3004" spans="1:13" x14ac:dyDescent="0.35">
      <c r="A3004" s="49" t="s">
        <v>11275</v>
      </c>
      <c r="B3004" s="49" t="s">
        <v>11276</v>
      </c>
      <c r="C3004" s="49" t="s">
        <v>3930</v>
      </c>
      <c r="D3004" s="49" t="s">
        <v>1264</v>
      </c>
      <c r="E3004" s="49" t="s">
        <v>2785</v>
      </c>
      <c r="F3004" s="49" t="s">
        <v>2786</v>
      </c>
      <c r="G3004" s="49" t="s">
        <v>2776</v>
      </c>
      <c r="H3004" s="49" t="s">
        <v>980</v>
      </c>
      <c r="I3004" s="50">
        <v>44727</v>
      </c>
      <c r="M3004" s="49" t="s">
        <v>5801</v>
      </c>
    </row>
    <row r="3005" spans="1:13" x14ac:dyDescent="0.35">
      <c r="A3005" s="49" t="s">
        <v>11277</v>
      </c>
      <c r="C3005" s="49" t="s">
        <v>11278</v>
      </c>
      <c r="D3005" s="49" t="s">
        <v>1264</v>
      </c>
      <c r="E3005" s="49" t="s">
        <v>2986</v>
      </c>
      <c r="F3005" s="49" t="s">
        <v>2825</v>
      </c>
      <c r="G3005" s="49" t="s">
        <v>2776</v>
      </c>
      <c r="H3005" s="49" t="s">
        <v>2827</v>
      </c>
      <c r="I3005" s="50">
        <v>44988</v>
      </c>
      <c r="M3005" s="49" t="s">
        <v>11279</v>
      </c>
    </row>
    <row r="3006" spans="1:13" x14ac:dyDescent="0.35">
      <c r="A3006" s="49" t="s">
        <v>11280</v>
      </c>
      <c r="B3006" s="49" t="s">
        <v>3768</v>
      </c>
      <c r="C3006" s="49" t="s">
        <v>3144</v>
      </c>
      <c r="D3006" s="49" t="s">
        <v>1264</v>
      </c>
      <c r="E3006" s="49" t="s">
        <v>3443</v>
      </c>
      <c r="F3006" s="49" t="s">
        <v>3124</v>
      </c>
      <c r="G3006" s="49" t="s">
        <v>4891</v>
      </c>
      <c r="H3006" s="49" t="s">
        <v>980</v>
      </c>
      <c r="I3006" s="50">
        <v>44913</v>
      </c>
    </row>
    <row r="3007" spans="1:13" x14ac:dyDescent="0.35">
      <c r="A3007" s="49" t="s">
        <v>11281</v>
      </c>
      <c r="B3007" s="49" t="s">
        <v>11282</v>
      </c>
      <c r="C3007" s="49" t="s">
        <v>5443</v>
      </c>
      <c r="D3007" s="49" t="s">
        <v>1264</v>
      </c>
      <c r="E3007" s="49" t="s">
        <v>2774</v>
      </c>
      <c r="F3007" s="49" t="s">
        <v>4842</v>
      </c>
      <c r="G3007" s="49" t="s">
        <v>2776</v>
      </c>
      <c r="H3007" s="49" t="s">
        <v>2827</v>
      </c>
      <c r="I3007" s="50">
        <v>44998</v>
      </c>
      <c r="M3007" s="49" t="s">
        <v>11283</v>
      </c>
    </row>
    <row r="3008" spans="1:13" x14ac:dyDescent="0.35">
      <c r="A3008" s="49" t="s">
        <v>11284</v>
      </c>
      <c r="C3008" s="49" t="s">
        <v>11285</v>
      </c>
      <c r="D3008" s="49" t="s">
        <v>1264</v>
      </c>
      <c r="E3008" s="49" t="s">
        <v>2785</v>
      </c>
      <c r="F3008" s="49" t="s">
        <v>2792</v>
      </c>
      <c r="G3008" s="49" t="s">
        <v>2776</v>
      </c>
      <c r="H3008" s="49" t="s">
        <v>8</v>
      </c>
      <c r="I3008" s="50">
        <v>44999</v>
      </c>
      <c r="M3008" s="49" t="s">
        <v>11286</v>
      </c>
    </row>
    <row r="3009" spans="1:13" x14ac:dyDescent="0.35">
      <c r="A3009" s="49" t="s">
        <v>11287</v>
      </c>
      <c r="C3009" s="49" t="s">
        <v>11288</v>
      </c>
      <c r="D3009" s="49" t="s">
        <v>1264</v>
      </c>
      <c r="E3009" s="49" t="s">
        <v>2814</v>
      </c>
      <c r="F3009" s="49" t="s">
        <v>2825</v>
      </c>
      <c r="G3009" s="49" t="s">
        <v>2776</v>
      </c>
      <c r="H3009" s="49" t="s">
        <v>2827</v>
      </c>
      <c r="I3009" s="50">
        <v>44998</v>
      </c>
      <c r="M3009" s="49" t="s">
        <v>11289</v>
      </c>
    </row>
    <row r="3010" spans="1:13" x14ac:dyDescent="0.35">
      <c r="A3010" s="49" t="s">
        <v>11290</v>
      </c>
      <c r="B3010" s="49" t="s">
        <v>7561</v>
      </c>
      <c r="C3010" s="49" t="s">
        <v>2850</v>
      </c>
      <c r="D3010" s="49" t="s">
        <v>1264</v>
      </c>
      <c r="E3010" s="49" t="s">
        <v>2785</v>
      </c>
      <c r="F3010" s="49" t="s">
        <v>2792</v>
      </c>
      <c r="G3010" s="49" t="s">
        <v>2776</v>
      </c>
      <c r="H3010" s="49" t="s">
        <v>980</v>
      </c>
      <c r="I3010" s="50">
        <v>44977</v>
      </c>
      <c r="M3010" s="49" t="s">
        <v>11291</v>
      </c>
    </row>
    <row r="3011" spans="1:13" x14ac:dyDescent="0.35">
      <c r="A3011" s="49" t="s">
        <v>11292</v>
      </c>
      <c r="C3011" s="49" t="s">
        <v>4587</v>
      </c>
      <c r="D3011" s="49" t="s">
        <v>1264</v>
      </c>
      <c r="E3011" s="49" t="s">
        <v>2908</v>
      </c>
      <c r="F3011" s="49" t="s">
        <v>2837</v>
      </c>
      <c r="G3011" s="49" t="s">
        <v>4891</v>
      </c>
      <c r="H3011" s="49" t="s">
        <v>2827</v>
      </c>
      <c r="I3011" s="50">
        <v>44986</v>
      </c>
      <c r="M3011" s="49" t="s">
        <v>11293</v>
      </c>
    </row>
    <row r="3012" spans="1:13" x14ac:dyDescent="0.35">
      <c r="A3012" s="49" t="s">
        <v>11294</v>
      </c>
      <c r="B3012" s="49" t="s">
        <v>11295</v>
      </c>
      <c r="C3012" s="49" t="s">
        <v>4282</v>
      </c>
      <c r="D3012" s="49" t="s">
        <v>1264</v>
      </c>
      <c r="E3012" s="49" t="s">
        <v>2785</v>
      </c>
      <c r="F3012" s="49" t="s">
        <v>2792</v>
      </c>
      <c r="G3012" s="49" t="s">
        <v>2776</v>
      </c>
      <c r="H3012" s="49" t="s">
        <v>3207</v>
      </c>
      <c r="I3012" s="50">
        <v>44802</v>
      </c>
      <c r="M3012" s="49" t="s">
        <v>11296</v>
      </c>
    </row>
    <row r="3013" spans="1:13" x14ac:dyDescent="0.35">
      <c r="A3013" s="49" t="s">
        <v>11297</v>
      </c>
      <c r="B3013" s="49" t="s">
        <v>11298</v>
      </c>
      <c r="C3013" s="49" t="s">
        <v>3693</v>
      </c>
      <c r="D3013" s="49" t="s">
        <v>1264</v>
      </c>
      <c r="E3013" s="49" t="s">
        <v>2774</v>
      </c>
      <c r="F3013" s="49" t="s">
        <v>4842</v>
      </c>
      <c r="G3013" s="49" t="s">
        <v>2776</v>
      </c>
      <c r="H3013" s="49" t="s">
        <v>2827</v>
      </c>
      <c r="I3013" s="50">
        <v>45007</v>
      </c>
      <c r="M3013" s="49" t="s">
        <v>11299</v>
      </c>
    </row>
    <row r="3014" spans="1:13" x14ac:dyDescent="0.35">
      <c r="A3014" s="49" t="s">
        <v>11300</v>
      </c>
      <c r="C3014" s="49" t="s">
        <v>3637</v>
      </c>
      <c r="D3014" s="49" t="s">
        <v>1264</v>
      </c>
      <c r="E3014" s="49" t="s">
        <v>2986</v>
      </c>
      <c r="F3014" s="49" t="s">
        <v>2825</v>
      </c>
      <c r="G3014" s="49" t="s">
        <v>2776</v>
      </c>
      <c r="H3014" s="49" t="s">
        <v>2827</v>
      </c>
      <c r="I3014" s="50">
        <v>44994</v>
      </c>
      <c r="M3014" s="49" t="s">
        <v>3638</v>
      </c>
    </row>
    <row r="3015" spans="1:13" x14ac:dyDescent="0.35">
      <c r="A3015" s="49" t="s">
        <v>11301</v>
      </c>
      <c r="B3015" s="49" t="s">
        <v>4817</v>
      </c>
      <c r="C3015" s="49" t="s">
        <v>5473</v>
      </c>
      <c r="D3015" s="49" t="s">
        <v>1264</v>
      </c>
      <c r="E3015" s="49" t="s">
        <v>2986</v>
      </c>
      <c r="F3015" s="49" t="s">
        <v>2825</v>
      </c>
      <c r="G3015" s="49" t="s">
        <v>4891</v>
      </c>
      <c r="H3015" s="49" t="s">
        <v>8</v>
      </c>
      <c r="I3015" s="50">
        <v>45005</v>
      </c>
      <c r="M3015" s="49" t="s">
        <v>11302</v>
      </c>
    </row>
    <row r="3016" spans="1:13" x14ac:dyDescent="0.35">
      <c r="A3016" s="49" t="s">
        <v>11303</v>
      </c>
      <c r="B3016" s="49" t="s">
        <v>5842</v>
      </c>
      <c r="C3016" s="49" t="s">
        <v>11304</v>
      </c>
      <c r="D3016" s="49" t="s">
        <v>1264</v>
      </c>
      <c r="E3016" s="49" t="s">
        <v>2986</v>
      </c>
      <c r="F3016" s="49" t="s">
        <v>2825</v>
      </c>
      <c r="G3016" s="49" t="s">
        <v>4891</v>
      </c>
      <c r="H3016" s="49" t="s">
        <v>2827</v>
      </c>
      <c r="I3016" s="50">
        <v>44992</v>
      </c>
      <c r="M3016" s="49" t="s">
        <v>11305</v>
      </c>
    </row>
    <row r="3017" spans="1:13" x14ac:dyDescent="0.35">
      <c r="A3017" s="49" t="s">
        <v>11306</v>
      </c>
      <c r="B3017" s="49" t="s">
        <v>11307</v>
      </c>
      <c r="C3017" s="49" t="s">
        <v>4887</v>
      </c>
      <c r="D3017" s="49" t="s">
        <v>1264</v>
      </c>
      <c r="E3017" s="49" t="s">
        <v>2774</v>
      </c>
      <c r="F3017" s="49" t="s">
        <v>4842</v>
      </c>
      <c r="G3017" s="49" t="s">
        <v>4891</v>
      </c>
      <c r="H3017" s="49" t="s">
        <v>2827</v>
      </c>
      <c r="I3017" s="50">
        <v>45009</v>
      </c>
      <c r="M3017" s="49" t="s">
        <v>11308</v>
      </c>
    </row>
    <row r="3018" spans="1:13" x14ac:dyDescent="0.35">
      <c r="A3018" s="49" t="s">
        <v>11309</v>
      </c>
      <c r="C3018" s="49" t="s">
        <v>11310</v>
      </c>
      <c r="D3018" s="49" t="s">
        <v>1264</v>
      </c>
      <c r="E3018" s="49" t="s">
        <v>2785</v>
      </c>
      <c r="F3018" s="49" t="s">
        <v>2792</v>
      </c>
      <c r="G3018" s="49" t="s">
        <v>2776</v>
      </c>
      <c r="H3018" s="49" t="s">
        <v>980</v>
      </c>
      <c r="I3018" s="50">
        <v>45013</v>
      </c>
      <c r="M3018" s="49" t="s">
        <v>11311</v>
      </c>
    </row>
    <row r="3019" spans="1:13" x14ac:dyDescent="0.35">
      <c r="A3019" s="49" t="s">
        <v>11312</v>
      </c>
      <c r="B3019" s="49" t="s">
        <v>11313</v>
      </c>
      <c r="C3019" s="49" t="s">
        <v>11314</v>
      </c>
      <c r="D3019" s="49" t="s">
        <v>1264</v>
      </c>
      <c r="E3019" s="49" t="s">
        <v>2785</v>
      </c>
      <c r="F3019" s="49" t="s">
        <v>2792</v>
      </c>
      <c r="G3019" s="49" t="s">
        <v>2776</v>
      </c>
      <c r="H3019" s="49" t="s">
        <v>980</v>
      </c>
      <c r="I3019" s="50">
        <v>44943</v>
      </c>
      <c r="M3019" s="49" t="s">
        <v>5787</v>
      </c>
    </row>
    <row r="3020" spans="1:13" x14ac:dyDescent="0.35">
      <c r="A3020" s="49" t="s">
        <v>11315</v>
      </c>
      <c r="B3020" s="49" t="s">
        <v>11316</v>
      </c>
      <c r="C3020" s="49" t="s">
        <v>11317</v>
      </c>
      <c r="D3020" s="49" t="s">
        <v>1264</v>
      </c>
      <c r="E3020" s="49" t="s">
        <v>2873</v>
      </c>
      <c r="F3020" s="49" t="s">
        <v>2792</v>
      </c>
      <c r="G3020" s="49" t="s">
        <v>4891</v>
      </c>
      <c r="H3020" s="49" t="s">
        <v>864</v>
      </c>
      <c r="I3020" s="50">
        <v>44944</v>
      </c>
      <c r="M3020" s="49" t="s">
        <v>11318</v>
      </c>
    </row>
    <row r="3021" spans="1:13" x14ac:dyDescent="0.35">
      <c r="A3021" s="49" t="s">
        <v>11319</v>
      </c>
      <c r="B3021" s="49" t="s">
        <v>3962</v>
      </c>
      <c r="C3021" s="49" t="s">
        <v>11320</v>
      </c>
      <c r="D3021" s="49" t="s">
        <v>1264</v>
      </c>
      <c r="E3021" s="49" t="s">
        <v>2785</v>
      </c>
      <c r="F3021" s="49" t="s">
        <v>2792</v>
      </c>
      <c r="G3021" s="49" t="s">
        <v>2776</v>
      </c>
      <c r="H3021" s="49" t="s">
        <v>980</v>
      </c>
      <c r="I3021" s="50">
        <v>44975</v>
      </c>
      <c r="M3021" s="49" t="s">
        <v>5890</v>
      </c>
    </row>
    <row r="3022" spans="1:13" x14ac:dyDescent="0.35">
      <c r="A3022" s="49" t="s">
        <v>11321</v>
      </c>
      <c r="B3022" s="49" t="s">
        <v>11322</v>
      </c>
      <c r="C3022" s="49" t="s">
        <v>11323</v>
      </c>
      <c r="D3022" s="49" t="s">
        <v>1264</v>
      </c>
      <c r="E3022" s="49" t="s">
        <v>2986</v>
      </c>
      <c r="F3022" s="49" t="s">
        <v>2825</v>
      </c>
      <c r="G3022" s="49" t="s">
        <v>4891</v>
      </c>
      <c r="H3022" s="49" t="s">
        <v>2827</v>
      </c>
      <c r="I3022" s="50">
        <v>44998</v>
      </c>
      <c r="M3022" s="49" t="s">
        <v>4400</v>
      </c>
    </row>
    <row r="3023" spans="1:13" x14ac:dyDescent="0.35">
      <c r="A3023" s="49" t="s">
        <v>11324</v>
      </c>
      <c r="C3023" s="49" t="s">
        <v>5541</v>
      </c>
      <c r="D3023" s="49" t="s">
        <v>1264</v>
      </c>
      <c r="E3023" s="49" t="s">
        <v>2814</v>
      </c>
      <c r="F3023" s="49" t="s">
        <v>2805</v>
      </c>
      <c r="G3023" s="49" t="s">
        <v>2776</v>
      </c>
      <c r="H3023" s="49" t="s">
        <v>2832</v>
      </c>
      <c r="I3023" s="50">
        <v>45022</v>
      </c>
      <c r="M3023" s="49" t="s">
        <v>11325</v>
      </c>
    </row>
    <row r="3024" spans="1:13" x14ac:dyDescent="0.35">
      <c r="A3024" s="49" t="s">
        <v>11326</v>
      </c>
      <c r="B3024" s="49" t="s">
        <v>6306</v>
      </c>
      <c r="C3024" s="49" t="s">
        <v>11327</v>
      </c>
      <c r="D3024" s="49" t="s">
        <v>1264</v>
      </c>
      <c r="E3024" s="49" t="s">
        <v>2774</v>
      </c>
      <c r="F3024" s="49" t="s">
        <v>4842</v>
      </c>
      <c r="G3024" s="49" t="s">
        <v>2776</v>
      </c>
      <c r="H3024" s="49" t="s">
        <v>2827</v>
      </c>
      <c r="I3024" s="50">
        <v>45029</v>
      </c>
      <c r="M3024" s="49" t="s">
        <v>11328</v>
      </c>
    </row>
    <row r="3025" spans="1:13" x14ac:dyDescent="0.35">
      <c r="A3025" s="49" t="s">
        <v>11329</v>
      </c>
      <c r="B3025" s="49" t="s">
        <v>11330</v>
      </c>
      <c r="C3025" s="49" t="s">
        <v>11331</v>
      </c>
      <c r="D3025" s="49" t="s">
        <v>1264</v>
      </c>
      <c r="E3025" s="49" t="s">
        <v>2814</v>
      </c>
      <c r="F3025" s="49" t="s">
        <v>3005</v>
      </c>
      <c r="G3025" s="49" t="s">
        <v>2776</v>
      </c>
      <c r="H3025" s="49" t="s">
        <v>980</v>
      </c>
      <c r="I3025" s="50">
        <v>45030</v>
      </c>
      <c r="M3025" s="49" t="s">
        <v>11332</v>
      </c>
    </row>
    <row r="3026" spans="1:13" x14ac:dyDescent="0.35">
      <c r="A3026" s="49" t="s">
        <v>11333</v>
      </c>
      <c r="B3026" s="49" t="s">
        <v>4231</v>
      </c>
      <c r="C3026" s="49" t="s">
        <v>4161</v>
      </c>
      <c r="D3026" s="49" t="s">
        <v>1264</v>
      </c>
      <c r="E3026" s="49" t="s">
        <v>2785</v>
      </c>
      <c r="F3026" s="49" t="s">
        <v>2786</v>
      </c>
      <c r="G3026" s="49" t="s">
        <v>2776</v>
      </c>
      <c r="H3026" s="49" t="s">
        <v>2827</v>
      </c>
      <c r="I3026" s="50">
        <v>44229</v>
      </c>
      <c r="M3026" s="49" t="s">
        <v>11334</v>
      </c>
    </row>
    <row r="3027" spans="1:13" x14ac:dyDescent="0.35">
      <c r="A3027" s="49" t="s">
        <v>11335</v>
      </c>
      <c r="B3027" s="49" t="s">
        <v>4817</v>
      </c>
      <c r="C3027" s="49" t="s">
        <v>6776</v>
      </c>
      <c r="D3027" s="49" t="s">
        <v>1264</v>
      </c>
      <c r="E3027" s="49" t="s">
        <v>2986</v>
      </c>
      <c r="F3027" s="49" t="s">
        <v>2825</v>
      </c>
      <c r="G3027" s="49" t="s">
        <v>2776</v>
      </c>
      <c r="H3027" s="49" t="s">
        <v>2827</v>
      </c>
      <c r="I3027" s="50">
        <v>45028</v>
      </c>
      <c r="M3027" s="49" t="s">
        <v>11336</v>
      </c>
    </row>
    <row r="3028" spans="1:13" x14ac:dyDescent="0.35">
      <c r="A3028" s="49" t="s">
        <v>11337</v>
      </c>
      <c r="B3028" s="49" t="s">
        <v>4809</v>
      </c>
      <c r="C3028" s="49" t="s">
        <v>6776</v>
      </c>
      <c r="D3028" s="49" t="s">
        <v>1264</v>
      </c>
      <c r="E3028" s="49" t="s">
        <v>2986</v>
      </c>
      <c r="F3028" s="49" t="s">
        <v>2825</v>
      </c>
      <c r="G3028" s="49" t="s">
        <v>2776</v>
      </c>
      <c r="H3028" s="49" t="s">
        <v>2827</v>
      </c>
      <c r="I3028" s="50">
        <v>45028</v>
      </c>
      <c r="M3028" s="49" t="s">
        <v>11338</v>
      </c>
    </row>
    <row r="3029" spans="1:13" x14ac:dyDescent="0.35">
      <c r="A3029" s="49" t="s">
        <v>11339</v>
      </c>
      <c r="B3029" s="49" t="s">
        <v>11340</v>
      </c>
      <c r="C3029" s="49" t="s">
        <v>11341</v>
      </c>
      <c r="D3029" s="49" t="s">
        <v>1264</v>
      </c>
      <c r="E3029" s="49" t="s">
        <v>2908</v>
      </c>
      <c r="F3029" s="49" t="s">
        <v>2837</v>
      </c>
      <c r="G3029" s="49" t="s">
        <v>4891</v>
      </c>
      <c r="H3029" s="49" t="s">
        <v>980</v>
      </c>
      <c r="I3029" s="50">
        <v>45005</v>
      </c>
      <c r="M3029" s="49" t="s">
        <v>11342</v>
      </c>
    </row>
    <row r="3030" spans="1:13" x14ac:dyDescent="0.35">
      <c r="A3030" s="49" t="s">
        <v>11343</v>
      </c>
      <c r="C3030" s="49" t="s">
        <v>11344</v>
      </c>
      <c r="D3030" s="49" t="s">
        <v>1264</v>
      </c>
      <c r="E3030" s="49" t="s">
        <v>2986</v>
      </c>
      <c r="F3030" s="49" t="s">
        <v>2825</v>
      </c>
      <c r="G3030" s="49" t="s">
        <v>4891</v>
      </c>
      <c r="H3030" s="49" t="s">
        <v>2827</v>
      </c>
      <c r="I3030" s="50">
        <v>45035</v>
      </c>
      <c r="M3030" s="49" t="s">
        <v>11345</v>
      </c>
    </row>
    <row r="3031" spans="1:13" x14ac:dyDescent="0.35">
      <c r="A3031" s="49" t="s">
        <v>11346</v>
      </c>
      <c r="B3031" s="49" t="s">
        <v>11347</v>
      </c>
      <c r="C3031" s="49" t="s">
        <v>4977</v>
      </c>
      <c r="D3031" s="49" t="s">
        <v>1264</v>
      </c>
      <c r="E3031" s="49" t="s">
        <v>2986</v>
      </c>
      <c r="F3031" s="49" t="s">
        <v>2825</v>
      </c>
      <c r="G3031" s="49" t="s">
        <v>4891</v>
      </c>
      <c r="H3031" s="49" t="s">
        <v>2827</v>
      </c>
      <c r="I3031" s="50">
        <v>45013</v>
      </c>
      <c r="M3031" s="49" t="s">
        <v>11348</v>
      </c>
    </row>
    <row r="3032" spans="1:13" x14ac:dyDescent="0.35">
      <c r="A3032" s="49" t="s">
        <v>11349</v>
      </c>
      <c r="B3032" s="49" t="s">
        <v>11350</v>
      </c>
      <c r="C3032" s="49" t="s">
        <v>5960</v>
      </c>
      <c r="D3032" s="49" t="s">
        <v>1264</v>
      </c>
      <c r="E3032" s="49" t="s">
        <v>2785</v>
      </c>
      <c r="F3032" s="49" t="s">
        <v>2792</v>
      </c>
      <c r="G3032" s="49" t="s">
        <v>2776</v>
      </c>
      <c r="H3032" s="49" t="s">
        <v>857</v>
      </c>
      <c r="I3032" s="50">
        <v>45040</v>
      </c>
      <c r="M3032" s="49" t="s">
        <v>11351</v>
      </c>
    </row>
    <row r="3033" spans="1:13" x14ac:dyDescent="0.35">
      <c r="A3033" s="49" t="s">
        <v>11352</v>
      </c>
      <c r="B3033" s="49" t="s">
        <v>4293</v>
      </c>
      <c r="C3033" s="49" t="s">
        <v>11353</v>
      </c>
      <c r="D3033" s="49" t="s">
        <v>1264</v>
      </c>
      <c r="E3033" s="49" t="s">
        <v>2785</v>
      </c>
      <c r="F3033" s="49" t="s">
        <v>2786</v>
      </c>
      <c r="G3033" s="49" t="s">
        <v>2776</v>
      </c>
      <c r="H3033" s="49" t="s">
        <v>980</v>
      </c>
      <c r="I3033" s="50">
        <v>45029</v>
      </c>
      <c r="M3033" s="49" t="s">
        <v>11354</v>
      </c>
    </row>
    <row r="3034" spans="1:13" x14ac:dyDescent="0.35">
      <c r="A3034" s="49" t="s">
        <v>11355</v>
      </c>
      <c r="B3034" s="49" t="s">
        <v>11356</v>
      </c>
      <c r="C3034" s="49" t="s">
        <v>11357</v>
      </c>
      <c r="D3034" s="49" t="s">
        <v>1264</v>
      </c>
      <c r="E3034" s="49" t="s">
        <v>2774</v>
      </c>
      <c r="F3034" s="49" t="s">
        <v>2825</v>
      </c>
      <c r="G3034" s="49" t="s">
        <v>2776</v>
      </c>
      <c r="H3034" s="49" t="s">
        <v>2827</v>
      </c>
      <c r="I3034" s="50">
        <v>45049</v>
      </c>
      <c r="M3034" s="49" t="s">
        <v>11358</v>
      </c>
    </row>
    <row r="3035" spans="1:13" x14ac:dyDescent="0.35">
      <c r="A3035" s="49" t="s">
        <v>11359</v>
      </c>
      <c r="B3035" s="49" t="s">
        <v>11360</v>
      </c>
      <c r="C3035" s="49" t="s">
        <v>11361</v>
      </c>
      <c r="D3035" s="49" t="s">
        <v>1264</v>
      </c>
      <c r="E3035" s="49" t="s">
        <v>2785</v>
      </c>
      <c r="F3035" s="49" t="s">
        <v>2786</v>
      </c>
      <c r="G3035" s="49" t="s">
        <v>2776</v>
      </c>
      <c r="H3035" s="49" t="s">
        <v>864</v>
      </c>
      <c r="I3035" s="50">
        <v>44960</v>
      </c>
      <c r="M3035" s="49" t="s">
        <v>11362</v>
      </c>
    </row>
    <row r="3036" spans="1:13" x14ac:dyDescent="0.35">
      <c r="A3036" s="49" t="s">
        <v>11363</v>
      </c>
      <c r="B3036" s="49" t="s">
        <v>11364</v>
      </c>
      <c r="C3036" s="49" t="s">
        <v>5804</v>
      </c>
      <c r="D3036" s="49" t="s">
        <v>1264</v>
      </c>
      <c r="E3036" s="49" t="s">
        <v>2986</v>
      </c>
      <c r="F3036" s="49" t="s">
        <v>2825</v>
      </c>
      <c r="G3036" s="49" t="s">
        <v>2776</v>
      </c>
      <c r="H3036" s="49" t="s">
        <v>2827</v>
      </c>
      <c r="I3036" s="50">
        <v>45034</v>
      </c>
      <c r="M3036" s="49" t="s">
        <v>11365</v>
      </c>
    </row>
    <row r="3037" spans="1:13" x14ac:dyDescent="0.35">
      <c r="A3037" s="49" t="s">
        <v>11366</v>
      </c>
      <c r="B3037" s="49" t="s">
        <v>11367</v>
      </c>
      <c r="C3037" s="49" t="s">
        <v>11368</v>
      </c>
      <c r="D3037" s="49" t="s">
        <v>1264</v>
      </c>
      <c r="E3037" s="49" t="s">
        <v>2908</v>
      </c>
      <c r="F3037" s="49" t="s">
        <v>2939</v>
      </c>
      <c r="G3037" s="49" t="s">
        <v>4891</v>
      </c>
      <c r="H3037" s="49" t="s">
        <v>3229</v>
      </c>
      <c r="I3037" s="50">
        <v>45034</v>
      </c>
      <c r="M3037" s="49" t="s">
        <v>11369</v>
      </c>
    </row>
    <row r="3038" spans="1:13" x14ac:dyDescent="0.35">
      <c r="A3038" s="49" t="s">
        <v>11370</v>
      </c>
      <c r="B3038" s="49" t="s">
        <v>11371</v>
      </c>
      <c r="C3038" s="49" t="s">
        <v>551</v>
      </c>
      <c r="D3038" s="49" t="s">
        <v>1264</v>
      </c>
      <c r="E3038" s="49" t="s">
        <v>2814</v>
      </c>
      <c r="F3038" s="49" t="s">
        <v>2825</v>
      </c>
      <c r="G3038" s="49" t="s">
        <v>4891</v>
      </c>
      <c r="H3038" s="49" t="s">
        <v>2827</v>
      </c>
      <c r="I3038" s="50">
        <v>45056</v>
      </c>
      <c r="M3038" s="49" t="s">
        <v>11372</v>
      </c>
    </row>
    <row r="3039" spans="1:13" x14ac:dyDescent="0.35">
      <c r="A3039" s="49" t="s">
        <v>11373</v>
      </c>
      <c r="B3039" s="49" t="s">
        <v>4351</v>
      </c>
      <c r="C3039" s="49" t="s">
        <v>4646</v>
      </c>
      <c r="D3039" s="49" t="s">
        <v>1264</v>
      </c>
      <c r="E3039" s="49" t="s">
        <v>2814</v>
      </c>
      <c r="F3039" s="49" t="s">
        <v>2825</v>
      </c>
      <c r="G3039" s="49" t="s">
        <v>2826</v>
      </c>
      <c r="H3039" s="49" t="s">
        <v>2827</v>
      </c>
      <c r="I3039" s="50">
        <v>45056</v>
      </c>
      <c r="M3039" s="49" t="s">
        <v>11374</v>
      </c>
    </row>
    <row r="3040" spans="1:13" x14ac:dyDescent="0.35">
      <c r="A3040" s="49" t="s">
        <v>11375</v>
      </c>
      <c r="C3040" s="49" t="s">
        <v>5085</v>
      </c>
      <c r="D3040" s="49" t="s">
        <v>1264</v>
      </c>
      <c r="E3040" s="49" t="s">
        <v>2986</v>
      </c>
      <c r="F3040" s="49" t="s">
        <v>2825</v>
      </c>
      <c r="G3040" s="49" t="s">
        <v>4891</v>
      </c>
      <c r="H3040" s="49" t="s">
        <v>2827</v>
      </c>
      <c r="I3040" s="50">
        <v>45049</v>
      </c>
      <c r="M3040" s="49" t="s">
        <v>11376</v>
      </c>
    </row>
    <row r="3041" spans="1:13" x14ac:dyDescent="0.35">
      <c r="A3041" s="49" t="s">
        <v>11377</v>
      </c>
      <c r="C3041" s="49" t="s">
        <v>11378</v>
      </c>
      <c r="D3041" s="49" t="s">
        <v>1264</v>
      </c>
      <c r="E3041" s="49" t="s">
        <v>2814</v>
      </c>
      <c r="F3041" s="49" t="s">
        <v>2837</v>
      </c>
      <c r="G3041" s="49" t="s">
        <v>2776</v>
      </c>
      <c r="H3041" s="49" t="s">
        <v>980</v>
      </c>
      <c r="I3041" s="50">
        <v>45057</v>
      </c>
      <c r="M3041" s="49" t="s">
        <v>11379</v>
      </c>
    </row>
    <row r="3042" spans="1:13" x14ac:dyDescent="0.35">
      <c r="A3042" s="49" t="s">
        <v>11380</v>
      </c>
      <c r="B3042" s="49" t="s">
        <v>2849</v>
      </c>
      <c r="C3042" s="49" t="s">
        <v>11381</v>
      </c>
      <c r="D3042" s="49" t="s">
        <v>1264</v>
      </c>
      <c r="E3042" s="49" t="s">
        <v>2785</v>
      </c>
      <c r="F3042" s="49" t="s">
        <v>2792</v>
      </c>
      <c r="G3042" s="49" t="s">
        <v>2776</v>
      </c>
      <c r="H3042" s="49" t="s">
        <v>980</v>
      </c>
      <c r="I3042" s="50">
        <v>45048</v>
      </c>
      <c r="M3042" s="49" t="s">
        <v>11382</v>
      </c>
    </row>
    <row r="3043" spans="1:13" x14ac:dyDescent="0.35">
      <c r="A3043" s="49" t="s">
        <v>11383</v>
      </c>
      <c r="B3043" s="49" t="s">
        <v>5717</v>
      </c>
      <c r="C3043" s="49" t="s">
        <v>11384</v>
      </c>
      <c r="D3043" s="49" t="s">
        <v>1264</v>
      </c>
      <c r="E3043" s="49" t="s">
        <v>2986</v>
      </c>
      <c r="F3043" s="49" t="s">
        <v>2825</v>
      </c>
      <c r="G3043" s="49" t="s">
        <v>2776</v>
      </c>
      <c r="H3043" s="49" t="s">
        <v>2827</v>
      </c>
      <c r="I3043" s="50">
        <v>45058</v>
      </c>
      <c r="M3043" s="49" t="s">
        <v>11385</v>
      </c>
    </row>
    <row r="3044" spans="1:13" x14ac:dyDescent="0.35">
      <c r="A3044" s="49" t="s">
        <v>11386</v>
      </c>
      <c r="C3044" s="49" t="s">
        <v>3107</v>
      </c>
      <c r="D3044" s="49" t="s">
        <v>1264</v>
      </c>
      <c r="E3044" s="49" t="s">
        <v>2974</v>
      </c>
      <c r="F3044" s="49" t="s">
        <v>2825</v>
      </c>
      <c r="G3044" s="49" t="s">
        <v>2826</v>
      </c>
      <c r="H3044" s="49" t="s">
        <v>2827</v>
      </c>
      <c r="I3044" s="50">
        <v>45062</v>
      </c>
      <c r="M3044" s="49" t="s">
        <v>11387</v>
      </c>
    </row>
    <row r="3045" spans="1:13" x14ac:dyDescent="0.35">
      <c r="A3045" s="49" t="s">
        <v>11388</v>
      </c>
      <c r="C3045" s="49" t="s">
        <v>10699</v>
      </c>
      <c r="D3045" s="49" t="s">
        <v>1264</v>
      </c>
      <c r="E3045" s="49" t="s">
        <v>2974</v>
      </c>
      <c r="F3045" s="49" t="s">
        <v>2825</v>
      </c>
      <c r="G3045" s="49" t="s">
        <v>2776</v>
      </c>
      <c r="H3045" s="49" t="s">
        <v>2827</v>
      </c>
      <c r="I3045" s="50">
        <v>45062</v>
      </c>
      <c r="M3045" s="49" t="s">
        <v>10052</v>
      </c>
    </row>
    <row r="3046" spans="1:13" x14ac:dyDescent="0.35">
      <c r="A3046" s="49" t="s">
        <v>11389</v>
      </c>
      <c r="B3046" s="49" t="s">
        <v>5606</v>
      </c>
      <c r="C3046" s="49" t="s">
        <v>11390</v>
      </c>
      <c r="D3046" s="49" t="s">
        <v>1264</v>
      </c>
      <c r="E3046" s="49" t="s">
        <v>2774</v>
      </c>
      <c r="F3046" s="49" t="s">
        <v>2825</v>
      </c>
      <c r="G3046" s="49" t="s">
        <v>4891</v>
      </c>
      <c r="H3046" s="49" t="s">
        <v>2827</v>
      </c>
      <c r="I3046" s="50">
        <v>45058</v>
      </c>
      <c r="M3046" s="49" t="s">
        <v>11063</v>
      </c>
    </row>
    <row r="3047" spans="1:13" x14ac:dyDescent="0.35">
      <c r="A3047" s="49" t="s">
        <v>11391</v>
      </c>
      <c r="C3047" s="49" t="s">
        <v>6365</v>
      </c>
      <c r="D3047" s="49" t="s">
        <v>1264</v>
      </c>
      <c r="E3047" s="49" t="s">
        <v>2814</v>
      </c>
      <c r="F3047" s="49" t="s">
        <v>2837</v>
      </c>
      <c r="G3047" s="49" t="s">
        <v>4891</v>
      </c>
      <c r="H3047" s="49" t="s">
        <v>980</v>
      </c>
      <c r="I3047" s="50">
        <v>45068</v>
      </c>
      <c r="M3047" s="49" t="s">
        <v>11392</v>
      </c>
    </row>
    <row r="3048" spans="1:13" x14ac:dyDescent="0.35">
      <c r="A3048" s="49" t="s">
        <v>11393</v>
      </c>
      <c r="C3048" s="49" t="s">
        <v>11394</v>
      </c>
      <c r="D3048" s="49" t="s">
        <v>1264</v>
      </c>
      <c r="E3048" s="49" t="s">
        <v>2986</v>
      </c>
      <c r="F3048" s="49" t="s">
        <v>2825</v>
      </c>
      <c r="G3048" s="49" t="s">
        <v>4891</v>
      </c>
      <c r="H3048" s="49" t="s">
        <v>2827</v>
      </c>
      <c r="I3048" s="50">
        <v>45051</v>
      </c>
      <c r="M3048" s="49" t="s">
        <v>11395</v>
      </c>
    </row>
    <row r="3049" spans="1:13" x14ac:dyDescent="0.35">
      <c r="A3049" s="49" t="s">
        <v>11396</v>
      </c>
      <c r="B3049" s="49" t="s">
        <v>4817</v>
      </c>
      <c r="C3049" s="49" t="s">
        <v>6776</v>
      </c>
      <c r="D3049" s="49" t="s">
        <v>1264</v>
      </c>
      <c r="E3049" s="49" t="s">
        <v>2986</v>
      </c>
      <c r="F3049" s="49" t="s">
        <v>2825</v>
      </c>
      <c r="G3049" s="49" t="s">
        <v>2776</v>
      </c>
      <c r="H3049" s="49" t="s">
        <v>2827</v>
      </c>
      <c r="I3049" s="50">
        <v>45028</v>
      </c>
      <c r="M3049" s="49" t="s">
        <v>11397</v>
      </c>
    </row>
    <row r="3050" spans="1:13" x14ac:dyDescent="0.35">
      <c r="A3050" s="49" t="s">
        <v>11398</v>
      </c>
      <c r="B3050" s="49" t="s">
        <v>4809</v>
      </c>
      <c r="C3050" s="49" t="s">
        <v>6776</v>
      </c>
      <c r="D3050" s="49" t="s">
        <v>1264</v>
      </c>
      <c r="E3050" s="49" t="s">
        <v>2986</v>
      </c>
      <c r="F3050" s="49" t="s">
        <v>2825</v>
      </c>
      <c r="G3050" s="49" t="s">
        <v>2776</v>
      </c>
      <c r="H3050" s="49" t="s">
        <v>2827</v>
      </c>
      <c r="I3050" s="50">
        <v>45028</v>
      </c>
      <c r="M3050" s="49" t="s">
        <v>11399</v>
      </c>
    </row>
    <row r="3051" spans="1:13" x14ac:dyDescent="0.35">
      <c r="A3051" s="49" t="s">
        <v>11400</v>
      </c>
      <c r="C3051" s="49" t="s">
        <v>5556</v>
      </c>
      <c r="D3051" s="49" t="s">
        <v>1264</v>
      </c>
      <c r="E3051" s="49" t="s">
        <v>2908</v>
      </c>
      <c r="F3051" s="49" t="s">
        <v>2837</v>
      </c>
      <c r="G3051" s="49" t="s">
        <v>4891</v>
      </c>
      <c r="H3051" s="49" t="s">
        <v>2827</v>
      </c>
      <c r="I3051" s="50">
        <v>45083</v>
      </c>
      <c r="M3051" s="49" t="s">
        <v>11401</v>
      </c>
    </row>
    <row r="3052" spans="1:13" x14ac:dyDescent="0.35">
      <c r="A3052" s="49" t="s">
        <v>11402</v>
      </c>
      <c r="B3052" s="49" t="s">
        <v>3768</v>
      </c>
      <c r="C3052" s="49" t="s">
        <v>5591</v>
      </c>
      <c r="D3052" s="49" t="s">
        <v>1264</v>
      </c>
      <c r="E3052" s="49" t="s">
        <v>3443</v>
      </c>
      <c r="F3052" s="49" t="s">
        <v>3124</v>
      </c>
      <c r="G3052" s="49" t="s">
        <v>4891</v>
      </c>
      <c r="H3052" s="49" t="s">
        <v>980</v>
      </c>
      <c r="I3052" s="50">
        <v>45084</v>
      </c>
    </row>
    <row r="3053" spans="1:13" x14ac:dyDescent="0.35">
      <c r="A3053" s="49" t="s">
        <v>11403</v>
      </c>
      <c r="C3053" s="49" t="s">
        <v>11404</v>
      </c>
      <c r="D3053" s="49" t="s">
        <v>1264</v>
      </c>
      <c r="E3053" s="49" t="s">
        <v>2814</v>
      </c>
      <c r="F3053" s="49" t="s">
        <v>4259</v>
      </c>
      <c r="G3053" s="49" t="s">
        <v>4891</v>
      </c>
      <c r="H3053" s="49" t="s">
        <v>980</v>
      </c>
      <c r="I3053" s="50">
        <v>45084</v>
      </c>
      <c r="M3053" s="49" t="s">
        <v>11405</v>
      </c>
    </row>
    <row r="3054" spans="1:13" x14ac:dyDescent="0.35">
      <c r="A3054" s="49" t="s">
        <v>11406</v>
      </c>
      <c r="C3054" s="49" t="s">
        <v>4646</v>
      </c>
      <c r="D3054" s="49" t="s">
        <v>1264</v>
      </c>
      <c r="E3054" s="49" t="s">
        <v>2814</v>
      </c>
      <c r="F3054" s="49" t="s">
        <v>2825</v>
      </c>
      <c r="G3054" s="49" t="s">
        <v>2776</v>
      </c>
      <c r="H3054" s="49" t="s">
        <v>973</v>
      </c>
      <c r="I3054" s="50">
        <v>45084</v>
      </c>
      <c r="M3054" s="49" t="s">
        <v>11407</v>
      </c>
    </row>
    <row r="3055" spans="1:13" x14ac:dyDescent="0.35">
      <c r="A3055" s="49" t="s">
        <v>11408</v>
      </c>
      <c r="C3055" s="49" t="s">
        <v>11409</v>
      </c>
      <c r="D3055" s="49" t="s">
        <v>1264</v>
      </c>
      <c r="E3055" s="49" t="s">
        <v>2908</v>
      </c>
      <c r="F3055" s="49" t="s">
        <v>2837</v>
      </c>
      <c r="G3055" s="49" t="s">
        <v>4891</v>
      </c>
      <c r="H3055" s="49" t="s">
        <v>2827</v>
      </c>
      <c r="I3055" s="50">
        <v>45085</v>
      </c>
      <c r="M3055" s="49" t="s">
        <v>11410</v>
      </c>
    </row>
    <row r="3056" spans="1:13" x14ac:dyDescent="0.35">
      <c r="A3056" s="49" t="s">
        <v>11411</v>
      </c>
      <c r="B3056" s="49" t="s">
        <v>11412</v>
      </c>
      <c r="C3056" s="49" t="s">
        <v>4874</v>
      </c>
      <c r="D3056" s="49" t="s">
        <v>1264</v>
      </c>
      <c r="E3056" s="49" t="s">
        <v>2774</v>
      </c>
      <c r="F3056" s="49" t="s">
        <v>2900</v>
      </c>
      <c r="G3056" s="49" t="s">
        <v>4891</v>
      </c>
      <c r="H3056" s="49" t="s">
        <v>980</v>
      </c>
      <c r="I3056" s="50">
        <v>45097</v>
      </c>
      <c r="M3056" s="49" t="s">
        <v>11413</v>
      </c>
    </row>
    <row r="3057" spans="1:13" x14ac:dyDescent="0.35">
      <c r="A3057" s="49" t="s">
        <v>11414</v>
      </c>
      <c r="B3057" s="49" t="s">
        <v>11415</v>
      </c>
      <c r="C3057" s="49" t="s">
        <v>5752</v>
      </c>
      <c r="D3057" s="49" t="s">
        <v>1264</v>
      </c>
      <c r="E3057" s="49" t="s">
        <v>2986</v>
      </c>
      <c r="F3057" s="49" t="s">
        <v>2825</v>
      </c>
      <c r="G3057" s="49" t="s">
        <v>2776</v>
      </c>
      <c r="H3057" s="49" t="s">
        <v>973</v>
      </c>
      <c r="I3057" s="50">
        <v>45092</v>
      </c>
      <c r="M3057" s="49" t="s">
        <v>11416</v>
      </c>
    </row>
    <row r="3058" spans="1:13" x14ac:dyDescent="0.35">
      <c r="A3058" s="49" t="s">
        <v>11417</v>
      </c>
      <c r="C3058" s="49" t="s">
        <v>5752</v>
      </c>
      <c r="D3058" s="49" t="s">
        <v>1264</v>
      </c>
      <c r="E3058" s="49" t="s">
        <v>2986</v>
      </c>
      <c r="F3058" s="49" t="s">
        <v>2825</v>
      </c>
      <c r="G3058" s="49" t="s">
        <v>2776</v>
      </c>
      <c r="H3058" s="49" t="s">
        <v>973</v>
      </c>
      <c r="I3058" s="50">
        <v>45097</v>
      </c>
      <c r="M3058" s="49" t="s">
        <v>11418</v>
      </c>
    </row>
    <row r="3059" spans="1:13" x14ac:dyDescent="0.35">
      <c r="A3059" s="49" t="s">
        <v>11419</v>
      </c>
      <c r="C3059" s="49" t="s">
        <v>9345</v>
      </c>
      <c r="D3059" s="49" t="s">
        <v>1264</v>
      </c>
      <c r="E3059" s="49" t="s">
        <v>2785</v>
      </c>
      <c r="F3059" s="49" t="s">
        <v>2792</v>
      </c>
      <c r="G3059" s="49" t="s">
        <v>2776</v>
      </c>
      <c r="H3059" s="49" t="s">
        <v>8</v>
      </c>
      <c r="I3059" s="50">
        <v>45099</v>
      </c>
      <c r="M3059" s="49" t="s">
        <v>11420</v>
      </c>
    </row>
    <row r="3060" spans="1:13" x14ac:dyDescent="0.35">
      <c r="A3060" s="49" t="s">
        <v>11421</v>
      </c>
      <c r="C3060" s="49" t="s">
        <v>11422</v>
      </c>
      <c r="D3060" s="49" t="s">
        <v>1264</v>
      </c>
      <c r="E3060" s="49" t="s">
        <v>2986</v>
      </c>
      <c r="F3060" s="49" t="s">
        <v>2825</v>
      </c>
      <c r="G3060" s="49" t="s">
        <v>4891</v>
      </c>
      <c r="I3060" s="50">
        <v>45097</v>
      </c>
      <c r="M3060" s="49" t="s">
        <v>11423</v>
      </c>
    </row>
    <row r="3061" spans="1:13" x14ac:dyDescent="0.35">
      <c r="A3061" s="49" t="s">
        <v>11424</v>
      </c>
      <c r="B3061" s="49" t="s">
        <v>4809</v>
      </c>
      <c r="C3061" s="49" t="s">
        <v>11422</v>
      </c>
      <c r="D3061" s="49" t="s">
        <v>1264</v>
      </c>
      <c r="E3061" s="49" t="s">
        <v>2986</v>
      </c>
      <c r="F3061" s="49" t="s">
        <v>2825</v>
      </c>
      <c r="G3061" s="49" t="s">
        <v>4891</v>
      </c>
      <c r="H3061" s="49" t="s">
        <v>973</v>
      </c>
      <c r="I3061" s="50">
        <v>45097</v>
      </c>
      <c r="M3061" s="49" t="s">
        <v>5565</v>
      </c>
    </row>
    <row r="3062" spans="1:13" x14ac:dyDescent="0.35">
      <c r="A3062" s="49" t="s">
        <v>11425</v>
      </c>
      <c r="B3062" s="49" t="s">
        <v>11426</v>
      </c>
      <c r="C3062" s="49" t="s">
        <v>11427</v>
      </c>
      <c r="D3062" s="49" t="s">
        <v>1264</v>
      </c>
      <c r="E3062" s="49" t="s">
        <v>2986</v>
      </c>
      <c r="F3062" s="49" t="s">
        <v>2825</v>
      </c>
      <c r="G3062" s="49" t="s">
        <v>2776</v>
      </c>
      <c r="H3062" s="49" t="s">
        <v>2827</v>
      </c>
      <c r="I3062" s="50">
        <v>45093</v>
      </c>
      <c r="M3062" s="49" t="s">
        <v>11428</v>
      </c>
    </row>
    <row r="3063" spans="1:13" x14ac:dyDescent="0.35">
      <c r="A3063" s="49" t="s">
        <v>11429</v>
      </c>
      <c r="B3063" s="49" t="s">
        <v>11430</v>
      </c>
      <c r="C3063" s="49" t="s">
        <v>11427</v>
      </c>
      <c r="D3063" s="49" t="s">
        <v>1264</v>
      </c>
      <c r="E3063" s="49" t="s">
        <v>2986</v>
      </c>
      <c r="F3063" s="49" t="s">
        <v>2825</v>
      </c>
      <c r="G3063" s="49" t="s">
        <v>2776</v>
      </c>
      <c r="H3063" s="49" t="s">
        <v>2827</v>
      </c>
      <c r="I3063" s="50">
        <v>45093</v>
      </c>
      <c r="M3063" s="49" t="s">
        <v>5155</v>
      </c>
    </row>
    <row r="3064" spans="1:13" x14ac:dyDescent="0.35">
      <c r="A3064" s="49" t="s">
        <v>11431</v>
      </c>
      <c r="B3064" s="49" t="s">
        <v>4305</v>
      </c>
      <c r="C3064" s="49" t="s">
        <v>551</v>
      </c>
      <c r="D3064" s="49" t="s">
        <v>1264</v>
      </c>
      <c r="E3064" s="49" t="s">
        <v>2986</v>
      </c>
      <c r="F3064" s="49" t="s">
        <v>2825</v>
      </c>
      <c r="G3064" s="49" t="s">
        <v>2776</v>
      </c>
      <c r="H3064" s="49" t="s">
        <v>2827</v>
      </c>
      <c r="I3064" s="50">
        <v>45092</v>
      </c>
      <c r="M3064" s="49" t="s">
        <v>11432</v>
      </c>
    </row>
    <row r="3065" spans="1:13" x14ac:dyDescent="0.35">
      <c r="A3065" s="49" t="s">
        <v>11433</v>
      </c>
      <c r="B3065" s="49" t="s">
        <v>11434</v>
      </c>
      <c r="C3065" s="49" t="s">
        <v>5739</v>
      </c>
      <c r="D3065" s="49" t="s">
        <v>1264</v>
      </c>
      <c r="E3065" s="49" t="s">
        <v>2986</v>
      </c>
      <c r="F3065" s="49" t="s">
        <v>2825</v>
      </c>
      <c r="G3065" s="49" t="s">
        <v>2776</v>
      </c>
      <c r="H3065" s="49" t="s">
        <v>2827</v>
      </c>
      <c r="I3065" s="50">
        <v>45092</v>
      </c>
      <c r="M3065" s="49" t="s">
        <v>11435</v>
      </c>
    </row>
    <row r="3066" spans="1:13" x14ac:dyDescent="0.35">
      <c r="A3066" s="49" t="s">
        <v>11436</v>
      </c>
      <c r="C3066" s="49" t="s">
        <v>11167</v>
      </c>
      <c r="D3066" s="49" t="s">
        <v>1264</v>
      </c>
      <c r="E3066" s="49" t="s">
        <v>2814</v>
      </c>
      <c r="F3066" s="49" t="s">
        <v>2825</v>
      </c>
      <c r="G3066" s="49" t="s">
        <v>2776</v>
      </c>
      <c r="H3066" s="49" t="s">
        <v>2827</v>
      </c>
      <c r="I3066" s="50">
        <v>45100</v>
      </c>
      <c r="M3066" s="49" t="s">
        <v>11437</v>
      </c>
    </row>
    <row r="3067" spans="1:13" x14ac:dyDescent="0.35">
      <c r="A3067" s="49" t="s">
        <v>11438</v>
      </c>
      <c r="B3067" s="49" t="s">
        <v>11439</v>
      </c>
      <c r="C3067" s="49" t="s">
        <v>5752</v>
      </c>
      <c r="D3067" s="49" t="s">
        <v>1264</v>
      </c>
      <c r="E3067" s="49" t="s">
        <v>2986</v>
      </c>
      <c r="F3067" s="49" t="s">
        <v>2825</v>
      </c>
      <c r="G3067" s="49" t="s">
        <v>2776</v>
      </c>
      <c r="H3067" s="49" t="s">
        <v>973</v>
      </c>
      <c r="I3067" s="50">
        <v>45100</v>
      </c>
      <c r="M3067" s="49" t="s">
        <v>5992</v>
      </c>
    </row>
    <row r="3068" spans="1:13" x14ac:dyDescent="0.35">
      <c r="A3068" s="49" t="s">
        <v>11440</v>
      </c>
      <c r="B3068" s="49" t="s">
        <v>11441</v>
      </c>
      <c r="C3068" s="49" t="s">
        <v>5752</v>
      </c>
      <c r="D3068" s="49" t="s">
        <v>1264</v>
      </c>
      <c r="E3068" s="49" t="s">
        <v>2986</v>
      </c>
      <c r="F3068" s="49" t="s">
        <v>2825</v>
      </c>
      <c r="G3068" s="49" t="s">
        <v>2776</v>
      </c>
      <c r="H3068" s="49" t="s">
        <v>973</v>
      </c>
      <c r="I3068" s="50">
        <v>45100</v>
      </c>
      <c r="M3068" s="49" t="s">
        <v>5994</v>
      </c>
    </row>
    <row r="3069" spans="1:13" x14ac:dyDescent="0.35">
      <c r="A3069" s="49" t="s">
        <v>11442</v>
      </c>
      <c r="C3069" s="49" t="s">
        <v>11378</v>
      </c>
      <c r="D3069" s="49" t="s">
        <v>1264</v>
      </c>
      <c r="E3069" s="49" t="s">
        <v>2908</v>
      </c>
      <c r="F3069" s="49" t="s">
        <v>2837</v>
      </c>
      <c r="G3069" s="49" t="s">
        <v>2776</v>
      </c>
      <c r="H3069" s="49" t="s">
        <v>980</v>
      </c>
      <c r="I3069" s="50">
        <v>45103</v>
      </c>
      <c r="M3069" s="49" t="s">
        <v>11443</v>
      </c>
    </row>
    <row r="3070" spans="1:13" x14ac:dyDescent="0.35">
      <c r="A3070" s="49" t="s">
        <v>11444</v>
      </c>
      <c r="C3070" s="49" t="s">
        <v>11445</v>
      </c>
      <c r="D3070" s="49" t="s">
        <v>1264</v>
      </c>
      <c r="E3070" s="49" t="s">
        <v>2908</v>
      </c>
      <c r="F3070" s="49" t="s">
        <v>2837</v>
      </c>
      <c r="G3070" s="49" t="s">
        <v>4891</v>
      </c>
      <c r="H3070" s="49" t="s">
        <v>980</v>
      </c>
      <c r="I3070" s="50">
        <v>45103</v>
      </c>
      <c r="M3070" s="49" t="s">
        <v>6392</v>
      </c>
    </row>
    <row r="3071" spans="1:13" x14ac:dyDescent="0.35">
      <c r="A3071" s="49" t="s">
        <v>11446</v>
      </c>
      <c r="B3071" s="49" t="s">
        <v>11447</v>
      </c>
      <c r="C3071" s="49" t="s">
        <v>4935</v>
      </c>
      <c r="D3071" s="49" t="s">
        <v>1264</v>
      </c>
      <c r="E3071" s="49" t="s">
        <v>2785</v>
      </c>
      <c r="F3071" s="49" t="s">
        <v>2792</v>
      </c>
      <c r="G3071" s="49" t="s">
        <v>2776</v>
      </c>
      <c r="H3071" s="49" t="s">
        <v>8</v>
      </c>
      <c r="I3071" s="50">
        <v>45085</v>
      </c>
      <c r="M3071" s="49" t="s">
        <v>5615</v>
      </c>
    </row>
    <row r="3072" spans="1:13" x14ac:dyDescent="0.35">
      <c r="A3072" s="49" t="s">
        <v>11448</v>
      </c>
      <c r="B3072" s="49" t="s">
        <v>5640</v>
      </c>
      <c r="C3072" s="49" t="s">
        <v>5653</v>
      </c>
      <c r="D3072" s="49" t="s">
        <v>1264</v>
      </c>
      <c r="E3072" s="49" t="s">
        <v>2785</v>
      </c>
      <c r="F3072" s="49" t="s">
        <v>2792</v>
      </c>
      <c r="G3072" s="49" t="s">
        <v>2776</v>
      </c>
      <c r="H3072" s="49" t="s">
        <v>980</v>
      </c>
      <c r="I3072" s="50">
        <v>45070</v>
      </c>
      <c r="M3072" s="49" t="s">
        <v>5654</v>
      </c>
    </row>
    <row r="3073" spans="1:13" x14ac:dyDescent="0.35">
      <c r="A3073" s="49" t="s">
        <v>11449</v>
      </c>
      <c r="C3073" s="49" t="s">
        <v>4525</v>
      </c>
      <c r="D3073" s="49" t="s">
        <v>1264</v>
      </c>
      <c r="E3073" s="49" t="s">
        <v>2814</v>
      </c>
      <c r="F3073" s="49" t="s">
        <v>2837</v>
      </c>
      <c r="G3073" s="49" t="s">
        <v>2776</v>
      </c>
      <c r="H3073" s="49" t="s">
        <v>980</v>
      </c>
      <c r="I3073" s="50">
        <v>45111</v>
      </c>
      <c r="M3073" s="49" t="s">
        <v>11450</v>
      </c>
    </row>
    <row r="3074" spans="1:13" x14ac:dyDescent="0.35">
      <c r="A3074" s="49" t="s">
        <v>11451</v>
      </c>
      <c r="B3074" s="49" t="s">
        <v>11452</v>
      </c>
      <c r="C3074" s="49" t="s">
        <v>11453</v>
      </c>
      <c r="D3074" s="49" t="s">
        <v>1264</v>
      </c>
      <c r="E3074" s="49" t="s">
        <v>2986</v>
      </c>
      <c r="F3074" s="49" t="s">
        <v>2825</v>
      </c>
      <c r="G3074" s="49" t="s">
        <v>4891</v>
      </c>
      <c r="H3074" s="49" t="s">
        <v>2827</v>
      </c>
      <c r="I3074" s="50">
        <v>45092</v>
      </c>
      <c r="M3074" s="49" t="s">
        <v>11454</v>
      </c>
    </row>
    <row r="3075" spans="1:13" x14ac:dyDescent="0.35">
      <c r="A3075" s="49" t="s">
        <v>11455</v>
      </c>
      <c r="B3075" s="49" t="s">
        <v>11456</v>
      </c>
      <c r="C3075" s="49" t="s">
        <v>11453</v>
      </c>
      <c r="D3075" s="49" t="s">
        <v>1264</v>
      </c>
      <c r="E3075" s="49" t="s">
        <v>2986</v>
      </c>
      <c r="F3075" s="49" t="s">
        <v>2825</v>
      </c>
      <c r="G3075" s="49" t="s">
        <v>4891</v>
      </c>
      <c r="H3075" s="49" t="s">
        <v>2827</v>
      </c>
      <c r="I3075" s="50">
        <v>45092</v>
      </c>
      <c r="M3075" s="49" t="s">
        <v>11457</v>
      </c>
    </row>
    <row r="3076" spans="1:13" x14ac:dyDescent="0.35">
      <c r="A3076" s="49" t="s">
        <v>11458</v>
      </c>
      <c r="B3076" s="49" t="s">
        <v>11459</v>
      </c>
      <c r="C3076" s="49" t="s">
        <v>11460</v>
      </c>
      <c r="D3076" s="49" t="s">
        <v>1264</v>
      </c>
      <c r="E3076" s="49" t="s">
        <v>2986</v>
      </c>
      <c r="F3076" s="49" t="s">
        <v>2825</v>
      </c>
      <c r="G3076" s="49" t="s">
        <v>2776</v>
      </c>
      <c r="H3076" s="49" t="s">
        <v>2827</v>
      </c>
      <c r="I3076" s="50">
        <v>45061</v>
      </c>
      <c r="M3076" s="49" t="s">
        <v>3270</v>
      </c>
    </row>
    <row r="3077" spans="1:13" x14ac:dyDescent="0.35">
      <c r="A3077" s="49" t="s">
        <v>11461</v>
      </c>
      <c r="C3077" s="49" t="s">
        <v>11462</v>
      </c>
      <c r="D3077" s="49" t="s">
        <v>1264</v>
      </c>
      <c r="E3077" s="49" t="s">
        <v>2814</v>
      </c>
      <c r="F3077" s="49" t="s">
        <v>2837</v>
      </c>
      <c r="G3077" s="49" t="s">
        <v>4891</v>
      </c>
      <c r="H3077" s="49" t="s">
        <v>980</v>
      </c>
      <c r="I3077" s="50">
        <v>45120</v>
      </c>
      <c r="M3077" s="49" t="s">
        <v>11463</v>
      </c>
    </row>
    <row r="3078" spans="1:13" x14ac:dyDescent="0.35">
      <c r="A3078" s="49" t="s">
        <v>11464</v>
      </c>
      <c r="B3078" s="49" t="s">
        <v>8589</v>
      </c>
      <c r="C3078" s="49" t="s">
        <v>4466</v>
      </c>
      <c r="D3078" s="49" t="s">
        <v>1264</v>
      </c>
      <c r="E3078" s="49" t="s">
        <v>2974</v>
      </c>
      <c r="F3078" s="49" t="s">
        <v>2825</v>
      </c>
      <c r="G3078" s="49" t="s">
        <v>2826</v>
      </c>
      <c r="H3078" s="49" t="s">
        <v>2827</v>
      </c>
      <c r="I3078" s="50">
        <v>45120</v>
      </c>
      <c r="M3078" s="49" t="s">
        <v>11465</v>
      </c>
    </row>
    <row r="3079" spans="1:13" x14ac:dyDescent="0.35">
      <c r="A3079" s="49" t="s">
        <v>11466</v>
      </c>
      <c r="C3079" s="49" t="s">
        <v>11467</v>
      </c>
      <c r="D3079" s="49" t="s">
        <v>1264</v>
      </c>
      <c r="E3079" s="49" t="s">
        <v>2814</v>
      </c>
      <c r="F3079" s="49" t="s">
        <v>2837</v>
      </c>
      <c r="G3079" s="49" t="s">
        <v>4891</v>
      </c>
      <c r="H3079" s="49" t="s">
        <v>980</v>
      </c>
      <c r="I3079" s="50">
        <v>45120</v>
      </c>
      <c r="M3079" s="49" t="s">
        <v>4797</v>
      </c>
    </row>
    <row r="3080" spans="1:13" x14ac:dyDescent="0.35">
      <c r="A3080" s="49" t="s">
        <v>11468</v>
      </c>
      <c r="B3080" s="49" t="s">
        <v>11469</v>
      </c>
      <c r="C3080" s="49" t="s">
        <v>11357</v>
      </c>
      <c r="D3080" s="49" t="s">
        <v>1264</v>
      </c>
      <c r="E3080" s="49" t="s">
        <v>2774</v>
      </c>
      <c r="F3080" s="49" t="s">
        <v>2900</v>
      </c>
      <c r="G3080" s="49" t="s">
        <v>4891</v>
      </c>
      <c r="H3080" s="49" t="s">
        <v>2832</v>
      </c>
      <c r="I3080" s="50">
        <v>45119</v>
      </c>
      <c r="M3080" s="49" t="s">
        <v>11470</v>
      </c>
    </row>
    <row r="3081" spans="1:13" x14ac:dyDescent="0.35">
      <c r="A3081" s="49" t="s">
        <v>11471</v>
      </c>
      <c r="C3081" s="49" t="s">
        <v>11472</v>
      </c>
      <c r="D3081" s="49" t="s">
        <v>1264</v>
      </c>
      <c r="E3081" s="49" t="s">
        <v>2774</v>
      </c>
      <c r="F3081" s="49" t="s">
        <v>2900</v>
      </c>
      <c r="G3081" s="49" t="s">
        <v>2776</v>
      </c>
      <c r="H3081" s="49" t="s">
        <v>3229</v>
      </c>
      <c r="I3081" s="50">
        <v>45120</v>
      </c>
      <c r="M3081" s="49" t="s">
        <v>11473</v>
      </c>
    </row>
    <row r="3082" spans="1:13" x14ac:dyDescent="0.35">
      <c r="A3082" s="49" t="s">
        <v>11474</v>
      </c>
      <c r="C3082" s="49" t="s">
        <v>5725</v>
      </c>
      <c r="D3082" s="49" t="s">
        <v>1264</v>
      </c>
      <c r="E3082" s="49" t="s">
        <v>2986</v>
      </c>
      <c r="F3082" s="49" t="s">
        <v>2825</v>
      </c>
      <c r="G3082" s="49" t="s">
        <v>4891</v>
      </c>
      <c r="H3082" s="49" t="s">
        <v>2827</v>
      </c>
      <c r="I3082" s="50">
        <v>45114</v>
      </c>
      <c r="M3082" s="49" t="s">
        <v>11475</v>
      </c>
    </row>
    <row r="3083" spans="1:13" x14ac:dyDescent="0.35">
      <c r="A3083" s="49" t="s">
        <v>11476</v>
      </c>
      <c r="B3083" s="49" t="s">
        <v>3768</v>
      </c>
      <c r="C3083" s="49" t="s">
        <v>5816</v>
      </c>
      <c r="D3083" s="49" t="s">
        <v>1264</v>
      </c>
      <c r="E3083" s="49" t="s">
        <v>3443</v>
      </c>
      <c r="F3083" s="49" t="s">
        <v>3124</v>
      </c>
      <c r="G3083" s="49" t="s">
        <v>4891</v>
      </c>
      <c r="H3083" s="49" t="s">
        <v>980</v>
      </c>
      <c r="I3083" s="50">
        <v>45093</v>
      </c>
    </row>
    <row r="3084" spans="1:13" x14ac:dyDescent="0.35">
      <c r="A3084" s="49" t="s">
        <v>11477</v>
      </c>
      <c r="C3084" s="49" t="s">
        <v>5253</v>
      </c>
      <c r="D3084" s="49" t="s">
        <v>1264</v>
      </c>
      <c r="E3084" s="49" t="s">
        <v>2814</v>
      </c>
      <c r="F3084" s="49" t="s">
        <v>2837</v>
      </c>
      <c r="G3084" s="49" t="s">
        <v>4891</v>
      </c>
      <c r="H3084" s="49" t="s">
        <v>980</v>
      </c>
      <c r="I3084" s="50">
        <v>45121</v>
      </c>
      <c r="M3084" s="49" t="s">
        <v>11478</v>
      </c>
    </row>
    <row r="3085" spans="1:13" x14ac:dyDescent="0.35">
      <c r="A3085" s="49" t="s">
        <v>11479</v>
      </c>
      <c r="B3085" s="49" t="s">
        <v>11480</v>
      </c>
      <c r="C3085" s="49" t="s">
        <v>11481</v>
      </c>
      <c r="D3085" s="49" t="s">
        <v>1264</v>
      </c>
      <c r="E3085" s="49" t="s">
        <v>2986</v>
      </c>
      <c r="F3085" s="49" t="s">
        <v>2825</v>
      </c>
      <c r="G3085" s="49" t="s">
        <v>4891</v>
      </c>
      <c r="H3085" s="49" t="s">
        <v>2827</v>
      </c>
      <c r="I3085" s="50">
        <v>45111</v>
      </c>
      <c r="M3085" s="49" t="s">
        <v>5948</v>
      </c>
    </row>
    <row r="3086" spans="1:13" x14ac:dyDescent="0.35">
      <c r="A3086" s="49" t="s">
        <v>11482</v>
      </c>
      <c r="B3086" s="49" t="s">
        <v>11483</v>
      </c>
      <c r="C3086" s="49" t="s">
        <v>4977</v>
      </c>
      <c r="D3086" s="49" t="s">
        <v>1264</v>
      </c>
      <c r="E3086" s="49" t="s">
        <v>2974</v>
      </c>
      <c r="F3086" s="49" t="s">
        <v>2825</v>
      </c>
      <c r="G3086" s="49" t="s">
        <v>2826</v>
      </c>
      <c r="H3086" s="49" t="s">
        <v>2827</v>
      </c>
      <c r="I3086" s="50">
        <v>45126</v>
      </c>
      <c r="M3086" s="49" t="s">
        <v>11484</v>
      </c>
    </row>
    <row r="3087" spans="1:13" x14ac:dyDescent="0.35">
      <c r="A3087" s="49" t="s">
        <v>11485</v>
      </c>
      <c r="B3087" s="49" t="s">
        <v>4809</v>
      </c>
      <c r="C3087" s="49" t="s">
        <v>5744</v>
      </c>
      <c r="D3087" s="49" t="s">
        <v>1264</v>
      </c>
      <c r="E3087" s="49" t="s">
        <v>2986</v>
      </c>
      <c r="F3087" s="49" t="s">
        <v>2825</v>
      </c>
      <c r="G3087" s="49" t="s">
        <v>2776</v>
      </c>
      <c r="H3087" s="49" t="s">
        <v>973</v>
      </c>
      <c r="I3087" s="50">
        <v>45114</v>
      </c>
      <c r="M3087" s="49" t="s">
        <v>11486</v>
      </c>
    </row>
    <row r="3088" spans="1:13" x14ac:dyDescent="0.35">
      <c r="A3088" s="49" t="s">
        <v>11487</v>
      </c>
      <c r="B3088" s="49" t="s">
        <v>4877</v>
      </c>
      <c r="C3088" s="49" t="s">
        <v>5744</v>
      </c>
      <c r="D3088" s="49" t="s">
        <v>1264</v>
      </c>
      <c r="E3088" s="49" t="s">
        <v>2986</v>
      </c>
      <c r="F3088" s="49" t="s">
        <v>2825</v>
      </c>
      <c r="G3088" s="49" t="s">
        <v>2776</v>
      </c>
      <c r="H3088" s="49" t="s">
        <v>973</v>
      </c>
      <c r="I3088" s="50">
        <v>45120</v>
      </c>
      <c r="M3088" s="49" t="s">
        <v>11488</v>
      </c>
    </row>
    <row r="3089" spans="1:13" x14ac:dyDescent="0.35">
      <c r="A3089" s="49" t="s">
        <v>11489</v>
      </c>
      <c r="B3089" s="49" t="s">
        <v>11490</v>
      </c>
      <c r="C3089" s="49" t="s">
        <v>11357</v>
      </c>
      <c r="D3089" s="49" t="s">
        <v>1264</v>
      </c>
      <c r="E3089" s="49" t="s">
        <v>2974</v>
      </c>
      <c r="F3089" s="49" t="s">
        <v>4842</v>
      </c>
      <c r="G3089" s="49" t="s">
        <v>2776</v>
      </c>
      <c r="H3089" s="49" t="s">
        <v>8</v>
      </c>
      <c r="I3089" s="50">
        <v>45133</v>
      </c>
      <c r="M3089" s="49" t="s">
        <v>11491</v>
      </c>
    </row>
    <row r="3090" spans="1:13" x14ac:dyDescent="0.35">
      <c r="A3090" s="49" t="s">
        <v>11492</v>
      </c>
      <c r="B3090" s="49" t="s">
        <v>11493</v>
      </c>
      <c r="C3090" s="49" t="s">
        <v>11494</v>
      </c>
      <c r="D3090" s="49" t="s">
        <v>1264</v>
      </c>
      <c r="E3090" s="49" t="s">
        <v>2974</v>
      </c>
      <c r="F3090" s="49" t="s">
        <v>2825</v>
      </c>
      <c r="G3090" s="49" t="s">
        <v>2826</v>
      </c>
      <c r="H3090" s="49" t="s">
        <v>2827</v>
      </c>
      <c r="I3090" s="50">
        <v>45134</v>
      </c>
      <c r="M3090" s="49" t="s">
        <v>11495</v>
      </c>
    </row>
    <row r="3091" spans="1:13" x14ac:dyDescent="0.35">
      <c r="A3091" s="49" t="s">
        <v>11496</v>
      </c>
      <c r="B3091" s="49" t="s">
        <v>11497</v>
      </c>
      <c r="C3091" s="49" t="s">
        <v>929</v>
      </c>
      <c r="D3091" s="49" t="s">
        <v>1264</v>
      </c>
      <c r="E3091" s="49" t="s">
        <v>2986</v>
      </c>
      <c r="F3091" s="49" t="s">
        <v>2825</v>
      </c>
      <c r="G3091" s="49" t="s">
        <v>4891</v>
      </c>
      <c r="H3091" s="49" t="s">
        <v>2827</v>
      </c>
      <c r="I3091" s="50">
        <v>45126</v>
      </c>
      <c r="M3091" s="49" t="s">
        <v>11498</v>
      </c>
    </row>
    <row r="3092" spans="1:13" x14ac:dyDescent="0.35">
      <c r="A3092" s="49" t="s">
        <v>11499</v>
      </c>
      <c r="B3092" s="49" t="s">
        <v>11500</v>
      </c>
      <c r="C3092" s="49" t="s">
        <v>11357</v>
      </c>
      <c r="D3092" s="49" t="s">
        <v>1264</v>
      </c>
      <c r="E3092" s="49" t="s">
        <v>2774</v>
      </c>
      <c r="F3092" s="49" t="s">
        <v>4842</v>
      </c>
      <c r="G3092" s="49" t="s">
        <v>4891</v>
      </c>
      <c r="H3092" s="49" t="s">
        <v>2827</v>
      </c>
      <c r="I3092" s="50">
        <v>45140</v>
      </c>
      <c r="M3092" s="49" t="s">
        <v>11501</v>
      </c>
    </row>
    <row r="3093" spans="1:13" x14ac:dyDescent="0.35">
      <c r="A3093" s="49" t="s">
        <v>11502</v>
      </c>
      <c r="C3093" s="49" t="s">
        <v>2933</v>
      </c>
      <c r="D3093" s="49" t="s">
        <v>1264</v>
      </c>
      <c r="E3093" s="49" t="s">
        <v>2814</v>
      </c>
      <c r="F3093" s="49" t="s">
        <v>2837</v>
      </c>
      <c r="G3093" s="49" t="s">
        <v>2787</v>
      </c>
      <c r="H3093" s="49" t="s">
        <v>980</v>
      </c>
      <c r="I3093" s="50">
        <v>45145</v>
      </c>
      <c r="J3093" s="50">
        <v>45279</v>
      </c>
      <c r="K3093" s="50">
        <v>45461</v>
      </c>
      <c r="M3093" s="49" t="s">
        <v>11503</v>
      </c>
    </row>
    <row r="3094" spans="1:13" x14ac:dyDescent="0.35">
      <c r="A3094" s="49" t="s">
        <v>11504</v>
      </c>
      <c r="B3094" s="49" t="s">
        <v>6917</v>
      </c>
      <c r="C3094" s="49" t="s">
        <v>4282</v>
      </c>
      <c r="D3094" s="49" t="s">
        <v>1264</v>
      </c>
      <c r="E3094" s="49" t="s">
        <v>2785</v>
      </c>
      <c r="F3094" s="49" t="s">
        <v>2792</v>
      </c>
      <c r="G3094" s="49" t="s">
        <v>2776</v>
      </c>
      <c r="H3094" s="49" t="s">
        <v>980</v>
      </c>
      <c r="I3094" s="50">
        <v>45066</v>
      </c>
      <c r="M3094" s="49" t="s">
        <v>11505</v>
      </c>
    </row>
    <row r="3095" spans="1:13" x14ac:dyDescent="0.35">
      <c r="A3095" s="49" t="s">
        <v>11506</v>
      </c>
      <c r="B3095" s="49" t="s">
        <v>11507</v>
      </c>
      <c r="C3095" s="49" t="s">
        <v>6102</v>
      </c>
      <c r="D3095" s="49" t="s">
        <v>1264</v>
      </c>
      <c r="E3095" s="49" t="s">
        <v>2986</v>
      </c>
      <c r="F3095" s="49" t="s">
        <v>2825</v>
      </c>
      <c r="G3095" s="49" t="s">
        <v>4891</v>
      </c>
      <c r="H3095" s="49" t="s">
        <v>2827</v>
      </c>
      <c r="I3095" s="50">
        <v>45149</v>
      </c>
      <c r="M3095" s="49" t="s">
        <v>11508</v>
      </c>
    </row>
    <row r="3096" spans="1:13" x14ac:dyDescent="0.35">
      <c r="A3096" s="49" t="s">
        <v>11509</v>
      </c>
      <c r="C3096" s="49" t="s">
        <v>3696</v>
      </c>
      <c r="D3096" s="49" t="s">
        <v>1264</v>
      </c>
      <c r="E3096" s="49" t="s">
        <v>2908</v>
      </c>
      <c r="F3096" s="49" t="s">
        <v>2837</v>
      </c>
      <c r="G3096" s="49" t="s">
        <v>4891</v>
      </c>
      <c r="H3096" s="49" t="s">
        <v>980</v>
      </c>
      <c r="I3096" s="50">
        <v>45154</v>
      </c>
      <c r="M3096" s="49" t="s">
        <v>11510</v>
      </c>
    </row>
    <row r="3097" spans="1:13" x14ac:dyDescent="0.35">
      <c r="A3097" s="49" t="s">
        <v>11511</v>
      </c>
      <c r="B3097" s="49" t="s">
        <v>11512</v>
      </c>
      <c r="C3097" s="49" t="s">
        <v>11513</v>
      </c>
      <c r="D3097" s="49" t="s">
        <v>1264</v>
      </c>
      <c r="E3097" s="49" t="s">
        <v>2986</v>
      </c>
      <c r="F3097" s="49" t="s">
        <v>2825</v>
      </c>
      <c r="G3097" s="49" t="s">
        <v>4891</v>
      </c>
      <c r="H3097" s="49" t="s">
        <v>973</v>
      </c>
      <c r="I3097" s="50">
        <v>45086</v>
      </c>
      <c r="M3097" s="49" t="s">
        <v>11514</v>
      </c>
    </row>
    <row r="3098" spans="1:13" x14ac:dyDescent="0.35">
      <c r="A3098" s="49" t="s">
        <v>11515</v>
      </c>
      <c r="C3098" s="49" t="s">
        <v>4646</v>
      </c>
      <c r="D3098" s="49" t="s">
        <v>1264</v>
      </c>
      <c r="E3098" s="49" t="s">
        <v>2986</v>
      </c>
      <c r="F3098" s="49" t="s">
        <v>2825</v>
      </c>
      <c r="G3098" s="49" t="s">
        <v>4891</v>
      </c>
      <c r="H3098" s="49" t="s">
        <v>2827</v>
      </c>
      <c r="I3098" s="50">
        <v>45152</v>
      </c>
      <c r="M3098" s="49" t="s">
        <v>11516</v>
      </c>
    </row>
    <row r="3099" spans="1:13" x14ac:dyDescent="0.35">
      <c r="A3099" s="49" t="s">
        <v>11517</v>
      </c>
      <c r="C3099" s="49" t="s">
        <v>11518</v>
      </c>
      <c r="D3099" s="49" t="s">
        <v>1264</v>
      </c>
      <c r="E3099" s="49" t="s">
        <v>2986</v>
      </c>
      <c r="F3099" s="49" t="s">
        <v>2825</v>
      </c>
      <c r="G3099" s="49" t="s">
        <v>4891</v>
      </c>
      <c r="H3099" s="49" t="s">
        <v>2827</v>
      </c>
      <c r="I3099" s="50">
        <v>45155</v>
      </c>
      <c r="M3099" s="49" t="s">
        <v>11519</v>
      </c>
    </row>
    <row r="3100" spans="1:13" x14ac:dyDescent="0.35">
      <c r="A3100" s="49" t="s">
        <v>11520</v>
      </c>
      <c r="B3100" s="49" t="s">
        <v>11521</v>
      </c>
      <c r="C3100" s="49" t="s">
        <v>5510</v>
      </c>
      <c r="D3100" s="49" t="s">
        <v>1264</v>
      </c>
      <c r="E3100" s="49" t="s">
        <v>2774</v>
      </c>
      <c r="F3100" s="49" t="s">
        <v>2825</v>
      </c>
      <c r="G3100" s="49" t="s">
        <v>2776</v>
      </c>
      <c r="H3100" s="49" t="s">
        <v>8</v>
      </c>
      <c r="I3100" s="50">
        <v>45166</v>
      </c>
      <c r="M3100" s="49" t="s">
        <v>11522</v>
      </c>
    </row>
    <row r="3101" spans="1:13" x14ac:dyDescent="0.35">
      <c r="A3101" s="49" t="s">
        <v>11523</v>
      </c>
      <c r="B3101" s="49" t="s">
        <v>11524</v>
      </c>
      <c r="C3101" s="49" t="s">
        <v>5347</v>
      </c>
      <c r="D3101" s="49" t="s">
        <v>1264</v>
      </c>
      <c r="E3101" s="49" t="s">
        <v>2774</v>
      </c>
      <c r="F3101" s="49" t="s">
        <v>2825</v>
      </c>
      <c r="G3101" s="49" t="s">
        <v>2776</v>
      </c>
      <c r="H3101" s="49" t="s">
        <v>8</v>
      </c>
      <c r="I3101" s="50">
        <v>45166</v>
      </c>
      <c r="M3101" s="49" t="s">
        <v>3766</v>
      </c>
    </row>
    <row r="3102" spans="1:13" x14ac:dyDescent="0.35">
      <c r="A3102" s="49" t="s">
        <v>11525</v>
      </c>
      <c r="B3102" s="49" t="s">
        <v>6881</v>
      </c>
      <c r="C3102" s="49" t="s">
        <v>5510</v>
      </c>
      <c r="D3102" s="49" t="s">
        <v>1264</v>
      </c>
      <c r="E3102" s="49" t="s">
        <v>2974</v>
      </c>
      <c r="F3102" s="49" t="s">
        <v>4842</v>
      </c>
      <c r="G3102" s="49" t="s">
        <v>2826</v>
      </c>
      <c r="H3102" s="49" t="s">
        <v>2827</v>
      </c>
      <c r="I3102" s="50">
        <v>45166</v>
      </c>
      <c r="M3102" s="49" t="s">
        <v>11526</v>
      </c>
    </row>
    <row r="3103" spans="1:13" x14ac:dyDescent="0.35">
      <c r="A3103" s="49" t="s">
        <v>11527</v>
      </c>
      <c r="B3103" s="49" t="s">
        <v>11528</v>
      </c>
      <c r="C3103" s="49" t="s">
        <v>5510</v>
      </c>
      <c r="D3103" s="49" t="s">
        <v>1264</v>
      </c>
      <c r="E3103" s="49" t="s">
        <v>2974</v>
      </c>
      <c r="F3103" s="49" t="s">
        <v>4842</v>
      </c>
      <c r="G3103" s="49" t="s">
        <v>2826</v>
      </c>
      <c r="H3103" s="49" t="s">
        <v>2827</v>
      </c>
      <c r="I3103" s="50">
        <v>45166</v>
      </c>
      <c r="M3103" s="49" t="s">
        <v>11529</v>
      </c>
    </row>
    <row r="3104" spans="1:13" x14ac:dyDescent="0.35">
      <c r="A3104" s="49" t="s">
        <v>11530</v>
      </c>
      <c r="C3104" s="49" t="s">
        <v>4935</v>
      </c>
      <c r="D3104" s="49" t="s">
        <v>1264</v>
      </c>
      <c r="E3104" s="49" t="s">
        <v>2814</v>
      </c>
      <c r="F3104" s="49" t="s">
        <v>2837</v>
      </c>
      <c r="G3104" s="49" t="s">
        <v>4891</v>
      </c>
      <c r="H3104" s="49" t="s">
        <v>980</v>
      </c>
      <c r="I3104" s="50">
        <v>45168</v>
      </c>
      <c r="M3104" s="49" t="s">
        <v>11531</v>
      </c>
    </row>
    <row r="3105" spans="1:13" x14ac:dyDescent="0.35">
      <c r="A3105" s="49" t="s">
        <v>11532</v>
      </c>
      <c r="C3105" s="49" t="s">
        <v>5607</v>
      </c>
      <c r="D3105" s="49" t="s">
        <v>1264</v>
      </c>
      <c r="E3105" s="49" t="s">
        <v>2974</v>
      </c>
      <c r="F3105" s="49" t="s">
        <v>4842</v>
      </c>
      <c r="G3105" s="49" t="s">
        <v>2776</v>
      </c>
      <c r="H3105" s="49" t="s">
        <v>2827</v>
      </c>
      <c r="I3105" s="50">
        <v>45168</v>
      </c>
      <c r="M3105" s="49" t="s">
        <v>11533</v>
      </c>
    </row>
    <row r="3106" spans="1:13" x14ac:dyDescent="0.35">
      <c r="A3106" s="49" t="s">
        <v>11534</v>
      </c>
      <c r="B3106" s="49" t="s">
        <v>11535</v>
      </c>
      <c r="C3106" s="49" t="s">
        <v>5607</v>
      </c>
      <c r="D3106" s="49" t="s">
        <v>1264</v>
      </c>
      <c r="E3106" s="49" t="s">
        <v>2974</v>
      </c>
      <c r="F3106" s="49" t="s">
        <v>4842</v>
      </c>
      <c r="G3106" s="49" t="s">
        <v>2826</v>
      </c>
      <c r="H3106" s="49" t="s">
        <v>2827</v>
      </c>
      <c r="I3106" s="50">
        <v>45168</v>
      </c>
      <c r="M3106" s="49" t="s">
        <v>11536</v>
      </c>
    </row>
    <row r="3107" spans="1:13" x14ac:dyDescent="0.35">
      <c r="A3107" s="49" t="s">
        <v>11537</v>
      </c>
      <c r="B3107" s="49" t="s">
        <v>4817</v>
      </c>
      <c r="C3107" s="49" t="s">
        <v>5735</v>
      </c>
      <c r="D3107" s="49" t="s">
        <v>1264</v>
      </c>
      <c r="E3107" s="49" t="s">
        <v>2986</v>
      </c>
      <c r="F3107" s="49" t="s">
        <v>2825</v>
      </c>
      <c r="G3107" s="49" t="s">
        <v>4891</v>
      </c>
      <c r="H3107" s="49" t="s">
        <v>2827</v>
      </c>
      <c r="I3107" s="50">
        <v>45152</v>
      </c>
      <c r="M3107" s="49" t="s">
        <v>11538</v>
      </c>
    </row>
    <row r="3108" spans="1:13" x14ac:dyDescent="0.35">
      <c r="A3108" s="49" t="s">
        <v>11539</v>
      </c>
      <c r="C3108" s="49" t="s">
        <v>5607</v>
      </c>
      <c r="D3108" s="49" t="s">
        <v>1264</v>
      </c>
      <c r="E3108" s="49" t="s">
        <v>2774</v>
      </c>
      <c r="F3108" s="49" t="s">
        <v>2825</v>
      </c>
      <c r="G3108" s="49" t="s">
        <v>2776</v>
      </c>
      <c r="H3108" s="49" t="s">
        <v>2827</v>
      </c>
      <c r="I3108" s="50">
        <v>45168</v>
      </c>
      <c r="M3108" s="49" t="s">
        <v>11540</v>
      </c>
    </row>
    <row r="3109" spans="1:13" x14ac:dyDescent="0.35">
      <c r="A3109" s="49" t="s">
        <v>11541</v>
      </c>
      <c r="C3109" s="49" t="s">
        <v>9056</v>
      </c>
      <c r="D3109" s="49" t="s">
        <v>1264</v>
      </c>
      <c r="E3109" s="49" t="s">
        <v>2974</v>
      </c>
      <c r="F3109" s="49" t="s">
        <v>2825</v>
      </c>
      <c r="G3109" s="49" t="s">
        <v>2776</v>
      </c>
      <c r="H3109" s="49" t="s">
        <v>2827</v>
      </c>
      <c r="I3109" s="50">
        <v>45169</v>
      </c>
      <c r="M3109" s="49" t="s">
        <v>11542</v>
      </c>
    </row>
    <row r="3110" spans="1:13" x14ac:dyDescent="0.35">
      <c r="A3110" s="49" t="s">
        <v>11543</v>
      </c>
      <c r="B3110" s="49" t="s">
        <v>3670</v>
      </c>
      <c r="C3110" s="49" t="s">
        <v>4646</v>
      </c>
      <c r="D3110" s="49" t="s">
        <v>1264</v>
      </c>
      <c r="E3110" s="49" t="s">
        <v>2986</v>
      </c>
      <c r="F3110" s="49" t="s">
        <v>2825</v>
      </c>
      <c r="G3110" s="49" t="s">
        <v>4891</v>
      </c>
      <c r="H3110" s="49" t="s">
        <v>2827</v>
      </c>
      <c r="I3110" s="50">
        <v>45147</v>
      </c>
      <c r="M3110" s="49" t="s">
        <v>11544</v>
      </c>
    </row>
    <row r="3111" spans="1:13" x14ac:dyDescent="0.35">
      <c r="A3111" s="49" t="s">
        <v>11545</v>
      </c>
      <c r="C3111" s="49" t="s">
        <v>11546</v>
      </c>
      <c r="D3111" s="49" t="s">
        <v>1264</v>
      </c>
      <c r="E3111" s="49" t="s">
        <v>2774</v>
      </c>
      <c r="F3111" s="49" t="s">
        <v>4842</v>
      </c>
      <c r="G3111" s="49" t="s">
        <v>2776</v>
      </c>
      <c r="H3111" s="49" t="s">
        <v>2827</v>
      </c>
      <c r="I3111" s="50">
        <v>45169</v>
      </c>
      <c r="M3111" s="49" t="s">
        <v>11547</v>
      </c>
    </row>
    <row r="3112" spans="1:13" x14ac:dyDescent="0.35">
      <c r="A3112" s="49" t="s">
        <v>11548</v>
      </c>
      <c r="C3112" s="49" t="s">
        <v>6289</v>
      </c>
      <c r="D3112" s="49" t="s">
        <v>1264</v>
      </c>
      <c r="E3112" s="49" t="s">
        <v>2986</v>
      </c>
      <c r="F3112" s="49" t="s">
        <v>2825</v>
      </c>
      <c r="G3112" s="49" t="s">
        <v>4891</v>
      </c>
      <c r="H3112" s="49" t="s">
        <v>2827</v>
      </c>
      <c r="I3112" s="50">
        <v>45167</v>
      </c>
      <c r="M3112" s="49" t="s">
        <v>11549</v>
      </c>
    </row>
    <row r="3113" spans="1:13" x14ac:dyDescent="0.35">
      <c r="A3113" s="49" t="s">
        <v>11550</v>
      </c>
      <c r="C3113" s="49" t="s">
        <v>6218</v>
      </c>
      <c r="D3113" s="49" t="s">
        <v>1264</v>
      </c>
      <c r="E3113" s="49" t="s">
        <v>2986</v>
      </c>
      <c r="F3113" s="49" t="s">
        <v>2825</v>
      </c>
      <c r="G3113" s="49" t="s">
        <v>4891</v>
      </c>
      <c r="H3113" s="49" t="s">
        <v>973</v>
      </c>
      <c r="I3113" s="50">
        <v>45152</v>
      </c>
      <c r="M3113" s="49" t="s">
        <v>11551</v>
      </c>
    </row>
    <row r="3114" spans="1:13" x14ac:dyDescent="0.35">
      <c r="A3114" s="49" t="s">
        <v>11552</v>
      </c>
      <c r="B3114" s="49" t="s">
        <v>5606</v>
      </c>
      <c r="C3114" s="49" t="s">
        <v>5510</v>
      </c>
      <c r="D3114" s="49" t="s">
        <v>1264</v>
      </c>
      <c r="E3114" s="49" t="s">
        <v>2774</v>
      </c>
      <c r="F3114" s="49" t="s">
        <v>4842</v>
      </c>
      <c r="G3114" s="49" t="s">
        <v>4891</v>
      </c>
      <c r="H3114" s="49" t="s">
        <v>8</v>
      </c>
      <c r="I3114" s="50">
        <v>45180</v>
      </c>
      <c r="M3114" s="49" t="s">
        <v>11553</v>
      </c>
    </row>
    <row r="3115" spans="1:13" x14ac:dyDescent="0.35">
      <c r="A3115" s="49" t="s">
        <v>11554</v>
      </c>
      <c r="C3115" s="49" t="s">
        <v>11555</v>
      </c>
      <c r="D3115" s="49" t="s">
        <v>1264</v>
      </c>
      <c r="E3115" s="49" t="s">
        <v>2986</v>
      </c>
      <c r="F3115" s="49" t="s">
        <v>2825</v>
      </c>
      <c r="G3115" s="49" t="s">
        <v>4891</v>
      </c>
      <c r="H3115" s="49" t="s">
        <v>2827</v>
      </c>
      <c r="I3115" s="50">
        <v>45175</v>
      </c>
      <c r="M3115" s="49" t="s">
        <v>11556</v>
      </c>
    </row>
    <row r="3116" spans="1:13" x14ac:dyDescent="0.35">
      <c r="A3116" s="49" t="s">
        <v>11557</v>
      </c>
      <c r="B3116" s="49" t="s">
        <v>11558</v>
      </c>
      <c r="C3116" s="49" t="s">
        <v>5463</v>
      </c>
      <c r="D3116" s="49" t="s">
        <v>1264</v>
      </c>
      <c r="E3116" s="49" t="s">
        <v>2974</v>
      </c>
      <c r="F3116" s="49" t="s">
        <v>2825</v>
      </c>
      <c r="G3116" s="49" t="s">
        <v>2826</v>
      </c>
      <c r="H3116" s="49" t="s">
        <v>8</v>
      </c>
      <c r="I3116" s="50">
        <v>45183</v>
      </c>
      <c r="M3116" s="49" t="s">
        <v>11559</v>
      </c>
    </row>
    <row r="3117" spans="1:13" x14ac:dyDescent="0.35">
      <c r="A3117" s="49" t="s">
        <v>11560</v>
      </c>
      <c r="B3117" s="49" t="s">
        <v>11561</v>
      </c>
      <c r="C3117" s="49" t="s">
        <v>11109</v>
      </c>
      <c r="D3117" s="49" t="s">
        <v>1264</v>
      </c>
      <c r="E3117" s="49" t="s">
        <v>2774</v>
      </c>
      <c r="F3117" s="49" t="s">
        <v>2900</v>
      </c>
      <c r="G3117" s="49" t="s">
        <v>2776</v>
      </c>
      <c r="H3117" s="49" t="s">
        <v>980</v>
      </c>
      <c r="I3117" s="50">
        <v>45190</v>
      </c>
      <c r="M3117" s="49" t="s">
        <v>11562</v>
      </c>
    </row>
    <row r="3118" spans="1:13" x14ac:dyDescent="0.35">
      <c r="A3118" s="49" t="s">
        <v>11563</v>
      </c>
      <c r="B3118" s="49" t="s">
        <v>11564</v>
      </c>
      <c r="C3118" s="49" t="s">
        <v>4646</v>
      </c>
      <c r="D3118" s="49" t="s">
        <v>1264</v>
      </c>
      <c r="E3118" s="49" t="s">
        <v>2974</v>
      </c>
      <c r="F3118" s="49" t="s">
        <v>2825</v>
      </c>
      <c r="G3118" s="49" t="s">
        <v>2776</v>
      </c>
      <c r="H3118" s="49" t="s">
        <v>2827</v>
      </c>
      <c r="I3118" s="50">
        <v>45190</v>
      </c>
      <c r="M3118" s="49" t="s">
        <v>11565</v>
      </c>
    </row>
    <row r="3119" spans="1:13" x14ac:dyDescent="0.35">
      <c r="A3119" s="49" t="s">
        <v>11566</v>
      </c>
      <c r="B3119" s="49" t="s">
        <v>11567</v>
      </c>
      <c r="C3119" s="49" t="s">
        <v>11568</v>
      </c>
      <c r="D3119" s="49" t="s">
        <v>1264</v>
      </c>
      <c r="E3119" s="49" t="s">
        <v>2785</v>
      </c>
      <c r="F3119" s="49" t="s">
        <v>2786</v>
      </c>
      <c r="G3119" s="49" t="s">
        <v>2776</v>
      </c>
      <c r="H3119" s="49" t="s">
        <v>973</v>
      </c>
      <c r="I3119" s="50">
        <v>44882</v>
      </c>
      <c r="M3119" s="49" t="s">
        <v>11569</v>
      </c>
    </row>
    <row r="3120" spans="1:13" x14ac:dyDescent="0.35">
      <c r="A3120" s="49" t="s">
        <v>11570</v>
      </c>
      <c r="B3120" s="49" t="s">
        <v>4817</v>
      </c>
      <c r="C3120" s="49" t="s">
        <v>5866</v>
      </c>
      <c r="D3120" s="49" t="s">
        <v>1264</v>
      </c>
      <c r="E3120" s="49" t="s">
        <v>2986</v>
      </c>
      <c r="F3120" s="49" t="s">
        <v>2825</v>
      </c>
      <c r="G3120" s="49" t="s">
        <v>2776</v>
      </c>
      <c r="H3120" s="49" t="s">
        <v>2827</v>
      </c>
      <c r="I3120" s="50">
        <v>45190</v>
      </c>
      <c r="M3120" s="49" t="s">
        <v>11571</v>
      </c>
    </row>
    <row r="3121" spans="1:13" x14ac:dyDescent="0.35">
      <c r="A3121" s="49" t="s">
        <v>11572</v>
      </c>
      <c r="B3121" s="49" t="s">
        <v>4809</v>
      </c>
      <c r="C3121" s="49" t="s">
        <v>5866</v>
      </c>
      <c r="D3121" s="49" t="s">
        <v>1264</v>
      </c>
      <c r="E3121" s="49" t="s">
        <v>2986</v>
      </c>
      <c r="F3121" s="49" t="s">
        <v>2825</v>
      </c>
      <c r="G3121" s="49" t="s">
        <v>2776</v>
      </c>
      <c r="H3121" s="49" t="s">
        <v>2827</v>
      </c>
      <c r="I3121" s="50">
        <v>45190</v>
      </c>
      <c r="M3121" s="49" t="s">
        <v>11573</v>
      </c>
    </row>
    <row r="3122" spans="1:13" x14ac:dyDescent="0.35">
      <c r="A3122" s="49" t="s">
        <v>11574</v>
      </c>
      <c r="B3122" s="49" t="s">
        <v>11575</v>
      </c>
      <c r="C3122" s="49" t="s">
        <v>5866</v>
      </c>
      <c r="D3122" s="49" t="s">
        <v>1264</v>
      </c>
      <c r="E3122" s="49" t="s">
        <v>2986</v>
      </c>
      <c r="F3122" s="49" t="s">
        <v>2825</v>
      </c>
      <c r="G3122" s="49" t="s">
        <v>2776</v>
      </c>
      <c r="H3122" s="49" t="s">
        <v>2827</v>
      </c>
      <c r="I3122" s="50">
        <v>45190</v>
      </c>
      <c r="M3122" s="49" t="s">
        <v>11576</v>
      </c>
    </row>
    <row r="3123" spans="1:13" x14ac:dyDescent="0.35">
      <c r="A3123" s="49" t="s">
        <v>11577</v>
      </c>
      <c r="B3123" s="49" t="s">
        <v>6542</v>
      </c>
      <c r="C3123" s="49" t="s">
        <v>11578</v>
      </c>
      <c r="D3123" s="49" t="s">
        <v>1264</v>
      </c>
      <c r="E3123" s="49" t="s">
        <v>2986</v>
      </c>
      <c r="F3123" s="49" t="s">
        <v>2825</v>
      </c>
      <c r="G3123" s="49" t="s">
        <v>2776</v>
      </c>
      <c r="H3123" s="49" t="s">
        <v>2827</v>
      </c>
      <c r="I3123" s="50">
        <v>45190</v>
      </c>
      <c r="M3123" s="49" t="s">
        <v>11579</v>
      </c>
    </row>
    <row r="3124" spans="1:13" x14ac:dyDescent="0.35">
      <c r="A3124" s="49" t="s">
        <v>11580</v>
      </c>
      <c r="B3124" s="49" t="s">
        <v>11581</v>
      </c>
      <c r="C3124" s="49" t="s">
        <v>5866</v>
      </c>
      <c r="D3124" s="49" t="s">
        <v>1264</v>
      </c>
      <c r="E3124" s="49" t="s">
        <v>2986</v>
      </c>
      <c r="F3124" s="49" t="s">
        <v>2825</v>
      </c>
      <c r="G3124" s="49" t="s">
        <v>2776</v>
      </c>
      <c r="H3124" s="49" t="s">
        <v>2827</v>
      </c>
      <c r="I3124" s="50">
        <v>45190</v>
      </c>
      <c r="M3124" s="49" t="s">
        <v>11582</v>
      </c>
    </row>
    <row r="3125" spans="1:13" x14ac:dyDescent="0.35">
      <c r="A3125" s="49" t="s">
        <v>11583</v>
      </c>
      <c r="B3125" s="49" t="s">
        <v>11584</v>
      </c>
      <c r="C3125" s="49" t="s">
        <v>5866</v>
      </c>
      <c r="D3125" s="49" t="s">
        <v>1264</v>
      </c>
      <c r="E3125" s="49" t="s">
        <v>2986</v>
      </c>
      <c r="F3125" s="49" t="s">
        <v>2825</v>
      </c>
      <c r="G3125" s="49" t="s">
        <v>2776</v>
      </c>
      <c r="H3125" s="49" t="s">
        <v>2827</v>
      </c>
      <c r="I3125" s="50">
        <v>45190</v>
      </c>
      <c r="M3125" s="49" t="s">
        <v>11585</v>
      </c>
    </row>
    <row r="3126" spans="1:13" x14ac:dyDescent="0.35">
      <c r="A3126" s="49" t="s">
        <v>11586</v>
      </c>
      <c r="B3126" s="49" t="s">
        <v>11587</v>
      </c>
      <c r="C3126" s="49" t="s">
        <v>10437</v>
      </c>
      <c r="D3126" s="49" t="s">
        <v>1264</v>
      </c>
      <c r="E3126" s="49" t="s">
        <v>2774</v>
      </c>
      <c r="F3126" s="49" t="s">
        <v>3648</v>
      </c>
      <c r="G3126" s="49" t="s">
        <v>4891</v>
      </c>
      <c r="H3126" s="49" t="s">
        <v>3229</v>
      </c>
      <c r="I3126" s="50">
        <v>45191</v>
      </c>
      <c r="M3126" s="49" t="s">
        <v>11588</v>
      </c>
    </row>
    <row r="3127" spans="1:13" x14ac:dyDescent="0.35">
      <c r="A3127" s="49" t="s">
        <v>11589</v>
      </c>
      <c r="B3127" s="49" t="s">
        <v>11590</v>
      </c>
      <c r="C3127" s="49" t="s">
        <v>11591</v>
      </c>
      <c r="D3127" s="49" t="s">
        <v>1264</v>
      </c>
      <c r="E3127" s="49" t="s">
        <v>2986</v>
      </c>
      <c r="F3127" s="49" t="s">
        <v>2825</v>
      </c>
      <c r="G3127" s="49" t="s">
        <v>4891</v>
      </c>
      <c r="H3127" s="49" t="s">
        <v>2827</v>
      </c>
      <c r="I3127" s="50">
        <v>45190</v>
      </c>
      <c r="M3127" s="49" t="s">
        <v>11592</v>
      </c>
    </row>
    <row r="3128" spans="1:13" x14ac:dyDescent="0.35">
      <c r="A3128" s="49" t="s">
        <v>11593</v>
      </c>
      <c r="C3128" s="49" t="s">
        <v>11594</v>
      </c>
      <c r="D3128" s="49" t="s">
        <v>1264</v>
      </c>
      <c r="E3128" s="49" t="s">
        <v>2774</v>
      </c>
      <c r="F3128" s="49" t="s">
        <v>2825</v>
      </c>
      <c r="G3128" s="49" t="s">
        <v>2776</v>
      </c>
      <c r="H3128" s="49" t="s">
        <v>2827</v>
      </c>
      <c r="I3128" s="50">
        <v>45195</v>
      </c>
      <c r="M3128" s="49" t="s">
        <v>11595</v>
      </c>
    </row>
    <row r="3129" spans="1:13" x14ac:dyDescent="0.35">
      <c r="A3129" s="49" t="s">
        <v>11596</v>
      </c>
      <c r="B3129" s="49" t="s">
        <v>11597</v>
      </c>
      <c r="C3129" s="49" t="s">
        <v>5843</v>
      </c>
      <c r="D3129" s="49" t="s">
        <v>1264</v>
      </c>
      <c r="E3129" s="49" t="s">
        <v>2986</v>
      </c>
      <c r="F3129" s="49" t="s">
        <v>2825</v>
      </c>
      <c r="G3129" s="49" t="s">
        <v>2776</v>
      </c>
      <c r="H3129" s="49" t="s">
        <v>2827</v>
      </c>
      <c r="I3129" s="50">
        <v>45190</v>
      </c>
      <c r="M3129" s="49" t="s">
        <v>11598</v>
      </c>
    </row>
    <row r="3130" spans="1:13" x14ac:dyDescent="0.35">
      <c r="A3130" s="49" t="s">
        <v>11599</v>
      </c>
      <c r="B3130" s="49" t="s">
        <v>3075</v>
      </c>
      <c r="C3130" s="49" t="s">
        <v>5588</v>
      </c>
      <c r="D3130" s="49" t="s">
        <v>1264</v>
      </c>
      <c r="E3130" s="49" t="s">
        <v>2908</v>
      </c>
      <c r="F3130" s="49" t="s">
        <v>2837</v>
      </c>
      <c r="G3130" s="49" t="s">
        <v>4891</v>
      </c>
      <c r="H3130" s="49" t="s">
        <v>973</v>
      </c>
      <c r="I3130" s="50">
        <v>45050</v>
      </c>
      <c r="M3130" s="49" t="s">
        <v>11600</v>
      </c>
    </row>
    <row r="3131" spans="1:13" x14ac:dyDescent="0.35">
      <c r="A3131" s="49" t="s">
        <v>11601</v>
      </c>
      <c r="C3131" s="49" t="s">
        <v>5544</v>
      </c>
      <c r="D3131" s="49" t="s">
        <v>1264</v>
      </c>
      <c r="E3131" s="49" t="s">
        <v>2986</v>
      </c>
      <c r="F3131" s="49" t="s">
        <v>2825</v>
      </c>
      <c r="G3131" s="49" t="s">
        <v>2776</v>
      </c>
      <c r="H3131" s="49" t="s">
        <v>2827</v>
      </c>
      <c r="I3131" s="50">
        <v>45162</v>
      </c>
      <c r="M3131" s="49" t="s">
        <v>3270</v>
      </c>
    </row>
    <row r="3132" spans="1:13" x14ac:dyDescent="0.35">
      <c r="A3132" s="49" t="s">
        <v>11602</v>
      </c>
      <c r="C3132" s="49" t="s">
        <v>11603</v>
      </c>
      <c r="D3132" s="49" t="s">
        <v>1264</v>
      </c>
      <c r="E3132" s="49" t="s">
        <v>2974</v>
      </c>
      <c r="F3132" s="49" t="s">
        <v>2825</v>
      </c>
      <c r="G3132" s="49" t="s">
        <v>2826</v>
      </c>
      <c r="H3132" s="49" t="s">
        <v>2827</v>
      </c>
      <c r="I3132" s="50">
        <v>45201</v>
      </c>
      <c r="M3132" s="49" t="s">
        <v>11604</v>
      </c>
    </row>
    <row r="3133" spans="1:13" x14ac:dyDescent="0.35">
      <c r="A3133" s="49" t="s">
        <v>11605</v>
      </c>
      <c r="C3133" s="49" t="s">
        <v>6065</v>
      </c>
      <c r="D3133" s="49" t="s">
        <v>1264</v>
      </c>
      <c r="E3133" s="49" t="s">
        <v>2986</v>
      </c>
      <c r="F3133" s="49" t="s">
        <v>2825</v>
      </c>
      <c r="G3133" s="49" t="s">
        <v>2776</v>
      </c>
      <c r="H3133" s="49" t="s">
        <v>2827</v>
      </c>
      <c r="I3133" s="50">
        <v>45203</v>
      </c>
      <c r="M3133" s="49" t="s">
        <v>11606</v>
      </c>
    </row>
    <row r="3134" spans="1:13" x14ac:dyDescent="0.35">
      <c r="A3134" s="49" t="s">
        <v>11607</v>
      </c>
      <c r="B3134" s="49" t="s">
        <v>11608</v>
      </c>
      <c r="C3134" s="49" t="s">
        <v>11609</v>
      </c>
      <c r="D3134" s="49" t="s">
        <v>1264</v>
      </c>
      <c r="E3134" s="49" t="s">
        <v>2774</v>
      </c>
      <c r="F3134" s="49" t="s">
        <v>2825</v>
      </c>
      <c r="G3134" s="49" t="s">
        <v>2826</v>
      </c>
      <c r="H3134" s="49" t="s">
        <v>2827</v>
      </c>
      <c r="I3134" s="50">
        <v>45208</v>
      </c>
      <c r="M3134" s="49" t="s">
        <v>11610</v>
      </c>
    </row>
    <row r="3135" spans="1:13" x14ac:dyDescent="0.35">
      <c r="A3135" s="49" t="s">
        <v>11611</v>
      </c>
      <c r="C3135" s="49" t="s">
        <v>4646</v>
      </c>
      <c r="D3135" s="49" t="s">
        <v>1264</v>
      </c>
      <c r="E3135" s="49" t="s">
        <v>2986</v>
      </c>
      <c r="F3135" s="49" t="s">
        <v>2825</v>
      </c>
      <c r="G3135" s="49" t="s">
        <v>2776</v>
      </c>
      <c r="H3135" s="49" t="s">
        <v>2827</v>
      </c>
      <c r="I3135" s="50">
        <v>45152</v>
      </c>
      <c r="M3135" s="49" t="s">
        <v>11612</v>
      </c>
    </row>
    <row r="3136" spans="1:13" x14ac:dyDescent="0.35">
      <c r="A3136" s="49" t="s">
        <v>11613</v>
      </c>
      <c r="C3136" s="49" t="s">
        <v>6365</v>
      </c>
      <c r="D3136" s="49" t="s">
        <v>1264</v>
      </c>
      <c r="E3136" s="49" t="s">
        <v>2814</v>
      </c>
      <c r="F3136" s="49" t="s">
        <v>2837</v>
      </c>
      <c r="G3136" s="49" t="s">
        <v>4891</v>
      </c>
      <c r="H3136" s="49" t="s">
        <v>980</v>
      </c>
      <c r="I3136" s="50">
        <v>45209</v>
      </c>
      <c r="M3136" s="49" t="s">
        <v>11614</v>
      </c>
    </row>
    <row r="3137" spans="1:13" x14ac:dyDescent="0.35">
      <c r="A3137" s="49" t="s">
        <v>11615</v>
      </c>
      <c r="C3137" s="49" t="s">
        <v>6243</v>
      </c>
      <c r="D3137" s="49" t="s">
        <v>1264</v>
      </c>
      <c r="E3137" s="49" t="s">
        <v>2814</v>
      </c>
      <c r="F3137" s="49" t="s">
        <v>2837</v>
      </c>
      <c r="G3137" s="49" t="s">
        <v>2776</v>
      </c>
      <c r="H3137" s="49" t="s">
        <v>980</v>
      </c>
      <c r="I3137" s="50">
        <v>45217</v>
      </c>
      <c r="M3137" s="49" t="s">
        <v>11616</v>
      </c>
    </row>
    <row r="3138" spans="1:13" x14ac:dyDescent="0.35">
      <c r="A3138" s="49" t="s">
        <v>11617</v>
      </c>
      <c r="C3138" s="49" t="s">
        <v>5561</v>
      </c>
      <c r="D3138" s="49" t="s">
        <v>1264</v>
      </c>
      <c r="E3138" s="49" t="s">
        <v>3413</v>
      </c>
      <c r="F3138" s="49" t="s">
        <v>3108</v>
      </c>
      <c r="G3138" s="49" t="s">
        <v>4891</v>
      </c>
      <c r="H3138" s="49" t="s">
        <v>2827</v>
      </c>
      <c r="I3138" s="50">
        <v>45218</v>
      </c>
      <c r="M3138" s="49" t="s">
        <v>11618</v>
      </c>
    </row>
    <row r="3139" spans="1:13" x14ac:dyDescent="0.35">
      <c r="A3139" s="49" t="s">
        <v>11619</v>
      </c>
      <c r="B3139" s="49" t="s">
        <v>11620</v>
      </c>
      <c r="C3139" s="49" t="s">
        <v>11621</v>
      </c>
      <c r="D3139" s="49" t="s">
        <v>1264</v>
      </c>
      <c r="E3139" s="49" t="s">
        <v>2774</v>
      </c>
      <c r="F3139" s="49" t="s">
        <v>2825</v>
      </c>
      <c r="G3139" s="49" t="s">
        <v>4891</v>
      </c>
      <c r="H3139" s="49" t="s">
        <v>973</v>
      </c>
      <c r="I3139" s="50">
        <v>45218</v>
      </c>
      <c r="M3139" s="49" t="s">
        <v>11622</v>
      </c>
    </row>
    <row r="3140" spans="1:13" x14ac:dyDescent="0.35">
      <c r="A3140" s="49" t="s">
        <v>11623</v>
      </c>
      <c r="C3140" s="49" t="s">
        <v>5510</v>
      </c>
      <c r="D3140" s="49" t="s">
        <v>1264</v>
      </c>
      <c r="E3140" s="49" t="s">
        <v>2774</v>
      </c>
      <c r="F3140" s="49" t="s">
        <v>2825</v>
      </c>
      <c r="G3140" s="49" t="s">
        <v>2776</v>
      </c>
      <c r="H3140" s="49" t="s">
        <v>973</v>
      </c>
      <c r="I3140" s="50">
        <v>45218</v>
      </c>
      <c r="M3140" s="49" t="s">
        <v>11624</v>
      </c>
    </row>
    <row r="3141" spans="1:13" x14ac:dyDescent="0.35">
      <c r="A3141" s="49" t="s">
        <v>11625</v>
      </c>
      <c r="C3141" s="49" t="s">
        <v>5607</v>
      </c>
      <c r="D3141" s="49" t="s">
        <v>1264</v>
      </c>
      <c r="E3141" s="49" t="s">
        <v>2774</v>
      </c>
      <c r="F3141" s="49" t="s">
        <v>2825</v>
      </c>
      <c r="G3141" s="49" t="s">
        <v>2776</v>
      </c>
      <c r="H3141" s="49" t="s">
        <v>2827</v>
      </c>
      <c r="I3141" s="50">
        <v>45219</v>
      </c>
      <c r="M3141" s="49" t="s">
        <v>11626</v>
      </c>
    </row>
    <row r="3142" spans="1:13" x14ac:dyDescent="0.35">
      <c r="A3142" s="49" t="s">
        <v>11627</v>
      </c>
      <c r="B3142" s="49" t="s">
        <v>11628</v>
      </c>
      <c r="C3142" s="49" t="s">
        <v>5607</v>
      </c>
      <c r="D3142" s="49" t="s">
        <v>1264</v>
      </c>
      <c r="E3142" s="49" t="s">
        <v>2774</v>
      </c>
      <c r="F3142" s="49" t="s">
        <v>2825</v>
      </c>
      <c r="G3142" s="49" t="s">
        <v>2776</v>
      </c>
      <c r="H3142" s="49" t="s">
        <v>2827</v>
      </c>
      <c r="I3142" s="50">
        <v>45218</v>
      </c>
      <c r="M3142" s="49" t="s">
        <v>11629</v>
      </c>
    </row>
    <row r="3143" spans="1:13" x14ac:dyDescent="0.35">
      <c r="A3143" s="49" t="s">
        <v>11630</v>
      </c>
      <c r="B3143" s="49" t="s">
        <v>4817</v>
      </c>
      <c r="C3143" s="49" t="s">
        <v>5735</v>
      </c>
      <c r="D3143" s="49" t="s">
        <v>1264</v>
      </c>
      <c r="E3143" s="49" t="s">
        <v>2986</v>
      </c>
      <c r="F3143" s="49" t="s">
        <v>2825</v>
      </c>
      <c r="G3143" s="49" t="s">
        <v>4891</v>
      </c>
      <c r="H3143" s="49" t="s">
        <v>973</v>
      </c>
      <c r="I3143" s="50">
        <v>45217</v>
      </c>
      <c r="M3143" s="49" t="s">
        <v>11631</v>
      </c>
    </row>
    <row r="3144" spans="1:13" x14ac:dyDescent="0.35">
      <c r="A3144" s="49" t="s">
        <v>11632</v>
      </c>
      <c r="B3144" s="49" t="s">
        <v>4809</v>
      </c>
      <c r="C3144" s="49" t="s">
        <v>5735</v>
      </c>
      <c r="D3144" s="49" t="s">
        <v>1264</v>
      </c>
      <c r="E3144" s="49" t="s">
        <v>2986</v>
      </c>
      <c r="F3144" s="49" t="s">
        <v>2825</v>
      </c>
      <c r="G3144" s="49" t="s">
        <v>4891</v>
      </c>
      <c r="H3144" s="49" t="s">
        <v>973</v>
      </c>
      <c r="I3144" s="50">
        <v>45217</v>
      </c>
      <c r="M3144" s="49" t="s">
        <v>11633</v>
      </c>
    </row>
    <row r="3145" spans="1:13" x14ac:dyDescent="0.35">
      <c r="A3145" s="49" t="s">
        <v>11634</v>
      </c>
      <c r="C3145" s="49" t="s">
        <v>7061</v>
      </c>
      <c r="D3145" s="49" t="s">
        <v>1264</v>
      </c>
      <c r="E3145" s="49" t="s">
        <v>2814</v>
      </c>
      <c r="F3145" s="49" t="s">
        <v>2837</v>
      </c>
      <c r="G3145" s="49" t="s">
        <v>2776</v>
      </c>
      <c r="H3145" s="49" t="s">
        <v>980</v>
      </c>
      <c r="I3145" s="50">
        <v>45225</v>
      </c>
      <c r="M3145" s="49" t="s">
        <v>11635</v>
      </c>
    </row>
    <row r="3146" spans="1:13" x14ac:dyDescent="0.35">
      <c r="A3146" s="49" t="s">
        <v>11636</v>
      </c>
      <c r="C3146" s="49" t="s">
        <v>7061</v>
      </c>
      <c r="D3146" s="49" t="s">
        <v>1264</v>
      </c>
      <c r="E3146" s="49" t="s">
        <v>2814</v>
      </c>
      <c r="F3146" s="49" t="s">
        <v>2837</v>
      </c>
      <c r="G3146" s="49" t="s">
        <v>2776</v>
      </c>
      <c r="H3146" s="49" t="s">
        <v>980</v>
      </c>
      <c r="I3146" s="50">
        <v>45225</v>
      </c>
      <c r="M3146" s="49" t="s">
        <v>11637</v>
      </c>
    </row>
    <row r="3147" spans="1:13" x14ac:dyDescent="0.35">
      <c r="A3147" s="49" t="s">
        <v>11638</v>
      </c>
      <c r="B3147" s="49" t="s">
        <v>11639</v>
      </c>
      <c r="C3147" s="49" t="s">
        <v>11640</v>
      </c>
      <c r="D3147" s="49" t="s">
        <v>1264</v>
      </c>
      <c r="E3147" s="49" t="s">
        <v>2974</v>
      </c>
      <c r="F3147" s="49" t="s">
        <v>3005</v>
      </c>
      <c r="G3147" s="49" t="s">
        <v>2826</v>
      </c>
      <c r="H3147" s="49" t="s">
        <v>1062</v>
      </c>
      <c r="I3147" s="50">
        <v>45225</v>
      </c>
      <c r="M3147" s="49" t="s">
        <v>11641</v>
      </c>
    </row>
    <row r="3148" spans="1:13" x14ac:dyDescent="0.35">
      <c r="A3148" s="49" t="s">
        <v>11642</v>
      </c>
      <c r="B3148" s="49" t="s">
        <v>10206</v>
      </c>
      <c r="C3148" s="49" t="s">
        <v>11643</v>
      </c>
      <c r="D3148" s="49" t="s">
        <v>1264</v>
      </c>
      <c r="E3148" s="49" t="s">
        <v>2785</v>
      </c>
      <c r="F3148" s="49" t="s">
        <v>4048</v>
      </c>
      <c r="G3148" s="49" t="s">
        <v>2776</v>
      </c>
      <c r="H3148" s="49" t="s">
        <v>2827</v>
      </c>
      <c r="I3148" s="50">
        <v>45069</v>
      </c>
      <c r="M3148" s="49" t="s">
        <v>11644</v>
      </c>
    </row>
    <row r="3149" spans="1:13" x14ac:dyDescent="0.35">
      <c r="A3149" s="49" t="s">
        <v>11645</v>
      </c>
      <c r="B3149" s="49" t="s">
        <v>4809</v>
      </c>
      <c r="C3149" s="49" t="s">
        <v>6065</v>
      </c>
      <c r="D3149" s="49" t="s">
        <v>1264</v>
      </c>
      <c r="E3149" s="49" t="s">
        <v>2986</v>
      </c>
      <c r="F3149" s="49" t="s">
        <v>2825</v>
      </c>
      <c r="G3149" s="49" t="s">
        <v>4891</v>
      </c>
      <c r="H3149" s="49" t="s">
        <v>973</v>
      </c>
      <c r="I3149" s="50">
        <v>45217</v>
      </c>
      <c r="M3149" s="49" t="s">
        <v>11646</v>
      </c>
    </row>
    <row r="3150" spans="1:13" x14ac:dyDescent="0.35">
      <c r="A3150" s="49" t="s">
        <v>11647</v>
      </c>
      <c r="B3150" s="49" t="s">
        <v>4817</v>
      </c>
      <c r="C3150" s="49" t="s">
        <v>5908</v>
      </c>
      <c r="D3150" s="49" t="s">
        <v>1264</v>
      </c>
      <c r="E3150" s="49" t="s">
        <v>2986</v>
      </c>
      <c r="F3150" s="49" t="s">
        <v>2825</v>
      </c>
      <c r="G3150" s="49" t="s">
        <v>2776</v>
      </c>
      <c r="H3150" s="49" t="s">
        <v>2827</v>
      </c>
      <c r="I3150" s="50">
        <v>45218</v>
      </c>
      <c r="M3150" s="49" t="s">
        <v>11648</v>
      </c>
    </row>
    <row r="3151" spans="1:13" x14ac:dyDescent="0.35">
      <c r="A3151" s="49" t="s">
        <v>11649</v>
      </c>
      <c r="B3151" s="49" t="s">
        <v>4877</v>
      </c>
      <c r="C3151" s="49" t="s">
        <v>5908</v>
      </c>
      <c r="D3151" s="49" t="s">
        <v>1264</v>
      </c>
      <c r="E3151" s="49" t="s">
        <v>2986</v>
      </c>
      <c r="F3151" s="49" t="s">
        <v>2825</v>
      </c>
      <c r="G3151" s="49" t="s">
        <v>2776</v>
      </c>
      <c r="H3151" s="49" t="s">
        <v>2827</v>
      </c>
      <c r="I3151" s="50">
        <v>45218</v>
      </c>
      <c r="M3151" s="49" t="s">
        <v>11650</v>
      </c>
    </row>
    <row r="3152" spans="1:13" x14ac:dyDescent="0.35">
      <c r="A3152" s="49" t="s">
        <v>11651</v>
      </c>
      <c r="B3152" s="49" t="s">
        <v>4809</v>
      </c>
      <c r="C3152" s="49" t="s">
        <v>5988</v>
      </c>
      <c r="D3152" s="49" t="s">
        <v>1264</v>
      </c>
      <c r="E3152" s="49" t="s">
        <v>2986</v>
      </c>
      <c r="F3152" s="49" t="s">
        <v>2825</v>
      </c>
      <c r="G3152" s="49" t="s">
        <v>2776</v>
      </c>
      <c r="H3152" s="49" t="s">
        <v>2827</v>
      </c>
      <c r="I3152" s="50">
        <v>45217</v>
      </c>
      <c r="M3152" s="49" t="s">
        <v>11652</v>
      </c>
    </row>
    <row r="3153" spans="1:13" x14ac:dyDescent="0.35">
      <c r="A3153" s="49" t="s">
        <v>11653</v>
      </c>
      <c r="B3153" s="49" t="s">
        <v>4877</v>
      </c>
      <c r="C3153" s="49" t="s">
        <v>5988</v>
      </c>
      <c r="D3153" s="49" t="s">
        <v>1264</v>
      </c>
      <c r="E3153" s="49" t="s">
        <v>2986</v>
      </c>
      <c r="F3153" s="49" t="s">
        <v>2825</v>
      </c>
      <c r="G3153" s="49" t="s">
        <v>2776</v>
      </c>
      <c r="H3153" s="49" t="s">
        <v>2827</v>
      </c>
      <c r="I3153" s="50">
        <v>45217</v>
      </c>
      <c r="M3153" s="49" t="s">
        <v>11654</v>
      </c>
    </row>
    <row r="3154" spans="1:13" x14ac:dyDescent="0.35">
      <c r="A3154" s="49" t="s">
        <v>11655</v>
      </c>
      <c r="B3154" s="49" t="s">
        <v>11575</v>
      </c>
      <c r="C3154" s="49" t="s">
        <v>6235</v>
      </c>
      <c r="D3154" s="49" t="s">
        <v>1264</v>
      </c>
      <c r="E3154" s="49" t="s">
        <v>2986</v>
      </c>
      <c r="F3154" s="49" t="s">
        <v>2825</v>
      </c>
      <c r="G3154" s="49" t="s">
        <v>2776</v>
      </c>
      <c r="H3154" s="49" t="s">
        <v>2827</v>
      </c>
      <c r="I3154" s="50">
        <v>45217</v>
      </c>
      <c r="M3154" s="49" t="s">
        <v>11656</v>
      </c>
    </row>
    <row r="3155" spans="1:13" x14ac:dyDescent="0.35">
      <c r="A3155" s="49" t="s">
        <v>11657</v>
      </c>
      <c r="C3155" s="49" t="s">
        <v>5518</v>
      </c>
      <c r="D3155" s="49" t="s">
        <v>1264</v>
      </c>
      <c r="E3155" s="49" t="s">
        <v>2986</v>
      </c>
      <c r="F3155" s="49" t="s">
        <v>2825</v>
      </c>
      <c r="G3155" s="49" t="s">
        <v>4891</v>
      </c>
      <c r="H3155" s="49" t="s">
        <v>2827</v>
      </c>
      <c r="I3155" s="50">
        <v>45219</v>
      </c>
      <c r="M3155" s="49" t="s">
        <v>3270</v>
      </c>
    </row>
    <row r="3156" spans="1:13" x14ac:dyDescent="0.35">
      <c r="A3156" s="49" t="s">
        <v>11658</v>
      </c>
      <c r="C3156" s="49" t="s">
        <v>11659</v>
      </c>
      <c r="D3156" s="49" t="s">
        <v>1264</v>
      </c>
      <c r="E3156" s="49" t="s">
        <v>2986</v>
      </c>
      <c r="F3156" s="49" t="s">
        <v>2825</v>
      </c>
      <c r="G3156" s="49" t="s">
        <v>2776</v>
      </c>
      <c r="H3156" s="49" t="s">
        <v>2827</v>
      </c>
      <c r="I3156" s="50">
        <v>45224</v>
      </c>
      <c r="M3156" s="49" t="s">
        <v>6209</v>
      </c>
    </row>
    <row r="3157" spans="1:13" x14ac:dyDescent="0.35">
      <c r="A3157" s="49" t="s">
        <v>11660</v>
      </c>
      <c r="B3157" s="49" t="s">
        <v>4817</v>
      </c>
      <c r="C3157" s="49" t="s">
        <v>11661</v>
      </c>
      <c r="D3157" s="49" t="s">
        <v>1264</v>
      </c>
      <c r="E3157" s="49" t="s">
        <v>2986</v>
      </c>
      <c r="F3157" s="49" t="s">
        <v>2825</v>
      </c>
      <c r="G3157" s="49" t="s">
        <v>2776</v>
      </c>
      <c r="H3157" s="49" t="s">
        <v>2827</v>
      </c>
      <c r="I3157" s="50">
        <v>45215</v>
      </c>
      <c r="M3157" s="49" t="s">
        <v>11662</v>
      </c>
    </row>
    <row r="3158" spans="1:13" x14ac:dyDescent="0.35">
      <c r="A3158" s="49" t="s">
        <v>11663</v>
      </c>
      <c r="C3158" s="49" t="s">
        <v>5762</v>
      </c>
      <c r="D3158" s="49" t="s">
        <v>1264</v>
      </c>
      <c r="E3158" s="49" t="s">
        <v>2774</v>
      </c>
      <c r="F3158" s="49" t="s">
        <v>10953</v>
      </c>
      <c r="G3158" s="49" t="s">
        <v>4891</v>
      </c>
      <c r="H3158" s="49" t="s">
        <v>3207</v>
      </c>
      <c r="I3158" s="50">
        <v>45237</v>
      </c>
      <c r="M3158" s="49" t="s">
        <v>11664</v>
      </c>
    </row>
    <row r="3159" spans="1:13" x14ac:dyDescent="0.35">
      <c r="A3159" s="49" t="s">
        <v>11665</v>
      </c>
      <c r="B3159" s="49" t="s">
        <v>4809</v>
      </c>
      <c r="C3159" s="49" t="s">
        <v>11661</v>
      </c>
      <c r="D3159" s="49" t="s">
        <v>1264</v>
      </c>
      <c r="E3159" s="49" t="s">
        <v>2986</v>
      </c>
      <c r="F3159" s="49" t="s">
        <v>2825</v>
      </c>
      <c r="G3159" s="49" t="s">
        <v>2776</v>
      </c>
      <c r="H3159" s="49" t="s">
        <v>973</v>
      </c>
      <c r="I3159" s="50">
        <v>45224</v>
      </c>
      <c r="M3159" s="49" t="s">
        <v>11666</v>
      </c>
    </row>
    <row r="3160" spans="1:13" x14ac:dyDescent="0.35">
      <c r="A3160" s="49" t="s">
        <v>11667</v>
      </c>
      <c r="C3160" s="49" t="s">
        <v>11668</v>
      </c>
      <c r="D3160" s="49" t="s">
        <v>1264</v>
      </c>
      <c r="E3160" s="49" t="s">
        <v>2774</v>
      </c>
      <c r="F3160" s="49" t="s">
        <v>2825</v>
      </c>
      <c r="G3160" s="49" t="s">
        <v>2776</v>
      </c>
      <c r="H3160" s="49" t="s">
        <v>2827</v>
      </c>
      <c r="I3160" s="50">
        <v>45239</v>
      </c>
      <c r="M3160" s="49" t="s">
        <v>11669</v>
      </c>
    </row>
    <row r="3161" spans="1:13" x14ac:dyDescent="0.35">
      <c r="A3161" s="49" t="s">
        <v>11670</v>
      </c>
      <c r="B3161" s="49" t="s">
        <v>4877</v>
      </c>
      <c r="C3161" s="49" t="s">
        <v>11661</v>
      </c>
      <c r="D3161" s="49" t="s">
        <v>1264</v>
      </c>
      <c r="E3161" s="49" t="s">
        <v>2986</v>
      </c>
      <c r="F3161" s="49" t="s">
        <v>2825</v>
      </c>
      <c r="G3161" s="49" t="s">
        <v>2776</v>
      </c>
      <c r="H3161" s="49" t="s">
        <v>973</v>
      </c>
      <c r="I3161" s="50">
        <v>45215</v>
      </c>
      <c r="M3161" s="49" t="s">
        <v>11671</v>
      </c>
    </row>
    <row r="3162" spans="1:13" x14ac:dyDescent="0.35">
      <c r="A3162" s="49" t="s">
        <v>11672</v>
      </c>
      <c r="B3162" s="49" t="s">
        <v>11575</v>
      </c>
      <c r="C3162" s="49" t="s">
        <v>11661</v>
      </c>
      <c r="D3162" s="49" t="s">
        <v>1264</v>
      </c>
      <c r="E3162" s="49" t="s">
        <v>2986</v>
      </c>
      <c r="F3162" s="49" t="s">
        <v>2825</v>
      </c>
      <c r="G3162" s="49" t="s">
        <v>4891</v>
      </c>
      <c r="H3162" s="49" t="s">
        <v>973</v>
      </c>
      <c r="I3162" s="50">
        <v>45224</v>
      </c>
      <c r="M3162" s="49" t="s">
        <v>11673</v>
      </c>
    </row>
    <row r="3163" spans="1:13" x14ac:dyDescent="0.35">
      <c r="A3163" s="49" t="s">
        <v>11674</v>
      </c>
      <c r="C3163" s="49" t="s">
        <v>3342</v>
      </c>
      <c r="D3163" s="49" t="s">
        <v>1264</v>
      </c>
      <c r="E3163" s="49" t="s">
        <v>2774</v>
      </c>
      <c r="F3163" s="49" t="s">
        <v>4842</v>
      </c>
      <c r="G3163" s="49" t="s">
        <v>2776</v>
      </c>
      <c r="H3163" s="49" t="s">
        <v>2827</v>
      </c>
      <c r="I3163" s="50">
        <v>45240</v>
      </c>
      <c r="M3163" s="49" t="s">
        <v>11675</v>
      </c>
    </row>
    <row r="3164" spans="1:13" x14ac:dyDescent="0.35">
      <c r="A3164" s="49" t="s">
        <v>11676</v>
      </c>
      <c r="B3164" s="49" t="s">
        <v>11677</v>
      </c>
      <c r="C3164" s="49" t="s">
        <v>4862</v>
      </c>
      <c r="D3164" s="49" t="s">
        <v>1264</v>
      </c>
      <c r="E3164" s="49" t="s">
        <v>2774</v>
      </c>
      <c r="F3164" s="49" t="s">
        <v>3005</v>
      </c>
      <c r="G3164" s="49" t="s">
        <v>2776</v>
      </c>
      <c r="H3164" s="49" t="s">
        <v>8</v>
      </c>
      <c r="I3164" s="50">
        <v>45239</v>
      </c>
      <c r="M3164" s="49" t="s">
        <v>11678</v>
      </c>
    </row>
    <row r="3165" spans="1:13" x14ac:dyDescent="0.35">
      <c r="A3165" s="49" t="s">
        <v>11679</v>
      </c>
      <c r="C3165" s="49" t="s">
        <v>11680</v>
      </c>
      <c r="D3165" s="49" t="s">
        <v>1264</v>
      </c>
      <c r="E3165" s="49" t="s">
        <v>2974</v>
      </c>
      <c r="F3165" s="49" t="s">
        <v>2825</v>
      </c>
      <c r="G3165" s="49" t="s">
        <v>2776</v>
      </c>
      <c r="H3165" s="49" t="s">
        <v>2827</v>
      </c>
      <c r="I3165" s="50">
        <v>45243</v>
      </c>
      <c r="M3165" s="49" t="s">
        <v>11681</v>
      </c>
    </row>
    <row r="3166" spans="1:13" x14ac:dyDescent="0.35">
      <c r="A3166" s="49" t="s">
        <v>11682</v>
      </c>
      <c r="B3166" s="49" t="s">
        <v>5865</v>
      </c>
      <c r="C3166" s="49" t="s">
        <v>11661</v>
      </c>
      <c r="D3166" s="49" t="s">
        <v>1264</v>
      </c>
      <c r="E3166" s="49" t="s">
        <v>2986</v>
      </c>
      <c r="F3166" s="49" t="s">
        <v>2825</v>
      </c>
      <c r="G3166" s="49" t="s">
        <v>2776</v>
      </c>
      <c r="H3166" s="49" t="s">
        <v>973</v>
      </c>
      <c r="I3166" s="50">
        <v>45224</v>
      </c>
      <c r="M3166" s="49" t="s">
        <v>11673</v>
      </c>
    </row>
    <row r="3167" spans="1:13" x14ac:dyDescent="0.35">
      <c r="A3167" s="49" t="s">
        <v>11683</v>
      </c>
      <c r="B3167" s="49" t="s">
        <v>6542</v>
      </c>
      <c r="C3167" s="49" t="s">
        <v>11661</v>
      </c>
      <c r="D3167" s="49" t="s">
        <v>1264</v>
      </c>
      <c r="E3167" s="49" t="s">
        <v>2986</v>
      </c>
      <c r="F3167" s="49" t="s">
        <v>2825</v>
      </c>
      <c r="G3167" s="49" t="s">
        <v>2776</v>
      </c>
      <c r="H3167" s="49" t="s">
        <v>973</v>
      </c>
      <c r="I3167" s="50">
        <v>45224</v>
      </c>
      <c r="M3167" s="49" t="s">
        <v>11684</v>
      </c>
    </row>
    <row r="3168" spans="1:13" x14ac:dyDescent="0.35">
      <c r="A3168" s="49" t="s">
        <v>11685</v>
      </c>
      <c r="C3168" s="49" t="s">
        <v>11686</v>
      </c>
      <c r="D3168" s="49" t="s">
        <v>1264</v>
      </c>
      <c r="E3168" s="49" t="s">
        <v>2986</v>
      </c>
      <c r="F3168" s="49" t="s">
        <v>2825</v>
      </c>
      <c r="G3168" s="49" t="s">
        <v>4891</v>
      </c>
      <c r="H3168" s="49" t="s">
        <v>2827</v>
      </c>
      <c r="I3168" s="50">
        <v>45224</v>
      </c>
      <c r="M3168" s="49" t="s">
        <v>3270</v>
      </c>
    </row>
    <row r="3169" spans="1:13" x14ac:dyDescent="0.35">
      <c r="A3169" s="49" t="s">
        <v>11687</v>
      </c>
      <c r="B3169" s="49" t="s">
        <v>5149</v>
      </c>
      <c r="C3169" s="49" t="s">
        <v>5979</v>
      </c>
      <c r="D3169" s="49" t="s">
        <v>1264</v>
      </c>
      <c r="E3169" s="49" t="s">
        <v>2785</v>
      </c>
      <c r="F3169" s="49" t="s">
        <v>2792</v>
      </c>
      <c r="G3169" s="49" t="s">
        <v>4891</v>
      </c>
      <c r="H3169" s="49" t="s">
        <v>857</v>
      </c>
      <c r="I3169" s="50">
        <v>45236</v>
      </c>
      <c r="M3169" s="49" t="s">
        <v>11688</v>
      </c>
    </row>
    <row r="3170" spans="1:13" x14ac:dyDescent="0.35">
      <c r="A3170" s="49" t="s">
        <v>11689</v>
      </c>
      <c r="B3170" s="49" t="s">
        <v>3354</v>
      </c>
      <c r="C3170" s="49" t="s">
        <v>5561</v>
      </c>
      <c r="D3170" s="49" t="s">
        <v>1264</v>
      </c>
      <c r="E3170" s="49" t="s">
        <v>2908</v>
      </c>
      <c r="F3170" s="49" t="s">
        <v>2939</v>
      </c>
      <c r="G3170" s="49" t="s">
        <v>4891</v>
      </c>
      <c r="H3170" s="49" t="s">
        <v>980</v>
      </c>
      <c r="I3170" s="50">
        <v>45223</v>
      </c>
      <c r="M3170" s="49" t="s">
        <v>11690</v>
      </c>
    </row>
    <row r="3171" spans="1:13" x14ac:dyDescent="0.35">
      <c r="A3171" s="49" t="s">
        <v>11691</v>
      </c>
      <c r="B3171" s="49" t="s">
        <v>11692</v>
      </c>
      <c r="C3171" s="49" t="s">
        <v>6254</v>
      </c>
      <c r="D3171" s="49" t="s">
        <v>1264</v>
      </c>
      <c r="E3171" s="49" t="s">
        <v>2785</v>
      </c>
      <c r="F3171" s="49" t="s">
        <v>2805</v>
      </c>
      <c r="G3171" s="49" t="s">
        <v>4891</v>
      </c>
      <c r="H3171" s="49" t="s">
        <v>2832</v>
      </c>
      <c r="I3171" s="50">
        <v>45240</v>
      </c>
      <c r="M3171" s="49" t="s">
        <v>11693</v>
      </c>
    </row>
    <row r="3172" spans="1:13" x14ac:dyDescent="0.35">
      <c r="A3172" s="49" t="s">
        <v>11694</v>
      </c>
      <c r="B3172" s="49" t="s">
        <v>11695</v>
      </c>
      <c r="C3172" s="49" t="s">
        <v>11696</v>
      </c>
      <c r="D3172" s="49" t="s">
        <v>1264</v>
      </c>
      <c r="E3172" s="49" t="s">
        <v>2774</v>
      </c>
      <c r="F3172" s="49" t="s">
        <v>2900</v>
      </c>
      <c r="G3172" s="49" t="s">
        <v>2776</v>
      </c>
      <c r="H3172" s="49" t="s">
        <v>2832</v>
      </c>
      <c r="I3172" s="50">
        <v>45250</v>
      </c>
      <c r="M3172" s="49" t="s">
        <v>11697</v>
      </c>
    </row>
    <row r="3173" spans="1:13" x14ac:dyDescent="0.35">
      <c r="A3173" s="49" t="s">
        <v>11698</v>
      </c>
      <c r="B3173" s="49" t="s">
        <v>11330</v>
      </c>
      <c r="C3173" s="49" t="s">
        <v>3947</v>
      </c>
      <c r="D3173" s="49" t="s">
        <v>1264</v>
      </c>
      <c r="E3173" s="49" t="s">
        <v>2974</v>
      </c>
      <c r="F3173" s="49" t="s">
        <v>3005</v>
      </c>
      <c r="G3173" s="49" t="s">
        <v>2776</v>
      </c>
      <c r="H3173" s="49" t="s">
        <v>8</v>
      </c>
      <c r="I3173" s="50">
        <v>45251</v>
      </c>
      <c r="M3173" s="49" t="s">
        <v>11699</v>
      </c>
    </row>
    <row r="3174" spans="1:13" x14ac:dyDescent="0.35">
      <c r="A3174" s="49" t="s">
        <v>11700</v>
      </c>
      <c r="C3174" s="49" t="s">
        <v>11701</v>
      </c>
      <c r="D3174" s="49" t="s">
        <v>1264</v>
      </c>
      <c r="E3174" s="49" t="s">
        <v>2774</v>
      </c>
      <c r="F3174" s="49" t="s">
        <v>2900</v>
      </c>
      <c r="G3174" s="49" t="s">
        <v>4891</v>
      </c>
      <c r="H3174" s="49" t="s">
        <v>980</v>
      </c>
      <c r="I3174" s="50">
        <v>45252</v>
      </c>
      <c r="M3174" s="49" t="s">
        <v>11702</v>
      </c>
    </row>
    <row r="3175" spans="1:13" x14ac:dyDescent="0.35">
      <c r="A3175" s="49" t="s">
        <v>11703</v>
      </c>
      <c r="C3175" s="49" t="s">
        <v>11704</v>
      </c>
      <c r="D3175" s="49" t="s">
        <v>1264</v>
      </c>
      <c r="E3175" s="49" t="s">
        <v>2986</v>
      </c>
      <c r="F3175" s="49" t="s">
        <v>2825</v>
      </c>
      <c r="G3175" s="49" t="s">
        <v>4891</v>
      </c>
      <c r="H3175" s="49" t="s">
        <v>973</v>
      </c>
      <c r="I3175" s="50">
        <v>45237</v>
      </c>
      <c r="M3175" s="49" t="s">
        <v>11705</v>
      </c>
    </row>
    <row r="3176" spans="1:13" x14ac:dyDescent="0.35">
      <c r="A3176" s="49" t="s">
        <v>11706</v>
      </c>
      <c r="C3176" s="49" t="s">
        <v>11707</v>
      </c>
      <c r="D3176" s="49" t="s">
        <v>1264</v>
      </c>
      <c r="E3176" s="49" t="s">
        <v>2774</v>
      </c>
      <c r="F3176" s="49" t="s">
        <v>4842</v>
      </c>
      <c r="G3176" s="49" t="s">
        <v>4891</v>
      </c>
      <c r="H3176" s="49" t="s">
        <v>973</v>
      </c>
      <c r="I3176" s="50">
        <v>45257</v>
      </c>
      <c r="M3176" s="49" t="s">
        <v>11708</v>
      </c>
    </row>
    <row r="3177" spans="1:13" x14ac:dyDescent="0.35">
      <c r="A3177" s="49" t="s">
        <v>11709</v>
      </c>
      <c r="C3177" s="49" t="s">
        <v>5752</v>
      </c>
      <c r="D3177" s="49" t="s">
        <v>1264</v>
      </c>
      <c r="E3177" s="49" t="s">
        <v>2986</v>
      </c>
      <c r="F3177" s="49" t="s">
        <v>2825</v>
      </c>
      <c r="G3177" s="49" t="s">
        <v>2776</v>
      </c>
      <c r="H3177" s="49" t="s">
        <v>973</v>
      </c>
      <c r="I3177" s="50">
        <v>45233</v>
      </c>
      <c r="M3177" s="49" t="s">
        <v>11710</v>
      </c>
    </row>
    <row r="3178" spans="1:13" x14ac:dyDescent="0.35">
      <c r="A3178" s="49" t="s">
        <v>11711</v>
      </c>
      <c r="B3178" s="49" t="s">
        <v>4817</v>
      </c>
      <c r="C3178" s="49" t="s">
        <v>5752</v>
      </c>
      <c r="D3178" s="49" t="s">
        <v>1264</v>
      </c>
      <c r="E3178" s="49" t="s">
        <v>2986</v>
      </c>
      <c r="F3178" s="49" t="s">
        <v>2825</v>
      </c>
      <c r="G3178" s="49" t="s">
        <v>2776</v>
      </c>
      <c r="H3178" s="49" t="s">
        <v>973</v>
      </c>
      <c r="I3178" s="50">
        <v>45233</v>
      </c>
      <c r="M3178" s="49" t="s">
        <v>11712</v>
      </c>
    </row>
    <row r="3179" spans="1:13" x14ac:dyDescent="0.35">
      <c r="A3179" s="49" t="s">
        <v>11713</v>
      </c>
      <c r="C3179" s="49" t="s">
        <v>4725</v>
      </c>
      <c r="D3179" s="49" t="s">
        <v>1264</v>
      </c>
      <c r="E3179" s="49" t="s">
        <v>2986</v>
      </c>
      <c r="F3179" s="49" t="s">
        <v>2825</v>
      </c>
      <c r="G3179" s="49" t="s">
        <v>4891</v>
      </c>
      <c r="H3179" s="49" t="s">
        <v>2827</v>
      </c>
      <c r="I3179" s="50">
        <v>45098</v>
      </c>
      <c r="M3179" s="49" t="s">
        <v>11714</v>
      </c>
    </row>
    <row r="3180" spans="1:13" x14ac:dyDescent="0.35">
      <c r="A3180" s="49" t="s">
        <v>11715</v>
      </c>
      <c r="B3180" s="49" t="s">
        <v>11716</v>
      </c>
      <c r="C3180" s="49" t="s">
        <v>6213</v>
      </c>
      <c r="D3180" s="49" t="s">
        <v>1264</v>
      </c>
      <c r="E3180" s="49" t="s">
        <v>2986</v>
      </c>
      <c r="F3180" s="49" t="s">
        <v>2825</v>
      </c>
      <c r="G3180" s="49" t="s">
        <v>2776</v>
      </c>
      <c r="H3180" s="49" t="s">
        <v>2827</v>
      </c>
      <c r="I3180" s="50">
        <v>45254</v>
      </c>
      <c r="M3180" s="49" t="s">
        <v>11717</v>
      </c>
    </row>
    <row r="3181" spans="1:13" x14ac:dyDescent="0.35">
      <c r="A3181" s="49" t="s">
        <v>11718</v>
      </c>
      <c r="B3181" s="49" t="s">
        <v>11719</v>
      </c>
      <c r="C3181" s="49" t="s">
        <v>6213</v>
      </c>
      <c r="D3181" s="49" t="s">
        <v>1264</v>
      </c>
      <c r="E3181" s="49" t="s">
        <v>2986</v>
      </c>
      <c r="F3181" s="49" t="s">
        <v>2825</v>
      </c>
      <c r="G3181" s="49" t="s">
        <v>2776</v>
      </c>
      <c r="H3181" s="49" t="s">
        <v>2827</v>
      </c>
      <c r="I3181" s="50">
        <v>45254</v>
      </c>
      <c r="M3181" s="49" t="s">
        <v>11720</v>
      </c>
    </row>
    <row r="3182" spans="1:13" x14ac:dyDescent="0.35">
      <c r="A3182" s="49" t="s">
        <v>11721</v>
      </c>
      <c r="B3182" s="49" t="s">
        <v>11722</v>
      </c>
      <c r="C3182" s="49" t="s">
        <v>6213</v>
      </c>
      <c r="D3182" s="49" t="s">
        <v>1264</v>
      </c>
      <c r="E3182" s="49" t="s">
        <v>2986</v>
      </c>
      <c r="F3182" s="49" t="s">
        <v>2825</v>
      </c>
      <c r="G3182" s="49" t="s">
        <v>2776</v>
      </c>
      <c r="H3182" s="49" t="s">
        <v>2827</v>
      </c>
      <c r="I3182" s="50">
        <v>45254</v>
      </c>
      <c r="M3182" s="49" t="s">
        <v>11723</v>
      </c>
    </row>
    <row r="3183" spans="1:13" x14ac:dyDescent="0.35">
      <c r="A3183" s="49" t="s">
        <v>11724</v>
      </c>
      <c r="B3183" s="49" t="s">
        <v>11725</v>
      </c>
      <c r="C3183" s="49" t="s">
        <v>6213</v>
      </c>
      <c r="D3183" s="49" t="s">
        <v>1264</v>
      </c>
      <c r="E3183" s="49" t="s">
        <v>2986</v>
      </c>
      <c r="F3183" s="49" t="s">
        <v>2825</v>
      </c>
      <c r="G3183" s="49" t="s">
        <v>2776</v>
      </c>
      <c r="H3183" s="49" t="s">
        <v>2827</v>
      </c>
      <c r="I3183" s="50">
        <v>45254</v>
      </c>
      <c r="M3183" s="49" t="s">
        <v>11646</v>
      </c>
    </row>
    <row r="3184" spans="1:13" x14ac:dyDescent="0.35">
      <c r="A3184" s="49" t="s">
        <v>11726</v>
      </c>
      <c r="B3184" s="49" t="s">
        <v>11727</v>
      </c>
      <c r="C3184" s="49" t="s">
        <v>4044</v>
      </c>
      <c r="D3184" s="49" t="s">
        <v>1264</v>
      </c>
      <c r="E3184" s="49" t="s">
        <v>2986</v>
      </c>
      <c r="F3184" s="49" t="s">
        <v>2825</v>
      </c>
      <c r="G3184" s="49" t="s">
        <v>4891</v>
      </c>
      <c r="H3184" s="49" t="s">
        <v>2827</v>
      </c>
      <c r="I3184" s="50">
        <v>45218</v>
      </c>
      <c r="M3184" s="49" t="s">
        <v>9017</v>
      </c>
    </row>
    <row r="3185" spans="1:13" x14ac:dyDescent="0.35">
      <c r="A3185" s="49" t="s">
        <v>11728</v>
      </c>
      <c r="B3185" s="49" t="s">
        <v>11729</v>
      </c>
      <c r="C3185" s="49" t="s">
        <v>11730</v>
      </c>
      <c r="D3185" s="49" t="s">
        <v>1264</v>
      </c>
      <c r="E3185" s="49" t="s">
        <v>2986</v>
      </c>
      <c r="F3185" s="49" t="s">
        <v>2825</v>
      </c>
      <c r="G3185" s="49" t="s">
        <v>4891</v>
      </c>
      <c r="H3185" s="49" t="s">
        <v>2827</v>
      </c>
      <c r="I3185" s="50">
        <v>45233</v>
      </c>
      <c r="M3185" s="49" t="s">
        <v>11151</v>
      </c>
    </row>
    <row r="3186" spans="1:13" x14ac:dyDescent="0.35">
      <c r="A3186" s="49" t="s">
        <v>11731</v>
      </c>
      <c r="B3186" s="49" t="s">
        <v>11732</v>
      </c>
      <c r="C3186" s="49" t="s">
        <v>11733</v>
      </c>
      <c r="D3186" s="49" t="s">
        <v>1264</v>
      </c>
      <c r="E3186" s="49" t="s">
        <v>2986</v>
      </c>
      <c r="F3186" s="49" t="s">
        <v>2825</v>
      </c>
      <c r="G3186" s="49" t="s">
        <v>2776</v>
      </c>
      <c r="H3186" s="49" t="s">
        <v>2827</v>
      </c>
      <c r="I3186" s="50">
        <v>45245</v>
      </c>
      <c r="M3186" s="49" t="s">
        <v>11734</v>
      </c>
    </row>
    <row r="3187" spans="1:13" x14ac:dyDescent="0.35">
      <c r="A3187" s="49" t="s">
        <v>11735</v>
      </c>
      <c r="C3187" s="49" t="s">
        <v>11494</v>
      </c>
      <c r="D3187" s="49" t="s">
        <v>1264</v>
      </c>
      <c r="E3187" s="49" t="s">
        <v>2986</v>
      </c>
      <c r="F3187" s="49" t="s">
        <v>2825</v>
      </c>
      <c r="G3187" s="49" t="s">
        <v>2776</v>
      </c>
      <c r="H3187" s="49" t="s">
        <v>2827</v>
      </c>
      <c r="I3187" s="50">
        <v>45233</v>
      </c>
      <c r="M3187" s="49" t="s">
        <v>11736</v>
      </c>
    </row>
    <row r="3188" spans="1:13" x14ac:dyDescent="0.35">
      <c r="A3188" s="49" t="s">
        <v>11737</v>
      </c>
      <c r="B3188" s="49" t="s">
        <v>5717</v>
      </c>
      <c r="C3188" s="49" t="s">
        <v>6170</v>
      </c>
      <c r="D3188" s="49" t="s">
        <v>1264</v>
      </c>
      <c r="E3188" s="49" t="s">
        <v>2986</v>
      </c>
      <c r="F3188" s="49" t="s">
        <v>2825</v>
      </c>
      <c r="G3188" s="49" t="s">
        <v>4891</v>
      </c>
      <c r="H3188" s="49" t="s">
        <v>973</v>
      </c>
      <c r="I3188" s="50">
        <v>45237</v>
      </c>
      <c r="M3188" s="49" t="s">
        <v>11738</v>
      </c>
    </row>
    <row r="3189" spans="1:13" x14ac:dyDescent="0.35">
      <c r="A3189" s="49" t="s">
        <v>11739</v>
      </c>
      <c r="B3189" s="49" t="s">
        <v>11740</v>
      </c>
      <c r="C3189" s="49" t="s">
        <v>11741</v>
      </c>
      <c r="D3189" s="49" t="s">
        <v>1264</v>
      </c>
      <c r="E3189" s="49" t="s">
        <v>2785</v>
      </c>
      <c r="F3189" s="49" t="s">
        <v>2792</v>
      </c>
      <c r="G3189" s="49" t="s">
        <v>4891</v>
      </c>
      <c r="H3189" s="49" t="s">
        <v>980</v>
      </c>
      <c r="I3189" s="50">
        <v>45257</v>
      </c>
      <c r="M3189" s="49" t="s">
        <v>11742</v>
      </c>
    </row>
    <row r="3190" spans="1:13" x14ac:dyDescent="0.35">
      <c r="A3190" s="49" t="s">
        <v>11743</v>
      </c>
      <c r="C3190" s="49" t="s">
        <v>11494</v>
      </c>
      <c r="D3190" s="49" t="s">
        <v>1264</v>
      </c>
      <c r="E3190" s="49" t="s">
        <v>2986</v>
      </c>
      <c r="F3190" s="49" t="s">
        <v>2825</v>
      </c>
      <c r="G3190" s="49" t="s">
        <v>2776</v>
      </c>
      <c r="H3190" s="49" t="s">
        <v>2827</v>
      </c>
      <c r="I3190" s="50">
        <v>45237</v>
      </c>
      <c r="M3190" s="49" t="s">
        <v>11744</v>
      </c>
    </row>
    <row r="3191" spans="1:13" x14ac:dyDescent="0.35">
      <c r="A3191" s="49" t="s">
        <v>11745</v>
      </c>
      <c r="B3191" s="49" t="s">
        <v>11746</v>
      </c>
      <c r="C3191" s="49" t="s">
        <v>6884</v>
      </c>
      <c r="D3191" s="49" t="s">
        <v>1264</v>
      </c>
      <c r="E3191" s="49" t="s">
        <v>2774</v>
      </c>
      <c r="F3191" s="49" t="s">
        <v>2775</v>
      </c>
      <c r="G3191" s="49" t="s">
        <v>4891</v>
      </c>
      <c r="H3191" s="49" t="s">
        <v>980</v>
      </c>
      <c r="I3191" s="50">
        <v>45261</v>
      </c>
      <c r="M3191" s="49" t="s">
        <v>4914</v>
      </c>
    </row>
    <row r="3192" spans="1:13" x14ac:dyDescent="0.35">
      <c r="A3192" s="49" t="s">
        <v>11747</v>
      </c>
      <c r="B3192" s="49" t="s">
        <v>4817</v>
      </c>
      <c r="C3192" s="49" t="s">
        <v>5908</v>
      </c>
      <c r="D3192" s="49" t="s">
        <v>1264</v>
      </c>
      <c r="E3192" s="49" t="s">
        <v>2986</v>
      </c>
      <c r="F3192" s="49" t="s">
        <v>2825</v>
      </c>
      <c r="G3192" s="49" t="s">
        <v>2776</v>
      </c>
      <c r="H3192" s="49" t="s">
        <v>2827</v>
      </c>
      <c r="I3192" s="50">
        <v>45245</v>
      </c>
      <c r="M3192" s="49" t="s">
        <v>11748</v>
      </c>
    </row>
    <row r="3193" spans="1:13" x14ac:dyDescent="0.35">
      <c r="A3193" s="49" t="s">
        <v>11749</v>
      </c>
      <c r="B3193" s="49" t="s">
        <v>4809</v>
      </c>
      <c r="C3193" s="49" t="s">
        <v>5908</v>
      </c>
      <c r="D3193" s="49" t="s">
        <v>1264</v>
      </c>
      <c r="E3193" s="49" t="s">
        <v>2986</v>
      </c>
      <c r="F3193" s="49" t="s">
        <v>2825</v>
      </c>
      <c r="G3193" s="49" t="s">
        <v>2776</v>
      </c>
      <c r="H3193" s="49" t="s">
        <v>2827</v>
      </c>
      <c r="I3193" s="50">
        <v>45245</v>
      </c>
      <c r="M3193" s="49" t="s">
        <v>11750</v>
      </c>
    </row>
    <row r="3194" spans="1:13" x14ac:dyDescent="0.35">
      <c r="A3194" s="49" t="s">
        <v>11751</v>
      </c>
      <c r="B3194" s="49" t="s">
        <v>11752</v>
      </c>
      <c r="C3194" s="49" t="s">
        <v>11753</v>
      </c>
      <c r="D3194" s="49" t="s">
        <v>1264</v>
      </c>
      <c r="E3194" s="49" t="s">
        <v>2785</v>
      </c>
      <c r="F3194" s="49" t="s">
        <v>2805</v>
      </c>
      <c r="G3194" s="49" t="s">
        <v>2776</v>
      </c>
      <c r="H3194" s="49" t="s">
        <v>2832</v>
      </c>
      <c r="I3194" s="50">
        <v>45230</v>
      </c>
      <c r="M3194" s="49" t="s">
        <v>11754</v>
      </c>
    </row>
    <row r="3195" spans="1:13" x14ac:dyDescent="0.35">
      <c r="A3195" s="49" t="s">
        <v>11755</v>
      </c>
      <c r="B3195" s="49" t="s">
        <v>4877</v>
      </c>
      <c r="C3195" s="49" t="s">
        <v>5908</v>
      </c>
      <c r="D3195" s="49" t="s">
        <v>1264</v>
      </c>
      <c r="E3195" s="49" t="s">
        <v>2986</v>
      </c>
      <c r="F3195" s="49" t="s">
        <v>2825</v>
      </c>
      <c r="G3195" s="49" t="s">
        <v>2776</v>
      </c>
      <c r="H3195" s="49" t="s">
        <v>2827</v>
      </c>
      <c r="I3195" s="50">
        <v>45245</v>
      </c>
      <c r="M3195" s="49" t="s">
        <v>11756</v>
      </c>
    </row>
    <row r="3196" spans="1:13" x14ac:dyDescent="0.35">
      <c r="A3196" s="49" t="s">
        <v>11757</v>
      </c>
      <c r="B3196" s="49" t="s">
        <v>11758</v>
      </c>
      <c r="C3196" s="49" t="s">
        <v>6884</v>
      </c>
      <c r="D3196" s="49" t="s">
        <v>1264</v>
      </c>
      <c r="E3196" s="49" t="s">
        <v>2774</v>
      </c>
      <c r="F3196" s="49" t="s">
        <v>11759</v>
      </c>
      <c r="G3196" s="49" t="s">
        <v>4891</v>
      </c>
      <c r="H3196" s="49" t="s">
        <v>973</v>
      </c>
      <c r="I3196" s="50">
        <v>45261</v>
      </c>
      <c r="M3196" s="49" t="s">
        <v>11760</v>
      </c>
    </row>
    <row r="3197" spans="1:13" x14ac:dyDescent="0.35">
      <c r="A3197" s="49" t="s">
        <v>11761</v>
      </c>
      <c r="B3197" s="49" t="s">
        <v>5865</v>
      </c>
      <c r="C3197" s="49" t="s">
        <v>5908</v>
      </c>
      <c r="D3197" s="49" t="s">
        <v>1264</v>
      </c>
      <c r="E3197" s="49" t="s">
        <v>2986</v>
      </c>
      <c r="F3197" s="49" t="s">
        <v>2825</v>
      </c>
      <c r="G3197" s="49" t="s">
        <v>2776</v>
      </c>
      <c r="H3197" s="49" t="s">
        <v>2827</v>
      </c>
      <c r="I3197" s="50">
        <v>45245</v>
      </c>
      <c r="M3197" s="49" t="s">
        <v>11762</v>
      </c>
    </row>
    <row r="3198" spans="1:13" x14ac:dyDescent="0.35">
      <c r="A3198" s="49" t="s">
        <v>11763</v>
      </c>
      <c r="B3198" s="49" t="s">
        <v>2891</v>
      </c>
      <c r="C3198" s="49" t="s">
        <v>4849</v>
      </c>
      <c r="D3198" s="49" t="s">
        <v>1264</v>
      </c>
      <c r="E3198" s="49" t="s">
        <v>2785</v>
      </c>
      <c r="F3198" s="49" t="s">
        <v>2837</v>
      </c>
      <c r="G3198" s="49" t="s">
        <v>4891</v>
      </c>
      <c r="H3198" s="49" t="s">
        <v>980</v>
      </c>
      <c r="I3198" s="50">
        <v>45253</v>
      </c>
      <c r="M3198" s="49" t="s">
        <v>11764</v>
      </c>
    </row>
    <row r="3199" spans="1:13" x14ac:dyDescent="0.35">
      <c r="A3199" s="49" t="s">
        <v>11765</v>
      </c>
      <c r="C3199" s="49" t="s">
        <v>11766</v>
      </c>
      <c r="D3199" s="49" t="s">
        <v>1264</v>
      </c>
      <c r="E3199" s="49" t="s">
        <v>2986</v>
      </c>
      <c r="F3199" s="49" t="s">
        <v>2825</v>
      </c>
      <c r="G3199" s="49" t="s">
        <v>2776</v>
      </c>
      <c r="H3199" s="49" t="s">
        <v>2827</v>
      </c>
      <c r="I3199" s="50">
        <v>45250</v>
      </c>
      <c r="M3199" s="49" t="s">
        <v>11767</v>
      </c>
    </row>
    <row r="3200" spans="1:13" x14ac:dyDescent="0.35">
      <c r="A3200" s="49" t="s">
        <v>11768</v>
      </c>
      <c r="B3200" s="49" t="s">
        <v>11769</v>
      </c>
      <c r="C3200" s="49" t="s">
        <v>6708</v>
      </c>
      <c r="D3200" s="49" t="s">
        <v>1264</v>
      </c>
      <c r="E3200" s="49" t="s">
        <v>2774</v>
      </c>
      <c r="F3200" s="49" t="s">
        <v>2900</v>
      </c>
      <c r="G3200" s="49" t="s">
        <v>4891</v>
      </c>
      <c r="H3200" s="49" t="s">
        <v>8</v>
      </c>
      <c r="I3200" s="50">
        <v>45264</v>
      </c>
      <c r="M3200" s="49" t="s">
        <v>11770</v>
      </c>
    </row>
    <row r="3201" spans="1:13" x14ac:dyDescent="0.35">
      <c r="A3201" s="49" t="s">
        <v>11771</v>
      </c>
      <c r="C3201" s="49" t="s">
        <v>11772</v>
      </c>
      <c r="D3201" s="49" t="s">
        <v>1264</v>
      </c>
      <c r="E3201" s="49" t="s">
        <v>2814</v>
      </c>
      <c r="F3201" s="49" t="s">
        <v>2837</v>
      </c>
      <c r="G3201" s="49" t="s">
        <v>2776</v>
      </c>
      <c r="H3201" s="49" t="s">
        <v>980</v>
      </c>
      <c r="I3201" s="50">
        <v>45261</v>
      </c>
      <c r="M3201" s="49" t="s">
        <v>11773</v>
      </c>
    </row>
    <row r="3202" spans="1:13" x14ac:dyDescent="0.35">
      <c r="A3202" s="49" t="s">
        <v>11774</v>
      </c>
      <c r="C3202" s="49" t="s">
        <v>4152</v>
      </c>
      <c r="D3202" s="49" t="s">
        <v>1264</v>
      </c>
      <c r="E3202" s="49" t="s">
        <v>2814</v>
      </c>
      <c r="F3202" s="49" t="s">
        <v>2837</v>
      </c>
      <c r="G3202" s="49" t="s">
        <v>4891</v>
      </c>
      <c r="H3202" s="49" t="s">
        <v>980</v>
      </c>
      <c r="I3202" s="50">
        <v>45265</v>
      </c>
      <c r="M3202" s="49" t="s">
        <v>11775</v>
      </c>
    </row>
    <row r="3203" spans="1:13" x14ac:dyDescent="0.35">
      <c r="A3203" s="49" t="s">
        <v>11776</v>
      </c>
      <c r="C3203" s="49" t="s">
        <v>11777</v>
      </c>
      <c r="D3203" s="49" t="s">
        <v>1264</v>
      </c>
      <c r="E3203" s="49" t="s">
        <v>2774</v>
      </c>
      <c r="F3203" s="49" t="s">
        <v>4842</v>
      </c>
      <c r="G3203" s="49" t="s">
        <v>4891</v>
      </c>
      <c r="H3203" s="49" t="s">
        <v>2827</v>
      </c>
      <c r="I3203" s="50">
        <v>45265</v>
      </c>
      <c r="M3203" s="49" t="s">
        <v>11778</v>
      </c>
    </row>
    <row r="3204" spans="1:13" x14ac:dyDescent="0.35">
      <c r="A3204" s="49" t="s">
        <v>11779</v>
      </c>
      <c r="B3204" s="49" t="s">
        <v>3615</v>
      </c>
      <c r="C3204" s="49" t="s">
        <v>11780</v>
      </c>
      <c r="D3204" s="49" t="s">
        <v>1264</v>
      </c>
      <c r="E3204" s="49" t="s">
        <v>2908</v>
      </c>
      <c r="F3204" s="49" t="s">
        <v>3010</v>
      </c>
      <c r="G3204" s="49" t="s">
        <v>4891</v>
      </c>
      <c r="H3204" s="49" t="s">
        <v>980</v>
      </c>
      <c r="I3204" s="50">
        <v>45254</v>
      </c>
      <c r="M3204" s="49" t="s">
        <v>11781</v>
      </c>
    </row>
    <row r="3205" spans="1:13" x14ac:dyDescent="0.35">
      <c r="A3205" s="49" t="s">
        <v>11782</v>
      </c>
      <c r="C3205" s="49" t="s">
        <v>11783</v>
      </c>
      <c r="D3205" s="49" t="s">
        <v>1264</v>
      </c>
      <c r="E3205" s="49" t="s">
        <v>2774</v>
      </c>
      <c r="F3205" s="49" t="s">
        <v>4842</v>
      </c>
      <c r="G3205" s="49" t="s">
        <v>4891</v>
      </c>
      <c r="H3205" s="49" t="s">
        <v>973</v>
      </c>
      <c r="I3205" s="50">
        <v>45267</v>
      </c>
      <c r="M3205" s="49" t="s">
        <v>11784</v>
      </c>
    </row>
    <row r="3206" spans="1:13" x14ac:dyDescent="0.35">
      <c r="A3206" s="49" t="s">
        <v>11785</v>
      </c>
      <c r="B3206" s="49" t="s">
        <v>3768</v>
      </c>
      <c r="C3206" s="49" t="s">
        <v>4064</v>
      </c>
      <c r="D3206" s="49" t="s">
        <v>1264</v>
      </c>
      <c r="E3206" s="49" t="s">
        <v>3443</v>
      </c>
      <c r="F3206" s="49" t="s">
        <v>3124</v>
      </c>
      <c r="G3206" s="49" t="s">
        <v>4891</v>
      </c>
      <c r="H3206" s="49" t="s">
        <v>980</v>
      </c>
      <c r="I3206" s="50">
        <v>45182</v>
      </c>
    </row>
    <row r="3207" spans="1:13" x14ac:dyDescent="0.35">
      <c r="A3207" s="49" t="s">
        <v>11786</v>
      </c>
      <c r="B3207" s="49" t="s">
        <v>2937</v>
      </c>
      <c r="C3207" s="49" t="s">
        <v>4610</v>
      </c>
      <c r="D3207" s="49" t="s">
        <v>1264</v>
      </c>
      <c r="E3207" s="49" t="s">
        <v>2908</v>
      </c>
      <c r="F3207" s="49" t="s">
        <v>2939</v>
      </c>
      <c r="G3207" s="49" t="s">
        <v>4891</v>
      </c>
      <c r="H3207" s="49" t="s">
        <v>980</v>
      </c>
      <c r="I3207" s="50">
        <v>45191</v>
      </c>
      <c r="M3207" s="49" t="s">
        <v>11787</v>
      </c>
    </row>
    <row r="3208" spans="1:13" x14ac:dyDescent="0.35">
      <c r="A3208" s="49" t="s">
        <v>11788</v>
      </c>
      <c r="C3208" s="49" t="s">
        <v>6190</v>
      </c>
      <c r="D3208" s="49" t="s">
        <v>1264</v>
      </c>
      <c r="E3208" s="49" t="s">
        <v>2908</v>
      </c>
      <c r="F3208" s="49" t="s">
        <v>3010</v>
      </c>
      <c r="G3208" s="49" t="s">
        <v>2776</v>
      </c>
      <c r="H3208" s="49" t="s">
        <v>980</v>
      </c>
      <c r="I3208" s="50">
        <v>45260</v>
      </c>
      <c r="M3208" s="49" t="s">
        <v>6191</v>
      </c>
    </row>
    <row r="3209" spans="1:13" x14ac:dyDescent="0.35">
      <c r="A3209" s="49" t="s">
        <v>11789</v>
      </c>
      <c r="B3209" s="49" t="s">
        <v>11790</v>
      </c>
      <c r="C3209" s="49" t="s">
        <v>6636</v>
      </c>
      <c r="D3209" s="49" t="s">
        <v>1264</v>
      </c>
      <c r="E3209" s="49" t="s">
        <v>2774</v>
      </c>
      <c r="F3209" s="49" t="s">
        <v>3005</v>
      </c>
      <c r="G3209" s="49" t="s">
        <v>2776</v>
      </c>
      <c r="H3209" s="49" t="s">
        <v>1062</v>
      </c>
      <c r="I3209" s="50">
        <v>45271</v>
      </c>
      <c r="M3209" s="49" t="s">
        <v>11791</v>
      </c>
    </row>
    <row r="3210" spans="1:13" x14ac:dyDescent="0.35">
      <c r="A3210" s="49" t="s">
        <v>11792</v>
      </c>
      <c r="B3210" s="49" t="s">
        <v>4555</v>
      </c>
      <c r="C3210" s="49" t="s">
        <v>11793</v>
      </c>
      <c r="D3210" s="49" t="s">
        <v>1264</v>
      </c>
      <c r="E3210" s="49" t="s">
        <v>2908</v>
      </c>
      <c r="F3210" s="49" t="s">
        <v>2837</v>
      </c>
      <c r="G3210" s="49" t="s">
        <v>4891</v>
      </c>
      <c r="H3210" s="49" t="s">
        <v>980</v>
      </c>
      <c r="I3210" s="50">
        <v>45273</v>
      </c>
      <c r="M3210" s="49" t="s">
        <v>11794</v>
      </c>
    </row>
    <row r="3211" spans="1:13" x14ac:dyDescent="0.35">
      <c r="A3211" s="49" t="s">
        <v>11795</v>
      </c>
      <c r="C3211" s="49" t="s">
        <v>6549</v>
      </c>
      <c r="D3211" s="49" t="s">
        <v>1264</v>
      </c>
      <c r="E3211" s="49" t="s">
        <v>2774</v>
      </c>
      <c r="F3211" s="49" t="s">
        <v>4842</v>
      </c>
      <c r="G3211" s="49" t="s">
        <v>2826</v>
      </c>
      <c r="H3211" s="49" t="s">
        <v>973</v>
      </c>
      <c r="I3211" s="50">
        <v>45272</v>
      </c>
      <c r="M3211" s="49" t="s">
        <v>3470</v>
      </c>
    </row>
    <row r="3212" spans="1:13" x14ac:dyDescent="0.35">
      <c r="A3212" s="49" t="s">
        <v>11796</v>
      </c>
      <c r="C3212" s="49" t="s">
        <v>11797</v>
      </c>
      <c r="D3212" s="49" t="s">
        <v>1264</v>
      </c>
      <c r="E3212" s="49" t="s">
        <v>2986</v>
      </c>
      <c r="F3212" s="49" t="s">
        <v>2825</v>
      </c>
      <c r="G3212" s="49" t="s">
        <v>2776</v>
      </c>
      <c r="H3212" s="49" t="s">
        <v>2827</v>
      </c>
      <c r="I3212" s="50">
        <v>45254</v>
      </c>
      <c r="M3212" s="49" t="s">
        <v>11798</v>
      </c>
    </row>
    <row r="3213" spans="1:13" x14ac:dyDescent="0.35">
      <c r="A3213" s="49" t="s">
        <v>11799</v>
      </c>
      <c r="B3213" s="49" t="s">
        <v>11800</v>
      </c>
      <c r="C3213" s="49" t="s">
        <v>5843</v>
      </c>
      <c r="D3213" s="49" t="s">
        <v>1264</v>
      </c>
      <c r="E3213" s="49" t="s">
        <v>2986</v>
      </c>
      <c r="F3213" s="49" t="s">
        <v>2825</v>
      </c>
      <c r="G3213" s="49" t="s">
        <v>2776</v>
      </c>
      <c r="H3213" s="49" t="s">
        <v>2827</v>
      </c>
      <c r="I3213" s="50">
        <v>45278</v>
      </c>
    </row>
    <row r="3214" spans="1:13" x14ac:dyDescent="0.35">
      <c r="A3214" s="49" t="s">
        <v>11801</v>
      </c>
      <c r="B3214" s="49" t="s">
        <v>11802</v>
      </c>
      <c r="C3214" s="49" t="s">
        <v>10099</v>
      </c>
      <c r="D3214" s="49" t="s">
        <v>1264</v>
      </c>
      <c r="E3214" s="49" t="s">
        <v>2986</v>
      </c>
      <c r="F3214" s="49" t="s">
        <v>2825</v>
      </c>
      <c r="G3214" s="49" t="s">
        <v>4891</v>
      </c>
      <c r="H3214" s="49" t="s">
        <v>2827</v>
      </c>
      <c r="I3214" s="50">
        <v>45271</v>
      </c>
      <c r="M3214" s="49" t="s">
        <v>6099</v>
      </c>
    </row>
    <row r="3215" spans="1:13" x14ac:dyDescent="0.35">
      <c r="A3215" s="49" t="s">
        <v>11803</v>
      </c>
      <c r="B3215" s="49" t="s">
        <v>11804</v>
      </c>
      <c r="C3215" s="49" t="s">
        <v>11805</v>
      </c>
      <c r="D3215" s="49" t="s">
        <v>1264</v>
      </c>
      <c r="E3215" s="49" t="s">
        <v>2986</v>
      </c>
      <c r="F3215" s="49" t="s">
        <v>2825</v>
      </c>
      <c r="G3215" s="49" t="s">
        <v>4891</v>
      </c>
      <c r="H3215" s="49" t="s">
        <v>2827</v>
      </c>
      <c r="I3215" s="50">
        <v>45271</v>
      </c>
      <c r="M3215" s="49" t="s">
        <v>3270</v>
      </c>
    </row>
    <row r="3216" spans="1:13" x14ac:dyDescent="0.35">
      <c r="A3216" s="49" t="s">
        <v>11806</v>
      </c>
      <c r="C3216" s="49" t="s">
        <v>6235</v>
      </c>
      <c r="D3216" s="49" t="s">
        <v>1264</v>
      </c>
      <c r="E3216" s="49" t="s">
        <v>2986</v>
      </c>
      <c r="F3216" s="49" t="s">
        <v>2825</v>
      </c>
      <c r="G3216" s="49" t="s">
        <v>4891</v>
      </c>
      <c r="H3216" s="49" t="s">
        <v>2827</v>
      </c>
      <c r="I3216" s="50">
        <v>45279</v>
      </c>
      <c r="M3216" s="49" t="s">
        <v>11807</v>
      </c>
    </row>
    <row r="3217" spans="1:13" x14ac:dyDescent="0.35">
      <c r="A3217" s="49" t="s">
        <v>11808</v>
      </c>
      <c r="B3217" s="49" t="s">
        <v>11809</v>
      </c>
      <c r="C3217" s="49" t="s">
        <v>6254</v>
      </c>
      <c r="D3217" s="49" t="s">
        <v>1264</v>
      </c>
      <c r="E3217" s="49" t="s">
        <v>2785</v>
      </c>
      <c r="F3217" s="49" t="s">
        <v>2939</v>
      </c>
      <c r="G3217" s="49" t="s">
        <v>4891</v>
      </c>
      <c r="H3217" s="49" t="s">
        <v>2827</v>
      </c>
      <c r="I3217" s="50">
        <v>45263</v>
      </c>
      <c r="M3217" s="49" t="s">
        <v>11810</v>
      </c>
    </row>
    <row r="3218" spans="1:13" x14ac:dyDescent="0.35">
      <c r="A3218" s="49" t="s">
        <v>11811</v>
      </c>
      <c r="B3218" s="49" t="s">
        <v>10206</v>
      </c>
      <c r="C3218" s="49" t="s">
        <v>11812</v>
      </c>
      <c r="D3218" s="49" t="s">
        <v>1264</v>
      </c>
      <c r="E3218" s="49" t="s">
        <v>2908</v>
      </c>
      <c r="F3218" s="49" t="s">
        <v>2837</v>
      </c>
      <c r="G3218" s="49" t="s">
        <v>4891</v>
      </c>
      <c r="H3218" s="49" t="s">
        <v>2827</v>
      </c>
      <c r="I3218" s="50">
        <v>45282</v>
      </c>
      <c r="M3218" s="49" t="s">
        <v>11813</v>
      </c>
    </row>
    <row r="3219" spans="1:13" x14ac:dyDescent="0.35">
      <c r="A3219" s="49" t="s">
        <v>11814</v>
      </c>
      <c r="B3219" s="49" t="s">
        <v>5810</v>
      </c>
      <c r="C3219" s="49" t="s">
        <v>6645</v>
      </c>
      <c r="D3219" s="49" t="s">
        <v>1264</v>
      </c>
      <c r="E3219" s="49" t="s">
        <v>2785</v>
      </c>
      <c r="F3219" s="49" t="s">
        <v>2786</v>
      </c>
      <c r="G3219" s="49" t="s">
        <v>4891</v>
      </c>
      <c r="H3219" s="49" t="s">
        <v>980</v>
      </c>
      <c r="I3219" s="50">
        <v>45229</v>
      </c>
      <c r="M3219" s="49" t="s">
        <v>11815</v>
      </c>
    </row>
    <row r="3220" spans="1:13" x14ac:dyDescent="0.35">
      <c r="A3220" s="49" t="s">
        <v>11816</v>
      </c>
      <c r="B3220" s="49" t="s">
        <v>7295</v>
      </c>
      <c r="C3220" s="49" t="s">
        <v>4922</v>
      </c>
      <c r="D3220" s="49" t="s">
        <v>1264</v>
      </c>
      <c r="E3220" s="49" t="s">
        <v>2785</v>
      </c>
      <c r="F3220" s="49" t="s">
        <v>2792</v>
      </c>
      <c r="G3220" s="49" t="s">
        <v>4891</v>
      </c>
      <c r="H3220" s="49" t="s">
        <v>857</v>
      </c>
      <c r="I3220" s="50">
        <v>45279</v>
      </c>
      <c r="M3220" s="49" t="s">
        <v>11817</v>
      </c>
    </row>
    <row r="3221" spans="1:13" x14ac:dyDescent="0.35">
      <c r="A3221" s="49" t="s">
        <v>11818</v>
      </c>
      <c r="B3221" s="49" t="s">
        <v>11819</v>
      </c>
      <c r="C3221" s="49" t="s">
        <v>9474</v>
      </c>
      <c r="D3221" s="49" t="s">
        <v>1264</v>
      </c>
      <c r="E3221" s="49" t="s">
        <v>2785</v>
      </c>
      <c r="F3221" s="49" t="s">
        <v>2792</v>
      </c>
      <c r="G3221" s="49" t="s">
        <v>4891</v>
      </c>
      <c r="H3221" s="49" t="s">
        <v>980</v>
      </c>
      <c r="I3221" s="50">
        <v>45259</v>
      </c>
      <c r="M3221" s="49" t="s">
        <v>11820</v>
      </c>
    </row>
    <row r="3222" spans="1:13" x14ac:dyDescent="0.35">
      <c r="A3222" s="49" t="s">
        <v>11821</v>
      </c>
      <c r="C3222" s="49" t="s">
        <v>6652</v>
      </c>
      <c r="D3222" s="49" t="s">
        <v>1264</v>
      </c>
      <c r="E3222" s="49" t="s">
        <v>2814</v>
      </c>
      <c r="F3222" s="49" t="s">
        <v>2837</v>
      </c>
      <c r="G3222" s="49" t="s">
        <v>4891</v>
      </c>
      <c r="H3222" s="49" t="s">
        <v>980</v>
      </c>
      <c r="I3222" s="50">
        <v>45288</v>
      </c>
      <c r="M3222" s="49" t="s">
        <v>11822</v>
      </c>
    </row>
    <row r="3223" spans="1:13" x14ac:dyDescent="0.35">
      <c r="A3223" s="49" t="s">
        <v>11823</v>
      </c>
      <c r="C3223" s="49" t="s">
        <v>6652</v>
      </c>
      <c r="D3223" s="49" t="s">
        <v>1264</v>
      </c>
      <c r="E3223" s="49" t="s">
        <v>2814</v>
      </c>
      <c r="F3223" s="49" t="s">
        <v>2837</v>
      </c>
      <c r="G3223" s="49" t="s">
        <v>4891</v>
      </c>
      <c r="H3223" s="49" t="s">
        <v>980</v>
      </c>
      <c r="I3223" s="50">
        <v>45288</v>
      </c>
      <c r="M3223" s="49" t="s">
        <v>11637</v>
      </c>
    </row>
    <row r="3224" spans="1:13" x14ac:dyDescent="0.35">
      <c r="A3224" s="49" t="s">
        <v>11824</v>
      </c>
      <c r="B3224" s="49" t="s">
        <v>11825</v>
      </c>
      <c r="C3224" s="49" t="s">
        <v>6177</v>
      </c>
      <c r="D3224" s="49" t="s">
        <v>1264</v>
      </c>
      <c r="E3224" s="49" t="s">
        <v>2785</v>
      </c>
      <c r="F3224" s="49" t="s">
        <v>2805</v>
      </c>
      <c r="G3224" s="49" t="s">
        <v>4891</v>
      </c>
      <c r="H3224" s="49" t="s">
        <v>973</v>
      </c>
      <c r="I3224" s="50">
        <v>45288</v>
      </c>
      <c r="M3224" s="49" t="s">
        <v>11826</v>
      </c>
    </row>
    <row r="3225" spans="1:13" x14ac:dyDescent="0.35">
      <c r="A3225" s="49" t="s">
        <v>11827</v>
      </c>
      <c r="B3225" s="49" t="s">
        <v>6340</v>
      </c>
      <c r="C3225" s="49" t="s">
        <v>6177</v>
      </c>
      <c r="D3225" s="49" t="s">
        <v>1264</v>
      </c>
      <c r="E3225" s="49" t="s">
        <v>2785</v>
      </c>
      <c r="F3225" s="49" t="s">
        <v>2805</v>
      </c>
      <c r="G3225" s="49" t="s">
        <v>4891</v>
      </c>
      <c r="H3225" s="49" t="s">
        <v>1062</v>
      </c>
      <c r="I3225" s="50">
        <v>45288</v>
      </c>
      <c r="M3225" s="49" t="s">
        <v>11828</v>
      </c>
    </row>
    <row r="3226" spans="1:13" x14ac:dyDescent="0.35">
      <c r="A3226" s="49" t="s">
        <v>11829</v>
      </c>
      <c r="B3226" s="49" t="s">
        <v>11830</v>
      </c>
      <c r="C3226" s="49" t="s">
        <v>11409</v>
      </c>
      <c r="D3226" s="49" t="s">
        <v>1264</v>
      </c>
      <c r="E3226" s="49" t="s">
        <v>2785</v>
      </c>
      <c r="F3226" s="49" t="s">
        <v>2805</v>
      </c>
      <c r="G3226" s="49" t="s">
        <v>4891</v>
      </c>
      <c r="H3226" s="49" t="s">
        <v>1062</v>
      </c>
      <c r="I3226" s="50">
        <v>45278</v>
      </c>
      <c r="M3226" s="49" t="s">
        <v>11831</v>
      </c>
    </row>
    <row r="3227" spans="1:13" x14ac:dyDescent="0.35">
      <c r="A3227" s="49" t="s">
        <v>11832</v>
      </c>
      <c r="C3227" s="49" t="s">
        <v>11833</v>
      </c>
      <c r="D3227" s="49" t="s">
        <v>1264</v>
      </c>
      <c r="E3227" s="49" t="s">
        <v>2986</v>
      </c>
      <c r="F3227" s="49" t="s">
        <v>2825</v>
      </c>
      <c r="G3227" s="49" t="s">
        <v>4891</v>
      </c>
      <c r="H3227" s="49" t="s">
        <v>2827</v>
      </c>
      <c r="I3227" s="50">
        <v>45243</v>
      </c>
      <c r="M3227" s="49" t="s">
        <v>3270</v>
      </c>
    </row>
    <row r="3228" spans="1:13" x14ac:dyDescent="0.35">
      <c r="A3228" s="49" t="s">
        <v>11834</v>
      </c>
      <c r="B3228" s="49" t="s">
        <v>11835</v>
      </c>
      <c r="C3228" s="49" t="s">
        <v>11836</v>
      </c>
      <c r="D3228" s="49" t="s">
        <v>1264</v>
      </c>
      <c r="E3228" s="49" t="s">
        <v>2986</v>
      </c>
      <c r="F3228" s="49" t="s">
        <v>2825</v>
      </c>
      <c r="G3228" s="49" t="s">
        <v>2776</v>
      </c>
      <c r="H3228" s="49" t="s">
        <v>2827</v>
      </c>
      <c r="I3228" s="50">
        <v>45236</v>
      </c>
      <c r="M3228" s="49" t="s">
        <v>11837</v>
      </c>
    </row>
    <row r="3229" spans="1:13" x14ac:dyDescent="0.35">
      <c r="A3229" s="49" t="s">
        <v>11838</v>
      </c>
      <c r="B3229" s="49" t="s">
        <v>11839</v>
      </c>
      <c r="C3229" s="49" t="s">
        <v>11384</v>
      </c>
      <c r="D3229" s="49" t="s">
        <v>1264</v>
      </c>
      <c r="E3229" s="49" t="s">
        <v>2986</v>
      </c>
      <c r="F3229" s="49" t="s">
        <v>2825</v>
      </c>
      <c r="G3229" s="49" t="s">
        <v>2776</v>
      </c>
      <c r="H3229" s="49" t="s">
        <v>2827</v>
      </c>
      <c r="I3229" s="50">
        <v>45278</v>
      </c>
      <c r="M3229" s="49" t="s">
        <v>11840</v>
      </c>
    </row>
    <row r="3230" spans="1:13" x14ac:dyDescent="0.35">
      <c r="A3230" s="49" t="s">
        <v>11841</v>
      </c>
      <c r="B3230" s="49" t="s">
        <v>4555</v>
      </c>
      <c r="C3230" s="49" t="s">
        <v>6652</v>
      </c>
      <c r="D3230" s="49" t="s">
        <v>1264</v>
      </c>
      <c r="E3230" s="49" t="s">
        <v>2908</v>
      </c>
      <c r="F3230" s="49" t="s">
        <v>2837</v>
      </c>
      <c r="G3230" s="49" t="s">
        <v>4891</v>
      </c>
      <c r="H3230" s="49" t="s">
        <v>980</v>
      </c>
      <c r="I3230" s="50">
        <v>45279</v>
      </c>
      <c r="M3230" s="49" t="s">
        <v>11842</v>
      </c>
    </row>
    <row r="3231" spans="1:13" x14ac:dyDescent="0.35">
      <c r="A3231" s="49" t="s">
        <v>11843</v>
      </c>
      <c r="B3231" s="49" t="s">
        <v>11844</v>
      </c>
      <c r="C3231" s="49" t="s">
        <v>6636</v>
      </c>
      <c r="D3231" s="49" t="s">
        <v>1264</v>
      </c>
      <c r="E3231" s="49" t="s">
        <v>2774</v>
      </c>
      <c r="F3231" s="49" t="s">
        <v>4842</v>
      </c>
      <c r="G3231" s="49" t="s">
        <v>2776</v>
      </c>
      <c r="H3231" s="49" t="s">
        <v>3207</v>
      </c>
      <c r="I3231" s="50">
        <v>45288</v>
      </c>
      <c r="M3231" s="49" t="s">
        <v>11845</v>
      </c>
    </row>
    <row r="3232" spans="1:13" x14ac:dyDescent="0.35">
      <c r="A3232" s="49" t="s">
        <v>11846</v>
      </c>
      <c r="B3232" s="49" t="s">
        <v>4809</v>
      </c>
      <c r="C3232" s="49" t="s">
        <v>5307</v>
      </c>
      <c r="D3232" s="49" t="s">
        <v>1264</v>
      </c>
      <c r="E3232" s="49" t="s">
        <v>2986</v>
      </c>
      <c r="F3232" s="49" t="s">
        <v>2825</v>
      </c>
      <c r="G3232" s="49" t="s">
        <v>4891</v>
      </c>
      <c r="H3232" s="49" t="s">
        <v>973</v>
      </c>
      <c r="I3232" s="50">
        <v>45271</v>
      </c>
      <c r="M3232" s="49" t="s">
        <v>11847</v>
      </c>
    </row>
    <row r="3233" spans="1:13" x14ac:dyDescent="0.35">
      <c r="A3233" s="49" t="s">
        <v>11848</v>
      </c>
      <c r="B3233" s="49" t="s">
        <v>11849</v>
      </c>
      <c r="C3233" s="49" t="s">
        <v>5510</v>
      </c>
      <c r="D3233" s="49" t="s">
        <v>1264</v>
      </c>
      <c r="E3233" s="49" t="s">
        <v>2774</v>
      </c>
      <c r="F3233" s="49" t="s">
        <v>2825</v>
      </c>
      <c r="G3233" s="49" t="s">
        <v>4891</v>
      </c>
      <c r="H3233" s="49" t="s">
        <v>973</v>
      </c>
      <c r="I3233" s="50">
        <v>45289</v>
      </c>
      <c r="M3233" s="49" t="s">
        <v>11850</v>
      </c>
    </row>
    <row r="3234" spans="1:13" x14ac:dyDescent="0.35">
      <c r="A3234" s="49" t="s">
        <v>11851</v>
      </c>
      <c r="B3234" s="49" t="s">
        <v>4817</v>
      </c>
      <c r="C3234" s="49" t="s">
        <v>11659</v>
      </c>
      <c r="D3234" s="49" t="s">
        <v>1264</v>
      </c>
      <c r="E3234" s="49" t="s">
        <v>2986</v>
      </c>
      <c r="F3234" s="49" t="s">
        <v>2825</v>
      </c>
      <c r="G3234" s="49" t="s">
        <v>4891</v>
      </c>
      <c r="H3234" s="49" t="s">
        <v>973</v>
      </c>
      <c r="I3234" s="50">
        <v>45271</v>
      </c>
      <c r="M3234" s="49" t="s">
        <v>11852</v>
      </c>
    </row>
    <row r="3235" spans="1:13" x14ac:dyDescent="0.35">
      <c r="A3235" s="49" t="s">
        <v>11853</v>
      </c>
      <c r="B3235" s="49" t="s">
        <v>11854</v>
      </c>
      <c r="C3235" s="49" t="s">
        <v>11409</v>
      </c>
      <c r="D3235" s="49" t="s">
        <v>1264</v>
      </c>
      <c r="E3235" s="49" t="s">
        <v>2785</v>
      </c>
      <c r="F3235" s="49" t="s">
        <v>2805</v>
      </c>
      <c r="G3235" s="49" t="s">
        <v>4891</v>
      </c>
      <c r="H3235" s="49" t="s">
        <v>1062</v>
      </c>
      <c r="I3235" s="50">
        <v>45275</v>
      </c>
      <c r="M3235" s="49" t="s">
        <v>6342</v>
      </c>
    </row>
    <row r="3236" spans="1:13" x14ac:dyDescent="0.35">
      <c r="A3236" s="49" t="s">
        <v>11855</v>
      </c>
      <c r="B3236" s="49" t="s">
        <v>11856</v>
      </c>
      <c r="C3236" s="49" t="s">
        <v>11621</v>
      </c>
      <c r="D3236" s="49" t="s">
        <v>1264</v>
      </c>
      <c r="E3236" s="49" t="s">
        <v>2774</v>
      </c>
      <c r="F3236" s="49" t="s">
        <v>2825</v>
      </c>
      <c r="G3236" s="49" t="s">
        <v>4891</v>
      </c>
      <c r="H3236" s="49" t="s">
        <v>973</v>
      </c>
      <c r="I3236" s="50">
        <v>45289</v>
      </c>
      <c r="M3236" s="49" t="s">
        <v>11857</v>
      </c>
    </row>
    <row r="3237" spans="1:13" x14ac:dyDescent="0.35">
      <c r="A3237" s="49" t="s">
        <v>11858</v>
      </c>
      <c r="B3237" s="49" t="s">
        <v>11859</v>
      </c>
      <c r="C3237" s="49" t="s">
        <v>5924</v>
      </c>
      <c r="D3237" s="49" t="s">
        <v>1264</v>
      </c>
      <c r="E3237" s="49" t="s">
        <v>2785</v>
      </c>
      <c r="F3237" s="49" t="s">
        <v>2805</v>
      </c>
      <c r="G3237" s="49" t="s">
        <v>4891</v>
      </c>
      <c r="H3237" s="49" t="s">
        <v>980</v>
      </c>
      <c r="I3237" s="50">
        <v>45252</v>
      </c>
      <c r="M3237" s="49" t="s">
        <v>11860</v>
      </c>
    </row>
    <row r="3238" spans="1:13" x14ac:dyDescent="0.35">
      <c r="A3238" s="49" t="s">
        <v>11861</v>
      </c>
      <c r="B3238" s="49" t="s">
        <v>11862</v>
      </c>
      <c r="C3238" s="49" t="s">
        <v>5779</v>
      </c>
      <c r="D3238" s="49" t="s">
        <v>1264</v>
      </c>
      <c r="E3238" s="49" t="s">
        <v>2785</v>
      </c>
      <c r="F3238" s="49" t="s">
        <v>2792</v>
      </c>
      <c r="G3238" s="49" t="s">
        <v>4330</v>
      </c>
      <c r="H3238" s="49" t="s">
        <v>8</v>
      </c>
      <c r="I3238" s="50">
        <v>45288</v>
      </c>
      <c r="M3238" s="49" t="s">
        <v>11863</v>
      </c>
    </row>
    <row r="3239" spans="1:13" x14ac:dyDescent="0.35">
      <c r="A3239" s="49" t="s">
        <v>11864</v>
      </c>
      <c r="C3239" s="49" t="s">
        <v>6537</v>
      </c>
      <c r="D3239" s="49" t="s">
        <v>1264</v>
      </c>
      <c r="E3239" s="49" t="s">
        <v>2814</v>
      </c>
      <c r="F3239" s="49" t="s">
        <v>2837</v>
      </c>
      <c r="G3239" s="49" t="s">
        <v>4891</v>
      </c>
      <c r="H3239" s="49" t="s">
        <v>980</v>
      </c>
      <c r="I3239" s="50">
        <v>45293</v>
      </c>
      <c r="M3239" s="49" t="s">
        <v>11865</v>
      </c>
    </row>
    <row r="3240" spans="1:13" x14ac:dyDescent="0.35">
      <c r="A3240" s="49" t="s">
        <v>11866</v>
      </c>
      <c r="B3240" s="49" t="s">
        <v>3135</v>
      </c>
      <c r="C3240" s="49" t="s">
        <v>11594</v>
      </c>
      <c r="D3240" s="49" t="s">
        <v>1264</v>
      </c>
      <c r="E3240" s="49" t="s">
        <v>2774</v>
      </c>
      <c r="F3240" s="49" t="s">
        <v>2825</v>
      </c>
      <c r="G3240" s="49" t="s">
        <v>2776</v>
      </c>
      <c r="H3240" s="49" t="s">
        <v>2827</v>
      </c>
      <c r="I3240" s="50">
        <v>45294</v>
      </c>
      <c r="M3240" s="49" t="s">
        <v>11867</v>
      </c>
    </row>
    <row r="3241" spans="1:13" x14ac:dyDescent="0.35">
      <c r="A3241" s="49" t="s">
        <v>11868</v>
      </c>
      <c r="B3241" s="49" t="s">
        <v>3075</v>
      </c>
      <c r="C3241" s="49" t="s">
        <v>11869</v>
      </c>
      <c r="D3241" s="49" t="s">
        <v>1264</v>
      </c>
      <c r="E3241" s="49" t="s">
        <v>2785</v>
      </c>
      <c r="F3241" s="49" t="s">
        <v>2805</v>
      </c>
      <c r="G3241" s="49" t="s">
        <v>2776</v>
      </c>
      <c r="H3241" s="49" t="s">
        <v>2827</v>
      </c>
      <c r="I3241" s="50">
        <v>45208</v>
      </c>
      <c r="M3241" s="49" t="s">
        <v>3270</v>
      </c>
    </row>
    <row r="3242" spans="1:13" x14ac:dyDescent="0.35">
      <c r="A3242" s="49" t="s">
        <v>11870</v>
      </c>
      <c r="B3242" s="49" t="s">
        <v>11871</v>
      </c>
      <c r="C3242" s="49" t="s">
        <v>5624</v>
      </c>
      <c r="D3242" s="49" t="s">
        <v>1264</v>
      </c>
      <c r="E3242" s="49" t="s">
        <v>2785</v>
      </c>
      <c r="F3242" s="49" t="s">
        <v>2805</v>
      </c>
      <c r="G3242" s="49" t="s">
        <v>2776</v>
      </c>
      <c r="H3242" s="49" t="s">
        <v>1062</v>
      </c>
      <c r="I3242" s="50">
        <v>44994</v>
      </c>
      <c r="M3242" s="49" t="s">
        <v>11872</v>
      </c>
    </row>
    <row r="3243" spans="1:13" x14ac:dyDescent="0.35">
      <c r="A3243" s="49" t="s">
        <v>11873</v>
      </c>
      <c r="B3243" s="49" t="s">
        <v>11874</v>
      </c>
      <c r="C3243" s="49" t="s">
        <v>11875</v>
      </c>
      <c r="D3243" s="49" t="s">
        <v>1264</v>
      </c>
      <c r="E3243" s="49" t="s">
        <v>2785</v>
      </c>
      <c r="F3243" s="49" t="s">
        <v>2805</v>
      </c>
      <c r="G3243" s="49" t="s">
        <v>2776</v>
      </c>
      <c r="H3243" s="49" t="s">
        <v>973</v>
      </c>
      <c r="I3243" s="50">
        <v>45180</v>
      </c>
      <c r="M3243" s="49" t="s">
        <v>11876</v>
      </c>
    </row>
    <row r="3244" spans="1:13" x14ac:dyDescent="0.35">
      <c r="A3244" s="49" t="s">
        <v>11877</v>
      </c>
      <c r="B3244" s="49" t="s">
        <v>3075</v>
      </c>
      <c r="C3244" s="49" t="s">
        <v>11878</v>
      </c>
      <c r="D3244" s="49" t="s">
        <v>1264</v>
      </c>
      <c r="E3244" s="49" t="s">
        <v>2908</v>
      </c>
      <c r="F3244" s="49" t="s">
        <v>2837</v>
      </c>
      <c r="G3244" s="49" t="s">
        <v>4891</v>
      </c>
      <c r="H3244" s="49" t="s">
        <v>2827</v>
      </c>
      <c r="I3244" s="50">
        <v>45216</v>
      </c>
      <c r="M3244" s="49" t="s">
        <v>11879</v>
      </c>
    </row>
    <row r="3245" spans="1:13" x14ac:dyDescent="0.35">
      <c r="A3245" s="49" t="s">
        <v>11880</v>
      </c>
      <c r="B3245" s="49" t="s">
        <v>3021</v>
      </c>
      <c r="C3245" s="49" t="s">
        <v>11881</v>
      </c>
      <c r="D3245" s="49" t="s">
        <v>1264</v>
      </c>
      <c r="E3245" s="49" t="s">
        <v>2785</v>
      </c>
      <c r="F3245" s="49" t="s">
        <v>2805</v>
      </c>
      <c r="G3245" s="49" t="s">
        <v>2776</v>
      </c>
      <c r="H3245" s="49" t="s">
        <v>2832</v>
      </c>
      <c r="I3245" s="50">
        <v>45243</v>
      </c>
      <c r="M3245" s="49" t="s">
        <v>6709</v>
      </c>
    </row>
    <row r="3246" spans="1:13" x14ac:dyDescent="0.35">
      <c r="A3246" s="49" t="s">
        <v>11882</v>
      </c>
      <c r="B3246" s="49" t="s">
        <v>4262</v>
      </c>
      <c r="C3246" s="49" t="s">
        <v>5807</v>
      </c>
      <c r="D3246" s="49" t="s">
        <v>1264</v>
      </c>
      <c r="E3246" s="49" t="s">
        <v>2785</v>
      </c>
      <c r="F3246" s="49" t="s">
        <v>2805</v>
      </c>
      <c r="G3246" s="49" t="s">
        <v>2776</v>
      </c>
      <c r="H3246" s="49" t="s">
        <v>973</v>
      </c>
      <c r="I3246" s="50">
        <v>45281</v>
      </c>
      <c r="M3246" s="49" t="s">
        <v>11883</v>
      </c>
    </row>
    <row r="3247" spans="1:13" x14ac:dyDescent="0.35">
      <c r="A3247" s="49" t="s">
        <v>11884</v>
      </c>
      <c r="C3247" s="49" t="s">
        <v>5634</v>
      </c>
      <c r="D3247" s="49" t="s">
        <v>1264</v>
      </c>
      <c r="E3247" s="49" t="s">
        <v>3413</v>
      </c>
      <c r="F3247" s="49" t="s">
        <v>2825</v>
      </c>
      <c r="G3247" s="49" t="s">
        <v>2776</v>
      </c>
      <c r="H3247" s="49" t="s">
        <v>2827</v>
      </c>
      <c r="I3247" s="50">
        <v>45271</v>
      </c>
      <c r="M3247" s="49" t="s">
        <v>11885</v>
      </c>
    </row>
    <row r="3248" spans="1:13" x14ac:dyDescent="0.35">
      <c r="A3248" s="49" t="s">
        <v>11886</v>
      </c>
      <c r="B3248" s="49" t="s">
        <v>3933</v>
      </c>
      <c r="C3248" s="49" t="s">
        <v>5140</v>
      </c>
      <c r="D3248" s="49" t="s">
        <v>1264</v>
      </c>
      <c r="E3248" s="49" t="s">
        <v>2785</v>
      </c>
      <c r="F3248" s="49" t="s">
        <v>2786</v>
      </c>
      <c r="G3248" s="49" t="s">
        <v>4891</v>
      </c>
      <c r="H3248" s="49" t="s">
        <v>2827</v>
      </c>
      <c r="I3248" s="50">
        <v>45274</v>
      </c>
      <c r="M3248" s="49" t="s">
        <v>11887</v>
      </c>
    </row>
    <row r="3249" spans="1:13" x14ac:dyDescent="0.35">
      <c r="A3249" s="49" t="s">
        <v>11888</v>
      </c>
      <c r="B3249" s="49" t="s">
        <v>11889</v>
      </c>
      <c r="C3249" s="49" t="s">
        <v>5140</v>
      </c>
      <c r="D3249" s="49" t="s">
        <v>1264</v>
      </c>
      <c r="E3249" s="49" t="s">
        <v>2785</v>
      </c>
      <c r="F3249" s="49" t="s">
        <v>2786</v>
      </c>
      <c r="G3249" s="49" t="s">
        <v>4891</v>
      </c>
      <c r="H3249" s="49" t="s">
        <v>2827</v>
      </c>
      <c r="I3249" s="50">
        <v>45274</v>
      </c>
      <c r="M3249" s="49" t="s">
        <v>11890</v>
      </c>
    </row>
    <row r="3250" spans="1:13" x14ac:dyDescent="0.35">
      <c r="A3250" s="49" t="s">
        <v>11891</v>
      </c>
      <c r="C3250" s="49" t="s">
        <v>5822</v>
      </c>
      <c r="D3250" s="49" t="s">
        <v>1264</v>
      </c>
      <c r="E3250" s="49" t="s">
        <v>2908</v>
      </c>
      <c r="F3250" s="49" t="s">
        <v>2837</v>
      </c>
      <c r="G3250" s="49" t="s">
        <v>4891</v>
      </c>
      <c r="H3250" s="49" t="s">
        <v>2827</v>
      </c>
      <c r="I3250" s="50">
        <v>45295</v>
      </c>
      <c r="M3250" s="49" t="s">
        <v>11892</v>
      </c>
    </row>
    <row r="3251" spans="1:13" x14ac:dyDescent="0.35">
      <c r="A3251" s="49" t="s">
        <v>11893</v>
      </c>
      <c r="B3251" s="49" t="s">
        <v>11894</v>
      </c>
      <c r="C3251" s="49" t="s">
        <v>11895</v>
      </c>
      <c r="D3251" s="49" t="s">
        <v>1264</v>
      </c>
      <c r="E3251" s="49" t="s">
        <v>2986</v>
      </c>
      <c r="F3251" s="49" t="s">
        <v>2825</v>
      </c>
      <c r="G3251" s="49" t="s">
        <v>4891</v>
      </c>
      <c r="H3251" s="49" t="s">
        <v>2827</v>
      </c>
      <c r="I3251" s="50">
        <v>45258</v>
      </c>
      <c r="M3251" s="49" t="s">
        <v>11896</v>
      </c>
    </row>
    <row r="3252" spans="1:13" x14ac:dyDescent="0.35">
      <c r="A3252" s="49" t="s">
        <v>11897</v>
      </c>
      <c r="C3252" s="49" t="s">
        <v>11898</v>
      </c>
      <c r="D3252" s="49" t="s">
        <v>1264</v>
      </c>
      <c r="E3252" s="49" t="s">
        <v>2986</v>
      </c>
      <c r="F3252" s="49" t="s">
        <v>2825</v>
      </c>
      <c r="G3252" s="49" t="s">
        <v>2776</v>
      </c>
      <c r="H3252" s="49" t="s">
        <v>2827</v>
      </c>
      <c r="I3252" s="50">
        <v>45258</v>
      </c>
      <c r="M3252" s="49" t="s">
        <v>11279</v>
      </c>
    </row>
    <row r="3253" spans="1:13" x14ac:dyDescent="0.35">
      <c r="A3253" s="49" t="s">
        <v>11899</v>
      </c>
      <c r="C3253" s="49" t="s">
        <v>5607</v>
      </c>
      <c r="D3253" s="49" t="s">
        <v>1264</v>
      </c>
      <c r="E3253" s="49" t="s">
        <v>2774</v>
      </c>
      <c r="F3253" s="49" t="s">
        <v>2825</v>
      </c>
      <c r="G3253" s="49" t="s">
        <v>2776</v>
      </c>
      <c r="H3253" s="49" t="s">
        <v>2827</v>
      </c>
      <c r="I3253" s="50">
        <v>45296</v>
      </c>
      <c r="M3253" s="49" t="s">
        <v>11900</v>
      </c>
    </row>
    <row r="3254" spans="1:13" x14ac:dyDescent="0.35">
      <c r="A3254" s="49" t="s">
        <v>11901</v>
      </c>
      <c r="C3254" s="49" t="s">
        <v>5607</v>
      </c>
      <c r="D3254" s="49" t="s">
        <v>1264</v>
      </c>
      <c r="E3254" s="49" t="s">
        <v>2774</v>
      </c>
      <c r="F3254" s="49" t="s">
        <v>2825</v>
      </c>
      <c r="G3254" s="49" t="s">
        <v>2776</v>
      </c>
      <c r="H3254" s="49" t="s">
        <v>2827</v>
      </c>
      <c r="I3254" s="50">
        <v>45296</v>
      </c>
      <c r="M3254" s="49" t="s">
        <v>11902</v>
      </c>
    </row>
    <row r="3255" spans="1:13" x14ac:dyDescent="0.35">
      <c r="A3255" s="49" t="s">
        <v>11903</v>
      </c>
      <c r="B3255" s="49" t="s">
        <v>11904</v>
      </c>
      <c r="C3255" s="49" t="s">
        <v>3731</v>
      </c>
      <c r="D3255" s="49" t="s">
        <v>1264</v>
      </c>
      <c r="E3255" s="49" t="s">
        <v>2785</v>
      </c>
      <c r="F3255" s="49" t="s">
        <v>2786</v>
      </c>
      <c r="G3255" s="49" t="s">
        <v>2776</v>
      </c>
      <c r="H3255" s="49" t="s">
        <v>4225</v>
      </c>
      <c r="I3255" s="50">
        <v>45288</v>
      </c>
      <c r="M3255" s="49" t="s">
        <v>11905</v>
      </c>
    </row>
    <row r="3256" spans="1:13" x14ac:dyDescent="0.35">
      <c r="A3256" s="49" t="s">
        <v>11906</v>
      </c>
      <c r="C3256" s="49" t="s">
        <v>11907</v>
      </c>
      <c r="D3256" s="49" t="s">
        <v>1264</v>
      </c>
      <c r="E3256" s="49" t="s">
        <v>2986</v>
      </c>
      <c r="F3256" s="49" t="s">
        <v>2825</v>
      </c>
      <c r="G3256" s="49" t="s">
        <v>4891</v>
      </c>
      <c r="H3256" s="49" t="s">
        <v>973</v>
      </c>
      <c r="I3256" s="50">
        <v>45267</v>
      </c>
      <c r="M3256" s="49" t="s">
        <v>5051</v>
      </c>
    </row>
    <row r="3257" spans="1:13" x14ac:dyDescent="0.35">
      <c r="A3257" s="49" t="s">
        <v>11908</v>
      </c>
      <c r="B3257" s="49" t="s">
        <v>3135</v>
      </c>
      <c r="C3257" s="49" t="s">
        <v>4120</v>
      </c>
      <c r="D3257" s="49" t="s">
        <v>1264</v>
      </c>
      <c r="E3257" s="49" t="s">
        <v>2974</v>
      </c>
      <c r="F3257" s="49" t="s">
        <v>2825</v>
      </c>
      <c r="G3257" s="49" t="s">
        <v>4891</v>
      </c>
      <c r="H3257" s="49" t="s">
        <v>2827</v>
      </c>
      <c r="I3257" s="50">
        <v>45299</v>
      </c>
      <c r="M3257" s="49" t="s">
        <v>11909</v>
      </c>
    </row>
    <row r="3258" spans="1:13" x14ac:dyDescent="0.35">
      <c r="A3258" s="49" t="s">
        <v>11910</v>
      </c>
      <c r="B3258" s="49" t="s">
        <v>11911</v>
      </c>
      <c r="C3258" s="49" t="s">
        <v>4120</v>
      </c>
      <c r="D3258" s="49" t="s">
        <v>1264</v>
      </c>
      <c r="E3258" s="49" t="s">
        <v>2974</v>
      </c>
      <c r="F3258" s="49" t="s">
        <v>2825</v>
      </c>
      <c r="G3258" s="49" t="s">
        <v>4891</v>
      </c>
      <c r="H3258" s="49" t="s">
        <v>2827</v>
      </c>
      <c r="I3258" s="50">
        <v>45299</v>
      </c>
      <c r="M3258" s="49" t="s">
        <v>11912</v>
      </c>
    </row>
    <row r="3259" spans="1:13" x14ac:dyDescent="0.35">
      <c r="A3259" s="49" t="s">
        <v>11913</v>
      </c>
      <c r="B3259" s="49" t="s">
        <v>11914</v>
      </c>
      <c r="C3259" s="49" t="s">
        <v>11915</v>
      </c>
      <c r="D3259" s="49" t="s">
        <v>1264</v>
      </c>
      <c r="E3259" s="49" t="s">
        <v>2774</v>
      </c>
      <c r="F3259" s="49" t="s">
        <v>4842</v>
      </c>
      <c r="G3259" s="49" t="s">
        <v>4891</v>
      </c>
      <c r="H3259" s="49" t="s">
        <v>2827</v>
      </c>
      <c r="I3259" s="50">
        <v>45090</v>
      </c>
      <c r="M3259" s="49" t="s">
        <v>11916</v>
      </c>
    </row>
    <row r="3260" spans="1:13" x14ac:dyDescent="0.35">
      <c r="A3260" s="49" t="s">
        <v>11917</v>
      </c>
      <c r="B3260" s="49" t="s">
        <v>11918</v>
      </c>
      <c r="C3260" s="49" t="s">
        <v>11609</v>
      </c>
      <c r="D3260" s="49" t="s">
        <v>1264</v>
      </c>
      <c r="E3260" s="49" t="s">
        <v>2774</v>
      </c>
      <c r="F3260" s="49" t="s">
        <v>4842</v>
      </c>
      <c r="G3260" s="49" t="s">
        <v>2776</v>
      </c>
      <c r="H3260" s="49" t="s">
        <v>8</v>
      </c>
      <c r="I3260" s="50">
        <v>45299</v>
      </c>
      <c r="M3260" s="49" t="s">
        <v>11919</v>
      </c>
    </row>
    <row r="3261" spans="1:13" x14ac:dyDescent="0.35">
      <c r="A3261" s="49" t="s">
        <v>11920</v>
      </c>
      <c r="C3261" s="49" t="s">
        <v>6065</v>
      </c>
      <c r="D3261" s="49" t="s">
        <v>1264</v>
      </c>
      <c r="E3261" s="49" t="s">
        <v>2986</v>
      </c>
      <c r="F3261" s="49" t="s">
        <v>2825</v>
      </c>
      <c r="G3261" s="49" t="s">
        <v>2776</v>
      </c>
      <c r="H3261" s="49" t="s">
        <v>973</v>
      </c>
      <c r="I3261" s="50">
        <v>45287</v>
      </c>
      <c r="M3261" s="49" t="s">
        <v>11921</v>
      </c>
    </row>
    <row r="3262" spans="1:13" x14ac:dyDescent="0.35">
      <c r="A3262" s="49" t="s">
        <v>11922</v>
      </c>
      <c r="B3262" s="49" t="s">
        <v>11923</v>
      </c>
      <c r="C3262" s="49" t="s">
        <v>3835</v>
      </c>
      <c r="D3262" s="49" t="s">
        <v>1264</v>
      </c>
      <c r="E3262" s="49" t="s">
        <v>2986</v>
      </c>
      <c r="F3262" s="49" t="s">
        <v>2825</v>
      </c>
      <c r="G3262" s="49" t="s">
        <v>4891</v>
      </c>
      <c r="H3262" s="49" t="s">
        <v>2827</v>
      </c>
      <c r="I3262" s="50">
        <v>45287</v>
      </c>
      <c r="M3262" s="49" t="s">
        <v>3270</v>
      </c>
    </row>
    <row r="3263" spans="1:13" x14ac:dyDescent="0.35">
      <c r="A3263" s="49" t="s">
        <v>11924</v>
      </c>
      <c r="B3263" s="49" t="s">
        <v>6881</v>
      </c>
      <c r="C3263" s="49" t="s">
        <v>6310</v>
      </c>
      <c r="D3263" s="49" t="s">
        <v>1264</v>
      </c>
      <c r="E3263" s="49" t="s">
        <v>2785</v>
      </c>
      <c r="F3263" s="49" t="s">
        <v>3898</v>
      </c>
      <c r="G3263" s="49" t="s">
        <v>4891</v>
      </c>
      <c r="H3263" s="49" t="s">
        <v>2827</v>
      </c>
      <c r="I3263" s="50">
        <v>45302</v>
      </c>
      <c r="M3263" s="49" t="s">
        <v>11925</v>
      </c>
    </row>
    <row r="3264" spans="1:13" x14ac:dyDescent="0.35">
      <c r="A3264" s="49" t="s">
        <v>11926</v>
      </c>
      <c r="B3264" s="49" t="s">
        <v>5974</v>
      </c>
      <c r="C3264" s="49" t="s">
        <v>6334</v>
      </c>
      <c r="D3264" s="49" t="s">
        <v>1264</v>
      </c>
      <c r="E3264" s="49" t="s">
        <v>2785</v>
      </c>
      <c r="F3264" s="49" t="s">
        <v>2786</v>
      </c>
      <c r="G3264" s="49" t="s">
        <v>4891</v>
      </c>
      <c r="H3264" s="49" t="s">
        <v>980</v>
      </c>
      <c r="I3264" s="50">
        <v>45250</v>
      </c>
      <c r="M3264" s="49" t="s">
        <v>11927</v>
      </c>
    </row>
    <row r="3265" spans="1:13" x14ac:dyDescent="0.35">
      <c r="A3265" s="49" t="s">
        <v>11928</v>
      </c>
      <c r="C3265" s="49" t="s">
        <v>5095</v>
      </c>
      <c r="D3265" s="49" t="s">
        <v>1264</v>
      </c>
      <c r="E3265" s="49" t="s">
        <v>2814</v>
      </c>
      <c r="F3265" s="49" t="s">
        <v>3188</v>
      </c>
      <c r="G3265" s="49" t="s">
        <v>4891</v>
      </c>
      <c r="H3265" s="49" t="s">
        <v>973</v>
      </c>
      <c r="I3265" s="50">
        <v>45303</v>
      </c>
      <c r="M3265" s="49" t="s">
        <v>11929</v>
      </c>
    </row>
    <row r="3266" spans="1:13" x14ac:dyDescent="0.35">
      <c r="A3266" s="49" t="s">
        <v>11930</v>
      </c>
      <c r="C3266" s="49" t="s">
        <v>5095</v>
      </c>
      <c r="D3266" s="49" t="s">
        <v>1264</v>
      </c>
      <c r="E3266" s="49" t="s">
        <v>2774</v>
      </c>
      <c r="F3266" s="49" t="s">
        <v>4842</v>
      </c>
      <c r="G3266" s="49" t="s">
        <v>2776</v>
      </c>
      <c r="H3266" s="49" t="s">
        <v>2827</v>
      </c>
      <c r="I3266" s="50">
        <v>45303</v>
      </c>
      <c r="M3266" s="49" t="s">
        <v>11931</v>
      </c>
    </row>
    <row r="3267" spans="1:13" x14ac:dyDescent="0.35">
      <c r="A3267" s="49" t="s">
        <v>11932</v>
      </c>
      <c r="C3267" s="49" t="s">
        <v>11933</v>
      </c>
      <c r="D3267" s="49" t="s">
        <v>1264</v>
      </c>
      <c r="E3267" s="49" t="s">
        <v>2986</v>
      </c>
      <c r="F3267" s="49" t="s">
        <v>2825</v>
      </c>
      <c r="G3267" s="49" t="s">
        <v>4891</v>
      </c>
      <c r="H3267" s="49" t="s">
        <v>2827</v>
      </c>
      <c r="I3267" s="50">
        <v>45299</v>
      </c>
      <c r="M3267" s="49" t="s">
        <v>11934</v>
      </c>
    </row>
    <row r="3268" spans="1:13" x14ac:dyDescent="0.35">
      <c r="A3268" s="49" t="s">
        <v>11935</v>
      </c>
      <c r="B3268" s="49" t="s">
        <v>3615</v>
      </c>
      <c r="C3268" s="49" t="s">
        <v>6527</v>
      </c>
      <c r="D3268" s="49" t="s">
        <v>1264</v>
      </c>
      <c r="E3268" s="49" t="s">
        <v>2908</v>
      </c>
      <c r="F3268" s="49" t="s">
        <v>3010</v>
      </c>
      <c r="G3268" s="49" t="s">
        <v>2776</v>
      </c>
      <c r="H3268" s="49" t="s">
        <v>980</v>
      </c>
      <c r="I3268" s="50">
        <v>45299</v>
      </c>
      <c r="M3268" s="49" t="s">
        <v>11936</v>
      </c>
    </row>
    <row r="3269" spans="1:13" x14ac:dyDescent="0.35">
      <c r="A3269" s="49" t="s">
        <v>11937</v>
      </c>
      <c r="B3269" s="49" t="s">
        <v>11938</v>
      </c>
      <c r="C3269" s="49" t="s">
        <v>2804</v>
      </c>
      <c r="D3269" s="49" t="s">
        <v>1264</v>
      </c>
      <c r="E3269" s="49" t="s">
        <v>2785</v>
      </c>
      <c r="F3269" s="49" t="s">
        <v>2805</v>
      </c>
      <c r="G3269" s="49" t="s">
        <v>4891</v>
      </c>
      <c r="H3269" s="49" t="s">
        <v>1062</v>
      </c>
      <c r="I3269" s="50">
        <v>45301</v>
      </c>
      <c r="M3269" s="49" t="s">
        <v>11939</v>
      </c>
    </row>
    <row r="3270" spans="1:13" x14ac:dyDescent="0.35">
      <c r="A3270" s="49" t="s">
        <v>11940</v>
      </c>
      <c r="B3270" s="49" t="s">
        <v>4555</v>
      </c>
      <c r="C3270" s="49" t="s">
        <v>11941</v>
      </c>
      <c r="D3270" s="49" t="s">
        <v>1264</v>
      </c>
      <c r="E3270" s="49" t="s">
        <v>2908</v>
      </c>
      <c r="F3270" s="49" t="s">
        <v>2837</v>
      </c>
      <c r="G3270" s="49" t="s">
        <v>4891</v>
      </c>
      <c r="H3270" s="49" t="s">
        <v>980</v>
      </c>
      <c r="I3270" s="50">
        <v>45306</v>
      </c>
      <c r="M3270" s="49" t="s">
        <v>11942</v>
      </c>
    </row>
    <row r="3271" spans="1:13" x14ac:dyDescent="0.35">
      <c r="A3271" s="49" t="s">
        <v>11943</v>
      </c>
      <c r="C3271" s="49" t="s">
        <v>5843</v>
      </c>
      <c r="D3271" s="49" t="s">
        <v>1264</v>
      </c>
      <c r="E3271" s="49" t="s">
        <v>2986</v>
      </c>
      <c r="F3271" s="49" t="s">
        <v>2825</v>
      </c>
      <c r="G3271" s="49" t="s">
        <v>2776</v>
      </c>
      <c r="H3271" s="49" t="s">
        <v>2827</v>
      </c>
      <c r="I3271" s="50">
        <v>45278</v>
      </c>
      <c r="M3271" s="49" t="s">
        <v>3181</v>
      </c>
    </row>
    <row r="3272" spans="1:13" x14ac:dyDescent="0.35">
      <c r="A3272" s="49" t="s">
        <v>11944</v>
      </c>
      <c r="C3272" s="49" t="s">
        <v>4646</v>
      </c>
      <c r="D3272" s="49" t="s">
        <v>1264</v>
      </c>
      <c r="E3272" s="49" t="s">
        <v>2986</v>
      </c>
      <c r="F3272" s="49" t="s">
        <v>2825</v>
      </c>
      <c r="G3272" s="49" t="s">
        <v>4891</v>
      </c>
      <c r="H3272" s="49" t="s">
        <v>2827</v>
      </c>
      <c r="I3272" s="50">
        <v>45274</v>
      </c>
      <c r="M3272" s="49" t="s">
        <v>11945</v>
      </c>
    </row>
    <row r="3273" spans="1:13" x14ac:dyDescent="0.35">
      <c r="A3273" s="49" t="s">
        <v>11946</v>
      </c>
      <c r="C3273" s="49" t="s">
        <v>6537</v>
      </c>
      <c r="D3273" s="49" t="s">
        <v>1264</v>
      </c>
      <c r="E3273" s="49" t="s">
        <v>2974</v>
      </c>
      <c r="F3273" s="49" t="s">
        <v>3188</v>
      </c>
      <c r="G3273" s="49" t="s">
        <v>2776</v>
      </c>
      <c r="H3273" s="49" t="s">
        <v>973</v>
      </c>
      <c r="I3273" s="50">
        <v>45306</v>
      </c>
      <c r="M3273" s="49" t="s">
        <v>11947</v>
      </c>
    </row>
    <row r="3274" spans="1:13" x14ac:dyDescent="0.35">
      <c r="A3274" s="49" t="s">
        <v>11948</v>
      </c>
      <c r="C3274" s="49" t="s">
        <v>11949</v>
      </c>
      <c r="D3274" s="49" t="s">
        <v>1264</v>
      </c>
      <c r="E3274" s="49" t="s">
        <v>2986</v>
      </c>
      <c r="F3274" s="49" t="s">
        <v>2825</v>
      </c>
      <c r="G3274" s="49" t="s">
        <v>2776</v>
      </c>
      <c r="H3274" s="49" t="s">
        <v>2827</v>
      </c>
      <c r="I3274" s="50">
        <v>45280</v>
      </c>
      <c r="M3274" s="49" t="s">
        <v>11950</v>
      </c>
    </row>
    <row r="3275" spans="1:13" x14ac:dyDescent="0.35">
      <c r="A3275" s="49" t="s">
        <v>11951</v>
      </c>
      <c r="C3275" s="49" t="s">
        <v>11952</v>
      </c>
      <c r="D3275" s="49" t="s">
        <v>1264</v>
      </c>
      <c r="E3275" s="49" t="s">
        <v>2814</v>
      </c>
      <c r="F3275" s="49" t="s">
        <v>4842</v>
      </c>
      <c r="G3275" s="49" t="s">
        <v>2776</v>
      </c>
      <c r="H3275" s="49" t="s">
        <v>2827</v>
      </c>
      <c r="I3275" s="50">
        <v>45306</v>
      </c>
      <c r="M3275" s="49" t="s">
        <v>11953</v>
      </c>
    </row>
    <row r="3276" spans="1:13" x14ac:dyDescent="0.35">
      <c r="A3276" s="49" t="s">
        <v>11954</v>
      </c>
      <c r="B3276" s="49" t="s">
        <v>11955</v>
      </c>
      <c r="C3276" s="49" t="s">
        <v>11956</v>
      </c>
      <c r="D3276" s="49" t="s">
        <v>1264</v>
      </c>
      <c r="E3276" s="49" t="s">
        <v>2986</v>
      </c>
      <c r="F3276" s="49" t="s">
        <v>2825</v>
      </c>
      <c r="G3276" s="49" t="s">
        <v>2776</v>
      </c>
      <c r="H3276" s="49" t="s">
        <v>2827</v>
      </c>
      <c r="I3276" s="50">
        <v>45250</v>
      </c>
      <c r="M3276" s="49" t="s">
        <v>11957</v>
      </c>
    </row>
    <row r="3277" spans="1:13" x14ac:dyDescent="0.35">
      <c r="A3277" s="49" t="s">
        <v>11958</v>
      </c>
      <c r="B3277" s="49" t="s">
        <v>8383</v>
      </c>
      <c r="C3277" s="49" t="s">
        <v>11959</v>
      </c>
      <c r="D3277" s="49" t="s">
        <v>1264</v>
      </c>
      <c r="E3277" s="49" t="s">
        <v>2774</v>
      </c>
      <c r="F3277" s="49" t="s">
        <v>2825</v>
      </c>
      <c r="G3277" s="49" t="s">
        <v>4891</v>
      </c>
      <c r="H3277" s="49" t="s">
        <v>2827</v>
      </c>
      <c r="I3277" s="50">
        <v>45307</v>
      </c>
      <c r="M3277" s="49" t="s">
        <v>11960</v>
      </c>
    </row>
    <row r="3278" spans="1:13" x14ac:dyDescent="0.35">
      <c r="A3278" s="49" t="s">
        <v>11961</v>
      </c>
      <c r="C3278" s="49" t="s">
        <v>11962</v>
      </c>
      <c r="D3278" s="49" t="s">
        <v>1264</v>
      </c>
      <c r="E3278" s="49" t="s">
        <v>2774</v>
      </c>
      <c r="F3278" s="49" t="s">
        <v>4842</v>
      </c>
      <c r="G3278" s="49" t="s">
        <v>4891</v>
      </c>
      <c r="H3278" s="49" t="s">
        <v>973</v>
      </c>
      <c r="I3278" s="50">
        <v>45307</v>
      </c>
      <c r="M3278" s="49" t="s">
        <v>11963</v>
      </c>
    </row>
    <row r="3279" spans="1:13" x14ac:dyDescent="0.35">
      <c r="A3279" s="49" t="s">
        <v>11964</v>
      </c>
      <c r="B3279" s="49" t="s">
        <v>11965</v>
      </c>
      <c r="C3279" s="49" t="s">
        <v>11661</v>
      </c>
      <c r="D3279" s="49" t="s">
        <v>1264</v>
      </c>
      <c r="E3279" s="49" t="s">
        <v>2986</v>
      </c>
      <c r="F3279" s="49" t="s">
        <v>2825</v>
      </c>
      <c r="G3279" s="49" t="s">
        <v>2776</v>
      </c>
      <c r="H3279" s="49" t="s">
        <v>973</v>
      </c>
      <c r="I3279" s="50">
        <v>45258</v>
      </c>
      <c r="M3279" s="49" t="s">
        <v>11966</v>
      </c>
    </row>
    <row r="3280" spans="1:13" x14ac:dyDescent="0.35">
      <c r="A3280" s="49" t="s">
        <v>11967</v>
      </c>
      <c r="B3280" s="49" t="s">
        <v>11968</v>
      </c>
      <c r="C3280" s="49" t="s">
        <v>11969</v>
      </c>
      <c r="D3280" s="49" t="s">
        <v>1264</v>
      </c>
      <c r="E3280" s="49" t="s">
        <v>2908</v>
      </c>
      <c r="F3280" s="49" t="s">
        <v>2837</v>
      </c>
      <c r="G3280" s="49" t="s">
        <v>4891</v>
      </c>
      <c r="H3280" s="49" t="s">
        <v>973</v>
      </c>
      <c r="I3280" s="50">
        <v>45308</v>
      </c>
      <c r="M3280" s="49" t="s">
        <v>11970</v>
      </c>
    </row>
    <row r="3281" spans="1:13" x14ac:dyDescent="0.35">
      <c r="A3281" s="49" t="s">
        <v>11971</v>
      </c>
      <c r="B3281" s="49" t="s">
        <v>11874</v>
      </c>
      <c r="C3281" s="49" t="s">
        <v>5822</v>
      </c>
      <c r="D3281" s="49" t="s">
        <v>1264</v>
      </c>
      <c r="E3281" s="49" t="s">
        <v>2785</v>
      </c>
      <c r="F3281" s="49" t="s">
        <v>2805</v>
      </c>
      <c r="G3281" s="49" t="s">
        <v>4891</v>
      </c>
      <c r="H3281" s="49" t="s">
        <v>973</v>
      </c>
      <c r="I3281" s="50">
        <v>45279</v>
      </c>
      <c r="M3281" s="49" t="s">
        <v>11972</v>
      </c>
    </row>
    <row r="3282" spans="1:13" x14ac:dyDescent="0.35">
      <c r="A3282" s="49" t="s">
        <v>11973</v>
      </c>
      <c r="B3282" s="49" t="s">
        <v>11974</v>
      </c>
      <c r="C3282" s="49" t="s">
        <v>11975</v>
      </c>
      <c r="D3282" s="49" t="s">
        <v>1264</v>
      </c>
      <c r="E3282" s="49" t="s">
        <v>2785</v>
      </c>
      <c r="F3282" s="49" t="s">
        <v>2792</v>
      </c>
      <c r="G3282" s="49" t="s">
        <v>2826</v>
      </c>
      <c r="H3282" s="49" t="s">
        <v>980</v>
      </c>
      <c r="I3282" s="50">
        <v>45306</v>
      </c>
      <c r="M3282" s="49" t="s">
        <v>11976</v>
      </c>
    </row>
    <row r="3283" spans="1:13" x14ac:dyDescent="0.35">
      <c r="A3283" s="49" t="s">
        <v>11977</v>
      </c>
      <c r="B3283" s="49" t="s">
        <v>11978</v>
      </c>
      <c r="C3283" s="49" t="s">
        <v>11979</v>
      </c>
      <c r="D3283" s="49" t="s">
        <v>1264</v>
      </c>
      <c r="E3283" s="49" t="s">
        <v>2986</v>
      </c>
      <c r="F3283" s="49" t="s">
        <v>2825</v>
      </c>
      <c r="G3283" s="49" t="s">
        <v>4891</v>
      </c>
      <c r="H3283" s="49" t="s">
        <v>2827</v>
      </c>
      <c r="I3283" s="50">
        <v>45299</v>
      </c>
      <c r="M3283" s="49" t="s">
        <v>11980</v>
      </c>
    </row>
    <row r="3284" spans="1:13" x14ac:dyDescent="0.35">
      <c r="A3284" s="49" t="s">
        <v>11981</v>
      </c>
      <c r="B3284" s="49" t="s">
        <v>11982</v>
      </c>
      <c r="C3284" s="49" t="s">
        <v>11983</v>
      </c>
      <c r="D3284" s="49" t="s">
        <v>1264</v>
      </c>
      <c r="E3284" s="49" t="s">
        <v>2785</v>
      </c>
      <c r="F3284" s="49" t="s">
        <v>2805</v>
      </c>
      <c r="G3284" s="49" t="s">
        <v>2776</v>
      </c>
      <c r="H3284" s="49" t="s">
        <v>973</v>
      </c>
      <c r="I3284" s="50">
        <v>45307</v>
      </c>
      <c r="M3284" s="49" t="s">
        <v>11984</v>
      </c>
    </row>
    <row r="3285" spans="1:13" x14ac:dyDescent="0.35">
      <c r="A3285" s="49" t="s">
        <v>11985</v>
      </c>
      <c r="B3285" s="49" t="s">
        <v>4809</v>
      </c>
      <c r="C3285" s="49" t="s">
        <v>11949</v>
      </c>
      <c r="D3285" s="49" t="s">
        <v>1264</v>
      </c>
      <c r="E3285" s="49" t="s">
        <v>2986</v>
      </c>
      <c r="F3285" s="49" t="s">
        <v>2825</v>
      </c>
      <c r="G3285" s="49" t="s">
        <v>4891</v>
      </c>
      <c r="H3285" s="49" t="s">
        <v>2827</v>
      </c>
      <c r="I3285" s="50">
        <v>44934</v>
      </c>
      <c r="M3285" s="49" t="s">
        <v>11986</v>
      </c>
    </row>
    <row r="3286" spans="1:13" x14ac:dyDescent="0.35">
      <c r="A3286" s="49" t="s">
        <v>11987</v>
      </c>
      <c r="B3286" s="49" t="s">
        <v>4877</v>
      </c>
      <c r="C3286" s="49" t="s">
        <v>11949</v>
      </c>
      <c r="D3286" s="49" t="s">
        <v>1264</v>
      </c>
      <c r="E3286" s="49" t="s">
        <v>2986</v>
      </c>
      <c r="F3286" s="49" t="s">
        <v>2825</v>
      </c>
      <c r="G3286" s="49" t="s">
        <v>4891</v>
      </c>
      <c r="H3286" s="49" t="s">
        <v>2827</v>
      </c>
      <c r="I3286" s="50">
        <v>45299</v>
      </c>
      <c r="M3286" s="49" t="s">
        <v>11988</v>
      </c>
    </row>
    <row r="3287" spans="1:13" x14ac:dyDescent="0.35">
      <c r="A3287" s="49" t="s">
        <v>11989</v>
      </c>
      <c r="B3287" s="49" t="s">
        <v>11990</v>
      </c>
      <c r="C3287" s="49" t="s">
        <v>5240</v>
      </c>
      <c r="D3287" s="49" t="s">
        <v>1264</v>
      </c>
      <c r="E3287" s="49" t="s">
        <v>2785</v>
      </c>
      <c r="F3287" s="49" t="s">
        <v>2786</v>
      </c>
      <c r="G3287" s="49" t="s">
        <v>2776</v>
      </c>
      <c r="H3287" s="49" t="s">
        <v>4225</v>
      </c>
      <c r="I3287" s="50">
        <v>45278</v>
      </c>
      <c r="M3287" s="49" t="s">
        <v>11991</v>
      </c>
    </row>
    <row r="3288" spans="1:13" x14ac:dyDescent="0.35">
      <c r="A3288" s="49" t="s">
        <v>11992</v>
      </c>
      <c r="B3288" s="49" t="s">
        <v>11993</v>
      </c>
      <c r="C3288" s="49" t="s">
        <v>11409</v>
      </c>
      <c r="D3288" s="49" t="s">
        <v>1264</v>
      </c>
      <c r="E3288" s="49" t="s">
        <v>2908</v>
      </c>
      <c r="F3288" s="49" t="s">
        <v>2837</v>
      </c>
      <c r="G3288" s="49" t="s">
        <v>4891</v>
      </c>
      <c r="H3288" s="49" t="s">
        <v>980</v>
      </c>
      <c r="I3288" s="50">
        <v>45120</v>
      </c>
      <c r="M3288" s="49" t="s">
        <v>11994</v>
      </c>
    </row>
    <row r="3289" spans="1:13" x14ac:dyDescent="0.35">
      <c r="A3289" s="49" t="s">
        <v>11995</v>
      </c>
      <c r="B3289" s="49" t="s">
        <v>11996</v>
      </c>
      <c r="C3289" s="49" t="s">
        <v>11997</v>
      </c>
      <c r="D3289" s="49" t="s">
        <v>1264</v>
      </c>
      <c r="E3289" s="49" t="s">
        <v>2785</v>
      </c>
      <c r="F3289" s="49" t="s">
        <v>2792</v>
      </c>
      <c r="G3289" s="49" t="s">
        <v>4891</v>
      </c>
      <c r="H3289" s="49" t="s">
        <v>8</v>
      </c>
      <c r="I3289" s="50">
        <v>45313</v>
      </c>
      <c r="M3289" s="49" t="s">
        <v>11998</v>
      </c>
    </row>
    <row r="3290" spans="1:13" x14ac:dyDescent="0.35">
      <c r="A3290" s="49" t="s">
        <v>11999</v>
      </c>
      <c r="B3290" s="49" t="s">
        <v>12000</v>
      </c>
      <c r="C3290" s="49" t="s">
        <v>3835</v>
      </c>
      <c r="D3290" s="49" t="s">
        <v>1264</v>
      </c>
      <c r="E3290" s="49" t="s">
        <v>2986</v>
      </c>
      <c r="F3290" s="49" t="s">
        <v>2825</v>
      </c>
      <c r="G3290" s="49" t="s">
        <v>4891</v>
      </c>
      <c r="H3290" s="49" t="s">
        <v>2827</v>
      </c>
      <c r="I3290" s="50">
        <v>45289</v>
      </c>
      <c r="M3290" s="49" t="s">
        <v>5565</v>
      </c>
    </row>
    <row r="3291" spans="1:13" x14ac:dyDescent="0.35">
      <c r="A3291" s="49" t="s">
        <v>12001</v>
      </c>
      <c r="B3291" s="49" t="s">
        <v>12002</v>
      </c>
      <c r="C3291" s="49" t="s">
        <v>3835</v>
      </c>
      <c r="D3291" s="49" t="s">
        <v>1264</v>
      </c>
      <c r="E3291" s="49" t="s">
        <v>2986</v>
      </c>
      <c r="F3291" s="49" t="s">
        <v>2825</v>
      </c>
      <c r="G3291" s="49" t="s">
        <v>4891</v>
      </c>
      <c r="H3291" s="49" t="s">
        <v>2827</v>
      </c>
      <c r="I3291" s="50">
        <v>45289</v>
      </c>
      <c r="M3291" s="49" t="s">
        <v>3270</v>
      </c>
    </row>
    <row r="3292" spans="1:13" x14ac:dyDescent="0.35">
      <c r="A3292" s="49" t="s">
        <v>12003</v>
      </c>
      <c r="C3292" s="49" t="s">
        <v>12004</v>
      </c>
      <c r="D3292" s="49" t="s">
        <v>1264</v>
      </c>
      <c r="E3292" s="49" t="s">
        <v>2774</v>
      </c>
      <c r="F3292" s="49" t="s">
        <v>5254</v>
      </c>
      <c r="G3292" s="49" t="s">
        <v>4891</v>
      </c>
      <c r="H3292" s="49" t="s">
        <v>973</v>
      </c>
      <c r="I3292" s="50">
        <v>45314</v>
      </c>
      <c r="M3292" s="49" t="s">
        <v>12005</v>
      </c>
    </row>
    <row r="3293" spans="1:13" x14ac:dyDescent="0.35">
      <c r="A3293" s="49" t="s">
        <v>12006</v>
      </c>
      <c r="C3293" s="49" t="s">
        <v>3280</v>
      </c>
      <c r="D3293" s="49" t="s">
        <v>1264</v>
      </c>
      <c r="E3293" s="49" t="s">
        <v>4901</v>
      </c>
      <c r="F3293" s="49" t="s">
        <v>2837</v>
      </c>
      <c r="G3293" s="49" t="s">
        <v>2787</v>
      </c>
      <c r="H3293" s="49" t="s">
        <v>980</v>
      </c>
      <c r="I3293" s="50">
        <v>45314</v>
      </c>
      <c r="M3293" s="49" t="s">
        <v>12007</v>
      </c>
    </row>
    <row r="3294" spans="1:13" x14ac:dyDescent="0.35">
      <c r="A3294" s="49" t="s">
        <v>12008</v>
      </c>
      <c r="B3294" s="49" t="s">
        <v>6458</v>
      </c>
      <c r="C3294" s="49" t="s">
        <v>12009</v>
      </c>
      <c r="D3294" s="49" t="s">
        <v>1264</v>
      </c>
      <c r="E3294" s="49" t="s">
        <v>3443</v>
      </c>
      <c r="F3294" s="49" t="s">
        <v>3124</v>
      </c>
      <c r="G3294" s="49" t="s">
        <v>4891</v>
      </c>
      <c r="H3294" s="49" t="s">
        <v>980</v>
      </c>
      <c r="I3294" s="50">
        <v>45195</v>
      </c>
    </row>
    <row r="3295" spans="1:13" x14ac:dyDescent="0.35">
      <c r="A3295" s="49" t="s">
        <v>12010</v>
      </c>
      <c r="C3295" s="49" t="s">
        <v>4430</v>
      </c>
      <c r="D3295" s="49" t="s">
        <v>1264</v>
      </c>
      <c r="E3295" s="49" t="s">
        <v>2986</v>
      </c>
      <c r="F3295" s="49" t="s">
        <v>2825</v>
      </c>
      <c r="G3295" s="49" t="s">
        <v>4891</v>
      </c>
      <c r="H3295" s="49" t="s">
        <v>2827</v>
      </c>
      <c r="I3295" s="50">
        <v>45294</v>
      </c>
      <c r="M3295" s="49" t="s">
        <v>12011</v>
      </c>
    </row>
    <row r="3296" spans="1:13" x14ac:dyDescent="0.35">
      <c r="A3296" s="49" t="s">
        <v>12012</v>
      </c>
      <c r="B3296" s="49" t="s">
        <v>3768</v>
      </c>
      <c r="C3296" s="49" t="s">
        <v>6070</v>
      </c>
      <c r="D3296" s="49" t="s">
        <v>1264</v>
      </c>
      <c r="E3296" s="49" t="s">
        <v>3443</v>
      </c>
      <c r="F3296" s="49" t="s">
        <v>3124</v>
      </c>
      <c r="G3296" s="49" t="s">
        <v>4891</v>
      </c>
      <c r="H3296" s="49" t="s">
        <v>980</v>
      </c>
      <c r="I3296" s="50">
        <v>45237</v>
      </c>
    </row>
    <row r="3297" spans="1:13" x14ac:dyDescent="0.35">
      <c r="A3297" s="49" t="s">
        <v>12013</v>
      </c>
      <c r="C3297" s="49" t="s">
        <v>12014</v>
      </c>
      <c r="D3297" s="49" t="s">
        <v>1264</v>
      </c>
      <c r="E3297" s="49" t="s">
        <v>2986</v>
      </c>
      <c r="F3297" s="49" t="s">
        <v>2825</v>
      </c>
      <c r="G3297" s="49" t="s">
        <v>4891</v>
      </c>
      <c r="H3297" s="49" t="s">
        <v>2827</v>
      </c>
      <c r="I3297" s="50">
        <v>45299</v>
      </c>
      <c r="M3297" s="49" t="s">
        <v>5051</v>
      </c>
    </row>
    <row r="3298" spans="1:13" x14ac:dyDescent="0.35">
      <c r="A3298" s="49" t="s">
        <v>12015</v>
      </c>
      <c r="B3298" s="49" t="s">
        <v>8116</v>
      </c>
      <c r="C3298" s="49" t="s">
        <v>6495</v>
      </c>
      <c r="D3298" s="49" t="s">
        <v>1264</v>
      </c>
      <c r="E3298" s="49" t="s">
        <v>2785</v>
      </c>
      <c r="F3298" s="49" t="s">
        <v>2786</v>
      </c>
      <c r="G3298" s="49" t="s">
        <v>4891</v>
      </c>
      <c r="H3298" s="49" t="s">
        <v>980</v>
      </c>
      <c r="I3298" s="50">
        <v>45313</v>
      </c>
      <c r="M3298" s="49" t="s">
        <v>12016</v>
      </c>
    </row>
    <row r="3299" spans="1:13" x14ac:dyDescent="0.35">
      <c r="A3299" s="49" t="s">
        <v>12017</v>
      </c>
      <c r="B3299" s="49" t="s">
        <v>12018</v>
      </c>
      <c r="C3299" s="49" t="s">
        <v>5240</v>
      </c>
      <c r="D3299" s="49" t="s">
        <v>1264</v>
      </c>
      <c r="E3299" s="49" t="s">
        <v>2785</v>
      </c>
      <c r="F3299" s="49" t="s">
        <v>2792</v>
      </c>
      <c r="G3299" s="49" t="s">
        <v>4891</v>
      </c>
      <c r="H3299" s="49" t="s">
        <v>4225</v>
      </c>
      <c r="I3299" s="50">
        <v>45308</v>
      </c>
      <c r="M3299" s="49" t="s">
        <v>12019</v>
      </c>
    </row>
    <row r="3300" spans="1:13" x14ac:dyDescent="0.35">
      <c r="A3300" s="49" t="s">
        <v>12020</v>
      </c>
      <c r="B3300" s="49" t="s">
        <v>12021</v>
      </c>
      <c r="C3300" s="49" t="s">
        <v>4044</v>
      </c>
      <c r="D3300" s="49" t="s">
        <v>1264</v>
      </c>
      <c r="E3300" s="49" t="s">
        <v>2986</v>
      </c>
      <c r="F3300" s="49" t="s">
        <v>2825</v>
      </c>
      <c r="G3300" s="49" t="s">
        <v>4891</v>
      </c>
      <c r="H3300" s="49" t="s">
        <v>2827</v>
      </c>
      <c r="I3300" s="50">
        <v>45316</v>
      </c>
      <c r="M3300" s="49" t="s">
        <v>3270</v>
      </c>
    </row>
    <row r="3301" spans="1:13" x14ac:dyDescent="0.35">
      <c r="A3301" s="49" t="s">
        <v>12022</v>
      </c>
      <c r="C3301" s="49" t="s">
        <v>12023</v>
      </c>
      <c r="D3301" s="49" t="s">
        <v>1264</v>
      </c>
      <c r="E3301" s="49" t="s">
        <v>2986</v>
      </c>
      <c r="F3301" s="49" t="s">
        <v>2825</v>
      </c>
      <c r="G3301" s="49" t="s">
        <v>4891</v>
      </c>
      <c r="H3301" s="49" t="s">
        <v>2827</v>
      </c>
      <c r="I3301" s="50">
        <v>45316</v>
      </c>
    </row>
    <row r="3302" spans="1:13" x14ac:dyDescent="0.35">
      <c r="A3302" s="49" t="s">
        <v>12024</v>
      </c>
      <c r="C3302" s="49" t="s">
        <v>6331</v>
      </c>
      <c r="D3302" s="49" t="s">
        <v>1264</v>
      </c>
      <c r="E3302" s="49" t="s">
        <v>2814</v>
      </c>
      <c r="F3302" s="49" t="s">
        <v>2837</v>
      </c>
      <c r="G3302" s="49" t="s">
        <v>2776</v>
      </c>
      <c r="H3302" s="49" t="s">
        <v>980</v>
      </c>
      <c r="I3302" s="50">
        <v>45316</v>
      </c>
      <c r="M3302" s="49" t="s">
        <v>12025</v>
      </c>
    </row>
    <row r="3303" spans="1:13" x14ac:dyDescent="0.35">
      <c r="A3303" s="49" t="s">
        <v>12026</v>
      </c>
      <c r="C3303" s="49" t="s">
        <v>3342</v>
      </c>
      <c r="D3303" s="49" t="s">
        <v>1264</v>
      </c>
      <c r="E3303" s="49" t="s">
        <v>2986</v>
      </c>
      <c r="F3303" s="49" t="s">
        <v>2825</v>
      </c>
      <c r="G3303" s="49" t="s">
        <v>2776</v>
      </c>
      <c r="H3303" s="49" t="s">
        <v>2827</v>
      </c>
      <c r="I3303" s="50">
        <v>45306</v>
      </c>
      <c r="M3303" s="49" t="s">
        <v>12027</v>
      </c>
    </row>
    <row r="3304" spans="1:13" x14ac:dyDescent="0.35">
      <c r="A3304" s="49" t="s">
        <v>12028</v>
      </c>
      <c r="C3304" s="49" t="s">
        <v>12029</v>
      </c>
      <c r="D3304" s="49" t="s">
        <v>1264</v>
      </c>
      <c r="E3304" s="49" t="s">
        <v>2986</v>
      </c>
      <c r="F3304" s="49" t="s">
        <v>2825</v>
      </c>
      <c r="G3304" s="49" t="s">
        <v>2776</v>
      </c>
      <c r="H3304" s="49" t="s">
        <v>2827</v>
      </c>
      <c r="I3304" s="50">
        <v>45306</v>
      </c>
      <c r="M3304" s="49" t="s">
        <v>12030</v>
      </c>
    </row>
    <row r="3305" spans="1:13" x14ac:dyDescent="0.35">
      <c r="A3305" s="49" t="s">
        <v>12031</v>
      </c>
      <c r="B3305" s="49" t="s">
        <v>12032</v>
      </c>
      <c r="C3305" s="49" t="s">
        <v>4044</v>
      </c>
      <c r="D3305" s="49" t="s">
        <v>1264</v>
      </c>
      <c r="E3305" s="49" t="s">
        <v>2986</v>
      </c>
      <c r="F3305" s="49" t="s">
        <v>2825</v>
      </c>
      <c r="G3305" s="49" t="s">
        <v>4891</v>
      </c>
      <c r="H3305" s="49" t="s">
        <v>2827</v>
      </c>
      <c r="I3305" s="50">
        <v>45316</v>
      </c>
      <c r="M3305" s="49" t="s">
        <v>12033</v>
      </c>
    </row>
    <row r="3306" spans="1:13" x14ac:dyDescent="0.35">
      <c r="A3306" s="49" t="s">
        <v>12034</v>
      </c>
      <c r="C3306" s="49" t="s">
        <v>11952</v>
      </c>
      <c r="D3306" s="49" t="s">
        <v>1264</v>
      </c>
      <c r="E3306" s="49" t="s">
        <v>2986</v>
      </c>
      <c r="F3306" s="49" t="s">
        <v>2825</v>
      </c>
      <c r="G3306" s="49" t="s">
        <v>4891</v>
      </c>
      <c r="H3306" s="49" t="s">
        <v>2827</v>
      </c>
      <c r="I3306" s="50">
        <v>45302</v>
      </c>
      <c r="M3306" s="49" t="s">
        <v>12035</v>
      </c>
    </row>
    <row r="3307" spans="1:13" x14ac:dyDescent="0.35">
      <c r="A3307" s="49" t="s">
        <v>12036</v>
      </c>
      <c r="C3307" s="49" t="s">
        <v>3680</v>
      </c>
      <c r="D3307" s="49" t="s">
        <v>1264</v>
      </c>
      <c r="E3307" s="49" t="s">
        <v>2986</v>
      </c>
      <c r="F3307" s="49" t="s">
        <v>2825</v>
      </c>
      <c r="G3307" s="49" t="s">
        <v>2776</v>
      </c>
      <c r="H3307" s="49" t="s">
        <v>2827</v>
      </c>
      <c r="I3307" s="50">
        <v>45294</v>
      </c>
      <c r="M3307" s="49" t="s">
        <v>3682</v>
      </c>
    </row>
    <row r="3308" spans="1:13" x14ac:dyDescent="0.35">
      <c r="A3308" s="49" t="s">
        <v>12037</v>
      </c>
      <c r="B3308" s="49" t="s">
        <v>3962</v>
      </c>
      <c r="C3308" s="49" t="s">
        <v>12038</v>
      </c>
      <c r="D3308" s="49" t="s">
        <v>1264</v>
      </c>
      <c r="E3308" s="49" t="s">
        <v>2785</v>
      </c>
      <c r="F3308" s="49" t="s">
        <v>2792</v>
      </c>
      <c r="G3308" s="49" t="s">
        <v>2776</v>
      </c>
      <c r="H3308" s="49" t="s">
        <v>980</v>
      </c>
      <c r="I3308" s="50">
        <v>45119</v>
      </c>
      <c r="M3308" s="49" t="s">
        <v>6081</v>
      </c>
    </row>
    <row r="3309" spans="1:13" x14ac:dyDescent="0.35">
      <c r="A3309" s="49" t="s">
        <v>12039</v>
      </c>
      <c r="B3309" s="49" t="s">
        <v>12040</v>
      </c>
      <c r="C3309" s="49" t="s">
        <v>12041</v>
      </c>
      <c r="D3309" s="49" t="s">
        <v>1264</v>
      </c>
      <c r="E3309" s="49" t="s">
        <v>2986</v>
      </c>
      <c r="F3309" s="49" t="s">
        <v>2825</v>
      </c>
      <c r="G3309" s="49" t="s">
        <v>4891</v>
      </c>
      <c r="H3309" s="49" t="s">
        <v>8</v>
      </c>
      <c r="I3309" s="50">
        <v>45303</v>
      </c>
      <c r="M3309" s="49" t="s">
        <v>12042</v>
      </c>
    </row>
    <row r="3310" spans="1:13" x14ac:dyDescent="0.35">
      <c r="A3310" s="49" t="s">
        <v>12043</v>
      </c>
      <c r="B3310" s="49" t="s">
        <v>12044</v>
      </c>
      <c r="C3310" s="49" t="s">
        <v>12045</v>
      </c>
      <c r="D3310" s="49" t="s">
        <v>1264</v>
      </c>
      <c r="E3310" s="49" t="s">
        <v>2774</v>
      </c>
      <c r="F3310" s="49" t="s">
        <v>2900</v>
      </c>
      <c r="G3310" s="49" t="s">
        <v>4891</v>
      </c>
      <c r="H3310" s="49" t="s">
        <v>2832</v>
      </c>
      <c r="I3310" s="50">
        <v>45327</v>
      </c>
      <c r="M3310" s="49" t="s">
        <v>12046</v>
      </c>
    </row>
    <row r="3311" spans="1:13" x14ac:dyDescent="0.35">
      <c r="A3311" s="49" t="s">
        <v>12047</v>
      </c>
      <c r="B3311" s="49" t="s">
        <v>5810</v>
      </c>
      <c r="C3311" s="49" t="s">
        <v>12048</v>
      </c>
      <c r="D3311" s="49" t="s">
        <v>1264</v>
      </c>
      <c r="E3311" s="49" t="s">
        <v>2785</v>
      </c>
      <c r="F3311" s="49" t="s">
        <v>4611</v>
      </c>
      <c r="G3311" s="49" t="s">
        <v>4891</v>
      </c>
      <c r="H3311" s="49" t="s">
        <v>980</v>
      </c>
      <c r="I3311" s="50">
        <v>45320</v>
      </c>
      <c r="M3311" s="49" t="s">
        <v>12049</v>
      </c>
    </row>
    <row r="3312" spans="1:13" x14ac:dyDescent="0.35">
      <c r="A3312" s="49" t="s">
        <v>12050</v>
      </c>
      <c r="B3312" s="49" t="s">
        <v>12051</v>
      </c>
      <c r="C3312" s="49" t="s">
        <v>3970</v>
      </c>
      <c r="D3312" s="49" t="s">
        <v>1264</v>
      </c>
      <c r="E3312" s="49" t="s">
        <v>2986</v>
      </c>
      <c r="F3312" s="49" t="s">
        <v>2825</v>
      </c>
      <c r="G3312" s="49" t="s">
        <v>4891</v>
      </c>
      <c r="H3312" s="49" t="s">
        <v>2827</v>
      </c>
      <c r="I3312" s="50">
        <v>45302</v>
      </c>
      <c r="M3312" s="49" t="s">
        <v>12052</v>
      </c>
    </row>
    <row r="3313" spans="1:13" x14ac:dyDescent="0.35">
      <c r="A3313" s="49" t="s">
        <v>12053</v>
      </c>
      <c r="C3313" s="49" t="s">
        <v>5843</v>
      </c>
      <c r="D3313" s="49" t="s">
        <v>1264</v>
      </c>
      <c r="E3313" s="49" t="s">
        <v>2986</v>
      </c>
      <c r="F3313" s="49" t="s">
        <v>2825</v>
      </c>
      <c r="G3313" s="49" t="s">
        <v>2776</v>
      </c>
      <c r="H3313" s="49" t="s">
        <v>2827</v>
      </c>
      <c r="I3313" s="50">
        <v>45289</v>
      </c>
      <c r="M3313" s="49" t="s">
        <v>3270</v>
      </c>
    </row>
    <row r="3314" spans="1:13" x14ac:dyDescent="0.35">
      <c r="A3314" s="49" t="s">
        <v>12054</v>
      </c>
      <c r="C3314" s="49" t="s">
        <v>6065</v>
      </c>
      <c r="D3314" s="49" t="s">
        <v>1264</v>
      </c>
      <c r="E3314" s="49" t="s">
        <v>2986</v>
      </c>
      <c r="F3314" s="49" t="s">
        <v>2825</v>
      </c>
      <c r="G3314" s="49" t="s">
        <v>2776</v>
      </c>
      <c r="H3314" s="49" t="s">
        <v>973</v>
      </c>
      <c r="I3314" s="50">
        <v>45655</v>
      </c>
      <c r="M3314" s="49" t="s">
        <v>12055</v>
      </c>
    </row>
    <row r="3315" spans="1:13" x14ac:dyDescent="0.35">
      <c r="A3315" s="49" t="s">
        <v>12056</v>
      </c>
      <c r="B3315" s="49" t="s">
        <v>11804</v>
      </c>
      <c r="C3315" s="49" t="s">
        <v>11805</v>
      </c>
      <c r="D3315" s="49" t="s">
        <v>1264</v>
      </c>
      <c r="E3315" s="49" t="s">
        <v>2986</v>
      </c>
      <c r="F3315" s="49" t="s">
        <v>2825</v>
      </c>
      <c r="G3315" s="49" t="s">
        <v>4891</v>
      </c>
      <c r="H3315" s="49" t="s">
        <v>2827</v>
      </c>
      <c r="I3315" s="50">
        <v>45302</v>
      </c>
      <c r="M3315" s="49" t="s">
        <v>12057</v>
      </c>
    </row>
    <row r="3316" spans="1:13" x14ac:dyDescent="0.35">
      <c r="A3316" s="49" t="s">
        <v>12058</v>
      </c>
      <c r="B3316" s="49" t="s">
        <v>12059</v>
      </c>
      <c r="C3316" s="49" t="s">
        <v>6912</v>
      </c>
      <c r="D3316" s="49" t="s">
        <v>1264</v>
      </c>
      <c r="E3316" s="49" t="s">
        <v>2785</v>
      </c>
      <c r="F3316" s="49" t="s">
        <v>4048</v>
      </c>
      <c r="G3316" s="49" t="s">
        <v>4891</v>
      </c>
      <c r="H3316" s="49" t="s">
        <v>973</v>
      </c>
      <c r="I3316" s="50">
        <v>45328</v>
      </c>
      <c r="M3316" s="49" t="s">
        <v>12060</v>
      </c>
    </row>
    <row r="3317" spans="1:13" x14ac:dyDescent="0.35">
      <c r="A3317" s="49" t="s">
        <v>12061</v>
      </c>
      <c r="B3317" s="49" t="s">
        <v>3626</v>
      </c>
      <c r="C3317" s="49" t="s">
        <v>12062</v>
      </c>
      <c r="D3317" s="49" t="s">
        <v>1264</v>
      </c>
      <c r="E3317" s="49" t="s">
        <v>2785</v>
      </c>
      <c r="F3317" s="49" t="s">
        <v>3898</v>
      </c>
      <c r="G3317" s="49" t="s">
        <v>4891</v>
      </c>
      <c r="H3317" s="49" t="s">
        <v>2827</v>
      </c>
      <c r="I3317" s="50">
        <v>45328</v>
      </c>
      <c r="M3317" s="49" t="s">
        <v>12063</v>
      </c>
    </row>
    <row r="3318" spans="1:13" x14ac:dyDescent="0.35">
      <c r="A3318" s="49" t="s">
        <v>12064</v>
      </c>
      <c r="B3318" s="49" t="s">
        <v>12065</v>
      </c>
      <c r="C3318" s="49" t="s">
        <v>12066</v>
      </c>
      <c r="D3318" s="49" t="s">
        <v>1264</v>
      </c>
      <c r="E3318" s="49" t="s">
        <v>2908</v>
      </c>
      <c r="F3318" s="49" t="s">
        <v>2837</v>
      </c>
      <c r="G3318" s="49" t="s">
        <v>4891</v>
      </c>
      <c r="H3318" s="49" t="s">
        <v>980</v>
      </c>
      <c r="I3318" s="50">
        <v>45321</v>
      </c>
      <c r="M3318" s="49" t="s">
        <v>12067</v>
      </c>
    </row>
    <row r="3319" spans="1:13" x14ac:dyDescent="0.35">
      <c r="A3319" s="49" t="s">
        <v>12068</v>
      </c>
      <c r="B3319" s="49" t="s">
        <v>4555</v>
      </c>
      <c r="C3319" s="49" t="s">
        <v>12069</v>
      </c>
      <c r="D3319" s="49" t="s">
        <v>1264</v>
      </c>
      <c r="E3319" s="49" t="s">
        <v>2908</v>
      </c>
      <c r="F3319" s="49" t="s">
        <v>2837</v>
      </c>
      <c r="G3319" s="49" t="s">
        <v>4891</v>
      </c>
      <c r="H3319" s="49" t="s">
        <v>980</v>
      </c>
      <c r="I3319" s="50">
        <v>45324</v>
      </c>
      <c r="M3319" s="49" t="s">
        <v>12070</v>
      </c>
    </row>
    <row r="3320" spans="1:13" x14ac:dyDescent="0.35">
      <c r="A3320" s="49" t="s">
        <v>12071</v>
      </c>
      <c r="B3320" s="49" t="s">
        <v>12072</v>
      </c>
      <c r="C3320" s="49" t="s">
        <v>4922</v>
      </c>
      <c r="D3320" s="49" t="s">
        <v>1264</v>
      </c>
      <c r="E3320" s="49" t="s">
        <v>2785</v>
      </c>
      <c r="F3320" s="49" t="s">
        <v>2792</v>
      </c>
      <c r="G3320" s="49" t="s">
        <v>4891</v>
      </c>
      <c r="H3320" s="49" t="s">
        <v>835</v>
      </c>
      <c r="I3320" s="50">
        <v>45322</v>
      </c>
      <c r="M3320" s="49" t="s">
        <v>12073</v>
      </c>
    </row>
    <row r="3321" spans="1:13" x14ac:dyDescent="0.35">
      <c r="A3321" s="49" t="s">
        <v>12074</v>
      </c>
      <c r="C3321" s="49" t="s">
        <v>6530</v>
      </c>
      <c r="D3321" s="49" t="s">
        <v>1264</v>
      </c>
      <c r="E3321" s="49" t="s">
        <v>2986</v>
      </c>
      <c r="F3321" s="49" t="s">
        <v>2825</v>
      </c>
      <c r="G3321" s="49" t="s">
        <v>2776</v>
      </c>
      <c r="H3321" s="49" t="s">
        <v>2827</v>
      </c>
      <c r="I3321" s="50">
        <v>45327</v>
      </c>
      <c r="M3321" s="49" t="s">
        <v>12075</v>
      </c>
    </row>
    <row r="3322" spans="1:13" x14ac:dyDescent="0.35">
      <c r="A3322" s="49" t="s">
        <v>12076</v>
      </c>
      <c r="C3322" s="49" t="s">
        <v>2836</v>
      </c>
      <c r="D3322" s="49" t="s">
        <v>1264</v>
      </c>
      <c r="E3322" s="49" t="s">
        <v>2814</v>
      </c>
      <c r="F3322" s="49" t="s">
        <v>2837</v>
      </c>
      <c r="G3322" s="49" t="s">
        <v>2776</v>
      </c>
      <c r="H3322" s="49" t="s">
        <v>980</v>
      </c>
      <c r="I3322" s="50">
        <v>45330</v>
      </c>
      <c r="M3322" s="49" t="s">
        <v>12077</v>
      </c>
    </row>
    <row r="3323" spans="1:13" x14ac:dyDescent="0.35">
      <c r="A3323" s="49" t="s">
        <v>12078</v>
      </c>
      <c r="C3323" s="49" t="s">
        <v>4623</v>
      </c>
      <c r="D3323" s="49" t="s">
        <v>1264</v>
      </c>
      <c r="E3323" s="49" t="s">
        <v>2986</v>
      </c>
      <c r="F3323" s="49" t="s">
        <v>2825</v>
      </c>
      <c r="G3323" s="49" t="s">
        <v>4891</v>
      </c>
      <c r="H3323" s="49" t="s">
        <v>2827</v>
      </c>
      <c r="I3323" s="50">
        <v>45323</v>
      </c>
      <c r="M3323" s="49" t="s">
        <v>12079</v>
      </c>
    </row>
    <row r="3324" spans="1:13" x14ac:dyDescent="0.35">
      <c r="A3324" s="49" t="s">
        <v>12080</v>
      </c>
      <c r="C3324" s="49" t="s">
        <v>5807</v>
      </c>
      <c r="D3324" s="49" t="s">
        <v>1264</v>
      </c>
      <c r="E3324" s="49" t="s">
        <v>2774</v>
      </c>
      <c r="F3324" s="49" t="s">
        <v>4842</v>
      </c>
      <c r="G3324" s="49" t="s">
        <v>4891</v>
      </c>
      <c r="H3324" s="49" t="s">
        <v>2827</v>
      </c>
      <c r="I3324" s="50">
        <v>45330</v>
      </c>
      <c r="M3324" s="49" t="s">
        <v>12081</v>
      </c>
    </row>
    <row r="3325" spans="1:13" x14ac:dyDescent="0.35">
      <c r="A3325" s="49" t="s">
        <v>12082</v>
      </c>
      <c r="B3325" s="49" t="s">
        <v>12083</v>
      </c>
      <c r="C3325" s="49" t="s">
        <v>8670</v>
      </c>
      <c r="D3325" s="49" t="s">
        <v>1264</v>
      </c>
      <c r="E3325" s="49" t="s">
        <v>2986</v>
      </c>
      <c r="F3325" s="49" t="s">
        <v>2825</v>
      </c>
      <c r="G3325" s="49" t="s">
        <v>4891</v>
      </c>
      <c r="H3325" s="49" t="s">
        <v>2827</v>
      </c>
      <c r="I3325" s="50">
        <v>44959</v>
      </c>
      <c r="M3325" s="49" t="s">
        <v>5565</v>
      </c>
    </row>
    <row r="3326" spans="1:13" x14ac:dyDescent="0.35">
      <c r="A3326" s="49" t="s">
        <v>12084</v>
      </c>
      <c r="C3326" s="49" t="s">
        <v>11941</v>
      </c>
      <c r="D3326" s="49" t="s">
        <v>1264</v>
      </c>
      <c r="E3326" s="49" t="s">
        <v>2814</v>
      </c>
      <c r="F3326" s="49" t="s">
        <v>3188</v>
      </c>
      <c r="G3326" s="49" t="s">
        <v>2776</v>
      </c>
      <c r="H3326" s="49" t="s">
        <v>973</v>
      </c>
      <c r="I3326" s="50">
        <v>45330</v>
      </c>
      <c r="M3326" s="49" t="s">
        <v>12085</v>
      </c>
    </row>
    <row r="3327" spans="1:13" x14ac:dyDescent="0.35">
      <c r="A3327" s="49" t="s">
        <v>12086</v>
      </c>
      <c r="B3327" s="49" t="s">
        <v>3768</v>
      </c>
      <c r="C3327" s="49" t="s">
        <v>4430</v>
      </c>
      <c r="D3327" s="49" t="s">
        <v>1264</v>
      </c>
      <c r="E3327" s="49" t="s">
        <v>3443</v>
      </c>
      <c r="F3327" s="49" t="s">
        <v>3124</v>
      </c>
      <c r="G3327" s="49" t="s">
        <v>4891</v>
      </c>
      <c r="H3327" s="49" t="s">
        <v>980</v>
      </c>
      <c r="I3327" s="50">
        <v>45318</v>
      </c>
    </row>
    <row r="3328" spans="1:13" x14ac:dyDescent="0.35">
      <c r="A3328" s="49" t="s">
        <v>12087</v>
      </c>
      <c r="C3328" s="49" t="s">
        <v>6636</v>
      </c>
      <c r="D3328" s="49" t="s">
        <v>1264</v>
      </c>
      <c r="E3328" s="49" t="s">
        <v>2814</v>
      </c>
      <c r="F3328" s="49" t="s">
        <v>5254</v>
      </c>
      <c r="G3328" s="49" t="s">
        <v>4891</v>
      </c>
      <c r="H3328" s="49" t="s">
        <v>2827</v>
      </c>
      <c r="I3328" s="50">
        <v>45334</v>
      </c>
      <c r="M3328" s="49" t="s">
        <v>12088</v>
      </c>
    </row>
    <row r="3329" spans="1:13" x14ac:dyDescent="0.35">
      <c r="A3329" s="49" t="s">
        <v>12089</v>
      </c>
      <c r="B3329" s="49" t="s">
        <v>12090</v>
      </c>
      <c r="C3329" s="49" t="s">
        <v>12091</v>
      </c>
      <c r="D3329" s="49" t="s">
        <v>1264</v>
      </c>
      <c r="E3329" s="49" t="s">
        <v>2986</v>
      </c>
      <c r="F3329" s="49" t="s">
        <v>2825</v>
      </c>
      <c r="G3329" s="49" t="s">
        <v>4891</v>
      </c>
      <c r="H3329" s="49" t="s">
        <v>2827</v>
      </c>
      <c r="I3329" s="50">
        <v>45303</v>
      </c>
      <c r="M3329" s="49" t="s">
        <v>3270</v>
      </c>
    </row>
    <row r="3330" spans="1:13" x14ac:dyDescent="0.35">
      <c r="A3330" s="49" t="s">
        <v>12092</v>
      </c>
      <c r="B3330" s="49" t="s">
        <v>12093</v>
      </c>
      <c r="C3330" s="49" t="s">
        <v>4044</v>
      </c>
      <c r="D3330" s="49" t="s">
        <v>1264</v>
      </c>
      <c r="E3330" s="49" t="s">
        <v>2986</v>
      </c>
      <c r="F3330" s="49" t="s">
        <v>2825</v>
      </c>
      <c r="G3330" s="49" t="s">
        <v>4891</v>
      </c>
      <c r="H3330" s="49" t="s">
        <v>2827</v>
      </c>
      <c r="I3330" s="50">
        <v>45316</v>
      </c>
      <c r="M3330" s="49" t="s">
        <v>4854</v>
      </c>
    </row>
    <row r="3331" spans="1:13" x14ac:dyDescent="0.35">
      <c r="A3331" s="49" t="s">
        <v>12094</v>
      </c>
      <c r="B3331" s="49" t="s">
        <v>4817</v>
      </c>
      <c r="C3331" s="49" t="s">
        <v>6543</v>
      </c>
      <c r="D3331" s="49" t="s">
        <v>1264</v>
      </c>
      <c r="E3331" s="49" t="s">
        <v>2986</v>
      </c>
      <c r="F3331" s="49" t="s">
        <v>2825</v>
      </c>
      <c r="G3331" s="49" t="s">
        <v>2776</v>
      </c>
      <c r="H3331" s="49" t="s">
        <v>2827</v>
      </c>
      <c r="I3331" s="50">
        <v>45324</v>
      </c>
      <c r="M3331" s="49" t="s">
        <v>12095</v>
      </c>
    </row>
    <row r="3332" spans="1:13" x14ac:dyDescent="0.35">
      <c r="A3332" s="49" t="s">
        <v>12096</v>
      </c>
      <c r="B3332" s="49" t="s">
        <v>12097</v>
      </c>
      <c r="C3332" s="49" t="s">
        <v>6543</v>
      </c>
      <c r="D3332" s="49" t="s">
        <v>1264</v>
      </c>
      <c r="E3332" s="49" t="s">
        <v>2986</v>
      </c>
      <c r="F3332" s="49" t="s">
        <v>2825</v>
      </c>
      <c r="G3332" s="49" t="s">
        <v>2776</v>
      </c>
      <c r="H3332" s="49" t="s">
        <v>2827</v>
      </c>
      <c r="I3332" s="50">
        <v>45324</v>
      </c>
      <c r="M3332" s="49" t="s">
        <v>12098</v>
      </c>
    </row>
    <row r="3333" spans="1:13" x14ac:dyDescent="0.35">
      <c r="A3333" s="49" t="s">
        <v>12099</v>
      </c>
      <c r="B3333" s="49" t="s">
        <v>12100</v>
      </c>
      <c r="C3333" s="49" t="s">
        <v>6543</v>
      </c>
      <c r="D3333" s="49" t="s">
        <v>1264</v>
      </c>
      <c r="E3333" s="49" t="s">
        <v>2986</v>
      </c>
      <c r="F3333" s="49" t="s">
        <v>2825</v>
      </c>
      <c r="G3333" s="49" t="s">
        <v>2776</v>
      </c>
      <c r="H3333" s="49" t="s">
        <v>2827</v>
      </c>
      <c r="I3333" s="50">
        <v>45324</v>
      </c>
      <c r="M3333" s="49" t="s">
        <v>12101</v>
      </c>
    </row>
    <row r="3334" spans="1:13" x14ac:dyDescent="0.35">
      <c r="A3334" s="49" t="s">
        <v>12102</v>
      </c>
      <c r="B3334" s="49" t="s">
        <v>12103</v>
      </c>
      <c r="C3334" s="49" t="s">
        <v>4310</v>
      </c>
      <c r="D3334" s="49" t="s">
        <v>1264</v>
      </c>
      <c r="E3334" s="49" t="s">
        <v>2974</v>
      </c>
      <c r="F3334" s="49" t="s">
        <v>2825</v>
      </c>
      <c r="G3334" s="49" t="s">
        <v>2776</v>
      </c>
      <c r="H3334" s="49" t="s">
        <v>2827</v>
      </c>
      <c r="I3334" s="50">
        <v>45336</v>
      </c>
      <c r="M3334" s="49" t="s">
        <v>3455</v>
      </c>
    </row>
    <row r="3335" spans="1:13" x14ac:dyDescent="0.35">
      <c r="A3335" s="49" t="s">
        <v>12104</v>
      </c>
      <c r="B3335" s="49" t="s">
        <v>12105</v>
      </c>
      <c r="C3335" s="49" t="s">
        <v>4200</v>
      </c>
      <c r="D3335" s="49" t="s">
        <v>1264</v>
      </c>
      <c r="E3335" s="49" t="s">
        <v>2785</v>
      </c>
      <c r="F3335" s="49" t="s">
        <v>2786</v>
      </c>
      <c r="G3335" s="49" t="s">
        <v>4891</v>
      </c>
      <c r="H3335" s="49" t="s">
        <v>3229</v>
      </c>
      <c r="I3335" s="50">
        <v>45313</v>
      </c>
      <c r="M3335" s="49" t="s">
        <v>12106</v>
      </c>
    </row>
    <row r="3336" spans="1:13" x14ac:dyDescent="0.35">
      <c r="A3336" s="49" t="s">
        <v>12107</v>
      </c>
      <c r="C3336" s="49" t="s">
        <v>6341</v>
      </c>
      <c r="D3336" s="49" t="s">
        <v>1264</v>
      </c>
      <c r="E3336" s="49" t="s">
        <v>2908</v>
      </c>
      <c r="F3336" s="49" t="s">
        <v>2837</v>
      </c>
      <c r="G3336" s="49" t="s">
        <v>4891</v>
      </c>
      <c r="H3336" s="49" t="s">
        <v>980</v>
      </c>
      <c r="I3336" s="50">
        <v>45306</v>
      </c>
      <c r="M3336" s="49" t="s">
        <v>12108</v>
      </c>
    </row>
    <row r="3337" spans="1:13" x14ac:dyDescent="0.35">
      <c r="A3337" s="49" t="s">
        <v>12109</v>
      </c>
      <c r="B3337" s="49" t="s">
        <v>12110</v>
      </c>
      <c r="C3337" s="49" t="s">
        <v>12111</v>
      </c>
      <c r="D3337" s="49" t="s">
        <v>1264</v>
      </c>
      <c r="E3337" s="49" t="s">
        <v>2814</v>
      </c>
      <c r="F3337" s="49" t="s">
        <v>2825</v>
      </c>
      <c r="G3337" s="49" t="s">
        <v>2776</v>
      </c>
      <c r="H3337" s="49" t="s">
        <v>2827</v>
      </c>
      <c r="I3337" s="50">
        <v>45337</v>
      </c>
      <c r="M3337" s="49" t="s">
        <v>12112</v>
      </c>
    </row>
    <row r="3338" spans="1:13" x14ac:dyDescent="0.35">
      <c r="A3338" s="49" t="s">
        <v>12113</v>
      </c>
      <c r="C3338" s="49" t="s">
        <v>3087</v>
      </c>
      <c r="D3338" s="49" t="s">
        <v>1264</v>
      </c>
      <c r="E3338" s="49" t="s">
        <v>2908</v>
      </c>
      <c r="F3338" s="49" t="s">
        <v>2837</v>
      </c>
      <c r="G3338" s="49" t="s">
        <v>4891</v>
      </c>
      <c r="H3338" s="49" t="s">
        <v>980</v>
      </c>
      <c r="I3338" s="50">
        <v>45306</v>
      </c>
      <c r="M3338" s="49" t="s">
        <v>12114</v>
      </c>
    </row>
    <row r="3339" spans="1:13" x14ac:dyDescent="0.35">
      <c r="A3339" s="49" t="s">
        <v>12115</v>
      </c>
      <c r="B3339" s="49" t="s">
        <v>8116</v>
      </c>
      <c r="C3339" s="49" t="s">
        <v>5240</v>
      </c>
      <c r="D3339" s="49" t="s">
        <v>1264</v>
      </c>
      <c r="E3339" s="49" t="s">
        <v>2785</v>
      </c>
      <c r="F3339" s="49" t="s">
        <v>2786</v>
      </c>
      <c r="G3339" s="49" t="s">
        <v>4891</v>
      </c>
      <c r="H3339" s="49" t="s">
        <v>980</v>
      </c>
      <c r="I3339" s="50">
        <v>45336</v>
      </c>
      <c r="M3339" s="49" t="s">
        <v>12116</v>
      </c>
    </row>
    <row r="3340" spans="1:13" x14ac:dyDescent="0.35">
      <c r="A3340" s="49" t="s">
        <v>12117</v>
      </c>
      <c r="C3340" s="49" t="s">
        <v>12118</v>
      </c>
      <c r="D3340" s="49" t="s">
        <v>1264</v>
      </c>
      <c r="E3340" s="49" t="s">
        <v>2986</v>
      </c>
      <c r="F3340" s="49" t="s">
        <v>2825</v>
      </c>
      <c r="G3340" s="49" t="s">
        <v>4891</v>
      </c>
      <c r="H3340" s="49" t="s">
        <v>2827</v>
      </c>
      <c r="I3340" s="50">
        <v>45328</v>
      </c>
      <c r="M3340" s="49" t="s">
        <v>12119</v>
      </c>
    </row>
    <row r="3341" spans="1:13" x14ac:dyDescent="0.35">
      <c r="A3341" s="49" t="s">
        <v>12120</v>
      </c>
      <c r="B3341" s="49" t="s">
        <v>12121</v>
      </c>
      <c r="C3341" s="49" t="s">
        <v>3970</v>
      </c>
      <c r="D3341" s="49" t="s">
        <v>1264</v>
      </c>
      <c r="E3341" s="49" t="s">
        <v>2986</v>
      </c>
      <c r="F3341" s="49" t="s">
        <v>2825</v>
      </c>
      <c r="G3341" s="49" t="s">
        <v>4891</v>
      </c>
      <c r="H3341" s="49" t="s">
        <v>2827</v>
      </c>
      <c r="I3341" s="50">
        <v>45302</v>
      </c>
      <c r="M3341" s="49" t="s">
        <v>12122</v>
      </c>
    </row>
    <row r="3342" spans="1:13" x14ac:dyDescent="0.35">
      <c r="A3342" s="49" t="s">
        <v>12123</v>
      </c>
      <c r="B3342" s="49" t="s">
        <v>6573</v>
      </c>
      <c r="C3342" s="49" t="s">
        <v>12124</v>
      </c>
      <c r="D3342" s="49" t="s">
        <v>1264</v>
      </c>
      <c r="E3342" s="49" t="s">
        <v>2785</v>
      </c>
      <c r="F3342" s="49" t="s">
        <v>2786</v>
      </c>
      <c r="G3342" s="49" t="s">
        <v>2776</v>
      </c>
      <c r="H3342" s="49" t="s">
        <v>980</v>
      </c>
      <c r="I3342" s="50">
        <v>44962</v>
      </c>
      <c r="M3342" s="49" t="s">
        <v>12125</v>
      </c>
    </row>
    <row r="3343" spans="1:13" x14ac:dyDescent="0.35">
      <c r="A3343" s="49" t="s">
        <v>12126</v>
      </c>
      <c r="B3343" s="49" t="s">
        <v>12127</v>
      </c>
      <c r="C3343" s="49" t="s">
        <v>12128</v>
      </c>
      <c r="D3343" s="49" t="s">
        <v>1264</v>
      </c>
      <c r="E3343" s="49" t="s">
        <v>2986</v>
      </c>
      <c r="F3343" s="49" t="s">
        <v>2825</v>
      </c>
      <c r="G3343" s="49" t="s">
        <v>4891</v>
      </c>
      <c r="H3343" s="49" t="s">
        <v>2827</v>
      </c>
      <c r="I3343" s="50">
        <v>45324</v>
      </c>
      <c r="M3343" s="49" t="s">
        <v>12129</v>
      </c>
    </row>
    <row r="3344" spans="1:13" x14ac:dyDescent="0.35">
      <c r="A3344" s="49" t="s">
        <v>12130</v>
      </c>
      <c r="B3344" s="49" t="s">
        <v>3461</v>
      </c>
      <c r="C3344" s="49" t="s">
        <v>12131</v>
      </c>
      <c r="D3344" s="49" t="s">
        <v>1264</v>
      </c>
      <c r="E3344" s="49" t="s">
        <v>2873</v>
      </c>
      <c r="F3344" s="49" t="s">
        <v>2786</v>
      </c>
      <c r="G3344" s="49" t="s">
        <v>2776</v>
      </c>
      <c r="H3344" s="49" t="s">
        <v>980</v>
      </c>
      <c r="I3344" s="50">
        <v>45314</v>
      </c>
      <c r="M3344" s="49" t="s">
        <v>12132</v>
      </c>
    </row>
    <row r="3345" spans="1:13" x14ac:dyDescent="0.35">
      <c r="A3345" s="49" t="s">
        <v>12133</v>
      </c>
      <c r="B3345" s="49" t="s">
        <v>12134</v>
      </c>
      <c r="C3345" s="49" t="s">
        <v>4161</v>
      </c>
      <c r="D3345" s="49" t="s">
        <v>1264</v>
      </c>
      <c r="E3345" s="49" t="s">
        <v>2785</v>
      </c>
      <c r="F3345" s="49" t="s">
        <v>2786</v>
      </c>
      <c r="G3345" s="49" t="s">
        <v>2776</v>
      </c>
      <c r="H3345" s="49" t="s">
        <v>2827</v>
      </c>
      <c r="I3345" s="50">
        <v>45342</v>
      </c>
      <c r="M3345" s="49" t="s">
        <v>12135</v>
      </c>
    </row>
    <row r="3346" spans="1:13" x14ac:dyDescent="0.35">
      <c r="A3346" s="49" t="s">
        <v>12136</v>
      </c>
      <c r="C3346" s="49" t="s">
        <v>12137</v>
      </c>
      <c r="D3346" s="49" t="s">
        <v>1264</v>
      </c>
      <c r="E3346" s="49" t="s">
        <v>2774</v>
      </c>
      <c r="F3346" s="49" t="s">
        <v>2825</v>
      </c>
      <c r="G3346" s="49" t="s">
        <v>4891</v>
      </c>
      <c r="H3346" s="49" t="s">
        <v>2827</v>
      </c>
      <c r="I3346" s="50">
        <v>45344</v>
      </c>
      <c r="M3346" s="49" t="s">
        <v>12138</v>
      </c>
    </row>
    <row r="3347" spans="1:13" x14ac:dyDescent="0.35">
      <c r="A3347" s="49" t="s">
        <v>12139</v>
      </c>
      <c r="B3347" s="49" t="s">
        <v>4497</v>
      </c>
      <c r="C3347" s="49" t="s">
        <v>12140</v>
      </c>
      <c r="D3347" s="49" t="s">
        <v>1264</v>
      </c>
      <c r="E3347" s="49" t="s">
        <v>2785</v>
      </c>
      <c r="F3347" s="49" t="s">
        <v>2792</v>
      </c>
      <c r="G3347" s="49" t="s">
        <v>4891</v>
      </c>
      <c r="H3347" s="49" t="s">
        <v>980</v>
      </c>
      <c r="I3347" s="50">
        <v>45345</v>
      </c>
      <c r="M3347" s="49" t="s">
        <v>12141</v>
      </c>
    </row>
    <row r="3348" spans="1:13" x14ac:dyDescent="0.35">
      <c r="A3348" s="49" t="s">
        <v>12142</v>
      </c>
      <c r="B3348" s="49" t="s">
        <v>12143</v>
      </c>
      <c r="C3348" s="49" t="s">
        <v>12144</v>
      </c>
      <c r="D3348" s="49" t="s">
        <v>1264</v>
      </c>
      <c r="E3348" s="49" t="s">
        <v>2908</v>
      </c>
      <c r="F3348" s="49" t="s">
        <v>3648</v>
      </c>
      <c r="G3348" s="49" t="s">
        <v>4891</v>
      </c>
      <c r="H3348" s="49" t="s">
        <v>980</v>
      </c>
      <c r="I3348" s="50">
        <v>45272</v>
      </c>
      <c r="M3348" s="49" t="s">
        <v>12145</v>
      </c>
    </row>
    <row r="3349" spans="1:13" x14ac:dyDescent="0.35">
      <c r="A3349" s="49" t="s">
        <v>12146</v>
      </c>
      <c r="C3349" s="49" t="s">
        <v>11962</v>
      </c>
      <c r="D3349" s="49" t="s">
        <v>1264</v>
      </c>
      <c r="E3349" s="49" t="s">
        <v>2986</v>
      </c>
      <c r="F3349" s="49" t="s">
        <v>2825</v>
      </c>
      <c r="G3349" s="49" t="s">
        <v>2776</v>
      </c>
      <c r="H3349" s="49" t="s">
        <v>2827</v>
      </c>
      <c r="I3349" s="50">
        <v>45348</v>
      </c>
      <c r="M3349" s="49" t="s">
        <v>12147</v>
      </c>
    </row>
    <row r="3350" spans="1:13" x14ac:dyDescent="0.35">
      <c r="A3350" s="49" t="s">
        <v>12148</v>
      </c>
      <c r="C3350" s="49" t="s">
        <v>5641</v>
      </c>
      <c r="D3350" s="49" t="s">
        <v>1264</v>
      </c>
      <c r="E3350" s="49" t="s">
        <v>2814</v>
      </c>
      <c r="F3350" s="49" t="s">
        <v>2837</v>
      </c>
      <c r="G3350" s="49" t="s">
        <v>2826</v>
      </c>
      <c r="H3350" s="49" t="s">
        <v>980</v>
      </c>
      <c r="I3350" s="50">
        <v>45348</v>
      </c>
      <c r="M3350" s="49" t="s">
        <v>8040</v>
      </c>
    </row>
    <row r="3351" spans="1:13" x14ac:dyDescent="0.35">
      <c r="A3351" s="49" t="s">
        <v>12149</v>
      </c>
      <c r="B3351" s="49" t="s">
        <v>12150</v>
      </c>
      <c r="C3351" s="49" t="s">
        <v>12151</v>
      </c>
      <c r="D3351" s="49" t="s">
        <v>1264</v>
      </c>
      <c r="E3351" s="49" t="s">
        <v>2986</v>
      </c>
      <c r="F3351" s="49" t="s">
        <v>2825</v>
      </c>
      <c r="G3351" s="49" t="s">
        <v>4891</v>
      </c>
      <c r="H3351" s="49" t="s">
        <v>2827</v>
      </c>
      <c r="I3351" s="50">
        <v>45331</v>
      </c>
      <c r="M3351" s="49" t="s">
        <v>12152</v>
      </c>
    </row>
    <row r="3352" spans="1:13" x14ac:dyDescent="0.35">
      <c r="A3352" s="49" t="s">
        <v>12153</v>
      </c>
      <c r="B3352" s="49" t="s">
        <v>12150</v>
      </c>
      <c r="C3352" s="49" t="s">
        <v>12154</v>
      </c>
      <c r="D3352" s="49" t="s">
        <v>1264</v>
      </c>
      <c r="E3352" s="49" t="s">
        <v>2986</v>
      </c>
      <c r="F3352" s="49" t="s">
        <v>2825</v>
      </c>
      <c r="G3352" s="49" t="s">
        <v>4891</v>
      </c>
      <c r="H3352" s="49" t="s">
        <v>2827</v>
      </c>
      <c r="I3352" s="50">
        <v>45331</v>
      </c>
      <c r="M3352" s="49" t="s">
        <v>5241</v>
      </c>
    </row>
    <row r="3353" spans="1:13" x14ac:dyDescent="0.35">
      <c r="A3353" s="49" t="s">
        <v>12155</v>
      </c>
      <c r="B3353" s="49" t="s">
        <v>2818</v>
      </c>
      <c r="C3353" s="49" t="s">
        <v>5337</v>
      </c>
      <c r="D3353" s="49" t="s">
        <v>1264</v>
      </c>
      <c r="E3353" s="49" t="s">
        <v>2908</v>
      </c>
      <c r="F3353" s="49" t="s">
        <v>2792</v>
      </c>
      <c r="G3353" s="49" t="s">
        <v>4891</v>
      </c>
      <c r="H3353" s="49" t="s">
        <v>8</v>
      </c>
      <c r="I3353" s="50">
        <v>45348</v>
      </c>
      <c r="M3353" s="49" t="s">
        <v>12156</v>
      </c>
    </row>
    <row r="3354" spans="1:13" x14ac:dyDescent="0.35">
      <c r="A3354" s="49" t="s">
        <v>12157</v>
      </c>
      <c r="B3354" s="49" t="s">
        <v>12158</v>
      </c>
      <c r="C3354" s="49" t="s">
        <v>6953</v>
      </c>
      <c r="D3354" s="49" t="s">
        <v>1264</v>
      </c>
      <c r="E3354" s="49" t="s">
        <v>2908</v>
      </c>
      <c r="F3354" s="49" t="s">
        <v>2837</v>
      </c>
      <c r="G3354" s="49" t="s">
        <v>4891</v>
      </c>
      <c r="H3354" s="49" t="s">
        <v>2827</v>
      </c>
      <c r="I3354" s="50">
        <v>45348</v>
      </c>
      <c r="M3354" s="49" t="s">
        <v>12159</v>
      </c>
    </row>
    <row r="3355" spans="1:13" x14ac:dyDescent="0.35">
      <c r="A3355" s="49" t="s">
        <v>12160</v>
      </c>
      <c r="C3355" s="49" t="s">
        <v>5601</v>
      </c>
      <c r="D3355" s="49" t="s">
        <v>1264</v>
      </c>
      <c r="E3355" s="49" t="s">
        <v>2974</v>
      </c>
      <c r="F3355" s="49" t="s">
        <v>2825</v>
      </c>
      <c r="G3355" s="49" t="s">
        <v>2776</v>
      </c>
      <c r="H3355" s="49" t="s">
        <v>2827</v>
      </c>
      <c r="I3355" s="50">
        <v>45348</v>
      </c>
      <c r="M3355" s="49" t="s">
        <v>12161</v>
      </c>
    </row>
    <row r="3356" spans="1:13" x14ac:dyDescent="0.35">
      <c r="A3356" s="49" t="s">
        <v>12162</v>
      </c>
      <c r="C3356" s="49" t="s">
        <v>5601</v>
      </c>
      <c r="D3356" s="49" t="s">
        <v>1264</v>
      </c>
      <c r="E3356" s="49" t="s">
        <v>2986</v>
      </c>
      <c r="F3356" s="49" t="s">
        <v>2825</v>
      </c>
      <c r="G3356" s="49" t="s">
        <v>4891</v>
      </c>
      <c r="H3356" s="49" t="s">
        <v>973</v>
      </c>
      <c r="I3356" s="50">
        <v>45342</v>
      </c>
      <c r="M3356" s="49" t="s">
        <v>12163</v>
      </c>
    </row>
    <row r="3357" spans="1:13" x14ac:dyDescent="0.35">
      <c r="A3357" s="49" t="s">
        <v>12164</v>
      </c>
      <c r="C3357" s="49" t="s">
        <v>12165</v>
      </c>
      <c r="D3357" s="49" t="s">
        <v>1264</v>
      </c>
      <c r="E3357" s="49" t="s">
        <v>2986</v>
      </c>
      <c r="F3357" s="49" t="s">
        <v>2825</v>
      </c>
      <c r="G3357" s="49" t="s">
        <v>4891</v>
      </c>
      <c r="H3357" s="49" t="s">
        <v>2827</v>
      </c>
      <c r="I3357" s="50">
        <v>45343</v>
      </c>
      <c r="M3357" s="49" t="s">
        <v>12166</v>
      </c>
    </row>
    <row r="3358" spans="1:13" x14ac:dyDescent="0.35">
      <c r="A3358" s="49" t="s">
        <v>12167</v>
      </c>
      <c r="C3358" s="49" t="s">
        <v>5572</v>
      </c>
      <c r="D3358" s="49" t="s">
        <v>1264</v>
      </c>
      <c r="E3358" s="49" t="s">
        <v>2986</v>
      </c>
      <c r="F3358" s="49" t="s">
        <v>2825</v>
      </c>
      <c r="G3358" s="49" t="s">
        <v>4891</v>
      </c>
      <c r="H3358" s="49" t="s">
        <v>973</v>
      </c>
      <c r="I3358" s="50">
        <v>45331</v>
      </c>
      <c r="M3358" s="49" t="s">
        <v>12168</v>
      </c>
    </row>
    <row r="3359" spans="1:13" x14ac:dyDescent="0.35">
      <c r="A3359" s="49" t="s">
        <v>12169</v>
      </c>
      <c r="C3359" s="49" t="s">
        <v>12170</v>
      </c>
      <c r="D3359" s="49" t="s">
        <v>1264</v>
      </c>
      <c r="E3359" s="49" t="s">
        <v>2986</v>
      </c>
      <c r="F3359" s="49" t="s">
        <v>2825</v>
      </c>
      <c r="G3359" s="49" t="s">
        <v>4891</v>
      </c>
      <c r="H3359" s="49" t="s">
        <v>2827</v>
      </c>
      <c r="I3359" s="50">
        <v>45349</v>
      </c>
      <c r="M3359" s="49" t="s">
        <v>12171</v>
      </c>
    </row>
    <row r="3360" spans="1:13" x14ac:dyDescent="0.35">
      <c r="A3360" s="49" t="s">
        <v>12172</v>
      </c>
      <c r="C3360" s="49" t="s">
        <v>12173</v>
      </c>
      <c r="D3360" s="49" t="s">
        <v>1264</v>
      </c>
      <c r="E3360" s="49" t="s">
        <v>2814</v>
      </c>
      <c r="F3360" s="49" t="s">
        <v>2825</v>
      </c>
      <c r="G3360" s="49" t="s">
        <v>2776</v>
      </c>
      <c r="H3360" s="49" t="s">
        <v>2827</v>
      </c>
      <c r="I3360" s="50">
        <v>45348</v>
      </c>
      <c r="M3360" s="49" t="s">
        <v>12174</v>
      </c>
    </row>
    <row r="3361" spans="1:13" x14ac:dyDescent="0.35">
      <c r="A3361" s="49" t="s">
        <v>12175</v>
      </c>
      <c r="B3361" s="49" t="s">
        <v>12176</v>
      </c>
      <c r="C3361" s="49" t="s">
        <v>5463</v>
      </c>
      <c r="D3361" s="49" t="s">
        <v>1264</v>
      </c>
      <c r="E3361" s="49" t="s">
        <v>2986</v>
      </c>
      <c r="F3361" s="49" t="s">
        <v>2825</v>
      </c>
      <c r="G3361" s="49" t="s">
        <v>4891</v>
      </c>
      <c r="H3361" s="49" t="s">
        <v>2827</v>
      </c>
      <c r="I3361" s="50">
        <v>45310</v>
      </c>
      <c r="M3361" s="49" t="s">
        <v>12177</v>
      </c>
    </row>
    <row r="3362" spans="1:13" x14ac:dyDescent="0.35">
      <c r="A3362" s="49" t="s">
        <v>12178</v>
      </c>
      <c r="B3362" s="49" t="s">
        <v>12179</v>
      </c>
      <c r="C3362" s="49" t="s">
        <v>12180</v>
      </c>
      <c r="D3362" s="49" t="s">
        <v>1264</v>
      </c>
      <c r="E3362" s="49" t="s">
        <v>2785</v>
      </c>
      <c r="F3362" s="49" t="s">
        <v>2792</v>
      </c>
      <c r="G3362" s="49" t="s">
        <v>4891</v>
      </c>
      <c r="H3362" s="49" t="s">
        <v>8</v>
      </c>
      <c r="I3362" s="50">
        <v>45350</v>
      </c>
      <c r="M3362" s="49" t="s">
        <v>12181</v>
      </c>
    </row>
    <row r="3363" spans="1:13" x14ac:dyDescent="0.35">
      <c r="A3363" s="49" t="s">
        <v>12182</v>
      </c>
      <c r="B3363" s="49" t="s">
        <v>12183</v>
      </c>
      <c r="C3363" s="49" t="s">
        <v>12184</v>
      </c>
      <c r="D3363" s="49" t="s">
        <v>1264</v>
      </c>
      <c r="E3363" s="49" t="s">
        <v>2986</v>
      </c>
      <c r="F3363" s="49" t="s">
        <v>2825</v>
      </c>
      <c r="G3363" s="49" t="s">
        <v>4891</v>
      </c>
      <c r="H3363" s="49" t="s">
        <v>2827</v>
      </c>
      <c r="I3363" s="50">
        <v>45351</v>
      </c>
      <c r="M3363" s="49" t="s">
        <v>12185</v>
      </c>
    </row>
    <row r="3364" spans="1:13" x14ac:dyDescent="0.35">
      <c r="A3364" s="49" t="s">
        <v>12186</v>
      </c>
      <c r="B3364" s="49" t="s">
        <v>12187</v>
      </c>
      <c r="C3364" s="49" t="s">
        <v>3680</v>
      </c>
      <c r="D3364" s="49" t="s">
        <v>1264</v>
      </c>
      <c r="E3364" s="49" t="s">
        <v>2986</v>
      </c>
      <c r="F3364" s="49" t="s">
        <v>2825</v>
      </c>
      <c r="G3364" s="49" t="s">
        <v>2776</v>
      </c>
      <c r="H3364" s="49" t="s">
        <v>2827</v>
      </c>
      <c r="I3364" s="50">
        <v>45335</v>
      </c>
      <c r="M3364" s="49" t="s">
        <v>3682</v>
      </c>
    </row>
    <row r="3365" spans="1:13" x14ac:dyDescent="0.35">
      <c r="A3365" s="49" t="s">
        <v>12188</v>
      </c>
      <c r="B3365" s="49" t="s">
        <v>12189</v>
      </c>
      <c r="C3365" s="49" t="s">
        <v>12184</v>
      </c>
      <c r="D3365" s="49" t="s">
        <v>1264</v>
      </c>
      <c r="E3365" s="49" t="s">
        <v>2986</v>
      </c>
      <c r="F3365" s="49" t="s">
        <v>2825</v>
      </c>
      <c r="G3365" s="49" t="s">
        <v>4891</v>
      </c>
      <c r="H3365" s="49" t="s">
        <v>2827</v>
      </c>
      <c r="I3365" s="50">
        <v>45352</v>
      </c>
      <c r="M3365" s="49" t="s">
        <v>12190</v>
      </c>
    </row>
    <row r="3366" spans="1:13" x14ac:dyDescent="0.35">
      <c r="A3366" s="49" t="s">
        <v>12191</v>
      </c>
      <c r="C3366" s="49" t="s">
        <v>6267</v>
      </c>
      <c r="D3366" s="49" t="s">
        <v>1264</v>
      </c>
      <c r="E3366" s="49" t="s">
        <v>2986</v>
      </c>
      <c r="F3366" s="49" t="s">
        <v>2825</v>
      </c>
      <c r="G3366" s="49" t="s">
        <v>4891</v>
      </c>
      <c r="H3366" s="49" t="s">
        <v>2827</v>
      </c>
      <c r="I3366" s="50">
        <v>45303</v>
      </c>
      <c r="M3366" s="49" t="s">
        <v>12192</v>
      </c>
    </row>
    <row r="3367" spans="1:13" x14ac:dyDescent="0.35">
      <c r="A3367" s="49" t="s">
        <v>12193</v>
      </c>
      <c r="B3367" s="49" t="s">
        <v>4809</v>
      </c>
      <c r="C3367" s="49" t="s">
        <v>6543</v>
      </c>
      <c r="D3367" s="49" t="s">
        <v>1264</v>
      </c>
      <c r="E3367" s="49" t="s">
        <v>2986</v>
      </c>
      <c r="F3367" s="49" t="s">
        <v>2825</v>
      </c>
      <c r="G3367" s="49" t="s">
        <v>2776</v>
      </c>
      <c r="H3367" s="49" t="s">
        <v>2827</v>
      </c>
      <c r="I3367" s="50">
        <v>45324</v>
      </c>
      <c r="M3367" s="49" t="s">
        <v>12194</v>
      </c>
    </row>
    <row r="3368" spans="1:13" x14ac:dyDescent="0.35">
      <c r="A3368" s="49" t="s">
        <v>12195</v>
      </c>
      <c r="C3368" s="49" t="s">
        <v>12023</v>
      </c>
      <c r="D3368" s="49" t="s">
        <v>1264</v>
      </c>
      <c r="E3368" s="49" t="s">
        <v>2986</v>
      </c>
      <c r="F3368" s="49" t="s">
        <v>2825</v>
      </c>
      <c r="G3368" s="49" t="s">
        <v>4891</v>
      </c>
      <c r="H3368" s="49" t="s">
        <v>2827</v>
      </c>
      <c r="I3368" s="50">
        <v>45316</v>
      </c>
      <c r="M3368" s="49" t="s">
        <v>12196</v>
      </c>
    </row>
    <row r="3369" spans="1:13" x14ac:dyDescent="0.35">
      <c r="A3369" s="49" t="s">
        <v>12197</v>
      </c>
      <c r="C3369" s="49" t="s">
        <v>12023</v>
      </c>
      <c r="D3369" s="49" t="s">
        <v>1264</v>
      </c>
      <c r="E3369" s="49" t="s">
        <v>2986</v>
      </c>
      <c r="F3369" s="49" t="s">
        <v>2825</v>
      </c>
      <c r="G3369" s="49" t="s">
        <v>4891</v>
      </c>
      <c r="H3369" s="49" t="s">
        <v>2827</v>
      </c>
      <c r="I3369" s="50">
        <v>45316</v>
      </c>
      <c r="M3369" s="49" t="s">
        <v>12198</v>
      </c>
    </row>
    <row r="3370" spans="1:13" x14ac:dyDescent="0.35">
      <c r="A3370" s="49" t="s">
        <v>12199</v>
      </c>
      <c r="B3370" s="49" t="s">
        <v>12200</v>
      </c>
      <c r="C3370" s="49" t="s">
        <v>12201</v>
      </c>
      <c r="D3370" s="49" t="s">
        <v>1264</v>
      </c>
      <c r="E3370" s="49" t="s">
        <v>3443</v>
      </c>
      <c r="F3370" s="49" t="s">
        <v>3124</v>
      </c>
      <c r="G3370" s="49" t="s">
        <v>4891</v>
      </c>
      <c r="H3370" s="49" t="s">
        <v>980</v>
      </c>
      <c r="I3370" s="50">
        <v>45328</v>
      </c>
    </row>
    <row r="3371" spans="1:13" x14ac:dyDescent="0.35">
      <c r="A3371" s="49" t="s">
        <v>12202</v>
      </c>
      <c r="C3371" s="49" t="s">
        <v>12203</v>
      </c>
      <c r="D3371" s="49" t="s">
        <v>1264</v>
      </c>
      <c r="E3371" s="49" t="s">
        <v>2986</v>
      </c>
      <c r="F3371" s="49" t="s">
        <v>2825</v>
      </c>
      <c r="G3371" s="49" t="s">
        <v>4891</v>
      </c>
      <c r="H3371" s="49" t="s">
        <v>2827</v>
      </c>
      <c r="I3371" s="50">
        <v>45351</v>
      </c>
      <c r="M3371" s="49" t="s">
        <v>12204</v>
      </c>
    </row>
    <row r="3372" spans="1:13" x14ac:dyDescent="0.35">
      <c r="A3372" s="49" t="s">
        <v>12205</v>
      </c>
      <c r="B3372" s="49" t="s">
        <v>12206</v>
      </c>
      <c r="C3372" s="49" t="s">
        <v>6442</v>
      </c>
      <c r="D3372" s="49" t="s">
        <v>1264</v>
      </c>
      <c r="E3372" s="49" t="s">
        <v>2785</v>
      </c>
      <c r="F3372" s="49" t="s">
        <v>2792</v>
      </c>
      <c r="G3372" s="49" t="s">
        <v>4891</v>
      </c>
      <c r="H3372" s="49" t="s">
        <v>980</v>
      </c>
      <c r="I3372" s="50">
        <v>45357</v>
      </c>
      <c r="M3372" s="49" t="s">
        <v>11311</v>
      </c>
    </row>
    <row r="3373" spans="1:13" x14ac:dyDescent="0.35">
      <c r="A3373" s="49" t="s">
        <v>12207</v>
      </c>
      <c r="B3373" s="49" t="s">
        <v>12208</v>
      </c>
      <c r="C3373" s="49" t="s">
        <v>4086</v>
      </c>
      <c r="D3373" s="49" t="s">
        <v>1264</v>
      </c>
      <c r="E3373" s="49" t="s">
        <v>2785</v>
      </c>
      <c r="F3373" s="49" t="s">
        <v>2786</v>
      </c>
      <c r="G3373" s="49" t="s">
        <v>4891</v>
      </c>
      <c r="H3373" s="49" t="s">
        <v>864</v>
      </c>
      <c r="I3373" s="50">
        <v>45357</v>
      </c>
      <c r="M3373" s="49" t="s">
        <v>12209</v>
      </c>
    </row>
    <row r="3374" spans="1:13" x14ac:dyDescent="0.35">
      <c r="A3374" s="49" t="s">
        <v>12210</v>
      </c>
      <c r="B3374" s="49" t="s">
        <v>4583</v>
      </c>
      <c r="C3374" s="49" t="s">
        <v>6490</v>
      </c>
      <c r="D3374" s="49" t="s">
        <v>1264</v>
      </c>
      <c r="E3374" s="49" t="s">
        <v>2785</v>
      </c>
      <c r="F3374" s="49" t="s">
        <v>2805</v>
      </c>
      <c r="G3374" s="49" t="s">
        <v>4891</v>
      </c>
      <c r="H3374" s="49" t="s">
        <v>980</v>
      </c>
      <c r="I3374" s="50">
        <v>45357</v>
      </c>
      <c r="M3374" s="49" t="s">
        <v>3104</v>
      </c>
    </row>
    <row r="3375" spans="1:13" x14ac:dyDescent="0.35">
      <c r="A3375" s="49" t="s">
        <v>12211</v>
      </c>
      <c r="B3375" s="49" t="s">
        <v>3214</v>
      </c>
      <c r="C3375" s="49" t="s">
        <v>6380</v>
      </c>
      <c r="D3375" s="49" t="s">
        <v>1264</v>
      </c>
      <c r="E3375" s="49" t="s">
        <v>2785</v>
      </c>
      <c r="F3375" s="49" t="s">
        <v>2786</v>
      </c>
      <c r="G3375" s="49" t="s">
        <v>2776</v>
      </c>
      <c r="H3375" s="49" t="s">
        <v>980</v>
      </c>
      <c r="I3375" s="50">
        <v>45357</v>
      </c>
      <c r="M3375" s="49" t="s">
        <v>12212</v>
      </c>
    </row>
    <row r="3376" spans="1:13" x14ac:dyDescent="0.35">
      <c r="A3376" s="49" t="s">
        <v>12213</v>
      </c>
      <c r="B3376" s="49" t="s">
        <v>12214</v>
      </c>
      <c r="C3376" s="49" t="s">
        <v>6146</v>
      </c>
      <c r="D3376" s="49" t="s">
        <v>1264</v>
      </c>
      <c r="E3376" s="49" t="s">
        <v>2908</v>
      </c>
      <c r="F3376" s="49" t="s">
        <v>3124</v>
      </c>
      <c r="G3376" s="49" t="s">
        <v>4891</v>
      </c>
      <c r="H3376" s="49" t="s">
        <v>980</v>
      </c>
      <c r="I3376" s="50">
        <v>45357</v>
      </c>
      <c r="M3376" s="49" t="s">
        <v>12215</v>
      </c>
    </row>
    <row r="3377" spans="1:13" x14ac:dyDescent="0.35">
      <c r="A3377" s="49" t="s">
        <v>12216</v>
      </c>
      <c r="B3377" s="49" t="s">
        <v>12217</v>
      </c>
      <c r="C3377" s="49" t="s">
        <v>11494</v>
      </c>
      <c r="D3377" s="49" t="s">
        <v>1264</v>
      </c>
      <c r="E3377" s="49" t="s">
        <v>2986</v>
      </c>
      <c r="F3377" s="49" t="s">
        <v>2825</v>
      </c>
      <c r="G3377" s="49" t="s">
        <v>2776</v>
      </c>
      <c r="H3377" s="49" t="s">
        <v>2827</v>
      </c>
      <c r="I3377" s="50">
        <v>45324</v>
      </c>
      <c r="M3377" s="49" t="s">
        <v>12218</v>
      </c>
    </row>
    <row r="3378" spans="1:13" x14ac:dyDescent="0.35">
      <c r="A3378" s="49" t="s">
        <v>12219</v>
      </c>
      <c r="C3378" s="49" t="s">
        <v>6543</v>
      </c>
      <c r="D3378" s="49" t="s">
        <v>1264</v>
      </c>
      <c r="E3378" s="49" t="s">
        <v>2986</v>
      </c>
      <c r="F3378" s="49" t="s">
        <v>2825</v>
      </c>
      <c r="G3378" s="49" t="s">
        <v>2776</v>
      </c>
      <c r="H3378" s="49" t="s">
        <v>2827</v>
      </c>
      <c r="I3378" s="50">
        <v>45324</v>
      </c>
      <c r="M3378" s="49" t="s">
        <v>3270</v>
      </c>
    </row>
    <row r="3379" spans="1:13" x14ac:dyDescent="0.35">
      <c r="A3379" s="49" t="s">
        <v>12220</v>
      </c>
      <c r="B3379" s="49" t="s">
        <v>4555</v>
      </c>
      <c r="C3379" s="49" t="s">
        <v>12221</v>
      </c>
      <c r="D3379" s="49" t="s">
        <v>1264</v>
      </c>
      <c r="E3379" s="49" t="s">
        <v>2908</v>
      </c>
      <c r="F3379" s="49" t="s">
        <v>2837</v>
      </c>
      <c r="G3379" s="49" t="s">
        <v>4891</v>
      </c>
      <c r="H3379" s="49" t="s">
        <v>980</v>
      </c>
      <c r="I3379" s="50">
        <v>45358</v>
      </c>
      <c r="M3379" s="49" t="s">
        <v>12222</v>
      </c>
    </row>
    <row r="3380" spans="1:13" ht="29" x14ac:dyDescent="0.35">
      <c r="A3380" s="49" t="s">
        <v>12223</v>
      </c>
      <c r="B3380" s="51" t="s">
        <v>12224</v>
      </c>
      <c r="C3380" s="49" t="s">
        <v>9770</v>
      </c>
      <c r="D3380" s="49" t="s">
        <v>1264</v>
      </c>
      <c r="E3380" s="49" t="s">
        <v>2785</v>
      </c>
      <c r="F3380" s="49" t="s">
        <v>2786</v>
      </c>
      <c r="G3380" s="49" t="s">
        <v>2776</v>
      </c>
      <c r="H3380" s="49" t="s">
        <v>973</v>
      </c>
      <c r="I3380" s="50">
        <v>45358</v>
      </c>
      <c r="M3380" s="49" t="s">
        <v>12225</v>
      </c>
    </row>
    <row r="3381" spans="1:13" x14ac:dyDescent="0.35">
      <c r="A3381" s="49" t="s">
        <v>12226</v>
      </c>
      <c r="B3381" s="49" t="s">
        <v>12227</v>
      </c>
      <c r="C3381" s="49" t="s">
        <v>11494</v>
      </c>
      <c r="D3381" s="49" t="s">
        <v>1264</v>
      </c>
      <c r="E3381" s="49" t="s">
        <v>2986</v>
      </c>
      <c r="F3381" s="49" t="s">
        <v>2825</v>
      </c>
      <c r="G3381" s="49" t="s">
        <v>2776</v>
      </c>
      <c r="H3381" s="49" t="s">
        <v>2827</v>
      </c>
      <c r="I3381" s="50">
        <v>45324</v>
      </c>
      <c r="M3381" s="49" t="s">
        <v>12228</v>
      </c>
    </row>
    <row r="3382" spans="1:13" x14ac:dyDescent="0.35">
      <c r="A3382" s="49" t="s">
        <v>12229</v>
      </c>
      <c r="B3382" s="49" t="s">
        <v>12230</v>
      </c>
      <c r="C3382" s="49" t="s">
        <v>11494</v>
      </c>
      <c r="D3382" s="49" t="s">
        <v>1264</v>
      </c>
      <c r="E3382" s="49" t="s">
        <v>2986</v>
      </c>
      <c r="F3382" s="49" t="s">
        <v>2825</v>
      </c>
      <c r="G3382" s="49" t="s">
        <v>2776</v>
      </c>
      <c r="H3382" s="49" t="s">
        <v>2827</v>
      </c>
      <c r="I3382" s="50">
        <v>45324</v>
      </c>
      <c r="M3382" s="49" t="s">
        <v>12231</v>
      </c>
    </row>
    <row r="3383" spans="1:13" x14ac:dyDescent="0.35">
      <c r="A3383" s="49" t="s">
        <v>12232</v>
      </c>
      <c r="B3383" s="49" t="s">
        <v>12233</v>
      </c>
      <c r="C3383" s="49" t="s">
        <v>11494</v>
      </c>
      <c r="D3383" s="49" t="s">
        <v>1264</v>
      </c>
      <c r="E3383" s="49" t="s">
        <v>2986</v>
      </c>
      <c r="F3383" s="49" t="s">
        <v>2825</v>
      </c>
      <c r="G3383" s="49" t="s">
        <v>2776</v>
      </c>
      <c r="H3383" s="49" t="s">
        <v>2827</v>
      </c>
      <c r="I3383" s="50">
        <v>45324</v>
      </c>
    </row>
    <row r="3384" spans="1:13" x14ac:dyDescent="0.35">
      <c r="A3384" s="49" t="s">
        <v>12234</v>
      </c>
      <c r="B3384" s="49" t="s">
        <v>6040</v>
      </c>
      <c r="C3384" s="49" t="s">
        <v>12118</v>
      </c>
      <c r="D3384" s="49" t="s">
        <v>1264</v>
      </c>
      <c r="E3384" s="49" t="s">
        <v>2908</v>
      </c>
      <c r="F3384" s="49" t="s">
        <v>2792</v>
      </c>
      <c r="G3384" s="49" t="s">
        <v>4891</v>
      </c>
      <c r="H3384" s="49" t="s">
        <v>980</v>
      </c>
      <c r="I3384" s="50">
        <v>45362</v>
      </c>
      <c r="M3384" s="49" t="s">
        <v>12235</v>
      </c>
    </row>
    <row r="3385" spans="1:13" x14ac:dyDescent="0.35">
      <c r="A3385" s="49" t="s">
        <v>12236</v>
      </c>
      <c r="B3385" s="49" t="s">
        <v>5092</v>
      </c>
      <c r="C3385" s="49" t="s">
        <v>12237</v>
      </c>
      <c r="D3385" s="49" t="s">
        <v>1264</v>
      </c>
      <c r="E3385" s="49" t="s">
        <v>2785</v>
      </c>
      <c r="F3385" s="49" t="s">
        <v>4048</v>
      </c>
      <c r="G3385" s="49" t="s">
        <v>2776</v>
      </c>
      <c r="H3385" s="49" t="s">
        <v>973</v>
      </c>
      <c r="I3385" s="50">
        <v>45362</v>
      </c>
      <c r="M3385" s="49" t="s">
        <v>12238</v>
      </c>
    </row>
    <row r="3386" spans="1:13" x14ac:dyDescent="0.35">
      <c r="A3386" s="49" t="s">
        <v>12239</v>
      </c>
      <c r="B3386" s="49" t="s">
        <v>12240</v>
      </c>
      <c r="C3386" s="49" t="s">
        <v>9164</v>
      </c>
      <c r="D3386" s="49" t="s">
        <v>1264</v>
      </c>
      <c r="E3386" s="49" t="s">
        <v>2785</v>
      </c>
      <c r="F3386" s="49" t="s">
        <v>4048</v>
      </c>
      <c r="G3386" s="49" t="s">
        <v>2776</v>
      </c>
      <c r="H3386" s="49" t="s">
        <v>973</v>
      </c>
      <c r="I3386" s="50">
        <v>45362</v>
      </c>
      <c r="M3386" s="49" t="s">
        <v>12241</v>
      </c>
    </row>
    <row r="3387" spans="1:13" x14ac:dyDescent="0.35">
      <c r="A3387" s="49" t="s">
        <v>12242</v>
      </c>
      <c r="B3387" s="49" t="s">
        <v>12243</v>
      </c>
      <c r="C3387" s="49" t="s">
        <v>9164</v>
      </c>
      <c r="D3387" s="49" t="s">
        <v>1264</v>
      </c>
      <c r="E3387" s="49" t="s">
        <v>2785</v>
      </c>
      <c r="F3387" s="49" t="s">
        <v>4048</v>
      </c>
      <c r="G3387" s="49" t="s">
        <v>4891</v>
      </c>
      <c r="H3387" s="49" t="s">
        <v>2832</v>
      </c>
      <c r="I3387" s="50">
        <v>45341</v>
      </c>
      <c r="M3387" s="49" t="s">
        <v>12244</v>
      </c>
    </row>
    <row r="3388" spans="1:13" x14ac:dyDescent="0.35">
      <c r="A3388" s="49" t="s">
        <v>12245</v>
      </c>
      <c r="B3388" s="49" t="s">
        <v>12246</v>
      </c>
      <c r="C3388" s="49" t="s">
        <v>5240</v>
      </c>
      <c r="D3388" s="49" t="s">
        <v>1264</v>
      </c>
      <c r="E3388" s="49" t="s">
        <v>2785</v>
      </c>
      <c r="F3388" s="49" t="s">
        <v>2792</v>
      </c>
      <c r="G3388" s="49" t="s">
        <v>2776</v>
      </c>
      <c r="H3388" s="49" t="s">
        <v>857</v>
      </c>
      <c r="I3388" s="50">
        <v>45362</v>
      </c>
      <c r="M3388" s="49" t="s">
        <v>12247</v>
      </c>
    </row>
    <row r="3389" spans="1:13" x14ac:dyDescent="0.35">
      <c r="A3389" s="49" t="s">
        <v>12248</v>
      </c>
      <c r="B3389" s="49" t="s">
        <v>12249</v>
      </c>
      <c r="C3389" s="49" t="s">
        <v>12201</v>
      </c>
      <c r="D3389" s="49" t="s">
        <v>1264</v>
      </c>
      <c r="E3389" s="49" t="s">
        <v>3443</v>
      </c>
      <c r="F3389" s="49" t="s">
        <v>3124</v>
      </c>
      <c r="G3389" s="49" t="s">
        <v>2826</v>
      </c>
      <c r="H3389" s="49" t="s">
        <v>980</v>
      </c>
      <c r="I3389" s="50">
        <v>45363</v>
      </c>
    </row>
    <row r="3390" spans="1:13" x14ac:dyDescent="0.35">
      <c r="A3390" s="49" t="s">
        <v>12250</v>
      </c>
      <c r="B3390" s="49" t="s">
        <v>3663</v>
      </c>
      <c r="C3390" s="49" t="s">
        <v>9164</v>
      </c>
      <c r="D3390" s="49" t="s">
        <v>1264</v>
      </c>
      <c r="E3390" s="49" t="s">
        <v>2908</v>
      </c>
      <c r="F3390" s="49" t="s">
        <v>2837</v>
      </c>
      <c r="G3390" s="49" t="s">
        <v>4891</v>
      </c>
      <c r="H3390" s="49" t="s">
        <v>2827</v>
      </c>
      <c r="I3390" s="50">
        <v>45363</v>
      </c>
      <c r="M3390" s="49" t="s">
        <v>12251</v>
      </c>
    </row>
    <row r="3391" spans="1:13" x14ac:dyDescent="0.35">
      <c r="A3391" s="49" t="s">
        <v>12252</v>
      </c>
      <c r="B3391" s="49" t="s">
        <v>3615</v>
      </c>
      <c r="C3391" s="49" t="s">
        <v>12253</v>
      </c>
      <c r="D3391" s="49" t="s">
        <v>1264</v>
      </c>
      <c r="E3391" s="49" t="s">
        <v>2785</v>
      </c>
      <c r="F3391" s="49" t="s">
        <v>3010</v>
      </c>
      <c r="G3391" s="49" t="s">
        <v>4891</v>
      </c>
      <c r="H3391" s="49" t="s">
        <v>980</v>
      </c>
      <c r="I3391" s="50">
        <v>45363</v>
      </c>
      <c r="M3391" s="49" t="s">
        <v>12254</v>
      </c>
    </row>
    <row r="3392" spans="1:13" x14ac:dyDescent="0.35">
      <c r="A3392" s="49" t="s">
        <v>12255</v>
      </c>
      <c r="B3392" s="49" t="s">
        <v>12256</v>
      </c>
      <c r="C3392" s="49" t="s">
        <v>12257</v>
      </c>
      <c r="D3392" s="49" t="s">
        <v>1264</v>
      </c>
      <c r="E3392" s="49" t="s">
        <v>2774</v>
      </c>
      <c r="F3392" s="49" t="s">
        <v>2900</v>
      </c>
      <c r="G3392" s="49" t="s">
        <v>4891</v>
      </c>
      <c r="H3392" s="49" t="s">
        <v>2832</v>
      </c>
      <c r="I3392" s="50">
        <v>45362</v>
      </c>
      <c r="M3392" s="49" t="s">
        <v>12258</v>
      </c>
    </row>
    <row r="3393" spans="1:13" x14ac:dyDescent="0.35">
      <c r="A3393" s="49" t="s">
        <v>12259</v>
      </c>
      <c r="B3393" s="49" t="s">
        <v>12260</v>
      </c>
      <c r="C3393" s="49" t="s">
        <v>12261</v>
      </c>
      <c r="D3393" s="49" t="s">
        <v>1264</v>
      </c>
      <c r="E3393" s="49" t="s">
        <v>2785</v>
      </c>
      <c r="F3393" s="49" t="s">
        <v>2792</v>
      </c>
      <c r="G3393" s="49" t="s">
        <v>4891</v>
      </c>
      <c r="H3393" s="49" t="s">
        <v>3207</v>
      </c>
      <c r="I3393" s="50">
        <v>45364</v>
      </c>
      <c r="M3393" s="49" t="s">
        <v>12262</v>
      </c>
    </row>
    <row r="3394" spans="1:13" x14ac:dyDescent="0.35">
      <c r="A3394" s="49" t="s">
        <v>12263</v>
      </c>
      <c r="B3394" s="49" t="s">
        <v>4293</v>
      </c>
      <c r="C3394" s="49" t="s">
        <v>5426</v>
      </c>
      <c r="D3394" s="49" t="s">
        <v>1264</v>
      </c>
      <c r="E3394" s="49" t="s">
        <v>2785</v>
      </c>
      <c r="F3394" s="49" t="s">
        <v>2805</v>
      </c>
      <c r="G3394" s="49" t="s">
        <v>4891</v>
      </c>
      <c r="H3394" s="49" t="s">
        <v>980</v>
      </c>
      <c r="I3394" s="50">
        <v>45364</v>
      </c>
      <c r="M3394" s="49" t="s">
        <v>12264</v>
      </c>
    </row>
    <row r="3395" spans="1:13" x14ac:dyDescent="0.35">
      <c r="A3395" s="49" t="s">
        <v>12265</v>
      </c>
      <c r="B3395" s="49" t="s">
        <v>3626</v>
      </c>
      <c r="C3395" s="49" t="s">
        <v>5426</v>
      </c>
      <c r="D3395" s="49" t="s">
        <v>1264</v>
      </c>
      <c r="E3395" s="49" t="s">
        <v>2785</v>
      </c>
      <c r="F3395" s="49" t="s">
        <v>3898</v>
      </c>
      <c r="G3395" s="49" t="s">
        <v>4891</v>
      </c>
      <c r="H3395" s="49" t="s">
        <v>2827</v>
      </c>
      <c r="I3395" s="50">
        <v>45364</v>
      </c>
      <c r="M3395" s="49" t="s">
        <v>12266</v>
      </c>
    </row>
    <row r="3396" spans="1:13" x14ac:dyDescent="0.35">
      <c r="A3396" s="49" t="s">
        <v>12267</v>
      </c>
      <c r="C3396" s="49" t="s">
        <v>12268</v>
      </c>
      <c r="D3396" s="49" t="s">
        <v>1264</v>
      </c>
      <c r="E3396" s="49" t="s">
        <v>2986</v>
      </c>
      <c r="F3396" s="49" t="s">
        <v>2825</v>
      </c>
      <c r="G3396" s="49" t="s">
        <v>4891</v>
      </c>
      <c r="H3396" s="49" t="s">
        <v>2827</v>
      </c>
      <c r="I3396" s="50">
        <v>45364</v>
      </c>
      <c r="M3396" s="49" t="s">
        <v>12269</v>
      </c>
    </row>
    <row r="3397" spans="1:13" x14ac:dyDescent="0.35">
      <c r="A3397" s="49" t="s">
        <v>12270</v>
      </c>
      <c r="C3397" s="49" t="s">
        <v>12184</v>
      </c>
      <c r="D3397" s="49" t="s">
        <v>1264</v>
      </c>
      <c r="E3397" s="49" t="s">
        <v>2986</v>
      </c>
      <c r="F3397" s="49" t="s">
        <v>2825</v>
      </c>
      <c r="G3397" s="49" t="s">
        <v>4891</v>
      </c>
      <c r="H3397" s="49" t="s">
        <v>2827</v>
      </c>
      <c r="I3397" s="50">
        <v>45338</v>
      </c>
      <c r="M3397" s="49" t="s">
        <v>12271</v>
      </c>
    </row>
    <row r="3398" spans="1:13" x14ac:dyDescent="0.35">
      <c r="A3398" s="49" t="s">
        <v>12272</v>
      </c>
      <c r="C3398" s="49" t="s">
        <v>12273</v>
      </c>
      <c r="D3398" s="49" t="s">
        <v>1264</v>
      </c>
      <c r="E3398" s="49" t="s">
        <v>2814</v>
      </c>
      <c r="F3398" s="49" t="s">
        <v>2939</v>
      </c>
      <c r="G3398" s="49" t="s">
        <v>4891</v>
      </c>
      <c r="H3398" s="49" t="s">
        <v>980</v>
      </c>
      <c r="I3398" s="50">
        <v>45365</v>
      </c>
      <c r="M3398" s="49" t="s">
        <v>12274</v>
      </c>
    </row>
    <row r="3399" spans="1:13" x14ac:dyDescent="0.35">
      <c r="A3399" s="49" t="s">
        <v>12275</v>
      </c>
      <c r="B3399" s="49" t="s">
        <v>12276</v>
      </c>
      <c r="C3399" s="49" t="s">
        <v>5588</v>
      </c>
      <c r="D3399" s="49" t="s">
        <v>1264</v>
      </c>
      <c r="E3399" s="49" t="s">
        <v>2908</v>
      </c>
      <c r="F3399" s="49" t="s">
        <v>2837</v>
      </c>
      <c r="G3399" s="49" t="s">
        <v>4891</v>
      </c>
      <c r="H3399" s="49" t="s">
        <v>980</v>
      </c>
      <c r="I3399" s="50">
        <v>45365</v>
      </c>
      <c r="M3399" s="49" t="s">
        <v>12277</v>
      </c>
    </row>
    <row r="3400" spans="1:13" x14ac:dyDescent="0.35">
      <c r="A3400" s="49" t="s">
        <v>12278</v>
      </c>
      <c r="B3400" s="49" t="s">
        <v>12279</v>
      </c>
      <c r="C3400" s="49" t="s">
        <v>12273</v>
      </c>
      <c r="D3400" s="49" t="s">
        <v>1264</v>
      </c>
      <c r="E3400" s="49" t="s">
        <v>2908</v>
      </c>
      <c r="F3400" s="49" t="s">
        <v>4048</v>
      </c>
      <c r="G3400" s="49" t="s">
        <v>4891</v>
      </c>
      <c r="H3400" s="49" t="s">
        <v>973</v>
      </c>
      <c r="I3400" s="50">
        <v>45365</v>
      </c>
      <c r="M3400" s="49" t="s">
        <v>12280</v>
      </c>
    </row>
    <row r="3401" spans="1:13" x14ac:dyDescent="0.35">
      <c r="A3401" s="49" t="s">
        <v>12281</v>
      </c>
      <c r="B3401" s="49" t="s">
        <v>12243</v>
      </c>
      <c r="C3401" s="49" t="s">
        <v>12273</v>
      </c>
      <c r="D3401" s="49" t="s">
        <v>1264</v>
      </c>
      <c r="E3401" s="49" t="s">
        <v>2908</v>
      </c>
      <c r="F3401" s="49" t="s">
        <v>4048</v>
      </c>
      <c r="G3401" s="49" t="s">
        <v>4891</v>
      </c>
      <c r="H3401" s="49" t="s">
        <v>2832</v>
      </c>
      <c r="I3401" s="50">
        <v>45365</v>
      </c>
      <c r="M3401" s="49" t="s">
        <v>12282</v>
      </c>
    </row>
    <row r="3402" spans="1:13" x14ac:dyDescent="0.35">
      <c r="A3402" s="49" t="s">
        <v>12283</v>
      </c>
      <c r="B3402" s="49" t="s">
        <v>12284</v>
      </c>
      <c r="C3402" s="49" t="s">
        <v>12261</v>
      </c>
      <c r="D3402" s="49" t="s">
        <v>1264</v>
      </c>
      <c r="E3402" s="49" t="s">
        <v>2785</v>
      </c>
      <c r="F3402" s="49" t="s">
        <v>2792</v>
      </c>
      <c r="G3402" s="49" t="s">
        <v>4891</v>
      </c>
      <c r="H3402" s="49" t="s">
        <v>3207</v>
      </c>
      <c r="I3402" s="50">
        <v>45365</v>
      </c>
      <c r="M3402" s="49" t="s">
        <v>12285</v>
      </c>
    </row>
    <row r="3403" spans="1:13" x14ac:dyDescent="0.35">
      <c r="A3403" s="49" t="s">
        <v>12286</v>
      </c>
      <c r="B3403" s="49" t="s">
        <v>12287</v>
      </c>
      <c r="C3403" s="49" t="s">
        <v>12273</v>
      </c>
      <c r="D3403" s="49" t="s">
        <v>1264</v>
      </c>
      <c r="E3403" s="49" t="s">
        <v>2908</v>
      </c>
      <c r="F3403" s="49" t="s">
        <v>2939</v>
      </c>
      <c r="G3403" s="49" t="s">
        <v>4891</v>
      </c>
      <c r="H3403" s="49" t="s">
        <v>980</v>
      </c>
      <c r="I3403" s="50">
        <v>45365</v>
      </c>
      <c r="M3403" s="49" t="s">
        <v>12288</v>
      </c>
    </row>
    <row r="3404" spans="1:13" x14ac:dyDescent="0.35">
      <c r="A3404" s="49" t="s">
        <v>12289</v>
      </c>
      <c r="B3404" s="49" t="s">
        <v>12290</v>
      </c>
      <c r="C3404" s="49" t="s">
        <v>12291</v>
      </c>
      <c r="D3404" s="49" t="s">
        <v>1264</v>
      </c>
      <c r="E3404" s="49" t="s">
        <v>2873</v>
      </c>
      <c r="F3404" s="49" t="s">
        <v>2786</v>
      </c>
      <c r="G3404" s="49" t="s">
        <v>2901</v>
      </c>
      <c r="H3404" s="49" t="s">
        <v>3207</v>
      </c>
      <c r="I3404" s="50">
        <v>45365</v>
      </c>
      <c r="J3404" s="50">
        <v>45369</v>
      </c>
      <c r="K3404" s="50">
        <v>45733</v>
      </c>
      <c r="M3404" s="49" t="s">
        <v>12292</v>
      </c>
    </row>
    <row r="3405" spans="1:13" x14ac:dyDescent="0.35">
      <c r="A3405" s="49" t="s">
        <v>12293</v>
      </c>
      <c r="B3405" s="49" t="s">
        <v>4555</v>
      </c>
      <c r="C3405" s="49" t="s">
        <v>12294</v>
      </c>
      <c r="D3405" s="49" t="s">
        <v>1264</v>
      </c>
      <c r="E3405" s="49" t="s">
        <v>2908</v>
      </c>
      <c r="F3405" s="49" t="s">
        <v>2837</v>
      </c>
      <c r="G3405" s="49" t="s">
        <v>4891</v>
      </c>
      <c r="H3405" s="49" t="s">
        <v>980</v>
      </c>
      <c r="I3405" s="50">
        <v>45366</v>
      </c>
      <c r="M3405" s="49" t="s">
        <v>12295</v>
      </c>
    </row>
    <row r="3406" spans="1:13" x14ac:dyDescent="0.35">
      <c r="A3406" s="49" t="s">
        <v>12296</v>
      </c>
      <c r="B3406" s="49" t="s">
        <v>4555</v>
      </c>
      <c r="C3406" s="49" t="s">
        <v>6331</v>
      </c>
      <c r="D3406" s="49" t="s">
        <v>1264</v>
      </c>
      <c r="E3406" s="49" t="s">
        <v>2908</v>
      </c>
      <c r="F3406" s="49" t="s">
        <v>2837</v>
      </c>
      <c r="G3406" s="49" t="s">
        <v>4891</v>
      </c>
      <c r="H3406" s="49" t="s">
        <v>980</v>
      </c>
      <c r="I3406" s="50">
        <v>45366</v>
      </c>
      <c r="M3406" s="49" t="s">
        <v>12297</v>
      </c>
    </row>
    <row r="3407" spans="1:13" x14ac:dyDescent="0.35">
      <c r="A3407" s="49" t="s">
        <v>12298</v>
      </c>
      <c r="B3407" s="49" t="s">
        <v>10969</v>
      </c>
      <c r="C3407" s="49" t="s">
        <v>12299</v>
      </c>
      <c r="D3407" s="49" t="s">
        <v>1264</v>
      </c>
      <c r="E3407" s="49" t="s">
        <v>2785</v>
      </c>
      <c r="F3407" s="49" t="s">
        <v>3898</v>
      </c>
      <c r="G3407" s="49" t="s">
        <v>4891</v>
      </c>
      <c r="H3407" s="49" t="s">
        <v>2827</v>
      </c>
      <c r="I3407" s="50">
        <v>45366</v>
      </c>
      <c r="M3407" s="49" t="s">
        <v>12300</v>
      </c>
    </row>
    <row r="3408" spans="1:13" x14ac:dyDescent="0.35">
      <c r="A3408" s="49" t="s">
        <v>12301</v>
      </c>
      <c r="C3408" s="49" t="s">
        <v>6235</v>
      </c>
      <c r="D3408" s="49" t="s">
        <v>1264</v>
      </c>
      <c r="E3408" s="49" t="s">
        <v>2986</v>
      </c>
      <c r="F3408" s="49" t="s">
        <v>2825</v>
      </c>
      <c r="G3408" s="49" t="s">
        <v>4891</v>
      </c>
      <c r="H3408" s="49" t="s">
        <v>2827</v>
      </c>
      <c r="I3408" s="50">
        <v>45369</v>
      </c>
      <c r="M3408" s="49" t="s">
        <v>12302</v>
      </c>
    </row>
    <row r="3409" spans="1:13" x14ac:dyDescent="0.35">
      <c r="A3409" s="49" t="s">
        <v>12303</v>
      </c>
      <c r="C3409" s="49" t="s">
        <v>6235</v>
      </c>
      <c r="D3409" s="49" t="s">
        <v>1264</v>
      </c>
      <c r="E3409" s="49" t="s">
        <v>2986</v>
      </c>
      <c r="F3409" s="49" t="s">
        <v>2825</v>
      </c>
      <c r="G3409" s="49" t="s">
        <v>4891</v>
      </c>
      <c r="H3409" s="49" t="s">
        <v>2827</v>
      </c>
      <c r="I3409" s="50">
        <v>45369</v>
      </c>
      <c r="M3409" s="49" t="s">
        <v>12304</v>
      </c>
    </row>
    <row r="3410" spans="1:13" x14ac:dyDescent="0.35">
      <c r="A3410" s="49" t="s">
        <v>12305</v>
      </c>
      <c r="C3410" s="49" t="s">
        <v>12066</v>
      </c>
      <c r="D3410" s="49" t="s">
        <v>1264</v>
      </c>
      <c r="E3410" s="49" t="s">
        <v>2908</v>
      </c>
      <c r="F3410" s="49" t="s">
        <v>2837</v>
      </c>
      <c r="G3410" s="49" t="s">
        <v>4891</v>
      </c>
      <c r="H3410" s="49" t="s">
        <v>8</v>
      </c>
      <c r="I3410" s="50">
        <v>45370</v>
      </c>
      <c r="M3410" s="49" t="s">
        <v>3638</v>
      </c>
    </row>
    <row r="3411" spans="1:13" x14ac:dyDescent="0.35">
      <c r="A3411" s="49" t="s">
        <v>12306</v>
      </c>
      <c r="C3411" s="49" t="s">
        <v>4725</v>
      </c>
      <c r="D3411" s="49" t="s">
        <v>1264</v>
      </c>
      <c r="E3411" s="49" t="s">
        <v>2908</v>
      </c>
      <c r="F3411" s="49" t="s">
        <v>2939</v>
      </c>
      <c r="G3411" s="49" t="s">
        <v>4891</v>
      </c>
      <c r="H3411" s="49" t="s">
        <v>8</v>
      </c>
      <c r="I3411" s="50">
        <v>45371</v>
      </c>
      <c r="M3411" s="49" t="s">
        <v>12307</v>
      </c>
    </row>
    <row r="3412" spans="1:13" x14ac:dyDescent="0.35">
      <c r="A3412" s="49" t="s">
        <v>12308</v>
      </c>
      <c r="B3412" s="49" t="s">
        <v>12309</v>
      </c>
      <c r="C3412" s="49" t="s">
        <v>12310</v>
      </c>
      <c r="D3412" s="49" t="s">
        <v>1264</v>
      </c>
      <c r="E3412" s="49" t="s">
        <v>2873</v>
      </c>
      <c r="F3412" s="49" t="s">
        <v>2786</v>
      </c>
      <c r="G3412" s="49" t="s">
        <v>2901</v>
      </c>
      <c r="H3412" s="49" t="s">
        <v>3207</v>
      </c>
      <c r="I3412" s="50">
        <v>45371</v>
      </c>
      <c r="J3412" s="50">
        <v>45372</v>
      </c>
      <c r="K3412" s="50">
        <v>45736</v>
      </c>
      <c r="M3412" s="49" t="s">
        <v>12311</v>
      </c>
    </row>
    <row r="3413" spans="1:13" x14ac:dyDescent="0.35">
      <c r="A3413" s="49" t="s">
        <v>12312</v>
      </c>
      <c r="C3413" s="49" t="s">
        <v>6436</v>
      </c>
      <c r="D3413" s="49" t="s">
        <v>1264</v>
      </c>
      <c r="E3413" s="49" t="s">
        <v>2908</v>
      </c>
      <c r="F3413" s="49" t="s">
        <v>3010</v>
      </c>
      <c r="G3413" s="49" t="s">
        <v>4891</v>
      </c>
      <c r="H3413" s="49" t="s">
        <v>980</v>
      </c>
      <c r="I3413" s="50">
        <v>45372</v>
      </c>
      <c r="M3413" s="49" t="s">
        <v>6437</v>
      </c>
    </row>
    <row r="3414" spans="1:13" x14ac:dyDescent="0.35">
      <c r="A3414" s="49" t="s">
        <v>12313</v>
      </c>
      <c r="C3414" s="49" t="s">
        <v>12314</v>
      </c>
      <c r="D3414" s="49" t="s">
        <v>1264</v>
      </c>
      <c r="E3414" s="49" t="s">
        <v>2814</v>
      </c>
      <c r="F3414" s="49" t="s">
        <v>2900</v>
      </c>
      <c r="G3414" s="49" t="s">
        <v>4891</v>
      </c>
      <c r="H3414" s="49" t="s">
        <v>980</v>
      </c>
      <c r="I3414" s="50">
        <v>45372</v>
      </c>
      <c r="M3414" s="49" t="s">
        <v>12315</v>
      </c>
    </row>
    <row r="3415" spans="1:13" x14ac:dyDescent="0.35">
      <c r="A3415" s="49" t="s">
        <v>12316</v>
      </c>
      <c r="B3415" s="49" t="s">
        <v>12317</v>
      </c>
      <c r="C3415" s="49" t="s">
        <v>5443</v>
      </c>
      <c r="D3415" s="49" t="s">
        <v>1264</v>
      </c>
      <c r="E3415" s="49" t="s">
        <v>2986</v>
      </c>
      <c r="F3415" s="49" t="s">
        <v>2825</v>
      </c>
      <c r="G3415" s="49" t="s">
        <v>4891</v>
      </c>
      <c r="H3415" s="49" t="s">
        <v>2827</v>
      </c>
      <c r="I3415" s="50">
        <v>45373</v>
      </c>
      <c r="M3415" s="49" t="s">
        <v>12318</v>
      </c>
    </row>
    <row r="3416" spans="1:13" x14ac:dyDescent="0.35">
      <c r="A3416" s="49" t="s">
        <v>12319</v>
      </c>
      <c r="B3416" s="49" t="s">
        <v>12320</v>
      </c>
      <c r="C3416" s="49" t="s">
        <v>12321</v>
      </c>
      <c r="D3416" s="49" t="s">
        <v>1264</v>
      </c>
      <c r="E3416" s="49" t="s">
        <v>2785</v>
      </c>
      <c r="F3416" s="49" t="s">
        <v>2786</v>
      </c>
      <c r="G3416" s="49" t="s">
        <v>2776</v>
      </c>
      <c r="H3416" s="49" t="s">
        <v>835</v>
      </c>
      <c r="I3416" s="50">
        <v>45377</v>
      </c>
      <c r="M3416" s="49" t="s">
        <v>12322</v>
      </c>
    </row>
    <row r="3417" spans="1:13" x14ac:dyDescent="0.35">
      <c r="A3417" s="49" t="s">
        <v>12323</v>
      </c>
      <c r="B3417" s="49" t="s">
        <v>12324</v>
      </c>
      <c r="C3417" s="49" t="s">
        <v>12325</v>
      </c>
      <c r="D3417" s="49" t="s">
        <v>1264</v>
      </c>
      <c r="E3417" s="49" t="s">
        <v>2785</v>
      </c>
      <c r="F3417" s="49" t="s">
        <v>2805</v>
      </c>
      <c r="G3417" s="49" t="s">
        <v>4891</v>
      </c>
      <c r="H3417" s="49" t="s">
        <v>1062</v>
      </c>
      <c r="I3417" s="50">
        <v>45377</v>
      </c>
      <c r="M3417" s="49" t="s">
        <v>12326</v>
      </c>
    </row>
    <row r="3418" spans="1:13" x14ac:dyDescent="0.35">
      <c r="A3418" s="49" t="s">
        <v>12327</v>
      </c>
      <c r="B3418" s="49" t="s">
        <v>6573</v>
      </c>
      <c r="C3418" s="49" t="s">
        <v>12328</v>
      </c>
      <c r="D3418" s="49" t="s">
        <v>1264</v>
      </c>
      <c r="E3418" s="49" t="s">
        <v>2785</v>
      </c>
      <c r="F3418" s="49" t="s">
        <v>2786</v>
      </c>
      <c r="G3418" s="49" t="s">
        <v>4891</v>
      </c>
      <c r="H3418" s="49" t="s">
        <v>980</v>
      </c>
      <c r="I3418" s="50">
        <v>45377</v>
      </c>
      <c r="M3418" s="49" t="s">
        <v>12329</v>
      </c>
    </row>
    <row r="3419" spans="1:13" x14ac:dyDescent="0.35">
      <c r="A3419" s="49" t="s">
        <v>12330</v>
      </c>
      <c r="B3419" s="49" t="s">
        <v>12331</v>
      </c>
      <c r="C3419" s="49" t="s">
        <v>12332</v>
      </c>
      <c r="D3419" s="49" t="s">
        <v>1264</v>
      </c>
      <c r="E3419" s="49" t="s">
        <v>2908</v>
      </c>
      <c r="F3419" s="49" t="s">
        <v>4048</v>
      </c>
      <c r="G3419" s="49" t="s">
        <v>4891</v>
      </c>
      <c r="H3419" s="49" t="s">
        <v>973</v>
      </c>
      <c r="I3419" s="50">
        <v>45377</v>
      </c>
      <c r="M3419" s="49" t="s">
        <v>12333</v>
      </c>
    </row>
    <row r="3420" spans="1:13" x14ac:dyDescent="0.35">
      <c r="A3420" s="49" t="s">
        <v>12334</v>
      </c>
      <c r="C3420" s="49" t="s">
        <v>12335</v>
      </c>
      <c r="D3420" s="49" t="s">
        <v>1264</v>
      </c>
      <c r="E3420" s="49" t="s">
        <v>2908</v>
      </c>
      <c r="F3420" s="49" t="s">
        <v>2837</v>
      </c>
      <c r="G3420" s="49" t="s">
        <v>4891</v>
      </c>
      <c r="H3420" s="49" t="s">
        <v>8</v>
      </c>
      <c r="I3420" s="50">
        <v>45377</v>
      </c>
      <c r="M3420" s="49" t="s">
        <v>12336</v>
      </c>
    </row>
    <row r="3421" spans="1:13" x14ac:dyDescent="0.35">
      <c r="A3421" s="49" t="s">
        <v>12337</v>
      </c>
      <c r="B3421" s="49" t="s">
        <v>3586</v>
      </c>
      <c r="C3421" s="49" t="s">
        <v>12338</v>
      </c>
      <c r="D3421" s="49" t="s">
        <v>1264</v>
      </c>
      <c r="E3421" s="49" t="s">
        <v>2785</v>
      </c>
      <c r="F3421" s="49" t="s">
        <v>2786</v>
      </c>
      <c r="G3421" s="49" t="s">
        <v>2776</v>
      </c>
      <c r="H3421" s="49" t="s">
        <v>980</v>
      </c>
      <c r="I3421" s="50">
        <v>45378</v>
      </c>
      <c r="M3421" s="49" t="s">
        <v>12339</v>
      </c>
    </row>
    <row r="3422" spans="1:13" x14ac:dyDescent="0.35">
      <c r="A3422" s="49" t="s">
        <v>12340</v>
      </c>
      <c r="B3422" s="49" t="s">
        <v>3768</v>
      </c>
      <c r="C3422" s="49" t="s">
        <v>5682</v>
      </c>
      <c r="D3422" s="49" t="s">
        <v>1264</v>
      </c>
      <c r="E3422" s="49" t="s">
        <v>3443</v>
      </c>
      <c r="F3422" s="49" t="s">
        <v>3124</v>
      </c>
      <c r="G3422" s="49" t="s">
        <v>4891</v>
      </c>
      <c r="H3422" s="49" t="s">
        <v>980</v>
      </c>
      <c r="I3422" s="50">
        <v>45378</v>
      </c>
    </row>
    <row r="3423" spans="1:13" x14ac:dyDescent="0.35">
      <c r="A3423" s="49" t="s">
        <v>12341</v>
      </c>
      <c r="B3423" s="49" t="s">
        <v>3894</v>
      </c>
      <c r="C3423" s="49" t="s">
        <v>12342</v>
      </c>
      <c r="D3423" s="49" t="s">
        <v>1264</v>
      </c>
      <c r="E3423" s="49" t="s">
        <v>2908</v>
      </c>
      <c r="F3423" s="49" t="s">
        <v>3010</v>
      </c>
      <c r="G3423" s="49" t="s">
        <v>4891</v>
      </c>
      <c r="H3423" s="49" t="s">
        <v>980</v>
      </c>
      <c r="I3423" s="50">
        <v>45378</v>
      </c>
      <c r="M3423" s="49" t="s">
        <v>12343</v>
      </c>
    </row>
    <row r="3424" spans="1:13" x14ac:dyDescent="0.35">
      <c r="A3424" s="49" t="s">
        <v>12344</v>
      </c>
      <c r="B3424" s="49" t="s">
        <v>12345</v>
      </c>
      <c r="C3424" s="49" t="s">
        <v>12346</v>
      </c>
      <c r="D3424" s="49" t="s">
        <v>1264</v>
      </c>
      <c r="E3424" s="49" t="s">
        <v>2774</v>
      </c>
      <c r="F3424" s="49" t="s">
        <v>4842</v>
      </c>
      <c r="G3424" s="49" t="s">
        <v>4891</v>
      </c>
      <c r="H3424" s="49" t="s">
        <v>973</v>
      </c>
      <c r="I3424" s="50">
        <v>45379</v>
      </c>
      <c r="M3424" s="49" t="s">
        <v>11708</v>
      </c>
    </row>
    <row r="3425" spans="1:13" x14ac:dyDescent="0.35">
      <c r="A3425" s="49" t="s">
        <v>12347</v>
      </c>
      <c r="C3425" s="49" t="s">
        <v>12299</v>
      </c>
      <c r="D3425" s="49" t="s">
        <v>1264</v>
      </c>
      <c r="E3425" s="49" t="s">
        <v>2974</v>
      </c>
      <c r="F3425" s="49" t="s">
        <v>4842</v>
      </c>
      <c r="G3425" s="49" t="s">
        <v>2776</v>
      </c>
      <c r="H3425" s="49" t="s">
        <v>2827</v>
      </c>
      <c r="I3425" s="50">
        <v>45379</v>
      </c>
      <c r="M3425" s="49" t="s">
        <v>12348</v>
      </c>
    </row>
    <row r="3426" spans="1:13" x14ac:dyDescent="0.35">
      <c r="A3426" s="49" t="s">
        <v>12349</v>
      </c>
      <c r="C3426" s="49" t="s">
        <v>12350</v>
      </c>
      <c r="D3426" s="49" t="s">
        <v>1264</v>
      </c>
      <c r="E3426" s="49" t="s">
        <v>2908</v>
      </c>
      <c r="F3426" s="49" t="s">
        <v>3010</v>
      </c>
      <c r="G3426" s="49" t="s">
        <v>2776</v>
      </c>
      <c r="H3426" s="49" t="s">
        <v>980</v>
      </c>
      <c r="I3426" s="50">
        <v>45379</v>
      </c>
      <c r="M3426" s="49" t="s">
        <v>12351</v>
      </c>
    </row>
    <row r="3427" spans="1:13" x14ac:dyDescent="0.35">
      <c r="A3427" s="49" t="s">
        <v>12352</v>
      </c>
      <c r="C3427" s="49" t="s">
        <v>3206</v>
      </c>
      <c r="D3427" s="49" t="s">
        <v>1264</v>
      </c>
      <c r="E3427" s="49" t="s">
        <v>2974</v>
      </c>
      <c r="F3427" s="49" t="s">
        <v>3005</v>
      </c>
      <c r="G3427" s="49" t="s">
        <v>4891</v>
      </c>
      <c r="H3427" s="49" t="s">
        <v>3229</v>
      </c>
      <c r="I3427" s="50">
        <v>45379</v>
      </c>
      <c r="M3427" s="49" t="s">
        <v>12353</v>
      </c>
    </row>
    <row r="3428" spans="1:13" x14ac:dyDescent="0.35">
      <c r="A3428" s="49" t="s">
        <v>12354</v>
      </c>
      <c r="C3428" s="49" t="s">
        <v>12184</v>
      </c>
      <c r="D3428" s="49" t="s">
        <v>1264</v>
      </c>
      <c r="E3428" s="49" t="s">
        <v>2986</v>
      </c>
      <c r="F3428" s="49" t="s">
        <v>2825</v>
      </c>
      <c r="G3428" s="49" t="s">
        <v>2776</v>
      </c>
      <c r="H3428" s="49" t="s">
        <v>2827</v>
      </c>
      <c r="I3428" s="50">
        <v>45379</v>
      </c>
      <c r="M3428" s="49" t="s">
        <v>12355</v>
      </c>
    </row>
    <row r="3429" spans="1:13" x14ac:dyDescent="0.35">
      <c r="A3429" s="49" t="s">
        <v>12356</v>
      </c>
      <c r="C3429" s="49" t="s">
        <v>12184</v>
      </c>
      <c r="D3429" s="49" t="s">
        <v>1264</v>
      </c>
      <c r="E3429" s="49" t="s">
        <v>2986</v>
      </c>
      <c r="F3429" s="49" t="s">
        <v>2825</v>
      </c>
      <c r="G3429" s="49" t="s">
        <v>2776</v>
      </c>
      <c r="H3429" s="49" t="s">
        <v>2827</v>
      </c>
      <c r="I3429" s="50">
        <v>45379</v>
      </c>
      <c r="M3429" s="49" t="s">
        <v>12357</v>
      </c>
    </row>
    <row r="3430" spans="1:13" x14ac:dyDescent="0.35">
      <c r="A3430" s="49" t="s">
        <v>12358</v>
      </c>
      <c r="C3430" s="49" t="s">
        <v>12184</v>
      </c>
      <c r="D3430" s="49" t="s">
        <v>1264</v>
      </c>
      <c r="E3430" s="49" t="s">
        <v>2986</v>
      </c>
      <c r="F3430" s="49" t="s">
        <v>2825</v>
      </c>
      <c r="G3430" s="49" t="s">
        <v>2776</v>
      </c>
      <c r="H3430" s="49" t="s">
        <v>2827</v>
      </c>
      <c r="I3430" s="50">
        <v>45379</v>
      </c>
      <c r="M3430" s="49" t="s">
        <v>12359</v>
      </c>
    </row>
    <row r="3431" spans="1:13" x14ac:dyDescent="0.35">
      <c r="A3431" s="49" t="s">
        <v>12360</v>
      </c>
      <c r="B3431" s="49" t="s">
        <v>4555</v>
      </c>
      <c r="C3431" s="49" t="s">
        <v>12361</v>
      </c>
      <c r="D3431" s="49" t="s">
        <v>1264</v>
      </c>
      <c r="E3431" s="49" t="s">
        <v>2908</v>
      </c>
      <c r="F3431" s="49" t="s">
        <v>2837</v>
      </c>
      <c r="G3431" s="49" t="s">
        <v>4891</v>
      </c>
      <c r="H3431" s="49" t="s">
        <v>980</v>
      </c>
      <c r="I3431" s="50">
        <v>45379</v>
      </c>
      <c r="M3431" s="49" t="s">
        <v>12362</v>
      </c>
    </row>
    <row r="3432" spans="1:13" x14ac:dyDescent="0.35">
      <c r="A3432" s="49" t="s">
        <v>12363</v>
      </c>
      <c r="C3432" s="49" t="s">
        <v>12346</v>
      </c>
      <c r="D3432" s="49" t="s">
        <v>1264</v>
      </c>
      <c r="E3432" s="49" t="s">
        <v>2986</v>
      </c>
      <c r="F3432" s="49" t="s">
        <v>2825</v>
      </c>
      <c r="G3432" s="49" t="s">
        <v>2776</v>
      </c>
      <c r="H3432" s="49" t="s">
        <v>2827</v>
      </c>
      <c r="I3432" s="50">
        <v>45380</v>
      </c>
      <c r="M3432" s="49" t="s">
        <v>12364</v>
      </c>
    </row>
    <row r="3433" spans="1:13" x14ac:dyDescent="0.35">
      <c r="A3433" s="49" t="s">
        <v>12365</v>
      </c>
      <c r="C3433" s="49" t="s">
        <v>12346</v>
      </c>
      <c r="D3433" s="49" t="s">
        <v>1264</v>
      </c>
      <c r="E3433" s="49" t="s">
        <v>2986</v>
      </c>
      <c r="F3433" s="49" t="s">
        <v>2825</v>
      </c>
      <c r="G3433" s="49" t="s">
        <v>2776</v>
      </c>
      <c r="H3433" s="49" t="s">
        <v>2827</v>
      </c>
      <c r="I3433" s="50">
        <v>45380</v>
      </c>
      <c r="M3433" s="49" t="s">
        <v>12366</v>
      </c>
    </row>
    <row r="3434" spans="1:13" x14ac:dyDescent="0.35">
      <c r="A3434" s="49" t="s">
        <v>12367</v>
      </c>
      <c r="B3434" s="49" t="s">
        <v>12276</v>
      </c>
      <c r="C3434" s="49" t="s">
        <v>12368</v>
      </c>
      <c r="D3434" s="49" t="s">
        <v>1264</v>
      </c>
      <c r="E3434" s="49" t="s">
        <v>2908</v>
      </c>
      <c r="F3434" s="49" t="s">
        <v>2837</v>
      </c>
      <c r="G3434" s="49" t="s">
        <v>4891</v>
      </c>
      <c r="H3434" s="49" t="s">
        <v>980</v>
      </c>
      <c r="I3434" s="50">
        <v>45380</v>
      </c>
      <c r="M3434" s="49" t="s">
        <v>12369</v>
      </c>
    </row>
    <row r="3435" spans="1:13" x14ac:dyDescent="0.35">
      <c r="A3435" s="49" t="s">
        <v>12370</v>
      </c>
      <c r="C3435" s="49" t="s">
        <v>12361</v>
      </c>
      <c r="D3435" s="49" t="s">
        <v>1264</v>
      </c>
      <c r="E3435" s="49" t="s">
        <v>2974</v>
      </c>
      <c r="F3435" s="49" t="s">
        <v>3188</v>
      </c>
      <c r="G3435" s="49" t="s">
        <v>2776</v>
      </c>
      <c r="H3435" s="49" t="s">
        <v>973</v>
      </c>
      <c r="I3435" s="50">
        <v>45385</v>
      </c>
      <c r="M3435" s="49" t="s">
        <v>12371</v>
      </c>
    </row>
    <row r="3436" spans="1:13" x14ac:dyDescent="0.35">
      <c r="A3436" s="49" t="s">
        <v>12372</v>
      </c>
      <c r="B3436" s="49" t="s">
        <v>6040</v>
      </c>
      <c r="C3436" s="49" t="s">
        <v>12373</v>
      </c>
      <c r="D3436" s="49" t="s">
        <v>1264</v>
      </c>
      <c r="E3436" s="49" t="s">
        <v>3443</v>
      </c>
      <c r="F3436" s="49" t="s">
        <v>3124</v>
      </c>
      <c r="G3436" s="49" t="s">
        <v>4891</v>
      </c>
      <c r="H3436" s="49" t="s">
        <v>980</v>
      </c>
      <c r="I3436" s="50">
        <v>45385</v>
      </c>
    </row>
    <row r="3437" spans="1:13" x14ac:dyDescent="0.35">
      <c r="A3437" s="49" t="s">
        <v>12374</v>
      </c>
      <c r="B3437" s="49" t="s">
        <v>3784</v>
      </c>
      <c r="C3437" s="49" t="s">
        <v>3882</v>
      </c>
      <c r="D3437" s="49" t="s">
        <v>1264</v>
      </c>
      <c r="E3437" s="49" t="s">
        <v>2785</v>
      </c>
      <c r="F3437" s="49" t="s">
        <v>2805</v>
      </c>
      <c r="G3437" s="49" t="s">
        <v>4891</v>
      </c>
      <c r="H3437" s="49" t="s">
        <v>2827</v>
      </c>
      <c r="I3437" s="50">
        <v>45385</v>
      </c>
      <c r="M3437" s="49" t="s">
        <v>12375</v>
      </c>
    </row>
    <row r="3438" spans="1:13" x14ac:dyDescent="0.35">
      <c r="A3438" s="49" t="s">
        <v>12376</v>
      </c>
      <c r="C3438" s="49" t="s">
        <v>12361</v>
      </c>
      <c r="D3438" s="49" t="s">
        <v>1264</v>
      </c>
      <c r="E3438" s="49" t="s">
        <v>2774</v>
      </c>
      <c r="F3438" s="49" t="s">
        <v>4842</v>
      </c>
      <c r="G3438" s="49" t="s">
        <v>4891</v>
      </c>
      <c r="H3438" s="49" t="s">
        <v>2827</v>
      </c>
      <c r="I3438" s="50">
        <v>45385</v>
      </c>
      <c r="M3438" s="49" t="s">
        <v>12377</v>
      </c>
    </row>
    <row r="3439" spans="1:13" x14ac:dyDescent="0.35">
      <c r="A3439" s="49" t="s">
        <v>12378</v>
      </c>
      <c r="B3439" s="49" t="s">
        <v>5066</v>
      </c>
      <c r="C3439" s="49" t="s">
        <v>12379</v>
      </c>
      <c r="D3439" s="49" t="s">
        <v>1264</v>
      </c>
      <c r="E3439" s="49" t="s">
        <v>2785</v>
      </c>
      <c r="F3439" s="49" t="s">
        <v>2792</v>
      </c>
      <c r="G3439" s="49" t="s">
        <v>4330</v>
      </c>
      <c r="H3439" s="49" t="s">
        <v>8</v>
      </c>
      <c r="I3439" s="50">
        <v>45385</v>
      </c>
      <c r="M3439" s="49" t="s">
        <v>12380</v>
      </c>
    </row>
    <row r="3440" spans="1:13" x14ac:dyDescent="0.35">
      <c r="A3440" s="49" t="s">
        <v>12381</v>
      </c>
      <c r="B3440" s="49" t="s">
        <v>12382</v>
      </c>
      <c r="C3440" s="49" t="s">
        <v>12321</v>
      </c>
      <c r="D3440" s="49" t="s">
        <v>1264</v>
      </c>
      <c r="E3440" s="49" t="s">
        <v>2785</v>
      </c>
      <c r="F3440" s="49" t="s">
        <v>2786</v>
      </c>
      <c r="G3440" s="49" t="s">
        <v>4891</v>
      </c>
      <c r="H3440" s="49" t="s">
        <v>835</v>
      </c>
      <c r="I3440" s="50">
        <v>45364</v>
      </c>
      <c r="M3440" s="49" t="s">
        <v>12322</v>
      </c>
    </row>
    <row r="3441" spans="1:13" x14ac:dyDescent="0.35">
      <c r="A3441" s="49" t="s">
        <v>12383</v>
      </c>
      <c r="B3441" s="49" t="s">
        <v>12384</v>
      </c>
      <c r="C3441" s="49" t="s">
        <v>12385</v>
      </c>
      <c r="D3441" s="49" t="s">
        <v>1264</v>
      </c>
      <c r="E3441" s="49" t="s">
        <v>2908</v>
      </c>
      <c r="F3441" s="49" t="s">
        <v>3010</v>
      </c>
      <c r="G3441" s="49" t="s">
        <v>4891</v>
      </c>
      <c r="H3441" s="49" t="s">
        <v>980</v>
      </c>
      <c r="I3441" s="50">
        <v>45390</v>
      </c>
      <c r="M3441" s="49" t="s">
        <v>12386</v>
      </c>
    </row>
    <row r="3442" spans="1:13" x14ac:dyDescent="0.35">
      <c r="A3442" s="49" t="s">
        <v>12387</v>
      </c>
      <c r="B3442" s="49" t="s">
        <v>12388</v>
      </c>
      <c r="C3442" s="49" t="s">
        <v>12389</v>
      </c>
      <c r="D3442" s="49" t="s">
        <v>1264</v>
      </c>
      <c r="E3442" s="49" t="s">
        <v>2785</v>
      </c>
      <c r="F3442" s="49" t="s">
        <v>2792</v>
      </c>
      <c r="G3442" s="49" t="s">
        <v>4891</v>
      </c>
      <c r="H3442" s="49" t="s">
        <v>857</v>
      </c>
      <c r="I3442" s="50">
        <v>45390</v>
      </c>
      <c r="M3442" s="49" t="s">
        <v>12390</v>
      </c>
    </row>
    <row r="3443" spans="1:13" x14ac:dyDescent="0.35">
      <c r="A3443" s="49" t="s">
        <v>12391</v>
      </c>
      <c r="B3443" s="49" t="s">
        <v>12392</v>
      </c>
      <c r="C3443" s="49" t="s">
        <v>3731</v>
      </c>
      <c r="D3443" s="49" t="s">
        <v>1264</v>
      </c>
      <c r="E3443" s="49" t="s">
        <v>2785</v>
      </c>
      <c r="F3443" s="49" t="s">
        <v>2786</v>
      </c>
      <c r="G3443" s="49" t="s">
        <v>4891</v>
      </c>
      <c r="H3443" s="49" t="s">
        <v>4225</v>
      </c>
      <c r="I3443" s="50">
        <v>45390</v>
      </c>
      <c r="M3443" s="49" t="s">
        <v>12393</v>
      </c>
    </row>
    <row r="3444" spans="1:13" x14ac:dyDescent="0.35">
      <c r="A3444" s="49" t="s">
        <v>12394</v>
      </c>
      <c r="B3444" s="49" t="s">
        <v>12395</v>
      </c>
      <c r="C3444" s="49" t="s">
        <v>12396</v>
      </c>
      <c r="D3444" s="49" t="s">
        <v>1264</v>
      </c>
      <c r="E3444" s="49" t="s">
        <v>2785</v>
      </c>
      <c r="F3444" s="49" t="s">
        <v>2792</v>
      </c>
      <c r="G3444" s="49" t="s">
        <v>2776</v>
      </c>
      <c r="H3444" s="49" t="s">
        <v>980</v>
      </c>
      <c r="I3444" s="50">
        <v>45358</v>
      </c>
      <c r="M3444" s="49" t="s">
        <v>12397</v>
      </c>
    </row>
    <row r="3445" spans="1:13" x14ac:dyDescent="0.35">
      <c r="A3445" s="49" t="s">
        <v>12398</v>
      </c>
      <c r="B3445" s="49" t="s">
        <v>3615</v>
      </c>
      <c r="C3445" s="49" t="s">
        <v>12399</v>
      </c>
      <c r="D3445" s="49" t="s">
        <v>1264</v>
      </c>
      <c r="E3445" s="49" t="s">
        <v>2785</v>
      </c>
      <c r="F3445" s="49" t="s">
        <v>2786</v>
      </c>
      <c r="G3445" s="49" t="s">
        <v>4330</v>
      </c>
      <c r="H3445" s="49" t="s">
        <v>980</v>
      </c>
      <c r="I3445" s="50">
        <v>45390</v>
      </c>
      <c r="M3445" s="49" t="s">
        <v>12329</v>
      </c>
    </row>
    <row r="3446" spans="1:13" x14ac:dyDescent="0.35">
      <c r="A3446" s="49" t="s">
        <v>12400</v>
      </c>
      <c r="B3446" s="49" t="s">
        <v>12401</v>
      </c>
      <c r="C3446" s="49" t="s">
        <v>4345</v>
      </c>
      <c r="D3446" s="49" t="s">
        <v>1264</v>
      </c>
      <c r="E3446" s="49" t="s">
        <v>2785</v>
      </c>
      <c r="F3446" s="49" t="s">
        <v>2786</v>
      </c>
      <c r="G3446" s="49" t="s">
        <v>4891</v>
      </c>
      <c r="H3446" s="49" t="s">
        <v>2827</v>
      </c>
      <c r="I3446" s="50">
        <v>45397</v>
      </c>
      <c r="M3446" s="49" t="s">
        <v>12402</v>
      </c>
    </row>
    <row r="3447" spans="1:13" x14ac:dyDescent="0.35">
      <c r="A3447" s="49" t="s">
        <v>12403</v>
      </c>
      <c r="B3447" s="49" t="s">
        <v>5810</v>
      </c>
      <c r="C3447" s="49" t="s">
        <v>6314</v>
      </c>
      <c r="D3447" s="49" t="s">
        <v>1264</v>
      </c>
      <c r="E3447" s="49" t="s">
        <v>2785</v>
      </c>
      <c r="F3447" s="49" t="s">
        <v>2805</v>
      </c>
      <c r="G3447" s="49" t="s">
        <v>2776</v>
      </c>
      <c r="H3447" s="49" t="s">
        <v>980</v>
      </c>
      <c r="I3447" s="50">
        <v>45397</v>
      </c>
      <c r="M3447" s="49" t="s">
        <v>12404</v>
      </c>
    </row>
    <row r="3448" spans="1:13" x14ac:dyDescent="0.35">
      <c r="A3448" s="49" t="s">
        <v>12405</v>
      </c>
      <c r="C3448" s="49" t="s">
        <v>12406</v>
      </c>
      <c r="D3448" s="49" t="s">
        <v>1264</v>
      </c>
      <c r="E3448" s="49" t="s">
        <v>2986</v>
      </c>
      <c r="F3448" s="49" t="s">
        <v>2825</v>
      </c>
      <c r="G3448" s="49" t="s">
        <v>2776</v>
      </c>
      <c r="H3448" s="49" t="s">
        <v>2827</v>
      </c>
      <c r="I3448" s="50">
        <v>45349</v>
      </c>
      <c r="M3448" s="49" t="s">
        <v>12407</v>
      </c>
    </row>
    <row r="3449" spans="1:13" x14ac:dyDescent="0.35">
      <c r="A3449" s="49" t="s">
        <v>12408</v>
      </c>
      <c r="C3449" s="49" t="s">
        <v>12409</v>
      </c>
      <c r="D3449" s="49" t="s">
        <v>1264</v>
      </c>
      <c r="E3449" s="49" t="s">
        <v>2986</v>
      </c>
      <c r="F3449" s="49" t="s">
        <v>2825</v>
      </c>
      <c r="G3449" s="49" t="s">
        <v>4891</v>
      </c>
      <c r="H3449" s="49" t="s">
        <v>973</v>
      </c>
      <c r="I3449" s="50">
        <v>45397</v>
      </c>
      <c r="M3449" s="49" t="s">
        <v>12410</v>
      </c>
    </row>
    <row r="3450" spans="1:13" x14ac:dyDescent="0.35">
      <c r="A3450" s="49" t="s">
        <v>12411</v>
      </c>
      <c r="C3450" s="49" t="s">
        <v>12412</v>
      </c>
      <c r="D3450" s="49" t="s">
        <v>1264</v>
      </c>
      <c r="E3450" s="49" t="s">
        <v>2986</v>
      </c>
      <c r="F3450" s="49" t="s">
        <v>2825</v>
      </c>
      <c r="G3450" s="49" t="s">
        <v>4891</v>
      </c>
      <c r="H3450" s="49" t="s">
        <v>2827</v>
      </c>
      <c r="I3450" s="50">
        <v>45398</v>
      </c>
      <c r="M3450" s="49" t="s">
        <v>5948</v>
      </c>
    </row>
    <row r="3451" spans="1:13" x14ac:dyDescent="0.35">
      <c r="A3451" s="49" t="s">
        <v>12413</v>
      </c>
      <c r="C3451" s="49" t="s">
        <v>12406</v>
      </c>
      <c r="D3451" s="49" t="s">
        <v>1264</v>
      </c>
      <c r="E3451" s="49" t="s">
        <v>2986</v>
      </c>
      <c r="F3451" s="49" t="s">
        <v>2825</v>
      </c>
      <c r="G3451" s="49" t="s">
        <v>2776</v>
      </c>
      <c r="H3451" s="49" t="s">
        <v>2827</v>
      </c>
      <c r="I3451" s="50">
        <v>45349</v>
      </c>
      <c r="M3451" s="49" t="s">
        <v>12414</v>
      </c>
    </row>
    <row r="3452" spans="1:13" x14ac:dyDescent="0.35">
      <c r="A3452" s="49" t="s">
        <v>12415</v>
      </c>
      <c r="B3452" s="49" t="s">
        <v>3768</v>
      </c>
      <c r="C3452" s="49" t="s">
        <v>12416</v>
      </c>
      <c r="D3452" s="49" t="s">
        <v>1264</v>
      </c>
      <c r="E3452" s="49" t="s">
        <v>3443</v>
      </c>
      <c r="F3452" s="49" t="s">
        <v>3124</v>
      </c>
      <c r="G3452" s="49" t="s">
        <v>4891</v>
      </c>
      <c r="H3452" s="49" t="s">
        <v>980</v>
      </c>
      <c r="I3452" s="50">
        <v>45397</v>
      </c>
    </row>
    <row r="3453" spans="1:13" x14ac:dyDescent="0.35">
      <c r="A3453" s="49" t="s">
        <v>12417</v>
      </c>
      <c r="C3453" s="49" t="s">
        <v>3492</v>
      </c>
      <c r="D3453" s="49" t="s">
        <v>1264</v>
      </c>
      <c r="E3453" s="49" t="s">
        <v>2986</v>
      </c>
      <c r="F3453" s="49" t="s">
        <v>2825</v>
      </c>
      <c r="G3453" s="49" t="s">
        <v>4891</v>
      </c>
      <c r="H3453" s="49" t="s">
        <v>2827</v>
      </c>
      <c r="I3453" s="50">
        <v>45349</v>
      </c>
      <c r="M3453" s="49" t="s">
        <v>12418</v>
      </c>
    </row>
    <row r="3454" spans="1:13" x14ac:dyDescent="0.35">
      <c r="A3454" s="49" t="s">
        <v>12419</v>
      </c>
      <c r="B3454" s="49" t="s">
        <v>3075</v>
      </c>
      <c r="C3454" s="49" t="s">
        <v>12420</v>
      </c>
      <c r="D3454" s="49" t="s">
        <v>1264</v>
      </c>
      <c r="E3454" s="49" t="s">
        <v>2908</v>
      </c>
      <c r="F3454" s="49" t="s">
        <v>2837</v>
      </c>
      <c r="G3454" s="49" t="s">
        <v>4891</v>
      </c>
      <c r="H3454" s="49" t="s">
        <v>2827</v>
      </c>
      <c r="I3454" s="50">
        <v>45406</v>
      </c>
      <c r="M3454" s="49" t="s">
        <v>12421</v>
      </c>
    </row>
    <row r="3455" spans="1:13" x14ac:dyDescent="0.35">
      <c r="A3455" s="49" t="s">
        <v>12422</v>
      </c>
      <c r="C3455" s="49" t="s">
        <v>3568</v>
      </c>
      <c r="D3455" s="49" t="s">
        <v>1264</v>
      </c>
      <c r="E3455" s="49" t="s">
        <v>2814</v>
      </c>
      <c r="F3455" s="49" t="s">
        <v>3188</v>
      </c>
      <c r="G3455" s="49" t="s">
        <v>2776</v>
      </c>
      <c r="H3455" s="49" t="s">
        <v>973</v>
      </c>
      <c r="I3455" s="50">
        <v>45414</v>
      </c>
      <c r="M3455" s="49" t="s">
        <v>5412</v>
      </c>
    </row>
    <row r="3456" spans="1:13" x14ac:dyDescent="0.35">
      <c r="A3456" s="49" t="s">
        <v>12423</v>
      </c>
      <c r="C3456" s="49" t="s">
        <v>12173</v>
      </c>
      <c r="D3456" s="49" t="s">
        <v>1264</v>
      </c>
      <c r="E3456" s="49" t="s">
        <v>2814</v>
      </c>
      <c r="F3456" s="49" t="s">
        <v>2825</v>
      </c>
      <c r="G3456" s="49" t="s">
        <v>4891</v>
      </c>
      <c r="H3456" s="49" t="s">
        <v>2827</v>
      </c>
      <c r="I3456" s="50">
        <v>45414</v>
      </c>
      <c r="M3456" s="49" t="s">
        <v>12424</v>
      </c>
    </row>
    <row r="3457" spans="1:13" x14ac:dyDescent="0.35">
      <c r="A3457" s="49" t="s">
        <v>12425</v>
      </c>
      <c r="C3457" s="49" t="s">
        <v>12426</v>
      </c>
      <c r="D3457" s="49" t="s">
        <v>1264</v>
      </c>
      <c r="E3457" s="49" t="s">
        <v>2814</v>
      </c>
      <c r="F3457" s="49" t="s">
        <v>2837</v>
      </c>
      <c r="G3457" s="49" t="s">
        <v>2776</v>
      </c>
      <c r="H3457" s="49" t="s">
        <v>980</v>
      </c>
      <c r="I3457" s="50">
        <v>45415</v>
      </c>
      <c r="M3457" s="49" t="s">
        <v>12427</v>
      </c>
    </row>
    <row r="3458" spans="1:13" x14ac:dyDescent="0.35">
      <c r="A3458" s="49" t="s">
        <v>12428</v>
      </c>
      <c r="B3458" s="49" t="s">
        <v>3075</v>
      </c>
      <c r="C3458" s="49" t="s">
        <v>12429</v>
      </c>
      <c r="D3458" s="49" t="s">
        <v>1264</v>
      </c>
      <c r="E3458" s="49" t="s">
        <v>2908</v>
      </c>
      <c r="F3458" s="49" t="s">
        <v>2837</v>
      </c>
      <c r="G3458" s="49" t="s">
        <v>4891</v>
      </c>
      <c r="H3458" s="49" t="s">
        <v>2827</v>
      </c>
      <c r="I3458" s="50">
        <v>45415</v>
      </c>
      <c r="M3458" s="49" t="s">
        <v>12430</v>
      </c>
    </row>
    <row r="3459" spans="1:13" x14ac:dyDescent="0.35">
      <c r="A3459" s="49" t="s">
        <v>12431</v>
      </c>
      <c r="C3459" s="49" t="s">
        <v>3835</v>
      </c>
      <c r="D3459" s="49" t="s">
        <v>1264</v>
      </c>
      <c r="E3459" s="49" t="s">
        <v>2814</v>
      </c>
      <c r="F3459" s="49" t="s">
        <v>2825</v>
      </c>
      <c r="G3459" s="49" t="s">
        <v>2776</v>
      </c>
      <c r="H3459" s="49" t="s">
        <v>2827</v>
      </c>
      <c r="I3459" s="50">
        <v>45418</v>
      </c>
      <c r="M3459" s="49" t="s">
        <v>8471</v>
      </c>
    </row>
    <row r="3460" spans="1:13" x14ac:dyDescent="0.35">
      <c r="A3460" s="49" t="s">
        <v>12432</v>
      </c>
      <c r="C3460" s="49" t="s">
        <v>4965</v>
      </c>
      <c r="D3460" s="49" t="s">
        <v>1264</v>
      </c>
      <c r="E3460" s="49" t="s">
        <v>2814</v>
      </c>
      <c r="F3460" s="49" t="s">
        <v>4611</v>
      </c>
      <c r="G3460" s="49" t="s">
        <v>4891</v>
      </c>
      <c r="H3460" s="49" t="s">
        <v>980</v>
      </c>
      <c r="I3460" s="50">
        <v>45418</v>
      </c>
      <c r="M3460" s="49" t="s">
        <v>12433</v>
      </c>
    </row>
    <row r="3461" spans="1:13" x14ac:dyDescent="0.35">
      <c r="A3461" s="49" t="s">
        <v>12434</v>
      </c>
      <c r="C3461" s="49" t="s">
        <v>12184</v>
      </c>
      <c r="D3461" s="49" t="s">
        <v>1264</v>
      </c>
      <c r="E3461" s="49" t="s">
        <v>2974</v>
      </c>
      <c r="F3461" s="49" t="s">
        <v>2825</v>
      </c>
      <c r="G3461" s="49" t="s">
        <v>2776</v>
      </c>
      <c r="H3461" s="49" t="s">
        <v>2827</v>
      </c>
      <c r="I3461" s="50">
        <v>45418</v>
      </c>
      <c r="M3461" s="49" t="s">
        <v>3085</v>
      </c>
    </row>
    <row r="3462" spans="1:13" x14ac:dyDescent="0.35">
      <c r="A3462" s="49" t="s">
        <v>12435</v>
      </c>
      <c r="C3462" s="49" t="s">
        <v>12184</v>
      </c>
      <c r="D3462" s="49" t="s">
        <v>1264</v>
      </c>
      <c r="E3462" s="49" t="s">
        <v>2974</v>
      </c>
      <c r="F3462" s="49" t="s">
        <v>2825</v>
      </c>
      <c r="G3462" s="49" t="s">
        <v>2776</v>
      </c>
      <c r="H3462" s="49" t="s">
        <v>2827</v>
      </c>
      <c r="I3462" s="50">
        <v>45418</v>
      </c>
      <c r="M3462" s="49" t="s">
        <v>12359</v>
      </c>
    </row>
    <row r="3463" spans="1:13" x14ac:dyDescent="0.35">
      <c r="A3463" s="49" t="s">
        <v>12436</v>
      </c>
      <c r="B3463" s="49" t="s">
        <v>5810</v>
      </c>
      <c r="C3463" s="49" t="s">
        <v>12429</v>
      </c>
      <c r="D3463" s="49" t="s">
        <v>1264</v>
      </c>
      <c r="E3463" s="49" t="s">
        <v>2785</v>
      </c>
      <c r="F3463" s="49" t="s">
        <v>2805</v>
      </c>
      <c r="G3463" s="49" t="s">
        <v>2776</v>
      </c>
      <c r="H3463" s="49" t="s">
        <v>980</v>
      </c>
      <c r="I3463" s="50">
        <v>45418</v>
      </c>
      <c r="M3463" s="49" t="s">
        <v>12437</v>
      </c>
    </row>
    <row r="3464" spans="1:13" x14ac:dyDescent="0.35">
      <c r="A3464" s="49" t="s">
        <v>12438</v>
      </c>
      <c r="B3464" s="49" t="s">
        <v>3021</v>
      </c>
      <c r="C3464" s="49" t="s">
        <v>9164</v>
      </c>
      <c r="D3464" s="49" t="s">
        <v>1264</v>
      </c>
      <c r="E3464" s="49" t="s">
        <v>2785</v>
      </c>
      <c r="F3464" s="49" t="s">
        <v>4048</v>
      </c>
      <c r="G3464" s="49" t="s">
        <v>4891</v>
      </c>
      <c r="H3464" s="49" t="s">
        <v>2832</v>
      </c>
      <c r="I3464" s="50">
        <v>45419</v>
      </c>
      <c r="M3464" s="49" t="s">
        <v>12439</v>
      </c>
    </row>
    <row r="3465" spans="1:13" x14ac:dyDescent="0.35">
      <c r="A3465" s="49" t="s">
        <v>12440</v>
      </c>
      <c r="B3465" s="49" t="s">
        <v>12441</v>
      </c>
      <c r="C3465" s="49" t="s">
        <v>12442</v>
      </c>
      <c r="D3465" s="49" t="s">
        <v>1264</v>
      </c>
      <c r="E3465" s="49" t="s">
        <v>2785</v>
      </c>
      <c r="F3465" s="49" t="s">
        <v>2792</v>
      </c>
      <c r="G3465" s="49" t="s">
        <v>4891</v>
      </c>
      <c r="H3465" s="49" t="s">
        <v>8</v>
      </c>
      <c r="I3465" s="50">
        <v>45419</v>
      </c>
      <c r="M3465" s="49" t="s">
        <v>12443</v>
      </c>
    </row>
    <row r="3466" spans="1:13" x14ac:dyDescent="0.35">
      <c r="A3466" s="49" t="s">
        <v>12444</v>
      </c>
      <c r="B3466" s="49" t="s">
        <v>12445</v>
      </c>
      <c r="C3466" s="49" t="s">
        <v>12446</v>
      </c>
      <c r="D3466" s="49" t="s">
        <v>1264</v>
      </c>
      <c r="E3466" s="49" t="s">
        <v>2785</v>
      </c>
      <c r="F3466" s="49" t="s">
        <v>2792</v>
      </c>
      <c r="G3466" s="49" t="s">
        <v>2776</v>
      </c>
      <c r="H3466" s="49" t="s">
        <v>980</v>
      </c>
      <c r="I3466" s="50">
        <v>45419</v>
      </c>
      <c r="M3466" s="49" t="s">
        <v>12447</v>
      </c>
    </row>
    <row r="3467" spans="1:13" x14ac:dyDescent="0.35">
      <c r="A3467" s="49" t="s">
        <v>12448</v>
      </c>
      <c r="B3467" s="49" t="s">
        <v>5810</v>
      </c>
      <c r="C3467" s="49" t="s">
        <v>4725</v>
      </c>
      <c r="D3467" s="49" t="s">
        <v>1264</v>
      </c>
      <c r="E3467" s="49" t="s">
        <v>2785</v>
      </c>
      <c r="F3467" s="49" t="s">
        <v>2786</v>
      </c>
      <c r="G3467" s="49" t="s">
        <v>4891</v>
      </c>
      <c r="H3467" s="49" t="s">
        <v>980</v>
      </c>
      <c r="I3467" s="50">
        <v>45419</v>
      </c>
      <c r="M3467" s="49" t="s">
        <v>12449</v>
      </c>
    </row>
    <row r="3468" spans="1:13" x14ac:dyDescent="0.35">
      <c r="A3468" s="49" t="s">
        <v>12450</v>
      </c>
      <c r="B3468" s="49" t="s">
        <v>12451</v>
      </c>
      <c r="C3468" s="49" t="s">
        <v>12452</v>
      </c>
      <c r="D3468" s="49" t="s">
        <v>1264</v>
      </c>
      <c r="E3468" s="49" t="s">
        <v>2774</v>
      </c>
      <c r="F3468" s="49" t="s">
        <v>3005</v>
      </c>
      <c r="G3468" s="49" t="s">
        <v>4891</v>
      </c>
      <c r="H3468" s="49" t="s">
        <v>3207</v>
      </c>
      <c r="I3468" s="50">
        <v>45419</v>
      </c>
      <c r="M3468" s="49" t="s">
        <v>12453</v>
      </c>
    </row>
    <row r="3469" spans="1:13" x14ac:dyDescent="0.35">
      <c r="A3469" s="49" t="s">
        <v>12454</v>
      </c>
      <c r="B3469" s="49" t="s">
        <v>12455</v>
      </c>
      <c r="C3469" s="49" t="s">
        <v>12456</v>
      </c>
      <c r="D3469" s="49" t="s">
        <v>1264</v>
      </c>
      <c r="E3469" s="49" t="s">
        <v>2908</v>
      </c>
      <c r="F3469" s="49" t="s">
        <v>2939</v>
      </c>
      <c r="G3469" s="49" t="s">
        <v>4891</v>
      </c>
      <c r="H3469" s="49" t="s">
        <v>2832</v>
      </c>
      <c r="I3469" s="50">
        <v>45397</v>
      </c>
      <c r="M3469" s="49" t="s">
        <v>12457</v>
      </c>
    </row>
    <row r="3470" spans="1:13" x14ac:dyDescent="0.35">
      <c r="A3470" s="49" t="s">
        <v>12458</v>
      </c>
      <c r="B3470" s="49" t="s">
        <v>12401</v>
      </c>
      <c r="C3470" s="49" t="s">
        <v>12459</v>
      </c>
      <c r="D3470" s="49" t="s">
        <v>1264</v>
      </c>
      <c r="E3470" s="49" t="s">
        <v>2908</v>
      </c>
      <c r="F3470" s="49" t="s">
        <v>2837</v>
      </c>
      <c r="G3470" s="49" t="s">
        <v>4891</v>
      </c>
      <c r="H3470" s="49" t="s">
        <v>2827</v>
      </c>
      <c r="I3470" s="50">
        <v>45397</v>
      </c>
      <c r="M3470" s="49" t="s">
        <v>12460</v>
      </c>
    </row>
    <row r="3471" spans="1:13" x14ac:dyDescent="0.35">
      <c r="A3471" s="49" t="s">
        <v>12461</v>
      </c>
      <c r="B3471" s="49" t="s">
        <v>12462</v>
      </c>
      <c r="C3471" s="49" t="s">
        <v>3727</v>
      </c>
      <c r="D3471" s="49" t="s">
        <v>1264</v>
      </c>
      <c r="E3471" s="49" t="s">
        <v>2785</v>
      </c>
      <c r="F3471" s="49" t="s">
        <v>2786</v>
      </c>
      <c r="G3471" s="49" t="s">
        <v>4891</v>
      </c>
      <c r="H3471" s="49" t="s">
        <v>980</v>
      </c>
      <c r="I3471" s="50">
        <v>45419</v>
      </c>
      <c r="M3471" s="49" t="s">
        <v>12463</v>
      </c>
    </row>
    <row r="3472" spans="1:13" x14ac:dyDescent="0.35">
      <c r="A3472" s="49" t="s">
        <v>12464</v>
      </c>
      <c r="B3472" s="49" t="s">
        <v>12401</v>
      </c>
      <c r="C3472" s="49" t="s">
        <v>3882</v>
      </c>
      <c r="D3472" s="49" t="s">
        <v>1264</v>
      </c>
      <c r="E3472" s="49" t="s">
        <v>2908</v>
      </c>
      <c r="F3472" s="49" t="s">
        <v>2837</v>
      </c>
      <c r="G3472" s="49" t="s">
        <v>4891</v>
      </c>
      <c r="H3472" s="49" t="s">
        <v>2827</v>
      </c>
      <c r="I3472" s="50">
        <v>45370</v>
      </c>
      <c r="M3472" s="49" t="s">
        <v>12465</v>
      </c>
    </row>
    <row r="3473" spans="1:13" x14ac:dyDescent="0.35">
      <c r="A3473" s="49" t="s">
        <v>12466</v>
      </c>
      <c r="B3473" s="49" t="s">
        <v>12467</v>
      </c>
      <c r="C3473" s="49" t="s">
        <v>12468</v>
      </c>
      <c r="D3473" s="49" t="s">
        <v>1264</v>
      </c>
      <c r="E3473" s="49" t="s">
        <v>2785</v>
      </c>
      <c r="F3473" s="49" t="s">
        <v>2792</v>
      </c>
      <c r="G3473" s="49" t="s">
        <v>4891</v>
      </c>
      <c r="H3473" s="49" t="s">
        <v>980</v>
      </c>
      <c r="I3473" s="50">
        <v>45400</v>
      </c>
      <c r="M3473" s="49" t="s">
        <v>12469</v>
      </c>
    </row>
    <row r="3474" spans="1:13" x14ac:dyDescent="0.35">
      <c r="A3474" s="49" t="s">
        <v>12470</v>
      </c>
      <c r="B3474" s="49" t="s">
        <v>12471</v>
      </c>
      <c r="C3474" s="49" t="s">
        <v>12472</v>
      </c>
      <c r="D3474" s="49" t="s">
        <v>1264</v>
      </c>
      <c r="E3474" s="49" t="s">
        <v>2785</v>
      </c>
      <c r="F3474" s="49" t="s">
        <v>2792</v>
      </c>
      <c r="G3474" s="49" t="s">
        <v>4891</v>
      </c>
      <c r="H3474" s="49" t="s">
        <v>980</v>
      </c>
      <c r="I3474" s="50">
        <v>45419</v>
      </c>
      <c r="M3474" s="49" t="s">
        <v>12473</v>
      </c>
    </row>
    <row r="3475" spans="1:13" x14ac:dyDescent="0.35">
      <c r="A3475" s="49" t="s">
        <v>12474</v>
      </c>
      <c r="B3475" s="49" t="s">
        <v>12475</v>
      </c>
      <c r="C3475" s="49" t="s">
        <v>12476</v>
      </c>
      <c r="D3475" s="49" t="s">
        <v>1264</v>
      </c>
      <c r="E3475" s="49" t="s">
        <v>2785</v>
      </c>
      <c r="F3475" s="49" t="s">
        <v>2792</v>
      </c>
      <c r="G3475" s="49" t="s">
        <v>4891</v>
      </c>
      <c r="H3475" s="49" t="s">
        <v>835</v>
      </c>
      <c r="I3475" s="50">
        <v>45408</v>
      </c>
      <c r="M3475" s="49" t="s">
        <v>12477</v>
      </c>
    </row>
    <row r="3476" spans="1:13" x14ac:dyDescent="0.35">
      <c r="A3476" s="49" t="s">
        <v>12478</v>
      </c>
      <c r="B3476" s="49" t="s">
        <v>11692</v>
      </c>
      <c r="C3476" s="49" t="s">
        <v>12118</v>
      </c>
      <c r="D3476" s="49" t="s">
        <v>1264</v>
      </c>
      <c r="E3476" s="49" t="s">
        <v>2908</v>
      </c>
      <c r="F3476" s="49" t="s">
        <v>2939</v>
      </c>
      <c r="G3476" s="49" t="s">
        <v>4891</v>
      </c>
      <c r="H3476" s="49" t="s">
        <v>2832</v>
      </c>
      <c r="I3476" s="50">
        <v>45420</v>
      </c>
      <c r="M3476" s="49" t="s">
        <v>12479</v>
      </c>
    </row>
    <row r="3477" spans="1:13" x14ac:dyDescent="0.35">
      <c r="A3477" s="49" t="s">
        <v>12480</v>
      </c>
      <c r="B3477" s="49" t="s">
        <v>12481</v>
      </c>
      <c r="C3477" s="49" t="s">
        <v>4103</v>
      </c>
      <c r="D3477" s="49" t="s">
        <v>1264</v>
      </c>
      <c r="E3477" s="49" t="s">
        <v>2908</v>
      </c>
      <c r="F3477" s="49" t="s">
        <v>4048</v>
      </c>
      <c r="G3477" s="49" t="s">
        <v>4891</v>
      </c>
      <c r="H3477" s="49" t="s">
        <v>2827</v>
      </c>
      <c r="I3477" s="50">
        <v>45420</v>
      </c>
      <c r="M3477" s="49" t="s">
        <v>12482</v>
      </c>
    </row>
    <row r="3478" spans="1:13" x14ac:dyDescent="0.35">
      <c r="A3478" s="49" t="s">
        <v>12483</v>
      </c>
      <c r="C3478" s="49" t="s">
        <v>6331</v>
      </c>
      <c r="D3478" s="49" t="s">
        <v>1264</v>
      </c>
      <c r="E3478" s="49" t="s">
        <v>2974</v>
      </c>
      <c r="F3478" s="49" t="s">
        <v>2825</v>
      </c>
      <c r="G3478" s="49" t="s">
        <v>4891</v>
      </c>
      <c r="H3478" s="49" t="s">
        <v>973</v>
      </c>
      <c r="I3478" s="50">
        <v>45420</v>
      </c>
      <c r="M3478" s="49" t="s">
        <v>12484</v>
      </c>
    </row>
    <row r="3479" spans="1:13" x14ac:dyDescent="0.35">
      <c r="A3479" s="49" t="s">
        <v>12485</v>
      </c>
      <c r="B3479" s="49" t="s">
        <v>4555</v>
      </c>
      <c r="C3479" s="49" t="s">
        <v>12486</v>
      </c>
      <c r="D3479" s="49" t="s">
        <v>1264</v>
      </c>
      <c r="E3479" s="49" t="s">
        <v>2908</v>
      </c>
      <c r="F3479" s="49" t="s">
        <v>2837</v>
      </c>
      <c r="G3479" s="49" t="s">
        <v>4891</v>
      </c>
      <c r="H3479" s="49" t="s">
        <v>980</v>
      </c>
      <c r="I3479" s="50">
        <v>45420</v>
      </c>
      <c r="M3479" s="49" t="s">
        <v>12487</v>
      </c>
    </row>
    <row r="3480" spans="1:13" x14ac:dyDescent="0.35">
      <c r="A3480" s="49" t="s">
        <v>12488</v>
      </c>
      <c r="C3480" s="49" t="s">
        <v>6331</v>
      </c>
      <c r="D3480" s="49" t="s">
        <v>1264</v>
      </c>
      <c r="E3480" s="49" t="s">
        <v>2974</v>
      </c>
      <c r="F3480" s="49" t="s">
        <v>2825</v>
      </c>
      <c r="G3480" s="49" t="s">
        <v>4891</v>
      </c>
      <c r="H3480" s="49" t="s">
        <v>2827</v>
      </c>
      <c r="I3480" s="50">
        <v>45420</v>
      </c>
      <c r="M3480" s="49" t="s">
        <v>12489</v>
      </c>
    </row>
    <row r="3481" spans="1:13" x14ac:dyDescent="0.35">
      <c r="A3481" s="49" t="s">
        <v>12490</v>
      </c>
      <c r="B3481" s="49" t="s">
        <v>9526</v>
      </c>
      <c r="C3481" s="49" t="s">
        <v>11409</v>
      </c>
      <c r="D3481" s="49" t="s">
        <v>1264</v>
      </c>
      <c r="E3481" s="49" t="s">
        <v>2785</v>
      </c>
      <c r="F3481" s="49" t="s">
        <v>2805</v>
      </c>
      <c r="G3481" s="49" t="s">
        <v>4891</v>
      </c>
      <c r="H3481" s="49" t="s">
        <v>8</v>
      </c>
      <c r="I3481" s="50">
        <v>45420</v>
      </c>
      <c r="M3481" s="49" t="s">
        <v>12491</v>
      </c>
    </row>
    <row r="3482" spans="1:13" x14ac:dyDescent="0.35">
      <c r="A3482" s="49" t="s">
        <v>12492</v>
      </c>
      <c r="B3482" s="49" t="s">
        <v>12493</v>
      </c>
      <c r="C3482" s="49" t="s">
        <v>11409</v>
      </c>
      <c r="D3482" s="49" t="s">
        <v>1264</v>
      </c>
      <c r="E3482" s="49" t="s">
        <v>2785</v>
      </c>
      <c r="F3482" s="49" t="s">
        <v>2805</v>
      </c>
      <c r="G3482" s="49" t="s">
        <v>4891</v>
      </c>
      <c r="H3482" s="49" t="s">
        <v>8</v>
      </c>
      <c r="I3482" s="50">
        <v>45420</v>
      </c>
      <c r="M3482" s="49" t="s">
        <v>12494</v>
      </c>
    </row>
    <row r="3483" spans="1:13" x14ac:dyDescent="0.35">
      <c r="A3483" s="49" t="s">
        <v>12495</v>
      </c>
      <c r="B3483" s="49" t="s">
        <v>12496</v>
      </c>
      <c r="C3483" s="49" t="s">
        <v>12497</v>
      </c>
      <c r="D3483" s="49" t="s">
        <v>1264</v>
      </c>
      <c r="E3483" s="49" t="s">
        <v>2785</v>
      </c>
      <c r="F3483" s="49" t="s">
        <v>2792</v>
      </c>
      <c r="G3483" s="49" t="s">
        <v>4891</v>
      </c>
      <c r="H3483" s="49" t="s">
        <v>3207</v>
      </c>
      <c r="I3483" s="50">
        <v>45420</v>
      </c>
      <c r="M3483" s="49" t="s">
        <v>12498</v>
      </c>
    </row>
    <row r="3484" spans="1:13" x14ac:dyDescent="0.35">
      <c r="A3484" s="49" t="s">
        <v>12499</v>
      </c>
      <c r="B3484" s="49" t="s">
        <v>5800</v>
      </c>
      <c r="C3484" s="49" t="s">
        <v>12500</v>
      </c>
      <c r="D3484" s="49" t="s">
        <v>1264</v>
      </c>
      <c r="E3484" s="49" t="s">
        <v>2785</v>
      </c>
      <c r="F3484" s="49" t="s">
        <v>2786</v>
      </c>
      <c r="G3484" s="49" t="s">
        <v>4891</v>
      </c>
      <c r="H3484" s="49" t="s">
        <v>8</v>
      </c>
      <c r="I3484" s="50">
        <v>45420</v>
      </c>
      <c r="M3484" s="49" t="s">
        <v>12501</v>
      </c>
    </row>
    <row r="3485" spans="1:13" x14ac:dyDescent="0.35">
      <c r="A3485" s="49" t="s">
        <v>12502</v>
      </c>
      <c r="B3485" s="49" t="s">
        <v>5503</v>
      </c>
      <c r="C3485" s="49" t="s">
        <v>5233</v>
      </c>
      <c r="D3485" s="49" t="s">
        <v>1264</v>
      </c>
      <c r="E3485" s="49" t="s">
        <v>2785</v>
      </c>
      <c r="F3485" s="49" t="s">
        <v>2805</v>
      </c>
      <c r="G3485" s="49" t="s">
        <v>4891</v>
      </c>
      <c r="H3485" s="49" t="s">
        <v>8</v>
      </c>
      <c r="I3485" s="50">
        <v>45422</v>
      </c>
      <c r="M3485" s="49" t="s">
        <v>12503</v>
      </c>
    </row>
    <row r="3486" spans="1:13" x14ac:dyDescent="0.35">
      <c r="A3486" s="49" t="s">
        <v>12504</v>
      </c>
      <c r="B3486" s="49" t="s">
        <v>12505</v>
      </c>
      <c r="C3486" s="49" t="s">
        <v>12506</v>
      </c>
      <c r="D3486" s="49" t="s">
        <v>1264</v>
      </c>
      <c r="E3486" s="49" t="s">
        <v>2785</v>
      </c>
      <c r="F3486" s="49" t="s">
        <v>2792</v>
      </c>
      <c r="G3486" s="49" t="s">
        <v>4891</v>
      </c>
      <c r="H3486" s="49" t="s">
        <v>980</v>
      </c>
      <c r="I3486" s="50">
        <v>45419</v>
      </c>
      <c r="M3486" s="49" t="s">
        <v>12507</v>
      </c>
    </row>
    <row r="3487" spans="1:13" x14ac:dyDescent="0.35">
      <c r="A3487" s="49" t="s">
        <v>12508</v>
      </c>
      <c r="B3487" s="49" t="s">
        <v>5974</v>
      </c>
      <c r="C3487" s="49" t="s">
        <v>4725</v>
      </c>
      <c r="D3487" s="49" t="s">
        <v>1264</v>
      </c>
      <c r="E3487" s="49" t="s">
        <v>2785</v>
      </c>
      <c r="F3487" s="49" t="s">
        <v>2786</v>
      </c>
      <c r="G3487" s="49" t="s">
        <v>4891</v>
      </c>
      <c r="H3487" s="49" t="s">
        <v>980</v>
      </c>
      <c r="I3487" s="50">
        <v>45426</v>
      </c>
      <c r="M3487" s="49" t="s">
        <v>12449</v>
      </c>
    </row>
    <row r="3488" spans="1:13" x14ac:dyDescent="0.35">
      <c r="A3488" s="49" t="s">
        <v>12509</v>
      </c>
      <c r="B3488" s="49" t="s">
        <v>6474</v>
      </c>
      <c r="C3488" s="49" t="s">
        <v>12510</v>
      </c>
      <c r="D3488" s="49" t="s">
        <v>1264</v>
      </c>
      <c r="E3488" s="49" t="s">
        <v>2785</v>
      </c>
      <c r="F3488" s="49" t="s">
        <v>2786</v>
      </c>
      <c r="G3488" s="49" t="s">
        <v>4891</v>
      </c>
      <c r="H3488" s="49" t="s">
        <v>980</v>
      </c>
      <c r="I3488" s="50">
        <v>45426</v>
      </c>
      <c r="M3488" s="49" t="s">
        <v>12511</v>
      </c>
    </row>
    <row r="3489" spans="1:13" x14ac:dyDescent="0.35">
      <c r="A3489" s="49" t="s">
        <v>12512</v>
      </c>
      <c r="C3489" s="49" t="s">
        <v>12294</v>
      </c>
      <c r="D3489" s="49" t="s">
        <v>1264</v>
      </c>
      <c r="E3489" s="49" t="s">
        <v>2986</v>
      </c>
      <c r="F3489" s="49" t="s">
        <v>2825</v>
      </c>
      <c r="G3489" s="49" t="s">
        <v>4891</v>
      </c>
      <c r="H3489" s="49" t="s">
        <v>973</v>
      </c>
      <c r="I3489" s="50">
        <v>45414</v>
      </c>
      <c r="M3489" s="49" t="s">
        <v>12513</v>
      </c>
    </row>
    <row r="3490" spans="1:13" x14ac:dyDescent="0.35">
      <c r="A3490" s="49" t="s">
        <v>12514</v>
      </c>
      <c r="B3490" s="49" t="s">
        <v>12515</v>
      </c>
      <c r="C3490" s="49" t="s">
        <v>12516</v>
      </c>
      <c r="D3490" s="49" t="s">
        <v>1264</v>
      </c>
      <c r="E3490" s="49" t="s">
        <v>2908</v>
      </c>
      <c r="F3490" s="49" t="s">
        <v>2837</v>
      </c>
      <c r="G3490" s="49" t="s">
        <v>4891</v>
      </c>
      <c r="H3490" s="49" t="s">
        <v>980</v>
      </c>
      <c r="I3490" s="50">
        <v>45427</v>
      </c>
      <c r="M3490" s="49" t="s">
        <v>12517</v>
      </c>
    </row>
    <row r="3491" spans="1:13" x14ac:dyDescent="0.35">
      <c r="A3491" s="49" t="s">
        <v>12518</v>
      </c>
      <c r="C3491" s="49" t="s">
        <v>12519</v>
      </c>
      <c r="D3491" s="49" t="s">
        <v>1264</v>
      </c>
      <c r="E3491" s="49" t="s">
        <v>2785</v>
      </c>
      <c r="F3491" s="49" t="s">
        <v>2805</v>
      </c>
      <c r="G3491" s="49" t="s">
        <v>4891</v>
      </c>
      <c r="H3491" s="49" t="s">
        <v>864</v>
      </c>
      <c r="I3491" s="50">
        <v>45419</v>
      </c>
      <c r="M3491" s="49" t="s">
        <v>12520</v>
      </c>
    </row>
    <row r="3492" spans="1:13" x14ac:dyDescent="0.35">
      <c r="A3492" s="49" t="s">
        <v>12521</v>
      </c>
      <c r="B3492" s="49" t="s">
        <v>12522</v>
      </c>
      <c r="C3492" s="49" t="s">
        <v>4376</v>
      </c>
      <c r="D3492" s="49" t="s">
        <v>1264</v>
      </c>
      <c r="E3492" s="49" t="s">
        <v>2785</v>
      </c>
      <c r="F3492" s="49" t="s">
        <v>2792</v>
      </c>
      <c r="G3492" s="49" t="s">
        <v>2776</v>
      </c>
      <c r="H3492" s="49" t="s">
        <v>8</v>
      </c>
      <c r="I3492" s="50">
        <v>45428</v>
      </c>
      <c r="M3492" s="49" t="s">
        <v>12523</v>
      </c>
    </row>
    <row r="3493" spans="1:13" x14ac:dyDescent="0.35">
      <c r="A3493" s="49" t="s">
        <v>12524</v>
      </c>
      <c r="B3493" s="49" t="s">
        <v>11264</v>
      </c>
      <c r="C3493" s="49" t="s">
        <v>3882</v>
      </c>
      <c r="D3493" s="49" t="s">
        <v>1264</v>
      </c>
      <c r="E3493" s="49" t="s">
        <v>2908</v>
      </c>
      <c r="F3493" s="49" t="s">
        <v>2837</v>
      </c>
      <c r="G3493" s="49" t="s">
        <v>4891</v>
      </c>
      <c r="H3493" s="49" t="s">
        <v>973</v>
      </c>
      <c r="I3493" s="50">
        <v>45428</v>
      </c>
      <c r="M3493" s="49" t="s">
        <v>12525</v>
      </c>
    </row>
    <row r="3494" spans="1:13" x14ac:dyDescent="0.35">
      <c r="A3494" s="49" t="s">
        <v>12526</v>
      </c>
      <c r="B3494" s="49" t="s">
        <v>3218</v>
      </c>
      <c r="C3494" s="49" t="s">
        <v>5290</v>
      </c>
      <c r="D3494" s="49" t="s">
        <v>1264</v>
      </c>
      <c r="E3494" s="49" t="s">
        <v>2785</v>
      </c>
      <c r="F3494" s="49" t="s">
        <v>4611</v>
      </c>
      <c r="G3494" s="49" t="s">
        <v>2776</v>
      </c>
      <c r="H3494" s="49" t="s">
        <v>980</v>
      </c>
      <c r="I3494" s="50">
        <v>45428</v>
      </c>
      <c r="M3494" s="49" t="s">
        <v>12527</v>
      </c>
    </row>
    <row r="3495" spans="1:13" x14ac:dyDescent="0.35">
      <c r="A3495" s="49" t="s">
        <v>12528</v>
      </c>
      <c r="B3495" s="49" t="s">
        <v>12529</v>
      </c>
      <c r="C3495" s="49" t="s">
        <v>3720</v>
      </c>
      <c r="D3495" s="49" t="s">
        <v>1264</v>
      </c>
      <c r="E3495" s="49" t="s">
        <v>2785</v>
      </c>
      <c r="F3495" s="49" t="s">
        <v>2786</v>
      </c>
      <c r="G3495" s="49" t="s">
        <v>4891</v>
      </c>
      <c r="H3495" s="49" t="s">
        <v>980</v>
      </c>
      <c r="I3495" s="50">
        <v>45428</v>
      </c>
      <c r="M3495" s="49" t="s">
        <v>12530</v>
      </c>
    </row>
    <row r="3496" spans="1:13" x14ac:dyDescent="0.35">
      <c r="A3496" s="49" t="s">
        <v>12531</v>
      </c>
      <c r="B3496" s="49" t="s">
        <v>3776</v>
      </c>
      <c r="C3496" s="49" t="s">
        <v>12532</v>
      </c>
      <c r="D3496" s="49" t="s">
        <v>1264</v>
      </c>
      <c r="E3496" s="49" t="s">
        <v>2908</v>
      </c>
      <c r="F3496" s="49" t="s">
        <v>2837</v>
      </c>
      <c r="G3496" s="49" t="s">
        <v>4891</v>
      </c>
      <c r="H3496" s="49" t="s">
        <v>973</v>
      </c>
      <c r="I3496" s="50">
        <v>45428</v>
      </c>
      <c r="M3496" s="49" t="s">
        <v>12533</v>
      </c>
    </row>
    <row r="3497" spans="1:13" x14ac:dyDescent="0.35">
      <c r="A3497" s="49" t="s">
        <v>12534</v>
      </c>
      <c r="C3497" s="49" t="s">
        <v>12535</v>
      </c>
      <c r="D3497" s="49" t="s">
        <v>1264</v>
      </c>
      <c r="E3497" s="49" t="s">
        <v>2774</v>
      </c>
      <c r="F3497" s="49" t="s">
        <v>4048</v>
      </c>
      <c r="G3497" s="49" t="s">
        <v>4891</v>
      </c>
      <c r="H3497" s="49" t="s">
        <v>2827</v>
      </c>
      <c r="I3497" s="50">
        <v>45433</v>
      </c>
      <c r="M3497" s="49" t="s">
        <v>12536</v>
      </c>
    </row>
    <row r="3498" spans="1:13" x14ac:dyDescent="0.35">
      <c r="A3498" s="49" t="s">
        <v>12537</v>
      </c>
      <c r="C3498" s="49" t="s">
        <v>12538</v>
      </c>
      <c r="D3498" s="49" t="s">
        <v>1264</v>
      </c>
      <c r="E3498" s="49" t="s">
        <v>2814</v>
      </c>
      <c r="F3498" s="49" t="s">
        <v>2792</v>
      </c>
      <c r="G3498" s="49" t="s">
        <v>4891</v>
      </c>
      <c r="H3498" s="49" t="s">
        <v>3229</v>
      </c>
      <c r="I3498" s="50">
        <v>45434</v>
      </c>
      <c r="M3498" s="49" t="s">
        <v>12539</v>
      </c>
    </row>
    <row r="3499" spans="1:13" x14ac:dyDescent="0.35">
      <c r="A3499" s="49" t="s">
        <v>12540</v>
      </c>
      <c r="B3499" s="49" t="s">
        <v>6573</v>
      </c>
      <c r="C3499" s="49" t="s">
        <v>4710</v>
      </c>
      <c r="D3499" s="49" t="s">
        <v>1264</v>
      </c>
      <c r="E3499" s="49" t="s">
        <v>2908</v>
      </c>
      <c r="F3499" s="49" t="s">
        <v>3010</v>
      </c>
      <c r="G3499" s="49" t="s">
        <v>4891</v>
      </c>
      <c r="H3499" s="49" t="s">
        <v>980</v>
      </c>
      <c r="I3499" s="50">
        <v>45434</v>
      </c>
      <c r="M3499" s="49" t="s">
        <v>12541</v>
      </c>
    </row>
    <row r="3500" spans="1:13" x14ac:dyDescent="0.35">
      <c r="A3500" s="49" t="s">
        <v>12542</v>
      </c>
      <c r="C3500" s="49" t="s">
        <v>12543</v>
      </c>
      <c r="D3500" s="49" t="s">
        <v>1264</v>
      </c>
      <c r="E3500" s="49" t="s">
        <v>2908</v>
      </c>
      <c r="F3500" s="49" t="s">
        <v>2805</v>
      </c>
      <c r="G3500" s="49" t="s">
        <v>4891</v>
      </c>
      <c r="H3500" s="49" t="s">
        <v>980</v>
      </c>
      <c r="I3500" s="50">
        <v>45426</v>
      </c>
      <c r="M3500" s="49" t="s">
        <v>12544</v>
      </c>
    </row>
    <row r="3501" spans="1:13" x14ac:dyDescent="0.35">
      <c r="A3501" s="49" t="s">
        <v>12545</v>
      </c>
      <c r="B3501" s="49" t="s">
        <v>6573</v>
      </c>
      <c r="C3501" s="49" t="s">
        <v>12546</v>
      </c>
      <c r="D3501" s="49" t="s">
        <v>1264</v>
      </c>
      <c r="E3501" s="49" t="s">
        <v>2785</v>
      </c>
      <c r="F3501" s="49" t="s">
        <v>2786</v>
      </c>
      <c r="G3501" s="49" t="s">
        <v>4891</v>
      </c>
      <c r="H3501" s="49" t="s">
        <v>980</v>
      </c>
      <c r="I3501" s="50">
        <v>45434</v>
      </c>
      <c r="M3501" s="49" t="s">
        <v>12547</v>
      </c>
    </row>
    <row r="3502" spans="1:13" x14ac:dyDescent="0.35">
      <c r="A3502" s="49" t="s">
        <v>12548</v>
      </c>
      <c r="C3502" s="49" t="s">
        <v>12549</v>
      </c>
      <c r="D3502" s="49" t="s">
        <v>1264</v>
      </c>
      <c r="E3502" s="49" t="s">
        <v>2814</v>
      </c>
      <c r="F3502" s="49" t="s">
        <v>2825</v>
      </c>
      <c r="G3502" s="49" t="s">
        <v>2776</v>
      </c>
      <c r="H3502" s="49" t="s">
        <v>2827</v>
      </c>
      <c r="I3502" s="50">
        <v>45434</v>
      </c>
      <c r="M3502" s="49" t="s">
        <v>12550</v>
      </c>
    </row>
    <row r="3503" spans="1:13" x14ac:dyDescent="0.35">
      <c r="A3503" s="49" t="s">
        <v>12551</v>
      </c>
      <c r="B3503" s="49" t="s">
        <v>11264</v>
      </c>
      <c r="C3503" s="49" t="s">
        <v>12552</v>
      </c>
      <c r="D3503" s="49" t="s">
        <v>1264</v>
      </c>
      <c r="E3503" s="49" t="s">
        <v>2908</v>
      </c>
      <c r="F3503" s="49" t="s">
        <v>3253</v>
      </c>
      <c r="G3503" s="49" t="s">
        <v>4891</v>
      </c>
      <c r="H3503" s="49" t="s">
        <v>973</v>
      </c>
      <c r="I3503" s="50">
        <v>45434</v>
      </c>
      <c r="M3503" s="49" t="s">
        <v>11810</v>
      </c>
    </row>
    <row r="3504" spans="1:13" x14ac:dyDescent="0.35">
      <c r="A3504" s="49" t="s">
        <v>12553</v>
      </c>
      <c r="B3504" s="49" t="s">
        <v>3075</v>
      </c>
      <c r="C3504" s="49" t="s">
        <v>12554</v>
      </c>
      <c r="D3504" s="49" t="s">
        <v>1264</v>
      </c>
      <c r="E3504" s="49" t="s">
        <v>2908</v>
      </c>
      <c r="F3504" s="49" t="s">
        <v>2837</v>
      </c>
      <c r="G3504" s="49" t="s">
        <v>4891</v>
      </c>
      <c r="H3504" s="49" t="s">
        <v>2827</v>
      </c>
      <c r="I3504" s="50">
        <v>45435</v>
      </c>
      <c r="M3504" s="49" t="s">
        <v>12555</v>
      </c>
    </row>
    <row r="3505" spans="1:13" x14ac:dyDescent="0.35">
      <c r="A3505" s="49" t="s">
        <v>12556</v>
      </c>
      <c r="C3505" s="49" t="s">
        <v>12549</v>
      </c>
      <c r="D3505" s="49" t="s">
        <v>1264</v>
      </c>
      <c r="E3505" s="49" t="s">
        <v>2814</v>
      </c>
      <c r="F3505" s="49" t="s">
        <v>2825</v>
      </c>
      <c r="G3505" s="49" t="s">
        <v>2776</v>
      </c>
      <c r="H3505" s="49" t="s">
        <v>2827</v>
      </c>
      <c r="I3505" s="50">
        <v>45442</v>
      </c>
      <c r="M3505" s="49" t="s">
        <v>12550</v>
      </c>
    </row>
    <row r="3506" spans="1:13" x14ac:dyDescent="0.35">
      <c r="A3506" s="49" t="s">
        <v>12557</v>
      </c>
      <c r="B3506" s="49" t="s">
        <v>12558</v>
      </c>
      <c r="C3506" s="49" t="s">
        <v>5422</v>
      </c>
      <c r="D3506" s="49" t="s">
        <v>1264</v>
      </c>
      <c r="E3506" s="49" t="s">
        <v>2785</v>
      </c>
      <c r="F3506" s="49" t="s">
        <v>2786</v>
      </c>
      <c r="G3506" s="49" t="s">
        <v>4891</v>
      </c>
      <c r="H3506" s="49" t="s">
        <v>4225</v>
      </c>
      <c r="I3506" s="50">
        <v>45446</v>
      </c>
      <c r="M3506" s="49" t="s">
        <v>12559</v>
      </c>
    </row>
    <row r="3507" spans="1:13" x14ac:dyDescent="0.35">
      <c r="A3507" s="49" t="s">
        <v>12560</v>
      </c>
      <c r="B3507" s="49" t="s">
        <v>5649</v>
      </c>
      <c r="C3507" s="49" t="s">
        <v>4286</v>
      </c>
      <c r="D3507" s="49" t="s">
        <v>1264</v>
      </c>
      <c r="E3507" s="49" t="s">
        <v>2785</v>
      </c>
      <c r="F3507" s="49" t="s">
        <v>2792</v>
      </c>
      <c r="G3507" s="49" t="s">
        <v>4891</v>
      </c>
      <c r="H3507" s="49" t="s">
        <v>980</v>
      </c>
      <c r="I3507" s="50">
        <v>45446</v>
      </c>
      <c r="M3507" s="49" t="s">
        <v>12561</v>
      </c>
    </row>
    <row r="3508" spans="1:13" x14ac:dyDescent="0.35">
      <c r="A3508" s="49" t="s">
        <v>12562</v>
      </c>
      <c r="B3508" s="49" t="s">
        <v>3042</v>
      </c>
      <c r="C3508" s="49" t="s">
        <v>3043</v>
      </c>
      <c r="D3508" s="49" t="s">
        <v>1264</v>
      </c>
      <c r="E3508" s="49" t="s">
        <v>3413</v>
      </c>
      <c r="F3508" s="49" t="s">
        <v>2825</v>
      </c>
      <c r="G3508" s="49" t="s">
        <v>4891</v>
      </c>
      <c r="H3508" s="49" t="s">
        <v>2827</v>
      </c>
      <c r="I3508" s="50">
        <v>45450</v>
      </c>
      <c r="M3508" s="49" t="s">
        <v>3044</v>
      </c>
    </row>
    <row r="3509" spans="1:13" x14ac:dyDescent="0.35">
      <c r="A3509" s="49" t="s">
        <v>12563</v>
      </c>
      <c r="C3509" s="49" t="s">
        <v>4086</v>
      </c>
      <c r="D3509" s="49" t="s">
        <v>1264</v>
      </c>
      <c r="E3509" s="49" t="s">
        <v>2785</v>
      </c>
      <c r="F3509" s="49" t="s">
        <v>2786</v>
      </c>
      <c r="G3509" s="49" t="s">
        <v>4891</v>
      </c>
      <c r="H3509" s="49" t="s">
        <v>835</v>
      </c>
      <c r="I3509" s="50">
        <v>45448</v>
      </c>
      <c r="M3509" s="49" t="s">
        <v>12564</v>
      </c>
    </row>
    <row r="3510" spans="1:13" x14ac:dyDescent="0.35">
      <c r="A3510" s="49" t="s">
        <v>12565</v>
      </c>
      <c r="C3510" s="49" t="s">
        <v>5240</v>
      </c>
      <c r="D3510" s="49" t="s">
        <v>1264</v>
      </c>
      <c r="E3510" s="49" t="s">
        <v>2785</v>
      </c>
      <c r="F3510" s="49" t="s">
        <v>2792</v>
      </c>
      <c r="G3510" s="49" t="s">
        <v>4891</v>
      </c>
      <c r="H3510" s="49" t="s">
        <v>857</v>
      </c>
      <c r="I3510" s="50">
        <v>45448</v>
      </c>
      <c r="M3510" s="49" t="s">
        <v>12566</v>
      </c>
    </row>
    <row r="3511" spans="1:13" x14ac:dyDescent="0.35">
      <c r="A3511" s="49" t="s">
        <v>12567</v>
      </c>
      <c r="C3511" s="49" t="s">
        <v>5240</v>
      </c>
      <c r="D3511" s="49" t="s">
        <v>1264</v>
      </c>
      <c r="E3511" s="49" t="s">
        <v>2785</v>
      </c>
      <c r="F3511" s="49" t="s">
        <v>2786</v>
      </c>
      <c r="G3511" s="49" t="s">
        <v>4891</v>
      </c>
      <c r="H3511" s="49" t="s">
        <v>835</v>
      </c>
      <c r="I3511" s="50">
        <v>45448</v>
      </c>
      <c r="M3511" s="49" t="s">
        <v>12568</v>
      </c>
    </row>
    <row r="3512" spans="1:13" x14ac:dyDescent="0.35">
      <c r="A3512" s="49" t="s">
        <v>12569</v>
      </c>
      <c r="C3512" s="49" t="s">
        <v>12332</v>
      </c>
      <c r="D3512" s="49" t="s">
        <v>1264</v>
      </c>
      <c r="E3512" s="49" t="s">
        <v>2908</v>
      </c>
      <c r="F3512" s="49" t="s">
        <v>4048</v>
      </c>
      <c r="G3512" s="49" t="s">
        <v>4891</v>
      </c>
      <c r="H3512" s="49" t="s">
        <v>2832</v>
      </c>
      <c r="I3512" s="50">
        <v>45399</v>
      </c>
      <c r="M3512" s="49" t="s">
        <v>12282</v>
      </c>
    </row>
    <row r="3513" spans="1:13" x14ac:dyDescent="0.35">
      <c r="A3513" s="49" t="s">
        <v>12570</v>
      </c>
      <c r="C3513" s="49" t="s">
        <v>12571</v>
      </c>
      <c r="D3513" s="49" t="s">
        <v>1264</v>
      </c>
      <c r="E3513" s="49" t="s">
        <v>2785</v>
      </c>
      <c r="F3513" s="49" t="s">
        <v>2792</v>
      </c>
      <c r="G3513" s="49" t="s">
        <v>4891</v>
      </c>
      <c r="H3513" s="49" t="s">
        <v>3207</v>
      </c>
      <c r="I3513" s="50">
        <v>45439</v>
      </c>
      <c r="M3513" s="49" t="s">
        <v>12572</v>
      </c>
    </row>
    <row r="3514" spans="1:13" x14ac:dyDescent="0.35">
      <c r="A3514" s="49" t="s">
        <v>12573</v>
      </c>
      <c r="C3514" s="49" t="s">
        <v>3731</v>
      </c>
      <c r="D3514" s="49" t="s">
        <v>1264</v>
      </c>
      <c r="E3514" s="49" t="s">
        <v>2785</v>
      </c>
      <c r="F3514" s="49" t="s">
        <v>2786</v>
      </c>
      <c r="G3514" s="49" t="s">
        <v>4891</v>
      </c>
      <c r="H3514" s="49" t="s">
        <v>4225</v>
      </c>
      <c r="I3514" s="50">
        <v>45439</v>
      </c>
      <c r="M3514" s="49" t="s">
        <v>12574</v>
      </c>
    </row>
    <row r="3515" spans="1:13" x14ac:dyDescent="0.35">
      <c r="A3515" s="49" t="s">
        <v>12575</v>
      </c>
      <c r="C3515" s="49" t="s">
        <v>12576</v>
      </c>
      <c r="D3515" s="49" t="s">
        <v>1264</v>
      </c>
      <c r="E3515" s="49" t="s">
        <v>2785</v>
      </c>
      <c r="F3515" s="49" t="s">
        <v>2792</v>
      </c>
      <c r="G3515" s="49" t="s">
        <v>4891</v>
      </c>
      <c r="H3515" s="49" t="s">
        <v>980</v>
      </c>
      <c r="I3515" s="50">
        <v>45434</v>
      </c>
      <c r="M3515" s="49" t="s">
        <v>12577</v>
      </c>
    </row>
    <row r="3516" spans="1:13" x14ac:dyDescent="0.35">
      <c r="A3516" s="49" t="s">
        <v>12578</v>
      </c>
      <c r="C3516" s="49" t="s">
        <v>12543</v>
      </c>
      <c r="D3516" s="49" t="s">
        <v>1264</v>
      </c>
      <c r="E3516" s="49" t="s">
        <v>2785</v>
      </c>
      <c r="F3516" s="49" t="s">
        <v>2805</v>
      </c>
      <c r="G3516" s="49" t="s">
        <v>4891</v>
      </c>
      <c r="H3516" s="49" t="s">
        <v>980</v>
      </c>
      <c r="I3516" s="50">
        <v>45439</v>
      </c>
      <c r="M3516" s="49" t="s">
        <v>12579</v>
      </c>
    </row>
    <row r="3517" spans="1:13" x14ac:dyDescent="0.35">
      <c r="A3517" s="49" t="s">
        <v>12580</v>
      </c>
      <c r="C3517" s="49" t="s">
        <v>5822</v>
      </c>
      <c r="D3517" s="49" t="s">
        <v>1264</v>
      </c>
      <c r="E3517" s="49" t="s">
        <v>2908</v>
      </c>
      <c r="F3517" s="49" t="s">
        <v>4048</v>
      </c>
      <c r="G3517" s="49" t="s">
        <v>4891</v>
      </c>
      <c r="H3517" s="49" t="s">
        <v>973</v>
      </c>
      <c r="I3517" s="50">
        <v>45426</v>
      </c>
      <c r="M3517" s="49" t="s">
        <v>12581</v>
      </c>
    </row>
    <row r="3518" spans="1:13" x14ac:dyDescent="0.35">
      <c r="A3518" s="49" t="s">
        <v>12582</v>
      </c>
      <c r="C3518" s="49" t="s">
        <v>5822</v>
      </c>
      <c r="D3518" s="49" t="s">
        <v>1264</v>
      </c>
      <c r="E3518" s="49" t="s">
        <v>2908</v>
      </c>
      <c r="F3518" s="49" t="s">
        <v>2837</v>
      </c>
      <c r="G3518" s="49" t="s">
        <v>4891</v>
      </c>
      <c r="H3518" s="49" t="s">
        <v>973</v>
      </c>
      <c r="I3518" s="50">
        <v>45419</v>
      </c>
      <c r="M3518" s="49" t="s">
        <v>12583</v>
      </c>
    </row>
    <row r="3519" spans="1:13" x14ac:dyDescent="0.35">
      <c r="A3519" s="49" t="s">
        <v>12584</v>
      </c>
      <c r="C3519" s="49" t="s">
        <v>5584</v>
      </c>
      <c r="D3519" s="49" t="s">
        <v>1264</v>
      </c>
      <c r="E3519" s="49" t="s">
        <v>2986</v>
      </c>
      <c r="F3519" s="49" t="s">
        <v>2825</v>
      </c>
      <c r="G3519" s="49" t="s">
        <v>4891</v>
      </c>
      <c r="H3519" s="49" t="s">
        <v>973</v>
      </c>
      <c r="I3519" s="50">
        <v>45378</v>
      </c>
      <c r="M3519" s="49" t="s">
        <v>12585</v>
      </c>
    </row>
    <row r="3520" spans="1:13" x14ac:dyDescent="0.35">
      <c r="A3520" s="49" t="s">
        <v>12586</v>
      </c>
      <c r="B3520" s="49" t="s">
        <v>3075</v>
      </c>
      <c r="C3520" s="49" t="s">
        <v>12552</v>
      </c>
      <c r="D3520" s="49" t="s">
        <v>1264</v>
      </c>
      <c r="E3520" s="49" t="s">
        <v>2785</v>
      </c>
      <c r="F3520" s="49" t="s">
        <v>4048</v>
      </c>
      <c r="G3520" s="49" t="s">
        <v>4891</v>
      </c>
      <c r="H3520" s="49" t="s">
        <v>2827</v>
      </c>
      <c r="I3520" s="50">
        <v>45455</v>
      </c>
      <c r="M3520" s="49" t="s">
        <v>12587</v>
      </c>
    </row>
    <row r="3521" spans="1:13" x14ac:dyDescent="0.35">
      <c r="A3521" s="49" t="s">
        <v>12588</v>
      </c>
      <c r="B3521" s="49" t="s">
        <v>12589</v>
      </c>
      <c r="C3521" s="49" t="s">
        <v>12590</v>
      </c>
      <c r="D3521" s="49" t="s">
        <v>1264</v>
      </c>
      <c r="E3521" s="49" t="s">
        <v>2785</v>
      </c>
      <c r="F3521" s="49" t="s">
        <v>2792</v>
      </c>
      <c r="G3521" s="49" t="s">
        <v>4891</v>
      </c>
      <c r="H3521" s="49" t="s">
        <v>8</v>
      </c>
      <c r="I3521" s="50">
        <v>45455</v>
      </c>
      <c r="M3521" s="49" t="s">
        <v>12591</v>
      </c>
    </row>
    <row r="3522" spans="1:13" x14ac:dyDescent="0.35">
      <c r="A3522" s="49" t="s">
        <v>12592</v>
      </c>
      <c r="C3522" s="49" t="s">
        <v>12048</v>
      </c>
      <c r="D3522" s="49" t="s">
        <v>1264</v>
      </c>
      <c r="E3522" s="49" t="s">
        <v>2814</v>
      </c>
      <c r="F3522" s="49" t="s">
        <v>2939</v>
      </c>
      <c r="G3522" s="49" t="s">
        <v>2776</v>
      </c>
      <c r="H3522" s="49" t="s">
        <v>980</v>
      </c>
      <c r="I3522" s="50">
        <v>45456</v>
      </c>
      <c r="M3522" s="49" t="s">
        <v>12593</v>
      </c>
    </row>
    <row r="3523" spans="1:13" x14ac:dyDescent="0.35">
      <c r="A3523" s="49" t="s">
        <v>12594</v>
      </c>
      <c r="C3523" s="49" t="s">
        <v>12048</v>
      </c>
      <c r="D3523" s="49" t="s">
        <v>1264</v>
      </c>
      <c r="E3523" s="49" t="s">
        <v>2814</v>
      </c>
      <c r="F3523" s="49" t="s">
        <v>2805</v>
      </c>
      <c r="G3523" s="49" t="s">
        <v>4891</v>
      </c>
      <c r="H3523" s="49" t="s">
        <v>980</v>
      </c>
      <c r="I3523" s="50">
        <v>45456</v>
      </c>
      <c r="M3523" s="49" t="s">
        <v>12595</v>
      </c>
    </row>
    <row r="3524" spans="1:13" x14ac:dyDescent="0.35">
      <c r="A3524" s="49" t="s">
        <v>12596</v>
      </c>
      <c r="B3524" s="49" t="s">
        <v>5810</v>
      </c>
      <c r="C3524" s="49" t="s">
        <v>6749</v>
      </c>
      <c r="D3524" s="49" t="s">
        <v>1264</v>
      </c>
      <c r="E3524" s="49" t="s">
        <v>2785</v>
      </c>
      <c r="F3524" s="49" t="s">
        <v>2805</v>
      </c>
      <c r="G3524" s="49" t="s">
        <v>4891</v>
      </c>
      <c r="H3524" s="49" t="s">
        <v>980</v>
      </c>
      <c r="I3524" s="50">
        <v>45456</v>
      </c>
      <c r="M3524" s="49" t="s">
        <v>12597</v>
      </c>
    </row>
    <row r="3525" spans="1:13" x14ac:dyDescent="0.35">
      <c r="A3525" s="49" t="s">
        <v>12598</v>
      </c>
      <c r="B3525" s="49" t="s">
        <v>12599</v>
      </c>
      <c r="C3525" s="49" t="s">
        <v>12600</v>
      </c>
      <c r="D3525" s="49" t="s">
        <v>1264</v>
      </c>
      <c r="E3525" s="49" t="s">
        <v>2785</v>
      </c>
      <c r="F3525" s="49" t="s">
        <v>2805</v>
      </c>
      <c r="G3525" s="49" t="s">
        <v>4891</v>
      </c>
      <c r="H3525" s="49" t="s">
        <v>1062</v>
      </c>
      <c r="I3525" s="50">
        <v>45456</v>
      </c>
      <c r="M3525" s="49" t="s">
        <v>12601</v>
      </c>
    </row>
    <row r="3526" spans="1:13" x14ac:dyDescent="0.35">
      <c r="A3526" s="49" t="s">
        <v>12602</v>
      </c>
      <c r="B3526" s="49" t="s">
        <v>12603</v>
      </c>
      <c r="C3526" s="49" t="s">
        <v>6884</v>
      </c>
      <c r="D3526" s="49" t="s">
        <v>1264</v>
      </c>
      <c r="E3526" s="49" t="s">
        <v>2774</v>
      </c>
      <c r="F3526" s="49" t="s">
        <v>4842</v>
      </c>
      <c r="G3526" s="49" t="s">
        <v>4891</v>
      </c>
      <c r="H3526" s="49" t="s">
        <v>2827</v>
      </c>
      <c r="I3526" s="50">
        <v>45258</v>
      </c>
      <c r="M3526" s="49" t="s">
        <v>12604</v>
      </c>
    </row>
    <row r="3527" spans="1:13" x14ac:dyDescent="0.35">
      <c r="A3527" s="49" t="s">
        <v>12605</v>
      </c>
      <c r="B3527" s="49" t="s">
        <v>3962</v>
      </c>
      <c r="C3527" s="49" t="s">
        <v>6830</v>
      </c>
      <c r="D3527" s="49" t="s">
        <v>1264</v>
      </c>
      <c r="E3527" s="49" t="s">
        <v>2785</v>
      </c>
      <c r="F3527" s="49" t="s">
        <v>2792</v>
      </c>
      <c r="G3527" s="49" t="s">
        <v>4891</v>
      </c>
      <c r="H3527" s="49" t="s">
        <v>980</v>
      </c>
      <c r="I3527" s="50">
        <v>45468</v>
      </c>
      <c r="M3527" s="49" t="s">
        <v>12606</v>
      </c>
    </row>
    <row r="3528" spans="1:13" x14ac:dyDescent="0.35">
      <c r="A3528" s="49" t="s">
        <v>12607</v>
      </c>
      <c r="B3528" s="49" t="s">
        <v>12608</v>
      </c>
      <c r="C3528" s="49" t="s">
        <v>6167</v>
      </c>
      <c r="D3528" s="49" t="s">
        <v>1264</v>
      </c>
      <c r="E3528" s="49" t="s">
        <v>2785</v>
      </c>
      <c r="F3528" s="49" t="s">
        <v>2792</v>
      </c>
      <c r="G3528" s="49" t="s">
        <v>4891</v>
      </c>
      <c r="H3528" s="49" t="s">
        <v>980</v>
      </c>
      <c r="I3528" s="50">
        <v>45470</v>
      </c>
      <c r="M3528" s="49" t="s">
        <v>12609</v>
      </c>
    </row>
    <row r="3529" spans="1:13" x14ac:dyDescent="0.35">
      <c r="A3529" s="49" t="s">
        <v>12610</v>
      </c>
      <c r="C3529" s="49" t="s">
        <v>6301</v>
      </c>
      <c r="D3529" s="49" t="s">
        <v>1264</v>
      </c>
      <c r="E3529" s="49" t="s">
        <v>2986</v>
      </c>
      <c r="F3529" s="49" t="s">
        <v>2825</v>
      </c>
      <c r="G3529" s="49" t="s">
        <v>2776</v>
      </c>
      <c r="H3529" s="49" t="s">
        <v>2827</v>
      </c>
      <c r="I3529" s="50">
        <v>45474</v>
      </c>
      <c r="M3529" s="49" t="s">
        <v>12611</v>
      </c>
    </row>
    <row r="3530" spans="1:13" x14ac:dyDescent="0.35">
      <c r="A3530" s="49" t="s">
        <v>12612</v>
      </c>
      <c r="B3530" s="49" t="s">
        <v>12613</v>
      </c>
      <c r="C3530" s="49" t="s">
        <v>5979</v>
      </c>
      <c r="D3530" s="49" t="s">
        <v>1264</v>
      </c>
      <c r="E3530" s="49" t="s">
        <v>2785</v>
      </c>
      <c r="F3530" s="49" t="s">
        <v>2792</v>
      </c>
      <c r="G3530" s="49" t="s">
        <v>4891</v>
      </c>
      <c r="H3530" s="49" t="s">
        <v>835</v>
      </c>
      <c r="I3530" s="50">
        <v>45482</v>
      </c>
      <c r="M3530" s="49" t="s">
        <v>12614</v>
      </c>
    </row>
    <row r="3531" spans="1:13" x14ac:dyDescent="0.35">
      <c r="A3531" s="49" t="s">
        <v>12615</v>
      </c>
      <c r="B3531" s="49" t="s">
        <v>12616</v>
      </c>
      <c r="C3531" s="49" t="s">
        <v>5290</v>
      </c>
      <c r="D3531" s="49" t="s">
        <v>1264</v>
      </c>
      <c r="E3531" s="49" t="s">
        <v>2785</v>
      </c>
      <c r="F3531" s="49" t="s">
        <v>4048</v>
      </c>
      <c r="G3531" s="49" t="s">
        <v>4891</v>
      </c>
      <c r="H3531" s="49" t="s">
        <v>864</v>
      </c>
      <c r="I3531" s="50">
        <v>45482</v>
      </c>
      <c r="M3531" s="49" t="s">
        <v>12617</v>
      </c>
    </row>
    <row r="3532" spans="1:13" x14ac:dyDescent="0.35">
      <c r="A3532" s="49" t="s">
        <v>12618</v>
      </c>
      <c r="C3532" s="49" t="s">
        <v>6884</v>
      </c>
      <c r="D3532" s="49" t="s">
        <v>1264</v>
      </c>
      <c r="E3532" s="49" t="s">
        <v>2774</v>
      </c>
      <c r="F3532" s="49" t="s">
        <v>3648</v>
      </c>
      <c r="G3532" s="49" t="s">
        <v>4891</v>
      </c>
      <c r="H3532" s="49" t="s">
        <v>980</v>
      </c>
      <c r="I3532" s="50">
        <v>45482</v>
      </c>
      <c r="M3532" s="49" t="s">
        <v>3649</v>
      </c>
    </row>
    <row r="3533" spans="1:13" x14ac:dyDescent="0.35">
      <c r="A3533" s="49" t="s">
        <v>12619</v>
      </c>
      <c r="B3533" s="49" t="s">
        <v>12620</v>
      </c>
      <c r="C3533" s="49" t="s">
        <v>6884</v>
      </c>
      <c r="D3533" s="49" t="s">
        <v>1264</v>
      </c>
      <c r="E3533" s="49" t="s">
        <v>2774</v>
      </c>
      <c r="F3533" s="49" t="s">
        <v>3005</v>
      </c>
      <c r="G3533" s="49" t="s">
        <v>4891</v>
      </c>
      <c r="H3533" s="49" t="s">
        <v>3229</v>
      </c>
      <c r="I3533" s="50">
        <v>45482</v>
      </c>
      <c r="M3533" s="49" t="s">
        <v>12539</v>
      </c>
    </row>
    <row r="3534" spans="1:13" x14ac:dyDescent="0.35">
      <c r="A3534" s="49" t="s">
        <v>12621</v>
      </c>
      <c r="B3534" s="49" t="s">
        <v>12622</v>
      </c>
      <c r="C3534" s="49" t="s">
        <v>5664</v>
      </c>
      <c r="D3534" s="49" t="s">
        <v>1264</v>
      </c>
      <c r="E3534" s="49" t="s">
        <v>2785</v>
      </c>
      <c r="F3534" s="49" t="s">
        <v>2792</v>
      </c>
      <c r="G3534" s="49" t="s">
        <v>4891</v>
      </c>
      <c r="H3534" s="49" t="s">
        <v>980</v>
      </c>
      <c r="I3534" s="50">
        <v>45484</v>
      </c>
      <c r="M3534" s="49" t="s">
        <v>12623</v>
      </c>
    </row>
    <row r="3535" spans="1:13" x14ac:dyDescent="0.35">
      <c r="A3535" s="49" t="s">
        <v>12624</v>
      </c>
      <c r="C3535" s="49" t="s">
        <v>6749</v>
      </c>
      <c r="D3535" s="49" t="s">
        <v>1264</v>
      </c>
      <c r="E3535" s="49" t="s">
        <v>2785</v>
      </c>
      <c r="F3535" s="49" t="s">
        <v>2805</v>
      </c>
      <c r="G3535" s="49" t="s">
        <v>4891</v>
      </c>
      <c r="H3535" s="49" t="s">
        <v>980</v>
      </c>
      <c r="I3535" s="50">
        <v>45509</v>
      </c>
      <c r="M3535" s="49" t="s">
        <v>12625</v>
      </c>
    </row>
    <row r="3536" spans="1:13" x14ac:dyDescent="0.35">
      <c r="A3536" s="49" t="s">
        <v>12626</v>
      </c>
      <c r="B3536" s="49" t="s">
        <v>12627</v>
      </c>
      <c r="C3536" s="49" t="s">
        <v>6776</v>
      </c>
      <c r="D3536" s="49" t="s">
        <v>1264</v>
      </c>
      <c r="E3536" s="49" t="s">
        <v>2974</v>
      </c>
      <c r="F3536" s="49" t="s">
        <v>2825</v>
      </c>
      <c r="G3536" s="49" t="s">
        <v>4891</v>
      </c>
      <c r="H3536" s="49" t="s">
        <v>2827</v>
      </c>
      <c r="I3536" s="50">
        <v>45504</v>
      </c>
      <c r="M3536" s="49" t="s">
        <v>12628</v>
      </c>
    </row>
    <row r="3537" spans="1:13" x14ac:dyDescent="0.35">
      <c r="A3537" s="49" t="s">
        <v>12629</v>
      </c>
      <c r="B3537" s="49" t="s">
        <v>10042</v>
      </c>
      <c r="C3537" s="49" t="s">
        <v>12630</v>
      </c>
      <c r="D3537" s="49" t="s">
        <v>1264</v>
      </c>
      <c r="E3537" s="49" t="s">
        <v>2774</v>
      </c>
      <c r="F3537" s="49" t="s">
        <v>2825</v>
      </c>
      <c r="G3537" s="49" t="s">
        <v>4891</v>
      </c>
      <c r="H3537" s="49" t="s">
        <v>2827</v>
      </c>
      <c r="I3537" s="50">
        <v>45491</v>
      </c>
      <c r="M3537" s="49" t="s">
        <v>12631</v>
      </c>
    </row>
    <row r="3538" spans="1:13" x14ac:dyDescent="0.35">
      <c r="A3538" s="49" t="s">
        <v>12632</v>
      </c>
      <c r="B3538" s="49" t="s">
        <v>5492</v>
      </c>
      <c r="C3538" s="49" t="s">
        <v>12633</v>
      </c>
      <c r="D3538" s="49" t="s">
        <v>1264</v>
      </c>
      <c r="E3538" s="49" t="s">
        <v>2774</v>
      </c>
      <c r="F3538" s="49" t="s">
        <v>2825</v>
      </c>
      <c r="G3538" s="49" t="s">
        <v>4891</v>
      </c>
      <c r="H3538" s="49" t="s">
        <v>2827</v>
      </c>
      <c r="I3538" s="50">
        <v>45516</v>
      </c>
      <c r="M3538" s="49" t="s">
        <v>3766</v>
      </c>
    </row>
    <row r="3539" spans="1:13" ht="29" x14ac:dyDescent="0.35">
      <c r="A3539" s="49" t="s">
        <v>12634</v>
      </c>
      <c r="B3539" s="51" t="s">
        <v>12635</v>
      </c>
      <c r="C3539" s="49" t="s">
        <v>12636</v>
      </c>
      <c r="D3539" s="49" t="s">
        <v>1264</v>
      </c>
      <c r="E3539" s="49" t="s">
        <v>2814</v>
      </c>
      <c r="F3539" s="49" t="s">
        <v>2825</v>
      </c>
      <c r="G3539" s="49" t="s">
        <v>4891</v>
      </c>
      <c r="H3539" s="49" t="s">
        <v>2827</v>
      </c>
      <c r="I3539" s="50">
        <v>45530</v>
      </c>
      <c r="M3539" s="49" t="s">
        <v>12637</v>
      </c>
    </row>
    <row r="3540" spans="1:13" x14ac:dyDescent="0.35">
      <c r="A3540" s="49" t="s">
        <v>12638</v>
      </c>
      <c r="B3540" s="49" t="s">
        <v>12639</v>
      </c>
      <c r="C3540" s="49" t="s">
        <v>12048</v>
      </c>
      <c r="D3540" s="49" t="s">
        <v>1264</v>
      </c>
      <c r="E3540" s="49" t="s">
        <v>2814</v>
      </c>
      <c r="F3540" s="49" t="s">
        <v>2939</v>
      </c>
      <c r="G3540" s="49" t="s">
        <v>4891</v>
      </c>
      <c r="H3540" s="49" t="s">
        <v>980</v>
      </c>
      <c r="I3540" s="50">
        <v>45435</v>
      </c>
      <c r="M3540" s="49" t="s">
        <v>12593</v>
      </c>
    </row>
    <row r="3541" spans="1:13" x14ac:dyDescent="0.35">
      <c r="A3541" s="49" t="s">
        <v>12640</v>
      </c>
      <c r="B3541" s="49" t="s">
        <v>12641</v>
      </c>
      <c r="C3541" s="49" t="s">
        <v>10854</v>
      </c>
      <c r="D3541" s="49" t="s">
        <v>1264</v>
      </c>
      <c r="E3541" s="49" t="s">
        <v>2774</v>
      </c>
      <c r="F3541" s="49" t="s">
        <v>2825</v>
      </c>
      <c r="G3541" s="49" t="s">
        <v>4891</v>
      </c>
      <c r="H3541" s="49" t="s">
        <v>2827</v>
      </c>
      <c r="I3541" s="50">
        <v>45484</v>
      </c>
      <c r="M3541" s="49" t="s">
        <v>12642</v>
      </c>
    </row>
    <row r="3542" spans="1:13" x14ac:dyDescent="0.35">
      <c r="A3542" s="49" t="s">
        <v>12643</v>
      </c>
      <c r="C3542" s="49" t="s">
        <v>9164</v>
      </c>
      <c r="D3542" s="49" t="s">
        <v>1264</v>
      </c>
      <c r="E3542" s="49" t="s">
        <v>2774</v>
      </c>
      <c r="F3542" s="49" t="s">
        <v>2939</v>
      </c>
      <c r="G3542" s="49" t="s">
        <v>4891</v>
      </c>
      <c r="H3542" s="49" t="s">
        <v>980</v>
      </c>
      <c r="I3542" s="50">
        <v>45504</v>
      </c>
      <c r="M3542" s="49" t="s">
        <v>12644</v>
      </c>
    </row>
    <row r="3543" spans="1:13" x14ac:dyDescent="0.35">
      <c r="A3543" s="49" t="s">
        <v>12645</v>
      </c>
      <c r="B3543" s="49" t="s">
        <v>12646</v>
      </c>
      <c r="C3543" s="49" t="s">
        <v>12350</v>
      </c>
      <c r="D3543" s="49" t="s">
        <v>1264</v>
      </c>
      <c r="E3543" s="49" t="s">
        <v>2986</v>
      </c>
      <c r="F3543" s="49" t="s">
        <v>2825</v>
      </c>
      <c r="G3543" s="49" t="s">
        <v>2776</v>
      </c>
      <c r="H3543" s="49" t="s">
        <v>973</v>
      </c>
      <c r="I3543" s="50">
        <v>45363</v>
      </c>
      <c r="M3543" s="49" t="s">
        <v>11684</v>
      </c>
    </row>
    <row r="3544" spans="1:13" x14ac:dyDescent="0.35">
      <c r="A3544" s="49" t="s">
        <v>12647</v>
      </c>
      <c r="B3544" s="49" t="s">
        <v>12648</v>
      </c>
      <c r="C3544" s="49" t="s">
        <v>764</v>
      </c>
      <c r="D3544" s="49" t="s">
        <v>1264</v>
      </c>
      <c r="E3544" s="49" t="s">
        <v>2986</v>
      </c>
      <c r="F3544" s="49" t="s">
        <v>2825</v>
      </c>
      <c r="G3544" s="49" t="s">
        <v>4891</v>
      </c>
      <c r="H3544" s="49" t="s">
        <v>2827</v>
      </c>
      <c r="I3544" s="50">
        <v>45316</v>
      </c>
      <c r="M3544" s="49" t="s">
        <v>11151</v>
      </c>
    </row>
    <row r="3545" spans="1:13" x14ac:dyDescent="0.35">
      <c r="A3545" s="49" t="s">
        <v>12649</v>
      </c>
      <c r="B3545" s="49" t="s">
        <v>5222</v>
      </c>
      <c r="C3545" s="49" t="s">
        <v>12350</v>
      </c>
      <c r="D3545" s="49" t="s">
        <v>1264</v>
      </c>
      <c r="E3545" s="49" t="s">
        <v>2986</v>
      </c>
      <c r="F3545" s="49" t="s">
        <v>2825</v>
      </c>
      <c r="G3545" s="49" t="s">
        <v>2776</v>
      </c>
      <c r="H3545" s="49" t="s">
        <v>973</v>
      </c>
      <c r="I3545" s="50">
        <v>45372</v>
      </c>
      <c r="M3545" s="49" t="s">
        <v>11662</v>
      </c>
    </row>
    <row r="3546" spans="1:13" x14ac:dyDescent="0.35">
      <c r="A3546" s="49" t="s">
        <v>12650</v>
      </c>
      <c r="C3546" s="49" t="s">
        <v>12651</v>
      </c>
      <c r="D3546" s="49" t="s">
        <v>1264</v>
      </c>
      <c r="E3546" s="49" t="s">
        <v>2986</v>
      </c>
      <c r="F3546" s="49" t="s">
        <v>2825</v>
      </c>
      <c r="G3546" s="49" t="s">
        <v>4891</v>
      </c>
      <c r="H3546" s="49" t="s">
        <v>2827</v>
      </c>
      <c r="I3546" s="50">
        <v>45336</v>
      </c>
      <c r="M3546" s="49" t="s">
        <v>12652</v>
      </c>
    </row>
    <row r="3547" spans="1:13" x14ac:dyDescent="0.35">
      <c r="A3547" s="49" t="s">
        <v>12653</v>
      </c>
      <c r="B3547" s="49" t="s">
        <v>12654</v>
      </c>
      <c r="C3547" s="49" t="s">
        <v>12655</v>
      </c>
      <c r="D3547" s="49" t="s">
        <v>1264</v>
      </c>
      <c r="E3547" s="49" t="s">
        <v>2774</v>
      </c>
      <c r="F3547" s="49" t="s">
        <v>2825</v>
      </c>
      <c r="G3547" s="49" t="s">
        <v>4891</v>
      </c>
      <c r="H3547" s="49" t="s">
        <v>2827</v>
      </c>
      <c r="I3547" s="50">
        <v>45491</v>
      </c>
      <c r="M3547" s="49" t="s">
        <v>12656</v>
      </c>
    </row>
    <row r="3548" spans="1:13" x14ac:dyDescent="0.35">
      <c r="A3548" s="49" t="s">
        <v>12657</v>
      </c>
      <c r="C3548" s="49" t="s">
        <v>12658</v>
      </c>
      <c r="D3548" s="49" t="s">
        <v>1264</v>
      </c>
      <c r="E3548" s="49" t="s">
        <v>2986</v>
      </c>
      <c r="F3548" s="49" t="s">
        <v>2825</v>
      </c>
      <c r="G3548" s="49" t="s">
        <v>4891</v>
      </c>
      <c r="H3548" s="49" t="s">
        <v>2827</v>
      </c>
      <c r="I3548" s="50">
        <v>45349</v>
      </c>
      <c r="M3548" s="49" t="s">
        <v>12659</v>
      </c>
    </row>
    <row r="3549" spans="1:13" x14ac:dyDescent="0.35">
      <c r="A3549" s="49" t="s">
        <v>12660</v>
      </c>
      <c r="B3549" s="49" t="s">
        <v>4859</v>
      </c>
      <c r="C3549" s="49" t="s">
        <v>12661</v>
      </c>
      <c r="D3549" s="49" t="s">
        <v>1264</v>
      </c>
      <c r="E3549" s="49" t="s">
        <v>2986</v>
      </c>
      <c r="F3549" s="49" t="s">
        <v>2825</v>
      </c>
      <c r="G3549" s="49" t="s">
        <v>4891</v>
      </c>
      <c r="H3549" s="49" t="s">
        <v>2827</v>
      </c>
      <c r="I3549" s="50">
        <v>45378</v>
      </c>
      <c r="M3549" s="49" t="s">
        <v>5948</v>
      </c>
    </row>
    <row r="3550" spans="1:13" x14ac:dyDescent="0.35">
      <c r="A3550" s="49" t="s">
        <v>12662</v>
      </c>
      <c r="B3550" s="49" t="s">
        <v>6605</v>
      </c>
      <c r="C3550" s="49" t="s">
        <v>6465</v>
      </c>
      <c r="D3550" s="49" t="s">
        <v>1264</v>
      </c>
      <c r="E3550" s="49" t="s">
        <v>2986</v>
      </c>
      <c r="F3550" s="49" t="s">
        <v>2825</v>
      </c>
      <c r="G3550" s="49" t="s">
        <v>4891</v>
      </c>
      <c r="H3550" s="49" t="s">
        <v>2827</v>
      </c>
      <c r="I3550" s="50">
        <v>45539</v>
      </c>
      <c r="M3550" s="49" t="s">
        <v>12663</v>
      </c>
    </row>
    <row r="3551" spans="1:13" x14ac:dyDescent="0.35">
      <c r="A3551" s="49" t="s">
        <v>12664</v>
      </c>
      <c r="B3551" s="49" t="s">
        <v>12665</v>
      </c>
      <c r="C3551" s="49" t="s">
        <v>12666</v>
      </c>
      <c r="D3551" s="49" t="s">
        <v>1264</v>
      </c>
      <c r="E3551" s="49" t="s">
        <v>2986</v>
      </c>
      <c r="F3551" s="49" t="s">
        <v>2825</v>
      </c>
      <c r="G3551" s="49" t="s">
        <v>4891</v>
      </c>
      <c r="H3551" s="49" t="s">
        <v>2827</v>
      </c>
      <c r="I3551" s="50">
        <v>45342</v>
      </c>
      <c r="M3551" s="49" t="s">
        <v>12667</v>
      </c>
    </row>
    <row r="3552" spans="1:13" x14ac:dyDescent="0.35">
      <c r="A3552" s="49" t="s">
        <v>12668</v>
      </c>
      <c r="B3552" s="49" t="s">
        <v>12669</v>
      </c>
      <c r="C3552" s="49" t="s">
        <v>12670</v>
      </c>
      <c r="D3552" s="49" t="s">
        <v>1264</v>
      </c>
      <c r="E3552" s="49" t="s">
        <v>2986</v>
      </c>
      <c r="F3552" s="49" t="s">
        <v>2825</v>
      </c>
      <c r="G3552" s="49" t="s">
        <v>4891</v>
      </c>
      <c r="H3552" s="49" t="s">
        <v>2827</v>
      </c>
      <c r="I3552" s="50">
        <v>45387</v>
      </c>
      <c r="M3552" s="49" t="s">
        <v>12671</v>
      </c>
    </row>
    <row r="3553" spans="1:13" x14ac:dyDescent="0.35">
      <c r="A3553" s="49" t="s">
        <v>12672</v>
      </c>
      <c r="C3553" s="49" t="s">
        <v>6334</v>
      </c>
      <c r="D3553" s="49" t="s">
        <v>1264</v>
      </c>
      <c r="E3553" s="49" t="s">
        <v>2986</v>
      </c>
      <c r="F3553" s="49" t="s">
        <v>2825</v>
      </c>
      <c r="G3553" s="49" t="s">
        <v>4891</v>
      </c>
      <c r="H3553" s="49" t="s">
        <v>2827</v>
      </c>
      <c r="I3553" s="50">
        <v>45351</v>
      </c>
      <c r="M3553" s="49" t="s">
        <v>12673</v>
      </c>
    </row>
    <row r="3554" spans="1:13" x14ac:dyDescent="0.35">
      <c r="A3554" s="49" t="s">
        <v>12674</v>
      </c>
      <c r="C3554" s="49" t="s">
        <v>6334</v>
      </c>
      <c r="D3554" s="49" t="s">
        <v>1264</v>
      </c>
      <c r="E3554" s="49" t="s">
        <v>2986</v>
      </c>
      <c r="F3554" s="49" t="s">
        <v>2825</v>
      </c>
      <c r="G3554" s="49" t="s">
        <v>4891</v>
      </c>
      <c r="H3554" s="49" t="s">
        <v>2827</v>
      </c>
      <c r="I3554" s="50">
        <v>45345</v>
      </c>
      <c r="M3554" s="49" t="s">
        <v>12675</v>
      </c>
    </row>
    <row r="3555" spans="1:13" x14ac:dyDescent="0.35">
      <c r="A3555" s="49" t="s">
        <v>12676</v>
      </c>
      <c r="C3555" s="49" t="s">
        <v>12677</v>
      </c>
      <c r="D3555" s="49" t="s">
        <v>1264</v>
      </c>
      <c r="E3555" s="49" t="s">
        <v>2986</v>
      </c>
      <c r="F3555" s="49" t="s">
        <v>2825</v>
      </c>
      <c r="G3555" s="49" t="s">
        <v>4891</v>
      </c>
      <c r="H3555" s="49" t="s">
        <v>2827</v>
      </c>
      <c r="I3555" s="50">
        <v>45357</v>
      </c>
      <c r="M3555" s="49" t="s">
        <v>12678</v>
      </c>
    </row>
    <row r="3556" spans="1:13" x14ac:dyDescent="0.35">
      <c r="A3556" s="49" t="s">
        <v>12679</v>
      </c>
      <c r="C3556" s="49" t="s">
        <v>12677</v>
      </c>
      <c r="D3556" s="49" t="s">
        <v>1264</v>
      </c>
      <c r="E3556" s="49" t="s">
        <v>2986</v>
      </c>
      <c r="F3556" s="49" t="s">
        <v>2825</v>
      </c>
      <c r="G3556" s="49" t="s">
        <v>4891</v>
      </c>
      <c r="H3556" s="49" t="s">
        <v>2827</v>
      </c>
      <c r="I3556" s="50">
        <v>45352</v>
      </c>
      <c r="M3556" s="49" t="s">
        <v>12680</v>
      </c>
    </row>
    <row r="3557" spans="1:13" x14ac:dyDescent="0.35">
      <c r="A3557" s="49" t="s">
        <v>12681</v>
      </c>
      <c r="C3557" s="49" t="s">
        <v>12677</v>
      </c>
      <c r="D3557" s="49" t="s">
        <v>1264</v>
      </c>
      <c r="E3557" s="49" t="s">
        <v>2986</v>
      </c>
      <c r="F3557" s="49" t="s">
        <v>2825</v>
      </c>
      <c r="G3557" s="49" t="s">
        <v>4891</v>
      </c>
      <c r="H3557" s="49" t="s">
        <v>2827</v>
      </c>
      <c r="I3557" s="50">
        <v>45352</v>
      </c>
      <c r="M3557" s="49" t="s">
        <v>12682</v>
      </c>
    </row>
    <row r="3558" spans="1:13" x14ac:dyDescent="0.35">
      <c r="A3558" s="49" t="s">
        <v>12683</v>
      </c>
      <c r="B3558" s="49" t="s">
        <v>12684</v>
      </c>
      <c r="C3558" s="49" t="s">
        <v>12685</v>
      </c>
      <c r="D3558" s="49" t="s">
        <v>1264</v>
      </c>
      <c r="E3558" s="49" t="s">
        <v>2986</v>
      </c>
      <c r="F3558" s="49" t="s">
        <v>2825</v>
      </c>
      <c r="G3558" s="49" t="s">
        <v>2776</v>
      </c>
      <c r="H3558" s="49" t="s">
        <v>2827</v>
      </c>
      <c r="I3558" s="50">
        <v>45372</v>
      </c>
      <c r="M3558" s="49" t="s">
        <v>11646</v>
      </c>
    </row>
    <row r="3559" spans="1:13" x14ac:dyDescent="0.35">
      <c r="A3559" s="49" t="s">
        <v>12686</v>
      </c>
      <c r="C3559" s="49" t="s">
        <v>12687</v>
      </c>
      <c r="D3559" s="49" t="s">
        <v>1264</v>
      </c>
      <c r="E3559" s="49" t="s">
        <v>2986</v>
      </c>
      <c r="F3559" s="49" t="s">
        <v>2825</v>
      </c>
      <c r="G3559" s="49" t="s">
        <v>4891</v>
      </c>
      <c r="H3559" s="49" t="s">
        <v>8</v>
      </c>
      <c r="I3559" s="50">
        <v>45541</v>
      </c>
      <c r="M3559" s="49" t="s">
        <v>12688</v>
      </c>
    </row>
    <row r="3560" spans="1:13" x14ac:dyDescent="0.35">
      <c r="A3560" s="49" t="s">
        <v>12689</v>
      </c>
      <c r="C3560" s="49" t="s">
        <v>12690</v>
      </c>
      <c r="D3560" s="49" t="s">
        <v>1264</v>
      </c>
      <c r="E3560" s="49" t="s">
        <v>2986</v>
      </c>
      <c r="F3560" s="49" t="s">
        <v>2825</v>
      </c>
      <c r="G3560" s="49" t="s">
        <v>4891</v>
      </c>
      <c r="H3560" s="49" t="s">
        <v>973</v>
      </c>
      <c r="I3560" s="50">
        <v>45372</v>
      </c>
      <c r="M3560" s="49" t="s">
        <v>12691</v>
      </c>
    </row>
    <row r="3561" spans="1:13" x14ac:dyDescent="0.35">
      <c r="A3561" s="49" t="s">
        <v>12692</v>
      </c>
      <c r="B3561" s="49" t="s">
        <v>3679</v>
      </c>
      <c r="C3561" s="49" t="s">
        <v>10300</v>
      </c>
      <c r="D3561" s="49" t="s">
        <v>1264</v>
      </c>
      <c r="E3561" s="49" t="s">
        <v>2986</v>
      </c>
      <c r="F3561" s="49" t="s">
        <v>2825</v>
      </c>
      <c r="G3561" s="49" t="s">
        <v>4891</v>
      </c>
      <c r="H3561" s="49" t="s">
        <v>2827</v>
      </c>
      <c r="I3561" s="50">
        <v>45426</v>
      </c>
      <c r="M3561" s="49" t="s">
        <v>12693</v>
      </c>
    </row>
    <row r="3562" spans="1:13" x14ac:dyDescent="0.35">
      <c r="A3562" s="49" t="s">
        <v>12694</v>
      </c>
      <c r="C3562" s="49" t="s">
        <v>12695</v>
      </c>
      <c r="D3562" s="49" t="s">
        <v>1264</v>
      </c>
      <c r="E3562" s="49" t="s">
        <v>2986</v>
      </c>
      <c r="F3562" s="49" t="s">
        <v>2825</v>
      </c>
      <c r="G3562" s="49" t="s">
        <v>4891</v>
      </c>
      <c r="H3562" s="49" t="s">
        <v>2827</v>
      </c>
      <c r="I3562" s="50">
        <v>45377</v>
      </c>
      <c r="M3562" s="49" t="s">
        <v>12696</v>
      </c>
    </row>
    <row r="3563" spans="1:13" x14ac:dyDescent="0.35">
      <c r="A3563" s="49" t="s">
        <v>12697</v>
      </c>
      <c r="C3563" s="49" t="s">
        <v>12687</v>
      </c>
      <c r="D3563" s="49" t="s">
        <v>1264</v>
      </c>
      <c r="E3563" s="49" t="s">
        <v>2986</v>
      </c>
      <c r="F3563" s="49" t="s">
        <v>2825</v>
      </c>
      <c r="G3563" s="49" t="s">
        <v>4891</v>
      </c>
      <c r="H3563" s="49" t="s">
        <v>8</v>
      </c>
      <c r="I3563" s="50">
        <v>45541</v>
      </c>
      <c r="M3563" s="49" t="s">
        <v>12698</v>
      </c>
    </row>
    <row r="3564" spans="1:13" x14ac:dyDescent="0.35">
      <c r="A3564" s="49" t="s">
        <v>12699</v>
      </c>
      <c r="C3564" s="49" t="s">
        <v>12346</v>
      </c>
      <c r="D3564" s="49" t="s">
        <v>1264</v>
      </c>
      <c r="E3564" s="49" t="s">
        <v>2986</v>
      </c>
      <c r="F3564" s="49" t="s">
        <v>2825</v>
      </c>
      <c r="G3564" s="49" t="s">
        <v>4891</v>
      </c>
      <c r="H3564" s="49" t="s">
        <v>2827</v>
      </c>
      <c r="I3564" s="50">
        <v>45544</v>
      </c>
      <c r="M3564" s="49" t="s">
        <v>11723</v>
      </c>
    </row>
    <row r="3565" spans="1:13" x14ac:dyDescent="0.35">
      <c r="A3565" s="49" t="s">
        <v>12700</v>
      </c>
      <c r="C3565" s="49" t="s">
        <v>12346</v>
      </c>
      <c r="D3565" s="49" t="s">
        <v>1264</v>
      </c>
      <c r="E3565" s="49" t="s">
        <v>2986</v>
      </c>
      <c r="F3565" s="49" t="s">
        <v>2825</v>
      </c>
      <c r="G3565" s="49" t="s">
        <v>4891</v>
      </c>
      <c r="H3565" s="49" t="s">
        <v>2827</v>
      </c>
      <c r="I3565" s="50">
        <v>45544</v>
      </c>
      <c r="M3565" s="49" t="s">
        <v>11646</v>
      </c>
    </row>
    <row r="3566" spans="1:13" x14ac:dyDescent="0.35">
      <c r="A3566" s="49" t="s">
        <v>12701</v>
      </c>
      <c r="C3566" s="49" t="s">
        <v>12346</v>
      </c>
      <c r="D3566" s="49" t="s">
        <v>1264</v>
      </c>
      <c r="E3566" s="49" t="s">
        <v>2986</v>
      </c>
      <c r="F3566" s="49" t="s">
        <v>2825</v>
      </c>
      <c r="G3566" s="49" t="s">
        <v>4891</v>
      </c>
      <c r="H3566" s="49" t="s">
        <v>2827</v>
      </c>
      <c r="I3566" s="50">
        <v>45544</v>
      </c>
      <c r="M3566" s="49" t="s">
        <v>12364</v>
      </c>
    </row>
    <row r="3567" spans="1:13" x14ac:dyDescent="0.35">
      <c r="A3567" s="49" t="s">
        <v>12702</v>
      </c>
      <c r="C3567" s="49" t="s">
        <v>12346</v>
      </c>
      <c r="D3567" s="49" t="s">
        <v>1264</v>
      </c>
      <c r="E3567" s="49" t="s">
        <v>2986</v>
      </c>
      <c r="F3567" s="49" t="s">
        <v>2825</v>
      </c>
      <c r="G3567" s="49" t="s">
        <v>4891</v>
      </c>
      <c r="H3567" s="49" t="s">
        <v>2827</v>
      </c>
      <c r="I3567" s="50">
        <v>45544</v>
      </c>
    </row>
    <row r="3568" spans="1:13" x14ac:dyDescent="0.35">
      <c r="A3568" s="49" t="s">
        <v>12703</v>
      </c>
      <c r="C3568" s="49" t="s">
        <v>12346</v>
      </c>
      <c r="D3568" s="49" t="s">
        <v>1264</v>
      </c>
      <c r="E3568" s="49" t="s">
        <v>2986</v>
      </c>
      <c r="F3568" s="49" t="s">
        <v>2825</v>
      </c>
      <c r="G3568" s="49" t="s">
        <v>4891</v>
      </c>
      <c r="H3568" s="49" t="s">
        <v>2827</v>
      </c>
      <c r="I3568" s="50">
        <v>45544</v>
      </c>
      <c r="M3568" s="49" t="s">
        <v>12366</v>
      </c>
    </row>
    <row r="3569" spans="1:13" x14ac:dyDescent="0.35">
      <c r="A3569" s="49" t="s">
        <v>12704</v>
      </c>
      <c r="B3569" s="49" t="s">
        <v>973</v>
      </c>
      <c r="C3569" s="49" t="s">
        <v>5584</v>
      </c>
      <c r="D3569" s="49" t="s">
        <v>1264</v>
      </c>
      <c r="E3569" s="49" t="s">
        <v>2908</v>
      </c>
      <c r="F3569" s="49" t="s">
        <v>2837</v>
      </c>
      <c r="G3569" s="49" t="s">
        <v>4891</v>
      </c>
      <c r="H3569" s="49" t="s">
        <v>973</v>
      </c>
      <c r="I3569" s="50">
        <v>45546</v>
      </c>
      <c r="M3569" s="49" t="s">
        <v>12705</v>
      </c>
    </row>
    <row r="3570" spans="1:13" x14ac:dyDescent="0.35">
      <c r="A3570" s="49" t="s">
        <v>12706</v>
      </c>
      <c r="B3570" s="49" t="s">
        <v>4257</v>
      </c>
      <c r="C3570" s="49" t="s">
        <v>4282</v>
      </c>
      <c r="D3570" s="49" t="s">
        <v>1264</v>
      </c>
      <c r="E3570" s="49" t="s">
        <v>2785</v>
      </c>
      <c r="F3570" s="49" t="s">
        <v>2792</v>
      </c>
      <c r="G3570" s="49" t="s">
        <v>4891</v>
      </c>
      <c r="H3570" s="49" t="s">
        <v>980</v>
      </c>
      <c r="I3570" s="50">
        <v>45546</v>
      </c>
      <c r="M3570" s="49" t="s">
        <v>12707</v>
      </c>
    </row>
    <row r="3571" spans="1:13" x14ac:dyDescent="0.35">
      <c r="A3571" s="49" t="s">
        <v>12708</v>
      </c>
      <c r="B3571" s="49" t="s">
        <v>12709</v>
      </c>
      <c r="C3571" s="49" t="s">
        <v>4200</v>
      </c>
      <c r="D3571" s="49" t="s">
        <v>1264</v>
      </c>
      <c r="E3571" s="49" t="s">
        <v>2785</v>
      </c>
      <c r="F3571" s="49" t="s">
        <v>5423</v>
      </c>
      <c r="G3571" s="49" t="s">
        <v>4891</v>
      </c>
      <c r="H3571" s="49" t="s">
        <v>2832</v>
      </c>
      <c r="I3571" s="50">
        <v>45546</v>
      </c>
      <c r="M3571" s="49" t="s">
        <v>12710</v>
      </c>
    </row>
    <row r="3572" spans="1:13" x14ac:dyDescent="0.35">
      <c r="A3572" s="49" t="s">
        <v>12711</v>
      </c>
      <c r="B3572" s="49" t="s">
        <v>12712</v>
      </c>
      <c r="C3572" s="49" t="s">
        <v>5150</v>
      </c>
      <c r="D3572" s="49" t="s">
        <v>1264</v>
      </c>
      <c r="E3572" s="49" t="s">
        <v>2785</v>
      </c>
      <c r="F3572" s="49" t="s">
        <v>2792</v>
      </c>
      <c r="G3572" s="49" t="s">
        <v>4891</v>
      </c>
      <c r="H3572" s="49" t="s">
        <v>980</v>
      </c>
      <c r="I3572" s="50">
        <v>45546</v>
      </c>
      <c r="M3572" s="49" t="s">
        <v>12713</v>
      </c>
    </row>
    <row r="3573" spans="1:13" x14ac:dyDescent="0.35">
      <c r="A3573" s="49" t="s">
        <v>12714</v>
      </c>
      <c r="B3573" s="49" t="s">
        <v>2818</v>
      </c>
      <c r="C3573" s="49" t="s">
        <v>4026</v>
      </c>
      <c r="D3573" s="49" t="s">
        <v>1264</v>
      </c>
      <c r="E3573" s="49" t="s">
        <v>2785</v>
      </c>
      <c r="F3573" s="49" t="s">
        <v>2792</v>
      </c>
      <c r="G3573" s="49" t="s">
        <v>4891</v>
      </c>
      <c r="H3573" s="49" t="s">
        <v>8</v>
      </c>
      <c r="I3573" s="50">
        <v>45546</v>
      </c>
      <c r="M3573" s="49" t="s">
        <v>12715</v>
      </c>
    </row>
    <row r="3574" spans="1:13" x14ac:dyDescent="0.35">
      <c r="A3574" s="49" t="s">
        <v>12716</v>
      </c>
      <c r="B3574" s="49" t="s">
        <v>12717</v>
      </c>
      <c r="C3574" s="49" t="s">
        <v>12718</v>
      </c>
      <c r="D3574" s="49" t="s">
        <v>1264</v>
      </c>
      <c r="E3574" s="49" t="s">
        <v>2785</v>
      </c>
      <c r="F3574" s="49" t="s">
        <v>2792</v>
      </c>
      <c r="G3574" s="49" t="s">
        <v>2776</v>
      </c>
      <c r="H3574" s="49" t="s">
        <v>980</v>
      </c>
      <c r="I3574" s="50">
        <v>45518</v>
      </c>
      <c r="M3574" s="49" t="s">
        <v>12719</v>
      </c>
    </row>
    <row r="3575" spans="1:13" x14ac:dyDescent="0.35">
      <c r="A3575" s="49" t="s">
        <v>12720</v>
      </c>
      <c r="B3575" s="49" t="s">
        <v>5982</v>
      </c>
      <c r="C3575" s="49" t="s">
        <v>5983</v>
      </c>
      <c r="D3575" s="49" t="s">
        <v>1264</v>
      </c>
      <c r="E3575" s="49" t="s">
        <v>2785</v>
      </c>
      <c r="F3575" s="49" t="s">
        <v>2792</v>
      </c>
      <c r="G3575" s="49" t="s">
        <v>4891</v>
      </c>
      <c r="H3575" s="49" t="s">
        <v>980</v>
      </c>
      <c r="I3575" s="50">
        <v>45548</v>
      </c>
      <c r="M3575" s="49" t="s">
        <v>12721</v>
      </c>
    </row>
    <row r="3576" spans="1:13" x14ac:dyDescent="0.35">
      <c r="A3576" s="49" t="s">
        <v>12722</v>
      </c>
      <c r="B3576" s="49" t="s">
        <v>12723</v>
      </c>
      <c r="C3576" s="49" t="s">
        <v>12724</v>
      </c>
      <c r="D3576" s="49" t="s">
        <v>1264</v>
      </c>
      <c r="E3576" s="49" t="s">
        <v>2785</v>
      </c>
      <c r="F3576" s="49" t="s">
        <v>2786</v>
      </c>
      <c r="G3576" s="49" t="s">
        <v>4891</v>
      </c>
      <c r="H3576" s="49" t="s">
        <v>973</v>
      </c>
      <c r="I3576" s="50">
        <v>45477</v>
      </c>
      <c r="M3576" s="49" t="s">
        <v>12725</v>
      </c>
    </row>
    <row r="3577" spans="1:13" x14ac:dyDescent="0.35">
      <c r="A3577" s="49" t="s">
        <v>12726</v>
      </c>
      <c r="B3577" s="49" t="s">
        <v>5800</v>
      </c>
      <c r="C3577" s="49" t="s">
        <v>12727</v>
      </c>
      <c r="D3577" s="49" t="s">
        <v>1264</v>
      </c>
      <c r="E3577" s="49" t="s">
        <v>2785</v>
      </c>
      <c r="F3577" s="49" t="s">
        <v>2786</v>
      </c>
      <c r="G3577" s="49" t="s">
        <v>4891</v>
      </c>
      <c r="H3577" s="49" t="s">
        <v>980</v>
      </c>
      <c r="I3577" s="50">
        <v>45510</v>
      </c>
      <c r="M3577" s="49" t="s">
        <v>12728</v>
      </c>
    </row>
    <row r="3578" spans="1:13" x14ac:dyDescent="0.35">
      <c r="A3578" s="49" t="s">
        <v>12729</v>
      </c>
      <c r="B3578" s="49" t="s">
        <v>12730</v>
      </c>
      <c r="C3578" s="49" t="s">
        <v>5317</v>
      </c>
      <c r="D3578" s="49" t="s">
        <v>1264</v>
      </c>
      <c r="E3578" s="49" t="s">
        <v>2785</v>
      </c>
      <c r="F3578" s="49" t="s">
        <v>2786</v>
      </c>
      <c r="G3578" s="49" t="s">
        <v>4891</v>
      </c>
      <c r="H3578" s="49" t="s">
        <v>980</v>
      </c>
      <c r="I3578" s="50">
        <v>45539</v>
      </c>
      <c r="M3578" s="49" t="s">
        <v>12731</v>
      </c>
    </row>
    <row r="3579" spans="1:13" x14ac:dyDescent="0.35">
      <c r="A3579" s="49" t="s">
        <v>12732</v>
      </c>
      <c r="B3579" s="49" t="s">
        <v>12733</v>
      </c>
      <c r="C3579" s="49" t="s">
        <v>4926</v>
      </c>
      <c r="D3579" s="49" t="s">
        <v>1264</v>
      </c>
      <c r="E3579" s="49" t="s">
        <v>2785</v>
      </c>
      <c r="F3579" s="49" t="s">
        <v>2786</v>
      </c>
      <c r="G3579" s="49" t="s">
        <v>4891</v>
      </c>
      <c r="H3579" s="49" t="s">
        <v>980</v>
      </c>
      <c r="I3579" s="50">
        <v>45544</v>
      </c>
      <c r="M3579" s="49" t="s">
        <v>12734</v>
      </c>
    </row>
    <row r="3580" spans="1:13" x14ac:dyDescent="0.35">
      <c r="A3580" s="49" t="s">
        <v>12735</v>
      </c>
      <c r="B3580" s="49" t="s">
        <v>12736</v>
      </c>
      <c r="C3580" s="49" t="s">
        <v>4926</v>
      </c>
      <c r="D3580" s="49" t="s">
        <v>1264</v>
      </c>
      <c r="E3580" s="49" t="s">
        <v>2785</v>
      </c>
      <c r="F3580" s="49" t="s">
        <v>2792</v>
      </c>
      <c r="G3580" s="49" t="s">
        <v>4891</v>
      </c>
      <c r="H3580" s="49" t="s">
        <v>980</v>
      </c>
      <c r="I3580" s="50">
        <v>45544</v>
      </c>
      <c r="M3580" s="49" t="s">
        <v>12737</v>
      </c>
    </row>
    <row r="3581" spans="1:13" x14ac:dyDescent="0.35">
      <c r="A3581" s="49" t="s">
        <v>12738</v>
      </c>
      <c r="B3581" s="49" t="s">
        <v>12739</v>
      </c>
      <c r="C3581" s="49" t="s">
        <v>12740</v>
      </c>
      <c r="D3581" s="49" t="s">
        <v>1264</v>
      </c>
      <c r="E3581" s="49" t="s">
        <v>2785</v>
      </c>
      <c r="F3581" s="49" t="s">
        <v>2786</v>
      </c>
      <c r="G3581" s="49" t="s">
        <v>4891</v>
      </c>
      <c r="H3581" s="49" t="s">
        <v>3207</v>
      </c>
      <c r="I3581" s="50">
        <v>45547</v>
      </c>
      <c r="M3581" s="49" t="s">
        <v>12741</v>
      </c>
    </row>
    <row r="3582" spans="1:13" x14ac:dyDescent="0.35">
      <c r="A3582" s="49" t="s">
        <v>12742</v>
      </c>
      <c r="B3582" s="49" t="s">
        <v>12743</v>
      </c>
      <c r="C3582" s="49" t="s">
        <v>12744</v>
      </c>
      <c r="D3582" s="49" t="s">
        <v>1264</v>
      </c>
      <c r="E3582" s="49" t="s">
        <v>2785</v>
      </c>
      <c r="F3582" s="49" t="s">
        <v>2792</v>
      </c>
      <c r="G3582" s="49" t="s">
        <v>2776</v>
      </c>
      <c r="H3582" s="49" t="s">
        <v>8</v>
      </c>
      <c r="I3582" s="50">
        <v>45544</v>
      </c>
      <c r="M3582" s="49" t="s">
        <v>12745</v>
      </c>
    </row>
    <row r="3583" spans="1:13" x14ac:dyDescent="0.35">
      <c r="A3583" s="49" t="s">
        <v>12746</v>
      </c>
      <c r="B3583" s="49" t="s">
        <v>2823</v>
      </c>
      <c r="C3583" s="49" t="s">
        <v>1104</v>
      </c>
      <c r="D3583" s="49" t="s">
        <v>1264</v>
      </c>
      <c r="E3583" s="49" t="s">
        <v>2785</v>
      </c>
      <c r="F3583" s="49" t="s">
        <v>3898</v>
      </c>
      <c r="G3583" s="49" t="s">
        <v>2776</v>
      </c>
      <c r="H3583" s="49" t="s">
        <v>2827</v>
      </c>
      <c r="I3583" s="50">
        <v>45495</v>
      </c>
      <c r="M3583" s="49" t="s">
        <v>12747</v>
      </c>
    </row>
    <row r="3584" spans="1:13" x14ac:dyDescent="0.35">
      <c r="A3584" s="49" t="s">
        <v>12748</v>
      </c>
      <c r="B3584" s="49" t="s">
        <v>12749</v>
      </c>
      <c r="C3584" s="49" t="s">
        <v>12750</v>
      </c>
      <c r="D3584" s="49" t="s">
        <v>1264</v>
      </c>
      <c r="E3584" s="49" t="s">
        <v>2785</v>
      </c>
      <c r="F3584" s="49" t="s">
        <v>2805</v>
      </c>
      <c r="G3584" s="49" t="s">
        <v>4891</v>
      </c>
      <c r="H3584" s="49" t="s">
        <v>2827</v>
      </c>
      <c r="I3584" s="50">
        <v>45504</v>
      </c>
      <c r="M3584" s="49" t="s">
        <v>12751</v>
      </c>
    </row>
    <row r="3585" spans="1:13" x14ac:dyDescent="0.35">
      <c r="A3585" s="49" t="s">
        <v>12752</v>
      </c>
      <c r="B3585" s="49" t="s">
        <v>12753</v>
      </c>
      <c r="C3585" s="49" t="s">
        <v>5928</v>
      </c>
      <c r="D3585" s="49" t="s">
        <v>1264</v>
      </c>
      <c r="E3585" s="49" t="s">
        <v>2785</v>
      </c>
      <c r="F3585" s="49" t="s">
        <v>2792</v>
      </c>
      <c r="G3585" s="49" t="s">
        <v>2776</v>
      </c>
      <c r="H3585" s="49" t="s">
        <v>4225</v>
      </c>
      <c r="I3585" s="50">
        <v>45505</v>
      </c>
      <c r="M3585" s="49" t="s">
        <v>12754</v>
      </c>
    </row>
    <row r="3586" spans="1:13" x14ac:dyDescent="0.35">
      <c r="A3586" s="49" t="s">
        <v>12755</v>
      </c>
      <c r="B3586" s="49" t="s">
        <v>3586</v>
      </c>
      <c r="C3586" s="49" t="s">
        <v>12756</v>
      </c>
      <c r="D3586" s="49" t="s">
        <v>1264</v>
      </c>
      <c r="E3586" s="49" t="s">
        <v>2785</v>
      </c>
      <c r="F3586" s="49" t="s">
        <v>2786</v>
      </c>
      <c r="G3586" s="49" t="s">
        <v>2776</v>
      </c>
      <c r="H3586" s="49" t="s">
        <v>980</v>
      </c>
      <c r="I3586" s="50">
        <v>45470</v>
      </c>
      <c r="M3586" s="49" t="s">
        <v>12757</v>
      </c>
    </row>
    <row r="3587" spans="1:13" x14ac:dyDescent="0.35">
      <c r="A3587" s="49" t="s">
        <v>12758</v>
      </c>
      <c r="B3587" s="49" t="s">
        <v>3586</v>
      </c>
      <c r="C3587" s="49" t="s">
        <v>12759</v>
      </c>
      <c r="D3587" s="49" t="s">
        <v>1264</v>
      </c>
      <c r="E3587" s="49" t="s">
        <v>2785</v>
      </c>
      <c r="F3587" s="49" t="s">
        <v>2786</v>
      </c>
      <c r="G3587" s="49" t="s">
        <v>2776</v>
      </c>
      <c r="H3587" s="49" t="s">
        <v>980</v>
      </c>
      <c r="I3587" s="50">
        <v>45474</v>
      </c>
      <c r="M3587" s="49" t="s">
        <v>12760</v>
      </c>
    </row>
    <row r="3588" spans="1:13" x14ac:dyDescent="0.35">
      <c r="A3588" s="49" t="s">
        <v>12761</v>
      </c>
      <c r="B3588" s="49" t="s">
        <v>12762</v>
      </c>
      <c r="C3588" s="49" t="s">
        <v>5928</v>
      </c>
      <c r="D3588" s="49" t="s">
        <v>1264</v>
      </c>
      <c r="E3588" s="49" t="s">
        <v>2785</v>
      </c>
      <c r="F3588" s="49" t="s">
        <v>2792</v>
      </c>
      <c r="G3588" s="49" t="s">
        <v>2776</v>
      </c>
      <c r="H3588" s="49" t="s">
        <v>4225</v>
      </c>
      <c r="I3588" s="50">
        <v>45475</v>
      </c>
      <c r="M3588" s="49" t="s">
        <v>12763</v>
      </c>
    </row>
    <row r="3589" spans="1:13" x14ac:dyDescent="0.35">
      <c r="A3589" s="49" t="s">
        <v>12764</v>
      </c>
      <c r="B3589" s="49" t="s">
        <v>12765</v>
      </c>
      <c r="C3589" s="49" t="s">
        <v>12766</v>
      </c>
      <c r="D3589" s="49" t="s">
        <v>1264</v>
      </c>
      <c r="E3589" s="49" t="s">
        <v>2785</v>
      </c>
      <c r="F3589" s="49" t="s">
        <v>2792</v>
      </c>
      <c r="G3589" s="49" t="s">
        <v>2776</v>
      </c>
      <c r="H3589" s="49" t="s">
        <v>835</v>
      </c>
      <c r="I3589" s="50">
        <v>45512</v>
      </c>
      <c r="M3589" s="49" t="s">
        <v>12767</v>
      </c>
    </row>
    <row r="3590" spans="1:13" x14ac:dyDescent="0.35">
      <c r="A3590" s="49" t="s">
        <v>12768</v>
      </c>
      <c r="B3590" s="49" t="s">
        <v>2937</v>
      </c>
      <c r="C3590" s="49" t="s">
        <v>3568</v>
      </c>
      <c r="D3590" s="49" t="s">
        <v>1264</v>
      </c>
      <c r="E3590" s="49" t="s">
        <v>2908</v>
      </c>
      <c r="F3590" s="49" t="s">
        <v>2939</v>
      </c>
      <c r="G3590" s="49" t="s">
        <v>4891</v>
      </c>
      <c r="H3590" s="49" t="s">
        <v>980</v>
      </c>
      <c r="I3590" s="50">
        <v>45523</v>
      </c>
      <c r="M3590" s="49" t="s">
        <v>12769</v>
      </c>
    </row>
    <row r="3591" spans="1:13" x14ac:dyDescent="0.35">
      <c r="A3591" s="49" t="s">
        <v>12770</v>
      </c>
      <c r="B3591" s="49" t="s">
        <v>12771</v>
      </c>
      <c r="C3591" s="49" t="s">
        <v>12554</v>
      </c>
      <c r="D3591" s="49" t="s">
        <v>1264</v>
      </c>
      <c r="E3591" s="49" t="s">
        <v>2908</v>
      </c>
      <c r="F3591" s="49" t="s">
        <v>2837</v>
      </c>
      <c r="G3591" s="49" t="s">
        <v>4891</v>
      </c>
      <c r="H3591" s="49" t="s">
        <v>2827</v>
      </c>
      <c r="I3591" s="50">
        <v>45554</v>
      </c>
      <c r="M3591" s="49" t="s">
        <v>12555</v>
      </c>
    </row>
    <row r="3592" spans="1:13" x14ac:dyDescent="0.35">
      <c r="A3592" s="49" t="s">
        <v>12772</v>
      </c>
      <c r="B3592" s="49" t="s">
        <v>7426</v>
      </c>
      <c r="C3592" s="49" t="s">
        <v>12773</v>
      </c>
      <c r="D3592" s="49" t="s">
        <v>1264</v>
      </c>
      <c r="E3592" s="49" t="s">
        <v>2785</v>
      </c>
      <c r="F3592" s="49" t="s">
        <v>2786</v>
      </c>
      <c r="G3592" s="49" t="s">
        <v>4891</v>
      </c>
      <c r="H3592" s="49" t="s">
        <v>980</v>
      </c>
      <c r="I3592" s="50">
        <v>45534</v>
      </c>
      <c r="M3592" s="49" t="s">
        <v>12774</v>
      </c>
    </row>
    <row r="3593" spans="1:13" x14ac:dyDescent="0.35">
      <c r="A3593" s="49" t="s">
        <v>12775</v>
      </c>
      <c r="B3593" s="49" t="s">
        <v>12776</v>
      </c>
      <c r="C3593" s="49" t="s">
        <v>12777</v>
      </c>
      <c r="D3593" s="49" t="s">
        <v>1264</v>
      </c>
      <c r="E3593" s="49" t="s">
        <v>2986</v>
      </c>
      <c r="F3593" s="49" t="s">
        <v>2825</v>
      </c>
      <c r="G3593" s="49" t="s">
        <v>4891</v>
      </c>
      <c r="H3593" s="49" t="s">
        <v>2827</v>
      </c>
      <c r="I3593" s="50">
        <v>45397</v>
      </c>
      <c r="M3593" s="49" t="s">
        <v>12778</v>
      </c>
    </row>
    <row r="3594" spans="1:13" x14ac:dyDescent="0.35">
      <c r="A3594" s="49" t="s">
        <v>12779</v>
      </c>
      <c r="B3594" s="49" t="s">
        <v>12780</v>
      </c>
      <c r="C3594" s="49" t="s">
        <v>12781</v>
      </c>
      <c r="D3594" s="49" t="s">
        <v>1264</v>
      </c>
      <c r="E3594" s="49" t="s">
        <v>2986</v>
      </c>
      <c r="F3594" s="49" t="s">
        <v>2825</v>
      </c>
      <c r="G3594" s="49" t="s">
        <v>4891</v>
      </c>
      <c r="H3594" s="49" t="s">
        <v>2827</v>
      </c>
      <c r="I3594" s="50">
        <v>45378</v>
      </c>
      <c r="M3594" s="49" t="s">
        <v>5565</v>
      </c>
    </row>
    <row r="3595" spans="1:13" x14ac:dyDescent="0.35">
      <c r="A3595" s="49" t="s">
        <v>12782</v>
      </c>
      <c r="B3595" s="49" t="s">
        <v>3615</v>
      </c>
      <c r="C3595" s="49" t="s">
        <v>12783</v>
      </c>
      <c r="D3595" s="49" t="s">
        <v>1264</v>
      </c>
      <c r="E3595" s="49" t="s">
        <v>2785</v>
      </c>
      <c r="F3595" s="49" t="s">
        <v>5123</v>
      </c>
      <c r="G3595" s="49" t="s">
        <v>2776</v>
      </c>
      <c r="H3595" s="49" t="s">
        <v>8</v>
      </c>
      <c r="I3595" s="50">
        <v>45560</v>
      </c>
      <c r="M3595" s="49" t="s">
        <v>12784</v>
      </c>
    </row>
    <row r="3596" spans="1:13" x14ac:dyDescent="0.35">
      <c r="A3596" s="49" t="s">
        <v>12785</v>
      </c>
      <c r="B3596" s="49" t="s">
        <v>12786</v>
      </c>
      <c r="C3596" s="49" t="s">
        <v>929</v>
      </c>
      <c r="D3596" s="49" t="s">
        <v>1264</v>
      </c>
      <c r="E3596" s="49" t="s">
        <v>2986</v>
      </c>
      <c r="F3596" s="49" t="s">
        <v>2825</v>
      </c>
      <c r="G3596" s="49" t="s">
        <v>4891</v>
      </c>
      <c r="H3596" s="49" t="s">
        <v>2827</v>
      </c>
      <c r="I3596" s="50">
        <v>45378</v>
      </c>
      <c r="M3596" s="49" t="s">
        <v>12787</v>
      </c>
    </row>
    <row r="3597" spans="1:13" x14ac:dyDescent="0.35">
      <c r="A3597" s="49" t="s">
        <v>12788</v>
      </c>
      <c r="B3597" s="49" t="s">
        <v>3075</v>
      </c>
      <c r="C3597" s="49" t="s">
        <v>12429</v>
      </c>
      <c r="D3597" s="49" t="s">
        <v>1264</v>
      </c>
      <c r="E3597" s="49" t="s">
        <v>2785</v>
      </c>
      <c r="F3597" s="49" t="s">
        <v>4048</v>
      </c>
      <c r="G3597" s="49" t="s">
        <v>4891</v>
      </c>
      <c r="H3597" s="49" t="s">
        <v>2827</v>
      </c>
      <c r="I3597" s="50">
        <v>45399</v>
      </c>
      <c r="M3597" s="49" t="s">
        <v>12587</v>
      </c>
    </row>
    <row r="3598" spans="1:13" x14ac:dyDescent="0.35">
      <c r="A3598" s="49" t="s">
        <v>12789</v>
      </c>
      <c r="B3598" s="49" t="s">
        <v>3962</v>
      </c>
      <c r="C3598" s="49" t="s">
        <v>12790</v>
      </c>
      <c r="D3598" s="49" t="s">
        <v>1264</v>
      </c>
      <c r="E3598" s="49" t="s">
        <v>2785</v>
      </c>
      <c r="F3598" s="49" t="s">
        <v>2792</v>
      </c>
      <c r="G3598" s="49" t="s">
        <v>4891</v>
      </c>
      <c r="H3598" s="49" t="s">
        <v>980</v>
      </c>
      <c r="I3598" s="50">
        <v>45495</v>
      </c>
      <c r="M3598" s="49" t="s">
        <v>12791</v>
      </c>
    </row>
    <row r="3599" spans="1:13" x14ac:dyDescent="0.35">
      <c r="A3599" s="49" t="s">
        <v>12792</v>
      </c>
      <c r="C3599" s="49" t="s">
        <v>12793</v>
      </c>
      <c r="D3599" s="49" t="s">
        <v>1264</v>
      </c>
      <c r="E3599" s="49" t="s">
        <v>2986</v>
      </c>
      <c r="F3599" s="49" t="s">
        <v>2825</v>
      </c>
      <c r="G3599" s="49" t="s">
        <v>4891</v>
      </c>
      <c r="H3599" s="49" t="s">
        <v>2827</v>
      </c>
      <c r="I3599" s="50">
        <v>45390</v>
      </c>
      <c r="M3599" s="49" t="s">
        <v>12794</v>
      </c>
    </row>
    <row r="3600" spans="1:13" x14ac:dyDescent="0.35">
      <c r="A3600" s="49" t="s">
        <v>12795</v>
      </c>
      <c r="B3600" s="49" t="s">
        <v>3734</v>
      </c>
      <c r="C3600" s="49" t="s">
        <v>12796</v>
      </c>
      <c r="D3600" s="49" t="s">
        <v>1264</v>
      </c>
      <c r="E3600" s="49" t="s">
        <v>2899</v>
      </c>
      <c r="F3600" s="49" t="s">
        <v>2786</v>
      </c>
      <c r="G3600" s="49" t="s">
        <v>4891</v>
      </c>
      <c r="H3600" s="49" t="s">
        <v>835</v>
      </c>
      <c r="I3600" s="50">
        <v>45565</v>
      </c>
      <c r="M3600" s="49" t="s">
        <v>3691</v>
      </c>
    </row>
    <row r="3601" spans="1:13" x14ac:dyDescent="0.35">
      <c r="A3601" s="49" t="s">
        <v>12797</v>
      </c>
      <c r="B3601" s="49" t="s">
        <v>12798</v>
      </c>
      <c r="C3601" s="49" t="s">
        <v>12799</v>
      </c>
      <c r="D3601" s="49" t="s">
        <v>1264</v>
      </c>
      <c r="E3601" s="49" t="s">
        <v>2986</v>
      </c>
      <c r="F3601" s="49" t="s">
        <v>2825</v>
      </c>
      <c r="G3601" s="49" t="s">
        <v>4891</v>
      </c>
      <c r="H3601" s="49" t="s">
        <v>2827</v>
      </c>
      <c r="I3601" s="50">
        <v>45504</v>
      </c>
      <c r="M3601" s="49" t="s">
        <v>11514</v>
      </c>
    </row>
    <row r="3602" spans="1:13" x14ac:dyDescent="0.35">
      <c r="A3602" s="49" t="s">
        <v>12800</v>
      </c>
      <c r="B3602" s="49" t="s">
        <v>12801</v>
      </c>
      <c r="C3602" s="49" t="s">
        <v>12802</v>
      </c>
      <c r="D3602" s="49" t="s">
        <v>1264</v>
      </c>
      <c r="E3602" s="49" t="s">
        <v>2986</v>
      </c>
      <c r="F3602" s="49" t="s">
        <v>2825</v>
      </c>
      <c r="G3602" s="49" t="s">
        <v>2776</v>
      </c>
      <c r="H3602" s="49" t="s">
        <v>2827</v>
      </c>
      <c r="I3602" s="50">
        <v>45447</v>
      </c>
      <c r="M3602" s="49" t="s">
        <v>12803</v>
      </c>
    </row>
    <row r="3603" spans="1:13" x14ac:dyDescent="0.35">
      <c r="A3603" s="49" t="s">
        <v>12804</v>
      </c>
      <c r="B3603" s="49" t="s">
        <v>12805</v>
      </c>
      <c r="C3603" s="49" t="s">
        <v>12806</v>
      </c>
      <c r="D3603" s="49" t="s">
        <v>1264</v>
      </c>
      <c r="E3603" s="49" t="s">
        <v>2986</v>
      </c>
      <c r="F3603" s="49" t="s">
        <v>2825</v>
      </c>
      <c r="G3603" s="49" t="s">
        <v>2776</v>
      </c>
      <c r="H3603" s="49" t="s">
        <v>2827</v>
      </c>
      <c r="I3603" s="50">
        <v>45447</v>
      </c>
      <c r="M3603" s="49" t="s">
        <v>12807</v>
      </c>
    </row>
    <row r="3604" spans="1:13" x14ac:dyDescent="0.35">
      <c r="A3604" s="49" t="s">
        <v>12808</v>
      </c>
      <c r="B3604" s="49" t="s">
        <v>12809</v>
      </c>
      <c r="C3604" s="49" t="s">
        <v>12810</v>
      </c>
      <c r="D3604" s="49" t="s">
        <v>1264</v>
      </c>
      <c r="E3604" s="49" t="s">
        <v>2986</v>
      </c>
      <c r="F3604" s="49" t="s">
        <v>2825</v>
      </c>
      <c r="G3604" s="49" t="s">
        <v>4891</v>
      </c>
      <c r="H3604" s="49" t="s">
        <v>2827</v>
      </c>
      <c r="I3604" s="50">
        <v>45504</v>
      </c>
      <c r="M3604" s="49" t="s">
        <v>5051</v>
      </c>
    </row>
    <row r="3605" spans="1:13" x14ac:dyDescent="0.35">
      <c r="A3605" s="49" t="s">
        <v>12811</v>
      </c>
      <c r="B3605" s="49" t="s">
        <v>3075</v>
      </c>
      <c r="C3605" s="49" t="s">
        <v>2804</v>
      </c>
      <c r="D3605" s="49" t="s">
        <v>1264</v>
      </c>
      <c r="E3605" s="49" t="s">
        <v>2908</v>
      </c>
      <c r="F3605" s="49" t="s">
        <v>4048</v>
      </c>
      <c r="G3605" s="49" t="s">
        <v>4891</v>
      </c>
      <c r="H3605" s="49" t="s">
        <v>2827</v>
      </c>
      <c r="I3605" s="50">
        <v>45401</v>
      </c>
      <c r="M3605" s="49" t="s">
        <v>12812</v>
      </c>
    </row>
    <row r="3606" spans="1:13" x14ac:dyDescent="0.35">
      <c r="A3606" s="49" t="s">
        <v>12813</v>
      </c>
      <c r="C3606" s="49" t="s">
        <v>3731</v>
      </c>
      <c r="D3606" s="49" t="s">
        <v>1264</v>
      </c>
      <c r="E3606" s="49" t="s">
        <v>2908</v>
      </c>
      <c r="F3606" s="49" t="s">
        <v>2939</v>
      </c>
      <c r="G3606" s="49" t="s">
        <v>4891</v>
      </c>
      <c r="H3606" s="49" t="s">
        <v>980</v>
      </c>
      <c r="I3606" s="50">
        <v>45567</v>
      </c>
      <c r="M3606" s="49" t="s">
        <v>12814</v>
      </c>
    </row>
    <row r="3607" spans="1:13" x14ac:dyDescent="0.35">
      <c r="A3607" s="49" t="s">
        <v>12815</v>
      </c>
      <c r="C3607" s="49" t="s">
        <v>7581</v>
      </c>
      <c r="D3607" s="49" t="s">
        <v>1264</v>
      </c>
      <c r="E3607" s="49" t="s">
        <v>2785</v>
      </c>
      <c r="F3607" s="49" t="s">
        <v>2786</v>
      </c>
      <c r="G3607" s="49" t="s">
        <v>4891</v>
      </c>
      <c r="H3607" s="49" t="s">
        <v>980</v>
      </c>
      <c r="I3607" s="50">
        <v>45568</v>
      </c>
      <c r="M3607" s="49" t="s">
        <v>12816</v>
      </c>
    </row>
    <row r="3608" spans="1:13" x14ac:dyDescent="0.35">
      <c r="A3608" s="49" t="s">
        <v>12817</v>
      </c>
      <c r="C3608" s="49" t="s">
        <v>3731</v>
      </c>
      <c r="D3608" s="49" t="s">
        <v>1264</v>
      </c>
      <c r="E3608" s="49" t="s">
        <v>2785</v>
      </c>
      <c r="F3608" s="49" t="s">
        <v>2786</v>
      </c>
      <c r="G3608" s="49" t="s">
        <v>2776</v>
      </c>
      <c r="H3608" s="49" t="s">
        <v>4225</v>
      </c>
      <c r="I3608" s="50">
        <v>45562</v>
      </c>
      <c r="M3608" s="49" t="s">
        <v>12818</v>
      </c>
    </row>
    <row r="3609" spans="1:13" x14ac:dyDescent="0.35">
      <c r="A3609" s="49" t="s">
        <v>12819</v>
      </c>
      <c r="B3609" s="49" t="s">
        <v>12820</v>
      </c>
      <c r="C3609" s="49" t="s">
        <v>12821</v>
      </c>
      <c r="D3609" s="49" t="s">
        <v>1264</v>
      </c>
      <c r="E3609" s="49" t="s">
        <v>2774</v>
      </c>
      <c r="F3609" s="49" t="s">
        <v>2825</v>
      </c>
      <c r="G3609" s="49" t="s">
        <v>4891</v>
      </c>
      <c r="H3609" s="49" t="s">
        <v>2827</v>
      </c>
      <c r="I3609" s="50">
        <v>45495</v>
      </c>
      <c r="M3609" s="49" t="s">
        <v>12822</v>
      </c>
    </row>
    <row r="3610" spans="1:13" x14ac:dyDescent="0.35">
      <c r="A3610" s="49" t="s">
        <v>12823</v>
      </c>
      <c r="B3610" s="49" t="s">
        <v>4817</v>
      </c>
      <c r="C3610" s="49" t="s">
        <v>5725</v>
      </c>
      <c r="D3610" s="49" t="s">
        <v>1264</v>
      </c>
      <c r="E3610" s="49" t="s">
        <v>2986</v>
      </c>
      <c r="F3610" s="49" t="s">
        <v>2825</v>
      </c>
      <c r="G3610" s="49" t="s">
        <v>2776</v>
      </c>
      <c r="H3610" s="49" t="s">
        <v>2827</v>
      </c>
      <c r="I3610" s="50">
        <v>45483</v>
      </c>
      <c r="M3610" s="49" t="s">
        <v>12824</v>
      </c>
    </row>
    <row r="3611" spans="1:13" x14ac:dyDescent="0.35">
      <c r="A3611" s="49" t="s">
        <v>12825</v>
      </c>
      <c r="C3611" s="49" t="s">
        <v>5725</v>
      </c>
      <c r="D3611" s="49" t="s">
        <v>1264</v>
      </c>
      <c r="E3611" s="49" t="s">
        <v>2986</v>
      </c>
      <c r="F3611" s="49" t="s">
        <v>2825</v>
      </c>
      <c r="G3611" s="49" t="s">
        <v>2776</v>
      </c>
      <c r="H3611" s="49" t="s">
        <v>2827</v>
      </c>
      <c r="I3611" s="50">
        <v>45483</v>
      </c>
      <c r="M3611" s="49" t="s">
        <v>12826</v>
      </c>
    </row>
    <row r="3612" spans="1:13" x14ac:dyDescent="0.35">
      <c r="A3612" s="49" t="s">
        <v>12827</v>
      </c>
      <c r="B3612" s="49" t="s">
        <v>4809</v>
      </c>
      <c r="C3612" s="49" t="s">
        <v>5725</v>
      </c>
      <c r="D3612" s="49" t="s">
        <v>1264</v>
      </c>
      <c r="E3612" s="49" t="s">
        <v>2986</v>
      </c>
      <c r="F3612" s="49" t="s">
        <v>2825</v>
      </c>
      <c r="G3612" s="49" t="s">
        <v>2776</v>
      </c>
      <c r="H3612" s="49" t="s">
        <v>2827</v>
      </c>
      <c r="I3612" s="50">
        <v>45483</v>
      </c>
      <c r="M3612" s="49" t="s">
        <v>12828</v>
      </c>
    </row>
    <row r="3613" spans="1:13" x14ac:dyDescent="0.35">
      <c r="A3613" s="49" t="s">
        <v>12829</v>
      </c>
      <c r="C3613" s="49" t="s">
        <v>5725</v>
      </c>
      <c r="D3613" s="49" t="s">
        <v>1264</v>
      </c>
      <c r="E3613" s="49" t="s">
        <v>2986</v>
      </c>
      <c r="F3613" s="49" t="s">
        <v>2825</v>
      </c>
      <c r="G3613" s="49" t="s">
        <v>2776</v>
      </c>
      <c r="H3613" s="49" t="s">
        <v>2827</v>
      </c>
      <c r="I3613" s="50">
        <v>45483</v>
      </c>
      <c r="M3613" s="49" t="s">
        <v>12830</v>
      </c>
    </row>
    <row r="3614" spans="1:13" x14ac:dyDescent="0.35">
      <c r="A3614" s="49" t="s">
        <v>12831</v>
      </c>
      <c r="C3614" s="49" t="s">
        <v>12832</v>
      </c>
      <c r="D3614" s="49" t="s">
        <v>1264</v>
      </c>
      <c r="E3614" s="49" t="s">
        <v>2908</v>
      </c>
      <c r="G3614" s="49" t="s">
        <v>4891</v>
      </c>
      <c r="H3614" s="49" t="s">
        <v>2827</v>
      </c>
      <c r="I3614" s="50">
        <v>45713</v>
      </c>
      <c r="M3614" s="49" t="s">
        <v>12833</v>
      </c>
    </row>
    <row r="3615" spans="1:13" x14ac:dyDescent="0.35">
      <c r="A3615" s="49" t="s">
        <v>12834</v>
      </c>
      <c r="B3615" s="49" t="s">
        <v>12835</v>
      </c>
      <c r="C3615" s="49" t="s">
        <v>12836</v>
      </c>
      <c r="D3615" s="49" t="s">
        <v>1264</v>
      </c>
      <c r="E3615" s="49" t="s">
        <v>2986</v>
      </c>
      <c r="F3615" s="49" t="s">
        <v>2825</v>
      </c>
      <c r="G3615" s="49" t="s">
        <v>4891</v>
      </c>
      <c r="H3615" s="49" t="s">
        <v>2827</v>
      </c>
      <c r="I3615" s="50">
        <v>45685</v>
      </c>
      <c r="M3615" s="49" t="s">
        <v>12837</v>
      </c>
    </row>
    <row r="3616" spans="1:13" x14ac:dyDescent="0.35">
      <c r="A3616" s="49" t="s">
        <v>12838</v>
      </c>
      <c r="B3616" s="49" t="s">
        <v>12839</v>
      </c>
      <c r="C3616" s="49" t="s">
        <v>12836</v>
      </c>
      <c r="D3616" s="49" t="s">
        <v>1264</v>
      </c>
      <c r="E3616" s="49" t="s">
        <v>2986</v>
      </c>
      <c r="F3616" s="49" t="s">
        <v>2825</v>
      </c>
      <c r="G3616" s="49" t="s">
        <v>4891</v>
      </c>
      <c r="H3616" s="49" t="s">
        <v>2827</v>
      </c>
      <c r="I3616" s="50">
        <v>45685</v>
      </c>
      <c r="M3616" s="49" t="s">
        <v>6717</v>
      </c>
    </row>
    <row r="3617" spans="1:13" x14ac:dyDescent="0.35">
      <c r="A3617" s="49" t="s">
        <v>12840</v>
      </c>
      <c r="B3617" s="49" t="s">
        <v>12841</v>
      </c>
      <c r="C3617" s="49" t="s">
        <v>12842</v>
      </c>
      <c r="D3617" s="49" t="s">
        <v>1264</v>
      </c>
      <c r="E3617" s="49" t="s">
        <v>2986</v>
      </c>
      <c r="F3617" s="49" t="s">
        <v>2825</v>
      </c>
      <c r="G3617" s="49" t="s">
        <v>4891</v>
      </c>
      <c r="H3617" s="49" t="s">
        <v>2827</v>
      </c>
      <c r="I3617" s="50">
        <v>45579</v>
      </c>
      <c r="M3617" s="49" t="s">
        <v>3270</v>
      </c>
    </row>
    <row r="3618" spans="1:13" x14ac:dyDescent="0.35">
      <c r="A3618" s="49" t="s">
        <v>12843</v>
      </c>
      <c r="C3618" s="49" t="s">
        <v>6773</v>
      </c>
      <c r="D3618" s="49" t="s">
        <v>1264</v>
      </c>
      <c r="E3618" s="49" t="s">
        <v>2785</v>
      </c>
      <c r="F3618" s="49" t="s">
        <v>2792</v>
      </c>
      <c r="G3618" s="49" t="s">
        <v>4891</v>
      </c>
      <c r="H3618" s="49" t="s">
        <v>8</v>
      </c>
      <c r="I3618" s="50">
        <v>45805</v>
      </c>
      <c r="M3618" s="49" t="s">
        <v>12844</v>
      </c>
    </row>
    <row r="3619" spans="1:13" x14ac:dyDescent="0.35">
      <c r="A3619" s="49" t="s">
        <v>12845</v>
      </c>
      <c r="C3619" s="49" t="s">
        <v>12846</v>
      </c>
      <c r="D3619" s="49" t="s">
        <v>1264</v>
      </c>
      <c r="E3619" s="49" t="s">
        <v>2785</v>
      </c>
      <c r="F3619" s="49" t="s">
        <v>2792</v>
      </c>
      <c r="G3619" s="49" t="s">
        <v>4891</v>
      </c>
      <c r="H3619" s="49" t="s">
        <v>8</v>
      </c>
      <c r="I3619" s="50">
        <v>45805</v>
      </c>
      <c r="M3619" s="49" t="s">
        <v>12847</v>
      </c>
    </row>
    <row r="3620" spans="1:13" x14ac:dyDescent="0.35">
      <c r="A3620" s="49" t="s">
        <v>12848</v>
      </c>
      <c r="C3620" s="49" t="s">
        <v>5240</v>
      </c>
      <c r="D3620" s="49" t="s">
        <v>1264</v>
      </c>
      <c r="E3620" s="49" t="s">
        <v>2785</v>
      </c>
      <c r="F3620" s="49" t="s">
        <v>2792</v>
      </c>
      <c r="G3620" s="49" t="s">
        <v>4891</v>
      </c>
      <c r="H3620" s="49" t="s">
        <v>4225</v>
      </c>
      <c r="I3620" s="50">
        <v>45812</v>
      </c>
      <c r="M3620" s="49" t="s">
        <v>12849</v>
      </c>
    </row>
    <row r="3621" spans="1:13" x14ac:dyDescent="0.35">
      <c r="A3621" s="49" t="s">
        <v>12850</v>
      </c>
      <c r="C3621" s="49" t="s">
        <v>5426</v>
      </c>
      <c r="D3621" s="49" t="s">
        <v>1264</v>
      </c>
      <c r="E3621" s="49" t="s">
        <v>2785</v>
      </c>
      <c r="G3621" s="49" t="s">
        <v>4891</v>
      </c>
      <c r="H3621" s="49" t="s">
        <v>2827</v>
      </c>
      <c r="I3621" s="50">
        <v>45824</v>
      </c>
      <c r="M3621" s="49" t="s">
        <v>12851</v>
      </c>
    </row>
    <row r="3622" spans="1:13" ht="43.5" x14ac:dyDescent="0.35">
      <c r="A3622" s="49" t="s">
        <v>12852</v>
      </c>
      <c r="B3622" s="51" t="s">
        <v>12853</v>
      </c>
      <c r="C3622" s="49" t="s">
        <v>3731</v>
      </c>
      <c r="D3622" s="49" t="s">
        <v>1264</v>
      </c>
      <c r="E3622" s="49" t="s">
        <v>2785</v>
      </c>
      <c r="F3622" s="49" t="s">
        <v>2792</v>
      </c>
      <c r="G3622" s="49" t="s">
        <v>4891</v>
      </c>
      <c r="H3622" s="49" t="s">
        <v>4225</v>
      </c>
      <c r="I3622" s="50">
        <v>45824</v>
      </c>
      <c r="M3622" s="49" t="s">
        <v>12854</v>
      </c>
    </row>
    <row r="3623" spans="1:13" x14ac:dyDescent="0.35">
      <c r="A3623" s="49" t="s">
        <v>12855</v>
      </c>
      <c r="C3623" s="49" t="s">
        <v>3731</v>
      </c>
      <c r="D3623" s="49" t="s">
        <v>1264</v>
      </c>
      <c r="E3623" s="49" t="s">
        <v>2785</v>
      </c>
      <c r="F3623" s="49" t="s">
        <v>2786</v>
      </c>
      <c r="G3623" s="49" t="s">
        <v>4891</v>
      </c>
      <c r="H3623" s="49" t="s">
        <v>4225</v>
      </c>
      <c r="I3623" s="50">
        <v>45824</v>
      </c>
      <c r="M3623" s="49" t="s">
        <v>12856</v>
      </c>
    </row>
    <row r="3624" spans="1:13" x14ac:dyDescent="0.35">
      <c r="A3624" s="49" t="s">
        <v>12857</v>
      </c>
      <c r="B3624" s="49" t="s">
        <v>12858</v>
      </c>
      <c r="C3624" s="49" t="s">
        <v>3731</v>
      </c>
      <c r="D3624" s="49" t="s">
        <v>1264</v>
      </c>
      <c r="E3624" s="49" t="s">
        <v>2785</v>
      </c>
      <c r="F3624" s="49" t="s">
        <v>2786</v>
      </c>
      <c r="G3624" s="49" t="s">
        <v>4891</v>
      </c>
      <c r="H3624" s="49" t="s">
        <v>4225</v>
      </c>
      <c r="I3624" s="50">
        <v>45824</v>
      </c>
      <c r="M3624" s="49" t="s">
        <v>12859</v>
      </c>
    </row>
    <row r="3625" spans="1:13" x14ac:dyDescent="0.35">
      <c r="A3625" s="49" t="s">
        <v>12860</v>
      </c>
      <c r="C3625" s="49" t="s">
        <v>12861</v>
      </c>
      <c r="D3625" s="49" t="s">
        <v>1264</v>
      </c>
      <c r="E3625" s="49" t="s">
        <v>2873</v>
      </c>
      <c r="G3625" s="49" t="s">
        <v>4891</v>
      </c>
      <c r="H3625" s="49" t="s">
        <v>4225</v>
      </c>
      <c r="I3625" s="50">
        <v>45826</v>
      </c>
      <c r="M3625" s="49" t="s">
        <v>12862</v>
      </c>
    </row>
    <row r="3626" spans="1:13" x14ac:dyDescent="0.35">
      <c r="A3626" s="49" t="s">
        <v>12863</v>
      </c>
      <c r="C3626" s="49" t="s">
        <v>12861</v>
      </c>
      <c r="D3626" s="49" t="s">
        <v>1264</v>
      </c>
      <c r="E3626" s="49" t="s">
        <v>2873</v>
      </c>
      <c r="F3626" s="49" t="s">
        <v>2792</v>
      </c>
      <c r="G3626" s="49" t="s">
        <v>4891</v>
      </c>
      <c r="H3626" s="49" t="s">
        <v>4225</v>
      </c>
      <c r="I3626" s="50">
        <v>45826</v>
      </c>
      <c r="M3626" s="49" t="s">
        <v>12864</v>
      </c>
    </row>
    <row r="3627" spans="1:13" x14ac:dyDescent="0.35">
      <c r="A3627" s="49" t="s">
        <v>12865</v>
      </c>
      <c r="C3627" s="49" t="s">
        <v>12861</v>
      </c>
      <c r="D3627" s="49" t="s">
        <v>1264</v>
      </c>
      <c r="E3627" s="49" t="s">
        <v>2873</v>
      </c>
      <c r="G3627" s="49" t="s">
        <v>4891</v>
      </c>
      <c r="H3627" s="49" t="s">
        <v>4225</v>
      </c>
      <c r="I3627" s="50">
        <v>45826</v>
      </c>
      <c r="M3627" s="49" t="s">
        <v>12866</v>
      </c>
    </row>
    <row r="3628" spans="1:13" x14ac:dyDescent="0.35">
      <c r="A3628" s="49" t="s">
        <v>12867</v>
      </c>
      <c r="C3628" s="49" t="s">
        <v>3731</v>
      </c>
      <c r="D3628" s="49" t="s">
        <v>1264</v>
      </c>
      <c r="E3628" s="49" t="s">
        <v>2785</v>
      </c>
      <c r="F3628" s="49" t="s">
        <v>2792</v>
      </c>
      <c r="G3628" s="49" t="s">
        <v>4891</v>
      </c>
      <c r="H3628" s="49" t="s">
        <v>4225</v>
      </c>
      <c r="I3628" s="50">
        <v>45826</v>
      </c>
      <c r="M3628" s="49" t="s">
        <v>12868</v>
      </c>
    </row>
    <row r="3629" spans="1:13" x14ac:dyDescent="0.35">
      <c r="A3629" s="49" t="s">
        <v>12869</v>
      </c>
      <c r="C3629" s="49" t="s">
        <v>3731</v>
      </c>
      <c r="D3629" s="49" t="s">
        <v>1264</v>
      </c>
      <c r="E3629" s="49" t="s">
        <v>2785</v>
      </c>
      <c r="F3629" s="49" t="s">
        <v>2786</v>
      </c>
      <c r="G3629" s="49" t="s">
        <v>4891</v>
      </c>
      <c r="H3629" s="49" t="s">
        <v>4225</v>
      </c>
      <c r="I3629" s="50">
        <v>45826</v>
      </c>
      <c r="M3629" s="49" t="s">
        <v>12870</v>
      </c>
    </row>
    <row r="3630" spans="1:13" x14ac:dyDescent="0.35">
      <c r="A3630" s="49" t="s">
        <v>12871</v>
      </c>
      <c r="C3630" s="49" t="s">
        <v>3731</v>
      </c>
      <c r="D3630" s="49" t="s">
        <v>1264</v>
      </c>
      <c r="E3630" s="49" t="s">
        <v>2785</v>
      </c>
      <c r="F3630" s="49" t="s">
        <v>2786</v>
      </c>
      <c r="G3630" s="49" t="s">
        <v>4891</v>
      </c>
      <c r="H3630" s="49" t="s">
        <v>4225</v>
      </c>
      <c r="I3630" s="50">
        <v>45826</v>
      </c>
      <c r="M3630" s="49" t="s">
        <v>12872</v>
      </c>
    </row>
    <row r="3631" spans="1:13" x14ac:dyDescent="0.35">
      <c r="A3631" s="49" t="s">
        <v>12873</v>
      </c>
      <c r="B3631" s="49" t="s">
        <v>12874</v>
      </c>
      <c r="C3631" s="49" t="s">
        <v>3731</v>
      </c>
      <c r="D3631" s="49" t="s">
        <v>1264</v>
      </c>
      <c r="E3631" s="49" t="s">
        <v>2785</v>
      </c>
      <c r="F3631" s="49" t="s">
        <v>2786</v>
      </c>
      <c r="G3631" s="49" t="s">
        <v>4891</v>
      </c>
      <c r="H3631" s="49" t="s">
        <v>4225</v>
      </c>
      <c r="I3631" s="50">
        <v>45826</v>
      </c>
      <c r="M3631" s="49" t="s">
        <v>12875</v>
      </c>
    </row>
    <row r="3632" spans="1:13" x14ac:dyDescent="0.35">
      <c r="A3632" s="49" t="s">
        <v>12876</v>
      </c>
      <c r="B3632" s="49" t="s">
        <v>12877</v>
      </c>
      <c r="C3632" s="49" t="s">
        <v>3731</v>
      </c>
      <c r="D3632" s="49" t="s">
        <v>1264</v>
      </c>
      <c r="E3632" s="49" t="s">
        <v>2785</v>
      </c>
      <c r="F3632" s="49" t="s">
        <v>12878</v>
      </c>
      <c r="G3632" s="49" t="s">
        <v>4891</v>
      </c>
      <c r="H3632" s="49" t="s">
        <v>4225</v>
      </c>
      <c r="I3632" s="50">
        <v>45826</v>
      </c>
      <c r="M3632" s="49" t="s">
        <v>12879</v>
      </c>
    </row>
    <row r="3633" spans="1:13" x14ac:dyDescent="0.35">
      <c r="A3633" s="49" t="s">
        <v>12880</v>
      </c>
      <c r="C3633" s="49" t="s">
        <v>12881</v>
      </c>
      <c r="D3633" s="49" t="s">
        <v>1264</v>
      </c>
      <c r="E3633" s="49" t="s">
        <v>2908</v>
      </c>
      <c r="F3633" s="49" t="s">
        <v>2837</v>
      </c>
      <c r="G3633" s="49" t="s">
        <v>4891</v>
      </c>
      <c r="H3633" s="49" t="s">
        <v>2827</v>
      </c>
      <c r="I3633" s="50">
        <v>45828</v>
      </c>
      <c r="M3633" s="49" t="s">
        <v>12882</v>
      </c>
    </row>
    <row r="3634" spans="1:13" x14ac:dyDescent="0.35">
      <c r="A3634" s="49" t="s">
        <v>12883</v>
      </c>
      <c r="C3634" s="49" t="s">
        <v>12881</v>
      </c>
      <c r="D3634" s="49" t="s">
        <v>1264</v>
      </c>
      <c r="E3634" s="49" t="s">
        <v>2908</v>
      </c>
      <c r="F3634" s="49" t="s">
        <v>2939</v>
      </c>
      <c r="G3634" s="49" t="s">
        <v>4891</v>
      </c>
      <c r="H3634" s="49" t="s">
        <v>980</v>
      </c>
      <c r="I3634" s="50">
        <v>45828</v>
      </c>
      <c r="M3634" s="49" t="s">
        <v>12884</v>
      </c>
    </row>
    <row r="3635" spans="1:13" x14ac:dyDescent="0.35">
      <c r="A3635" s="49" t="s">
        <v>12885</v>
      </c>
      <c r="C3635" s="49" t="s">
        <v>3944</v>
      </c>
      <c r="D3635" s="49" t="s">
        <v>1264</v>
      </c>
      <c r="E3635" s="49" t="s">
        <v>2908</v>
      </c>
      <c r="F3635" s="49" t="s">
        <v>2837</v>
      </c>
      <c r="G3635" s="49" t="s">
        <v>4891</v>
      </c>
      <c r="H3635" s="49" t="s">
        <v>2827</v>
      </c>
      <c r="I3635" s="50">
        <v>45828</v>
      </c>
      <c r="M3635" s="49" t="s">
        <v>12886</v>
      </c>
    </row>
    <row r="3636" spans="1:13" x14ac:dyDescent="0.35">
      <c r="A3636" s="49" t="s">
        <v>12887</v>
      </c>
      <c r="C3636" s="49" t="s">
        <v>2997</v>
      </c>
      <c r="D3636" s="49" t="s">
        <v>1264</v>
      </c>
      <c r="E3636" s="49" t="s">
        <v>2814</v>
      </c>
      <c r="F3636" s="49" t="s">
        <v>2805</v>
      </c>
      <c r="G3636" s="49" t="s">
        <v>4891</v>
      </c>
      <c r="H3636" s="49" t="s">
        <v>980</v>
      </c>
      <c r="I3636" s="52">
        <v>45835.480763888903</v>
      </c>
      <c r="M3636" s="49" t="s">
        <v>12888</v>
      </c>
    </row>
    <row r="3637" spans="1:13" x14ac:dyDescent="0.35">
      <c r="A3637" s="49" t="s">
        <v>12889</v>
      </c>
      <c r="C3637" s="49" t="s">
        <v>12890</v>
      </c>
      <c r="D3637" s="49" t="s">
        <v>1264</v>
      </c>
      <c r="E3637" s="49" t="s">
        <v>2986</v>
      </c>
      <c r="F3637" s="49" t="s">
        <v>2825</v>
      </c>
      <c r="G3637" s="49" t="s">
        <v>4891</v>
      </c>
      <c r="H3637" s="49" t="s">
        <v>2827</v>
      </c>
      <c r="I3637" s="52">
        <v>45840.663449074098</v>
      </c>
      <c r="M3637" s="49" t="s">
        <v>12891</v>
      </c>
    </row>
    <row r="3638" spans="1:13" x14ac:dyDescent="0.35">
      <c r="A3638" s="49" t="s">
        <v>12892</v>
      </c>
      <c r="C3638" s="49" t="s">
        <v>4725</v>
      </c>
      <c r="D3638" s="49" t="s">
        <v>1264</v>
      </c>
      <c r="E3638" s="49" t="s">
        <v>2986</v>
      </c>
      <c r="F3638" s="49" t="s">
        <v>2825</v>
      </c>
      <c r="G3638" s="49" t="s">
        <v>4891</v>
      </c>
      <c r="H3638" s="49" t="s">
        <v>2827</v>
      </c>
      <c r="I3638" s="52">
        <v>45840.7289467593</v>
      </c>
      <c r="M3638" s="49" t="s">
        <v>12893</v>
      </c>
    </row>
    <row r="3639" spans="1:13" x14ac:dyDescent="0.35">
      <c r="A3639" s="49" t="s">
        <v>12894</v>
      </c>
      <c r="C3639" s="49" t="s">
        <v>4152</v>
      </c>
      <c r="D3639" s="49" t="s">
        <v>1264</v>
      </c>
      <c r="E3639" s="49" t="s">
        <v>2785</v>
      </c>
      <c r="F3639" s="49" t="s">
        <v>2792</v>
      </c>
      <c r="G3639" s="49" t="s">
        <v>4891</v>
      </c>
      <c r="H3639" s="49" t="s">
        <v>8</v>
      </c>
      <c r="I3639" s="52">
        <v>45841.644618055601</v>
      </c>
      <c r="M3639" s="49" t="s">
        <v>12895</v>
      </c>
    </row>
    <row r="3640" spans="1:13" x14ac:dyDescent="0.35">
      <c r="A3640" s="49" t="s">
        <v>12896</v>
      </c>
      <c r="C3640" s="49" t="s">
        <v>12897</v>
      </c>
      <c r="D3640" s="49" t="s">
        <v>1264</v>
      </c>
      <c r="E3640" s="49" t="s">
        <v>2986</v>
      </c>
      <c r="F3640" s="49" t="s">
        <v>2825</v>
      </c>
      <c r="G3640" s="49" t="s">
        <v>4891</v>
      </c>
      <c r="H3640" s="49" t="s">
        <v>2827</v>
      </c>
      <c r="I3640" s="52">
        <v>45853.558518518497</v>
      </c>
      <c r="M3640" s="49" t="s">
        <v>12898</v>
      </c>
    </row>
    <row r="3641" spans="1:13" x14ac:dyDescent="0.35">
      <c r="A3641" s="49" t="s">
        <v>12899</v>
      </c>
      <c r="B3641" s="49" t="s">
        <v>12900</v>
      </c>
      <c r="C3641" s="49" t="s">
        <v>12901</v>
      </c>
      <c r="D3641" s="49" t="s">
        <v>1264</v>
      </c>
      <c r="E3641" s="49" t="s">
        <v>2986</v>
      </c>
      <c r="F3641" s="49" t="s">
        <v>2825</v>
      </c>
      <c r="G3641" s="49" t="s">
        <v>4891</v>
      </c>
      <c r="H3641" s="49" t="s">
        <v>2827</v>
      </c>
      <c r="I3641" s="52">
        <v>45812.531817129602</v>
      </c>
      <c r="M3641" s="49" t="s">
        <v>5155</v>
      </c>
    </row>
    <row r="3642" spans="1:13" x14ac:dyDescent="0.35">
      <c r="A3642" s="49" t="s">
        <v>12902</v>
      </c>
      <c r="C3642" s="49" t="s">
        <v>3724</v>
      </c>
      <c r="D3642" s="49" t="s">
        <v>1264</v>
      </c>
      <c r="E3642" s="49" t="s">
        <v>2814</v>
      </c>
      <c r="F3642" s="49" t="s">
        <v>2837</v>
      </c>
      <c r="G3642" s="49" t="s">
        <v>4891</v>
      </c>
      <c r="H3642" s="49" t="s">
        <v>980</v>
      </c>
      <c r="I3642" s="52">
        <v>45873.504861111098</v>
      </c>
      <c r="M3642" s="49" t="s">
        <v>12903</v>
      </c>
    </row>
    <row r="3643" spans="1:13" x14ac:dyDescent="0.35">
      <c r="A3643" s="49" t="s">
        <v>12904</v>
      </c>
      <c r="B3643" s="49" t="s">
        <v>6917</v>
      </c>
      <c r="C3643" s="49" t="s">
        <v>6918</v>
      </c>
      <c r="D3643" s="49" t="s">
        <v>1264</v>
      </c>
      <c r="E3643" s="49" t="s">
        <v>2785</v>
      </c>
      <c r="F3643" s="49" t="s">
        <v>2792</v>
      </c>
      <c r="G3643" s="49" t="s">
        <v>4891</v>
      </c>
      <c r="H3643" s="49" t="s">
        <v>980</v>
      </c>
      <c r="I3643" s="52">
        <v>45874.416666666701</v>
      </c>
      <c r="M3643" s="49" t="s">
        <v>12905</v>
      </c>
    </row>
    <row r="3644" spans="1:13" x14ac:dyDescent="0.35">
      <c r="A3644" s="49" t="s">
        <v>12906</v>
      </c>
      <c r="B3644" s="49" t="s">
        <v>5800</v>
      </c>
      <c r="C3644" s="49" t="s">
        <v>129</v>
      </c>
      <c r="D3644" s="49" t="s">
        <v>1264</v>
      </c>
      <c r="E3644" s="49" t="s">
        <v>2785</v>
      </c>
      <c r="F3644" s="49" t="s">
        <v>2805</v>
      </c>
      <c r="G3644" s="49" t="s">
        <v>4891</v>
      </c>
      <c r="H3644" s="49" t="s">
        <v>980</v>
      </c>
      <c r="I3644" s="52">
        <v>45876.416666666701</v>
      </c>
      <c r="M3644" s="49" t="s">
        <v>12907</v>
      </c>
    </row>
    <row r="3645" spans="1:13" x14ac:dyDescent="0.35">
      <c r="A3645" s="49" t="s">
        <v>12908</v>
      </c>
      <c r="B3645" s="49" t="s">
        <v>12909</v>
      </c>
      <c r="C3645" s="49" t="s">
        <v>12901</v>
      </c>
      <c r="D3645" s="49" t="s">
        <v>1264</v>
      </c>
      <c r="E3645" s="49" t="s">
        <v>2986</v>
      </c>
      <c r="F3645" s="49" t="s">
        <v>2825</v>
      </c>
      <c r="G3645" s="49" t="s">
        <v>4891</v>
      </c>
      <c r="H3645" s="49" t="s">
        <v>2827</v>
      </c>
      <c r="I3645" s="52">
        <v>45876.467430555596</v>
      </c>
      <c r="M3645" s="49" t="s">
        <v>5625</v>
      </c>
    </row>
    <row r="3646" spans="1:13" x14ac:dyDescent="0.35">
      <c r="A3646" s="49" t="s">
        <v>12910</v>
      </c>
      <c r="B3646" s="49" t="s">
        <v>12911</v>
      </c>
      <c r="C3646" s="49" t="s">
        <v>12901</v>
      </c>
      <c r="D3646" s="49" t="s">
        <v>1264</v>
      </c>
      <c r="E3646" s="49" t="s">
        <v>2986</v>
      </c>
      <c r="F3646" s="49" t="s">
        <v>2825</v>
      </c>
      <c r="G3646" s="49" t="s">
        <v>4891</v>
      </c>
      <c r="H3646" s="49" t="s">
        <v>2827</v>
      </c>
      <c r="I3646" s="52">
        <v>45876.488831018498</v>
      </c>
      <c r="M3646" s="49" t="s">
        <v>12912</v>
      </c>
    </row>
    <row r="3647" spans="1:13" x14ac:dyDescent="0.35">
      <c r="A3647" s="49" t="s">
        <v>12913</v>
      </c>
      <c r="B3647" s="49" t="s">
        <v>12914</v>
      </c>
      <c r="C3647" s="49" t="s">
        <v>5822</v>
      </c>
      <c r="D3647" s="49" t="s">
        <v>1264</v>
      </c>
      <c r="E3647" s="49" t="s">
        <v>2908</v>
      </c>
      <c r="F3647" s="49" t="s">
        <v>2805</v>
      </c>
      <c r="G3647" s="49" t="s">
        <v>4891</v>
      </c>
      <c r="H3647" s="49" t="s">
        <v>980</v>
      </c>
      <c r="I3647" s="52">
        <v>45876.529201388897</v>
      </c>
      <c r="M3647" s="49" t="s">
        <v>12915</v>
      </c>
    </row>
    <row r="3648" spans="1:13" x14ac:dyDescent="0.35">
      <c r="A3648" s="49" t="s">
        <v>12916</v>
      </c>
      <c r="B3648" s="49" t="s">
        <v>6474</v>
      </c>
      <c r="C3648" s="49" t="s">
        <v>6626</v>
      </c>
      <c r="D3648" s="49" t="s">
        <v>1264</v>
      </c>
      <c r="E3648" s="49" t="s">
        <v>2785</v>
      </c>
      <c r="F3648" s="49" t="s">
        <v>2786</v>
      </c>
      <c r="G3648" s="49" t="s">
        <v>4891</v>
      </c>
      <c r="H3648" s="49" t="s">
        <v>980</v>
      </c>
      <c r="I3648" s="52">
        <v>45891.604675925897</v>
      </c>
      <c r="M3648" s="49" t="s">
        <v>12917</v>
      </c>
    </row>
    <row r="3649" spans="1:13" x14ac:dyDescent="0.35">
      <c r="A3649" s="49" t="s">
        <v>12918</v>
      </c>
      <c r="C3649" s="49" t="s">
        <v>12919</v>
      </c>
      <c r="D3649" s="49" t="s">
        <v>1264</v>
      </c>
      <c r="E3649" s="49" t="s">
        <v>2814</v>
      </c>
      <c r="F3649" s="49" t="s">
        <v>3005</v>
      </c>
      <c r="G3649" s="49" t="s">
        <v>4891</v>
      </c>
      <c r="H3649" s="49" t="s">
        <v>1062</v>
      </c>
      <c r="I3649" s="52">
        <v>45901.649305555598</v>
      </c>
      <c r="M3649" s="49" t="s">
        <v>12920</v>
      </c>
    </row>
    <row r="3650" spans="1:13" x14ac:dyDescent="0.35">
      <c r="A3650" s="49" t="s">
        <v>12921</v>
      </c>
      <c r="C3650" s="49" t="s">
        <v>12922</v>
      </c>
      <c r="D3650" s="49" t="s">
        <v>1264</v>
      </c>
      <c r="E3650" s="49" t="s">
        <v>2986</v>
      </c>
      <c r="F3650" s="49" t="s">
        <v>2825</v>
      </c>
      <c r="G3650" s="49" t="s">
        <v>4891</v>
      </c>
      <c r="H3650" s="49" t="s">
        <v>2827</v>
      </c>
      <c r="I3650" s="52">
        <v>45906.489768518499</v>
      </c>
      <c r="M3650" s="49" t="s">
        <v>10719</v>
      </c>
    </row>
    <row r="3651" spans="1:13" x14ac:dyDescent="0.35">
      <c r="A3651" s="49" t="s">
        <v>12923</v>
      </c>
      <c r="C3651" s="49" t="s">
        <v>12924</v>
      </c>
      <c r="D3651" s="49" t="s">
        <v>1264</v>
      </c>
      <c r="E3651" s="49" t="s">
        <v>2785</v>
      </c>
      <c r="F3651" s="49" t="s">
        <v>2805</v>
      </c>
      <c r="G3651" s="49" t="s">
        <v>4891</v>
      </c>
      <c r="H3651" s="49" t="s">
        <v>3207</v>
      </c>
      <c r="I3651" s="52">
        <v>45908.461446759298</v>
      </c>
      <c r="M3651" s="49" t="s">
        <v>12925</v>
      </c>
    </row>
    <row r="3652" spans="1:13" x14ac:dyDescent="0.35">
      <c r="A3652" s="49" t="s">
        <v>12926</v>
      </c>
      <c r="C3652" s="49" t="s">
        <v>5240</v>
      </c>
      <c r="D3652" s="49" t="s">
        <v>1264</v>
      </c>
      <c r="E3652" s="49" t="s">
        <v>2785</v>
      </c>
      <c r="F3652" s="49" t="s">
        <v>2792</v>
      </c>
      <c r="G3652" s="49" t="s">
        <v>4891</v>
      </c>
      <c r="H3652" s="49" t="s">
        <v>3207</v>
      </c>
      <c r="I3652" s="52">
        <v>45909.385300925896</v>
      </c>
      <c r="M3652" s="49" t="s">
        <v>12927</v>
      </c>
    </row>
    <row r="3653" spans="1:13" x14ac:dyDescent="0.35">
      <c r="A3653" s="49" t="s">
        <v>12928</v>
      </c>
      <c r="C3653" s="49" t="s">
        <v>5240</v>
      </c>
      <c r="D3653" s="49" t="s">
        <v>1264</v>
      </c>
      <c r="E3653" s="49" t="s">
        <v>2785</v>
      </c>
      <c r="F3653" s="49" t="s">
        <v>2792</v>
      </c>
      <c r="G3653" s="49" t="s">
        <v>4891</v>
      </c>
      <c r="H3653" s="49" t="s">
        <v>3207</v>
      </c>
      <c r="I3653" s="52">
        <v>45909.395428240699</v>
      </c>
      <c r="M3653" s="49" t="s">
        <v>12929</v>
      </c>
    </row>
    <row r="3654" spans="1:13" x14ac:dyDescent="0.35">
      <c r="A3654" s="49" t="s">
        <v>12930</v>
      </c>
      <c r="B3654" s="49" t="s">
        <v>12931</v>
      </c>
      <c r="C3654" s="49" t="s">
        <v>6773</v>
      </c>
      <c r="D3654" s="49" t="s">
        <v>1264</v>
      </c>
      <c r="E3654" s="49" t="s">
        <v>2785</v>
      </c>
      <c r="F3654" s="49" t="s">
        <v>2792</v>
      </c>
      <c r="G3654" s="49" t="s">
        <v>4891</v>
      </c>
      <c r="H3654" s="49" t="s">
        <v>980</v>
      </c>
      <c r="I3654" s="52">
        <v>45946.715185185203</v>
      </c>
      <c r="M3654" s="49" t="s">
        <v>12932</v>
      </c>
    </row>
    <row r="3655" spans="1:13" x14ac:dyDescent="0.35">
      <c r="A3655" s="49" t="s">
        <v>12933</v>
      </c>
      <c r="B3655" s="49" t="s">
        <v>12934</v>
      </c>
      <c r="C3655" s="49" t="s">
        <v>6773</v>
      </c>
      <c r="D3655" s="49" t="s">
        <v>1264</v>
      </c>
      <c r="E3655" s="49" t="s">
        <v>2785</v>
      </c>
      <c r="F3655" s="49" t="s">
        <v>2792</v>
      </c>
      <c r="G3655" s="49" t="s">
        <v>4891</v>
      </c>
      <c r="H3655" s="49" t="s">
        <v>1062</v>
      </c>
      <c r="I3655" s="52">
        <v>45947.489872685197</v>
      </c>
      <c r="M3655" s="49" t="s">
        <v>12935</v>
      </c>
    </row>
    <row r="3656" spans="1:13" x14ac:dyDescent="0.35">
      <c r="A3656" s="49" t="s">
        <v>12936</v>
      </c>
      <c r="C3656" s="49" t="s">
        <v>6830</v>
      </c>
      <c r="D3656" s="49" t="s">
        <v>1264</v>
      </c>
      <c r="E3656" s="49" t="s">
        <v>2785</v>
      </c>
      <c r="F3656" s="49" t="s">
        <v>2792</v>
      </c>
      <c r="G3656" s="49" t="s">
        <v>4891</v>
      </c>
      <c r="H3656" s="49" t="s">
        <v>980</v>
      </c>
      <c r="I3656" s="52">
        <v>45950.480543981503</v>
      </c>
      <c r="M3656" s="49" t="s">
        <v>6831</v>
      </c>
    </row>
    <row r="3657" spans="1:13" x14ac:dyDescent="0.35">
      <c r="A3657" s="49" t="s">
        <v>12937</v>
      </c>
      <c r="B3657" s="49" t="s">
        <v>5940</v>
      </c>
      <c r="C3657" s="49" t="s">
        <v>5951</v>
      </c>
      <c r="D3657" s="49" t="s">
        <v>1264</v>
      </c>
      <c r="E3657" s="49" t="s">
        <v>2785</v>
      </c>
      <c r="F3657" s="49" t="s">
        <v>2792</v>
      </c>
      <c r="G3657" s="49" t="s">
        <v>4891</v>
      </c>
      <c r="H3657" s="49" t="s">
        <v>980</v>
      </c>
      <c r="I3657" s="52">
        <v>45950.62</v>
      </c>
      <c r="M3657" s="49" t="s">
        <v>6449</v>
      </c>
    </row>
    <row r="3658" spans="1:13" x14ac:dyDescent="0.35">
      <c r="A3658" s="49" t="s">
        <v>12938</v>
      </c>
      <c r="B3658" s="49" t="s">
        <v>12939</v>
      </c>
      <c r="C3658" s="49" t="s">
        <v>5951</v>
      </c>
      <c r="D3658" s="49" t="s">
        <v>1264</v>
      </c>
      <c r="E3658" s="49" t="s">
        <v>2785</v>
      </c>
      <c r="F3658" s="49" t="s">
        <v>2792</v>
      </c>
      <c r="G3658" s="49" t="s">
        <v>4891</v>
      </c>
      <c r="H3658" s="49" t="s">
        <v>980</v>
      </c>
      <c r="I3658" s="52">
        <v>45951.456087963001</v>
      </c>
      <c r="M3658" s="49" t="s">
        <v>12940</v>
      </c>
    </row>
    <row r="3659" spans="1:13" x14ac:dyDescent="0.35">
      <c r="A3659" s="49" t="s">
        <v>12941</v>
      </c>
      <c r="C3659" s="49" t="s">
        <v>4970</v>
      </c>
      <c r="D3659" s="49" t="s">
        <v>1264</v>
      </c>
      <c r="E3659" s="49" t="s">
        <v>2785</v>
      </c>
      <c r="F3659" s="49" t="s">
        <v>2792</v>
      </c>
      <c r="G3659" s="49" t="s">
        <v>4891</v>
      </c>
      <c r="H3659" s="49" t="s">
        <v>980</v>
      </c>
      <c r="I3659" s="52">
        <v>45951.470532407402</v>
      </c>
      <c r="M3659" s="49" t="s">
        <v>6828</v>
      </c>
    </row>
    <row r="3660" spans="1:13" x14ac:dyDescent="0.35">
      <c r="A3660" s="49" t="s">
        <v>12942</v>
      </c>
      <c r="C3660" s="49" t="s">
        <v>6776</v>
      </c>
      <c r="D3660" s="49" t="s">
        <v>1264</v>
      </c>
      <c r="E3660" s="49" t="s">
        <v>2986</v>
      </c>
      <c r="F3660" s="49" t="s">
        <v>2825</v>
      </c>
      <c r="G3660" s="49" t="s">
        <v>4891</v>
      </c>
      <c r="H3660" s="49" t="s">
        <v>2827</v>
      </c>
      <c r="I3660" s="52">
        <v>45953.446770833303</v>
      </c>
    </row>
    <row r="3661" spans="1:13" x14ac:dyDescent="0.35">
      <c r="A3661" s="49" t="s">
        <v>12943</v>
      </c>
      <c r="C3661" s="49" t="s">
        <v>6776</v>
      </c>
      <c r="D3661" s="49" t="s">
        <v>1264</v>
      </c>
      <c r="E3661" s="49" t="s">
        <v>2986</v>
      </c>
      <c r="F3661" s="49" t="s">
        <v>2825</v>
      </c>
      <c r="G3661" s="49" t="s">
        <v>4891</v>
      </c>
      <c r="H3661" s="49" t="s">
        <v>2827</v>
      </c>
      <c r="I3661" s="52">
        <v>45953.481666666703</v>
      </c>
      <c r="M3661" s="49" t="s">
        <v>11514</v>
      </c>
    </row>
    <row r="3662" spans="1:13" x14ac:dyDescent="0.35">
      <c r="A3662" s="49" t="s">
        <v>12944</v>
      </c>
      <c r="C3662" s="49" t="s">
        <v>3801</v>
      </c>
      <c r="D3662" s="49" t="s">
        <v>1264</v>
      </c>
      <c r="E3662" s="49" t="s">
        <v>2986</v>
      </c>
      <c r="F3662" s="49" t="s">
        <v>2825</v>
      </c>
      <c r="G3662" s="49" t="s">
        <v>4891</v>
      </c>
      <c r="H3662" s="49" t="s">
        <v>2827</v>
      </c>
      <c r="I3662" s="52">
        <v>45958.604201388902</v>
      </c>
      <c r="M3662" s="49" t="s">
        <v>12945</v>
      </c>
    </row>
    <row r="3663" spans="1:13" x14ac:dyDescent="0.35">
      <c r="A3663" s="49" t="s">
        <v>12946</v>
      </c>
      <c r="C3663" s="49" t="s">
        <v>4849</v>
      </c>
      <c r="D3663" s="49" t="s">
        <v>1264</v>
      </c>
      <c r="E3663" s="49" t="s">
        <v>2986</v>
      </c>
      <c r="F3663" s="49" t="s">
        <v>2825</v>
      </c>
      <c r="G3663" s="49" t="s">
        <v>4891</v>
      </c>
      <c r="H3663" s="49" t="s">
        <v>2827</v>
      </c>
      <c r="I3663" s="52">
        <v>45960.4031944444</v>
      </c>
      <c r="M3663" s="49" t="s">
        <v>12947</v>
      </c>
    </row>
    <row r="3664" spans="1:13" x14ac:dyDescent="0.35">
      <c r="A3664" s="49" t="s">
        <v>12948</v>
      </c>
      <c r="B3664" s="49" t="s">
        <v>12949</v>
      </c>
      <c r="C3664" s="49" t="s">
        <v>4849</v>
      </c>
      <c r="D3664" s="49" t="s">
        <v>1264</v>
      </c>
      <c r="E3664" s="49" t="s">
        <v>2986</v>
      </c>
      <c r="F3664" s="49" t="s">
        <v>2825</v>
      </c>
      <c r="G3664" s="49" t="s">
        <v>4891</v>
      </c>
      <c r="H3664" s="49" t="s">
        <v>2827</v>
      </c>
      <c r="I3664" s="52">
        <v>45595.501469907402</v>
      </c>
      <c r="M3664" s="49" t="s">
        <v>12950</v>
      </c>
    </row>
    <row r="3665" spans="1:13" x14ac:dyDescent="0.35">
      <c r="A3665" s="49" t="s">
        <v>12951</v>
      </c>
      <c r="C3665" s="49" t="s">
        <v>12952</v>
      </c>
      <c r="D3665" s="49" t="s">
        <v>1264</v>
      </c>
      <c r="E3665" s="49" t="s">
        <v>2873</v>
      </c>
      <c r="G3665" s="49" t="s">
        <v>4891</v>
      </c>
      <c r="H3665" s="49" t="s">
        <v>1062</v>
      </c>
      <c r="I3665" s="52">
        <v>45971.506423611099</v>
      </c>
      <c r="M3665" s="49" t="s">
        <v>12953</v>
      </c>
    </row>
    <row r="3666" spans="1:13" x14ac:dyDescent="0.35">
      <c r="A3666" s="49" t="s">
        <v>12954</v>
      </c>
      <c r="C3666" s="49" t="s">
        <v>6773</v>
      </c>
      <c r="D3666" s="49" t="s">
        <v>1264</v>
      </c>
      <c r="E3666" s="49" t="s">
        <v>2785</v>
      </c>
      <c r="F3666" s="49" t="s">
        <v>2792</v>
      </c>
      <c r="G3666" s="49" t="s">
        <v>4891</v>
      </c>
      <c r="H3666" s="49" t="s">
        <v>8</v>
      </c>
      <c r="I3666" s="52">
        <v>45958.573101851798</v>
      </c>
      <c r="M3666" s="49" t="s">
        <v>12955</v>
      </c>
    </row>
    <row r="3667" spans="1:13" x14ac:dyDescent="0.35">
      <c r="A3667" s="49" t="s">
        <v>12956</v>
      </c>
      <c r="C3667" s="49" t="s">
        <v>4725</v>
      </c>
      <c r="D3667" s="49" t="s">
        <v>1264</v>
      </c>
      <c r="E3667" s="49" t="s">
        <v>2986</v>
      </c>
      <c r="F3667" s="49" t="s">
        <v>2825</v>
      </c>
      <c r="G3667" s="49" t="s">
        <v>4891</v>
      </c>
      <c r="H3667" s="49" t="s">
        <v>2827</v>
      </c>
      <c r="I3667" s="52">
        <v>45974.577731481499</v>
      </c>
    </row>
    <row r="3668" spans="1:13" x14ac:dyDescent="0.35">
      <c r="A3668" s="49" t="s">
        <v>12957</v>
      </c>
      <c r="C3668" s="49" t="s">
        <v>4725</v>
      </c>
      <c r="D3668" s="49" t="s">
        <v>1264</v>
      </c>
      <c r="E3668" s="49" t="s">
        <v>2986</v>
      </c>
      <c r="F3668" s="49" t="s">
        <v>2825</v>
      </c>
      <c r="G3668" s="49" t="s">
        <v>4891</v>
      </c>
      <c r="H3668" s="49" t="s">
        <v>2827</v>
      </c>
      <c r="I3668" s="52">
        <v>45974.582337963002</v>
      </c>
      <c r="M3668" s="49" t="s">
        <v>12893</v>
      </c>
    </row>
    <row r="3669" spans="1:13" x14ac:dyDescent="0.35">
      <c r="A3669" s="49" t="s">
        <v>12958</v>
      </c>
      <c r="C3669" s="49" t="s">
        <v>5233</v>
      </c>
      <c r="D3669" s="49" t="s">
        <v>1264</v>
      </c>
      <c r="E3669" s="49" t="s">
        <v>2785</v>
      </c>
      <c r="F3669" s="49" t="s">
        <v>2805</v>
      </c>
      <c r="G3669" s="49" t="s">
        <v>4891</v>
      </c>
      <c r="H3669" s="49" t="s">
        <v>3717</v>
      </c>
      <c r="I3669" s="52">
        <v>45975.441215277802</v>
      </c>
      <c r="M3669" s="49" t="s">
        <v>12959</v>
      </c>
    </row>
    <row r="3670" spans="1:13" x14ac:dyDescent="0.35">
      <c r="A3670" s="49" t="s">
        <v>12960</v>
      </c>
      <c r="C3670" s="49" t="s">
        <v>12636</v>
      </c>
      <c r="D3670" s="49" t="s">
        <v>1264</v>
      </c>
      <c r="E3670" s="49" t="s">
        <v>2814</v>
      </c>
      <c r="F3670" s="49" t="s">
        <v>2825</v>
      </c>
      <c r="G3670" s="49" t="s">
        <v>4891</v>
      </c>
      <c r="H3670" s="49" t="s">
        <v>2827</v>
      </c>
      <c r="I3670" s="52">
        <v>45977.572453703702</v>
      </c>
      <c r="M3670" s="49" t="s">
        <v>12961</v>
      </c>
    </row>
    <row r="3671" spans="1:13" x14ac:dyDescent="0.35">
      <c r="A3671" s="49" t="s">
        <v>12962</v>
      </c>
      <c r="B3671" s="49" t="s">
        <v>12963</v>
      </c>
      <c r="C3671" s="49" t="s">
        <v>12964</v>
      </c>
      <c r="D3671" s="49" t="s">
        <v>1264</v>
      </c>
      <c r="E3671" s="49" t="s">
        <v>2785</v>
      </c>
      <c r="F3671" s="49" t="s">
        <v>2792</v>
      </c>
      <c r="G3671" s="49" t="s">
        <v>4891</v>
      </c>
      <c r="H3671" s="49" t="s">
        <v>3229</v>
      </c>
      <c r="I3671" s="52">
        <v>45988.459386574097</v>
      </c>
      <c r="M3671" s="49" t="s">
        <v>4437</v>
      </c>
    </row>
    <row r="3672" spans="1:13" x14ac:dyDescent="0.35">
      <c r="A3672" s="49" t="s">
        <v>12965</v>
      </c>
      <c r="C3672" s="49" t="s">
        <v>12966</v>
      </c>
      <c r="D3672" s="49" t="s">
        <v>1264</v>
      </c>
      <c r="E3672" s="49" t="s">
        <v>2986</v>
      </c>
      <c r="F3672" s="49" t="s">
        <v>2825</v>
      </c>
      <c r="G3672" s="49" t="s">
        <v>4891</v>
      </c>
      <c r="H3672" s="49" t="s">
        <v>2827</v>
      </c>
      <c r="I3672" s="52">
        <v>45996.538449074098</v>
      </c>
      <c r="M3672" s="49" t="s">
        <v>3270</v>
      </c>
    </row>
    <row r="3673" spans="1:13" x14ac:dyDescent="0.35">
      <c r="A3673" s="49" t="s">
        <v>12967</v>
      </c>
      <c r="B3673" s="49" t="s">
        <v>12968</v>
      </c>
      <c r="C3673" s="49" t="s">
        <v>12964</v>
      </c>
      <c r="D3673" s="49" t="s">
        <v>1264</v>
      </c>
      <c r="E3673" s="49" t="s">
        <v>2785</v>
      </c>
      <c r="F3673" s="49" t="s">
        <v>2792</v>
      </c>
      <c r="G3673" s="49" t="s">
        <v>4891</v>
      </c>
      <c r="H3673" s="49" t="s">
        <v>3229</v>
      </c>
      <c r="I3673" s="52">
        <v>45999.552094907398</v>
      </c>
      <c r="M3673" s="49" t="s">
        <v>2788</v>
      </c>
    </row>
    <row r="3674" spans="1:13" x14ac:dyDescent="0.35">
      <c r="A3674" s="49" t="s">
        <v>12969</v>
      </c>
      <c r="B3674" s="49" t="s">
        <v>12970</v>
      </c>
      <c r="C3674" s="49" t="s">
        <v>12964</v>
      </c>
      <c r="D3674" s="49" t="s">
        <v>1264</v>
      </c>
      <c r="E3674" s="49" t="s">
        <v>2785</v>
      </c>
      <c r="F3674" s="49" t="s">
        <v>2792</v>
      </c>
      <c r="G3674" s="49" t="s">
        <v>4891</v>
      </c>
      <c r="H3674" s="49" t="s">
        <v>3229</v>
      </c>
      <c r="I3674" s="52">
        <v>45999.566863425898</v>
      </c>
      <c r="M3674" s="49" t="s">
        <v>2788</v>
      </c>
    </row>
    <row r="3675" spans="1:13" x14ac:dyDescent="0.35">
      <c r="A3675" s="49" t="s">
        <v>12971</v>
      </c>
      <c r="C3675" s="49" t="s">
        <v>6726</v>
      </c>
      <c r="D3675" s="49" t="s">
        <v>1264</v>
      </c>
      <c r="E3675" s="49" t="s">
        <v>2785</v>
      </c>
      <c r="F3675" s="49" t="s">
        <v>2792</v>
      </c>
      <c r="G3675" s="49" t="s">
        <v>4891</v>
      </c>
      <c r="H3675" s="49" t="s">
        <v>857</v>
      </c>
      <c r="I3675" s="52">
        <v>45999.7331134259</v>
      </c>
      <c r="M3675" s="49" t="s">
        <v>12972</v>
      </c>
    </row>
    <row r="3676" spans="1:13" x14ac:dyDescent="0.35">
      <c r="A3676" s="49" t="s">
        <v>12973</v>
      </c>
      <c r="B3676" s="49" t="s">
        <v>12974</v>
      </c>
      <c r="C3676" s="49" t="s">
        <v>4200</v>
      </c>
      <c r="D3676" s="49" t="s">
        <v>1264</v>
      </c>
      <c r="E3676" s="49" t="s">
        <v>2785</v>
      </c>
      <c r="F3676" s="49" t="s">
        <v>2792</v>
      </c>
      <c r="G3676" s="49" t="s">
        <v>4891</v>
      </c>
      <c r="H3676" s="49" t="s">
        <v>3229</v>
      </c>
      <c r="I3676" s="52">
        <v>46000.434340277803</v>
      </c>
      <c r="M3676" s="49" t="s">
        <v>12975</v>
      </c>
    </row>
    <row r="3677" spans="1:13" x14ac:dyDescent="0.35">
      <c r="A3677" s="49" t="s">
        <v>12976</v>
      </c>
      <c r="B3677" s="49" t="s">
        <v>12977</v>
      </c>
      <c r="C3677" s="49" t="s">
        <v>4200</v>
      </c>
      <c r="D3677" s="49" t="s">
        <v>1264</v>
      </c>
      <c r="E3677" s="49" t="s">
        <v>2785</v>
      </c>
      <c r="F3677" s="49" t="s">
        <v>2792</v>
      </c>
      <c r="G3677" s="49" t="s">
        <v>4891</v>
      </c>
      <c r="H3677" s="49" t="s">
        <v>3229</v>
      </c>
      <c r="I3677" s="52">
        <v>46000.443611111099</v>
      </c>
      <c r="M3677" s="49" t="s">
        <v>12978</v>
      </c>
    </row>
    <row r="3678" spans="1:13" x14ac:dyDescent="0.35">
      <c r="A3678" s="49" t="s">
        <v>12979</v>
      </c>
      <c r="B3678" s="49" t="s">
        <v>12980</v>
      </c>
      <c r="C3678" s="49" t="s">
        <v>4200</v>
      </c>
      <c r="D3678" s="49" t="s">
        <v>1264</v>
      </c>
      <c r="E3678" s="49" t="s">
        <v>2785</v>
      </c>
      <c r="F3678" s="49" t="s">
        <v>2792</v>
      </c>
      <c r="G3678" s="49" t="s">
        <v>4891</v>
      </c>
      <c r="H3678" s="49" t="s">
        <v>3229</v>
      </c>
      <c r="I3678" s="52">
        <v>46000.451736111099</v>
      </c>
      <c r="M3678" s="49" t="s">
        <v>5838</v>
      </c>
    </row>
    <row r="3679" spans="1:13" x14ac:dyDescent="0.35">
      <c r="A3679" s="49" t="s">
        <v>12981</v>
      </c>
      <c r="B3679" s="49" t="s">
        <v>12982</v>
      </c>
      <c r="C3679" s="49" t="s">
        <v>4200</v>
      </c>
      <c r="D3679" s="49" t="s">
        <v>1264</v>
      </c>
      <c r="E3679" s="49" t="s">
        <v>2785</v>
      </c>
      <c r="F3679" s="49" t="s">
        <v>2792</v>
      </c>
      <c r="G3679" s="49" t="s">
        <v>4891</v>
      </c>
      <c r="H3679" s="49" t="s">
        <v>3229</v>
      </c>
      <c r="I3679" s="52">
        <v>46000.4628703704</v>
      </c>
      <c r="M3679" s="49" t="s">
        <v>12978</v>
      </c>
    </row>
    <row r="3680" spans="1:13" x14ac:dyDescent="0.35">
      <c r="A3680" s="49" t="s">
        <v>12983</v>
      </c>
      <c r="B3680" s="49" t="s">
        <v>12984</v>
      </c>
      <c r="C3680" s="49" t="s">
        <v>4200</v>
      </c>
      <c r="D3680" s="49" t="s">
        <v>1264</v>
      </c>
      <c r="E3680" s="49" t="s">
        <v>2785</v>
      </c>
      <c r="F3680" s="49" t="s">
        <v>2786</v>
      </c>
      <c r="G3680" s="49" t="s">
        <v>4891</v>
      </c>
      <c r="H3680" s="49" t="s">
        <v>3229</v>
      </c>
      <c r="I3680" s="52">
        <v>46000.471064814803</v>
      </c>
      <c r="M3680" s="49" t="s">
        <v>12985</v>
      </c>
    </row>
    <row r="3681" spans="1:13" x14ac:dyDescent="0.35">
      <c r="A3681" s="49" t="s">
        <v>12986</v>
      </c>
      <c r="B3681" s="49" t="s">
        <v>12987</v>
      </c>
      <c r="C3681" s="49" t="s">
        <v>4200</v>
      </c>
      <c r="D3681" s="49" t="s">
        <v>1264</v>
      </c>
      <c r="E3681" s="49" t="s">
        <v>2785</v>
      </c>
      <c r="F3681" s="49" t="s">
        <v>2786</v>
      </c>
      <c r="G3681" s="49" t="s">
        <v>4891</v>
      </c>
      <c r="H3681" s="49" t="s">
        <v>3229</v>
      </c>
      <c r="I3681" s="52">
        <v>46000.477800925903</v>
      </c>
      <c r="M3681" s="49" t="s">
        <v>12988</v>
      </c>
    </row>
    <row r="3682" spans="1:13" x14ac:dyDescent="0.35">
      <c r="A3682" s="49" t="s">
        <v>12989</v>
      </c>
      <c r="B3682" s="49" t="s">
        <v>12990</v>
      </c>
      <c r="C3682" s="49" t="s">
        <v>4200</v>
      </c>
      <c r="D3682" s="49" t="s">
        <v>1264</v>
      </c>
      <c r="E3682" s="49" t="s">
        <v>2785</v>
      </c>
      <c r="F3682" s="49" t="s">
        <v>2792</v>
      </c>
      <c r="G3682" s="49" t="s">
        <v>4891</v>
      </c>
      <c r="H3682" s="49" t="s">
        <v>3229</v>
      </c>
      <c r="I3682" s="52">
        <v>46000.484814814801</v>
      </c>
      <c r="M3682" s="49" t="s">
        <v>2788</v>
      </c>
    </row>
    <row r="3683" spans="1:13" x14ac:dyDescent="0.35">
      <c r="A3683" s="49" t="s">
        <v>12991</v>
      </c>
      <c r="B3683" s="49" t="s">
        <v>12992</v>
      </c>
      <c r="C3683" s="49" t="s">
        <v>4200</v>
      </c>
      <c r="D3683" s="49" t="s">
        <v>1264</v>
      </c>
      <c r="E3683" s="49" t="s">
        <v>2785</v>
      </c>
      <c r="F3683" s="49" t="s">
        <v>2792</v>
      </c>
      <c r="G3683" s="49" t="s">
        <v>4891</v>
      </c>
      <c r="H3683" s="49" t="s">
        <v>3229</v>
      </c>
      <c r="I3683" s="52">
        <v>46000.532025462999</v>
      </c>
      <c r="M3683" s="49" t="s">
        <v>2788</v>
      </c>
    </row>
    <row r="3684" spans="1:13" x14ac:dyDescent="0.35">
      <c r="A3684" s="49" t="s">
        <v>12993</v>
      </c>
      <c r="B3684" s="49" t="s">
        <v>12994</v>
      </c>
      <c r="C3684" s="49" t="s">
        <v>4200</v>
      </c>
      <c r="D3684" s="49" t="s">
        <v>1264</v>
      </c>
      <c r="E3684" s="49" t="s">
        <v>2785</v>
      </c>
      <c r="F3684" s="49" t="s">
        <v>2792</v>
      </c>
      <c r="G3684" s="49" t="s">
        <v>4891</v>
      </c>
      <c r="H3684" s="49" t="s">
        <v>3229</v>
      </c>
      <c r="I3684" s="52">
        <v>46000.541828703703</v>
      </c>
      <c r="M3684" s="49" t="s">
        <v>12995</v>
      </c>
    </row>
    <row r="3685" spans="1:13" x14ac:dyDescent="0.35">
      <c r="A3685" s="49" t="s">
        <v>12996</v>
      </c>
      <c r="B3685" s="49" t="s">
        <v>12997</v>
      </c>
      <c r="C3685" s="49" t="s">
        <v>4200</v>
      </c>
      <c r="D3685" s="49" t="s">
        <v>1264</v>
      </c>
      <c r="E3685" s="49" t="s">
        <v>2785</v>
      </c>
      <c r="F3685" s="49" t="s">
        <v>2786</v>
      </c>
      <c r="G3685" s="49" t="s">
        <v>4891</v>
      </c>
      <c r="H3685" s="49" t="s">
        <v>3229</v>
      </c>
      <c r="I3685" s="52">
        <v>46000.715763888897</v>
      </c>
      <c r="M3685" s="49" t="s">
        <v>12998</v>
      </c>
    </row>
    <row r="3686" spans="1:13" x14ac:dyDescent="0.35">
      <c r="A3686" s="49" t="s">
        <v>12999</v>
      </c>
      <c r="B3686" s="49" t="s">
        <v>13000</v>
      </c>
      <c r="C3686" s="49" t="s">
        <v>4200</v>
      </c>
      <c r="D3686" s="49" t="s">
        <v>1264</v>
      </c>
      <c r="E3686" s="49" t="s">
        <v>2785</v>
      </c>
      <c r="F3686" s="49" t="s">
        <v>2792</v>
      </c>
      <c r="G3686" s="49" t="s">
        <v>4891</v>
      </c>
      <c r="H3686" s="49" t="s">
        <v>3229</v>
      </c>
      <c r="I3686" s="52">
        <v>46000.730648148201</v>
      </c>
      <c r="M3686" s="49" t="s">
        <v>12447</v>
      </c>
    </row>
    <row r="3687" spans="1:13" x14ac:dyDescent="0.35">
      <c r="A3687" s="49" t="s">
        <v>13001</v>
      </c>
      <c r="C3687" s="49" t="s">
        <v>3476</v>
      </c>
      <c r="D3687" s="49" t="s">
        <v>1264</v>
      </c>
      <c r="E3687" s="49" t="s">
        <v>2814</v>
      </c>
      <c r="F3687" s="49" t="s">
        <v>3188</v>
      </c>
      <c r="G3687" s="49" t="s">
        <v>4891</v>
      </c>
      <c r="H3687" s="49" t="s">
        <v>973</v>
      </c>
      <c r="I3687" s="52">
        <v>46001.940856481502</v>
      </c>
      <c r="M3687" s="49" t="s">
        <v>13002</v>
      </c>
    </row>
    <row r="3688" spans="1:13" x14ac:dyDescent="0.35">
      <c r="A3688" s="49" t="s">
        <v>13003</v>
      </c>
      <c r="C3688" s="49" t="s">
        <v>6045</v>
      </c>
      <c r="D3688" s="49" t="s">
        <v>1264</v>
      </c>
      <c r="E3688" s="49" t="s">
        <v>2986</v>
      </c>
      <c r="F3688" s="49" t="s">
        <v>2825</v>
      </c>
      <c r="G3688" s="49" t="s">
        <v>4891</v>
      </c>
      <c r="H3688" s="49" t="s">
        <v>2827</v>
      </c>
      <c r="I3688" s="52">
        <v>46006.507870370398</v>
      </c>
    </row>
    <row r="3689" spans="1:13" x14ac:dyDescent="0.35">
      <c r="A3689" s="49" t="s">
        <v>13004</v>
      </c>
      <c r="C3689" s="49" t="s">
        <v>6869</v>
      </c>
      <c r="D3689" s="49" t="s">
        <v>1264</v>
      </c>
      <c r="E3689" s="49" t="s">
        <v>2785</v>
      </c>
      <c r="F3689" s="49" t="s">
        <v>2792</v>
      </c>
      <c r="G3689" s="49" t="s">
        <v>4891</v>
      </c>
      <c r="H3689" s="49" t="s">
        <v>835</v>
      </c>
      <c r="I3689" s="52">
        <v>46008.556562500002</v>
      </c>
      <c r="M3689" s="49" t="s">
        <v>13005</v>
      </c>
    </row>
    <row r="3690" spans="1:13" x14ac:dyDescent="0.35">
      <c r="A3690" s="49" t="s">
        <v>13006</v>
      </c>
      <c r="B3690" s="49" t="s">
        <v>5810</v>
      </c>
      <c r="C3690" s="49" t="s">
        <v>3882</v>
      </c>
      <c r="D3690" s="49" t="s">
        <v>1264</v>
      </c>
      <c r="E3690" s="49" t="s">
        <v>2785</v>
      </c>
      <c r="F3690" s="49" t="s">
        <v>2805</v>
      </c>
      <c r="G3690" s="49" t="s">
        <v>4891</v>
      </c>
      <c r="H3690" s="49" t="s">
        <v>980</v>
      </c>
      <c r="I3690" s="52">
        <v>46008.596111111103</v>
      </c>
      <c r="M3690" s="49" t="s">
        <v>13007</v>
      </c>
    </row>
    <row r="3691" spans="1:13" x14ac:dyDescent="0.35">
      <c r="A3691" s="49" t="s">
        <v>13008</v>
      </c>
      <c r="C3691" s="49" t="s">
        <v>5290</v>
      </c>
      <c r="D3691" s="49" t="s">
        <v>1264</v>
      </c>
      <c r="E3691" s="49" t="s">
        <v>2785</v>
      </c>
      <c r="F3691" s="49" t="s">
        <v>2792</v>
      </c>
      <c r="G3691" s="49" t="s">
        <v>4891</v>
      </c>
      <c r="H3691" s="49" t="s">
        <v>864</v>
      </c>
      <c r="I3691" s="52">
        <v>46009.4195833333</v>
      </c>
      <c r="M3691" s="49" t="s">
        <v>13009</v>
      </c>
    </row>
    <row r="3692" spans="1:13" x14ac:dyDescent="0.35">
      <c r="A3692" s="49" t="s">
        <v>13010</v>
      </c>
      <c r="C3692" s="49" t="s">
        <v>13011</v>
      </c>
      <c r="D3692" s="49" t="s">
        <v>1264</v>
      </c>
      <c r="E3692" s="49" t="s">
        <v>2986</v>
      </c>
      <c r="F3692" s="49" t="s">
        <v>2825</v>
      </c>
      <c r="G3692" s="49" t="s">
        <v>4891</v>
      </c>
      <c r="H3692" s="49" t="s">
        <v>973</v>
      </c>
      <c r="I3692" s="52">
        <v>46017.467210648101</v>
      </c>
      <c r="M3692" s="49" t="s">
        <v>13012</v>
      </c>
    </row>
    <row r="3693" spans="1:13" x14ac:dyDescent="0.35">
      <c r="A3693" s="49" t="s">
        <v>13013</v>
      </c>
      <c r="C3693" s="49" t="s">
        <v>13011</v>
      </c>
      <c r="D3693" s="49" t="s">
        <v>1264</v>
      </c>
      <c r="E3693" s="49" t="s">
        <v>2986</v>
      </c>
      <c r="F3693" s="49" t="s">
        <v>2825</v>
      </c>
      <c r="G3693" s="49" t="s">
        <v>4891</v>
      </c>
      <c r="H3693" s="49" t="s">
        <v>973</v>
      </c>
      <c r="I3693" s="52">
        <v>46017.493275462999</v>
      </c>
      <c r="M3693" s="49" t="s">
        <v>13014</v>
      </c>
    </row>
    <row r="3694" spans="1:13" x14ac:dyDescent="0.35">
      <c r="A3694" s="49" t="s">
        <v>13015</v>
      </c>
      <c r="C3694" s="49" t="s">
        <v>13016</v>
      </c>
      <c r="D3694" s="49" t="s">
        <v>1264</v>
      </c>
      <c r="E3694" s="49" t="s">
        <v>2986</v>
      </c>
      <c r="F3694" s="49" t="s">
        <v>2825</v>
      </c>
      <c r="G3694" s="49" t="s">
        <v>4891</v>
      </c>
      <c r="H3694" s="49" t="s">
        <v>2827</v>
      </c>
      <c r="I3694" s="52">
        <v>46017.512743055602</v>
      </c>
    </row>
    <row r="3695" spans="1:13" x14ac:dyDescent="0.35">
      <c r="A3695" s="49" t="s">
        <v>13017</v>
      </c>
      <c r="B3695" s="49" t="s">
        <v>13018</v>
      </c>
      <c r="C3695" s="49" t="s">
        <v>3882</v>
      </c>
      <c r="D3695" s="49" t="s">
        <v>1264</v>
      </c>
      <c r="E3695" s="49" t="s">
        <v>2785</v>
      </c>
      <c r="F3695" s="49" t="s">
        <v>2786</v>
      </c>
      <c r="G3695" s="49" t="s">
        <v>4891</v>
      </c>
      <c r="H3695" s="49" t="s">
        <v>980</v>
      </c>
      <c r="I3695" s="52">
        <v>46022.385289351798</v>
      </c>
      <c r="M3695" s="49" t="s">
        <v>13019</v>
      </c>
    </row>
    <row r="3696" spans="1:13" x14ac:dyDescent="0.35">
      <c r="A3696" s="49" t="s">
        <v>13020</v>
      </c>
      <c r="C3696" s="49" t="s">
        <v>13021</v>
      </c>
      <c r="D3696" s="49" t="s">
        <v>1264</v>
      </c>
      <c r="E3696" s="49" t="s">
        <v>2986</v>
      </c>
      <c r="F3696" s="49" t="s">
        <v>2825</v>
      </c>
      <c r="G3696" s="49" t="s">
        <v>4891</v>
      </c>
      <c r="H3696" s="49" t="s">
        <v>2827</v>
      </c>
      <c r="I3696" s="52">
        <v>46027.501875000002</v>
      </c>
      <c r="M3696" s="49" t="s">
        <v>13022</v>
      </c>
    </row>
    <row r="3697" spans="1:13" x14ac:dyDescent="0.35">
      <c r="A3697" s="49" t="s">
        <v>13023</v>
      </c>
      <c r="B3697" s="49" t="s">
        <v>13024</v>
      </c>
      <c r="C3697" s="49" t="s">
        <v>12964</v>
      </c>
      <c r="D3697" s="49" t="s">
        <v>1264</v>
      </c>
      <c r="E3697" s="49" t="s">
        <v>2785</v>
      </c>
      <c r="F3697" s="49" t="s">
        <v>2786</v>
      </c>
      <c r="G3697" s="49" t="s">
        <v>4891</v>
      </c>
      <c r="H3697" s="49" t="s">
        <v>2832</v>
      </c>
      <c r="I3697" s="52">
        <v>46029.491365740701</v>
      </c>
      <c r="M3697" s="49" t="s">
        <v>13025</v>
      </c>
    </row>
    <row r="3698" spans="1:13" x14ac:dyDescent="0.35">
      <c r="A3698" s="49" t="s">
        <v>13026</v>
      </c>
      <c r="B3698" s="49" t="s">
        <v>13027</v>
      </c>
      <c r="C3698" s="49" t="s">
        <v>12964</v>
      </c>
      <c r="D3698" s="49" t="s">
        <v>1264</v>
      </c>
      <c r="E3698" s="49" t="s">
        <v>2785</v>
      </c>
      <c r="F3698" s="49" t="s">
        <v>2786</v>
      </c>
      <c r="G3698" s="49" t="s">
        <v>4891</v>
      </c>
      <c r="H3698" s="49" t="s">
        <v>2832</v>
      </c>
      <c r="I3698" s="52">
        <v>46029.514571759297</v>
      </c>
      <c r="M3698" s="49" t="s">
        <v>13028</v>
      </c>
    </row>
    <row r="3699" spans="1:13" x14ac:dyDescent="0.35">
      <c r="A3699" s="49" t="s">
        <v>13029</v>
      </c>
      <c r="B3699" s="49" t="s">
        <v>13030</v>
      </c>
      <c r="C3699" s="49" t="s">
        <v>12964</v>
      </c>
      <c r="D3699" s="49" t="s">
        <v>1264</v>
      </c>
      <c r="E3699" s="49" t="s">
        <v>2785</v>
      </c>
      <c r="F3699" s="49" t="s">
        <v>2792</v>
      </c>
      <c r="G3699" s="49" t="s">
        <v>4891</v>
      </c>
      <c r="H3699" s="49" t="s">
        <v>2832</v>
      </c>
      <c r="I3699" s="52">
        <v>46029.521747685198</v>
      </c>
      <c r="M3699" s="49" t="s">
        <v>13031</v>
      </c>
    </row>
    <row r="3700" spans="1:13" x14ac:dyDescent="0.35">
      <c r="A3700" s="49" t="s">
        <v>13032</v>
      </c>
      <c r="B3700" s="49" t="s">
        <v>13033</v>
      </c>
      <c r="C3700" s="49" t="s">
        <v>13034</v>
      </c>
      <c r="D3700" s="49" t="s">
        <v>1264</v>
      </c>
      <c r="E3700" s="49" t="s">
        <v>2785</v>
      </c>
      <c r="F3700" s="49" t="s">
        <v>2786</v>
      </c>
      <c r="G3700" s="49" t="s">
        <v>4891</v>
      </c>
      <c r="H3700" s="49" t="s">
        <v>2832</v>
      </c>
      <c r="I3700" s="52">
        <v>46029.5381597222</v>
      </c>
      <c r="M3700" s="49" t="s">
        <v>13035</v>
      </c>
    </row>
    <row r="3701" spans="1:13" x14ac:dyDescent="0.35">
      <c r="A3701" s="49" t="s">
        <v>13036</v>
      </c>
      <c r="B3701" s="49" t="s">
        <v>11695</v>
      </c>
      <c r="C3701" s="49" t="s">
        <v>12964</v>
      </c>
      <c r="D3701" s="49" t="s">
        <v>1264</v>
      </c>
      <c r="E3701" s="49" t="s">
        <v>2785</v>
      </c>
      <c r="F3701" s="49" t="s">
        <v>2786</v>
      </c>
      <c r="G3701" s="49" t="s">
        <v>4891</v>
      </c>
      <c r="H3701" s="49" t="s">
        <v>2832</v>
      </c>
      <c r="I3701" s="52">
        <v>46029.543749999997</v>
      </c>
      <c r="M3701" s="49" t="s">
        <v>13037</v>
      </c>
    </row>
    <row r="3702" spans="1:13" x14ac:dyDescent="0.35">
      <c r="A3702" s="49" t="s">
        <v>13038</v>
      </c>
      <c r="B3702" s="49" t="s">
        <v>13039</v>
      </c>
      <c r="C3702" s="49" t="s">
        <v>12964</v>
      </c>
      <c r="D3702" s="49" t="s">
        <v>1264</v>
      </c>
      <c r="E3702" s="49" t="s">
        <v>2785</v>
      </c>
      <c r="F3702" s="49" t="s">
        <v>2786</v>
      </c>
      <c r="G3702" s="49" t="s">
        <v>4891</v>
      </c>
      <c r="H3702" s="49" t="s">
        <v>2832</v>
      </c>
      <c r="I3702" s="52">
        <v>46029.550694444399</v>
      </c>
      <c r="M3702" s="49" t="s">
        <v>13040</v>
      </c>
    </row>
    <row r="3703" spans="1:13" x14ac:dyDescent="0.35">
      <c r="A3703" s="49" t="s">
        <v>13041</v>
      </c>
      <c r="B3703" s="49" t="s">
        <v>13042</v>
      </c>
      <c r="C3703" s="49" t="s">
        <v>12964</v>
      </c>
      <c r="D3703" s="49" t="s">
        <v>1264</v>
      </c>
      <c r="E3703" s="49" t="s">
        <v>2785</v>
      </c>
      <c r="F3703" s="49" t="s">
        <v>2786</v>
      </c>
      <c r="G3703" s="49" t="s">
        <v>4891</v>
      </c>
      <c r="H3703" s="49" t="s">
        <v>2832</v>
      </c>
      <c r="I3703" s="52">
        <v>46029.555648148104</v>
      </c>
      <c r="M3703" s="49" t="s">
        <v>13043</v>
      </c>
    </row>
    <row r="3704" spans="1:13" x14ac:dyDescent="0.35">
      <c r="A3704" s="49" t="s">
        <v>13044</v>
      </c>
      <c r="B3704" s="49" t="s">
        <v>13045</v>
      </c>
      <c r="C3704" s="49" t="s">
        <v>12964</v>
      </c>
      <c r="D3704" s="49" t="s">
        <v>1264</v>
      </c>
      <c r="E3704" s="49" t="s">
        <v>2785</v>
      </c>
      <c r="F3704" s="49" t="s">
        <v>2786</v>
      </c>
      <c r="G3704" s="49" t="s">
        <v>4891</v>
      </c>
      <c r="H3704" s="49" t="s">
        <v>2832</v>
      </c>
      <c r="I3704" s="52">
        <v>46029.583020833299</v>
      </c>
      <c r="M3704" s="49" t="s">
        <v>13046</v>
      </c>
    </row>
    <row r="3705" spans="1:13" x14ac:dyDescent="0.35">
      <c r="A3705" s="49" t="s">
        <v>13047</v>
      </c>
      <c r="B3705" s="49" t="s">
        <v>13048</v>
      </c>
      <c r="C3705" s="49" t="s">
        <v>12964</v>
      </c>
      <c r="D3705" s="49" t="s">
        <v>1264</v>
      </c>
      <c r="E3705" s="49" t="s">
        <v>2785</v>
      </c>
      <c r="F3705" s="49" t="s">
        <v>2786</v>
      </c>
      <c r="G3705" s="49" t="s">
        <v>4891</v>
      </c>
      <c r="H3705" s="49" t="s">
        <v>2832</v>
      </c>
      <c r="I3705" s="52">
        <v>46029.6010185185</v>
      </c>
      <c r="M3705" s="49" t="s">
        <v>13049</v>
      </c>
    </row>
    <row r="3706" spans="1:13" x14ac:dyDescent="0.35">
      <c r="A3706" s="49" t="s">
        <v>13050</v>
      </c>
      <c r="B3706" s="49" t="s">
        <v>13051</v>
      </c>
      <c r="C3706" s="49" t="s">
        <v>12964</v>
      </c>
      <c r="D3706" s="49" t="s">
        <v>1264</v>
      </c>
      <c r="E3706" s="49" t="s">
        <v>2785</v>
      </c>
      <c r="F3706" s="49" t="s">
        <v>2786</v>
      </c>
      <c r="G3706" s="49" t="s">
        <v>4891</v>
      </c>
      <c r="H3706" s="49" t="s">
        <v>2832</v>
      </c>
      <c r="I3706" s="52">
        <v>46029.606423611098</v>
      </c>
      <c r="M3706" s="49" t="s">
        <v>13052</v>
      </c>
    </row>
    <row r="3707" spans="1:13" x14ac:dyDescent="0.35">
      <c r="A3707" s="49" t="s">
        <v>13053</v>
      </c>
      <c r="B3707" s="49" t="s">
        <v>13054</v>
      </c>
      <c r="C3707" s="49" t="s">
        <v>12964</v>
      </c>
      <c r="D3707" s="49" t="s">
        <v>1264</v>
      </c>
      <c r="E3707" s="49" t="s">
        <v>2785</v>
      </c>
      <c r="F3707" s="49" t="s">
        <v>2786</v>
      </c>
      <c r="G3707" s="49" t="s">
        <v>4891</v>
      </c>
      <c r="H3707" s="49" t="s">
        <v>2832</v>
      </c>
      <c r="I3707" s="52">
        <v>46029.6156597222</v>
      </c>
      <c r="M3707" s="49" t="s">
        <v>13055</v>
      </c>
    </row>
    <row r="3708" spans="1:13" x14ac:dyDescent="0.35">
      <c r="A3708" s="49" t="s">
        <v>13056</v>
      </c>
      <c r="B3708" s="49" t="s">
        <v>13057</v>
      </c>
      <c r="C3708" s="49" t="s">
        <v>12964</v>
      </c>
      <c r="D3708" s="49" t="s">
        <v>1264</v>
      </c>
      <c r="E3708" s="49" t="s">
        <v>2785</v>
      </c>
      <c r="F3708" s="49" t="s">
        <v>2786</v>
      </c>
      <c r="G3708" s="49" t="s">
        <v>4891</v>
      </c>
      <c r="H3708" s="49" t="s">
        <v>2832</v>
      </c>
      <c r="I3708" s="52">
        <v>46029.621712963002</v>
      </c>
      <c r="M3708" s="49" t="s">
        <v>13058</v>
      </c>
    </row>
    <row r="3709" spans="1:13" x14ac:dyDescent="0.35">
      <c r="A3709" s="49" t="s">
        <v>13059</v>
      </c>
      <c r="B3709" s="49" t="s">
        <v>13060</v>
      </c>
      <c r="C3709" s="49" t="s">
        <v>12964</v>
      </c>
      <c r="D3709" s="49" t="s">
        <v>1264</v>
      </c>
      <c r="E3709" s="49" t="s">
        <v>2785</v>
      </c>
      <c r="F3709" s="49" t="s">
        <v>2786</v>
      </c>
      <c r="G3709" s="49" t="s">
        <v>4891</v>
      </c>
      <c r="H3709" s="49" t="s">
        <v>2832</v>
      </c>
      <c r="I3709" s="52">
        <v>46029.627048611103</v>
      </c>
      <c r="M3709" s="49" t="s">
        <v>13061</v>
      </c>
    </row>
    <row r="3710" spans="1:13" x14ac:dyDescent="0.35">
      <c r="A3710" s="49" t="s">
        <v>13062</v>
      </c>
      <c r="C3710" s="49" t="s">
        <v>13063</v>
      </c>
      <c r="D3710" s="49" t="s">
        <v>1264</v>
      </c>
      <c r="E3710" s="49" t="s">
        <v>2986</v>
      </c>
      <c r="F3710" s="49" t="s">
        <v>2825</v>
      </c>
      <c r="G3710" s="49" t="s">
        <v>4891</v>
      </c>
      <c r="H3710" s="49" t="s">
        <v>2827</v>
      </c>
      <c r="I3710" s="52">
        <v>46030.545439814799</v>
      </c>
      <c r="M3710" s="49" t="s">
        <v>13064</v>
      </c>
    </row>
    <row r="3711" spans="1:13" x14ac:dyDescent="0.35">
      <c r="A3711" s="49" t="s">
        <v>13065</v>
      </c>
      <c r="C3711" s="49" t="s">
        <v>11317</v>
      </c>
      <c r="D3711" s="49" t="s">
        <v>1264</v>
      </c>
      <c r="E3711" s="49" t="s">
        <v>2873</v>
      </c>
      <c r="F3711" s="49" t="s">
        <v>2792</v>
      </c>
      <c r="G3711" s="49" t="s">
        <v>4891</v>
      </c>
      <c r="H3711" s="49" t="s">
        <v>864</v>
      </c>
      <c r="I3711" s="52">
        <v>46031.722800925898</v>
      </c>
      <c r="M3711" s="49" t="s">
        <v>13066</v>
      </c>
    </row>
    <row r="3712" spans="1:13" x14ac:dyDescent="0.35">
      <c r="A3712" s="49" t="s">
        <v>13067</v>
      </c>
      <c r="C3712" s="49" t="s">
        <v>11317</v>
      </c>
      <c r="D3712" s="49" t="s">
        <v>1264</v>
      </c>
      <c r="E3712" s="49" t="s">
        <v>2873</v>
      </c>
      <c r="F3712" s="49" t="s">
        <v>2792</v>
      </c>
      <c r="G3712" s="49" t="s">
        <v>4891</v>
      </c>
      <c r="H3712" s="49" t="s">
        <v>864</v>
      </c>
      <c r="I3712" s="52">
        <v>46031.7640509259</v>
      </c>
      <c r="M3712" s="49" t="s">
        <v>13068</v>
      </c>
    </row>
    <row r="3713" spans="1:13" x14ac:dyDescent="0.35">
      <c r="A3713" s="49" t="s">
        <v>13069</v>
      </c>
      <c r="C3713" s="49" t="s">
        <v>13070</v>
      </c>
      <c r="D3713" s="49" t="s">
        <v>1264</v>
      </c>
      <c r="E3713" s="49" t="s">
        <v>2785</v>
      </c>
      <c r="F3713" s="49" t="s">
        <v>2792</v>
      </c>
      <c r="G3713" s="49" t="s">
        <v>4891</v>
      </c>
      <c r="H3713" s="49" t="s">
        <v>3207</v>
      </c>
      <c r="I3713" s="52">
        <v>46034.668287036999</v>
      </c>
      <c r="M3713" s="49" t="s">
        <v>13071</v>
      </c>
    </row>
    <row r="3714" spans="1:13" x14ac:dyDescent="0.35">
      <c r="A3714" s="49" t="s">
        <v>13072</v>
      </c>
      <c r="C3714" s="49" t="s">
        <v>13070</v>
      </c>
      <c r="D3714" s="49" t="s">
        <v>1264</v>
      </c>
      <c r="E3714" s="49" t="s">
        <v>2785</v>
      </c>
      <c r="F3714" s="49" t="s">
        <v>2792</v>
      </c>
      <c r="G3714" s="49" t="s">
        <v>4891</v>
      </c>
      <c r="H3714" s="49" t="s">
        <v>3207</v>
      </c>
      <c r="I3714" s="52">
        <v>46034.681736111103</v>
      </c>
      <c r="M3714" s="49" t="s">
        <v>13073</v>
      </c>
    </row>
    <row r="3715" spans="1:13" x14ac:dyDescent="0.35">
      <c r="A3715" s="49" t="s">
        <v>13074</v>
      </c>
      <c r="C3715" s="49" t="s">
        <v>13070</v>
      </c>
      <c r="D3715" s="49" t="s">
        <v>1264</v>
      </c>
      <c r="E3715" s="49" t="s">
        <v>2785</v>
      </c>
      <c r="F3715" s="49" t="s">
        <v>2792</v>
      </c>
      <c r="G3715" s="49" t="s">
        <v>4891</v>
      </c>
      <c r="H3715" s="49" t="s">
        <v>3207</v>
      </c>
      <c r="I3715" s="52">
        <v>46034.689236111102</v>
      </c>
      <c r="M3715" s="49" t="s">
        <v>13075</v>
      </c>
    </row>
    <row r="3716" spans="1:13" x14ac:dyDescent="0.35">
      <c r="A3716" s="49" t="s">
        <v>13076</v>
      </c>
      <c r="C3716" s="49" t="s">
        <v>13077</v>
      </c>
      <c r="D3716" s="49" t="s">
        <v>1264</v>
      </c>
      <c r="E3716" s="49" t="s">
        <v>2785</v>
      </c>
      <c r="F3716" s="49" t="s">
        <v>2792</v>
      </c>
      <c r="G3716" s="49" t="s">
        <v>4891</v>
      </c>
      <c r="H3716" s="49" t="s">
        <v>3207</v>
      </c>
      <c r="I3716" s="52">
        <v>46034.700405092597</v>
      </c>
      <c r="M3716" s="49" t="s">
        <v>2788</v>
      </c>
    </row>
    <row r="3717" spans="1:13" x14ac:dyDescent="0.35">
      <c r="A3717" s="49" t="s">
        <v>13078</v>
      </c>
      <c r="B3717" s="49" t="s">
        <v>13079</v>
      </c>
      <c r="C3717" s="49" t="s">
        <v>5955</v>
      </c>
      <c r="D3717" s="49" t="s">
        <v>1264</v>
      </c>
      <c r="E3717" s="49" t="s">
        <v>2785</v>
      </c>
      <c r="F3717" s="49" t="s">
        <v>2786</v>
      </c>
      <c r="G3717" s="49" t="s">
        <v>4891</v>
      </c>
      <c r="H3717" s="49" t="s">
        <v>980</v>
      </c>
      <c r="I3717" s="52">
        <v>46042.5397337963</v>
      </c>
      <c r="M3717" s="49" t="s">
        <v>13080</v>
      </c>
    </row>
    <row r="3718" spans="1:13" x14ac:dyDescent="0.35">
      <c r="A3718" s="49" t="s">
        <v>13081</v>
      </c>
      <c r="B3718" s="49" t="s">
        <v>13082</v>
      </c>
      <c r="C3718" s="49" t="s">
        <v>13083</v>
      </c>
      <c r="D3718" s="49" t="s">
        <v>1264</v>
      </c>
      <c r="E3718" s="49" t="s">
        <v>2785</v>
      </c>
      <c r="F3718" s="49" t="s">
        <v>2786</v>
      </c>
      <c r="G3718" s="49" t="s">
        <v>4891</v>
      </c>
      <c r="H3718" s="49" t="s">
        <v>980</v>
      </c>
      <c r="I3718" s="52">
        <v>46042.561319444401</v>
      </c>
      <c r="M3718" s="49" t="s">
        <v>13084</v>
      </c>
    </row>
    <row r="3719" spans="1:13" x14ac:dyDescent="0.35">
      <c r="A3719" s="49" t="s">
        <v>13085</v>
      </c>
      <c r="C3719" s="49" t="s">
        <v>5087</v>
      </c>
      <c r="D3719" s="49" t="s">
        <v>1264</v>
      </c>
      <c r="E3719" s="49" t="s">
        <v>2785</v>
      </c>
      <c r="F3719" s="49" t="s">
        <v>2792</v>
      </c>
      <c r="G3719" s="49" t="s">
        <v>4891</v>
      </c>
      <c r="H3719" s="49" t="s">
        <v>980</v>
      </c>
      <c r="I3719" s="52">
        <v>46042.659259259301</v>
      </c>
      <c r="M3719" s="49" t="s">
        <v>13086</v>
      </c>
    </row>
    <row r="3720" spans="1:13" x14ac:dyDescent="0.35">
      <c r="A3720" s="49" t="s">
        <v>13087</v>
      </c>
      <c r="C3720" s="49" t="s">
        <v>12964</v>
      </c>
      <c r="D3720" s="49" t="s">
        <v>1264</v>
      </c>
      <c r="E3720" s="49" t="s">
        <v>2785</v>
      </c>
      <c r="F3720" s="49" t="s">
        <v>2786</v>
      </c>
      <c r="G3720" s="49" t="s">
        <v>4891</v>
      </c>
      <c r="H3720" s="49" t="s">
        <v>980</v>
      </c>
      <c r="I3720" s="52">
        <v>46042.668148148201</v>
      </c>
      <c r="M3720" s="49" t="s">
        <v>13088</v>
      </c>
    </row>
    <row r="3721" spans="1:13" x14ac:dyDescent="0.35">
      <c r="A3721" s="49" t="s">
        <v>13089</v>
      </c>
      <c r="C3721" s="49" t="s">
        <v>4237</v>
      </c>
      <c r="D3721" s="49" t="s">
        <v>1264</v>
      </c>
      <c r="E3721" s="49" t="s">
        <v>2785</v>
      </c>
      <c r="F3721" s="49" t="s">
        <v>2792</v>
      </c>
      <c r="G3721" s="49" t="s">
        <v>4891</v>
      </c>
      <c r="H3721" s="49" t="s">
        <v>980</v>
      </c>
      <c r="I3721" s="52">
        <v>46042.6797800926</v>
      </c>
      <c r="M3721" s="49" t="s">
        <v>13090</v>
      </c>
    </row>
    <row r="3722" spans="1:13" x14ac:dyDescent="0.35">
      <c r="A3722" s="49" t="s">
        <v>13091</v>
      </c>
      <c r="C3722" s="49" t="s">
        <v>13092</v>
      </c>
      <c r="D3722" s="49" t="s">
        <v>1264</v>
      </c>
      <c r="E3722" s="49" t="s">
        <v>2785</v>
      </c>
      <c r="F3722" s="49" t="s">
        <v>2792</v>
      </c>
      <c r="G3722" s="49" t="s">
        <v>4891</v>
      </c>
      <c r="H3722" s="49" t="s">
        <v>980</v>
      </c>
      <c r="I3722" s="52">
        <v>46042.687824074099</v>
      </c>
      <c r="M3722" s="49" t="s">
        <v>13093</v>
      </c>
    </row>
    <row r="3723" spans="1:13" x14ac:dyDescent="0.35">
      <c r="A3723" s="49" t="s">
        <v>13094</v>
      </c>
      <c r="C3723" s="49" t="s">
        <v>13095</v>
      </c>
      <c r="D3723" s="49" t="s">
        <v>1264</v>
      </c>
      <c r="E3723" s="49" t="s">
        <v>2785</v>
      </c>
      <c r="F3723" s="49" t="s">
        <v>2792</v>
      </c>
      <c r="G3723" s="49" t="s">
        <v>4891</v>
      </c>
      <c r="H3723" s="49" t="s">
        <v>980</v>
      </c>
      <c r="I3723" s="52">
        <v>46042.699502314797</v>
      </c>
      <c r="M3723" s="49" t="s">
        <v>13096</v>
      </c>
    </row>
    <row r="3724" spans="1:13" x14ac:dyDescent="0.35">
      <c r="A3724" s="49" t="s">
        <v>13097</v>
      </c>
      <c r="C3724" s="49" t="s">
        <v>13095</v>
      </c>
      <c r="D3724" s="49" t="s">
        <v>1264</v>
      </c>
      <c r="E3724" s="49" t="s">
        <v>2785</v>
      </c>
      <c r="F3724" s="49" t="s">
        <v>2792</v>
      </c>
      <c r="G3724" s="49" t="s">
        <v>4891</v>
      </c>
      <c r="H3724" s="49" t="s">
        <v>980</v>
      </c>
      <c r="I3724" s="52">
        <v>46042.720763888901</v>
      </c>
      <c r="M3724" s="49" t="s">
        <v>13098</v>
      </c>
    </row>
    <row r="3725" spans="1:13" x14ac:dyDescent="0.35">
      <c r="A3725" s="49" t="s">
        <v>13099</v>
      </c>
      <c r="C3725" s="49" t="s">
        <v>13100</v>
      </c>
      <c r="D3725" s="49" t="s">
        <v>1264</v>
      </c>
      <c r="E3725" s="49" t="s">
        <v>2785</v>
      </c>
      <c r="F3725" s="49" t="s">
        <v>2792</v>
      </c>
      <c r="G3725" s="49" t="s">
        <v>4891</v>
      </c>
      <c r="H3725" s="49" t="s">
        <v>980</v>
      </c>
      <c r="I3725" s="52">
        <v>46042.731527777803</v>
      </c>
      <c r="M3725" s="49" t="s">
        <v>13101</v>
      </c>
    </row>
    <row r="3726" spans="1:13" x14ac:dyDescent="0.35">
      <c r="A3726" s="49" t="s">
        <v>13102</v>
      </c>
      <c r="C3726" s="49" t="s">
        <v>13103</v>
      </c>
      <c r="D3726" s="49" t="s">
        <v>1264</v>
      </c>
      <c r="E3726" s="49" t="s">
        <v>2785</v>
      </c>
      <c r="F3726" s="49" t="s">
        <v>2786</v>
      </c>
      <c r="G3726" s="49" t="s">
        <v>4891</v>
      </c>
      <c r="H3726" s="49" t="s">
        <v>980</v>
      </c>
      <c r="I3726" s="52">
        <v>46042.739085648202</v>
      </c>
      <c r="M3726" s="49" t="s">
        <v>13104</v>
      </c>
    </row>
    <row r="3727" spans="1:13" x14ac:dyDescent="0.35">
      <c r="A3727" s="49" t="s">
        <v>13105</v>
      </c>
      <c r="C3727" s="49" t="s">
        <v>6726</v>
      </c>
      <c r="D3727" s="49" t="s">
        <v>1264</v>
      </c>
      <c r="E3727" s="49" t="s">
        <v>2785</v>
      </c>
      <c r="F3727" s="49" t="s">
        <v>2792</v>
      </c>
      <c r="G3727" s="49" t="s">
        <v>4891</v>
      </c>
      <c r="H3727" s="49" t="s">
        <v>980</v>
      </c>
      <c r="I3727" s="52">
        <v>46042.746493055602</v>
      </c>
      <c r="M3727" s="49" t="s">
        <v>13106</v>
      </c>
    </row>
    <row r="3728" spans="1:13" x14ac:dyDescent="0.35">
      <c r="A3728" s="49" t="s">
        <v>13107</v>
      </c>
      <c r="B3728" s="49" t="s">
        <v>13079</v>
      </c>
      <c r="C3728" s="49" t="s">
        <v>4725</v>
      </c>
      <c r="D3728" s="49" t="s">
        <v>1264</v>
      </c>
      <c r="E3728" s="49" t="s">
        <v>2785</v>
      </c>
      <c r="F3728" s="49" t="s">
        <v>2786</v>
      </c>
      <c r="G3728" s="49" t="s">
        <v>4891</v>
      </c>
      <c r="H3728" s="49" t="s">
        <v>980</v>
      </c>
      <c r="I3728" s="52">
        <v>46044.415381944404</v>
      </c>
      <c r="M3728" s="49" t="s">
        <v>13108</v>
      </c>
    </row>
    <row r="3729" spans="1:13" x14ac:dyDescent="0.35">
      <c r="A3729" s="49" t="s">
        <v>13109</v>
      </c>
      <c r="C3729" s="49" t="s">
        <v>5426</v>
      </c>
      <c r="D3729" s="49" t="s">
        <v>1264</v>
      </c>
      <c r="E3729" s="49" t="s">
        <v>2785</v>
      </c>
      <c r="F3729" s="49" t="s">
        <v>2805</v>
      </c>
      <c r="G3729" s="49" t="s">
        <v>4891</v>
      </c>
      <c r="H3729" s="49" t="s">
        <v>2827</v>
      </c>
      <c r="I3729" s="52">
        <v>46044.473287036999</v>
      </c>
      <c r="M3729" s="49" t="s">
        <v>13110</v>
      </c>
    </row>
    <row r="3730" spans="1:13" x14ac:dyDescent="0.35">
      <c r="A3730" s="49" t="s">
        <v>13111</v>
      </c>
      <c r="B3730" s="49" t="s">
        <v>13112</v>
      </c>
      <c r="C3730" s="49" t="s">
        <v>13113</v>
      </c>
      <c r="D3730" s="49" t="s">
        <v>1264</v>
      </c>
      <c r="E3730" s="49" t="s">
        <v>2785</v>
      </c>
      <c r="F3730" s="49" t="s">
        <v>2786</v>
      </c>
      <c r="G3730" s="49" t="s">
        <v>4891</v>
      </c>
      <c r="H3730" s="49" t="s">
        <v>980</v>
      </c>
      <c r="I3730" s="52">
        <v>46044.4901157407</v>
      </c>
      <c r="M3730" s="49" t="s">
        <v>13114</v>
      </c>
    </row>
    <row r="3731" spans="1:13" x14ac:dyDescent="0.35">
      <c r="A3731" s="49" t="s">
        <v>13115</v>
      </c>
      <c r="C3731" s="49" t="s">
        <v>13116</v>
      </c>
      <c r="D3731" s="49" t="s">
        <v>1264</v>
      </c>
      <c r="E3731" s="49" t="s">
        <v>2785</v>
      </c>
      <c r="F3731" s="49" t="s">
        <v>2792</v>
      </c>
      <c r="G3731" s="49" t="s">
        <v>4891</v>
      </c>
      <c r="H3731" s="49" t="s">
        <v>980</v>
      </c>
      <c r="I3731" s="52">
        <v>46044.491099537001</v>
      </c>
      <c r="M3731" s="49" t="s">
        <v>13117</v>
      </c>
    </row>
    <row r="3732" spans="1:13" x14ac:dyDescent="0.35">
      <c r="A3732" s="49" t="s">
        <v>13118</v>
      </c>
      <c r="B3732" s="49" t="s">
        <v>13119</v>
      </c>
      <c r="C3732" s="49" t="s">
        <v>13113</v>
      </c>
      <c r="D3732" s="49" t="s">
        <v>1264</v>
      </c>
      <c r="E3732" s="49" t="s">
        <v>2785</v>
      </c>
      <c r="F3732" s="49" t="s">
        <v>2786</v>
      </c>
      <c r="G3732" s="49" t="s">
        <v>4891</v>
      </c>
      <c r="H3732" s="49" t="s">
        <v>980</v>
      </c>
      <c r="I3732" s="52">
        <v>46044.505393518499</v>
      </c>
      <c r="M3732" s="49" t="s">
        <v>13120</v>
      </c>
    </row>
    <row r="3733" spans="1:13" x14ac:dyDescent="0.35">
      <c r="A3733" s="49" t="s">
        <v>13121</v>
      </c>
      <c r="C3733" s="49" t="s">
        <v>4044</v>
      </c>
      <c r="D3733" s="49" t="s">
        <v>1264</v>
      </c>
      <c r="E3733" s="49" t="s">
        <v>2986</v>
      </c>
      <c r="F3733" s="49" t="s">
        <v>2825</v>
      </c>
      <c r="G3733" s="49" t="s">
        <v>4891</v>
      </c>
      <c r="H3733" s="49" t="s">
        <v>2827</v>
      </c>
      <c r="I3733" s="52">
        <v>46049.387291666702</v>
      </c>
      <c r="M3733" s="49" t="s">
        <v>9017</v>
      </c>
    </row>
    <row r="3734" spans="1:13" x14ac:dyDescent="0.35">
      <c r="A3734" s="49" t="s">
        <v>13122</v>
      </c>
      <c r="C3734" s="49" t="s">
        <v>6869</v>
      </c>
      <c r="D3734" s="49" t="s">
        <v>1264</v>
      </c>
      <c r="E3734" s="49" t="s">
        <v>2785</v>
      </c>
      <c r="F3734" s="49" t="s">
        <v>2792</v>
      </c>
      <c r="G3734" s="49" t="s">
        <v>4891</v>
      </c>
      <c r="H3734" s="49" t="s">
        <v>4225</v>
      </c>
      <c r="I3734" s="52">
        <v>46049.431192129603</v>
      </c>
      <c r="M3734" s="49" t="s">
        <v>6623</v>
      </c>
    </row>
    <row r="3735" spans="1:13" x14ac:dyDescent="0.35">
      <c r="A3735" s="49" t="s">
        <v>13123</v>
      </c>
      <c r="C3735" s="49" t="s">
        <v>6869</v>
      </c>
      <c r="D3735" s="49" t="s">
        <v>1264</v>
      </c>
      <c r="E3735" s="49" t="s">
        <v>2785</v>
      </c>
      <c r="F3735" s="49" t="s">
        <v>2792</v>
      </c>
      <c r="G3735" s="49" t="s">
        <v>4891</v>
      </c>
      <c r="H3735" s="49" t="s">
        <v>857</v>
      </c>
      <c r="I3735" s="52">
        <v>46049.442384259302</v>
      </c>
      <c r="M3735" s="49" t="s">
        <v>13124</v>
      </c>
    </row>
    <row r="3736" spans="1:13" x14ac:dyDescent="0.35">
      <c r="A3736" s="49" t="s">
        <v>13125</v>
      </c>
      <c r="C3736" s="49" t="s">
        <v>12201</v>
      </c>
      <c r="D3736" s="49" t="s">
        <v>1264</v>
      </c>
      <c r="E3736" s="49" t="s">
        <v>2785</v>
      </c>
      <c r="F3736" s="49" t="s">
        <v>2792</v>
      </c>
      <c r="G3736" s="49" t="s">
        <v>4891</v>
      </c>
      <c r="H3736" s="49" t="s">
        <v>8</v>
      </c>
      <c r="I3736" s="52">
        <v>46050.837754629603</v>
      </c>
      <c r="M3736" s="49" t="s">
        <v>13126</v>
      </c>
    </row>
    <row r="3737" spans="1:13" x14ac:dyDescent="0.35">
      <c r="A3737" s="49" t="s">
        <v>13127</v>
      </c>
      <c r="B3737" s="49" t="s">
        <v>6852</v>
      </c>
      <c r="C3737" s="49" t="s">
        <v>6749</v>
      </c>
      <c r="D3737" s="49" t="s">
        <v>1264</v>
      </c>
      <c r="E3737" s="49" t="s">
        <v>2785</v>
      </c>
      <c r="F3737" s="49" t="s">
        <v>2805</v>
      </c>
      <c r="G3737" s="49" t="s">
        <v>4891</v>
      </c>
      <c r="H3737" s="49" t="s">
        <v>2832</v>
      </c>
      <c r="I3737" s="52">
        <v>46051.645497685196</v>
      </c>
      <c r="M3737" s="49" t="s">
        <v>13128</v>
      </c>
    </row>
    <row r="3738" spans="1:13" x14ac:dyDescent="0.35">
      <c r="A3738" s="49" t="s">
        <v>13129</v>
      </c>
      <c r="C3738" s="49" t="s">
        <v>13130</v>
      </c>
      <c r="D3738" s="49" t="s">
        <v>1264</v>
      </c>
      <c r="E3738" s="49" t="s">
        <v>2873</v>
      </c>
      <c r="G3738" s="49" t="s">
        <v>4891</v>
      </c>
      <c r="H3738" s="49" t="s">
        <v>4225</v>
      </c>
      <c r="I3738" s="52">
        <v>46052.648854166699</v>
      </c>
      <c r="M3738" s="49" t="s">
        <v>13131</v>
      </c>
    </row>
    <row r="3739" spans="1:13" x14ac:dyDescent="0.35">
      <c r="A3739" s="49" t="s">
        <v>13132</v>
      </c>
      <c r="C3739" s="49" t="s">
        <v>13133</v>
      </c>
      <c r="D3739" s="49" t="s">
        <v>1264</v>
      </c>
      <c r="E3739" s="49" t="s">
        <v>2873</v>
      </c>
      <c r="F3739" s="49" t="s">
        <v>2792</v>
      </c>
      <c r="G3739" s="49" t="s">
        <v>4891</v>
      </c>
      <c r="H3739" s="49" t="s">
        <v>4225</v>
      </c>
      <c r="I3739" s="52">
        <v>46052.770046296297</v>
      </c>
      <c r="M3739" s="49" t="s">
        <v>13134</v>
      </c>
    </row>
    <row r="3740" spans="1:13" x14ac:dyDescent="0.35">
      <c r="A3740" s="49" t="s">
        <v>13135</v>
      </c>
      <c r="C3740" s="49" t="s">
        <v>5779</v>
      </c>
      <c r="D3740" s="49" t="s">
        <v>1264</v>
      </c>
      <c r="E3740" s="49" t="s">
        <v>2785</v>
      </c>
      <c r="F3740" s="49" t="s">
        <v>2792</v>
      </c>
      <c r="G3740" s="49" t="s">
        <v>4891</v>
      </c>
      <c r="H3740" s="49" t="s">
        <v>8</v>
      </c>
      <c r="I3740" s="52">
        <v>46055.561631944402</v>
      </c>
      <c r="M3740" s="49" t="s">
        <v>13136</v>
      </c>
    </row>
    <row r="3741" spans="1:13" x14ac:dyDescent="0.35">
      <c r="A3741" s="49" t="s">
        <v>13137</v>
      </c>
      <c r="C3741" s="49" t="s">
        <v>13138</v>
      </c>
      <c r="D3741" s="49" t="s">
        <v>1264</v>
      </c>
      <c r="E3741" s="49" t="s">
        <v>2785</v>
      </c>
      <c r="F3741" s="49" t="s">
        <v>2792</v>
      </c>
      <c r="G3741" s="49" t="s">
        <v>4891</v>
      </c>
      <c r="H3741" s="49" t="s">
        <v>835</v>
      </c>
      <c r="I3741" s="52">
        <v>46055.6624421296</v>
      </c>
      <c r="M3741" s="49" t="s">
        <v>13139</v>
      </c>
    </row>
    <row r="3742" spans="1:13" x14ac:dyDescent="0.35">
      <c r="A3742" s="49" t="s">
        <v>13140</v>
      </c>
      <c r="C3742" s="49" t="s">
        <v>13141</v>
      </c>
      <c r="D3742" s="49" t="s">
        <v>1264</v>
      </c>
      <c r="E3742" s="49" t="s">
        <v>2873</v>
      </c>
      <c r="F3742" s="49" t="s">
        <v>2786</v>
      </c>
      <c r="G3742" s="49" t="s">
        <v>4891</v>
      </c>
      <c r="H3742" s="49" t="s">
        <v>1062</v>
      </c>
      <c r="I3742" s="52">
        <v>46058.940868055601</v>
      </c>
      <c r="M3742" s="49" t="s">
        <v>13142</v>
      </c>
    </row>
    <row r="3743" spans="1:13" x14ac:dyDescent="0.35">
      <c r="A3743" s="49" t="s">
        <v>13143</v>
      </c>
      <c r="C3743" s="49" t="s">
        <v>13141</v>
      </c>
      <c r="D3743" s="49" t="s">
        <v>1264</v>
      </c>
      <c r="E3743" s="49" t="s">
        <v>2873</v>
      </c>
      <c r="F3743" s="49" t="s">
        <v>12878</v>
      </c>
      <c r="G3743" s="49" t="s">
        <v>4891</v>
      </c>
      <c r="H3743" s="49" t="s">
        <v>1062</v>
      </c>
      <c r="I3743" s="52">
        <v>46059.583831018499</v>
      </c>
      <c r="M3743" s="49" t="s">
        <v>13144</v>
      </c>
    </row>
    <row r="3744" spans="1:13" x14ac:dyDescent="0.35">
      <c r="A3744" s="49" t="s">
        <v>13145</v>
      </c>
      <c r="C3744" s="49" t="s">
        <v>12952</v>
      </c>
      <c r="D3744" s="49" t="s">
        <v>1264</v>
      </c>
      <c r="E3744" s="49" t="s">
        <v>2873</v>
      </c>
      <c r="F3744" s="49" t="s">
        <v>2792</v>
      </c>
      <c r="G3744" s="49" t="s">
        <v>4891</v>
      </c>
      <c r="H3744" s="49" t="s">
        <v>1062</v>
      </c>
      <c r="I3744" s="52">
        <v>46059.684236111098</v>
      </c>
      <c r="M3744" s="49" t="s">
        <v>13146</v>
      </c>
    </row>
    <row r="3745" spans="1:13" x14ac:dyDescent="0.35">
      <c r="A3745" s="49" t="s">
        <v>13147</v>
      </c>
      <c r="C3745" s="49" t="s">
        <v>5779</v>
      </c>
      <c r="D3745" s="49" t="s">
        <v>1264</v>
      </c>
      <c r="E3745" s="49" t="s">
        <v>2873</v>
      </c>
      <c r="G3745" s="49" t="s">
        <v>4891</v>
      </c>
      <c r="H3745" s="49" t="s">
        <v>1062</v>
      </c>
      <c r="I3745" s="52">
        <v>46059.759097222202</v>
      </c>
      <c r="M3745" s="49" t="s">
        <v>13136</v>
      </c>
    </row>
    <row r="3746" spans="1:13" x14ac:dyDescent="0.35">
      <c r="A3746" s="49" t="s">
        <v>13148</v>
      </c>
      <c r="C3746" s="49" t="s">
        <v>4470</v>
      </c>
      <c r="D3746" s="49" t="s">
        <v>1264</v>
      </c>
      <c r="E3746" s="49" t="s">
        <v>2785</v>
      </c>
      <c r="F3746" s="49" t="s">
        <v>2792</v>
      </c>
      <c r="G3746" s="49" t="s">
        <v>4891</v>
      </c>
      <c r="H3746" s="49" t="s">
        <v>980</v>
      </c>
      <c r="I3746" s="52">
        <v>46064.5055208333</v>
      </c>
      <c r="M3746" s="49" t="s">
        <v>13149</v>
      </c>
    </row>
    <row r="3747" spans="1:13" x14ac:dyDescent="0.35">
      <c r="A3747" s="49" t="s">
        <v>13150</v>
      </c>
      <c r="C3747" s="49" t="s">
        <v>13151</v>
      </c>
      <c r="D3747" s="49" t="s">
        <v>1264</v>
      </c>
      <c r="E3747" s="49" t="s">
        <v>2785</v>
      </c>
      <c r="F3747" s="49" t="s">
        <v>2792</v>
      </c>
      <c r="G3747" s="49" t="s">
        <v>4891</v>
      </c>
      <c r="H3747" s="49" t="s">
        <v>980</v>
      </c>
      <c r="I3747" s="52">
        <v>46064.518229166701</v>
      </c>
      <c r="M3747" s="49" t="s">
        <v>13152</v>
      </c>
    </row>
    <row r="3748" spans="1:13" x14ac:dyDescent="0.35">
      <c r="A3748" s="49" t="s">
        <v>13153</v>
      </c>
      <c r="C3748" s="49" t="s">
        <v>13151</v>
      </c>
      <c r="D3748" s="49" t="s">
        <v>1264</v>
      </c>
      <c r="E3748" s="49" t="s">
        <v>2785</v>
      </c>
      <c r="F3748" s="49" t="s">
        <v>2792</v>
      </c>
      <c r="G3748" s="49" t="s">
        <v>4891</v>
      </c>
      <c r="H3748" s="49" t="s">
        <v>980</v>
      </c>
      <c r="I3748" s="52">
        <v>46064.525902777801</v>
      </c>
      <c r="M3748" s="49" t="s">
        <v>13154</v>
      </c>
    </row>
    <row r="3749" spans="1:13" x14ac:dyDescent="0.35">
      <c r="A3749" s="49" t="s">
        <v>13155</v>
      </c>
      <c r="C3749" s="49" t="s">
        <v>13156</v>
      </c>
      <c r="D3749" s="49" t="s">
        <v>1264</v>
      </c>
      <c r="E3749" s="49" t="s">
        <v>2814</v>
      </c>
      <c r="F3749" s="49" t="s">
        <v>3188</v>
      </c>
      <c r="G3749" s="49" t="s">
        <v>4891</v>
      </c>
      <c r="H3749" s="49" t="s">
        <v>973</v>
      </c>
      <c r="I3749" s="52">
        <v>46064.567534722199</v>
      </c>
      <c r="M3749" s="49" t="s">
        <v>13157</v>
      </c>
    </row>
    <row r="3750" spans="1:13" x14ac:dyDescent="0.35">
      <c r="A3750" s="49" t="s">
        <v>13158</v>
      </c>
      <c r="C3750" s="49" t="s">
        <v>13159</v>
      </c>
      <c r="D3750" s="49" t="s">
        <v>1264</v>
      </c>
      <c r="E3750" s="49" t="s">
        <v>2785</v>
      </c>
      <c r="F3750" s="49" t="s">
        <v>2792</v>
      </c>
      <c r="G3750" s="49" t="s">
        <v>4891</v>
      </c>
      <c r="H3750" s="49" t="s">
        <v>980</v>
      </c>
      <c r="I3750" s="52">
        <v>46064.5937037037</v>
      </c>
      <c r="M3750" s="49" t="s">
        <v>13160</v>
      </c>
    </row>
    <row r="3751" spans="1:13" x14ac:dyDescent="0.35">
      <c r="A3751" s="49" t="s">
        <v>13161</v>
      </c>
      <c r="C3751" s="49" t="s">
        <v>13159</v>
      </c>
      <c r="D3751" s="49" t="s">
        <v>1264</v>
      </c>
      <c r="E3751" s="49" t="s">
        <v>2785</v>
      </c>
      <c r="F3751" s="49" t="s">
        <v>2792</v>
      </c>
      <c r="G3751" s="49" t="s">
        <v>4891</v>
      </c>
      <c r="H3751" s="49" t="s">
        <v>980</v>
      </c>
      <c r="I3751" s="52">
        <v>46064.602048611101</v>
      </c>
      <c r="M3751" s="49" t="s">
        <v>13162</v>
      </c>
    </row>
    <row r="3752" spans="1:13" x14ac:dyDescent="0.35">
      <c r="A3752" s="49" t="s">
        <v>13163</v>
      </c>
      <c r="C3752" s="49" t="s">
        <v>13164</v>
      </c>
      <c r="D3752" s="49" t="s">
        <v>1264</v>
      </c>
      <c r="E3752" s="49" t="s">
        <v>2785</v>
      </c>
      <c r="F3752" s="49" t="s">
        <v>2792</v>
      </c>
      <c r="G3752" s="49" t="s">
        <v>4891</v>
      </c>
      <c r="H3752" s="49" t="s">
        <v>980</v>
      </c>
      <c r="I3752" s="52">
        <v>46064.607384259303</v>
      </c>
      <c r="M3752" s="49" t="s">
        <v>13165</v>
      </c>
    </row>
    <row r="3753" spans="1:13" x14ac:dyDescent="0.35">
      <c r="A3753" s="49" t="s">
        <v>13166</v>
      </c>
      <c r="C3753" s="49" t="s">
        <v>5426</v>
      </c>
      <c r="D3753" s="49" t="s">
        <v>1264</v>
      </c>
      <c r="E3753" s="49" t="s">
        <v>2785</v>
      </c>
      <c r="F3753" s="49" t="s">
        <v>2805</v>
      </c>
      <c r="G3753" s="49" t="s">
        <v>4891</v>
      </c>
      <c r="H3753" s="49" t="s">
        <v>3717</v>
      </c>
      <c r="I3753" s="52">
        <v>46065.5291782407</v>
      </c>
      <c r="M3753" s="49" t="s">
        <v>13167</v>
      </c>
    </row>
    <row r="3754" spans="1:13" x14ac:dyDescent="0.35">
      <c r="A3754" s="49" t="s">
        <v>13168</v>
      </c>
      <c r="C3754" s="49" t="s">
        <v>4922</v>
      </c>
      <c r="D3754" s="49" t="s">
        <v>1264</v>
      </c>
      <c r="E3754" s="49" t="s">
        <v>2814</v>
      </c>
      <c r="F3754" s="49" t="s">
        <v>2939</v>
      </c>
      <c r="G3754" s="49" t="s">
        <v>4891</v>
      </c>
      <c r="H3754" s="49" t="s">
        <v>3229</v>
      </c>
      <c r="I3754" s="52">
        <v>46070.429988425902</v>
      </c>
      <c r="M3754" s="49" t="s">
        <v>13169</v>
      </c>
    </row>
    <row r="3755" spans="1:13" x14ac:dyDescent="0.35">
      <c r="A3755" s="49" t="s">
        <v>13170</v>
      </c>
      <c r="C3755" s="49" t="s">
        <v>13171</v>
      </c>
      <c r="D3755" s="49" t="s">
        <v>1264</v>
      </c>
      <c r="E3755" s="49" t="s">
        <v>2774</v>
      </c>
      <c r="F3755" s="49" t="s">
        <v>2939</v>
      </c>
      <c r="G3755" s="49" t="s">
        <v>4891</v>
      </c>
      <c r="H3755" s="49" t="s">
        <v>980</v>
      </c>
      <c r="I3755" s="52">
        <v>46070.452511574098</v>
      </c>
      <c r="M3755" s="49" t="s">
        <v>13172</v>
      </c>
    </row>
    <row r="3756" spans="1:13" x14ac:dyDescent="0.35">
      <c r="A3756" s="49" t="s">
        <v>13173</v>
      </c>
      <c r="C3756" s="49" t="s">
        <v>13174</v>
      </c>
      <c r="D3756" s="49" t="s">
        <v>1264</v>
      </c>
      <c r="E3756" s="49" t="s">
        <v>2986</v>
      </c>
      <c r="F3756" s="49" t="s">
        <v>2825</v>
      </c>
      <c r="G3756" s="49" t="s">
        <v>4891</v>
      </c>
      <c r="H3756" s="49" t="s">
        <v>2827</v>
      </c>
      <c r="I3756" s="52">
        <v>46071.525543981501</v>
      </c>
    </row>
    <row r="3757" spans="1:13" x14ac:dyDescent="0.35">
      <c r="A3757" s="49" t="s">
        <v>13175</v>
      </c>
      <c r="C3757" s="49" t="s">
        <v>13176</v>
      </c>
      <c r="D3757" s="49" t="s">
        <v>1264</v>
      </c>
      <c r="E3757" s="49" t="s">
        <v>2986</v>
      </c>
      <c r="F3757" s="49" t="s">
        <v>2825</v>
      </c>
      <c r="G3757" s="49" t="s">
        <v>4891</v>
      </c>
      <c r="H3757" s="49" t="s">
        <v>2827</v>
      </c>
      <c r="I3757" s="52">
        <v>46071.557766203703</v>
      </c>
    </row>
    <row r="3758" spans="1:13" x14ac:dyDescent="0.35">
      <c r="A3758" s="49" t="s">
        <v>13177</v>
      </c>
      <c r="C3758" s="49" t="s">
        <v>13178</v>
      </c>
      <c r="D3758" s="49" t="s">
        <v>1264</v>
      </c>
      <c r="E3758" s="49" t="s">
        <v>2814</v>
      </c>
      <c r="F3758" s="49" t="s">
        <v>2825</v>
      </c>
      <c r="G3758" s="49" t="s">
        <v>4891</v>
      </c>
      <c r="H3758" s="49" t="s">
        <v>2827</v>
      </c>
      <c r="I3758" s="52">
        <v>46072.549050925903</v>
      </c>
      <c r="M3758" s="49" t="s">
        <v>13179</v>
      </c>
    </row>
    <row r="3759" spans="1:13" x14ac:dyDescent="0.35">
      <c r="A3759" s="49" t="s">
        <v>13180</v>
      </c>
      <c r="B3759" s="49" t="s">
        <v>13181</v>
      </c>
      <c r="C3759" s="49" t="s">
        <v>12655</v>
      </c>
      <c r="D3759" s="49" t="s">
        <v>1264</v>
      </c>
      <c r="E3759" s="49" t="s">
        <v>2986</v>
      </c>
      <c r="F3759" s="49" t="s">
        <v>2825</v>
      </c>
      <c r="G3759" s="49" t="s">
        <v>4891</v>
      </c>
      <c r="H3759" s="49" t="s">
        <v>2827</v>
      </c>
      <c r="I3759" s="52">
        <v>46064.0493055556</v>
      </c>
      <c r="M3759" s="49" t="s">
        <v>13182</v>
      </c>
    </row>
    <row r="3760" spans="1:13" x14ac:dyDescent="0.35">
      <c r="A3760" s="49" t="s">
        <v>13183</v>
      </c>
      <c r="B3760" s="49" t="s">
        <v>13184</v>
      </c>
      <c r="C3760" s="49" t="s">
        <v>13185</v>
      </c>
      <c r="D3760" s="49" t="s">
        <v>1264</v>
      </c>
      <c r="E3760" s="49" t="s">
        <v>2986</v>
      </c>
      <c r="F3760" s="49" t="s">
        <v>2825</v>
      </c>
      <c r="G3760" s="49" t="s">
        <v>4891</v>
      </c>
      <c r="H3760" s="49" t="s">
        <v>2827</v>
      </c>
      <c r="I3760" s="52">
        <v>46034.065219907403</v>
      </c>
      <c r="M3760" s="49" t="s">
        <v>3270</v>
      </c>
    </row>
    <row r="3761" spans="1:13" x14ac:dyDescent="0.35">
      <c r="A3761" s="49" t="s">
        <v>13186</v>
      </c>
      <c r="B3761" s="49" t="s">
        <v>13187</v>
      </c>
      <c r="C3761" s="49" t="s">
        <v>13185</v>
      </c>
      <c r="D3761" s="49" t="s">
        <v>1264</v>
      </c>
      <c r="E3761" s="49" t="s">
        <v>2986</v>
      </c>
      <c r="F3761" s="49" t="s">
        <v>2825</v>
      </c>
      <c r="G3761" s="49" t="s">
        <v>4891</v>
      </c>
      <c r="H3761" s="49" t="s">
        <v>2827</v>
      </c>
      <c r="I3761" s="52">
        <v>46034.075231481504</v>
      </c>
      <c r="M3761" s="49" t="s">
        <v>10357</v>
      </c>
    </row>
    <row r="3762" spans="1:13" x14ac:dyDescent="0.35">
      <c r="A3762" s="49" t="s">
        <v>13188</v>
      </c>
      <c r="B3762" s="49" t="s">
        <v>13189</v>
      </c>
      <c r="C3762" s="49" t="s">
        <v>13185</v>
      </c>
      <c r="D3762" s="49" t="s">
        <v>1264</v>
      </c>
      <c r="E3762" s="49" t="s">
        <v>2986</v>
      </c>
      <c r="F3762" s="49" t="s">
        <v>2825</v>
      </c>
      <c r="G3762" s="49" t="s">
        <v>4891</v>
      </c>
      <c r="H3762" s="49" t="s">
        <v>2827</v>
      </c>
      <c r="I3762" s="52">
        <v>46034.084236111099</v>
      </c>
      <c r="M3762" s="49" t="s">
        <v>5948</v>
      </c>
    </row>
    <row r="3763" spans="1:13" x14ac:dyDescent="0.35">
      <c r="A3763" s="49" t="s">
        <v>13190</v>
      </c>
      <c r="B3763" s="49" t="s">
        <v>13191</v>
      </c>
      <c r="C3763" s="49" t="s">
        <v>13174</v>
      </c>
      <c r="D3763" s="49" t="s">
        <v>1264</v>
      </c>
      <c r="E3763" s="49" t="s">
        <v>2986</v>
      </c>
      <c r="F3763" s="49" t="s">
        <v>2825</v>
      </c>
      <c r="G3763" s="49" t="s">
        <v>4891</v>
      </c>
      <c r="H3763" s="49" t="s">
        <v>2827</v>
      </c>
      <c r="I3763" s="52">
        <v>46034.088125000002</v>
      </c>
      <c r="M3763" s="49" t="s">
        <v>13192</v>
      </c>
    </row>
    <row r="3764" spans="1:13" x14ac:dyDescent="0.35">
      <c r="A3764" s="49" t="s">
        <v>13193</v>
      </c>
      <c r="C3764" s="49" t="s">
        <v>13194</v>
      </c>
      <c r="D3764" s="49" t="s">
        <v>1264</v>
      </c>
      <c r="E3764" s="49" t="s">
        <v>2986</v>
      </c>
      <c r="F3764" s="49" t="s">
        <v>2825</v>
      </c>
      <c r="G3764" s="49" t="s">
        <v>4891</v>
      </c>
      <c r="H3764" s="49" t="s">
        <v>2827</v>
      </c>
      <c r="I3764" s="52">
        <v>46034.549178240697</v>
      </c>
      <c r="M3764" s="49" t="s">
        <v>13195</v>
      </c>
    </row>
    <row r="3765" spans="1:13" x14ac:dyDescent="0.35">
      <c r="A3765" s="49" t="s">
        <v>13196</v>
      </c>
      <c r="C3765" s="49" t="s">
        <v>13197</v>
      </c>
      <c r="D3765" s="49" t="s">
        <v>1264</v>
      </c>
      <c r="E3765" s="49" t="s">
        <v>2986</v>
      </c>
      <c r="F3765" s="49" t="s">
        <v>2825</v>
      </c>
      <c r="G3765" s="49" t="s">
        <v>4891</v>
      </c>
      <c r="H3765" s="49" t="s">
        <v>2827</v>
      </c>
      <c r="I3765" s="52">
        <v>46045.564247685201</v>
      </c>
      <c r="M3765" s="49" t="s">
        <v>13198</v>
      </c>
    </row>
    <row r="3766" spans="1:13" x14ac:dyDescent="0.35">
      <c r="A3766" s="49" t="s">
        <v>13199</v>
      </c>
      <c r="B3766" s="49" t="s">
        <v>13200</v>
      </c>
      <c r="C3766" s="49" t="s">
        <v>13197</v>
      </c>
      <c r="D3766" s="49" t="s">
        <v>1264</v>
      </c>
      <c r="E3766" s="49" t="s">
        <v>2986</v>
      </c>
      <c r="F3766" s="49" t="s">
        <v>2825</v>
      </c>
      <c r="G3766" s="49" t="s">
        <v>4891</v>
      </c>
      <c r="H3766" s="49" t="s">
        <v>2827</v>
      </c>
      <c r="I3766" s="52">
        <v>46045.583888888897</v>
      </c>
      <c r="M3766" s="49" t="s">
        <v>4960</v>
      </c>
    </row>
    <row r="3767" spans="1:13" x14ac:dyDescent="0.35">
      <c r="A3767" s="49" t="s">
        <v>13201</v>
      </c>
      <c r="C3767" s="49" t="s">
        <v>13176</v>
      </c>
      <c r="D3767" s="49" t="s">
        <v>1264</v>
      </c>
      <c r="E3767" s="49" t="s">
        <v>2986</v>
      </c>
      <c r="F3767" s="49" t="s">
        <v>2825</v>
      </c>
      <c r="G3767" s="49" t="s">
        <v>4891</v>
      </c>
      <c r="H3767" s="49" t="s">
        <v>2827</v>
      </c>
      <c r="I3767" s="52">
        <v>46076.597326388903</v>
      </c>
    </row>
    <row r="3768" spans="1:13" x14ac:dyDescent="0.35">
      <c r="A3768" s="49" t="s">
        <v>13202</v>
      </c>
      <c r="B3768" s="49" t="s">
        <v>13203</v>
      </c>
      <c r="C3768" s="49" t="s">
        <v>13197</v>
      </c>
      <c r="D3768" s="49" t="s">
        <v>1264</v>
      </c>
      <c r="E3768" s="49" t="s">
        <v>2986</v>
      </c>
      <c r="F3768" s="49" t="s">
        <v>2825</v>
      </c>
      <c r="G3768" s="49" t="s">
        <v>4891</v>
      </c>
      <c r="H3768" s="49" t="s">
        <v>973</v>
      </c>
      <c r="I3768" s="52">
        <v>46045.5968055556</v>
      </c>
      <c r="M3768" s="49" t="s">
        <v>13204</v>
      </c>
    </row>
    <row r="3769" spans="1:13" x14ac:dyDescent="0.35">
      <c r="A3769" s="49" t="s">
        <v>13205</v>
      </c>
      <c r="C3769" s="49" t="s">
        <v>13206</v>
      </c>
      <c r="D3769" s="49" t="s">
        <v>1264</v>
      </c>
      <c r="E3769" s="49" t="s">
        <v>2986</v>
      </c>
      <c r="F3769" s="49" t="s">
        <v>2825</v>
      </c>
      <c r="G3769" s="49" t="s">
        <v>4891</v>
      </c>
      <c r="H3769" s="49" t="s">
        <v>2827</v>
      </c>
      <c r="I3769" s="52">
        <v>46076.606076388904</v>
      </c>
      <c r="M3769" s="49" t="s">
        <v>3270</v>
      </c>
    </row>
    <row r="3770" spans="1:13" x14ac:dyDescent="0.35">
      <c r="A3770" s="49" t="s">
        <v>13207</v>
      </c>
      <c r="C3770" s="49" t="s">
        <v>13208</v>
      </c>
      <c r="D3770" s="49" t="s">
        <v>1264</v>
      </c>
      <c r="E3770" s="49" t="s">
        <v>2986</v>
      </c>
      <c r="F3770" s="49" t="s">
        <v>2825</v>
      </c>
      <c r="G3770" s="49" t="s">
        <v>4891</v>
      </c>
      <c r="H3770" s="49" t="s">
        <v>2827</v>
      </c>
      <c r="I3770" s="52">
        <v>46077.579594907402</v>
      </c>
      <c r="M3770" s="49" t="s">
        <v>13209</v>
      </c>
    </row>
    <row r="3771" spans="1:13" x14ac:dyDescent="0.35">
      <c r="A3771" s="49" t="s">
        <v>13210</v>
      </c>
      <c r="C3771" s="49" t="s">
        <v>6053</v>
      </c>
      <c r="D3771" s="49" t="s">
        <v>1264</v>
      </c>
      <c r="E3771" s="49" t="s">
        <v>2986</v>
      </c>
      <c r="F3771" s="49" t="s">
        <v>2825</v>
      </c>
      <c r="G3771" s="49" t="s">
        <v>4891</v>
      </c>
      <c r="H3771" s="49" t="s">
        <v>2827</v>
      </c>
      <c r="I3771" s="52">
        <v>46077.596712963001</v>
      </c>
      <c r="M3771" s="49" t="s">
        <v>13211</v>
      </c>
    </row>
    <row r="3772" spans="1:13" x14ac:dyDescent="0.35">
      <c r="A3772" s="49" t="s">
        <v>13212</v>
      </c>
      <c r="C3772" s="49" t="s">
        <v>4106</v>
      </c>
      <c r="D3772" s="49" t="s">
        <v>1264</v>
      </c>
      <c r="E3772" s="49" t="s">
        <v>2785</v>
      </c>
      <c r="F3772" s="49" t="s">
        <v>2786</v>
      </c>
      <c r="G3772" s="49" t="s">
        <v>4891</v>
      </c>
      <c r="H3772" s="49" t="s">
        <v>980</v>
      </c>
      <c r="I3772" s="52">
        <v>46078.368703703702</v>
      </c>
      <c r="M3772" s="49" t="s">
        <v>13213</v>
      </c>
    </row>
    <row r="3773" spans="1:13" x14ac:dyDescent="0.35">
      <c r="A3773" s="49" t="s">
        <v>13214</v>
      </c>
      <c r="C3773" s="49" t="s">
        <v>4106</v>
      </c>
      <c r="D3773" s="49" t="s">
        <v>1264</v>
      </c>
      <c r="E3773" s="49" t="s">
        <v>2785</v>
      </c>
      <c r="F3773" s="49" t="s">
        <v>2786</v>
      </c>
      <c r="G3773" s="49" t="s">
        <v>4891</v>
      </c>
      <c r="H3773" s="49" t="s">
        <v>835</v>
      </c>
      <c r="I3773" s="52">
        <v>46078.388912037</v>
      </c>
      <c r="M3773" s="49" t="s">
        <v>13215</v>
      </c>
    </row>
    <row r="3774" spans="1:13" x14ac:dyDescent="0.35">
      <c r="A3774" s="49" t="s">
        <v>13216</v>
      </c>
      <c r="C3774" s="49" t="s">
        <v>13217</v>
      </c>
      <c r="D3774" s="49" t="s">
        <v>1264</v>
      </c>
      <c r="E3774" s="49" t="s">
        <v>2785</v>
      </c>
      <c r="F3774" s="49" t="s">
        <v>2792</v>
      </c>
      <c r="G3774" s="49" t="s">
        <v>4891</v>
      </c>
      <c r="H3774" s="49" t="s">
        <v>857</v>
      </c>
      <c r="I3774" s="52">
        <v>46083.502951388902</v>
      </c>
      <c r="M3774" s="49" t="s">
        <v>2788</v>
      </c>
    </row>
    <row r="3775" spans="1:13" x14ac:dyDescent="0.35">
      <c r="A3775" s="49" t="s">
        <v>13218</v>
      </c>
      <c r="C3775" s="49" t="s">
        <v>12600</v>
      </c>
      <c r="D3775" s="49" t="s">
        <v>1264</v>
      </c>
      <c r="E3775" s="49" t="s">
        <v>2785</v>
      </c>
      <c r="F3775" s="49" t="s">
        <v>2805</v>
      </c>
      <c r="G3775" s="49" t="s">
        <v>4891</v>
      </c>
      <c r="H3775" s="49" t="s">
        <v>1062</v>
      </c>
      <c r="I3775" s="52">
        <v>46084.459398148101</v>
      </c>
      <c r="M3775" s="49" t="s">
        <v>13219</v>
      </c>
    </row>
    <row r="3776" spans="1:13" x14ac:dyDescent="0.35">
      <c r="A3776" s="49" t="s">
        <v>13220</v>
      </c>
      <c r="B3776" s="49" t="s">
        <v>11322</v>
      </c>
      <c r="C3776" s="49" t="s">
        <v>11323</v>
      </c>
      <c r="D3776" s="49" t="s">
        <v>1264</v>
      </c>
      <c r="E3776" s="49" t="s">
        <v>2986</v>
      </c>
      <c r="F3776" s="49" t="s">
        <v>2825</v>
      </c>
      <c r="G3776" s="49" t="s">
        <v>4891</v>
      </c>
      <c r="H3776" s="49" t="s">
        <v>2827</v>
      </c>
      <c r="I3776" s="52">
        <v>45994.492893518502</v>
      </c>
      <c r="M3776" s="49" t="s">
        <v>13221</v>
      </c>
    </row>
    <row r="3777" spans="1:13" x14ac:dyDescent="0.35">
      <c r="A3777" s="49" t="s">
        <v>13222</v>
      </c>
      <c r="C3777" s="49" t="s">
        <v>13223</v>
      </c>
      <c r="D3777" s="49" t="s">
        <v>1264</v>
      </c>
      <c r="E3777" s="49" t="s">
        <v>2785</v>
      </c>
      <c r="F3777" s="49" t="s">
        <v>2786</v>
      </c>
      <c r="G3777" s="49" t="s">
        <v>4891</v>
      </c>
      <c r="H3777" s="49" t="s">
        <v>2832</v>
      </c>
      <c r="I3777" s="52">
        <v>46084.548275462999</v>
      </c>
      <c r="M3777" s="49" t="s">
        <v>13224</v>
      </c>
    </row>
    <row r="3778" spans="1:13" x14ac:dyDescent="0.35">
      <c r="A3778" s="49" t="s">
        <v>13225</v>
      </c>
      <c r="C3778" s="49" t="s">
        <v>13223</v>
      </c>
      <c r="D3778" s="49" t="s">
        <v>1264</v>
      </c>
      <c r="E3778" s="49" t="s">
        <v>2785</v>
      </c>
      <c r="F3778" s="49" t="s">
        <v>2786</v>
      </c>
      <c r="G3778" s="49" t="s">
        <v>4891</v>
      </c>
      <c r="H3778" s="49" t="s">
        <v>2832</v>
      </c>
      <c r="I3778" s="52">
        <v>46084.633587962999</v>
      </c>
      <c r="M3778" s="49" t="s">
        <v>13226</v>
      </c>
    </row>
    <row r="3779" spans="1:13" x14ac:dyDescent="0.35">
      <c r="A3779" s="49" t="s">
        <v>13227</v>
      </c>
      <c r="C3779" s="49" t="s">
        <v>13228</v>
      </c>
      <c r="D3779" s="49" t="s">
        <v>1264</v>
      </c>
      <c r="E3779" s="49" t="s">
        <v>2873</v>
      </c>
      <c r="G3779" s="49" t="s">
        <v>4891</v>
      </c>
      <c r="H3779" s="49" t="s">
        <v>857</v>
      </c>
      <c r="I3779" s="52">
        <v>46084.656238425901</v>
      </c>
      <c r="M3779" s="49" t="s">
        <v>13229</v>
      </c>
    </row>
    <row r="3780" spans="1:13" x14ac:dyDescent="0.35">
      <c r="A3780" s="49" t="s">
        <v>13230</v>
      </c>
      <c r="C3780" s="49" t="s">
        <v>13228</v>
      </c>
      <c r="D3780" s="49" t="s">
        <v>1264</v>
      </c>
      <c r="E3780" s="49" t="s">
        <v>2873</v>
      </c>
      <c r="F3780" s="49" t="s">
        <v>2792</v>
      </c>
      <c r="G3780" s="49" t="s">
        <v>4891</v>
      </c>
      <c r="H3780" s="49" t="s">
        <v>857</v>
      </c>
      <c r="I3780" s="52">
        <v>46084.6655439815</v>
      </c>
      <c r="M3780" s="49" t="s">
        <v>13231</v>
      </c>
    </row>
    <row r="3781" spans="1:13" x14ac:dyDescent="0.35">
      <c r="A3781" s="49" t="s">
        <v>13232</v>
      </c>
      <c r="C3781" s="49" t="s">
        <v>13233</v>
      </c>
      <c r="D3781" s="49" t="s">
        <v>1264</v>
      </c>
      <c r="E3781" s="49" t="s">
        <v>2873</v>
      </c>
      <c r="G3781" s="49" t="s">
        <v>4891</v>
      </c>
      <c r="H3781" s="49" t="s">
        <v>857</v>
      </c>
      <c r="I3781" s="52">
        <v>46084.677893518499</v>
      </c>
      <c r="M3781" s="49" t="s">
        <v>13234</v>
      </c>
    </row>
    <row r="3782" spans="1:13" x14ac:dyDescent="0.35">
      <c r="A3782" s="49" t="s">
        <v>13235</v>
      </c>
      <c r="C3782" s="49" t="s">
        <v>13236</v>
      </c>
      <c r="D3782" s="49" t="s">
        <v>1264</v>
      </c>
      <c r="E3782" s="49" t="s">
        <v>2873</v>
      </c>
      <c r="F3782" s="49" t="s">
        <v>2792</v>
      </c>
      <c r="G3782" s="49" t="s">
        <v>4891</v>
      </c>
      <c r="H3782" s="49" t="s">
        <v>2806</v>
      </c>
      <c r="I3782" s="52">
        <v>46085.690219907403</v>
      </c>
      <c r="M3782" s="49" t="s">
        <v>13237</v>
      </c>
    </row>
    <row r="3783" spans="1:13" x14ac:dyDescent="0.35">
      <c r="A3783" s="49" t="s">
        <v>13238</v>
      </c>
      <c r="C3783" s="49" t="s">
        <v>13236</v>
      </c>
      <c r="D3783" s="49" t="s">
        <v>1264</v>
      </c>
      <c r="E3783" s="49" t="s">
        <v>2873</v>
      </c>
      <c r="G3783" s="49" t="s">
        <v>4891</v>
      </c>
      <c r="H3783" s="49" t="s">
        <v>2806</v>
      </c>
      <c r="I3783" s="52">
        <v>46085.699548611097</v>
      </c>
      <c r="M3783" s="49" t="s">
        <v>13239</v>
      </c>
    </row>
    <row r="3784" spans="1:13" x14ac:dyDescent="0.35">
      <c r="A3784" s="49" t="s">
        <v>13240</v>
      </c>
      <c r="C3784" s="49" t="s">
        <v>12406</v>
      </c>
      <c r="D3784" s="49" t="s">
        <v>1264</v>
      </c>
      <c r="E3784" s="49" t="s">
        <v>2986</v>
      </c>
      <c r="F3784" s="49" t="s">
        <v>2825</v>
      </c>
      <c r="G3784" s="49" t="s">
        <v>4891</v>
      </c>
      <c r="H3784" s="49" t="s">
        <v>2827</v>
      </c>
      <c r="I3784" s="52">
        <v>45642.493240740703</v>
      </c>
      <c r="M3784" s="49" t="s">
        <v>13241</v>
      </c>
    </row>
    <row r="3785" spans="1:13" x14ac:dyDescent="0.35">
      <c r="A3785" s="49" t="s">
        <v>13242</v>
      </c>
      <c r="B3785" s="49" t="s">
        <v>13243</v>
      </c>
      <c r="C3785" s="49" t="s">
        <v>13244</v>
      </c>
      <c r="D3785" s="49" t="s">
        <v>1264</v>
      </c>
      <c r="E3785" s="49" t="s">
        <v>2785</v>
      </c>
      <c r="F3785" s="49" t="s">
        <v>2805</v>
      </c>
      <c r="G3785" s="49" t="s">
        <v>4891</v>
      </c>
      <c r="H3785" s="49" t="s">
        <v>1062</v>
      </c>
      <c r="I3785" s="52">
        <v>46087.521574074097</v>
      </c>
      <c r="M3785" s="49" t="s">
        <v>13245</v>
      </c>
    </row>
    <row r="3786" spans="1:13" x14ac:dyDescent="0.35">
      <c r="A3786" s="49" t="s">
        <v>13246</v>
      </c>
      <c r="B3786" s="49" t="s">
        <v>3586</v>
      </c>
      <c r="C3786" s="49" t="s">
        <v>13247</v>
      </c>
      <c r="D3786" s="49" t="s">
        <v>1264</v>
      </c>
      <c r="E3786" s="49" t="s">
        <v>2785</v>
      </c>
      <c r="F3786" s="49" t="s">
        <v>2786</v>
      </c>
      <c r="G3786" s="49" t="s">
        <v>4891</v>
      </c>
      <c r="H3786" s="49" t="s">
        <v>8</v>
      </c>
      <c r="I3786" s="52">
        <v>46146.515011574098</v>
      </c>
      <c r="M3786" s="49" t="s">
        <v>13248</v>
      </c>
    </row>
    <row r="3787" spans="1:13" x14ac:dyDescent="0.35">
      <c r="A3787" s="49" t="s">
        <v>13249</v>
      </c>
      <c r="B3787" s="49" t="s">
        <v>13250</v>
      </c>
      <c r="C3787" s="49" t="s">
        <v>13244</v>
      </c>
      <c r="D3787" s="49" t="s">
        <v>1264</v>
      </c>
      <c r="E3787" s="49" t="s">
        <v>2785</v>
      </c>
      <c r="F3787" s="49" t="s">
        <v>2805</v>
      </c>
      <c r="G3787" s="49" t="s">
        <v>4891</v>
      </c>
      <c r="H3787" s="49" t="s">
        <v>1062</v>
      </c>
      <c r="I3787" s="52">
        <v>46087.530451388899</v>
      </c>
      <c r="M3787" s="49" t="s">
        <v>13251</v>
      </c>
    </row>
    <row r="3788" spans="1:13" x14ac:dyDescent="0.35">
      <c r="A3788" s="49" t="s">
        <v>13252</v>
      </c>
      <c r="B3788" s="49" t="s">
        <v>13253</v>
      </c>
      <c r="C3788" s="49" t="s">
        <v>5463</v>
      </c>
      <c r="D3788" s="49" t="s">
        <v>1264</v>
      </c>
      <c r="E3788" s="49" t="s">
        <v>2986</v>
      </c>
      <c r="F3788" s="49" t="s">
        <v>2825</v>
      </c>
      <c r="G3788" s="49" t="s">
        <v>4891</v>
      </c>
      <c r="H3788" s="49" t="s">
        <v>2827</v>
      </c>
      <c r="I3788" s="52">
        <v>45981.066400463002</v>
      </c>
      <c r="M3788" s="49" t="s">
        <v>13254</v>
      </c>
    </row>
    <row r="3789" spans="1:13" x14ac:dyDescent="0.35">
      <c r="A3789" s="49" t="s">
        <v>13255</v>
      </c>
      <c r="B3789" s="49" t="s">
        <v>13256</v>
      </c>
      <c r="C3789" s="49" t="s">
        <v>13244</v>
      </c>
      <c r="D3789" s="49" t="s">
        <v>1264</v>
      </c>
      <c r="E3789" s="49" t="s">
        <v>2785</v>
      </c>
      <c r="F3789" s="49" t="s">
        <v>2805</v>
      </c>
      <c r="G3789" s="49" t="s">
        <v>4891</v>
      </c>
      <c r="H3789" s="49" t="s">
        <v>1062</v>
      </c>
      <c r="I3789" s="52">
        <v>46090.401585648098</v>
      </c>
      <c r="M3789" s="49" t="s">
        <v>7427</v>
      </c>
    </row>
    <row r="3790" spans="1:13" x14ac:dyDescent="0.35">
      <c r="A3790" s="49" t="s">
        <v>13257</v>
      </c>
      <c r="C3790" s="49" t="s">
        <v>13011</v>
      </c>
      <c r="D3790" s="49" t="s">
        <v>1264</v>
      </c>
      <c r="E3790" s="49" t="s">
        <v>2986</v>
      </c>
      <c r="F3790" s="49" t="s">
        <v>2825</v>
      </c>
      <c r="G3790" s="49" t="s">
        <v>4891</v>
      </c>
      <c r="H3790" s="49" t="s">
        <v>973</v>
      </c>
      <c r="I3790" s="52">
        <v>45940.075208333299</v>
      </c>
      <c r="M3790" s="49" t="s">
        <v>13258</v>
      </c>
    </row>
    <row r="3791" spans="1:13" x14ac:dyDescent="0.35">
      <c r="A3791" s="49" t="s">
        <v>13259</v>
      </c>
      <c r="C3791" s="49" t="s">
        <v>13260</v>
      </c>
      <c r="D3791" s="49" t="s">
        <v>1264</v>
      </c>
      <c r="E3791" s="49" t="s">
        <v>2986</v>
      </c>
      <c r="F3791" s="49" t="s">
        <v>2825</v>
      </c>
      <c r="G3791" s="49" t="s">
        <v>4891</v>
      </c>
      <c r="H3791" s="49" t="s">
        <v>973</v>
      </c>
      <c r="I3791" s="52">
        <v>45978.573935185203</v>
      </c>
      <c r="M3791" s="49" t="s">
        <v>13261</v>
      </c>
    </row>
    <row r="3792" spans="1:13" x14ac:dyDescent="0.35">
      <c r="A3792" s="49" t="s">
        <v>13262</v>
      </c>
      <c r="B3792" s="49" t="s">
        <v>13263</v>
      </c>
      <c r="C3792" s="49" t="s">
        <v>13264</v>
      </c>
      <c r="D3792" s="49" t="s">
        <v>1264</v>
      </c>
      <c r="E3792" s="49" t="s">
        <v>2986</v>
      </c>
      <c r="F3792" s="49" t="s">
        <v>2825</v>
      </c>
      <c r="G3792" s="49" t="s">
        <v>4891</v>
      </c>
      <c r="H3792" s="49" t="s">
        <v>2827</v>
      </c>
      <c r="I3792" s="52">
        <v>46055.696643518502</v>
      </c>
      <c r="M3792" s="49" t="s">
        <v>4892</v>
      </c>
    </row>
    <row r="3793" spans="1:13" x14ac:dyDescent="0.35">
      <c r="A3793" s="49" t="s">
        <v>13265</v>
      </c>
      <c r="C3793" s="49" t="s">
        <v>5240</v>
      </c>
      <c r="D3793" s="49" t="s">
        <v>1264</v>
      </c>
      <c r="E3793" s="49" t="s">
        <v>2785</v>
      </c>
      <c r="F3793" s="49" t="s">
        <v>2792</v>
      </c>
      <c r="G3793" s="49" t="s">
        <v>4891</v>
      </c>
      <c r="H3793" s="49" t="s">
        <v>3229</v>
      </c>
      <c r="I3793" s="52">
        <v>46092.547870370399</v>
      </c>
      <c r="M3793" s="49" t="s">
        <v>13266</v>
      </c>
    </row>
    <row r="3794" spans="1:13" x14ac:dyDescent="0.35">
      <c r="A3794" s="49" t="s">
        <v>13267</v>
      </c>
      <c r="C3794" s="49" t="s">
        <v>5240</v>
      </c>
      <c r="D3794" s="49" t="s">
        <v>1264</v>
      </c>
      <c r="E3794" s="49" t="s">
        <v>2785</v>
      </c>
      <c r="F3794" s="49" t="s">
        <v>2792</v>
      </c>
      <c r="G3794" s="49" t="s">
        <v>4891</v>
      </c>
      <c r="H3794" s="49" t="s">
        <v>3229</v>
      </c>
      <c r="I3794" s="52">
        <v>46092.558321759301</v>
      </c>
      <c r="M3794" s="49" t="s">
        <v>13268</v>
      </c>
    </row>
    <row r="3795" spans="1:13" x14ac:dyDescent="0.35">
      <c r="A3795" s="49" t="s">
        <v>13269</v>
      </c>
      <c r="B3795" s="49" t="s">
        <v>13270</v>
      </c>
      <c r="C3795" s="49" t="s">
        <v>6801</v>
      </c>
      <c r="D3795" s="49" t="s">
        <v>1264</v>
      </c>
      <c r="E3795" s="49" t="s">
        <v>2785</v>
      </c>
      <c r="F3795" s="49" t="s">
        <v>2786</v>
      </c>
      <c r="G3795" s="49" t="s">
        <v>4891</v>
      </c>
      <c r="H3795" s="49" t="s">
        <v>3717</v>
      </c>
      <c r="I3795" s="52">
        <v>46093.437118055597</v>
      </c>
      <c r="M3795" s="49" t="s">
        <v>6623</v>
      </c>
    </row>
    <row r="3796" spans="1:13" x14ac:dyDescent="0.35">
      <c r="A3796" s="49" t="s">
        <v>13271</v>
      </c>
      <c r="B3796" s="49" t="s">
        <v>13272</v>
      </c>
      <c r="C3796" s="49" t="s">
        <v>6801</v>
      </c>
      <c r="D3796" s="49" t="s">
        <v>1264</v>
      </c>
      <c r="E3796" s="49" t="s">
        <v>2785</v>
      </c>
      <c r="F3796" s="49" t="s">
        <v>2786</v>
      </c>
      <c r="G3796" s="49" t="s">
        <v>4891</v>
      </c>
      <c r="H3796" s="49" t="s">
        <v>3717</v>
      </c>
      <c r="I3796" s="52">
        <v>46093.443321759303</v>
      </c>
      <c r="M3796" s="49" t="s">
        <v>13273</v>
      </c>
    </row>
    <row r="3797" spans="1:13" x14ac:dyDescent="0.35">
      <c r="A3797" s="49" t="s">
        <v>13274</v>
      </c>
      <c r="B3797" s="49" t="s">
        <v>13275</v>
      </c>
      <c r="C3797" s="49" t="s">
        <v>6801</v>
      </c>
      <c r="D3797" s="49" t="s">
        <v>1264</v>
      </c>
      <c r="E3797" s="49" t="s">
        <v>2785</v>
      </c>
      <c r="F3797" s="49" t="s">
        <v>2786</v>
      </c>
      <c r="G3797" s="49" t="s">
        <v>4891</v>
      </c>
      <c r="H3797" s="49" t="s">
        <v>3717</v>
      </c>
      <c r="I3797" s="52">
        <v>46093.449363425898</v>
      </c>
      <c r="M3797" s="49" t="s">
        <v>13276</v>
      </c>
    </row>
    <row r="3798" spans="1:13" x14ac:dyDescent="0.35">
      <c r="A3798" s="49" t="s">
        <v>13277</v>
      </c>
      <c r="C3798" s="49" t="s">
        <v>13278</v>
      </c>
      <c r="D3798" s="49" t="s">
        <v>1264</v>
      </c>
      <c r="E3798" s="49" t="s">
        <v>2986</v>
      </c>
      <c r="F3798" s="49" t="s">
        <v>2825</v>
      </c>
      <c r="G3798" s="49" t="s">
        <v>4891</v>
      </c>
      <c r="H3798" s="49" t="s">
        <v>2827</v>
      </c>
      <c r="I3798" s="52">
        <v>46096.622719907398</v>
      </c>
      <c r="M3798" s="49" t="s">
        <v>3270</v>
      </c>
    </row>
    <row r="3799" spans="1:13" x14ac:dyDescent="0.35">
      <c r="A3799" s="49" t="s">
        <v>13279</v>
      </c>
      <c r="C3799" s="49" t="s">
        <v>13280</v>
      </c>
      <c r="D3799" s="49" t="s">
        <v>1264</v>
      </c>
      <c r="E3799" s="49" t="s">
        <v>2986</v>
      </c>
      <c r="F3799" s="49" t="s">
        <v>2825</v>
      </c>
      <c r="G3799" s="49" t="s">
        <v>4891</v>
      </c>
      <c r="H3799" s="49" t="s">
        <v>973</v>
      </c>
      <c r="I3799" s="52">
        <v>46096.643518518496</v>
      </c>
      <c r="M3799" s="49" t="s">
        <v>13281</v>
      </c>
    </row>
    <row r="3800" spans="1:13" x14ac:dyDescent="0.35">
      <c r="A3800" s="49" t="s">
        <v>13282</v>
      </c>
      <c r="C3800" s="49" t="s">
        <v>13280</v>
      </c>
      <c r="D3800" s="49" t="s">
        <v>1264</v>
      </c>
      <c r="E3800" s="49" t="s">
        <v>2986</v>
      </c>
      <c r="F3800" s="49" t="s">
        <v>2825</v>
      </c>
      <c r="G3800" s="49" t="s">
        <v>4891</v>
      </c>
      <c r="H3800" s="49" t="s">
        <v>973</v>
      </c>
      <c r="I3800" s="52">
        <v>46096.656446759298</v>
      </c>
      <c r="M3800" s="49" t="s">
        <v>13283</v>
      </c>
    </row>
    <row r="3801" spans="1:13" x14ac:dyDescent="0.35">
      <c r="A3801" s="49" t="s">
        <v>13284</v>
      </c>
      <c r="C3801" s="49" t="s">
        <v>5240</v>
      </c>
      <c r="D3801" s="49" t="s">
        <v>1264</v>
      </c>
      <c r="E3801" s="49" t="s">
        <v>2785</v>
      </c>
      <c r="F3801" s="49" t="s">
        <v>2792</v>
      </c>
      <c r="G3801" s="49" t="s">
        <v>4891</v>
      </c>
      <c r="H3801" s="49" t="s">
        <v>3207</v>
      </c>
      <c r="I3801" s="52">
        <v>46097.363946759302</v>
      </c>
      <c r="M3801" s="49" t="s">
        <v>13285</v>
      </c>
    </row>
    <row r="3802" spans="1:13" x14ac:dyDescent="0.35">
      <c r="A3802" s="49" t="s">
        <v>13286</v>
      </c>
      <c r="C3802" s="49" t="s">
        <v>5240</v>
      </c>
      <c r="D3802" s="49" t="s">
        <v>1264</v>
      </c>
      <c r="E3802" s="49" t="s">
        <v>2785</v>
      </c>
      <c r="F3802" s="49" t="s">
        <v>2792</v>
      </c>
      <c r="G3802" s="49" t="s">
        <v>4891</v>
      </c>
      <c r="H3802" s="49" t="s">
        <v>3207</v>
      </c>
      <c r="I3802" s="52">
        <v>46097.369652777801</v>
      </c>
      <c r="M3802" s="49" t="s">
        <v>13287</v>
      </c>
    </row>
    <row r="3803" spans="1:13" x14ac:dyDescent="0.35">
      <c r="A3803" s="49" t="s">
        <v>13288</v>
      </c>
      <c r="C3803" s="49" t="s">
        <v>13223</v>
      </c>
      <c r="D3803" s="49" t="s">
        <v>1264</v>
      </c>
      <c r="E3803" s="49" t="s">
        <v>2785</v>
      </c>
      <c r="F3803" s="49" t="s">
        <v>2786</v>
      </c>
      <c r="G3803" s="49" t="s">
        <v>4891</v>
      </c>
      <c r="H3803" s="49" t="s">
        <v>3207</v>
      </c>
      <c r="I3803" s="52">
        <v>46097.373749999999</v>
      </c>
      <c r="M3803" s="49" t="s">
        <v>13289</v>
      </c>
    </row>
    <row r="3804" spans="1:13" x14ac:dyDescent="0.35">
      <c r="A3804" s="49" t="s">
        <v>13290</v>
      </c>
      <c r="C3804" s="49" t="s">
        <v>6804</v>
      </c>
      <c r="D3804" s="49" t="s">
        <v>1264</v>
      </c>
      <c r="E3804" s="49" t="s">
        <v>2785</v>
      </c>
      <c r="F3804" s="49" t="s">
        <v>2792</v>
      </c>
      <c r="G3804" s="49" t="s">
        <v>4891</v>
      </c>
      <c r="H3804" s="49" t="s">
        <v>864</v>
      </c>
      <c r="I3804" s="52">
        <v>46097.4273958333</v>
      </c>
      <c r="M3804" s="49" t="s">
        <v>13291</v>
      </c>
    </row>
    <row r="3805" spans="1:13" x14ac:dyDescent="0.35">
      <c r="A3805" s="49" t="s">
        <v>13292</v>
      </c>
      <c r="C3805" s="49" t="s">
        <v>6792</v>
      </c>
      <c r="D3805" s="49" t="s">
        <v>1264</v>
      </c>
      <c r="E3805" s="49" t="s">
        <v>2785</v>
      </c>
      <c r="F3805" s="49" t="s">
        <v>2792</v>
      </c>
      <c r="G3805" s="49" t="s">
        <v>4891</v>
      </c>
      <c r="H3805" s="49" t="s">
        <v>864</v>
      </c>
      <c r="I3805" s="52">
        <v>46097.433541666702</v>
      </c>
      <c r="M3805" s="49" t="s">
        <v>13293</v>
      </c>
    </row>
    <row r="3806" spans="1:13" x14ac:dyDescent="0.35">
      <c r="A3806" s="49" t="s">
        <v>13294</v>
      </c>
      <c r="C3806" s="49" t="s">
        <v>12406</v>
      </c>
      <c r="D3806" s="49" t="s">
        <v>1264</v>
      </c>
      <c r="E3806" s="49" t="s">
        <v>2986</v>
      </c>
      <c r="F3806" s="49" t="s">
        <v>2825</v>
      </c>
      <c r="G3806" s="49" t="s">
        <v>4891</v>
      </c>
      <c r="H3806" s="49" t="s">
        <v>2827</v>
      </c>
      <c r="I3806" s="52">
        <v>46097.465879629599</v>
      </c>
      <c r="M3806" s="49" t="s">
        <v>13295</v>
      </c>
    </row>
    <row r="3807" spans="1:13" x14ac:dyDescent="0.35">
      <c r="A3807" s="49" t="s">
        <v>13296</v>
      </c>
      <c r="C3807" s="49" t="s">
        <v>12406</v>
      </c>
      <c r="D3807" s="49" t="s">
        <v>1264</v>
      </c>
      <c r="E3807" s="49" t="s">
        <v>2986</v>
      </c>
      <c r="F3807" s="49" t="s">
        <v>2825</v>
      </c>
      <c r="G3807" s="49" t="s">
        <v>4891</v>
      </c>
      <c r="H3807" s="49" t="s">
        <v>2827</v>
      </c>
      <c r="I3807" s="52">
        <v>46097.491122685198</v>
      </c>
      <c r="M3807" s="49" t="s">
        <v>13297</v>
      </c>
    </row>
    <row r="3808" spans="1:13" x14ac:dyDescent="0.35">
      <c r="A3808" s="49" t="s">
        <v>13298</v>
      </c>
      <c r="C3808" s="49" t="s">
        <v>13113</v>
      </c>
      <c r="D3808" s="49" t="s">
        <v>1264</v>
      </c>
      <c r="E3808" s="49" t="s">
        <v>2785</v>
      </c>
      <c r="F3808" s="49" t="s">
        <v>2786</v>
      </c>
      <c r="G3808" s="49" t="s">
        <v>4891</v>
      </c>
      <c r="H3808" s="49" t="s">
        <v>980</v>
      </c>
      <c r="I3808" s="52">
        <v>46098.448194444398</v>
      </c>
      <c r="M3808" s="49" t="s">
        <v>13299</v>
      </c>
    </row>
    <row r="3809" spans="1:13" x14ac:dyDescent="0.35">
      <c r="A3809" s="49" t="s">
        <v>13300</v>
      </c>
      <c r="B3809" s="49" t="s">
        <v>13301</v>
      </c>
      <c r="C3809" s="49" t="s">
        <v>13302</v>
      </c>
      <c r="D3809" s="49" t="s">
        <v>1264</v>
      </c>
      <c r="E3809" s="49" t="s">
        <v>2785</v>
      </c>
      <c r="F3809" s="49" t="s">
        <v>2805</v>
      </c>
      <c r="G3809" s="49" t="s">
        <v>4891</v>
      </c>
      <c r="H3809" s="49" t="s">
        <v>4225</v>
      </c>
      <c r="I3809" s="52">
        <v>46099.493750000001</v>
      </c>
      <c r="M3809" s="49" t="s">
        <v>13303</v>
      </c>
    </row>
    <row r="3810" spans="1:13" x14ac:dyDescent="0.35">
      <c r="A3810" s="49" t="s">
        <v>13304</v>
      </c>
      <c r="B3810" s="49" t="s">
        <v>13305</v>
      </c>
      <c r="C3810" s="49" t="s">
        <v>13302</v>
      </c>
      <c r="D3810" s="49" t="s">
        <v>1264</v>
      </c>
      <c r="E3810" s="49" t="s">
        <v>2785</v>
      </c>
      <c r="F3810" s="49" t="s">
        <v>2805</v>
      </c>
      <c r="G3810" s="49" t="s">
        <v>4891</v>
      </c>
      <c r="H3810" s="49" t="s">
        <v>4225</v>
      </c>
      <c r="I3810" s="52">
        <v>46099.501944444397</v>
      </c>
      <c r="M3810" s="49" t="s">
        <v>13303</v>
      </c>
    </row>
    <row r="3811" spans="1:13" x14ac:dyDescent="0.35">
      <c r="A3811" s="49" t="s">
        <v>13306</v>
      </c>
      <c r="B3811" s="49" t="s">
        <v>13307</v>
      </c>
      <c r="C3811" s="49" t="s">
        <v>13308</v>
      </c>
      <c r="D3811" s="49" t="s">
        <v>1264</v>
      </c>
      <c r="E3811" s="49" t="s">
        <v>2785</v>
      </c>
      <c r="F3811" s="49" t="s">
        <v>2805</v>
      </c>
      <c r="G3811" s="49" t="s">
        <v>4891</v>
      </c>
      <c r="H3811" s="49" t="s">
        <v>4225</v>
      </c>
      <c r="I3811" s="52">
        <v>46099.509722222203</v>
      </c>
      <c r="M3811" s="49" t="s">
        <v>13303</v>
      </c>
    </row>
    <row r="3812" spans="1:13" x14ac:dyDescent="0.35">
      <c r="A3812" s="49" t="s">
        <v>13309</v>
      </c>
      <c r="B3812" s="49" t="s">
        <v>13310</v>
      </c>
      <c r="C3812" s="49" t="s">
        <v>13302</v>
      </c>
      <c r="D3812" s="49" t="s">
        <v>1264</v>
      </c>
      <c r="E3812" s="49" t="s">
        <v>2785</v>
      </c>
      <c r="F3812" s="49" t="s">
        <v>2805</v>
      </c>
      <c r="G3812" s="49" t="s">
        <v>4891</v>
      </c>
      <c r="H3812" s="49" t="s">
        <v>4225</v>
      </c>
      <c r="I3812" s="52">
        <v>46099.511944444399</v>
      </c>
      <c r="M3812" s="49" t="s">
        <v>13303</v>
      </c>
    </row>
    <row r="3813" spans="1:13" x14ac:dyDescent="0.35">
      <c r="A3813" s="49" t="s">
        <v>13311</v>
      </c>
      <c r="B3813" s="49" t="s">
        <v>13312</v>
      </c>
      <c r="C3813" s="49" t="s">
        <v>13302</v>
      </c>
      <c r="D3813" s="49" t="s">
        <v>1264</v>
      </c>
      <c r="E3813" s="49" t="s">
        <v>2785</v>
      </c>
      <c r="F3813" s="49" t="s">
        <v>2805</v>
      </c>
      <c r="G3813" s="49" t="s">
        <v>4891</v>
      </c>
      <c r="H3813" s="49" t="s">
        <v>4225</v>
      </c>
      <c r="I3813" s="52">
        <v>46099.5144560185</v>
      </c>
      <c r="M3813" s="49" t="s">
        <v>13303</v>
      </c>
    </row>
    <row r="3814" spans="1:13" x14ac:dyDescent="0.35">
      <c r="A3814" s="49" t="s">
        <v>13313</v>
      </c>
      <c r="B3814" s="49" t="s">
        <v>13314</v>
      </c>
      <c r="C3814" s="49" t="s">
        <v>13302</v>
      </c>
      <c r="D3814" s="49" t="s">
        <v>1264</v>
      </c>
      <c r="E3814" s="49" t="s">
        <v>2785</v>
      </c>
      <c r="F3814" s="49" t="s">
        <v>2805</v>
      </c>
      <c r="G3814" s="49" t="s">
        <v>4891</v>
      </c>
      <c r="H3814" s="49" t="s">
        <v>4225</v>
      </c>
      <c r="I3814" s="52">
        <v>46100.567974537</v>
      </c>
      <c r="M3814" s="49" t="s">
        <v>13303</v>
      </c>
    </row>
    <row r="3815" spans="1:13" x14ac:dyDescent="0.35">
      <c r="A3815" s="49" t="s">
        <v>13315</v>
      </c>
      <c r="B3815" s="49" t="s">
        <v>13316</v>
      </c>
      <c r="C3815" s="49" t="s">
        <v>13302</v>
      </c>
      <c r="D3815" s="49" t="s">
        <v>1264</v>
      </c>
      <c r="E3815" s="49" t="s">
        <v>2785</v>
      </c>
      <c r="F3815" s="49" t="s">
        <v>2805</v>
      </c>
      <c r="G3815" s="49" t="s">
        <v>4891</v>
      </c>
      <c r="H3815" s="49" t="s">
        <v>4225</v>
      </c>
      <c r="I3815" s="52">
        <v>46100.570636574099</v>
      </c>
      <c r="M3815" s="49" t="s">
        <v>13303</v>
      </c>
    </row>
    <row r="3816" spans="1:13" x14ac:dyDescent="0.35">
      <c r="A3816" s="49" t="s">
        <v>13317</v>
      </c>
      <c r="B3816" s="49" t="s">
        <v>13318</v>
      </c>
      <c r="C3816" s="49" t="s">
        <v>13302</v>
      </c>
      <c r="D3816" s="49" t="s">
        <v>1264</v>
      </c>
      <c r="E3816" s="49" t="s">
        <v>2785</v>
      </c>
      <c r="F3816" s="49" t="s">
        <v>2805</v>
      </c>
      <c r="G3816" s="49" t="s">
        <v>4891</v>
      </c>
      <c r="H3816" s="49" t="s">
        <v>4225</v>
      </c>
      <c r="I3816" s="52">
        <v>46100.572812500002</v>
      </c>
      <c r="M3816" s="49" t="s">
        <v>13303</v>
      </c>
    </row>
    <row r="3817" spans="1:13" x14ac:dyDescent="0.35">
      <c r="A3817" s="49" t="s">
        <v>13319</v>
      </c>
      <c r="B3817" s="49" t="s">
        <v>13320</v>
      </c>
      <c r="C3817" s="49" t="s">
        <v>13302</v>
      </c>
      <c r="D3817" s="49" t="s">
        <v>1264</v>
      </c>
      <c r="E3817" s="49" t="s">
        <v>2785</v>
      </c>
      <c r="F3817" s="49" t="s">
        <v>2805</v>
      </c>
      <c r="G3817" s="49" t="s">
        <v>4891</v>
      </c>
      <c r="H3817" s="49" t="s">
        <v>4225</v>
      </c>
      <c r="I3817" s="52">
        <v>46100.574641203697</v>
      </c>
      <c r="M3817" s="49" t="s">
        <v>13303</v>
      </c>
    </row>
    <row r="3818" spans="1:13" x14ac:dyDescent="0.35">
      <c r="A3818" s="49" t="s">
        <v>13321</v>
      </c>
      <c r="B3818" s="49" t="s">
        <v>13322</v>
      </c>
      <c r="C3818" s="49" t="s">
        <v>13302</v>
      </c>
      <c r="D3818" s="49" t="s">
        <v>1264</v>
      </c>
      <c r="E3818" s="49" t="s">
        <v>2785</v>
      </c>
      <c r="F3818" s="49" t="s">
        <v>2805</v>
      </c>
      <c r="G3818" s="49" t="s">
        <v>4891</v>
      </c>
      <c r="H3818" s="49" t="s">
        <v>4225</v>
      </c>
      <c r="I3818" s="52">
        <v>46100.577164351896</v>
      </c>
      <c r="M3818" s="49" t="s">
        <v>13303</v>
      </c>
    </row>
    <row r="3819" spans="1:13" x14ac:dyDescent="0.35">
      <c r="A3819" s="49" t="s">
        <v>13323</v>
      </c>
      <c r="B3819" s="49" t="s">
        <v>13324</v>
      </c>
      <c r="C3819" s="49" t="s">
        <v>13302</v>
      </c>
      <c r="D3819" s="49" t="s">
        <v>1264</v>
      </c>
      <c r="E3819" s="49" t="s">
        <v>2785</v>
      </c>
      <c r="F3819" s="49" t="s">
        <v>2805</v>
      </c>
      <c r="G3819" s="49" t="s">
        <v>4891</v>
      </c>
      <c r="H3819" s="49" t="s">
        <v>4225</v>
      </c>
      <c r="I3819" s="52">
        <v>46100.5793865741</v>
      </c>
      <c r="M3819" s="49" t="s">
        <v>13303</v>
      </c>
    </row>
    <row r="3820" spans="1:13" x14ac:dyDescent="0.35">
      <c r="A3820" s="49" t="s">
        <v>13325</v>
      </c>
      <c r="B3820" s="49" t="s">
        <v>13326</v>
      </c>
      <c r="C3820" s="49" t="s">
        <v>13302</v>
      </c>
      <c r="D3820" s="49" t="s">
        <v>1264</v>
      </c>
      <c r="E3820" s="49" t="s">
        <v>2785</v>
      </c>
      <c r="F3820" s="49" t="s">
        <v>2805</v>
      </c>
      <c r="G3820" s="49" t="s">
        <v>4891</v>
      </c>
      <c r="H3820" s="49" t="s">
        <v>4225</v>
      </c>
      <c r="I3820" s="52">
        <v>46100.581990740699</v>
      </c>
      <c r="M3820" s="49" t="s">
        <v>13303</v>
      </c>
    </row>
    <row r="3821" spans="1:13" x14ac:dyDescent="0.35">
      <c r="A3821" s="49" t="s">
        <v>13327</v>
      </c>
      <c r="C3821" s="49" t="s">
        <v>4962</v>
      </c>
      <c r="D3821" s="49" t="s">
        <v>1264</v>
      </c>
      <c r="E3821" s="49" t="s">
        <v>2986</v>
      </c>
      <c r="F3821" s="49" t="s">
        <v>2825</v>
      </c>
      <c r="G3821" s="49" t="s">
        <v>4891</v>
      </c>
      <c r="H3821" s="49" t="s">
        <v>2827</v>
      </c>
      <c r="I3821" s="52">
        <v>46055.540891203702</v>
      </c>
      <c r="M3821" s="49" t="s">
        <v>13328</v>
      </c>
    </row>
    <row r="3822" spans="1:13" x14ac:dyDescent="0.35">
      <c r="A3822" s="49" t="s">
        <v>13329</v>
      </c>
      <c r="B3822" s="49" t="s">
        <v>13330</v>
      </c>
      <c r="C3822" s="49" t="s">
        <v>5240</v>
      </c>
      <c r="D3822" s="49" t="s">
        <v>1264</v>
      </c>
      <c r="E3822" s="49" t="s">
        <v>2785</v>
      </c>
      <c r="F3822" s="49" t="s">
        <v>2792</v>
      </c>
      <c r="G3822" s="49" t="s">
        <v>4891</v>
      </c>
      <c r="H3822" s="49" t="s">
        <v>864</v>
      </c>
      <c r="I3822" s="52">
        <v>46108.482685185198</v>
      </c>
      <c r="M3822" s="49" t="s">
        <v>13331</v>
      </c>
    </row>
    <row r="3823" spans="1:13" x14ac:dyDescent="0.35">
      <c r="A3823" s="49" t="s">
        <v>13332</v>
      </c>
      <c r="B3823" s="49" t="s">
        <v>13333</v>
      </c>
      <c r="C3823" s="49" t="s">
        <v>5240</v>
      </c>
      <c r="D3823" s="49" t="s">
        <v>1264</v>
      </c>
      <c r="E3823" s="49" t="s">
        <v>2785</v>
      </c>
      <c r="F3823" s="49" t="s">
        <v>2792</v>
      </c>
      <c r="G3823" s="49" t="s">
        <v>4891</v>
      </c>
      <c r="H3823" s="49" t="s">
        <v>864</v>
      </c>
      <c r="I3823" s="52">
        <v>46108.488576388903</v>
      </c>
      <c r="M3823" s="49" t="s">
        <v>12978</v>
      </c>
    </row>
    <row r="3824" spans="1:13" x14ac:dyDescent="0.35">
      <c r="A3824" s="49" t="s">
        <v>13334</v>
      </c>
      <c r="B3824" s="49" t="s">
        <v>13335</v>
      </c>
      <c r="C3824" s="49" t="s">
        <v>5240</v>
      </c>
      <c r="D3824" s="49" t="s">
        <v>1264</v>
      </c>
      <c r="E3824" s="49" t="s">
        <v>2785</v>
      </c>
      <c r="F3824" s="49" t="s">
        <v>2792</v>
      </c>
      <c r="G3824" s="49" t="s">
        <v>4891</v>
      </c>
      <c r="H3824" s="49" t="s">
        <v>864</v>
      </c>
      <c r="I3824" s="52">
        <v>46108.494791666701</v>
      </c>
      <c r="M3824" s="49" t="s">
        <v>13336</v>
      </c>
    </row>
    <row r="3825" spans="1:13" x14ac:dyDescent="0.35">
      <c r="A3825" s="49" t="s">
        <v>13337</v>
      </c>
      <c r="B3825" s="49" t="s">
        <v>13338</v>
      </c>
      <c r="C3825" s="49" t="s">
        <v>5240</v>
      </c>
      <c r="D3825" s="49" t="s">
        <v>1264</v>
      </c>
      <c r="E3825" s="49" t="s">
        <v>2785</v>
      </c>
      <c r="F3825" s="49" t="s">
        <v>2792</v>
      </c>
      <c r="G3825" s="49" t="s">
        <v>4891</v>
      </c>
      <c r="H3825" s="49" t="s">
        <v>864</v>
      </c>
      <c r="I3825" s="52">
        <v>46108.501898148097</v>
      </c>
      <c r="M3825" s="49" t="s">
        <v>13339</v>
      </c>
    </row>
    <row r="3826" spans="1:13" x14ac:dyDescent="0.35">
      <c r="A3826" s="49" t="s">
        <v>13340</v>
      </c>
      <c r="C3826" s="49" t="s">
        <v>6702</v>
      </c>
      <c r="D3826" s="49" t="s">
        <v>1264</v>
      </c>
      <c r="E3826" s="49" t="s">
        <v>2873</v>
      </c>
      <c r="G3826" s="49" t="s">
        <v>4891</v>
      </c>
      <c r="H3826" s="49" t="s">
        <v>3207</v>
      </c>
      <c r="I3826" s="52">
        <v>46111.584606481498</v>
      </c>
      <c r="M3826" s="49" t="s">
        <v>13341</v>
      </c>
    </row>
    <row r="3827" spans="1:13" x14ac:dyDescent="0.35">
      <c r="A3827" s="49" t="s">
        <v>13342</v>
      </c>
      <c r="C3827" s="49" t="s">
        <v>13343</v>
      </c>
      <c r="D3827" s="49" t="s">
        <v>1264</v>
      </c>
      <c r="E3827" s="49" t="s">
        <v>2873</v>
      </c>
      <c r="F3827" s="49" t="s">
        <v>2786</v>
      </c>
      <c r="G3827" s="49" t="s">
        <v>4891</v>
      </c>
      <c r="H3827" s="49" t="s">
        <v>3207</v>
      </c>
      <c r="I3827" s="52">
        <v>46111.727546296301</v>
      </c>
      <c r="M3827" s="49" t="s">
        <v>13344</v>
      </c>
    </row>
    <row r="3828" spans="1:13" x14ac:dyDescent="0.35">
      <c r="A3828" s="49" t="s">
        <v>13345</v>
      </c>
      <c r="B3828" s="49" t="s">
        <v>13346</v>
      </c>
      <c r="C3828" s="49" t="s">
        <v>13347</v>
      </c>
      <c r="D3828" s="49" t="s">
        <v>1264</v>
      </c>
      <c r="E3828" s="49" t="s">
        <v>2986</v>
      </c>
      <c r="F3828" s="49" t="s">
        <v>2825</v>
      </c>
      <c r="G3828" s="49" t="s">
        <v>4891</v>
      </c>
      <c r="H3828" s="49" t="s">
        <v>2827</v>
      </c>
      <c r="I3828" s="52">
        <v>46112.510625000003</v>
      </c>
    </row>
    <row r="3829" spans="1:13" x14ac:dyDescent="0.35">
      <c r="A3829" s="49" t="s">
        <v>13348</v>
      </c>
      <c r="C3829" s="49" t="s">
        <v>6737</v>
      </c>
      <c r="D3829" s="49" t="s">
        <v>1264</v>
      </c>
      <c r="E3829" s="49" t="s">
        <v>2873</v>
      </c>
      <c r="F3829" s="49" t="s">
        <v>2786</v>
      </c>
      <c r="G3829" s="49" t="s">
        <v>4891</v>
      </c>
      <c r="H3829" s="49" t="s">
        <v>3207</v>
      </c>
      <c r="I3829" s="52">
        <v>46112.631874999999</v>
      </c>
      <c r="M3829" s="49" t="s">
        <v>13349</v>
      </c>
    </row>
    <row r="3830" spans="1:13" x14ac:dyDescent="0.35">
      <c r="A3830" s="49" t="s">
        <v>13350</v>
      </c>
      <c r="C3830" s="49" t="s">
        <v>13351</v>
      </c>
      <c r="D3830" s="49" t="s">
        <v>1264</v>
      </c>
      <c r="E3830" s="49" t="s">
        <v>2873</v>
      </c>
      <c r="F3830" s="49" t="s">
        <v>2792</v>
      </c>
      <c r="G3830" s="49" t="s">
        <v>4891</v>
      </c>
      <c r="H3830" s="49" t="s">
        <v>2806</v>
      </c>
      <c r="I3830" s="52">
        <v>46112.648217592599</v>
      </c>
      <c r="M3830" s="49" t="s">
        <v>13352</v>
      </c>
    </row>
    <row r="3831" spans="1:13" x14ac:dyDescent="0.35">
      <c r="A3831" s="49" t="s">
        <v>13353</v>
      </c>
      <c r="C3831" s="49" t="s">
        <v>13354</v>
      </c>
      <c r="D3831" s="49" t="s">
        <v>1264</v>
      </c>
      <c r="E3831" s="49" t="s">
        <v>2814</v>
      </c>
      <c r="F3831" s="49" t="s">
        <v>2900</v>
      </c>
      <c r="G3831" s="49" t="s">
        <v>4891</v>
      </c>
      <c r="H3831" s="49" t="s">
        <v>835</v>
      </c>
      <c r="I3831" s="52">
        <v>46113.515682870398</v>
      </c>
      <c r="M3831" s="49" t="s">
        <v>13355</v>
      </c>
    </row>
    <row r="3832" spans="1:13" x14ac:dyDescent="0.35">
      <c r="A3832" s="49" t="s">
        <v>13356</v>
      </c>
      <c r="C3832" s="49" t="s">
        <v>4480</v>
      </c>
      <c r="D3832" s="49" t="s">
        <v>1264</v>
      </c>
      <c r="E3832" s="49" t="s">
        <v>2785</v>
      </c>
      <c r="F3832" s="49" t="s">
        <v>2792</v>
      </c>
      <c r="G3832" s="49" t="s">
        <v>4891</v>
      </c>
      <c r="H3832" s="49" t="s">
        <v>864</v>
      </c>
      <c r="I3832" s="52">
        <v>46113.618194444403</v>
      </c>
      <c r="M3832" s="49" t="s">
        <v>13357</v>
      </c>
    </row>
    <row r="3833" spans="1:13" x14ac:dyDescent="0.35">
      <c r="A3833" s="49" t="s">
        <v>13358</v>
      </c>
      <c r="B3833" s="49" t="s">
        <v>13359</v>
      </c>
      <c r="C3833" s="49" t="s">
        <v>13360</v>
      </c>
      <c r="D3833" s="49" t="s">
        <v>1264</v>
      </c>
      <c r="E3833" s="49" t="s">
        <v>2785</v>
      </c>
      <c r="F3833" s="49" t="s">
        <v>2792</v>
      </c>
      <c r="G3833" s="49" t="s">
        <v>4891</v>
      </c>
      <c r="H3833" s="49" t="s">
        <v>835</v>
      </c>
      <c r="I3833" s="52">
        <v>46113.644247685203</v>
      </c>
      <c r="M3833" s="49" t="s">
        <v>13361</v>
      </c>
    </row>
    <row r="3834" spans="1:13" x14ac:dyDescent="0.35">
      <c r="A3834" s="49" t="s">
        <v>13362</v>
      </c>
      <c r="B3834" s="49" t="s">
        <v>13363</v>
      </c>
      <c r="C3834" s="49" t="s">
        <v>13360</v>
      </c>
      <c r="D3834" s="49" t="s">
        <v>1264</v>
      </c>
      <c r="E3834" s="49" t="s">
        <v>2785</v>
      </c>
      <c r="F3834" s="49" t="s">
        <v>2792</v>
      </c>
      <c r="G3834" s="49" t="s">
        <v>4891</v>
      </c>
      <c r="H3834" s="49" t="s">
        <v>980</v>
      </c>
      <c r="I3834" s="52">
        <v>46113.658622685201</v>
      </c>
      <c r="M3834" s="49" t="s">
        <v>13364</v>
      </c>
    </row>
    <row r="3835" spans="1:13" x14ac:dyDescent="0.35">
      <c r="A3835" s="49" t="s">
        <v>13365</v>
      </c>
      <c r="C3835" s="49" t="s">
        <v>4510</v>
      </c>
      <c r="D3835" s="49" t="s">
        <v>1264</v>
      </c>
      <c r="E3835" s="49" t="s">
        <v>2785</v>
      </c>
      <c r="F3835" s="49" t="s">
        <v>2792</v>
      </c>
      <c r="G3835" s="49" t="s">
        <v>4891</v>
      </c>
      <c r="H3835" s="49" t="s">
        <v>835</v>
      </c>
      <c r="I3835" s="52">
        <v>46113.771377314799</v>
      </c>
      <c r="M3835" s="49" t="s">
        <v>13366</v>
      </c>
    </row>
    <row r="3836" spans="1:13" x14ac:dyDescent="0.35">
      <c r="A3836" s="49" t="s">
        <v>13367</v>
      </c>
      <c r="C3836" s="49" t="s">
        <v>4480</v>
      </c>
      <c r="D3836" s="49" t="s">
        <v>1264</v>
      </c>
      <c r="E3836" s="49" t="s">
        <v>2785</v>
      </c>
      <c r="F3836" s="49" t="s">
        <v>2792</v>
      </c>
      <c r="G3836" s="49" t="s">
        <v>4891</v>
      </c>
      <c r="H3836" s="49" t="s">
        <v>835</v>
      </c>
      <c r="I3836" s="52">
        <v>46113.879236111097</v>
      </c>
      <c r="M3836" s="49" t="s">
        <v>13368</v>
      </c>
    </row>
    <row r="3837" spans="1:13" x14ac:dyDescent="0.35">
      <c r="A3837" s="49" t="s">
        <v>13369</v>
      </c>
      <c r="C3837" s="49" t="s">
        <v>4480</v>
      </c>
      <c r="D3837" s="49" t="s">
        <v>1264</v>
      </c>
      <c r="E3837" s="49" t="s">
        <v>2785</v>
      </c>
      <c r="F3837" s="49" t="s">
        <v>2786</v>
      </c>
      <c r="G3837" s="49" t="s">
        <v>4891</v>
      </c>
      <c r="H3837" s="49" t="s">
        <v>4225</v>
      </c>
      <c r="I3837" s="52">
        <v>46113.949849536999</v>
      </c>
      <c r="M3837" s="49" t="s">
        <v>13370</v>
      </c>
    </row>
    <row r="3838" spans="1:13" x14ac:dyDescent="0.35">
      <c r="A3838" s="49" t="s">
        <v>13371</v>
      </c>
      <c r="C3838" s="49" t="s">
        <v>4646</v>
      </c>
      <c r="D3838" s="49" t="s">
        <v>1264</v>
      </c>
      <c r="E3838" s="49" t="s">
        <v>2814</v>
      </c>
      <c r="F3838" s="49" t="s">
        <v>2825</v>
      </c>
      <c r="G3838" s="49" t="s">
        <v>4891</v>
      </c>
      <c r="H3838" s="49" t="s">
        <v>2827</v>
      </c>
      <c r="I3838" s="52">
        <v>46114.516412037003</v>
      </c>
      <c r="M3838" s="49" t="s">
        <v>13372</v>
      </c>
    </row>
    <row r="3839" spans="1:13" x14ac:dyDescent="0.35">
      <c r="A3839" s="49" t="s">
        <v>13373</v>
      </c>
      <c r="C3839" s="49" t="s">
        <v>13374</v>
      </c>
      <c r="D3839" s="49" t="s">
        <v>1264</v>
      </c>
      <c r="E3839" s="49" t="s">
        <v>2986</v>
      </c>
      <c r="F3839" s="49" t="s">
        <v>2825</v>
      </c>
      <c r="G3839" s="49" t="s">
        <v>4891</v>
      </c>
      <c r="H3839" s="49" t="s">
        <v>2827</v>
      </c>
      <c r="I3839" s="52">
        <v>46114.842557870397</v>
      </c>
      <c r="M3839" s="49" t="s">
        <v>13375</v>
      </c>
    </row>
    <row r="3840" spans="1:13" x14ac:dyDescent="0.35">
      <c r="A3840" s="49" t="s">
        <v>13376</v>
      </c>
      <c r="C3840" s="49" t="s">
        <v>13374</v>
      </c>
      <c r="D3840" s="49" t="s">
        <v>1264</v>
      </c>
      <c r="E3840" s="49" t="s">
        <v>2986</v>
      </c>
      <c r="F3840" s="49" t="s">
        <v>2825</v>
      </c>
      <c r="G3840" s="49" t="s">
        <v>4891</v>
      </c>
      <c r="H3840" s="49" t="s">
        <v>2827</v>
      </c>
      <c r="I3840" s="52">
        <v>46114.851550925901</v>
      </c>
      <c r="M3840" s="49" t="s">
        <v>13377</v>
      </c>
    </row>
    <row r="3841" spans="1:13" x14ac:dyDescent="0.35">
      <c r="A3841" s="49" t="s">
        <v>13378</v>
      </c>
      <c r="C3841" s="49" t="s">
        <v>13095</v>
      </c>
      <c r="D3841" s="49" t="s">
        <v>1264</v>
      </c>
      <c r="E3841" s="49" t="s">
        <v>2785</v>
      </c>
      <c r="F3841" s="49" t="s">
        <v>2786</v>
      </c>
      <c r="G3841" s="49" t="s">
        <v>4891</v>
      </c>
      <c r="H3841" s="49" t="s">
        <v>980</v>
      </c>
      <c r="I3841" s="52">
        <v>46115.412013888897</v>
      </c>
      <c r="M3841" s="49" t="s">
        <v>13379</v>
      </c>
    </row>
    <row r="3842" spans="1:13" x14ac:dyDescent="0.35">
      <c r="A3842" s="49" t="s">
        <v>13380</v>
      </c>
      <c r="B3842" s="49" t="s">
        <v>13381</v>
      </c>
      <c r="C3842" s="49" t="s">
        <v>13360</v>
      </c>
      <c r="D3842" s="49" t="s">
        <v>1264</v>
      </c>
      <c r="E3842" s="49" t="s">
        <v>2785</v>
      </c>
      <c r="F3842" s="49" t="s">
        <v>2792</v>
      </c>
      <c r="G3842" s="49" t="s">
        <v>4891</v>
      </c>
      <c r="H3842" s="49" t="s">
        <v>857</v>
      </c>
      <c r="I3842" s="52">
        <v>46115.429050925901</v>
      </c>
      <c r="M3842" s="49" t="s">
        <v>13382</v>
      </c>
    </row>
    <row r="3843" spans="1:13" x14ac:dyDescent="0.35">
      <c r="A3843" s="49" t="s">
        <v>13383</v>
      </c>
      <c r="C3843" s="49" t="s">
        <v>13384</v>
      </c>
      <c r="D3843" s="49" t="s">
        <v>1264</v>
      </c>
      <c r="E3843" s="49" t="s">
        <v>2785</v>
      </c>
      <c r="F3843" s="49" t="s">
        <v>2786</v>
      </c>
      <c r="G3843" s="49" t="s">
        <v>4891</v>
      </c>
      <c r="H3843" s="49" t="s">
        <v>980</v>
      </c>
      <c r="I3843" s="52">
        <v>46115.431851851798</v>
      </c>
      <c r="M3843" s="49" t="s">
        <v>13385</v>
      </c>
    </row>
    <row r="3844" spans="1:13" x14ac:dyDescent="0.35">
      <c r="A3844" s="49" t="s">
        <v>13386</v>
      </c>
      <c r="C3844" s="49" t="s">
        <v>12600</v>
      </c>
      <c r="D3844" s="49" t="s">
        <v>1264</v>
      </c>
      <c r="E3844" s="49" t="s">
        <v>2785</v>
      </c>
      <c r="F3844" s="49" t="s">
        <v>2786</v>
      </c>
      <c r="G3844" s="49" t="s">
        <v>4891</v>
      </c>
      <c r="H3844" s="49" t="s">
        <v>980</v>
      </c>
      <c r="I3844" s="52">
        <v>46115.440949074102</v>
      </c>
      <c r="M3844" s="49" t="s">
        <v>13387</v>
      </c>
    </row>
    <row r="3845" spans="1:13" x14ac:dyDescent="0.35">
      <c r="A3845" s="49" t="s">
        <v>13388</v>
      </c>
      <c r="C3845" s="49" t="s">
        <v>13116</v>
      </c>
      <c r="D3845" s="49" t="s">
        <v>1264</v>
      </c>
      <c r="E3845" s="49" t="s">
        <v>2785</v>
      </c>
      <c r="F3845" s="49" t="s">
        <v>2786</v>
      </c>
      <c r="G3845" s="49" t="s">
        <v>4891</v>
      </c>
      <c r="H3845" s="49" t="s">
        <v>980</v>
      </c>
      <c r="I3845" s="52">
        <v>46115.467557870397</v>
      </c>
      <c r="M3845" s="49" t="s">
        <v>13389</v>
      </c>
    </row>
    <row r="3846" spans="1:13" x14ac:dyDescent="0.35">
      <c r="A3846" s="49" t="s">
        <v>13390</v>
      </c>
      <c r="C3846" s="49" t="s">
        <v>13391</v>
      </c>
      <c r="D3846" s="49" t="s">
        <v>1264</v>
      </c>
      <c r="E3846" s="49" t="s">
        <v>2785</v>
      </c>
      <c r="F3846" s="49" t="s">
        <v>2792</v>
      </c>
      <c r="G3846" s="49" t="s">
        <v>4891</v>
      </c>
      <c r="H3846" s="49" t="s">
        <v>980</v>
      </c>
      <c r="I3846" s="52">
        <v>46115.4902546296</v>
      </c>
      <c r="M3846" s="49" t="s">
        <v>13392</v>
      </c>
    </row>
    <row r="3847" spans="1:13" x14ac:dyDescent="0.35">
      <c r="A3847" s="49" t="s">
        <v>13393</v>
      </c>
      <c r="C3847" s="49" t="s">
        <v>13394</v>
      </c>
      <c r="D3847" s="49" t="s">
        <v>1264</v>
      </c>
      <c r="E3847" s="49" t="s">
        <v>2986</v>
      </c>
      <c r="F3847" s="49" t="s">
        <v>2825</v>
      </c>
      <c r="G3847" s="49" t="s">
        <v>4891</v>
      </c>
      <c r="H3847" s="49" t="s">
        <v>2827</v>
      </c>
      <c r="I3847" s="52">
        <v>46115.546342592599</v>
      </c>
      <c r="M3847" s="49" t="s">
        <v>13395</v>
      </c>
    </row>
    <row r="3848" spans="1:13" x14ac:dyDescent="0.35">
      <c r="A3848" s="49" t="s">
        <v>13396</v>
      </c>
      <c r="C3848" s="49" t="s">
        <v>6218</v>
      </c>
      <c r="D3848" s="49" t="s">
        <v>1264</v>
      </c>
      <c r="E3848" s="49" t="s">
        <v>2986</v>
      </c>
      <c r="F3848" s="49" t="s">
        <v>2825</v>
      </c>
      <c r="G3848" s="49" t="s">
        <v>4891</v>
      </c>
      <c r="H3848" s="49" t="s">
        <v>2827</v>
      </c>
      <c r="I3848" s="52">
        <v>46120.430555555598</v>
      </c>
      <c r="M3848" s="49" t="s">
        <v>13397</v>
      </c>
    </row>
    <row r="3849" spans="1:13" x14ac:dyDescent="0.35">
      <c r="A3849" s="49" t="s">
        <v>13398</v>
      </c>
      <c r="C3849" s="49" t="s">
        <v>13399</v>
      </c>
      <c r="D3849" s="49" t="s">
        <v>1264</v>
      </c>
      <c r="E3849" s="49" t="s">
        <v>2785</v>
      </c>
      <c r="F3849" s="49" t="s">
        <v>2792</v>
      </c>
      <c r="G3849" s="49" t="s">
        <v>4891</v>
      </c>
      <c r="H3849" s="49" t="s">
        <v>2806</v>
      </c>
      <c r="I3849" s="52">
        <v>46120.529155092598</v>
      </c>
      <c r="M3849" s="49" t="s">
        <v>13400</v>
      </c>
    </row>
    <row r="3850" spans="1:13" x14ac:dyDescent="0.35">
      <c r="A3850" s="49" t="s">
        <v>13401</v>
      </c>
      <c r="C3850" s="49" t="s">
        <v>6218</v>
      </c>
      <c r="D3850" s="49" t="s">
        <v>1264</v>
      </c>
      <c r="E3850" s="49" t="s">
        <v>2986</v>
      </c>
      <c r="F3850" s="49" t="s">
        <v>2825</v>
      </c>
      <c r="G3850" s="49" t="s">
        <v>4891</v>
      </c>
      <c r="H3850" s="49" t="s">
        <v>2827</v>
      </c>
      <c r="I3850" s="52">
        <v>46120.562696759298</v>
      </c>
    </row>
    <row r="3851" spans="1:13" x14ac:dyDescent="0.35">
      <c r="A3851" s="49" t="s">
        <v>13402</v>
      </c>
      <c r="C3851" s="49" t="s">
        <v>4970</v>
      </c>
      <c r="D3851" s="49" t="s">
        <v>1264</v>
      </c>
      <c r="E3851" s="49" t="s">
        <v>2785</v>
      </c>
      <c r="F3851" s="49" t="s">
        <v>2792</v>
      </c>
      <c r="G3851" s="49" t="s">
        <v>4891</v>
      </c>
      <c r="H3851" s="49" t="s">
        <v>980</v>
      </c>
      <c r="I3851" s="52">
        <v>46120.571273148104</v>
      </c>
      <c r="M3851" s="49" t="s">
        <v>13403</v>
      </c>
    </row>
    <row r="3852" spans="1:13" x14ac:dyDescent="0.35">
      <c r="A3852" s="49" t="s">
        <v>13404</v>
      </c>
      <c r="C3852" s="49" t="s">
        <v>3180</v>
      </c>
      <c r="D3852" s="49" t="s">
        <v>1264</v>
      </c>
      <c r="E3852" s="49" t="s">
        <v>2986</v>
      </c>
      <c r="F3852" s="49" t="s">
        <v>2825</v>
      </c>
      <c r="G3852" s="49" t="s">
        <v>4891</v>
      </c>
      <c r="H3852" s="49" t="s">
        <v>2827</v>
      </c>
      <c r="I3852" s="52">
        <v>46122.523634259298</v>
      </c>
      <c r="M3852" s="49" t="s">
        <v>13405</v>
      </c>
    </row>
    <row r="3853" spans="1:13" x14ac:dyDescent="0.35">
      <c r="A3853" s="49" t="s">
        <v>13406</v>
      </c>
      <c r="C3853" s="49" t="s">
        <v>13407</v>
      </c>
      <c r="D3853" s="49" t="s">
        <v>1264</v>
      </c>
      <c r="E3853" s="49" t="s">
        <v>2986</v>
      </c>
      <c r="F3853" s="49" t="s">
        <v>2825</v>
      </c>
      <c r="G3853" s="49" t="s">
        <v>4891</v>
      </c>
      <c r="H3853" s="49" t="s">
        <v>2827</v>
      </c>
      <c r="I3853" s="52">
        <v>46122.531574074099</v>
      </c>
      <c r="M3853" s="49" t="s">
        <v>13408</v>
      </c>
    </row>
    <row r="3854" spans="1:13" x14ac:dyDescent="0.35">
      <c r="A3854" s="49" t="s">
        <v>13409</v>
      </c>
      <c r="C3854" s="49" t="s">
        <v>13410</v>
      </c>
      <c r="D3854" s="49" t="s">
        <v>1264</v>
      </c>
      <c r="E3854" s="49" t="s">
        <v>2986</v>
      </c>
      <c r="F3854" s="49" t="s">
        <v>2825</v>
      </c>
      <c r="G3854" s="49" t="s">
        <v>4891</v>
      </c>
      <c r="H3854" s="49" t="s">
        <v>973</v>
      </c>
      <c r="I3854" s="52">
        <v>46125.451608796298</v>
      </c>
      <c r="M3854" s="49" t="s">
        <v>13411</v>
      </c>
    </row>
    <row r="3855" spans="1:13" x14ac:dyDescent="0.35">
      <c r="A3855" s="49" t="s">
        <v>13412</v>
      </c>
      <c r="C3855" s="49" t="s">
        <v>12476</v>
      </c>
      <c r="D3855" s="49" t="s">
        <v>1264</v>
      </c>
      <c r="E3855" s="49" t="s">
        <v>2785</v>
      </c>
      <c r="F3855" s="49" t="s">
        <v>2792</v>
      </c>
      <c r="G3855" s="49" t="s">
        <v>4891</v>
      </c>
      <c r="H3855" s="49" t="s">
        <v>835</v>
      </c>
      <c r="I3855" s="52">
        <v>46126.543587963002</v>
      </c>
      <c r="M3855" s="49" t="s">
        <v>6919</v>
      </c>
    </row>
    <row r="3856" spans="1:13" x14ac:dyDescent="0.35">
      <c r="A3856" s="49" t="s">
        <v>13413</v>
      </c>
      <c r="C3856" s="49" t="s">
        <v>13414</v>
      </c>
      <c r="D3856" s="49" t="s">
        <v>1264</v>
      </c>
      <c r="E3856" s="49" t="s">
        <v>2785</v>
      </c>
      <c r="F3856" s="49" t="s">
        <v>2786</v>
      </c>
      <c r="G3856" s="49" t="s">
        <v>4891</v>
      </c>
      <c r="H3856" s="49" t="s">
        <v>835</v>
      </c>
      <c r="I3856" s="52">
        <v>46126.559004629598</v>
      </c>
      <c r="M3856" s="49" t="s">
        <v>6961</v>
      </c>
    </row>
    <row r="3857" spans="1:13" x14ac:dyDescent="0.35">
      <c r="A3857" s="49" t="s">
        <v>13415</v>
      </c>
      <c r="C3857" s="49" t="s">
        <v>13416</v>
      </c>
      <c r="D3857" s="49" t="s">
        <v>1264</v>
      </c>
      <c r="E3857" s="49" t="s">
        <v>2873</v>
      </c>
      <c r="F3857" s="49" t="s">
        <v>2786</v>
      </c>
      <c r="G3857" s="49" t="s">
        <v>4891</v>
      </c>
      <c r="H3857" s="49" t="s">
        <v>1062</v>
      </c>
      <c r="I3857" s="52">
        <v>46127.407685185201</v>
      </c>
      <c r="M3857" s="49" t="s">
        <v>13417</v>
      </c>
    </row>
    <row r="3858" spans="1:13" x14ac:dyDescent="0.35">
      <c r="A3858" s="49" t="s">
        <v>13418</v>
      </c>
      <c r="C3858" s="49" t="s">
        <v>13410</v>
      </c>
      <c r="D3858" s="49" t="s">
        <v>1264</v>
      </c>
      <c r="E3858" s="49" t="s">
        <v>2986</v>
      </c>
      <c r="F3858" s="49" t="s">
        <v>2825</v>
      </c>
      <c r="G3858" s="49" t="s">
        <v>4891</v>
      </c>
      <c r="H3858" s="49" t="s">
        <v>973</v>
      </c>
      <c r="I3858" s="52">
        <v>46127.660983796297</v>
      </c>
      <c r="M3858" s="49" t="s">
        <v>13419</v>
      </c>
    </row>
    <row r="3859" spans="1:13" x14ac:dyDescent="0.35">
      <c r="A3859" s="49" t="s">
        <v>13420</v>
      </c>
      <c r="C3859" s="49" t="s">
        <v>3951</v>
      </c>
      <c r="D3859" s="49" t="s">
        <v>1264</v>
      </c>
      <c r="E3859" s="49" t="s">
        <v>2785</v>
      </c>
      <c r="F3859" s="49" t="s">
        <v>2805</v>
      </c>
      <c r="G3859" s="49" t="s">
        <v>4891</v>
      </c>
      <c r="H3859" s="49" t="s">
        <v>1062</v>
      </c>
      <c r="I3859" s="52">
        <v>46128.480196759301</v>
      </c>
      <c r="M3859" s="49" t="s">
        <v>13421</v>
      </c>
    </row>
    <row r="3860" spans="1:13" x14ac:dyDescent="0.35">
      <c r="A3860" s="49" t="s">
        <v>13422</v>
      </c>
      <c r="C3860" s="49" t="s">
        <v>2804</v>
      </c>
      <c r="D3860" s="49" t="s">
        <v>1264</v>
      </c>
      <c r="E3860" s="49" t="s">
        <v>2785</v>
      </c>
      <c r="F3860" s="49" t="s">
        <v>2805</v>
      </c>
      <c r="G3860" s="49" t="s">
        <v>4891</v>
      </c>
      <c r="H3860" s="49" t="s">
        <v>3717</v>
      </c>
      <c r="I3860" s="52">
        <v>46128.560578703698</v>
      </c>
      <c r="M3860" s="49" t="s">
        <v>13423</v>
      </c>
    </row>
    <row r="3861" spans="1:13" x14ac:dyDescent="0.35">
      <c r="A3861" s="49" t="s">
        <v>13424</v>
      </c>
      <c r="C3861" s="49" t="s">
        <v>6053</v>
      </c>
      <c r="D3861" s="49" t="s">
        <v>1264</v>
      </c>
      <c r="E3861" s="49" t="s">
        <v>2986</v>
      </c>
      <c r="F3861" s="49" t="s">
        <v>2825</v>
      </c>
      <c r="G3861" s="49" t="s">
        <v>4891</v>
      </c>
      <c r="H3861" s="49" t="s">
        <v>2827</v>
      </c>
      <c r="I3861" s="52">
        <v>46128.583043981504</v>
      </c>
      <c r="M3861" s="49" t="s">
        <v>13425</v>
      </c>
    </row>
    <row r="3862" spans="1:13" x14ac:dyDescent="0.35">
      <c r="A3862" s="49" t="s">
        <v>13426</v>
      </c>
      <c r="C3862" s="49" t="s">
        <v>13427</v>
      </c>
      <c r="D3862" s="49" t="s">
        <v>1264</v>
      </c>
      <c r="E3862" s="49" t="s">
        <v>2873</v>
      </c>
      <c r="F3862" s="49" t="s">
        <v>2792</v>
      </c>
      <c r="G3862" s="49" t="s">
        <v>4891</v>
      </c>
      <c r="H3862" s="49" t="s">
        <v>1062</v>
      </c>
      <c r="I3862" s="52">
        <v>46128.645601851902</v>
      </c>
      <c r="M3862" s="49" t="s">
        <v>13428</v>
      </c>
    </row>
    <row r="3863" spans="1:13" x14ac:dyDescent="0.35">
      <c r="A3863" s="49" t="s">
        <v>13429</v>
      </c>
      <c r="C3863" s="49" t="s">
        <v>13430</v>
      </c>
      <c r="D3863" s="49" t="s">
        <v>1264</v>
      </c>
      <c r="E3863" s="49" t="s">
        <v>2873</v>
      </c>
      <c r="G3863" s="49" t="s">
        <v>4891</v>
      </c>
      <c r="H3863" s="49" t="s">
        <v>1062</v>
      </c>
      <c r="I3863" s="52">
        <v>46129.551747685196</v>
      </c>
      <c r="M3863" s="49" t="s">
        <v>13431</v>
      </c>
    </row>
    <row r="3864" spans="1:13" x14ac:dyDescent="0.35">
      <c r="A3864" s="49" t="s">
        <v>13432</v>
      </c>
      <c r="C3864" s="49" t="s">
        <v>13433</v>
      </c>
      <c r="D3864" s="49" t="s">
        <v>1264</v>
      </c>
      <c r="E3864" s="49" t="s">
        <v>2873</v>
      </c>
      <c r="F3864" s="49" t="s">
        <v>2792</v>
      </c>
      <c r="G3864" s="49" t="s">
        <v>4891</v>
      </c>
      <c r="H3864" s="49" t="s">
        <v>1062</v>
      </c>
      <c r="I3864" s="52">
        <v>46129.634780092601</v>
      </c>
      <c r="M3864" s="49" t="s">
        <v>6081</v>
      </c>
    </row>
    <row r="3865" spans="1:13" x14ac:dyDescent="0.35">
      <c r="A3865" s="49" t="s">
        <v>13434</v>
      </c>
      <c r="C3865" s="49" t="s">
        <v>13435</v>
      </c>
      <c r="D3865" s="49" t="s">
        <v>1264</v>
      </c>
      <c r="E3865" s="49" t="s">
        <v>2774</v>
      </c>
      <c r="F3865" s="49" t="s">
        <v>2825</v>
      </c>
      <c r="G3865" s="49" t="s">
        <v>4891</v>
      </c>
      <c r="H3865" s="49" t="s">
        <v>2827</v>
      </c>
      <c r="I3865" s="52">
        <v>46132.517025462999</v>
      </c>
      <c r="M3865" s="49" t="s">
        <v>13436</v>
      </c>
    </row>
    <row r="3866" spans="1:13" x14ac:dyDescent="0.35">
      <c r="A3866" s="49" t="s">
        <v>13437</v>
      </c>
      <c r="C3866" s="49" t="s">
        <v>13435</v>
      </c>
      <c r="D3866" s="49" t="s">
        <v>1264</v>
      </c>
      <c r="E3866" s="49" t="s">
        <v>2774</v>
      </c>
      <c r="F3866" s="49" t="s">
        <v>2825</v>
      </c>
      <c r="G3866" s="49" t="s">
        <v>4891</v>
      </c>
      <c r="H3866" s="49" t="s">
        <v>2827</v>
      </c>
      <c r="I3866" s="52">
        <v>46132.531898148103</v>
      </c>
      <c r="M3866" s="49" t="s">
        <v>13438</v>
      </c>
    </row>
    <row r="3867" spans="1:13" x14ac:dyDescent="0.35">
      <c r="A3867" s="49" t="s">
        <v>13439</v>
      </c>
      <c r="C3867" s="49" t="s">
        <v>5455</v>
      </c>
      <c r="D3867" s="49" t="s">
        <v>1264</v>
      </c>
      <c r="E3867" s="49" t="s">
        <v>2785</v>
      </c>
      <c r="F3867" s="49" t="s">
        <v>2786</v>
      </c>
      <c r="G3867" s="49" t="s">
        <v>4891</v>
      </c>
      <c r="H3867" s="49" t="s">
        <v>980</v>
      </c>
      <c r="I3867" s="52">
        <v>46132.631631944401</v>
      </c>
      <c r="M3867" s="49" t="s">
        <v>13440</v>
      </c>
    </row>
    <row r="3868" spans="1:13" x14ac:dyDescent="0.35">
      <c r="A3868" s="49" t="s">
        <v>13441</v>
      </c>
      <c r="B3868" s="49" t="s">
        <v>6807</v>
      </c>
      <c r="C3868" s="49" t="s">
        <v>13442</v>
      </c>
      <c r="D3868" s="49" t="s">
        <v>1264</v>
      </c>
      <c r="E3868" s="49" t="s">
        <v>2785</v>
      </c>
      <c r="F3868" s="49" t="s">
        <v>2792</v>
      </c>
      <c r="G3868" s="49" t="s">
        <v>4891</v>
      </c>
      <c r="H3868" s="49" t="s">
        <v>857</v>
      </c>
      <c r="I3868" s="52">
        <v>46133.426932870403</v>
      </c>
      <c r="M3868" s="49" t="s">
        <v>13443</v>
      </c>
    </row>
    <row r="3869" spans="1:13" x14ac:dyDescent="0.35">
      <c r="A3869" s="49" t="s">
        <v>13444</v>
      </c>
      <c r="B3869" s="49" t="s">
        <v>13445</v>
      </c>
      <c r="C3869" s="49" t="s">
        <v>12964</v>
      </c>
      <c r="D3869" s="49" t="s">
        <v>1264</v>
      </c>
      <c r="E3869" s="49" t="s">
        <v>2785</v>
      </c>
      <c r="F3869" s="49" t="s">
        <v>2786</v>
      </c>
      <c r="G3869" s="49" t="s">
        <v>4891</v>
      </c>
      <c r="H3869" s="49" t="s">
        <v>2832</v>
      </c>
      <c r="I3869" s="52">
        <v>46134.595613425903</v>
      </c>
      <c r="M3869" s="49" t="s">
        <v>13446</v>
      </c>
    </row>
    <row r="3870" spans="1:13" x14ac:dyDescent="0.35">
      <c r="A3870" s="49" t="s">
        <v>13447</v>
      </c>
      <c r="B3870" s="49" t="s">
        <v>13448</v>
      </c>
      <c r="C3870" s="49" t="s">
        <v>13449</v>
      </c>
      <c r="D3870" s="49" t="s">
        <v>1264</v>
      </c>
      <c r="E3870" s="49" t="s">
        <v>2785</v>
      </c>
      <c r="F3870" s="49" t="s">
        <v>2786</v>
      </c>
      <c r="G3870" s="49" t="s">
        <v>4891</v>
      </c>
      <c r="H3870" s="49" t="s">
        <v>973</v>
      </c>
      <c r="I3870" s="52">
        <v>46139.505416666703</v>
      </c>
      <c r="M3870" s="49" t="s">
        <v>13450</v>
      </c>
    </row>
    <row r="3871" spans="1:13" x14ac:dyDescent="0.35">
      <c r="A3871" s="49" t="s">
        <v>13451</v>
      </c>
      <c r="B3871" s="49" t="s">
        <v>13452</v>
      </c>
      <c r="C3871" s="49" t="s">
        <v>13453</v>
      </c>
      <c r="D3871" s="49" t="s">
        <v>1264</v>
      </c>
      <c r="E3871" s="49" t="s">
        <v>2785</v>
      </c>
      <c r="F3871" s="49" t="s">
        <v>2786</v>
      </c>
      <c r="G3871" s="49" t="s">
        <v>4891</v>
      </c>
      <c r="H3871" s="49" t="s">
        <v>973</v>
      </c>
      <c r="I3871" s="52">
        <v>46139.520543981504</v>
      </c>
      <c r="M3871" s="49" t="s">
        <v>13454</v>
      </c>
    </row>
    <row r="3872" spans="1:13" x14ac:dyDescent="0.35">
      <c r="A3872" s="49" t="s">
        <v>13455</v>
      </c>
      <c r="B3872" s="49" t="s">
        <v>13456</v>
      </c>
      <c r="C3872" s="49" t="s">
        <v>13453</v>
      </c>
      <c r="D3872" s="49" t="s">
        <v>1264</v>
      </c>
      <c r="E3872" s="49" t="s">
        <v>2785</v>
      </c>
      <c r="F3872" s="49" t="s">
        <v>2786</v>
      </c>
      <c r="G3872" s="49" t="s">
        <v>4891</v>
      </c>
      <c r="H3872" s="49" t="s">
        <v>973</v>
      </c>
      <c r="I3872" s="52">
        <v>46139.534930555601</v>
      </c>
      <c r="M3872" s="49" t="s">
        <v>13457</v>
      </c>
    </row>
    <row r="3873" spans="1:13" x14ac:dyDescent="0.35">
      <c r="A3873" s="49" t="s">
        <v>13458</v>
      </c>
      <c r="B3873" s="49" t="s">
        <v>6015</v>
      </c>
      <c r="C3873" s="49" t="s">
        <v>3731</v>
      </c>
      <c r="D3873" s="49" t="s">
        <v>1264</v>
      </c>
      <c r="E3873" s="49" t="s">
        <v>2785</v>
      </c>
      <c r="F3873" s="49" t="s">
        <v>2786</v>
      </c>
      <c r="G3873" s="49" t="s">
        <v>4891</v>
      </c>
      <c r="H3873" s="49" t="s">
        <v>973</v>
      </c>
      <c r="I3873" s="52">
        <v>46139.627615740697</v>
      </c>
      <c r="M3873" s="49" t="s">
        <v>13459</v>
      </c>
    </row>
    <row r="3874" spans="1:13" x14ac:dyDescent="0.35">
      <c r="A3874" s="49" t="s">
        <v>13460</v>
      </c>
      <c r="B3874" s="49" t="s">
        <v>13461</v>
      </c>
      <c r="C3874" s="49" t="s">
        <v>5928</v>
      </c>
      <c r="D3874" s="49" t="s">
        <v>1264</v>
      </c>
      <c r="E3874" s="49" t="s">
        <v>2785</v>
      </c>
      <c r="F3874" s="49" t="s">
        <v>2786</v>
      </c>
      <c r="G3874" s="49" t="s">
        <v>4891</v>
      </c>
      <c r="H3874" s="49" t="s">
        <v>973</v>
      </c>
      <c r="I3874" s="52">
        <v>46139.647245370397</v>
      </c>
      <c r="M3874" s="49" t="s">
        <v>13462</v>
      </c>
    </row>
    <row r="3875" spans="1:13" x14ac:dyDescent="0.35">
      <c r="A3875" s="49" t="s">
        <v>13463</v>
      </c>
      <c r="B3875" s="49" t="s">
        <v>13464</v>
      </c>
      <c r="C3875" s="49" t="s">
        <v>5240</v>
      </c>
      <c r="D3875" s="49" t="s">
        <v>1264</v>
      </c>
      <c r="E3875" s="49" t="s">
        <v>2785</v>
      </c>
      <c r="F3875" s="49" t="s">
        <v>2792</v>
      </c>
      <c r="G3875" s="49" t="s">
        <v>4891</v>
      </c>
      <c r="H3875" s="49" t="s">
        <v>3229</v>
      </c>
      <c r="I3875" s="52">
        <v>46140.482141203698</v>
      </c>
      <c r="M3875" s="49" t="s">
        <v>13465</v>
      </c>
    </row>
    <row r="3876" spans="1:13" x14ac:dyDescent="0.35">
      <c r="A3876" s="49" t="s">
        <v>13466</v>
      </c>
      <c r="B3876" s="49" t="s">
        <v>13467</v>
      </c>
      <c r="C3876" s="49" t="s">
        <v>5240</v>
      </c>
      <c r="D3876" s="49" t="s">
        <v>1264</v>
      </c>
      <c r="E3876" s="49" t="s">
        <v>2785</v>
      </c>
      <c r="F3876" s="49" t="s">
        <v>2792</v>
      </c>
      <c r="G3876" s="49" t="s">
        <v>4891</v>
      </c>
      <c r="H3876" s="49" t="s">
        <v>3229</v>
      </c>
      <c r="I3876" s="52">
        <v>46140.524537037003</v>
      </c>
      <c r="M3876" s="49" t="s">
        <v>13468</v>
      </c>
    </row>
    <row r="3877" spans="1:13" x14ac:dyDescent="0.35">
      <c r="A3877" s="49" t="s">
        <v>13469</v>
      </c>
      <c r="B3877" s="49" t="s">
        <v>13470</v>
      </c>
      <c r="C3877" s="49" t="s">
        <v>5240</v>
      </c>
      <c r="D3877" s="49" t="s">
        <v>1264</v>
      </c>
      <c r="E3877" s="49" t="s">
        <v>2785</v>
      </c>
      <c r="F3877" s="49" t="s">
        <v>2792</v>
      </c>
      <c r="G3877" s="49" t="s">
        <v>4891</v>
      </c>
      <c r="H3877" s="49" t="s">
        <v>857</v>
      </c>
      <c r="I3877" s="52">
        <v>46141.401527777802</v>
      </c>
      <c r="M3877" s="49" t="s">
        <v>13471</v>
      </c>
    </row>
    <row r="3878" spans="1:13" x14ac:dyDescent="0.35">
      <c r="A3878" s="49" t="s">
        <v>13472</v>
      </c>
      <c r="B3878" s="49" t="s">
        <v>13473</v>
      </c>
      <c r="C3878" s="49" t="s">
        <v>5240</v>
      </c>
      <c r="D3878" s="49" t="s">
        <v>1264</v>
      </c>
      <c r="E3878" s="49" t="s">
        <v>2785</v>
      </c>
      <c r="F3878" s="49" t="s">
        <v>2792</v>
      </c>
      <c r="G3878" s="49" t="s">
        <v>4891</v>
      </c>
      <c r="H3878" s="49" t="s">
        <v>857</v>
      </c>
      <c r="I3878" s="52">
        <v>46141.422349537002</v>
      </c>
      <c r="M3878" s="49" t="s">
        <v>13474</v>
      </c>
    </row>
    <row r="3879" spans="1:13" ht="29" x14ac:dyDescent="0.35">
      <c r="A3879" s="49" t="s">
        <v>13475</v>
      </c>
      <c r="B3879" s="51" t="s">
        <v>13476</v>
      </c>
      <c r="C3879" s="49" t="s">
        <v>5240</v>
      </c>
      <c r="D3879" s="49" t="s">
        <v>1264</v>
      </c>
      <c r="E3879" s="49" t="s">
        <v>2785</v>
      </c>
      <c r="F3879" s="49" t="s">
        <v>2792</v>
      </c>
      <c r="G3879" s="49" t="s">
        <v>4891</v>
      </c>
      <c r="H3879" s="49" t="s">
        <v>857</v>
      </c>
      <c r="I3879" s="52">
        <v>46141.4292361111</v>
      </c>
      <c r="M3879" s="49" t="s">
        <v>13477</v>
      </c>
    </row>
    <row r="3880" spans="1:13" x14ac:dyDescent="0.35">
      <c r="A3880" s="49" t="s">
        <v>13478</v>
      </c>
      <c r="B3880" s="49" t="s">
        <v>13479</v>
      </c>
      <c r="C3880" s="49" t="s">
        <v>5240</v>
      </c>
      <c r="D3880" s="49" t="s">
        <v>1264</v>
      </c>
      <c r="E3880" s="49" t="s">
        <v>2785</v>
      </c>
      <c r="F3880" s="49" t="s">
        <v>2792</v>
      </c>
      <c r="G3880" s="49" t="s">
        <v>4891</v>
      </c>
      <c r="H3880" s="49" t="s">
        <v>857</v>
      </c>
      <c r="I3880" s="52">
        <v>46141.437210648102</v>
      </c>
      <c r="M3880" s="49" t="s">
        <v>13480</v>
      </c>
    </row>
    <row r="3881" spans="1:13" x14ac:dyDescent="0.35">
      <c r="A3881" s="49" t="s">
        <v>13481</v>
      </c>
      <c r="B3881" s="49" t="s">
        <v>13482</v>
      </c>
      <c r="C3881" s="49" t="s">
        <v>5240</v>
      </c>
      <c r="D3881" s="49" t="s">
        <v>1264</v>
      </c>
      <c r="E3881" s="49" t="s">
        <v>2785</v>
      </c>
      <c r="F3881" s="49" t="s">
        <v>2792</v>
      </c>
      <c r="G3881" s="49" t="s">
        <v>4891</v>
      </c>
      <c r="H3881" s="49" t="s">
        <v>857</v>
      </c>
      <c r="I3881" s="52">
        <v>46141.443854166697</v>
      </c>
      <c r="M3881" s="49" t="s">
        <v>13483</v>
      </c>
    </row>
    <row r="3882" spans="1:13" x14ac:dyDescent="0.35">
      <c r="A3882" s="49" t="s">
        <v>13484</v>
      </c>
      <c r="B3882" s="49" t="s">
        <v>13485</v>
      </c>
      <c r="C3882" s="49" t="s">
        <v>5240</v>
      </c>
      <c r="D3882" s="49" t="s">
        <v>1264</v>
      </c>
      <c r="E3882" s="49" t="s">
        <v>2785</v>
      </c>
      <c r="F3882" s="49" t="s">
        <v>2792</v>
      </c>
      <c r="G3882" s="49" t="s">
        <v>4891</v>
      </c>
      <c r="H3882" s="49" t="s">
        <v>857</v>
      </c>
      <c r="I3882" s="52">
        <v>46141.450717592597</v>
      </c>
      <c r="M3882" s="49" t="s">
        <v>13486</v>
      </c>
    </row>
    <row r="3883" spans="1:13" x14ac:dyDescent="0.35">
      <c r="A3883" s="49" t="s">
        <v>13487</v>
      </c>
      <c r="B3883" s="49" t="s">
        <v>13488</v>
      </c>
      <c r="C3883" s="49" t="s">
        <v>5240</v>
      </c>
      <c r="D3883" s="49" t="s">
        <v>1264</v>
      </c>
      <c r="E3883" s="49" t="s">
        <v>2785</v>
      </c>
      <c r="F3883" s="49" t="s">
        <v>2792</v>
      </c>
      <c r="G3883" s="49" t="s">
        <v>4891</v>
      </c>
      <c r="H3883" s="49" t="s">
        <v>857</v>
      </c>
      <c r="I3883" s="52">
        <v>46141.457222222198</v>
      </c>
      <c r="M3883" s="49" t="s">
        <v>13489</v>
      </c>
    </row>
    <row r="3884" spans="1:13" x14ac:dyDescent="0.35">
      <c r="A3884" s="49" t="s">
        <v>13490</v>
      </c>
      <c r="B3884" s="49" t="s">
        <v>13491</v>
      </c>
      <c r="C3884" s="49" t="s">
        <v>5240</v>
      </c>
      <c r="D3884" s="49" t="s">
        <v>1264</v>
      </c>
      <c r="E3884" s="49" t="s">
        <v>2785</v>
      </c>
      <c r="F3884" s="49" t="s">
        <v>2792</v>
      </c>
      <c r="G3884" s="49" t="s">
        <v>4891</v>
      </c>
      <c r="H3884" s="49" t="s">
        <v>857</v>
      </c>
      <c r="I3884" s="52">
        <v>46141.5804166667</v>
      </c>
      <c r="M3884" s="49" t="s">
        <v>13492</v>
      </c>
    </row>
    <row r="3885" spans="1:13" x14ac:dyDescent="0.35">
      <c r="A3885" s="49" t="s">
        <v>13493</v>
      </c>
      <c r="B3885" s="49" t="s">
        <v>11133</v>
      </c>
      <c r="C3885" s="49" t="s">
        <v>13116</v>
      </c>
      <c r="D3885" s="49" t="s">
        <v>1264</v>
      </c>
      <c r="E3885" s="49" t="s">
        <v>2785</v>
      </c>
      <c r="F3885" s="49" t="s">
        <v>2792</v>
      </c>
      <c r="G3885" s="49" t="s">
        <v>4891</v>
      </c>
      <c r="H3885" s="49" t="s">
        <v>980</v>
      </c>
      <c r="I3885" s="52">
        <v>46146.485983796301</v>
      </c>
      <c r="M3885" s="49" t="s">
        <v>13494</v>
      </c>
    </row>
    <row r="3886" spans="1:13" x14ac:dyDescent="0.35">
      <c r="A3886" s="49" t="s">
        <v>13495</v>
      </c>
      <c r="B3886" s="49" t="s">
        <v>13496</v>
      </c>
      <c r="C3886" s="49" t="s">
        <v>13497</v>
      </c>
      <c r="D3886" s="49" t="s">
        <v>1264</v>
      </c>
      <c r="E3886" s="49" t="s">
        <v>2785</v>
      </c>
      <c r="F3886" s="49" t="s">
        <v>2786</v>
      </c>
      <c r="G3886" s="49" t="s">
        <v>4891</v>
      </c>
      <c r="H3886" s="49" t="s">
        <v>980</v>
      </c>
      <c r="I3886" s="52">
        <v>46146.560706018499</v>
      </c>
      <c r="M3886" s="49" t="s">
        <v>13498</v>
      </c>
    </row>
    <row r="3887" spans="1:13" x14ac:dyDescent="0.35">
      <c r="A3887" s="49" t="s">
        <v>13499</v>
      </c>
      <c r="B3887" s="49" t="s">
        <v>13500</v>
      </c>
      <c r="C3887" s="49" t="s">
        <v>3280</v>
      </c>
      <c r="D3887" s="49" t="s">
        <v>1264</v>
      </c>
      <c r="E3887" s="49" t="s">
        <v>3281</v>
      </c>
      <c r="F3887" s="49" t="s">
        <v>2825</v>
      </c>
      <c r="G3887" s="49" t="s">
        <v>4891</v>
      </c>
      <c r="H3887" s="49" t="s">
        <v>973</v>
      </c>
      <c r="I3887" s="52">
        <v>46146.580046296302</v>
      </c>
      <c r="M3887" s="49" t="s">
        <v>13501</v>
      </c>
    </row>
    <row r="3888" spans="1:13" x14ac:dyDescent="0.35">
      <c r="A3888" s="49" t="s">
        <v>13502</v>
      </c>
      <c r="B3888" s="49" t="s">
        <v>13503</v>
      </c>
      <c r="C3888" s="49" t="s">
        <v>13504</v>
      </c>
      <c r="D3888" s="49" t="s">
        <v>1264</v>
      </c>
      <c r="E3888" s="49" t="s">
        <v>3443</v>
      </c>
      <c r="F3888" s="49" t="s">
        <v>3124</v>
      </c>
      <c r="G3888" s="49" t="s">
        <v>4891</v>
      </c>
      <c r="H3888" s="49" t="s">
        <v>980</v>
      </c>
      <c r="I3888" s="52">
        <v>46146.618136574099</v>
      </c>
    </row>
    <row r="3889" spans="1:13" x14ac:dyDescent="0.35">
      <c r="A3889" s="49" t="s">
        <v>13505</v>
      </c>
      <c r="C3889" s="49" t="s">
        <v>3280</v>
      </c>
      <c r="D3889" s="49" t="s">
        <v>1264</v>
      </c>
      <c r="E3889" s="49" t="s">
        <v>3281</v>
      </c>
      <c r="F3889" s="49" t="s">
        <v>2825</v>
      </c>
      <c r="G3889" s="49" t="s">
        <v>4891</v>
      </c>
      <c r="H3889" s="49" t="s">
        <v>973</v>
      </c>
      <c r="I3889" s="52">
        <v>46146.629664351902</v>
      </c>
    </row>
    <row r="3890" spans="1:13" x14ac:dyDescent="0.35">
      <c r="A3890" s="49" t="s">
        <v>13506</v>
      </c>
      <c r="B3890" s="49" t="s">
        <v>13507</v>
      </c>
      <c r="C3890" s="49" t="s">
        <v>3280</v>
      </c>
      <c r="D3890" s="49" t="s">
        <v>1264</v>
      </c>
      <c r="E3890" s="49" t="s">
        <v>3281</v>
      </c>
      <c r="F3890" s="49" t="s">
        <v>2825</v>
      </c>
      <c r="G3890" s="49" t="s">
        <v>4891</v>
      </c>
      <c r="H3890" s="49" t="s">
        <v>973</v>
      </c>
      <c r="I3890" s="52">
        <v>46146.636666666702</v>
      </c>
    </row>
    <row r="3891" spans="1:13" x14ac:dyDescent="0.35">
      <c r="A3891" s="49" t="s">
        <v>13508</v>
      </c>
      <c r="C3891" s="49" t="s">
        <v>6830</v>
      </c>
      <c r="D3891" s="49" t="s">
        <v>1264</v>
      </c>
      <c r="E3891" s="49" t="s">
        <v>2785</v>
      </c>
      <c r="F3891" s="49" t="s">
        <v>2792</v>
      </c>
      <c r="G3891" s="49" t="s">
        <v>4891</v>
      </c>
      <c r="H3891" s="49" t="s">
        <v>980</v>
      </c>
      <c r="I3891" s="52">
        <v>46146.656585648103</v>
      </c>
      <c r="M3891" s="49" t="s">
        <v>13509</v>
      </c>
    </row>
    <row r="3892" spans="1:13" x14ac:dyDescent="0.35">
      <c r="A3892" s="49" t="s">
        <v>13510</v>
      </c>
      <c r="B3892" s="49" t="s">
        <v>13511</v>
      </c>
      <c r="C3892" s="49" t="s">
        <v>3280</v>
      </c>
      <c r="D3892" s="49" t="s">
        <v>1264</v>
      </c>
      <c r="E3892" s="49" t="s">
        <v>3281</v>
      </c>
      <c r="F3892" s="49" t="s">
        <v>2825</v>
      </c>
      <c r="G3892" s="49" t="s">
        <v>4891</v>
      </c>
      <c r="H3892" s="49" t="s">
        <v>973</v>
      </c>
      <c r="I3892" s="52">
        <v>46146.765567129602</v>
      </c>
      <c r="M3892" s="49" t="s">
        <v>13512</v>
      </c>
    </row>
    <row r="3893" spans="1:13" x14ac:dyDescent="0.35">
      <c r="A3893" s="49" t="s">
        <v>13513</v>
      </c>
      <c r="B3893" s="49" t="s">
        <v>13514</v>
      </c>
      <c r="C3893" s="49" t="s">
        <v>3280</v>
      </c>
      <c r="D3893" s="49" t="s">
        <v>1264</v>
      </c>
      <c r="E3893" s="49" t="s">
        <v>3281</v>
      </c>
      <c r="F3893" s="49" t="s">
        <v>2825</v>
      </c>
      <c r="G3893" s="49" t="s">
        <v>4891</v>
      </c>
      <c r="H3893" s="49" t="s">
        <v>2827</v>
      </c>
      <c r="I3893" s="52">
        <v>46146.775717592602</v>
      </c>
      <c r="M3893" s="49" t="s">
        <v>13515</v>
      </c>
    </row>
    <row r="3894" spans="1:13" x14ac:dyDescent="0.35">
      <c r="A3894" s="49" t="s">
        <v>13516</v>
      </c>
      <c r="B3894" s="49" t="s">
        <v>13517</v>
      </c>
      <c r="C3894" s="49" t="s">
        <v>3280</v>
      </c>
      <c r="D3894" s="49" t="s">
        <v>1264</v>
      </c>
      <c r="E3894" s="49" t="s">
        <v>3281</v>
      </c>
      <c r="F3894" s="49" t="s">
        <v>2825</v>
      </c>
      <c r="G3894" s="49" t="s">
        <v>4891</v>
      </c>
      <c r="H3894" s="49" t="s">
        <v>2827</v>
      </c>
      <c r="I3894" s="52">
        <v>46146.7811111111</v>
      </c>
      <c r="M3894" s="49" t="s">
        <v>13518</v>
      </c>
    </row>
    <row r="3895" spans="1:13" x14ac:dyDescent="0.35">
      <c r="A3895" s="49" t="s">
        <v>13519</v>
      </c>
      <c r="C3895" s="49" t="s">
        <v>13520</v>
      </c>
      <c r="D3895" s="49" t="s">
        <v>1264</v>
      </c>
      <c r="E3895" s="49" t="s">
        <v>2785</v>
      </c>
      <c r="F3895" s="49" t="s">
        <v>2792</v>
      </c>
      <c r="G3895" s="49" t="s">
        <v>4891</v>
      </c>
      <c r="H3895" s="49" t="s">
        <v>980</v>
      </c>
      <c r="I3895" s="52">
        <v>46147.471631944398</v>
      </c>
      <c r="M3895" s="49" t="s">
        <v>13521</v>
      </c>
    </row>
    <row r="3896" spans="1:13" x14ac:dyDescent="0.35">
      <c r="A3896" s="49" t="s">
        <v>13522</v>
      </c>
      <c r="C3896" s="49" t="s">
        <v>13523</v>
      </c>
      <c r="D3896" s="49" t="s">
        <v>1264</v>
      </c>
      <c r="E3896" s="49" t="s">
        <v>2785</v>
      </c>
      <c r="F3896" s="49" t="s">
        <v>2792</v>
      </c>
      <c r="G3896" s="49" t="s">
        <v>4891</v>
      </c>
      <c r="H3896" s="49" t="s">
        <v>980</v>
      </c>
      <c r="I3896" s="52">
        <v>46147.526932870402</v>
      </c>
      <c r="M3896" s="49" t="s">
        <v>12527</v>
      </c>
    </row>
    <row r="3897" spans="1:13" x14ac:dyDescent="0.35">
      <c r="A3897" s="49" t="s">
        <v>13524</v>
      </c>
      <c r="C3897" s="49" t="s">
        <v>13430</v>
      </c>
      <c r="D3897" s="49" t="s">
        <v>1264</v>
      </c>
      <c r="E3897" s="49" t="s">
        <v>2873</v>
      </c>
      <c r="F3897" s="49" t="s">
        <v>2786</v>
      </c>
      <c r="G3897" s="49" t="s">
        <v>4891</v>
      </c>
      <c r="H3897" s="49" t="s">
        <v>1062</v>
      </c>
      <c r="I3897" s="52">
        <v>46147.640335648102</v>
      </c>
      <c r="M3897" s="49" t="s">
        <v>6961</v>
      </c>
    </row>
    <row r="3898" spans="1:13" x14ac:dyDescent="0.35">
      <c r="A3898" s="49" t="s">
        <v>13525</v>
      </c>
      <c r="C3898" s="49" t="s">
        <v>13430</v>
      </c>
      <c r="D3898" s="49" t="s">
        <v>1264</v>
      </c>
      <c r="E3898" s="49" t="s">
        <v>2873</v>
      </c>
      <c r="F3898" s="49" t="s">
        <v>2825</v>
      </c>
      <c r="G3898" s="49" t="s">
        <v>4891</v>
      </c>
      <c r="H3898" s="49" t="s">
        <v>1062</v>
      </c>
      <c r="I3898" s="52">
        <v>46147.714814814797</v>
      </c>
      <c r="M3898" s="49" t="s">
        <v>13526</v>
      </c>
    </row>
    <row r="3899" spans="1:13" x14ac:dyDescent="0.35">
      <c r="A3899" s="49" t="s">
        <v>13527</v>
      </c>
      <c r="B3899" s="49" t="s">
        <v>5800</v>
      </c>
      <c r="C3899" s="49" t="s">
        <v>13528</v>
      </c>
      <c r="D3899" s="49" t="s">
        <v>1264</v>
      </c>
      <c r="E3899" s="49" t="s">
        <v>2785</v>
      </c>
      <c r="F3899" s="49" t="s">
        <v>2805</v>
      </c>
      <c r="G3899" s="49" t="s">
        <v>4891</v>
      </c>
      <c r="H3899" s="49" t="s">
        <v>980</v>
      </c>
      <c r="I3899" s="52">
        <v>46153.5794328704</v>
      </c>
      <c r="M3899" s="49" t="s">
        <v>13529</v>
      </c>
    </row>
    <row r="3900" spans="1:13" x14ac:dyDescent="0.35">
      <c r="A3900" s="49" t="s">
        <v>13530</v>
      </c>
      <c r="C3900" s="49" t="s">
        <v>13531</v>
      </c>
      <c r="D3900" s="49" t="s">
        <v>1264</v>
      </c>
      <c r="E3900" s="49" t="s">
        <v>2785</v>
      </c>
      <c r="F3900" s="49" t="s">
        <v>2805</v>
      </c>
      <c r="G3900" s="49" t="s">
        <v>4891</v>
      </c>
      <c r="H3900" s="49" t="s">
        <v>3207</v>
      </c>
      <c r="I3900" s="52">
        <v>46153.642905092602</v>
      </c>
      <c r="M3900" s="49" t="s">
        <v>13532</v>
      </c>
    </row>
    <row r="3901" spans="1:13" x14ac:dyDescent="0.35">
      <c r="A3901" s="49" t="s">
        <v>13533</v>
      </c>
      <c r="C3901" s="49" t="s">
        <v>13531</v>
      </c>
      <c r="D3901" s="49" t="s">
        <v>1264</v>
      </c>
      <c r="E3901" s="49" t="s">
        <v>2785</v>
      </c>
      <c r="F3901" s="49" t="s">
        <v>2805</v>
      </c>
      <c r="G3901" s="49" t="s">
        <v>4891</v>
      </c>
      <c r="H3901" s="49" t="s">
        <v>3207</v>
      </c>
      <c r="I3901" s="52">
        <v>46153.657164351898</v>
      </c>
      <c r="M3901" s="49" t="s">
        <v>13534</v>
      </c>
    </row>
    <row r="3902" spans="1:13" x14ac:dyDescent="0.35">
      <c r="A3902" s="49" t="s">
        <v>13535</v>
      </c>
      <c r="C3902" s="49" t="s">
        <v>13531</v>
      </c>
      <c r="D3902" s="49" t="s">
        <v>1264</v>
      </c>
      <c r="E3902" s="49" t="s">
        <v>2785</v>
      </c>
      <c r="F3902" s="49" t="s">
        <v>2805</v>
      </c>
      <c r="G3902" s="49" t="s">
        <v>4891</v>
      </c>
      <c r="H3902" s="49" t="s">
        <v>3207</v>
      </c>
      <c r="I3902" s="52">
        <v>46153.680972222202</v>
      </c>
      <c r="M3902" s="49" t="s">
        <v>13536</v>
      </c>
    </row>
    <row r="3903" spans="1:13" x14ac:dyDescent="0.35">
      <c r="A3903" s="49" t="s">
        <v>13537</v>
      </c>
      <c r="C3903" s="49" t="s">
        <v>13531</v>
      </c>
      <c r="D3903" s="49" t="s">
        <v>1264</v>
      </c>
      <c r="E3903" s="49" t="s">
        <v>2785</v>
      </c>
      <c r="F3903" s="49" t="s">
        <v>2805</v>
      </c>
      <c r="G3903" s="49" t="s">
        <v>4891</v>
      </c>
      <c r="H3903" s="49" t="s">
        <v>3207</v>
      </c>
      <c r="I3903" s="52">
        <v>46153.685671296298</v>
      </c>
      <c r="M3903" s="49" t="s">
        <v>13538</v>
      </c>
    </row>
    <row r="3904" spans="1:13" x14ac:dyDescent="0.35">
      <c r="A3904" s="49" t="s">
        <v>13539</v>
      </c>
      <c r="C3904" s="49" t="s">
        <v>10051</v>
      </c>
      <c r="D3904" s="49" t="s">
        <v>1264</v>
      </c>
      <c r="E3904" s="49" t="s">
        <v>3413</v>
      </c>
      <c r="F3904" s="49" t="s">
        <v>2825</v>
      </c>
      <c r="G3904" s="49" t="s">
        <v>4891</v>
      </c>
      <c r="H3904" s="49" t="s">
        <v>2827</v>
      </c>
      <c r="I3904" s="52">
        <v>46154.356747685197</v>
      </c>
      <c r="M3904" s="49" t="s">
        <v>13540</v>
      </c>
    </row>
    <row r="3905" spans="1:13" x14ac:dyDescent="0.35">
      <c r="A3905" s="49" t="s">
        <v>13541</v>
      </c>
      <c r="B3905" s="49" t="s">
        <v>13542</v>
      </c>
      <c r="C3905" s="49" t="s">
        <v>13543</v>
      </c>
      <c r="D3905" s="49" t="s">
        <v>1264</v>
      </c>
      <c r="E3905" s="49" t="s">
        <v>2785</v>
      </c>
      <c r="F3905" s="49" t="s">
        <v>2792</v>
      </c>
      <c r="G3905" s="49" t="s">
        <v>4891</v>
      </c>
      <c r="H3905" s="49" t="s">
        <v>980</v>
      </c>
      <c r="I3905" s="52">
        <v>46157.522858796299</v>
      </c>
      <c r="M3905" s="49" t="s">
        <v>13544</v>
      </c>
    </row>
    <row r="3906" spans="1:13" x14ac:dyDescent="0.35">
      <c r="A3906" s="49" t="s">
        <v>13545</v>
      </c>
      <c r="C3906" s="49" t="s">
        <v>5290</v>
      </c>
      <c r="D3906" s="49" t="s">
        <v>1264</v>
      </c>
      <c r="E3906" s="49" t="s">
        <v>2785</v>
      </c>
      <c r="F3906" s="49" t="s">
        <v>4048</v>
      </c>
      <c r="G3906" s="49" t="s">
        <v>4891</v>
      </c>
      <c r="H3906" s="49" t="s">
        <v>2827</v>
      </c>
      <c r="I3906" s="52">
        <v>46160.676747685196</v>
      </c>
      <c r="M3906" s="49" t="s">
        <v>13546</v>
      </c>
    </row>
    <row r="3907" spans="1:13" x14ac:dyDescent="0.35">
      <c r="A3907" s="49" t="s">
        <v>13547</v>
      </c>
      <c r="B3907" s="49" t="s">
        <v>13548</v>
      </c>
      <c r="C3907" s="49" t="s">
        <v>13549</v>
      </c>
      <c r="D3907" s="49" t="s">
        <v>1264</v>
      </c>
      <c r="E3907" s="49" t="s">
        <v>2986</v>
      </c>
      <c r="F3907" s="49" t="s">
        <v>2825</v>
      </c>
      <c r="G3907" s="49" t="s">
        <v>4891</v>
      </c>
      <c r="H3907" s="49" t="s">
        <v>2827</v>
      </c>
      <c r="I3907" s="52">
        <v>45875.800902777803</v>
      </c>
      <c r="M3907" s="49" t="s">
        <v>13550</v>
      </c>
    </row>
    <row r="3908" spans="1:13" x14ac:dyDescent="0.35">
      <c r="A3908" s="49" t="s">
        <v>13551</v>
      </c>
      <c r="C3908" s="49" t="s">
        <v>393</v>
      </c>
      <c r="D3908" s="49" t="s">
        <v>1264</v>
      </c>
      <c r="E3908" s="49" t="s">
        <v>3413</v>
      </c>
      <c r="F3908" s="49" t="s">
        <v>2825</v>
      </c>
      <c r="G3908" s="49" t="s">
        <v>4891</v>
      </c>
      <c r="H3908" s="49" t="s">
        <v>2827</v>
      </c>
      <c r="I3908" s="52">
        <v>46161.420196759304</v>
      </c>
      <c r="M3908" s="49" t="s">
        <v>13552</v>
      </c>
    </row>
    <row r="3909" spans="1:13" x14ac:dyDescent="0.35">
      <c r="A3909" s="49" t="s">
        <v>13553</v>
      </c>
      <c r="C3909" s="49" t="s">
        <v>13554</v>
      </c>
      <c r="D3909" s="49" t="s">
        <v>1264</v>
      </c>
      <c r="E3909" s="49" t="s">
        <v>2785</v>
      </c>
      <c r="F3909" s="49" t="s">
        <v>2786</v>
      </c>
      <c r="G3909" s="49" t="s">
        <v>4891</v>
      </c>
      <c r="H3909" s="49" t="s">
        <v>980</v>
      </c>
      <c r="I3909" s="52">
        <v>46161.437476851897</v>
      </c>
      <c r="M3909" s="49" t="s">
        <v>6439</v>
      </c>
    </row>
    <row r="3910" spans="1:13" x14ac:dyDescent="0.35">
      <c r="A3910" s="49" t="s">
        <v>13555</v>
      </c>
      <c r="C3910" s="49" t="s">
        <v>5017</v>
      </c>
      <c r="D3910" s="49" t="s">
        <v>1264</v>
      </c>
      <c r="E3910" s="49" t="s">
        <v>2785</v>
      </c>
      <c r="F3910" s="49" t="s">
        <v>2786</v>
      </c>
      <c r="G3910" s="49" t="s">
        <v>4891</v>
      </c>
      <c r="H3910" s="49" t="s">
        <v>980</v>
      </c>
      <c r="I3910" s="52">
        <v>46161.456041666701</v>
      </c>
      <c r="M3910" s="49" t="s">
        <v>13556</v>
      </c>
    </row>
    <row r="3911" spans="1:13" x14ac:dyDescent="0.35">
      <c r="A3911" s="49" t="s">
        <v>13557</v>
      </c>
      <c r="C3911" s="49" t="s">
        <v>5017</v>
      </c>
      <c r="D3911" s="49" t="s">
        <v>1264</v>
      </c>
      <c r="E3911" s="49" t="s">
        <v>2785</v>
      </c>
      <c r="F3911" s="49" t="s">
        <v>2786</v>
      </c>
      <c r="G3911" s="49" t="s">
        <v>4891</v>
      </c>
      <c r="H3911" s="49" t="s">
        <v>980</v>
      </c>
      <c r="I3911" s="52">
        <v>46161.481967592597</v>
      </c>
      <c r="M3911" s="49" t="s">
        <v>13558</v>
      </c>
    </row>
    <row r="3912" spans="1:13" x14ac:dyDescent="0.35">
      <c r="A3912" s="49" t="s">
        <v>13559</v>
      </c>
      <c r="C3912" s="49" t="s">
        <v>13560</v>
      </c>
      <c r="D3912" s="49" t="s">
        <v>1264</v>
      </c>
      <c r="E3912" s="49" t="s">
        <v>2986</v>
      </c>
      <c r="F3912" s="49" t="s">
        <v>2825</v>
      </c>
      <c r="G3912" s="49" t="s">
        <v>4891</v>
      </c>
      <c r="H3912" s="49" t="s">
        <v>2827</v>
      </c>
      <c r="I3912" s="52">
        <v>46141.489745370403</v>
      </c>
      <c r="M3912" s="49" t="s">
        <v>13561</v>
      </c>
    </row>
    <row r="3913" spans="1:13" x14ac:dyDescent="0.35">
      <c r="A3913" s="49" t="s">
        <v>13562</v>
      </c>
      <c r="C3913" s="49" t="s">
        <v>13563</v>
      </c>
      <c r="D3913" s="49" t="s">
        <v>1264</v>
      </c>
      <c r="E3913" s="49" t="s">
        <v>2785</v>
      </c>
      <c r="F3913" s="49" t="s">
        <v>2786</v>
      </c>
      <c r="G3913" s="49" t="s">
        <v>4891</v>
      </c>
      <c r="H3913" s="49" t="s">
        <v>980</v>
      </c>
      <c r="I3913" s="52">
        <v>46161.494537036997</v>
      </c>
      <c r="M3913" s="49" t="s">
        <v>13564</v>
      </c>
    </row>
    <row r="3914" spans="1:13" x14ac:dyDescent="0.35">
      <c r="A3914" s="49" t="s">
        <v>13565</v>
      </c>
      <c r="B3914" s="49" t="s">
        <v>13566</v>
      </c>
      <c r="C3914" s="49" t="s">
        <v>13567</v>
      </c>
      <c r="D3914" s="49" t="s">
        <v>1264</v>
      </c>
      <c r="E3914" s="49" t="s">
        <v>2873</v>
      </c>
      <c r="F3914" s="49" t="s">
        <v>2786</v>
      </c>
      <c r="G3914" s="49" t="s">
        <v>4891</v>
      </c>
      <c r="H3914" s="49" t="s">
        <v>4225</v>
      </c>
      <c r="I3914" s="52">
        <v>46161.512291666702</v>
      </c>
      <c r="M3914" s="49" t="s">
        <v>13568</v>
      </c>
    </row>
    <row r="3915" spans="1:13" x14ac:dyDescent="0.35">
      <c r="A3915" s="49" t="s">
        <v>13569</v>
      </c>
      <c r="C3915" s="49" t="s">
        <v>13570</v>
      </c>
      <c r="D3915" s="49" t="s">
        <v>1264</v>
      </c>
      <c r="E3915" s="49" t="s">
        <v>2986</v>
      </c>
      <c r="F3915" s="49" t="s">
        <v>2825</v>
      </c>
      <c r="G3915" s="49" t="s">
        <v>4891</v>
      </c>
      <c r="H3915" s="49" t="s">
        <v>2827</v>
      </c>
      <c r="I3915" s="52">
        <v>46126.525277777801</v>
      </c>
      <c r="M3915" s="49" t="s">
        <v>13571</v>
      </c>
    </row>
    <row r="3916" spans="1:13" x14ac:dyDescent="0.35">
      <c r="A3916" s="49" t="s">
        <v>13572</v>
      </c>
      <c r="B3916" s="49" t="s">
        <v>6956</v>
      </c>
      <c r="C3916" s="49" t="s">
        <v>13573</v>
      </c>
      <c r="D3916" s="49" t="s">
        <v>1264</v>
      </c>
      <c r="E3916" s="49" t="s">
        <v>2873</v>
      </c>
      <c r="F3916" s="49" t="s">
        <v>2792</v>
      </c>
      <c r="G3916" s="49" t="s">
        <v>4891</v>
      </c>
      <c r="H3916" s="49" t="s">
        <v>980</v>
      </c>
      <c r="I3916" s="52">
        <v>46161.531840277799</v>
      </c>
      <c r="M3916" s="49" t="s">
        <v>13574</v>
      </c>
    </row>
    <row r="3917" spans="1:13" x14ac:dyDescent="0.35">
      <c r="A3917" s="49" t="s">
        <v>13575</v>
      </c>
      <c r="B3917" s="49" t="s">
        <v>13576</v>
      </c>
      <c r="C3917" s="49" t="s">
        <v>13577</v>
      </c>
      <c r="D3917" s="49" t="s">
        <v>1264</v>
      </c>
      <c r="E3917" s="49" t="s">
        <v>2873</v>
      </c>
      <c r="F3917" s="49" t="s">
        <v>2792</v>
      </c>
      <c r="G3917" s="49" t="s">
        <v>4891</v>
      </c>
      <c r="H3917" s="49" t="s">
        <v>835</v>
      </c>
      <c r="I3917" s="52">
        <v>46161.545775462997</v>
      </c>
      <c r="M3917" s="49" t="s">
        <v>13578</v>
      </c>
    </row>
    <row r="3918" spans="1:13" x14ac:dyDescent="0.35">
      <c r="A3918" s="49" t="s">
        <v>13579</v>
      </c>
      <c r="C3918" s="49" t="s">
        <v>5240</v>
      </c>
      <c r="D3918" s="49" t="s">
        <v>1264</v>
      </c>
      <c r="E3918" s="49" t="s">
        <v>2785</v>
      </c>
      <c r="F3918" s="49" t="s">
        <v>2792</v>
      </c>
      <c r="G3918" s="49" t="s">
        <v>4891</v>
      </c>
      <c r="H3918" s="49" t="s">
        <v>3207</v>
      </c>
      <c r="I3918" s="52">
        <v>46161.634907407402</v>
      </c>
      <c r="M3918" s="49" t="s">
        <v>13580</v>
      </c>
    </row>
    <row r="3919" spans="1:13" x14ac:dyDescent="0.35">
      <c r="A3919" s="49" t="s">
        <v>13581</v>
      </c>
      <c r="C3919" s="49" t="s">
        <v>5085</v>
      </c>
      <c r="D3919" s="49" t="s">
        <v>1264</v>
      </c>
      <c r="E3919" s="49" t="s">
        <v>2986</v>
      </c>
      <c r="F3919" s="49" t="s">
        <v>2825</v>
      </c>
      <c r="G3919" s="49" t="s">
        <v>4891</v>
      </c>
      <c r="H3919" s="49" t="s">
        <v>973</v>
      </c>
      <c r="I3919" s="52">
        <v>46150.5929861111</v>
      </c>
      <c r="M3919" s="49" t="s">
        <v>13582</v>
      </c>
    </row>
    <row r="3920" spans="1:13" x14ac:dyDescent="0.35">
      <c r="A3920" s="49" t="s">
        <v>13583</v>
      </c>
      <c r="B3920" s="49" t="s">
        <v>13584</v>
      </c>
      <c r="C3920" s="49" t="s">
        <v>10051</v>
      </c>
      <c r="D3920" s="49" t="s">
        <v>1264</v>
      </c>
      <c r="E3920" s="49" t="s">
        <v>2785</v>
      </c>
      <c r="F3920" s="49" t="s">
        <v>2786</v>
      </c>
      <c r="G3920" s="49" t="s">
        <v>4891</v>
      </c>
      <c r="H3920" s="49" t="s">
        <v>2827</v>
      </c>
      <c r="I3920" s="52">
        <v>46162.653715277796</v>
      </c>
      <c r="M3920" s="49" t="s">
        <v>13585</v>
      </c>
    </row>
    <row r="3921" spans="1:13" x14ac:dyDescent="0.35">
      <c r="A3921" s="49" t="s">
        <v>13586</v>
      </c>
      <c r="B3921" s="49" t="s">
        <v>13587</v>
      </c>
      <c r="C3921" s="49" t="s">
        <v>10051</v>
      </c>
      <c r="D3921" s="49" t="s">
        <v>1264</v>
      </c>
      <c r="E3921" s="49" t="s">
        <v>2785</v>
      </c>
      <c r="F3921" s="49" t="s">
        <v>2786</v>
      </c>
      <c r="G3921" s="49" t="s">
        <v>4891</v>
      </c>
      <c r="H3921" s="49" t="s">
        <v>2827</v>
      </c>
      <c r="I3921" s="52">
        <v>46162.660509259302</v>
      </c>
      <c r="M3921" s="49" t="s">
        <v>4437</v>
      </c>
    </row>
    <row r="3922" spans="1:13" x14ac:dyDescent="0.35">
      <c r="A3922" s="49" t="s">
        <v>13588</v>
      </c>
      <c r="C3922" s="49" t="s">
        <v>5233</v>
      </c>
      <c r="D3922" s="49" t="s">
        <v>1264</v>
      </c>
      <c r="E3922" s="49" t="s">
        <v>2986</v>
      </c>
      <c r="F3922" s="49" t="s">
        <v>2825</v>
      </c>
      <c r="G3922" s="49" t="s">
        <v>4891</v>
      </c>
      <c r="H3922" s="49" t="s">
        <v>2827</v>
      </c>
      <c r="I3922" s="52">
        <v>46129.689560185201</v>
      </c>
      <c r="M3922" s="49" t="s">
        <v>6157</v>
      </c>
    </row>
    <row r="3923" spans="1:13" x14ac:dyDescent="0.35">
      <c r="A3923" s="49" t="s">
        <v>13589</v>
      </c>
      <c r="B3923" s="49" t="s">
        <v>6400</v>
      </c>
      <c r="C3923" s="49" t="s">
        <v>13590</v>
      </c>
      <c r="D3923" s="49" t="s">
        <v>1264</v>
      </c>
      <c r="E3923" s="49" t="s">
        <v>2873</v>
      </c>
      <c r="F3923" s="49" t="s">
        <v>2792</v>
      </c>
      <c r="G3923" s="49" t="s">
        <v>4891</v>
      </c>
      <c r="H3923" s="49" t="s">
        <v>864</v>
      </c>
      <c r="I3923" s="52">
        <v>46163.439699074101</v>
      </c>
      <c r="M3923" s="49" t="s">
        <v>13591</v>
      </c>
    </row>
    <row r="3924" spans="1:13" ht="29" x14ac:dyDescent="0.35">
      <c r="A3924" s="49" t="s">
        <v>13592</v>
      </c>
      <c r="B3924" s="51" t="s">
        <v>13593</v>
      </c>
      <c r="C3924" s="49" t="s">
        <v>13594</v>
      </c>
      <c r="D3924" s="49" t="s">
        <v>1264</v>
      </c>
      <c r="E3924" s="49" t="s">
        <v>2873</v>
      </c>
      <c r="F3924" s="49" t="s">
        <v>2792</v>
      </c>
      <c r="G3924" s="49" t="s">
        <v>4891</v>
      </c>
      <c r="H3924" s="49" t="s">
        <v>4225</v>
      </c>
      <c r="I3924" s="52">
        <v>46163.455185185201</v>
      </c>
      <c r="M3924" s="49" t="s">
        <v>13595</v>
      </c>
    </row>
    <row r="3925" spans="1:13" x14ac:dyDescent="0.35">
      <c r="A3925" s="49" t="s">
        <v>13596</v>
      </c>
      <c r="B3925" s="49" t="s">
        <v>6133</v>
      </c>
      <c r="C3925" s="49" t="s">
        <v>13100</v>
      </c>
      <c r="D3925" s="49" t="s">
        <v>1264</v>
      </c>
      <c r="E3925" s="49" t="s">
        <v>2785</v>
      </c>
      <c r="F3925" s="49" t="s">
        <v>2792</v>
      </c>
      <c r="G3925" s="49" t="s">
        <v>4891</v>
      </c>
      <c r="H3925" s="49" t="s">
        <v>980</v>
      </c>
      <c r="I3925" s="52">
        <v>46163.493125000001</v>
      </c>
      <c r="M3925" s="49" t="s">
        <v>13597</v>
      </c>
    </row>
    <row r="3926" spans="1:13" x14ac:dyDescent="0.35">
      <c r="A3926" s="49" t="s">
        <v>13598</v>
      </c>
      <c r="B3926" s="49" t="s">
        <v>4522</v>
      </c>
      <c r="C3926" s="49" t="s">
        <v>13497</v>
      </c>
      <c r="D3926" s="49" t="s">
        <v>1264</v>
      </c>
      <c r="E3926" s="49" t="s">
        <v>2785</v>
      </c>
      <c r="F3926" s="49" t="s">
        <v>2792</v>
      </c>
      <c r="G3926" s="49" t="s">
        <v>4891</v>
      </c>
      <c r="H3926" s="49" t="s">
        <v>980</v>
      </c>
      <c r="I3926" s="52">
        <v>46163.509768518503</v>
      </c>
      <c r="M3926" s="49" t="s">
        <v>13599</v>
      </c>
    </row>
    <row r="3927" spans="1:13" x14ac:dyDescent="0.35">
      <c r="A3927" s="49" t="s">
        <v>13600</v>
      </c>
      <c r="B3927" s="49" t="s">
        <v>7989</v>
      </c>
      <c r="C3927" s="49" t="s">
        <v>13601</v>
      </c>
      <c r="D3927" s="49" t="s">
        <v>1264</v>
      </c>
      <c r="E3927" s="49" t="s">
        <v>2785</v>
      </c>
      <c r="F3927" s="49" t="s">
        <v>2786</v>
      </c>
      <c r="G3927" s="49" t="s">
        <v>4891</v>
      </c>
      <c r="H3927" s="49" t="s">
        <v>980</v>
      </c>
      <c r="I3927" s="52">
        <v>46163.5256828704</v>
      </c>
      <c r="M3927" s="49" t="s">
        <v>13602</v>
      </c>
    </row>
    <row r="3928" spans="1:13" x14ac:dyDescent="0.35">
      <c r="A3928" s="49" t="s">
        <v>13603</v>
      </c>
      <c r="B3928" s="49" t="s">
        <v>13604</v>
      </c>
      <c r="C3928" s="49" t="s">
        <v>13113</v>
      </c>
      <c r="D3928" s="49" t="s">
        <v>1264</v>
      </c>
      <c r="E3928" s="49" t="s">
        <v>2785</v>
      </c>
      <c r="F3928" s="49" t="s">
        <v>2786</v>
      </c>
      <c r="G3928" s="49" t="s">
        <v>4891</v>
      </c>
      <c r="H3928" s="49" t="s">
        <v>980</v>
      </c>
      <c r="I3928" s="52">
        <v>46163.6340740741</v>
      </c>
      <c r="M3928" s="49" t="s">
        <v>13605</v>
      </c>
    </row>
    <row r="3929" spans="1:13" ht="29" x14ac:dyDescent="0.35">
      <c r="A3929" s="49" t="s">
        <v>13606</v>
      </c>
      <c r="B3929" s="51" t="s">
        <v>6943</v>
      </c>
      <c r="C3929" s="49" t="s">
        <v>13607</v>
      </c>
      <c r="D3929" s="49" t="s">
        <v>1264</v>
      </c>
      <c r="E3929" s="49" t="s">
        <v>2785</v>
      </c>
      <c r="F3929" s="49" t="s">
        <v>2786</v>
      </c>
      <c r="G3929" s="49" t="s">
        <v>4891</v>
      </c>
      <c r="H3929" s="49" t="s">
        <v>980</v>
      </c>
      <c r="I3929" s="52">
        <v>46164.447349536997</v>
      </c>
      <c r="M3929" s="49" t="s">
        <v>13608</v>
      </c>
    </row>
    <row r="3930" spans="1:13" x14ac:dyDescent="0.35">
      <c r="A3930" s="49" t="s">
        <v>13609</v>
      </c>
      <c r="C3930" s="49" t="s">
        <v>5017</v>
      </c>
      <c r="D3930" s="49" t="s">
        <v>1264</v>
      </c>
      <c r="E3930" s="49" t="s">
        <v>2785</v>
      </c>
      <c r="F3930" s="49" t="s">
        <v>2786</v>
      </c>
      <c r="G3930" s="49" t="s">
        <v>4891</v>
      </c>
      <c r="H3930" s="49" t="s">
        <v>980</v>
      </c>
      <c r="I3930" s="52">
        <v>46175.472708333298</v>
      </c>
      <c r="M3930" s="49" t="s">
        <v>13556</v>
      </c>
    </row>
    <row r="3931" spans="1:13" x14ac:dyDescent="0.35">
      <c r="A3931" s="49" t="s">
        <v>13610</v>
      </c>
      <c r="B3931" s="49" t="s">
        <v>6133</v>
      </c>
      <c r="C3931" s="49" t="s">
        <v>13611</v>
      </c>
      <c r="D3931" s="49" t="s">
        <v>1264</v>
      </c>
      <c r="E3931" s="49" t="s">
        <v>2785</v>
      </c>
      <c r="F3931" s="49" t="s">
        <v>2792</v>
      </c>
      <c r="G3931" s="49" t="s">
        <v>4891</v>
      </c>
      <c r="H3931" s="49" t="s">
        <v>980</v>
      </c>
      <c r="I3931" s="52">
        <v>46175.569016203699</v>
      </c>
      <c r="M3931" s="49" t="s">
        <v>13612</v>
      </c>
    </row>
    <row r="3932" spans="1:13" x14ac:dyDescent="0.35">
      <c r="A3932" s="49" t="s">
        <v>13613</v>
      </c>
      <c r="C3932" s="49" t="s">
        <v>13614</v>
      </c>
      <c r="D3932" s="49" t="s">
        <v>1264</v>
      </c>
      <c r="E3932" s="49" t="s">
        <v>7057</v>
      </c>
      <c r="F3932" s="49" t="s">
        <v>2825</v>
      </c>
      <c r="G3932" s="49" t="s">
        <v>2776</v>
      </c>
      <c r="H3932" s="49" t="s">
        <v>2827</v>
      </c>
      <c r="I3932" s="50">
        <v>41676</v>
      </c>
      <c r="M3932" s="49" t="s">
        <v>13615</v>
      </c>
    </row>
    <row r="3933" spans="1:13" x14ac:dyDescent="0.35">
      <c r="A3933" s="49" t="s">
        <v>13616</v>
      </c>
      <c r="C3933" s="49" t="s">
        <v>13617</v>
      </c>
      <c r="D3933" s="49" t="s">
        <v>1264</v>
      </c>
      <c r="E3933" s="49" t="s">
        <v>2774</v>
      </c>
      <c r="F3933" s="49" t="s">
        <v>3648</v>
      </c>
      <c r="G3933" s="49" t="s">
        <v>2776</v>
      </c>
      <c r="H3933" s="49" t="s">
        <v>980</v>
      </c>
      <c r="I3933" s="50">
        <v>41845</v>
      </c>
      <c r="M3933" s="49" t="s">
        <v>13618</v>
      </c>
    </row>
    <row r="3934" spans="1:13" x14ac:dyDescent="0.35">
      <c r="A3934" s="49" t="s">
        <v>13619</v>
      </c>
      <c r="C3934" s="49" t="s">
        <v>7207</v>
      </c>
      <c r="D3934" s="49" t="s">
        <v>1264</v>
      </c>
      <c r="E3934" s="49" t="s">
        <v>2908</v>
      </c>
      <c r="F3934" s="49" t="s">
        <v>2939</v>
      </c>
      <c r="G3934" s="49" t="s">
        <v>2776</v>
      </c>
      <c r="H3934" s="49" t="s">
        <v>980</v>
      </c>
      <c r="I3934" s="50">
        <v>41817</v>
      </c>
      <c r="M3934" s="49" t="s">
        <v>13620</v>
      </c>
    </row>
    <row r="3935" spans="1:13" x14ac:dyDescent="0.35">
      <c r="A3935" s="49" t="s">
        <v>13621</v>
      </c>
      <c r="B3935" s="49" t="s">
        <v>2984</v>
      </c>
      <c r="C3935" s="49" t="s">
        <v>10051</v>
      </c>
      <c r="D3935" s="49" t="s">
        <v>1264</v>
      </c>
      <c r="E3935" s="49" t="s">
        <v>2974</v>
      </c>
      <c r="F3935" s="49" t="s">
        <v>2825</v>
      </c>
      <c r="G3935" s="49" t="s">
        <v>2776</v>
      </c>
      <c r="H3935" s="49" t="s">
        <v>2827</v>
      </c>
      <c r="I3935" s="50">
        <v>41962</v>
      </c>
      <c r="M3935" s="49" t="s">
        <v>13622</v>
      </c>
    </row>
    <row r="3936" spans="1:13" x14ac:dyDescent="0.35">
      <c r="A3936" s="49" t="s">
        <v>13623</v>
      </c>
      <c r="B3936" s="49" t="s">
        <v>10683</v>
      </c>
      <c r="C3936" s="49" t="s">
        <v>13624</v>
      </c>
      <c r="D3936" s="49" t="s">
        <v>1264</v>
      </c>
      <c r="E3936" s="49" t="s">
        <v>2986</v>
      </c>
      <c r="F3936" s="49" t="s">
        <v>2825</v>
      </c>
      <c r="G3936" s="49" t="s">
        <v>2776</v>
      </c>
      <c r="H3936" s="49" t="s">
        <v>2827</v>
      </c>
      <c r="I3936" s="50">
        <v>43090</v>
      </c>
      <c r="M3936" s="49" t="s">
        <v>11720</v>
      </c>
    </row>
    <row r="3937" spans="1:13" x14ac:dyDescent="0.35">
      <c r="A3937" s="49" t="s">
        <v>13625</v>
      </c>
      <c r="B3937" s="49" t="s">
        <v>10683</v>
      </c>
      <c r="C3937" s="49" t="s">
        <v>7609</v>
      </c>
      <c r="D3937" s="49" t="s">
        <v>1264</v>
      </c>
      <c r="E3937" s="49" t="s">
        <v>2986</v>
      </c>
      <c r="F3937" s="49" t="s">
        <v>2825</v>
      </c>
      <c r="G3937" s="49" t="s">
        <v>2776</v>
      </c>
      <c r="H3937" s="49" t="s">
        <v>2827</v>
      </c>
      <c r="I3937" s="50">
        <v>42727</v>
      </c>
      <c r="M3937" s="49" t="s">
        <v>3270</v>
      </c>
    </row>
    <row r="3938" spans="1:13" x14ac:dyDescent="0.35">
      <c r="A3938" s="49" t="s">
        <v>13626</v>
      </c>
      <c r="B3938" s="49" t="s">
        <v>3434</v>
      </c>
      <c r="C3938" s="49" t="s">
        <v>9041</v>
      </c>
      <c r="D3938" s="49" t="s">
        <v>1264</v>
      </c>
      <c r="E3938" s="49" t="s">
        <v>2986</v>
      </c>
      <c r="F3938" s="49" t="s">
        <v>2825</v>
      </c>
      <c r="G3938" s="49" t="s">
        <v>2776</v>
      </c>
      <c r="H3938" s="49" t="s">
        <v>2827</v>
      </c>
      <c r="I3938" s="50">
        <v>43082</v>
      </c>
      <c r="M3938" s="49" t="s">
        <v>13627</v>
      </c>
    </row>
    <row r="3939" spans="1:13" x14ac:dyDescent="0.35">
      <c r="A3939" s="49" t="s">
        <v>13628</v>
      </c>
      <c r="B3939" s="49" t="s">
        <v>9882</v>
      </c>
      <c r="C3939" s="49" t="s">
        <v>8229</v>
      </c>
      <c r="D3939" s="49" t="s">
        <v>1264</v>
      </c>
      <c r="E3939" s="49" t="s">
        <v>2986</v>
      </c>
      <c r="F3939" s="49" t="s">
        <v>2825</v>
      </c>
      <c r="G3939" s="49" t="s">
        <v>2776</v>
      </c>
      <c r="H3939" s="49" t="s">
        <v>2827</v>
      </c>
      <c r="I3939" s="50">
        <v>43335</v>
      </c>
      <c r="M3939" s="49" t="s">
        <v>13629</v>
      </c>
    </row>
    <row r="3940" spans="1:13" x14ac:dyDescent="0.35">
      <c r="A3940" s="49" t="s">
        <v>13630</v>
      </c>
      <c r="C3940" s="49" t="s">
        <v>4450</v>
      </c>
      <c r="D3940" s="49" t="s">
        <v>1264</v>
      </c>
      <c r="E3940" s="49" t="s">
        <v>2986</v>
      </c>
      <c r="F3940" s="49" t="s">
        <v>2825</v>
      </c>
      <c r="G3940" s="49" t="s">
        <v>2776</v>
      </c>
      <c r="H3940" s="49" t="s">
        <v>2827</v>
      </c>
      <c r="I3940" s="50">
        <v>43213</v>
      </c>
      <c r="M3940" s="49" t="s">
        <v>13631</v>
      </c>
    </row>
    <row r="3941" spans="1:13" x14ac:dyDescent="0.35">
      <c r="A3941" s="49" t="s">
        <v>13632</v>
      </c>
      <c r="B3941" s="49" t="s">
        <v>10206</v>
      </c>
      <c r="C3941" s="49" t="s">
        <v>3702</v>
      </c>
      <c r="D3941" s="49" t="s">
        <v>1264</v>
      </c>
      <c r="E3941" s="49" t="s">
        <v>2986</v>
      </c>
      <c r="F3941" s="49" t="s">
        <v>2825</v>
      </c>
      <c r="G3941" s="49" t="s">
        <v>2776</v>
      </c>
      <c r="H3941" s="49" t="s">
        <v>2827</v>
      </c>
      <c r="I3941" s="50">
        <v>43180</v>
      </c>
      <c r="M3941" s="49" t="s">
        <v>13633</v>
      </c>
    </row>
    <row r="3942" spans="1:13" x14ac:dyDescent="0.35">
      <c r="A3942" s="49" t="s">
        <v>13634</v>
      </c>
      <c r="B3942" s="49" t="s">
        <v>13635</v>
      </c>
      <c r="C3942" s="49" t="s">
        <v>13636</v>
      </c>
      <c r="D3942" s="49" t="s">
        <v>1264</v>
      </c>
      <c r="E3942" s="49" t="s">
        <v>2986</v>
      </c>
      <c r="F3942" s="49" t="s">
        <v>2825</v>
      </c>
      <c r="G3942" s="49" t="s">
        <v>2776</v>
      </c>
      <c r="H3942" s="49" t="s">
        <v>2827</v>
      </c>
      <c r="I3942" s="50">
        <v>42816</v>
      </c>
      <c r="M3942" s="49" t="s">
        <v>3270</v>
      </c>
    </row>
    <row r="3943" spans="1:13" x14ac:dyDescent="0.35">
      <c r="A3943" s="49" t="s">
        <v>13637</v>
      </c>
      <c r="B3943" s="49" t="s">
        <v>13638</v>
      </c>
      <c r="C3943" s="49" t="s">
        <v>10959</v>
      </c>
      <c r="D3943" s="49" t="s">
        <v>1264</v>
      </c>
      <c r="E3943" s="49" t="s">
        <v>2986</v>
      </c>
      <c r="F3943" s="49" t="s">
        <v>2825</v>
      </c>
      <c r="G3943" s="49" t="s">
        <v>2776</v>
      </c>
      <c r="H3943" s="49" t="s">
        <v>2827</v>
      </c>
      <c r="I3943" s="50">
        <v>43587</v>
      </c>
      <c r="M3943" s="49" t="s">
        <v>13639</v>
      </c>
    </row>
    <row r="3944" spans="1:13" x14ac:dyDescent="0.35">
      <c r="A3944" s="49" t="s">
        <v>13640</v>
      </c>
      <c r="B3944" s="49" t="s">
        <v>13641</v>
      </c>
      <c r="C3944" s="49" t="s">
        <v>13642</v>
      </c>
      <c r="D3944" s="49" t="s">
        <v>1264</v>
      </c>
      <c r="E3944" s="49" t="s">
        <v>2986</v>
      </c>
      <c r="F3944" s="49" t="s">
        <v>2825</v>
      </c>
      <c r="G3944" s="49" t="s">
        <v>2776</v>
      </c>
      <c r="H3944" s="49" t="s">
        <v>2827</v>
      </c>
      <c r="I3944" s="50">
        <v>43313</v>
      </c>
      <c r="M3944" s="49" t="s">
        <v>3270</v>
      </c>
    </row>
    <row r="3945" spans="1:13" x14ac:dyDescent="0.35">
      <c r="A3945" s="49" t="s">
        <v>13643</v>
      </c>
      <c r="B3945" s="49" t="s">
        <v>13644</v>
      </c>
      <c r="C3945" s="49" t="s">
        <v>3606</v>
      </c>
      <c r="D3945" s="49" t="s">
        <v>1264</v>
      </c>
      <c r="E3945" s="49" t="s">
        <v>2986</v>
      </c>
      <c r="F3945" s="49" t="s">
        <v>2825</v>
      </c>
      <c r="G3945" s="49" t="s">
        <v>2776</v>
      </c>
      <c r="H3945" s="49" t="s">
        <v>2827</v>
      </c>
      <c r="I3945" s="50">
        <v>43222</v>
      </c>
      <c r="M3945" s="49" t="s">
        <v>3100</v>
      </c>
    </row>
    <row r="3946" spans="1:13" x14ac:dyDescent="0.35">
      <c r="A3946" s="49" t="s">
        <v>13645</v>
      </c>
      <c r="B3946" s="49" t="s">
        <v>3810</v>
      </c>
      <c r="C3946" s="49" t="s">
        <v>3811</v>
      </c>
      <c r="D3946" s="49" t="s">
        <v>1264</v>
      </c>
      <c r="E3946" s="49" t="s">
        <v>2986</v>
      </c>
      <c r="F3946" s="49" t="s">
        <v>2825</v>
      </c>
      <c r="G3946" s="49" t="s">
        <v>2776</v>
      </c>
      <c r="H3946" s="49" t="s">
        <v>2827</v>
      </c>
      <c r="I3946" s="50">
        <v>43012</v>
      </c>
      <c r="M3946" s="49" t="s">
        <v>3270</v>
      </c>
    </row>
    <row r="3947" spans="1:13" x14ac:dyDescent="0.35">
      <c r="A3947" s="49" t="s">
        <v>13646</v>
      </c>
      <c r="C3947" s="49" t="s">
        <v>3187</v>
      </c>
      <c r="D3947" s="49" t="s">
        <v>1264</v>
      </c>
      <c r="E3947" s="49" t="s">
        <v>2986</v>
      </c>
      <c r="F3947" s="49" t="s">
        <v>2825</v>
      </c>
      <c r="G3947" s="49" t="s">
        <v>2776</v>
      </c>
      <c r="H3947" s="49" t="s">
        <v>2827</v>
      </c>
      <c r="I3947" s="50">
        <v>43064</v>
      </c>
      <c r="M3947" s="49" t="s">
        <v>3270</v>
      </c>
    </row>
    <row r="3948" spans="1:13" x14ac:dyDescent="0.35">
      <c r="A3948" s="49" t="s">
        <v>13647</v>
      </c>
      <c r="C3948" s="49" t="s">
        <v>13648</v>
      </c>
      <c r="D3948" s="49" t="s">
        <v>1264</v>
      </c>
      <c r="E3948" s="49" t="s">
        <v>2986</v>
      </c>
      <c r="F3948" s="49" t="s">
        <v>2825</v>
      </c>
      <c r="G3948" s="49" t="s">
        <v>2776</v>
      </c>
      <c r="H3948" s="49" t="s">
        <v>2827</v>
      </c>
      <c r="I3948" s="50">
        <v>42717</v>
      </c>
      <c r="M3948" s="49" t="s">
        <v>3270</v>
      </c>
    </row>
    <row r="3949" spans="1:13" x14ac:dyDescent="0.35">
      <c r="A3949" s="49" t="s">
        <v>13649</v>
      </c>
      <c r="B3949" s="49" t="s">
        <v>13650</v>
      </c>
      <c r="C3949" s="49" t="s">
        <v>13651</v>
      </c>
      <c r="D3949" s="49" t="s">
        <v>1264</v>
      </c>
      <c r="E3949" s="49" t="s">
        <v>2986</v>
      </c>
      <c r="F3949" s="49" t="s">
        <v>2825</v>
      </c>
      <c r="G3949" s="49" t="s">
        <v>2776</v>
      </c>
      <c r="H3949" s="49" t="s">
        <v>2827</v>
      </c>
      <c r="I3949" s="50">
        <v>43110</v>
      </c>
      <c r="M3949" s="49" t="s">
        <v>13652</v>
      </c>
    </row>
    <row r="3950" spans="1:13" x14ac:dyDescent="0.35">
      <c r="A3950" s="49" t="s">
        <v>13653</v>
      </c>
      <c r="B3950" s="49" t="s">
        <v>13654</v>
      </c>
      <c r="C3950" s="49" t="s">
        <v>10256</v>
      </c>
      <c r="D3950" s="49" t="s">
        <v>1264</v>
      </c>
      <c r="E3950" s="49" t="s">
        <v>2986</v>
      </c>
      <c r="F3950" s="49" t="s">
        <v>2825</v>
      </c>
      <c r="G3950" s="49" t="s">
        <v>2787</v>
      </c>
      <c r="H3950" s="49" t="s">
        <v>2827</v>
      </c>
      <c r="I3950" s="50">
        <v>42814</v>
      </c>
      <c r="M3950" s="49" t="s">
        <v>3270</v>
      </c>
    </row>
    <row r="3951" spans="1:13" x14ac:dyDescent="0.35">
      <c r="A3951" s="49" t="s">
        <v>13655</v>
      </c>
      <c r="C3951" s="49" t="s">
        <v>13656</v>
      </c>
      <c r="D3951" s="49" t="s">
        <v>1264</v>
      </c>
      <c r="E3951" s="49" t="s">
        <v>2986</v>
      </c>
      <c r="F3951" s="49" t="s">
        <v>2825</v>
      </c>
      <c r="G3951" s="49" t="s">
        <v>2776</v>
      </c>
      <c r="H3951" s="49" t="s">
        <v>2827</v>
      </c>
      <c r="I3951" s="50">
        <v>42872</v>
      </c>
      <c r="M3951" s="49" t="s">
        <v>3270</v>
      </c>
    </row>
    <row r="3952" spans="1:13" x14ac:dyDescent="0.35">
      <c r="A3952" s="49" t="s">
        <v>13657</v>
      </c>
      <c r="B3952" s="49" t="s">
        <v>11923</v>
      </c>
      <c r="C3952" s="49" t="s">
        <v>3835</v>
      </c>
      <c r="D3952" s="49" t="s">
        <v>1264</v>
      </c>
      <c r="E3952" s="49" t="s">
        <v>2986</v>
      </c>
      <c r="F3952" s="49" t="s">
        <v>2825</v>
      </c>
      <c r="G3952" s="49" t="s">
        <v>2776</v>
      </c>
      <c r="H3952" s="49" t="s">
        <v>2827</v>
      </c>
      <c r="I3952" s="50">
        <v>43360</v>
      </c>
      <c r="M3952" s="49" t="s">
        <v>13658</v>
      </c>
    </row>
    <row r="3953" spans="1:13" x14ac:dyDescent="0.35">
      <c r="A3953" s="49" t="s">
        <v>13659</v>
      </c>
      <c r="C3953" s="49" t="s">
        <v>13660</v>
      </c>
      <c r="D3953" s="49" t="s">
        <v>1264</v>
      </c>
      <c r="E3953" s="49" t="s">
        <v>2986</v>
      </c>
      <c r="F3953" s="49" t="s">
        <v>2825</v>
      </c>
      <c r="G3953" s="49" t="s">
        <v>2776</v>
      </c>
      <c r="H3953" s="49" t="s">
        <v>2827</v>
      </c>
      <c r="I3953" s="50">
        <v>43318</v>
      </c>
      <c r="M3953" s="49" t="s">
        <v>13661</v>
      </c>
    </row>
    <row r="3954" spans="1:13" x14ac:dyDescent="0.35">
      <c r="A3954" s="49" t="s">
        <v>13662</v>
      </c>
      <c r="B3954" s="49" t="s">
        <v>8523</v>
      </c>
      <c r="C3954" s="49" t="s">
        <v>3811</v>
      </c>
      <c r="D3954" s="49" t="s">
        <v>1264</v>
      </c>
      <c r="E3954" s="49" t="s">
        <v>2986</v>
      </c>
      <c r="F3954" s="49" t="s">
        <v>2825</v>
      </c>
      <c r="G3954" s="49" t="s">
        <v>2776</v>
      </c>
      <c r="H3954" s="49" t="s">
        <v>2827</v>
      </c>
      <c r="I3954" s="50">
        <v>43318</v>
      </c>
      <c r="M3954" s="49" t="s">
        <v>10078</v>
      </c>
    </row>
    <row r="3955" spans="1:13" x14ac:dyDescent="0.35">
      <c r="A3955" s="49" t="s">
        <v>13663</v>
      </c>
      <c r="B3955" s="49" t="s">
        <v>13664</v>
      </c>
      <c r="C3955" s="49" t="s">
        <v>13665</v>
      </c>
      <c r="D3955" s="49" t="s">
        <v>1264</v>
      </c>
      <c r="E3955" s="49" t="s">
        <v>2986</v>
      </c>
      <c r="F3955" s="49" t="s">
        <v>2825</v>
      </c>
      <c r="G3955" s="49" t="s">
        <v>2776</v>
      </c>
      <c r="H3955" s="49" t="s">
        <v>2827</v>
      </c>
      <c r="I3955" s="50">
        <v>42742</v>
      </c>
      <c r="M3955" s="49" t="s">
        <v>3100</v>
      </c>
    </row>
    <row r="3956" spans="1:13" x14ac:dyDescent="0.35">
      <c r="A3956" s="49" t="s">
        <v>13666</v>
      </c>
      <c r="B3956" s="49" t="s">
        <v>8556</v>
      </c>
      <c r="C3956" s="49" t="s">
        <v>13667</v>
      </c>
      <c r="D3956" s="49" t="s">
        <v>1264</v>
      </c>
      <c r="E3956" s="49" t="s">
        <v>2986</v>
      </c>
      <c r="F3956" s="49" t="s">
        <v>2825</v>
      </c>
      <c r="G3956" s="49" t="s">
        <v>2776</v>
      </c>
      <c r="H3956" s="49" t="s">
        <v>2827</v>
      </c>
      <c r="I3956" s="50">
        <v>43229</v>
      </c>
      <c r="M3956" s="49" t="s">
        <v>10318</v>
      </c>
    </row>
    <row r="3957" spans="1:13" x14ac:dyDescent="0.35">
      <c r="A3957" s="49" t="s">
        <v>13668</v>
      </c>
      <c r="B3957" s="49" t="s">
        <v>13669</v>
      </c>
      <c r="C3957" s="49" t="s">
        <v>3702</v>
      </c>
      <c r="D3957" s="49" t="s">
        <v>1264</v>
      </c>
      <c r="E3957" s="49" t="s">
        <v>2986</v>
      </c>
      <c r="F3957" s="49" t="s">
        <v>2825</v>
      </c>
      <c r="G3957" s="49" t="s">
        <v>2776</v>
      </c>
      <c r="H3957" s="49" t="s">
        <v>2827</v>
      </c>
      <c r="I3957" s="50">
        <v>43383</v>
      </c>
      <c r="M3957" s="49" t="s">
        <v>3270</v>
      </c>
    </row>
    <row r="3958" spans="1:13" x14ac:dyDescent="0.35">
      <c r="A3958" s="49" t="s">
        <v>13670</v>
      </c>
      <c r="B3958" s="49" t="s">
        <v>13671</v>
      </c>
      <c r="C3958" s="49" t="s">
        <v>13672</v>
      </c>
      <c r="D3958" s="49" t="s">
        <v>1264</v>
      </c>
      <c r="E3958" s="49" t="s">
        <v>2986</v>
      </c>
      <c r="F3958" s="49" t="s">
        <v>2825</v>
      </c>
      <c r="G3958" s="49" t="s">
        <v>2776</v>
      </c>
      <c r="H3958" s="49" t="s">
        <v>2827</v>
      </c>
      <c r="I3958" s="50">
        <v>42862</v>
      </c>
      <c r="M3958" s="49" t="s">
        <v>3270</v>
      </c>
    </row>
    <row r="3959" spans="1:13" x14ac:dyDescent="0.35">
      <c r="A3959" s="49" t="s">
        <v>13673</v>
      </c>
      <c r="B3959" s="49" t="s">
        <v>5717</v>
      </c>
      <c r="C3959" s="49" t="s">
        <v>5262</v>
      </c>
      <c r="D3959" s="49" t="s">
        <v>1264</v>
      </c>
      <c r="E3959" s="49" t="s">
        <v>2986</v>
      </c>
      <c r="F3959" s="49" t="s">
        <v>2825</v>
      </c>
      <c r="G3959" s="49" t="s">
        <v>2776</v>
      </c>
      <c r="H3959" s="49" t="s">
        <v>973</v>
      </c>
      <c r="I3959" s="50">
        <v>43183</v>
      </c>
      <c r="M3959" s="49" t="s">
        <v>13674</v>
      </c>
    </row>
    <row r="3960" spans="1:13" x14ac:dyDescent="0.35">
      <c r="A3960" s="49" t="s">
        <v>13675</v>
      </c>
      <c r="B3960" s="49" t="s">
        <v>13676</v>
      </c>
      <c r="C3960" s="49" t="s">
        <v>3664</v>
      </c>
      <c r="D3960" s="49" t="s">
        <v>1264</v>
      </c>
      <c r="E3960" s="49" t="s">
        <v>2986</v>
      </c>
      <c r="F3960" s="49" t="s">
        <v>2825</v>
      </c>
      <c r="G3960" s="49" t="s">
        <v>2776</v>
      </c>
      <c r="H3960" s="49" t="s">
        <v>2827</v>
      </c>
      <c r="I3960" s="50">
        <v>43091</v>
      </c>
      <c r="M3960" s="49" t="s">
        <v>13677</v>
      </c>
    </row>
    <row r="3961" spans="1:13" x14ac:dyDescent="0.35">
      <c r="A3961" s="49" t="s">
        <v>13678</v>
      </c>
      <c r="B3961" s="49" t="s">
        <v>13679</v>
      </c>
      <c r="C3961" s="49" t="s">
        <v>13680</v>
      </c>
      <c r="D3961" s="49" t="s">
        <v>1264</v>
      </c>
      <c r="E3961" s="49" t="s">
        <v>2986</v>
      </c>
      <c r="F3961" s="49" t="s">
        <v>2825</v>
      </c>
      <c r="G3961" s="49" t="s">
        <v>2776</v>
      </c>
      <c r="H3961" s="49" t="s">
        <v>2827</v>
      </c>
      <c r="I3961" s="50">
        <v>43465</v>
      </c>
      <c r="M3961" s="49" t="s">
        <v>3270</v>
      </c>
    </row>
    <row r="3962" spans="1:13" x14ac:dyDescent="0.35">
      <c r="A3962" s="49" t="s">
        <v>13681</v>
      </c>
      <c r="C3962" s="49" t="s">
        <v>13682</v>
      </c>
      <c r="D3962" s="49" t="s">
        <v>1264</v>
      </c>
      <c r="E3962" s="49" t="s">
        <v>2986</v>
      </c>
      <c r="F3962" s="49" t="s">
        <v>2825</v>
      </c>
      <c r="G3962" s="49" t="s">
        <v>2776</v>
      </c>
      <c r="H3962" s="49" t="s">
        <v>2827</v>
      </c>
      <c r="I3962" s="50">
        <v>43503</v>
      </c>
      <c r="M3962" s="49" t="s">
        <v>13683</v>
      </c>
    </row>
    <row r="3963" spans="1:13" x14ac:dyDescent="0.35">
      <c r="A3963" s="49" t="s">
        <v>13684</v>
      </c>
      <c r="B3963" s="49" t="s">
        <v>10495</v>
      </c>
      <c r="C3963" s="49" t="s">
        <v>13685</v>
      </c>
      <c r="D3963" s="49" t="s">
        <v>1264</v>
      </c>
      <c r="E3963" s="49" t="s">
        <v>2986</v>
      </c>
      <c r="F3963" s="49" t="s">
        <v>2825</v>
      </c>
      <c r="G3963" s="49" t="s">
        <v>2787</v>
      </c>
      <c r="H3963" s="49" t="s">
        <v>2827</v>
      </c>
      <c r="I3963" s="50">
        <v>42783</v>
      </c>
      <c r="M3963" s="49" t="s">
        <v>3270</v>
      </c>
    </row>
    <row r="3964" spans="1:13" x14ac:dyDescent="0.35">
      <c r="A3964" s="49" t="s">
        <v>13686</v>
      </c>
      <c r="B3964" s="49" t="s">
        <v>13687</v>
      </c>
      <c r="C3964" s="49" t="s">
        <v>11016</v>
      </c>
      <c r="D3964" s="49" t="s">
        <v>1264</v>
      </c>
      <c r="E3964" s="49" t="s">
        <v>2986</v>
      </c>
      <c r="F3964" s="49" t="s">
        <v>2825</v>
      </c>
      <c r="G3964" s="49" t="s">
        <v>2776</v>
      </c>
      <c r="H3964" s="49" t="s">
        <v>2827</v>
      </c>
      <c r="I3964" s="50">
        <v>42748</v>
      </c>
      <c r="M3964" s="49" t="s">
        <v>3270</v>
      </c>
    </row>
    <row r="3965" spans="1:13" x14ac:dyDescent="0.35">
      <c r="A3965" s="49" t="s">
        <v>13688</v>
      </c>
      <c r="B3965" s="49" t="s">
        <v>7141</v>
      </c>
      <c r="C3965" s="49" t="s">
        <v>13689</v>
      </c>
      <c r="D3965" s="49" t="s">
        <v>1264</v>
      </c>
      <c r="E3965" s="49" t="s">
        <v>2986</v>
      </c>
      <c r="F3965" s="49" t="s">
        <v>2825</v>
      </c>
      <c r="G3965" s="49" t="s">
        <v>2776</v>
      </c>
      <c r="H3965" s="49" t="s">
        <v>2827</v>
      </c>
      <c r="I3965" s="50">
        <v>42718</v>
      </c>
      <c r="M3965" s="49" t="s">
        <v>13690</v>
      </c>
    </row>
    <row r="3966" spans="1:13" x14ac:dyDescent="0.35">
      <c r="A3966" s="49" t="s">
        <v>13691</v>
      </c>
      <c r="C3966" s="49" t="s">
        <v>13692</v>
      </c>
      <c r="D3966" s="49" t="s">
        <v>1264</v>
      </c>
      <c r="E3966" s="49" t="s">
        <v>2986</v>
      </c>
      <c r="F3966" s="49" t="s">
        <v>2825</v>
      </c>
      <c r="G3966" s="49" t="s">
        <v>2776</v>
      </c>
      <c r="H3966" s="49" t="s">
        <v>2827</v>
      </c>
      <c r="I3966" s="50">
        <v>42877</v>
      </c>
      <c r="M3966" s="49" t="s">
        <v>3270</v>
      </c>
    </row>
    <row r="3967" spans="1:13" x14ac:dyDescent="0.35">
      <c r="A3967" s="49" t="s">
        <v>13693</v>
      </c>
      <c r="B3967" s="49" t="s">
        <v>10563</v>
      </c>
      <c r="C3967" s="49" t="s">
        <v>13692</v>
      </c>
      <c r="D3967" s="49" t="s">
        <v>1264</v>
      </c>
      <c r="E3967" s="49" t="s">
        <v>2986</v>
      </c>
      <c r="F3967" s="49" t="s">
        <v>2825</v>
      </c>
      <c r="G3967" s="49" t="s">
        <v>2776</v>
      </c>
      <c r="H3967" s="49" t="s">
        <v>2827</v>
      </c>
      <c r="I3967" s="50">
        <v>42874</v>
      </c>
      <c r="M3967" s="49" t="s">
        <v>3270</v>
      </c>
    </row>
    <row r="3968" spans="1:13" x14ac:dyDescent="0.35">
      <c r="A3968" s="49" t="s">
        <v>13694</v>
      </c>
      <c r="B3968" s="49" t="s">
        <v>13695</v>
      </c>
      <c r="C3968" s="49" t="s">
        <v>11518</v>
      </c>
      <c r="D3968" s="49" t="s">
        <v>1264</v>
      </c>
      <c r="E3968" s="49" t="s">
        <v>2986</v>
      </c>
      <c r="F3968" s="49" t="s">
        <v>2825</v>
      </c>
      <c r="G3968" s="49" t="s">
        <v>2776</v>
      </c>
      <c r="H3968" s="49" t="s">
        <v>2827</v>
      </c>
      <c r="I3968" s="50">
        <v>43661</v>
      </c>
      <c r="M3968" s="49" t="s">
        <v>13696</v>
      </c>
    </row>
    <row r="3969" spans="1:13" x14ac:dyDescent="0.35">
      <c r="A3969" s="49" t="s">
        <v>13697</v>
      </c>
      <c r="B3969" s="49" t="s">
        <v>13698</v>
      </c>
      <c r="C3969" s="49" t="s">
        <v>10096</v>
      </c>
      <c r="D3969" s="49" t="s">
        <v>1264</v>
      </c>
      <c r="E3969" s="49" t="s">
        <v>2986</v>
      </c>
      <c r="F3969" s="49" t="s">
        <v>2825</v>
      </c>
      <c r="G3969" s="49" t="s">
        <v>2776</v>
      </c>
      <c r="H3969" s="49" t="s">
        <v>2827</v>
      </c>
      <c r="I3969" s="50">
        <v>43371</v>
      </c>
      <c r="M3969" s="49" t="s">
        <v>13699</v>
      </c>
    </row>
    <row r="3970" spans="1:13" x14ac:dyDescent="0.35">
      <c r="A3970" s="49" t="s">
        <v>13700</v>
      </c>
      <c r="C3970" s="49" t="s">
        <v>13682</v>
      </c>
      <c r="D3970" s="49" t="s">
        <v>1264</v>
      </c>
      <c r="E3970" s="49" t="s">
        <v>2986</v>
      </c>
      <c r="F3970" s="49" t="s">
        <v>2825</v>
      </c>
      <c r="G3970" s="49" t="s">
        <v>4891</v>
      </c>
      <c r="H3970" s="49" t="s">
        <v>2827</v>
      </c>
      <c r="I3970" s="50">
        <v>43503</v>
      </c>
      <c r="M3970" s="49" t="s">
        <v>13701</v>
      </c>
    </row>
    <row r="3971" spans="1:13" x14ac:dyDescent="0.35">
      <c r="A3971" s="49" t="s">
        <v>13702</v>
      </c>
      <c r="C3971" s="49" t="s">
        <v>13703</v>
      </c>
      <c r="D3971" s="49" t="s">
        <v>1264</v>
      </c>
      <c r="E3971" s="49" t="s">
        <v>2986</v>
      </c>
      <c r="F3971" s="49" t="s">
        <v>2825</v>
      </c>
      <c r="G3971" s="49" t="s">
        <v>2776</v>
      </c>
      <c r="H3971" s="49" t="s">
        <v>2827</v>
      </c>
      <c r="I3971" s="50">
        <v>42706</v>
      </c>
      <c r="M3971" s="49" t="s">
        <v>3470</v>
      </c>
    </row>
    <row r="3972" spans="1:13" x14ac:dyDescent="0.35">
      <c r="A3972" s="49" t="s">
        <v>13704</v>
      </c>
      <c r="B3972" s="49" t="s">
        <v>13705</v>
      </c>
      <c r="C3972" s="49" t="s">
        <v>10478</v>
      </c>
      <c r="D3972" s="49" t="s">
        <v>1264</v>
      </c>
      <c r="E3972" s="49" t="s">
        <v>2986</v>
      </c>
      <c r="F3972" s="49" t="s">
        <v>2825</v>
      </c>
      <c r="G3972" s="49" t="s">
        <v>2776</v>
      </c>
      <c r="H3972" s="49" t="s">
        <v>2827</v>
      </c>
      <c r="I3972" s="50">
        <v>43353</v>
      </c>
      <c r="M3972" s="49" t="s">
        <v>3270</v>
      </c>
    </row>
    <row r="3973" spans="1:13" x14ac:dyDescent="0.35">
      <c r="A3973" s="49" t="s">
        <v>13706</v>
      </c>
      <c r="B3973" s="49" t="s">
        <v>3840</v>
      </c>
      <c r="C3973" s="49" t="s">
        <v>3841</v>
      </c>
      <c r="D3973" s="49" t="s">
        <v>1264</v>
      </c>
      <c r="E3973" s="49" t="s">
        <v>2986</v>
      </c>
      <c r="F3973" s="49" t="s">
        <v>2825</v>
      </c>
      <c r="G3973" s="49" t="s">
        <v>2776</v>
      </c>
      <c r="H3973" s="49" t="s">
        <v>2827</v>
      </c>
      <c r="I3973" s="50">
        <v>43385</v>
      </c>
      <c r="M3973" s="49" t="s">
        <v>3270</v>
      </c>
    </row>
    <row r="3974" spans="1:13" x14ac:dyDescent="0.35">
      <c r="A3974" s="49" t="s">
        <v>13707</v>
      </c>
      <c r="B3974" s="49" t="s">
        <v>13708</v>
      </c>
      <c r="C3974" s="49" t="s">
        <v>7897</v>
      </c>
      <c r="D3974" s="49" t="s">
        <v>1264</v>
      </c>
      <c r="E3974" s="49" t="s">
        <v>2986</v>
      </c>
      <c r="F3974" s="49" t="s">
        <v>2825</v>
      </c>
      <c r="G3974" s="49" t="s">
        <v>2776</v>
      </c>
      <c r="H3974" s="49" t="s">
        <v>2827</v>
      </c>
      <c r="I3974" s="50">
        <v>43375</v>
      </c>
      <c r="M3974" s="49" t="s">
        <v>13709</v>
      </c>
    </row>
    <row r="3975" spans="1:13" x14ac:dyDescent="0.35">
      <c r="A3975" s="49" t="s">
        <v>13710</v>
      </c>
      <c r="C3975" s="49" t="s">
        <v>13711</v>
      </c>
      <c r="D3975" s="49" t="s">
        <v>1264</v>
      </c>
      <c r="E3975" s="49" t="s">
        <v>2986</v>
      </c>
      <c r="F3975" s="49" t="s">
        <v>2825</v>
      </c>
      <c r="G3975" s="49" t="s">
        <v>2776</v>
      </c>
      <c r="H3975" s="49" t="s">
        <v>2827</v>
      </c>
      <c r="I3975" s="50">
        <v>43605</v>
      </c>
      <c r="M3975" s="49" t="s">
        <v>13712</v>
      </c>
    </row>
    <row r="3976" spans="1:13" x14ac:dyDescent="0.35">
      <c r="A3976" s="49" t="s">
        <v>13713</v>
      </c>
      <c r="C3976" s="49" t="s">
        <v>13714</v>
      </c>
      <c r="D3976" s="49" t="s">
        <v>1264</v>
      </c>
      <c r="E3976" s="49" t="s">
        <v>2986</v>
      </c>
      <c r="F3976" s="49" t="s">
        <v>2825</v>
      </c>
      <c r="G3976" s="49" t="s">
        <v>2776</v>
      </c>
      <c r="H3976" s="49" t="s">
        <v>2827</v>
      </c>
      <c r="I3976" s="50">
        <v>43356</v>
      </c>
      <c r="M3976" s="49" t="s">
        <v>13715</v>
      </c>
    </row>
    <row r="3977" spans="1:13" x14ac:dyDescent="0.35">
      <c r="A3977" s="49" t="s">
        <v>13716</v>
      </c>
      <c r="B3977" s="49" t="s">
        <v>13717</v>
      </c>
      <c r="C3977" s="49" t="s">
        <v>3668</v>
      </c>
      <c r="D3977" s="49" t="s">
        <v>1264</v>
      </c>
      <c r="E3977" s="49" t="s">
        <v>2986</v>
      </c>
      <c r="F3977" s="49" t="s">
        <v>2825</v>
      </c>
      <c r="G3977" s="49" t="s">
        <v>2776</v>
      </c>
      <c r="H3977" s="49" t="s">
        <v>2827</v>
      </c>
      <c r="I3977" s="50">
        <v>43075</v>
      </c>
      <c r="M3977" s="49" t="s">
        <v>3270</v>
      </c>
    </row>
    <row r="3978" spans="1:13" x14ac:dyDescent="0.35">
      <c r="A3978" s="49" t="s">
        <v>13718</v>
      </c>
      <c r="C3978" s="49" t="s">
        <v>13719</v>
      </c>
      <c r="D3978" s="49" t="s">
        <v>1264</v>
      </c>
      <c r="E3978" s="49" t="s">
        <v>2986</v>
      </c>
      <c r="F3978" s="49" t="s">
        <v>2825</v>
      </c>
      <c r="G3978" s="49" t="s">
        <v>2776</v>
      </c>
      <c r="H3978" s="49" t="s">
        <v>2827</v>
      </c>
      <c r="I3978" s="50">
        <v>42755</v>
      </c>
      <c r="M3978" s="49" t="s">
        <v>3470</v>
      </c>
    </row>
    <row r="3979" spans="1:13" x14ac:dyDescent="0.35">
      <c r="A3979" s="49" t="s">
        <v>13720</v>
      </c>
      <c r="B3979" s="49" t="s">
        <v>9885</v>
      </c>
      <c r="C3979" s="49" t="s">
        <v>13721</v>
      </c>
      <c r="D3979" s="49" t="s">
        <v>1264</v>
      </c>
      <c r="E3979" s="49" t="s">
        <v>2986</v>
      </c>
      <c r="F3979" s="49" t="s">
        <v>2825</v>
      </c>
      <c r="G3979" s="49" t="s">
        <v>2776</v>
      </c>
      <c r="H3979" s="49" t="s">
        <v>2827</v>
      </c>
      <c r="I3979" s="50">
        <v>43236</v>
      </c>
      <c r="M3979" s="49" t="s">
        <v>8222</v>
      </c>
    </row>
    <row r="3980" spans="1:13" x14ac:dyDescent="0.35">
      <c r="A3980" s="49" t="s">
        <v>13722</v>
      </c>
      <c r="B3980" s="49" t="s">
        <v>13723</v>
      </c>
      <c r="C3980" s="49" t="s">
        <v>13724</v>
      </c>
      <c r="D3980" s="49" t="s">
        <v>1264</v>
      </c>
      <c r="E3980" s="49" t="s">
        <v>2986</v>
      </c>
      <c r="F3980" s="49" t="s">
        <v>2825</v>
      </c>
      <c r="G3980" s="49" t="s">
        <v>2787</v>
      </c>
      <c r="H3980" s="49" t="s">
        <v>2827</v>
      </c>
      <c r="I3980" s="50">
        <v>42828</v>
      </c>
      <c r="M3980" s="49" t="s">
        <v>3270</v>
      </c>
    </row>
    <row r="3981" spans="1:13" x14ac:dyDescent="0.35">
      <c r="A3981" s="49" t="s">
        <v>13725</v>
      </c>
      <c r="B3981" s="49" t="s">
        <v>13726</v>
      </c>
      <c r="C3981" s="49" t="s">
        <v>13727</v>
      </c>
      <c r="D3981" s="49" t="s">
        <v>1264</v>
      </c>
      <c r="E3981" s="49" t="s">
        <v>2986</v>
      </c>
      <c r="F3981" s="49" t="s">
        <v>2825</v>
      </c>
      <c r="G3981" s="49" t="s">
        <v>2776</v>
      </c>
      <c r="H3981" s="49" t="s">
        <v>2827</v>
      </c>
      <c r="I3981" s="50">
        <v>42710</v>
      </c>
      <c r="M3981" s="49" t="s">
        <v>3270</v>
      </c>
    </row>
    <row r="3982" spans="1:13" x14ac:dyDescent="0.35">
      <c r="A3982" s="49" t="s">
        <v>13728</v>
      </c>
      <c r="C3982" s="49" t="s">
        <v>7612</v>
      </c>
      <c r="D3982" s="49" t="s">
        <v>1264</v>
      </c>
      <c r="E3982" s="49" t="s">
        <v>2986</v>
      </c>
      <c r="F3982" s="49" t="s">
        <v>2825</v>
      </c>
      <c r="G3982" s="49" t="s">
        <v>2776</v>
      </c>
      <c r="H3982" s="49" t="s">
        <v>2827</v>
      </c>
      <c r="I3982" s="50">
        <v>43381</v>
      </c>
      <c r="M3982" s="49" t="s">
        <v>3470</v>
      </c>
    </row>
    <row r="3983" spans="1:13" x14ac:dyDescent="0.35">
      <c r="A3983" s="49" t="s">
        <v>13729</v>
      </c>
      <c r="B3983" s="49" t="s">
        <v>9885</v>
      </c>
      <c r="C3983" s="49" t="s">
        <v>10276</v>
      </c>
      <c r="D3983" s="49" t="s">
        <v>1264</v>
      </c>
      <c r="E3983" s="49" t="s">
        <v>2986</v>
      </c>
      <c r="F3983" s="49" t="s">
        <v>2825</v>
      </c>
      <c r="G3983" s="49" t="s">
        <v>2776</v>
      </c>
      <c r="H3983" s="49" t="s">
        <v>2827</v>
      </c>
      <c r="I3983" s="50">
        <v>42731</v>
      </c>
      <c r="M3983" s="49" t="s">
        <v>3270</v>
      </c>
    </row>
    <row r="3984" spans="1:13" x14ac:dyDescent="0.35">
      <c r="A3984" s="49" t="s">
        <v>13730</v>
      </c>
      <c r="B3984" s="49" t="s">
        <v>3416</v>
      </c>
      <c r="C3984" s="49" t="s">
        <v>13731</v>
      </c>
      <c r="D3984" s="49" t="s">
        <v>1264</v>
      </c>
      <c r="E3984" s="49" t="s">
        <v>2986</v>
      </c>
      <c r="F3984" s="49" t="s">
        <v>2825</v>
      </c>
      <c r="G3984" s="49" t="s">
        <v>2776</v>
      </c>
      <c r="H3984" s="49" t="s">
        <v>2827</v>
      </c>
      <c r="I3984" s="50">
        <v>42696</v>
      </c>
      <c r="M3984" s="49" t="s">
        <v>3270</v>
      </c>
    </row>
    <row r="3985" spans="1:13" x14ac:dyDescent="0.35">
      <c r="A3985" s="49" t="s">
        <v>13732</v>
      </c>
      <c r="B3985" s="49" t="s">
        <v>13733</v>
      </c>
      <c r="C3985" s="49" t="s">
        <v>13734</v>
      </c>
      <c r="D3985" s="49" t="s">
        <v>1264</v>
      </c>
      <c r="E3985" s="49" t="s">
        <v>2986</v>
      </c>
      <c r="F3985" s="49" t="s">
        <v>2825</v>
      </c>
      <c r="G3985" s="49" t="s">
        <v>2776</v>
      </c>
      <c r="H3985" s="49" t="s">
        <v>2827</v>
      </c>
      <c r="I3985" s="50">
        <v>43444</v>
      </c>
      <c r="M3985" s="49" t="s">
        <v>3270</v>
      </c>
    </row>
    <row r="3986" spans="1:13" x14ac:dyDescent="0.35">
      <c r="A3986" s="49" t="s">
        <v>13735</v>
      </c>
      <c r="C3986" s="49" t="s">
        <v>13736</v>
      </c>
      <c r="D3986" s="49" t="s">
        <v>1264</v>
      </c>
      <c r="E3986" s="49" t="s">
        <v>2908</v>
      </c>
      <c r="F3986" s="49" t="s">
        <v>2939</v>
      </c>
      <c r="G3986" s="49" t="s">
        <v>2826</v>
      </c>
      <c r="H3986" s="49" t="s">
        <v>980</v>
      </c>
      <c r="I3986" s="50">
        <v>41927</v>
      </c>
      <c r="M3986" s="49" t="s">
        <v>13737</v>
      </c>
    </row>
    <row r="3987" spans="1:13" x14ac:dyDescent="0.35">
      <c r="A3987" s="49" t="s">
        <v>13738</v>
      </c>
      <c r="B3987" s="49" t="s">
        <v>2942</v>
      </c>
      <c r="C3987" s="49" t="s">
        <v>6652</v>
      </c>
      <c r="D3987" s="49" t="s">
        <v>1264</v>
      </c>
      <c r="E3987" s="49" t="s">
        <v>2908</v>
      </c>
      <c r="F3987" s="49" t="s">
        <v>2939</v>
      </c>
      <c r="G3987" s="49" t="s">
        <v>2776</v>
      </c>
      <c r="H3987" s="49" t="s">
        <v>980</v>
      </c>
      <c r="I3987" s="50">
        <v>41927</v>
      </c>
      <c r="M3987" s="49" t="s">
        <v>13739</v>
      </c>
    </row>
    <row r="3988" spans="1:13" x14ac:dyDescent="0.35">
      <c r="A3988" s="49" t="s">
        <v>13740</v>
      </c>
      <c r="C3988" s="49" t="s">
        <v>2813</v>
      </c>
      <c r="D3988" s="49" t="s">
        <v>1264</v>
      </c>
      <c r="E3988" s="49" t="s">
        <v>2908</v>
      </c>
      <c r="F3988" s="49" t="s">
        <v>2939</v>
      </c>
      <c r="G3988" s="49" t="s">
        <v>2776</v>
      </c>
      <c r="H3988" s="49" t="s">
        <v>980</v>
      </c>
      <c r="I3988" s="50">
        <v>41927</v>
      </c>
      <c r="M3988" s="49" t="s">
        <v>13741</v>
      </c>
    </row>
    <row r="3989" spans="1:13" x14ac:dyDescent="0.35">
      <c r="A3989" s="49" t="s">
        <v>13742</v>
      </c>
      <c r="C3989" s="49" t="s">
        <v>13743</v>
      </c>
      <c r="D3989" s="49" t="s">
        <v>1264</v>
      </c>
      <c r="E3989" s="49" t="s">
        <v>2908</v>
      </c>
      <c r="F3989" s="49" t="s">
        <v>2939</v>
      </c>
      <c r="G3989" s="49" t="s">
        <v>2776</v>
      </c>
      <c r="H3989" s="49" t="s">
        <v>980</v>
      </c>
      <c r="I3989" s="50">
        <v>41890</v>
      </c>
      <c r="M3989" s="49" t="s">
        <v>13744</v>
      </c>
    </row>
    <row r="3990" spans="1:13" x14ac:dyDescent="0.35">
      <c r="A3990" s="49" t="s">
        <v>13745</v>
      </c>
      <c r="B3990" s="49" t="s">
        <v>2891</v>
      </c>
      <c r="C3990" s="49" t="s">
        <v>9128</v>
      </c>
      <c r="D3990" s="49" t="s">
        <v>1264</v>
      </c>
      <c r="E3990" s="49" t="s">
        <v>2908</v>
      </c>
      <c r="F3990" s="49" t="s">
        <v>2939</v>
      </c>
      <c r="G3990" s="49" t="s">
        <v>2776</v>
      </c>
      <c r="H3990" s="49" t="s">
        <v>980</v>
      </c>
      <c r="I3990" s="50">
        <v>41940</v>
      </c>
      <c r="M3990" s="49" t="s">
        <v>13746</v>
      </c>
    </row>
    <row r="3991" spans="1:13" x14ac:dyDescent="0.35">
      <c r="A3991" s="49" t="s">
        <v>13747</v>
      </c>
      <c r="C3991" s="49" t="s">
        <v>3504</v>
      </c>
      <c r="D3991" s="49" t="s">
        <v>1264</v>
      </c>
      <c r="E3991" s="49" t="s">
        <v>2908</v>
      </c>
      <c r="F3991" s="49" t="s">
        <v>2939</v>
      </c>
      <c r="G3991" s="49" t="s">
        <v>2776</v>
      </c>
      <c r="H3991" s="49" t="s">
        <v>980</v>
      </c>
      <c r="I3991" s="50">
        <v>41899</v>
      </c>
      <c r="M3991" s="49" t="s">
        <v>13748</v>
      </c>
    </row>
    <row r="3992" spans="1:13" x14ac:dyDescent="0.35">
      <c r="A3992" s="49" t="s">
        <v>13749</v>
      </c>
      <c r="C3992" s="49" t="s">
        <v>13750</v>
      </c>
      <c r="D3992" s="49" t="s">
        <v>1264</v>
      </c>
      <c r="E3992" s="49" t="s">
        <v>2814</v>
      </c>
      <c r="F3992" s="49" t="s">
        <v>3405</v>
      </c>
      <c r="G3992" s="49" t="s">
        <v>2776</v>
      </c>
      <c r="H3992" s="49" t="s">
        <v>973</v>
      </c>
      <c r="I3992" s="50">
        <v>43188</v>
      </c>
      <c r="M3992" s="49" t="s">
        <v>13751</v>
      </c>
    </row>
    <row r="3993" spans="1:13" x14ac:dyDescent="0.35">
      <c r="A3993" s="49" t="s">
        <v>13752</v>
      </c>
      <c r="B3993" s="49" t="s">
        <v>13753</v>
      </c>
      <c r="C3993" s="49" t="s">
        <v>6819</v>
      </c>
      <c r="D3993" s="49" t="s">
        <v>1264</v>
      </c>
      <c r="E3993" s="49" t="s">
        <v>2774</v>
      </c>
      <c r="F3993" s="49" t="s">
        <v>2825</v>
      </c>
      <c r="G3993" s="49" t="s">
        <v>2776</v>
      </c>
      <c r="H3993" s="49" t="s">
        <v>2827</v>
      </c>
      <c r="I3993" s="50">
        <v>43180</v>
      </c>
      <c r="M3993" s="49" t="s">
        <v>13754</v>
      </c>
    </row>
    <row r="3994" spans="1:13" x14ac:dyDescent="0.35">
      <c r="A3994" s="49" t="s">
        <v>13755</v>
      </c>
      <c r="B3994" s="49" t="s">
        <v>8657</v>
      </c>
      <c r="C3994" s="49" t="s">
        <v>13756</v>
      </c>
      <c r="D3994" s="49" t="s">
        <v>1264</v>
      </c>
      <c r="E3994" s="49" t="s">
        <v>3413</v>
      </c>
      <c r="F3994" s="49" t="s">
        <v>2825</v>
      </c>
      <c r="G3994" s="49" t="s">
        <v>2826</v>
      </c>
      <c r="H3994" s="49" t="s">
        <v>2827</v>
      </c>
      <c r="I3994" s="50">
        <v>42731</v>
      </c>
      <c r="M3994" s="49" t="s">
        <v>13757</v>
      </c>
    </row>
    <row r="3995" spans="1:13" x14ac:dyDescent="0.35">
      <c r="A3995" s="49" t="s">
        <v>13758</v>
      </c>
      <c r="C3995" s="49" t="s">
        <v>13759</v>
      </c>
      <c r="D3995" s="49" t="s">
        <v>1264</v>
      </c>
      <c r="E3995" s="49" t="s">
        <v>3413</v>
      </c>
      <c r="F3995" s="49" t="s">
        <v>2825</v>
      </c>
      <c r="G3995" s="49" t="s">
        <v>2776</v>
      </c>
      <c r="H3995" s="49" t="s">
        <v>2827</v>
      </c>
      <c r="I3995" s="50">
        <v>42370</v>
      </c>
      <c r="M3995" s="49" t="s">
        <v>13760</v>
      </c>
    </row>
    <row r="3996" spans="1:13" x14ac:dyDescent="0.35">
      <c r="A3996" s="49" t="s">
        <v>13761</v>
      </c>
      <c r="C3996" s="49" t="s">
        <v>13762</v>
      </c>
      <c r="D3996" s="49" t="s">
        <v>1264</v>
      </c>
      <c r="E3996" s="49" t="s">
        <v>3413</v>
      </c>
      <c r="F3996" s="49" t="s">
        <v>2825</v>
      </c>
      <c r="G3996" s="49" t="s">
        <v>2826</v>
      </c>
      <c r="H3996" s="49" t="s">
        <v>2827</v>
      </c>
      <c r="I3996" s="50">
        <v>41500</v>
      </c>
      <c r="M3996" s="49" t="s">
        <v>13763</v>
      </c>
    </row>
    <row r="3997" spans="1:13" x14ac:dyDescent="0.35">
      <c r="A3997" s="49" t="s">
        <v>13764</v>
      </c>
      <c r="B3997" s="49" t="s">
        <v>3420</v>
      </c>
      <c r="C3997" s="49" t="s">
        <v>5671</v>
      </c>
      <c r="D3997" s="49" t="s">
        <v>1264</v>
      </c>
      <c r="E3997" s="49" t="s">
        <v>3413</v>
      </c>
      <c r="F3997" s="49" t="s">
        <v>2939</v>
      </c>
      <c r="G3997" s="49" t="s">
        <v>2776</v>
      </c>
      <c r="H3997" s="49" t="s">
        <v>980</v>
      </c>
      <c r="I3997" s="50">
        <v>42984</v>
      </c>
      <c r="M3997" s="49" t="s">
        <v>13765</v>
      </c>
    </row>
    <row r="3998" spans="1:13" x14ac:dyDescent="0.35">
      <c r="A3998" s="49" t="s">
        <v>13766</v>
      </c>
      <c r="C3998" s="49" t="s">
        <v>13767</v>
      </c>
      <c r="D3998" s="49" t="s">
        <v>1264</v>
      </c>
      <c r="E3998" s="49" t="s">
        <v>3413</v>
      </c>
      <c r="F3998" s="49" t="s">
        <v>2825</v>
      </c>
      <c r="G3998" s="49" t="s">
        <v>2776</v>
      </c>
      <c r="H3998" s="49" t="s">
        <v>2827</v>
      </c>
      <c r="I3998" s="50">
        <v>43234</v>
      </c>
      <c r="M3998" s="49" t="s">
        <v>13768</v>
      </c>
    </row>
    <row r="3999" spans="1:13" x14ac:dyDescent="0.35">
      <c r="A3999" s="49" t="s">
        <v>13769</v>
      </c>
      <c r="B3999" s="49" t="s">
        <v>13770</v>
      </c>
      <c r="C3999" s="49" t="s">
        <v>8630</v>
      </c>
      <c r="D3999" s="49" t="s">
        <v>1264</v>
      </c>
      <c r="E3999" s="49" t="s">
        <v>2974</v>
      </c>
      <c r="F3999" s="49" t="s">
        <v>2825</v>
      </c>
      <c r="G3999" s="49" t="s">
        <v>2776</v>
      </c>
      <c r="H3999" s="49" t="s">
        <v>2827</v>
      </c>
      <c r="I3999" s="50">
        <v>41417</v>
      </c>
      <c r="M3999" s="49" t="s">
        <v>13771</v>
      </c>
    </row>
    <row r="4000" spans="1:13" x14ac:dyDescent="0.35">
      <c r="A4000" s="49" t="s">
        <v>13772</v>
      </c>
      <c r="B4000" s="49" t="s">
        <v>13773</v>
      </c>
      <c r="C4000" s="49" t="s">
        <v>9004</v>
      </c>
      <c r="D4000" s="49" t="s">
        <v>1264</v>
      </c>
      <c r="E4000" s="49" t="s">
        <v>2974</v>
      </c>
      <c r="F4000" s="49" t="s">
        <v>2825</v>
      </c>
      <c r="G4000" s="49" t="s">
        <v>2776</v>
      </c>
      <c r="H4000" s="49" t="s">
        <v>2827</v>
      </c>
      <c r="I4000" s="50">
        <v>43125</v>
      </c>
      <c r="M4000" s="49" t="s">
        <v>13774</v>
      </c>
    </row>
    <row r="4001" spans="1:13" x14ac:dyDescent="0.35">
      <c r="A4001" s="49" t="s">
        <v>13775</v>
      </c>
      <c r="B4001" s="49" t="s">
        <v>3075</v>
      </c>
      <c r="C4001" s="49" t="s">
        <v>13776</v>
      </c>
      <c r="D4001" s="49" t="s">
        <v>1264</v>
      </c>
      <c r="E4001" s="49" t="s">
        <v>2974</v>
      </c>
      <c r="F4001" s="49" t="s">
        <v>2825</v>
      </c>
      <c r="G4001" s="49" t="s">
        <v>2776</v>
      </c>
      <c r="H4001" s="49" t="s">
        <v>2827</v>
      </c>
      <c r="I4001" s="50">
        <v>42825</v>
      </c>
      <c r="M4001" s="49" t="s">
        <v>13777</v>
      </c>
    </row>
    <row r="4002" spans="1:13" x14ac:dyDescent="0.35">
      <c r="A4002" s="49" t="s">
        <v>13778</v>
      </c>
      <c r="B4002" s="49" t="s">
        <v>13779</v>
      </c>
      <c r="C4002" s="49" t="s">
        <v>7172</v>
      </c>
      <c r="D4002" s="49" t="s">
        <v>1264</v>
      </c>
      <c r="E4002" s="49" t="s">
        <v>2974</v>
      </c>
      <c r="F4002" s="49" t="s">
        <v>2825</v>
      </c>
      <c r="G4002" s="49" t="s">
        <v>2776</v>
      </c>
      <c r="H4002" s="49" t="s">
        <v>2827</v>
      </c>
      <c r="I4002" s="50">
        <v>42215</v>
      </c>
      <c r="M4002" s="49" t="s">
        <v>13780</v>
      </c>
    </row>
    <row r="4003" spans="1:13" x14ac:dyDescent="0.35">
      <c r="A4003" s="49" t="s">
        <v>13781</v>
      </c>
      <c r="C4003" s="49" t="s">
        <v>8356</v>
      </c>
      <c r="D4003" s="49" t="s">
        <v>1264</v>
      </c>
      <c r="E4003" s="49" t="s">
        <v>2974</v>
      </c>
      <c r="F4003" s="49" t="s">
        <v>2825</v>
      </c>
      <c r="G4003" s="49" t="s">
        <v>2776</v>
      </c>
      <c r="H4003" s="49" t="s">
        <v>2827</v>
      </c>
      <c r="I4003" s="50">
        <v>42478</v>
      </c>
      <c r="M4003" s="49" t="s">
        <v>13782</v>
      </c>
    </row>
    <row r="4004" spans="1:13" x14ac:dyDescent="0.35">
      <c r="A4004" s="49" t="s">
        <v>13783</v>
      </c>
      <c r="C4004" s="49" t="s">
        <v>13784</v>
      </c>
      <c r="D4004" s="49" t="s">
        <v>1264</v>
      </c>
      <c r="E4004" s="49" t="s">
        <v>2974</v>
      </c>
      <c r="F4004" s="49" t="s">
        <v>3108</v>
      </c>
      <c r="G4004" s="49" t="s">
        <v>2776</v>
      </c>
      <c r="H4004" s="49" t="s">
        <v>2827</v>
      </c>
      <c r="I4004" s="50">
        <v>42471</v>
      </c>
      <c r="M4004" s="49" t="s">
        <v>3470</v>
      </c>
    </row>
    <row r="4005" spans="1:13" x14ac:dyDescent="0.35">
      <c r="A4005" s="49" t="s">
        <v>13785</v>
      </c>
      <c r="C4005" s="49" t="s">
        <v>13786</v>
      </c>
      <c r="D4005" s="49" t="s">
        <v>1264</v>
      </c>
      <c r="E4005" s="49" t="s">
        <v>2974</v>
      </c>
      <c r="F4005" s="49" t="s">
        <v>2825</v>
      </c>
      <c r="G4005" s="49" t="s">
        <v>2776</v>
      </c>
      <c r="H4005" s="49" t="s">
        <v>2827</v>
      </c>
      <c r="I4005" s="50">
        <v>42845</v>
      </c>
      <c r="M4005" s="49" t="s">
        <v>13787</v>
      </c>
    </row>
    <row r="4006" spans="1:13" x14ac:dyDescent="0.35">
      <c r="A4006" s="49" t="s">
        <v>13788</v>
      </c>
      <c r="C4006" s="49" t="s">
        <v>13656</v>
      </c>
      <c r="D4006" s="49" t="s">
        <v>1264</v>
      </c>
      <c r="E4006" s="49" t="s">
        <v>2974</v>
      </c>
      <c r="F4006" s="49" t="s">
        <v>2825</v>
      </c>
      <c r="G4006" s="49" t="s">
        <v>2776</v>
      </c>
      <c r="H4006" s="49" t="s">
        <v>2827</v>
      </c>
      <c r="I4006" s="50">
        <v>42905</v>
      </c>
      <c r="M4006" s="49" t="s">
        <v>3859</v>
      </c>
    </row>
    <row r="4007" spans="1:13" x14ac:dyDescent="0.35">
      <c r="A4007" s="49" t="s">
        <v>13789</v>
      </c>
      <c r="C4007" s="49" t="s">
        <v>3348</v>
      </c>
      <c r="D4007" s="49" t="s">
        <v>1264</v>
      </c>
      <c r="E4007" s="49" t="s">
        <v>2974</v>
      </c>
      <c r="F4007" s="49" t="s">
        <v>2900</v>
      </c>
      <c r="G4007" s="49" t="s">
        <v>2776</v>
      </c>
      <c r="H4007" s="49" t="s">
        <v>2832</v>
      </c>
      <c r="I4007" s="50">
        <v>43164</v>
      </c>
      <c r="M4007" s="49" t="s">
        <v>13790</v>
      </c>
    </row>
    <row r="4008" spans="1:13" x14ac:dyDescent="0.35">
      <c r="A4008" s="49" t="s">
        <v>13791</v>
      </c>
      <c r="B4008" s="49" t="s">
        <v>8556</v>
      </c>
      <c r="C4008" s="49" t="s">
        <v>13792</v>
      </c>
      <c r="D4008" s="49" t="s">
        <v>1264</v>
      </c>
      <c r="E4008" s="49" t="s">
        <v>2974</v>
      </c>
      <c r="F4008" s="49" t="s">
        <v>2825</v>
      </c>
      <c r="G4008" s="49" t="s">
        <v>2776</v>
      </c>
      <c r="H4008" s="49" t="s">
        <v>973</v>
      </c>
      <c r="I4008" s="50">
        <v>43297</v>
      </c>
      <c r="M4008" s="49" t="s">
        <v>13793</v>
      </c>
    </row>
    <row r="4009" spans="1:13" x14ac:dyDescent="0.35">
      <c r="A4009" s="49" t="s">
        <v>13794</v>
      </c>
      <c r="C4009" s="49" t="s">
        <v>10502</v>
      </c>
      <c r="D4009" s="49" t="s">
        <v>1264</v>
      </c>
      <c r="E4009" s="49" t="s">
        <v>2814</v>
      </c>
      <c r="F4009" s="49" t="s">
        <v>2939</v>
      </c>
      <c r="G4009" s="49" t="s">
        <v>2776</v>
      </c>
      <c r="H4009" s="49" t="s">
        <v>3229</v>
      </c>
      <c r="I4009" s="50">
        <v>41648</v>
      </c>
      <c r="M4009" s="49" t="s">
        <v>13795</v>
      </c>
    </row>
    <row r="4010" spans="1:13" x14ac:dyDescent="0.35">
      <c r="A4010" s="49" t="s">
        <v>13796</v>
      </c>
      <c r="B4010" s="49" t="s">
        <v>13797</v>
      </c>
      <c r="C4010" s="49" t="s">
        <v>8630</v>
      </c>
      <c r="D4010" s="49" t="s">
        <v>1264</v>
      </c>
      <c r="E4010" s="49" t="s">
        <v>2774</v>
      </c>
      <c r="F4010" s="49" t="s">
        <v>2825</v>
      </c>
      <c r="G4010" s="49" t="s">
        <v>2776</v>
      </c>
      <c r="H4010" s="49" t="s">
        <v>2827</v>
      </c>
      <c r="I4010" s="50">
        <v>41645</v>
      </c>
      <c r="M4010" s="49" t="s">
        <v>13798</v>
      </c>
    </row>
    <row r="4011" spans="1:13" x14ac:dyDescent="0.35">
      <c r="A4011" s="49" t="s">
        <v>13799</v>
      </c>
      <c r="B4011" s="49" t="s">
        <v>3195</v>
      </c>
      <c r="C4011" s="49" t="s">
        <v>13800</v>
      </c>
      <c r="D4011" s="49" t="s">
        <v>1264</v>
      </c>
      <c r="E4011" s="49" t="s">
        <v>2774</v>
      </c>
      <c r="F4011" s="49" t="s">
        <v>2825</v>
      </c>
      <c r="G4011" s="49" t="s">
        <v>2776</v>
      </c>
      <c r="H4011" s="49" t="s">
        <v>2827</v>
      </c>
      <c r="I4011" s="50">
        <v>41655</v>
      </c>
      <c r="M4011" s="49" t="s">
        <v>13801</v>
      </c>
    </row>
    <row r="4012" spans="1:13" x14ac:dyDescent="0.35">
      <c r="A4012" s="49" t="s">
        <v>13802</v>
      </c>
      <c r="B4012" s="49" t="s">
        <v>3995</v>
      </c>
      <c r="C4012" s="49" t="s">
        <v>3837</v>
      </c>
      <c r="D4012" s="49" t="s">
        <v>1264</v>
      </c>
      <c r="E4012" s="49" t="s">
        <v>2774</v>
      </c>
      <c r="F4012" s="49" t="s">
        <v>3005</v>
      </c>
      <c r="G4012" s="49" t="s">
        <v>2776</v>
      </c>
      <c r="H4012" s="49" t="s">
        <v>980</v>
      </c>
      <c r="I4012" s="50">
        <v>41771</v>
      </c>
      <c r="M4012" s="49" t="s">
        <v>13803</v>
      </c>
    </row>
    <row r="4013" spans="1:13" x14ac:dyDescent="0.35">
      <c r="A4013" s="49" t="s">
        <v>13804</v>
      </c>
      <c r="B4013" s="49" t="s">
        <v>13805</v>
      </c>
      <c r="C4013" s="49" t="s">
        <v>13800</v>
      </c>
      <c r="D4013" s="49" t="s">
        <v>1264</v>
      </c>
      <c r="E4013" s="49" t="s">
        <v>2774</v>
      </c>
      <c r="F4013" s="49" t="s">
        <v>2825</v>
      </c>
      <c r="G4013" s="49" t="s">
        <v>2776</v>
      </c>
      <c r="H4013" s="49" t="s">
        <v>2827</v>
      </c>
      <c r="I4013" s="50">
        <v>41655</v>
      </c>
      <c r="M4013" s="49" t="s">
        <v>13806</v>
      </c>
    </row>
    <row r="4014" spans="1:13" x14ac:dyDescent="0.35">
      <c r="A4014" s="49" t="s">
        <v>13807</v>
      </c>
      <c r="B4014" s="49" t="s">
        <v>7470</v>
      </c>
      <c r="C4014" s="49" t="s">
        <v>3837</v>
      </c>
      <c r="D4014" s="49" t="s">
        <v>1264</v>
      </c>
      <c r="E4014" s="49" t="s">
        <v>2774</v>
      </c>
      <c r="F4014" s="49" t="s">
        <v>2900</v>
      </c>
      <c r="G4014" s="49" t="s">
        <v>2776</v>
      </c>
      <c r="H4014" s="49" t="s">
        <v>980</v>
      </c>
      <c r="I4014" s="50">
        <v>41680</v>
      </c>
      <c r="M4014" s="49" t="s">
        <v>13808</v>
      </c>
    </row>
    <row r="4015" spans="1:13" x14ac:dyDescent="0.35">
      <c r="A4015" s="49" t="s">
        <v>13809</v>
      </c>
      <c r="B4015" s="49" t="s">
        <v>13810</v>
      </c>
      <c r="C4015" s="49" t="s">
        <v>11067</v>
      </c>
      <c r="D4015" s="49" t="s">
        <v>1264</v>
      </c>
      <c r="E4015" s="49" t="s">
        <v>2774</v>
      </c>
      <c r="F4015" s="49" t="s">
        <v>2900</v>
      </c>
      <c r="G4015" s="49" t="s">
        <v>2776</v>
      </c>
      <c r="H4015" s="49" t="s">
        <v>3229</v>
      </c>
      <c r="I4015" s="50">
        <v>41522</v>
      </c>
      <c r="M4015" s="49" t="s">
        <v>13811</v>
      </c>
    </row>
    <row r="4016" spans="1:13" x14ac:dyDescent="0.35">
      <c r="A4016" s="49" t="s">
        <v>13812</v>
      </c>
      <c r="B4016" s="49" t="s">
        <v>13813</v>
      </c>
      <c r="C4016" s="49" t="s">
        <v>13814</v>
      </c>
      <c r="D4016" s="49" t="s">
        <v>1264</v>
      </c>
      <c r="E4016" s="49" t="s">
        <v>2774</v>
      </c>
      <c r="F4016" s="49" t="s">
        <v>2825</v>
      </c>
      <c r="G4016" s="49" t="s">
        <v>2787</v>
      </c>
      <c r="H4016" s="49" t="s">
        <v>2827</v>
      </c>
      <c r="I4016" s="50">
        <v>41684</v>
      </c>
      <c r="M4016" s="49" t="s">
        <v>13815</v>
      </c>
    </row>
    <row r="4017" spans="1:13" x14ac:dyDescent="0.35">
      <c r="A4017" s="49" t="s">
        <v>13816</v>
      </c>
      <c r="B4017" s="49" t="s">
        <v>13817</v>
      </c>
      <c r="C4017" s="49" t="s">
        <v>686</v>
      </c>
      <c r="D4017" s="49" t="s">
        <v>1264</v>
      </c>
      <c r="E4017" s="49" t="s">
        <v>2774</v>
      </c>
      <c r="F4017" s="49" t="s">
        <v>5254</v>
      </c>
      <c r="G4017" s="49" t="s">
        <v>2776</v>
      </c>
      <c r="H4017" s="49" t="s">
        <v>2827</v>
      </c>
      <c r="I4017" s="50">
        <v>42065</v>
      </c>
      <c r="M4017" s="49" t="s">
        <v>13818</v>
      </c>
    </row>
    <row r="4018" spans="1:13" x14ac:dyDescent="0.35">
      <c r="A4018" s="49" t="s">
        <v>13819</v>
      </c>
      <c r="B4018" s="49" t="s">
        <v>13820</v>
      </c>
      <c r="C4018" s="49" t="s">
        <v>7390</v>
      </c>
      <c r="D4018" s="49" t="s">
        <v>1264</v>
      </c>
      <c r="E4018" s="49" t="s">
        <v>2774</v>
      </c>
      <c r="F4018" s="49" t="s">
        <v>2825</v>
      </c>
      <c r="G4018" s="49" t="s">
        <v>2776</v>
      </c>
      <c r="H4018" s="49" t="s">
        <v>2827</v>
      </c>
      <c r="I4018" s="50">
        <v>43545</v>
      </c>
      <c r="M4018" s="49" t="s">
        <v>13821</v>
      </c>
    </row>
    <row r="4019" spans="1:13" x14ac:dyDescent="0.35">
      <c r="A4019" s="49" t="s">
        <v>13822</v>
      </c>
      <c r="C4019" s="49" t="s">
        <v>3930</v>
      </c>
      <c r="D4019" s="49" t="s">
        <v>1264</v>
      </c>
      <c r="E4019" s="49" t="s">
        <v>2774</v>
      </c>
      <c r="F4019" s="49" t="s">
        <v>2825</v>
      </c>
      <c r="G4019" s="49" t="s">
        <v>2776</v>
      </c>
      <c r="H4019" s="49" t="s">
        <v>2827</v>
      </c>
      <c r="I4019" s="50">
        <v>41928</v>
      </c>
      <c r="M4019" s="49" t="s">
        <v>13823</v>
      </c>
    </row>
    <row r="4020" spans="1:13" x14ac:dyDescent="0.35">
      <c r="A4020" s="49" t="s">
        <v>13824</v>
      </c>
      <c r="B4020" s="49" t="s">
        <v>12835</v>
      </c>
      <c r="C4020" s="49" t="s">
        <v>13825</v>
      </c>
      <c r="D4020" s="49" t="s">
        <v>1264</v>
      </c>
      <c r="E4020" s="49" t="s">
        <v>2774</v>
      </c>
      <c r="F4020" s="49" t="s">
        <v>2825</v>
      </c>
      <c r="G4020" s="49" t="s">
        <v>2776</v>
      </c>
      <c r="H4020" s="49" t="s">
        <v>2827</v>
      </c>
      <c r="I4020" s="50">
        <v>43446</v>
      </c>
      <c r="M4020" s="49" t="s">
        <v>13826</v>
      </c>
    </row>
    <row r="4021" spans="1:13" x14ac:dyDescent="0.35">
      <c r="A4021" s="49" t="s">
        <v>13827</v>
      </c>
      <c r="B4021" s="49" t="s">
        <v>13828</v>
      </c>
      <c r="C4021" s="49" t="s">
        <v>13800</v>
      </c>
      <c r="D4021" s="49" t="s">
        <v>1264</v>
      </c>
      <c r="E4021" s="49" t="s">
        <v>2774</v>
      </c>
      <c r="F4021" s="49" t="s">
        <v>3509</v>
      </c>
      <c r="G4021" s="49" t="s">
        <v>2787</v>
      </c>
      <c r="H4021" s="49" t="s">
        <v>2827</v>
      </c>
      <c r="I4021" s="50">
        <v>42054</v>
      </c>
      <c r="M4021" s="49" t="s">
        <v>13829</v>
      </c>
    </row>
    <row r="4022" spans="1:13" x14ac:dyDescent="0.35">
      <c r="A4022" s="49" t="s">
        <v>13830</v>
      </c>
      <c r="B4022" s="49" t="s">
        <v>3873</v>
      </c>
      <c r="C4022" s="49" t="s">
        <v>13831</v>
      </c>
      <c r="D4022" s="49" t="s">
        <v>1264</v>
      </c>
      <c r="E4022" s="49" t="s">
        <v>2774</v>
      </c>
      <c r="F4022" s="49" t="s">
        <v>2825</v>
      </c>
      <c r="G4022" s="49" t="s">
        <v>2776</v>
      </c>
      <c r="H4022" s="49" t="s">
        <v>2827</v>
      </c>
      <c r="I4022" s="50">
        <v>43180</v>
      </c>
      <c r="M4022" s="49" t="s">
        <v>13832</v>
      </c>
    </row>
    <row r="4023" spans="1:13" x14ac:dyDescent="0.35">
      <c r="A4023" s="49" t="s">
        <v>13833</v>
      </c>
      <c r="B4023" s="49" t="s">
        <v>13834</v>
      </c>
      <c r="C4023" s="49" t="s">
        <v>13831</v>
      </c>
      <c r="D4023" s="49" t="s">
        <v>1264</v>
      </c>
      <c r="E4023" s="49" t="s">
        <v>2774</v>
      </c>
      <c r="F4023" s="49" t="s">
        <v>3598</v>
      </c>
      <c r="G4023" s="49" t="s">
        <v>2787</v>
      </c>
      <c r="H4023" s="49" t="s">
        <v>2827</v>
      </c>
      <c r="I4023" s="50">
        <v>43178</v>
      </c>
      <c r="M4023" s="49" t="s">
        <v>13835</v>
      </c>
    </row>
    <row r="4024" spans="1:13" x14ac:dyDescent="0.35">
      <c r="A4024" s="49" t="s">
        <v>13836</v>
      </c>
      <c r="C4024" s="49" t="s">
        <v>13837</v>
      </c>
      <c r="D4024" s="49" t="s">
        <v>1264</v>
      </c>
      <c r="E4024" s="49" t="s">
        <v>2774</v>
      </c>
      <c r="G4024" s="49" t="s">
        <v>2787</v>
      </c>
      <c r="H4024" s="49" t="s">
        <v>2827</v>
      </c>
      <c r="I4024" s="50">
        <v>42192</v>
      </c>
      <c r="M4024" s="49" t="s">
        <v>3470</v>
      </c>
    </row>
    <row r="4025" spans="1:13" x14ac:dyDescent="0.35">
      <c r="A4025" s="49" t="s">
        <v>13838</v>
      </c>
      <c r="B4025" s="49" t="s">
        <v>3764</v>
      </c>
      <c r="C4025" s="49" t="s">
        <v>13839</v>
      </c>
      <c r="D4025" s="49" t="s">
        <v>1264</v>
      </c>
      <c r="E4025" s="49" t="s">
        <v>2774</v>
      </c>
      <c r="F4025" s="49" t="s">
        <v>2825</v>
      </c>
      <c r="G4025" s="49" t="s">
        <v>2776</v>
      </c>
      <c r="H4025" s="49" t="s">
        <v>2827</v>
      </c>
      <c r="I4025" s="50">
        <v>43098</v>
      </c>
      <c r="M4025" s="49" t="s">
        <v>3766</v>
      </c>
    </row>
    <row r="4026" spans="1:13" x14ac:dyDescent="0.35">
      <c r="A4026" s="49" t="s">
        <v>13840</v>
      </c>
      <c r="B4026" s="49" t="s">
        <v>7451</v>
      </c>
      <c r="C4026" s="49" t="s">
        <v>13841</v>
      </c>
      <c r="D4026" s="49" t="s">
        <v>1264</v>
      </c>
      <c r="E4026" s="49" t="s">
        <v>2774</v>
      </c>
      <c r="F4026" s="49" t="s">
        <v>2825</v>
      </c>
      <c r="G4026" s="49" t="s">
        <v>2776</v>
      </c>
      <c r="H4026" s="49" t="s">
        <v>2827</v>
      </c>
      <c r="I4026" s="50">
        <v>43357</v>
      </c>
      <c r="M4026" s="49" t="s">
        <v>13842</v>
      </c>
    </row>
    <row r="4027" spans="1:13" x14ac:dyDescent="0.35">
      <c r="A4027" s="49" t="s">
        <v>13843</v>
      </c>
      <c r="B4027" s="49" t="s">
        <v>3507</v>
      </c>
      <c r="C4027" s="49" t="s">
        <v>8983</v>
      </c>
      <c r="D4027" s="49" t="s">
        <v>1264</v>
      </c>
      <c r="E4027" s="49" t="s">
        <v>2774</v>
      </c>
      <c r="F4027" s="49" t="s">
        <v>3509</v>
      </c>
      <c r="G4027" s="49" t="s">
        <v>2776</v>
      </c>
      <c r="H4027" s="49" t="s">
        <v>973</v>
      </c>
      <c r="I4027" s="50">
        <v>42059</v>
      </c>
      <c r="M4027" s="49" t="s">
        <v>13844</v>
      </c>
    </row>
    <row r="4028" spans="1:13" x14ac:dyDescent="0.35">
      <c r="A4028" s="49" t="s">
        <v>13845</v>
      </c>
      <c r="C4028" s="49" t="s">
        <v>13846</v>
      </c>
      <c r="D4028" s="49" t="s">
        <v>1264</v>
      </c>
      <c r="E4028" s="49" t="s">
        <v>2774</v>
      </c>
      <c r="F4028" s="49" t="s">
        <v>2900</v>
      </c>
      <c r="G4028" s="49" t="s">
        <v>2776</v>
      </c>
      <c r="H4028" s="49" t="s">
        <v>3229</v>
      </c>
      <c r="I4028" s="50">
        <v>42443</v>
      </c>
      <c r="M4028" s="49" t="s">
        <v>13847</v>
      </c>
    </row>
    <row r="4029" spans="1:13" x14ac:dyDescent="0.35">
      <c r="A4029" s="49" t="s">
        <v>13848</v>
      </c>
      <c r="C4029" s="49" t="s">
        <v>8221</v>
      </c>
      <c r="D4029" s="49" t="s">
        <v>1264</v>
      </c>
      <c r="E4029" s="49" t="s">
        <v>2774</v>
      </c>
      <c r="F4029" s="49" t="s">
        <v>2825</v>
      </c>
      <c r="G4029" s="49" t="s">
        <v>2776</v>
      </c>
      <c r="H4029" s="49" t="s">
        <v>2827</v>
      </c>
      <c r="I4029" s="50">
        <v>42564</v>
      </c>
      <c r="M4029" s="49" t="s">
        <v>3470</v>
      </c>
    </row>
    <row r="4030" spans="1:13" x14ac:dyDescent="0.35">
      <c r="A4030" s="49" t="s">
        <v>13849</v>
      </c>
      <c r="C4030" s="49" t="s">
        <v>4026</v>
      </c>
      <c r="D4030" s="49" t="s">
        <v>1264</v>
      </c>
      <c r="E4030" s="49" t="s">
        <v>2774</v>
      </c>
      <c r="F4030" s="49" t="s">
        <v>2825</v>
      </c>
      <c r="G4030" s="49" t="s">
        <v>2776</v>
      </c>
      <c r="H4030" s="49" t="s">
        <v>2827</v>
      </c>
      <c r="I4030" s="50">
        <v>43578</v>
      </c>
      <c r="M4030" s="49" t="s">
        <v>13850</v>
      </c>
    </row>
    <row r="4031" spans="1:13" x14ac:dyDescent="0.35">
      <c r="A4031" s="49" t="s">
        <v>13851</v>
      </c>
      <c r="B4031" s="49" t="s">
        <v>10547</v>
      </c>
      <c r="C4031" s="49" t="s">
        <v>3116</v>
      </c>
      <c r="D4031" s="49" t="s">
        <v>1264</v>
      </c>
      <c r="E4031" s="49" t="s">
        <v>2774</v>
      </c>
      <c r="F4031" s="49" t="s">
        <v>4259</v>
      </c>
      <c r="G4031" s="49" t="s">
        <v>2787</v>
      </c>
      <c r="H4031" s="49" t="s">
        <v>8</v>
      </c>
      <c r="I4031" s="50">
        <v>42460</v>
      </c>
      <c r="M4031" s="49" t="s">
        <v>13852</v>
      </c>
    </row>
    <row r="4032" spans="1:13" x14ac:dyDescent="0.35">
      <c r="A4032" s="49" t="s">
        <v>13853</v>
      </c>
      <c r="C4032" s="49" t="s">
        <v>13854</v>
      </c>
      <c r="D4032" s="49" t="s">
        <v>1264</v>
      </c>
      <c r="E4032" s="49" t="s">
        <v>2774</v>
      </c>
      <c r="F4032" s="49" t="s">
        <v>2939</v>
      </c>
      <c r="G4032" s="49" t="s">
        <v>2776</v>
      </c>
      <c r="H4032" s="49" t="s">
        <v>980</v>
      </c>
      <c r="I4032" s="50">
        <v>43593</v>
      </c>
      <c r="M4032" s="49" t="s">
        <v>13855</v>
      </c>
    </row>
    <row r="4033" spans="1:13" x14ac:dyDescent="0.35">
      <c r="A4033" s="49" t="s">
        <v>13856</v>
      </c>
      <c r="C4033" s="49" t="s">
        <v>3187</v>
      </c>
      <c r="D4033" s="49" t="s">
        <v>1264</v>
      </c>
      <c r="E4033" s="49" t="s">
        <v>2774</v>
      </c>
      <c r="F4033" s="49" t="s">
        <v>2825</v>
      </c>
      <c r="G4033" s="49" t="s">
        <v>2787</v>
      </c>
      <c r="H4033" s="49" t="s">
        <v>2827</v>
      </c>
      <c r="I4033" s="50">
        <v>43453</v>
      </c>
      <c r="M4033" s="49" t="s">
        <v>13857</v>
      </c>
    </row>
    <row r="4034" spans="1:13" ht="29" x14ac:dyDescent="0.35">
      <c r="A4034" s="49" t="s">
        <v>13858</v>
      </c>
      <c r="B4034" s="51" t="s">
        <v>13859</v>
      </c>
      <c r="C4034" s="49" t="s">
        <v>5262</v>
      </c>
      <c r="D4034" s="49" t="s">
        <v>1264</v>
      </c>
      <c r="E4034" s="49" t="s">
        <v>2774</v>
      </c>
      <c r="F4034" s="49" t="s">
        <v>2825</v>
      </c>
      <c r="G4034" s="49" t="s">
        <v>2776</v>
      </c>
      <c r="H4034" s="49" t="s">
        <v>2827</v>
      </c>
      <c r="I4034" s="50">
        <v>43453</v>
      </c>
      <c r="M4034" s="49" t="s">
        <v>13860</v>
      </c>
    </row>
    <row r="4035" spans="1:13" x14ac:dyDescent="0.35">
      <c r="A4035" s="49" t="s">
        <v>13861</v>
      </c>
      <c r="C4035" s="49" t="s">
        <v>13862</v>
      </c>
      <c r="D4035" s="49" t="s">
        <v>1264</v>
      </c>
      <c r="E4035" s="49" t="s">
        <v>2774</v>
      </c>
      <c r="F4035" s="49" t="s">
        <v>3005</v>
      </c>
      <c r="G4035" s="49" t="s">
        <v>2776</v>
      </c>
      <c r="H4035" s="49" t="s">
        <v>1062</v>
      </c>
      <c r="I4035" s="50">
        <v>43871</v>
      </c>
      <c r="M4035" s="49" t="s">
        <v>13863</v>
      </c>
    </row>
    <row r="4036" spans="1:13" x14ac:dyDescent="0.35">
      <c r="A4036" s="49" t="s">
        <v>13864</v>
      </c>
      <c r="B4036" s="49" t="s">
        <v>13865</v>
      </c>
      <c r="C4036" s="49" t="s">
        <v>9177</v>
      </c>
      <c r="D4036" s="49" t="s">
        <v>1264</v>
      </c>
      <c r="E4036" s="49" t="s">
        <v>2774</v>
      </c>
      <c r="F4036" s="49" t="s">
        <v>4842</v>
      </c>
      <c r="G4036" s="49" t="s">
        <v>2776</v>
      </c>
      <c r="H4036" s="49" t="s">
        <v>2827</v>
      </c>
      <c r="I4036" s="50">
        <v>43341</v>
      </c>
      <c r="M4036" s="49" t="s">
        <v>13866</v>
      </c>
    </row>
    <row r="4037" spans="1:13" x14ac:dyDescent="0.35">
      <c r="A4037" s="49" t="s">
        <v>13867</v>
      </c>
      <c r="B4037" s="49" t="s">
        <v>6881</v>
      </c>
      <c r="C4037" s="49" t="s">
        <v>13792</v>
      </c>
      <c r="D4037" s="49" t="s">
        <v>1264</v>
      </c>
      <c r="E4037" s="49" t="s">
        <v>2774</v>
      </c>
      <c r="F4037" s="49" t="s">
        <v>2825</v>
      </c>
      <c r="G4037" s="49" t="s">
        <v>2776</v>
      </c>
      <c r="H4037" s="49" t="s">
        <v>2827</v>
      </c>
      <c r="I4037" s="50">
        <v>43361</v>
      </c>
      <c r="M4037" s="49" t="s">
        <v>13868</v>
      </c>
    </row>
    <row r="4038" spans="1:13" x14ac:dyDescent="0.35">
      <c r="A4038" s="49" t="s">
        <v>13869</v>
      </c>
      <c r="C4038" s="49" t="s">
        <v>13870</v>
      </c>
      <c r="D4038" s="49" t="s">
        <v>1264</v>
      </c>
      <c r="E4038" s="49" t="s">
        <v>2774</v>
      </c>
      <c r="F4038" s="49" t="s">
        <v>2825</v>
      </c>
      <c r="G4038" s="49" t="s">
        <v>2776</v>
      </c>
      <c r="H4038" s="49" t="s">
        <v>2827</v>
      </c>
      <c r="I4038" s="50">
        <v>43554</v>
      </c>
      <c r="M4038" s="49" t="s">
        <v>13871</v>
      </c>
    </row>
    <row r="4039" spans="1:13" x14ac:dyDescent="0.35">
      <c r="A4039" s="49" t="s">
        <v>13872</v>
      </c>
      <c r="B4039" s="49" t="s">
        <v>13873</v>
      </c>
      <c r="C4039" s="49" t="s">
        <v>686</v>
      </c>
      <c r="D4039" s="49" t="s">
        <v>1264</v>
      </c>
      <c r="E4039" s="49" t="s">
        <v>2814</v>
      </c>
      <c r="F4039" s="49" t="s">
        <v>13874</v>
      </c>
      <c r="G4039" s="49" t="s">
        <v>2776</v>
      </c>
      <c r="H4039" s="49" t="s">
        <v>2827</v>
      </c>
      <c r="I4039" s="50">
        <v>42016</v>
      </c>
      <c r="M4039" s="49" t="s">
        <v>13875</v>
      </c>
    </row>
    <row r="4040" spans="1:13" x14ac:dyDescent="0.35">
      <c r="A4040" s="49" t="s">
        <v>13876</v>
      </c>
      <c r="C4040" s="49" t="s">
        <v>3245</v>
      </c>
      <c r="D4040" s="49" t="s">
        <v>1264</v>
      </c>
      <c r="E4040" s="49" t="s">
        <v>2774</v>
      </c>
      <c r="F4040" s="49" t="s">
        <v>2900</v>
      </c>
      <c r="G4040" s="49" t="s">
        <v>2776</v>
      </c>
      <c r="H4040" s="49" t="s">
        <v>2827</v>
      </c>
      <c r="I4040" s="50">
        <v>41481</v>
      </c>
      <c r="M4040" s="49" t="s">
        <v>13877</v>
      </c>
    </row>
    <row r="4041" spans="1:13" x14ac:dyDescent="0.35">
      <c r="A4041" s="49" t="s">
        <v>13878</v>
      </c>
      <c r="B4041" s="49" t="s">
        <v>13879</v>
      </c>
      <c r="C4041" s="49" t="s">
        <v>3652</v>
      </c>
      <c r="D4041" s="49" t="s">
        <v>1264</v>
      </c>
      <c r="E4041" s="49" t="s">
        <v>2774</v>
      </c>
      <c r="F4041" s="49" t="s">
        <v>2825</v>
      </c>
      <c r="G4041" s="49" t="s">
        <v>2776</v>
      </c>
      <c r="H4041" s="49" t="s">
        <v>2827</v>
      </c>
      <c r="I4041" s="50">
        <v>43486</v>
      </c>
      <c r="M4041" s="49" t="s">
        <v>13880</v>
      </c>
    </row>
    <row r="4042" spans="1:13" x14ac:dyDescent="0.35">
      <c r="A4042" s="49" t="s">
        <v>13881</v>
      </c>
      <c r="B4042" s="49" t="s">
        <v>13882</v>
      </c>
      <c r="C4042" s="49" t="s">
        <v>3652</v>
      </c>
      <c r="D4042" s="49" t="s">
        <v>1264</v>
      </c>
      <c r="E4042" s="49" t="s">
        <v>2774</v>
      </c>
      <c r="F4042" s="49" t="s">
        <v>2825</v>
      </c>
      <c r="G4042" s="49" t="s">
        <v>2776</v>
      </c>
      <c r="H4042" s="49" t="s">
        <v>2827</v>
      </c>
      <c r="I4042" s="50">
        <v>43486</v>
      </c>
      <c r="M4042" s="49" t="s">
        <v>13883</v>
      </c>
    </row>
    <row r="4043" spans="1:13" x14ac:dyDescent="0.35">
      <c r="A4043" s="49" t="s">
        <v>13884</v>
      </c>
      <c r="B4043" s="49" t="s">
        <v>13885</v>
      </c>
      <c r="C4043" s="49" t="s">
        <v>8148</v>
      </c>
      <c r="D4043" s="49" t="s">
        <v>1264</v>
      </c>
      <c r="E4043" s="49" t="s">
        <v>2774</v>
      </c>
      <c r="F4043" s="49" t="s">
        <v>2900</v>
      </c>
      <c r="G4043" s="49" t="s">
        <v>2776</v>
      </c>
      <c r="H4043" s="49" t="s">
        <v>3229</v>
      </c>
      <c r="I4043" s="50">
        <v>42299</v>
      </c>
      <c r="M4043" s="49" t="s">
        <v>13886</v>
      </c>
    </row>
    <row r="4044" spans="1:13" x14ac:dyDescent="0.35">
      <c r="A4044" s="49" t="s">
        <v>13887</v>
      </c>
      <c r="B4044" s="49" t="s">
        <v>949</v>
      </c>
      <c r="C4044" s="49" t="s">
        <v>3849</v>
      </c>
      <c r="D4044" s="49" t="s">
        <v>1264</v>
      </c>
      <c r="E4044" s="49" t="s">
        <v>2774</v>
      </c>
      <c r="F4044" s="49" t="s">
        <v>4842</v>
      </c>
      <c r="G4044" s="49" t="s">
        <v>2787</v>
      </c>
      <c r="H4044" s="49" t="s">
        <v>2827</v>
      </c>
      <c r="I4044" s="50">
        <v>43342</v>
      </c>
      <c r="M4044" s="49" t="s">
        <v>13888</v>
      </c>
    </row>
    <row r="4045" spans="1:13" x14ac:dyDescent="0.35">
      <c r="A4045" s="49" t="s">
        <v>13889</v>
      </c>
      <c r="B4045" s="49" t="s">
        <v>13890</v>
      </c>
      <c r="C4045" s="49" t="s">
        <v>13680</v>
      </c>
      <c r="D4045" s="49" t="s">
        <v>1264</v>
      </c>
      <c r="E4045" s="49" t="s">
        <v>2774</v>
      </c>
      <c r="F4045" s="49" t="s">
        <v>2825</v>
      </c>
      <c r="G4045" s="49" t="s">
        <v>2776</v>
      </c>
      <c r="H4045" s="49" t="s">
        <v>2827</v>
      </c>
      <c r="I4045" s="50">
        <v>43430</v>
      </c>
      <c r="M4045" s="49" t="s">
        <v>13891</v>
      </c>
    </row>
    <row r="4046" spans="1:13" x14ac:dyDescent="0.35">
      <c r="A4046" s="49" t="s">
        <v>13892</v>
      </c>
      <c r="C4046" s="49" t="s">
        <v>13893</v>
      </c>
      <c r="D4046" s="49" t="s">
        <v>1264</v>
      </c>
      <c r="E4046" s="49" t="s">
        <v>2774</v>
      </c>
      <c r="F4046" s="49" t="s">
        <v>2825</v>
      </c>
      <c r="G4046" s="49" t="s">
        <v>2776</v>
      </c>
      <c r="H4046" s="49" t="s">
        <v>2827</v>
      </c>
      <c r="I4046" s="50">
        <v>43158</v>
      </c>
      <c r="M4046" s="49" t="s">
        <v>3470</v>
      </c>
    </row>
    <row r="4047" spans="1:13" x14ac:dyDescent="0.35">
      <c r="A4047" s="49" t="s">
        <v>13894</v>
      </c>
      <c r="C4047" s="49" t="s">
        <v>13895</v>
      </c>
      <c r="D4047" s="49" t="s">
        <v>1264</v>
      </c>
      <c r="E4047" s="49" t="s">
        <v>2774</v>
      </c>
      <c r="F4047" s="49" t="s">
        <v>3124</v>
      </c>
      <c r="G4047" s="49" t="s">
        <v>2776</v>
      </c>
      <c r="H4047" s="49" t="s">
        <v>980</v>
      </c>
      <c r="I4047" s="50">
        <v>42745</v>
      </c>
      <c r="M4047" s="49" t="s">
        <v>3470</v>
      </c>
    </row>
    <row r="4048" spans="1:13" x14ac:dyDescent="0.35">
      <c r="A4048" s="49" t="s">
        <v>13896</v>
      </c>
      <c r="B4048" s="49" t="s">
        <v>13897</v>
      </c>
      <c r="C4048" s="49" t="s">
        <v>8515</v>
      </c>
      <c r="D4048" s="49" t="s">
        <v>1264</v>
      </c>
      <c r="E4048" s="49" t="s">
        <v>2774</v>
      </c>
      <c r="F4048" s="49" t="s">
        <v>3253</v>
      </c>
      <c r="G4048" s="49" t="s">
        <v>2787</v>
      </c>
      <c r="H4048" s="49" t="s">
        <v>2827</v>
      </c>
      <c r="I4048" s="50">
        <v>42676</v>
      </c>
      <c r="M4048" s="49" t="s">
        <v>13898</v>
      </c>
    </row>
    <row r="4049" spans="1:13" x14ac:dyDescent="0.35">
      <c r="A4049" s="49" t="s">
        <v>13899</v>
      </c>
      <c r="B4049" s="49" t="s">
        <v>5173</v>
      </c>
      <c r="C4049" s="49" t="s">
        <v>7672</v>
      </c>
      <c r="D4049" s="49" t="s">
        <v>1264</v>
      </c>
      <c r="E4049" s="49" t="s">
        <v>2774</v>
      </c>
      <c r="F4049" s="49" t="s">
        <v>13900</v>
      </c>
      <c r="G4049" s="49" t="s">
        <v>2787</v>
      </c>
      <c r="H4049" s="49" t="s">
        <v>2827</v>
      </c>
      <c r="I4049" s="50">
        <v>42152</v>
      </c>
      <c r="M4049" s="49" t="s">
        <v>7674</v>
      </c>
    </row>
    <row r="4050" spans="1:13" x14ac:dyDescent="0.35">
      <c r="A4050" s="49" t="s">
        <v>13901</v>
      </c>
      <c r="C4050" s="49" t="s">
        <v>13902</v>
      </c>
      <c r="D4050" s="49" t="s">
        <v>1264</v>
      </c>
      <c r="E4050" s="49" t="s">
        <v>2774</v>
      </c>
      <c r="F4050" s="49" t="s">
        <v>2900</v>
      </c>
      <c r="G4050" s="49" t="s">
        <v>2776</v>
      </c>
      <c r="H4050" s="49" t="s">
        <v>980</v>
      </c>
      <c r="I4050" s="50">
        <v>42307</v>
      </c>
      <c r="M4050" s="49" t="s">
        <v>3470</v>
      </c>
    </row>
    <row r="4051" spans="1:13" x14ac:dyDescent="0.35">
      <c r="A4051" s="49" t="s">
        <v>13903</v>
      </c>
      <c r="B4051" s="49" t="s">
        <v>3995</v>
      </c>
      <c r="C4051" s="49" t="s">
        <v>3837</v>
      </c>
      <c r="D4051" s="49" t="s">
        <v>1264</v>
      </c>
      <c r="E4051" s="49" t="s">
        <v>2774</v>
      </c>
      <c r="F4051" s="49" t="s">
        <v>3005</v>
      </c>
      <c r="G4051" s="49" t="s">
        <v>2776</v>
      </c>
      <c r="H4051" s="49" t="s">
        <v>8</v>
      </c>
      <c r="I4051" s="50">
        <v>41887</v>
      </c>
      <c r="M4051" s="49" t="s">
        <v>13904</v>
      </c>
    </row>
    <row r="4052" spans="1:13" x14ac:dyDescent="0.35">
      <c r="A4052" s="49" t="s">
        <v>13905</v>
      </c>
      <c r="C4052" s="49" t="s">
        <v>13906</v>
      </c>
      <c r="D4052" s="49" t="s">
        <v>1264</v>
      </c>
      <c r="E4052" s="49" t="s">
        <v>2774</v>
      </c>
      <c r="F4052" s="49" t="s">
        <v>2939</v>
      </c>
      <c r="G4052" s="49" t="s">
        <v>2776</v>
      </c>
      <c r="H4052" s="49" t="s">
        <v>980</v>
      </c>
      <c r="I4052" s="50">
        <v>42683</v>
      </c>
      <c r="M4052" s="49" t="s">
        <v>3470</v>
      </c>
    </row>
    <row r="4053" spans="1:13" x14ac:dyDescent="0.35">
      <c r="A4053" s="49" t="s">
        <v>13907</v>
      </c>
      <c r="C4053" s="49" t="s">
        <v>13906</v>
      </c>
      <c r="D4053" s="49" t="s">
        <v>1264</v>
      </c>
      <c r="E4053" s="49" t="s">
        <v>2774</v>
      </c>
      <c r="F4053" s="49" t="s">
        <v>2837</v>
      </c>
      <c r="G4053" s="49" t="s">
        <v>2776</v>
      </c>
      <c r="H4053" s="49" t="s">
        <v>980</v>
      </c>
      <c r="I4053" s="50">
        <v>42683</v>
      </c>
      <c r="M4053" s="49" t="s">
        <v>3470</v>
      </c>
    </row>
    <row r="4054" spans="1:13" x14ac:dyDescent="0.35">
      <c r="A4054" s="49" t="s">
        <v>13908</v>
      </c>
      <c r="C4054" s="49" t="s">
        <v>4128</v>
      </c>
      <c r="D4054" s="49" t="s">
        <v>1264</v>
      </c>
      <c r="E4054" s="49" t="s">
        <v>2774</v>
      </c>
      <c r="F4054" s="49" t="s">
        <v>5254</v>
      </c>
      <c r="G4054" s="49" t="s">
        <v>2776</v>
      </c>
      <c r="H4054" s="49" t="s">
        <v>973</v>
      </c>
      <c r="I4054" s="50">
        <v>42299</v>
      </c>
      <c r="M4054" s="49" t="s">
        <v>13909</v>
      </c>
    </row>
    <row r="4055" spans="1:13" x14ac:dyDescent="0.35">
      <c r="A4055" s="49" t="s">
        <v>13910</v>
      </c>
      <c r="B4055" s="49" t="s">
        <v>13911</v>
      </c>
      <c r="C4055" s="49" t="s">
        <v>10433</v>
      </c>
      <c r="D4055" s="49" t="s">
        <v>1264</v>
      </c>
      <c r="E4055" s="49" t="s">
        <v>2774</v>
      </c>
      <c r="F4055" s="49" t="s">
        <v>3188</v>
      </c>
      <c r="G4055" s="49" t="s">
        <v>2776</v>
      </c>
      <c r="H4055" s="49" t="s">
        <v>973</v>
      </c>
      <c r="I4055" s="50">
        <v>43521</v>
      </c>
      <c r="M4055" s="49" t="s">
        <v>10434</v>
      </c>
    </row>
    <row r="4056" spans="1:13" x14ac:dyDescent="0.35">
      <c r="A4056" s="49" t="s">
        <v>13912</v>
      </c>
      <c r="B4056" s="49" t="s">
        <v>13913</v>
      </c>
      <c r="C4056" s="49" t="s">
        <v>3652</v>
      </c>
      <c r="D4056" s="49" t="s">
        <v>1264</v>
      </c>
      <c r="E4056" s="49" t="s">
        <v>2774</v>
      </c>
      <c r="F4056" s="49" t="s">
        <v>2825</v>
      </c>
      <c r="G4056" s="49" t="s">
        <v>2826</v>
      </c>
      <c r="H4056" s="49" t="s">
        <v>2827</v>
      </c>
      <c r="I4056" s="50">
        <v>43395</v>
      </c>
      <c r="M4056" s="49" t="s">
        <v>13914</v>
      </c>
    </row>
    <row r="4057" spans="1:13" x14ac:dyDescent="0.35">
      <c r="A4057" s="49" t="s">
        <v>13915</v>
      </c>
      <c r="B4057" s="49" t="s">
        <v>13916</v>
      </c>
      <c r="C4057" s="49" t="s">
        <v>3518</v>
      </c>
      <c r="D4057" s="49" t="s">
        <v>1264</v>
      </c>
      <c r="E4057" s="49" t="s">
        <v>2774</v>
      </c>
      <c r="F4057" s="49" t="s">
        <v>2825</v>
      </c>
      <c r="G4057" s="49" t="s">
        <v>2776</v>
      </c>
      <c r="H4057" s="49" t="s">
        <v>2827</v>
      </c>
      <c r="I4057" s="50">
        <v>42583</v>
      </c>
      <c r="M4057" s="49" t="s">
        <v>13917</v>
      </c>
    </row>
    <row r="4058" spans="1:13" x14ac:dyDescent="0.35">
      <c r="A4058" s="49" t="s">
        <v>13918</v>
      </c>
      <c r="C4058" s="49" t="s">
        <v>13919</v>
      </c>
      <c r="D4058" s="49" t="s">
        <v>1264</v>
      </c>
      <c r="E4058" s="49" t="s">
        <v>2774</v>
      </c>
      <c r="F4058" s="49" t="s">
        <v>2825</v>
      </c>
      <c r="G4058" s="49" t="s">
        <v>2776</v>
      </c>
      <c r="H4058" s="49" t="s">
        <v>2827</v>
      </c>
      <c r="I4058" s="50">
        <v>43084</v>
      </c>
      <c r="M4058" s="49" t="s">
        <v>8292</v>
      </c>
    </row>
    <row r="4059" spans="1:13" x14ac:dyDescent="0.35">
      <c r="A4059" s="49" t="s">
        <v>13920</v>
      </c>
      <c r="C4059" s="49" t="s">
        <v>13921</v>
      </c>
      <c r="D4059" s="49" t="s">
        <v>1264</v>
      </c>
      <c r="E4059" s="49" t="s">
        <v>2774</v>
      </c>
      <c r="F4059" s="49" t="s">
        <v>2825</v>
      </c>
      <c r="G4059" s="49" t="s">
        <v>2787</v>
      </c>
      <c r="H4059" s="49" t="s">
        <v>2827</v>
      </c>
      <c r="I4059" s="50">
        <v>42177</v>
      </c>
      <c r="M4059" s="49" t="s">
        <v>3470</v>
      </c>
    </row>
    <row r="4060" spans="1:13" x14ac:dyDescent="0.35">
      <c r="A4060" s="49" t="s">
        <v>13922</v>
      </c>
      <c r="B4060" s="49" t="s">
        <v>13923</v>
      </c>
      <c r="C4060" s="49" t="s">
        <v>13800</v>
      </c>
      <c r="D4060" s="49" t="s">
        <v>1264</v>
      </c>
      <c r="E4060" s="49" t="s">
        <v>2774</v>
      </c>
      <c r="F4060" s="49" t="s">
        <v>2825</v>
      </c>
      <c r="G4060" s="49" t="s">
        <v>2787</v>
      </c>
      <c r="H4060" s="49" t="s">
        <v>2827</v>
      </c>
      <c r="I4060" s="50">
        <v>41624</v>
      </c>
      <c r="M4060" s="49" t="s">
        <v>10761</v>
      </c>
    </row>
    <row r="4061" spans="1:13" x14ac:dyDescent="0.35">
      <c r="A4061" s="49" t="s">
        <v>13924</v>
      </c>
      <c r="C4061" s="49" t="s">
        <v>13925</v>
      </c>
      <c r="D4061" s="49" t="s">
        <v>1264</v>
      </c>
      <c r="E4061" s="49" t="s">
        <v>2774</v>
      </c>
      <c r="F4061" s="49" t="s">
        <v>4842</v>
      </c>
      <c r="G4061" s="49" t="s">
        <v>2826</v>
      </c>
      <c r="H4061" s="49" t="s">
        <v>2827</v>
      </c>
      <c r="I4061" s="50">
        <v>42541</v>
      </c>
      <c r="M4061" s="49" t="s">
        <v>13926</v>
      </c>
    </row>
    <row r="4062" spans="1:13" x14ac:dyDescent="0.35">
      <c r="A4062" s="49" t="s">
        <v>13927</v>
      </c>
      <c r="C4062" s="49" t="s">
        <v>8221</v>
      </c>
      <c r="D4062" s="49" t="s">
        <v>1264</v>
      </c>
      <c r="E4062" s="49" t="s">
        <v>2774</v>
      </c>
      <c r="F4062" s="49" t="s">
        <v>2825</v>
      </c>
      <c r="G4062" s="49" t="s">
        <v>2776</v>
      </c>
      <c r="H4062" s="49" t="s">
        <v>2827</v>
      </c>
      <c r="I4062" s="50">
        <v>42549</v>
      </c>
      <c r="M4062" s="49" t="s">
        <v>3470</v>
      </c>
    </row>
    <row r="4063" spans="1:13" x14ac:dyDescent="0.35">
      <c r="A4063" s="49" t="s">
        <v>13928</v>
      </c>
      <c r="B4063" s="49" t="s">
        <v>13913</v>
      </c>
      <c r="C4063" s="49" t="s">
        <v>10854</v>
      </c>
      <c r="D4063" s="49" t="s">
        <v>1264</v>
      </c>
      <c r="E4063" s="49" t="s">
        <v>2774</v>
      </c>
      <c r="F4063" s="49" t="s">
        <v>2825</v>
      </c>
      <c r="G4063" s="49" t="s">
        <v>2901</v>
      </c>
      <c r="H4063" s="49" t="s">
        <v>2827</v>
      </c>
      <c r="I4063" s="50">
        <v>44252</v>
      </c>
      <c r="J4063" s="50">
        <v>44405</v>
      </c>
      <c r="K4063" s="50">
        <v>45865</v>
      </c>
      <c r="M4063" s="49" t="s">
        <v>13929</v>
      </c>
    </row>
    <row r="4064" spans="1:13" x14ac:dyDescent="0.35">
      <c r="A4064" s="49" t="s">
        <v>13930</v>
      </c>
      <c r="B4064" s="49" t="s">
        <v>13931</v>
      </c>
      <c r="C4064" s="49" t="s">
        <v>13932</v>
      </c>
      <c r="D4064" s="49" t="s">
        <v>1264</v>
      </c>
      <c r="E4064" s="49" t="s">
        <v>2774</v>
      </c>
      <c r="F4064" s="49" t="s">
        <v>2900</v>
      </c>
      <c r="G4064" s="49" t="s">
        <v>2776</v>
      </c>
      <c r="H4064" s="49" t="s">
        <v>2832</v>
      </c>
      <c r="I4064" s="50">
        <v>41996</v>
      </c>
      <c r="M4064" s="49" t="s">
        <v>13933</v>
      </c>
    </row>
    <row r="4065" spans="1:13" x14ac:dyDescent="0.35">
      <c r="A4065" s="49" t="s">
        <v>13934</v>
      </c>
      <c r="B4065" s="49" t="s">
        <v>13935</v>
      </c>
      <c r="C4065" s="49" t="s">
        <v>13936</v>
      </c>
      <c r="D4065" s="49" t="s">
        <v>1264</v>
      </c>
      <c r="E4065" s="49" t="s">
        <v>2774</v>
      </c>
      <c r="F4065" s="49" t="s">
        <v>2900</v>
      </c>
      <c r="G4065" s="49" t="s">
        <v>2776</v>
      </c>
      <c r="H4065" s="49" t="s">
        <v>980</v>
      </c>
      <c r="I4065" s="50">
        <v>42038</v>
      </c>
      <c r="M4065" s="49" t="s">
        <v>13937</v>
      </c>
    </row>
    <row r="4066" spans="1:13" x14ac:dyDescent="0.35">
      <c r="A4066" s="49" t="s">
        <v>13938</v>
      </c>
      <c r="C4066" s="49" t="s">
        <v>13939</v>
      </c>
      <c r="D4066" s="49" t="s">
        <v>1264</v>
      </c>
      <c r="E4066" s="49" t="s">
        <v>2814</v>
      </c>
      <c r="F4066" s="49" t="s">
        <v>2825</v>
      </c>
      <c r="G4066" s="49" t="s">
        <v>2776</v>
      </c>
      <c r="H4066" s="49" t="s">
        <v>2827</v>
      </c>
      <c r="I4066" s="50">
        <v>43914</v>
      </c>
      <c r="M4066" s="49" t="s">
        <v>3270</v>
      </c>
    </row>
    <row r="4067" spans="1:13" x14ac:dyDescent="0.35">
      <c r="A4067" s="49" t="s">
        <v>13940</v>
      </c>
      <c r="B4067" s="49" t="s">
        <v>13941</v>
      </c>
      <c r="C4067" s="49" t="s">
        <v>4314</v>
      </c>
      <c r="D4067" s="49" t="s">
        <v>1264</v>
      </c>
      <c r="E4067" s="49" t="s">
        <v>2774</v>
      </c>
      <c r="F4067" s="49" t="s">
        <v>2825</v>
      </c>
      <c r="G4067" s="49" t="s">
        <v>2776</v>
      </c>
      <c r="H4067" s="49" t="s">
        <v>2827</v>
      </c>
      <c r="I4067" s="50">
        <v>44032</v>
      </c>
      <c r="M4067" s="49" t="s">
        <v>7964</v>
      </c>
    </row>
    <row r="4068" spans="1:13" x14ac:dyDescent="0.35">
      <c r="A4068" s="49" t="s">
        <v>13942</v>
      </c>
      <c r="B4068" s="49" t="s">
        <v>13943</v>
      </c>
      <c r="C4068" s="49" t="s">
        <v>4250</v>
      </c>
      <c r="D4068" s="49" t="s">
        <v>1264</v>
      </c>
      <c r="E4068" s="49" t="s">
        <v>2774</v>
      </c>
      <c r="F4068" s="49" t="s">
        <v>2825</v>
      </c>
      <c r="G4068" s="49" t="s">
        <v>3602</v>
      </c>
      <c r="H4068" s="49" t="s">
        <v>2827</v>
      </c>
      <c r="I4068" s="50">
        <v>43434</v>
      </c>
      <c r="M4068" s="49" t="s">
        <v>13944</v>
      </c>
    </row>
    <row r="4069" spans="1:13" x14ac:dyDescent="0.35">
      <c r="A4069" s="49" t="s">
        <v>13945</v>
      </c>
      <c r="C4069" s="49" t="s">
        <v>8054</v>
      </c>
      <c r="D4069" s="49" t="s">
        <v>1264</v>
      </c>
      <c r="E4069" s="49" t="s">
        <v>2774</v>
      </c>
      <c r="F4069" s="49" t="s">
        <v>3405</v>
      </c>
      <c r="G4069" s="49" t="s">
        <v>2826</v>
      </c>
      <c r="H4069" s="49" t="s">
        <v>973</v>
      </c>
      <c r="I4069" s="50">
        <v>44278</v>
      </c>
      <c r="M4069" s="49" t="s">
        <v>13946</v>
      </c>
    </row>
    <row r="4070" spans="1:13" x14ac:dyDescent="0.35">
      <c r="A4070" s="49" t="s">
        <v>13947</v>
      </c>
      <c r="B4070" s="49" t="s">
        <v>3507</v>
      </c>
      <c r="C4070" s="49" t="s">
        <v>13800</v>
      </c>
      <c r="D4070" s="49" t="s">
        <v>1264</v>
      </c>
      <c r="E4070" s="49" t="s">
        <v>2774</v>
      </c>
      <c r="F4070" s="49" t="s">
        <v>3509</v>
      </c>
      <c r="G4070" s="49" t="s">
        <v>2776</v>
      </c>
      <c r="H4070" s="49" t="s">
        <v>973</v>
      </c>
      <c r="I4070" s="50">
        <v>42054</v>
      </c>
      <c r="M4070" s="49" t="s">
        <v>13844</v>
      </c>
    </row>
    <row r="4071" spans="1:13" x14ac:dyDescent="0.35">
      <c r="A4071" s="49" t="s">
        <v>13948</v>
      </c>
      <c r="B4071" s="49" t="s">
        <v>13949</v>
      </c>
      <c r="C4071" s="49" t="s">
        <v>9123</v>
      </c>
      <c r="D4071" s="49" t="s">
        <v>1264</v>
      </c>
      <c r="E4071" s="49" t="s">
        <v>2774</v>
      </c>
      <c r="F4071" s="49" t="s">
        <v>3648</v>
      </c>
      <c r="G4071" s="49" t="s">
        <v>2776</v>
      </c>
      <c r="H4071" s="49" t="s">
        <v>980</v>
      </c>
      <c r="I4071" s="50">
        <v>42118</v>
      </c>
      <c r="M4071" s="49" t="s">
        <v>13950</v>
      </c>
    </row>
    <row r="4072" spans="1:13" x14ac:dyDescent="0.35">
      <c r="A4072" s="49" t="s">
        <v>13951</v>
      </c>
      <c r="C4072" s="49" t="s">
        <v>13952</v>
      </c>
      <c r="D4072" s="49" t="s">
        <v>1264</v>
      </c>
      <c r="E4072" s="49" t="s">
        <v>2774</v>
      </c>
      <c r="G4072" s="49" t="s">
        <v>2776</v>
      </c>
      <c r="H4072" s="49" t="s">
        <v>2827</v>
      </c>
      <c r="I4072" s="50">
        <v>43087</v>
      </c>
      <c r="M4072" s="49" t="s">
        <v>13953</v>
      </c>
    </row>
    <row r="4073" spans="1:13" x14ac:dyDescent="0.35">
      <c r="A4073" s="49" t="s">
        <v>13954</v>
      </c>
      <c r="B4073" s="49" t="s">
        <v>13955</v>
      </c>
      <c r="C4073" s="49" t="s">
        <v>13956</v>
      </c>
      <c r="D4073" s="49" t="s">
        <v>1264</v>
      </c>
      <c r="E4073" s="49" t="s">
        <v>2774</v>
      </c>
      <c r="F4073" s="49" t="s">
        <v>2900</v>
      </c>
      <c r="G4073" s="49" t="s">
        <v>2776</v>
      </c>
      <c r="H4073" s="49" t="s">
        <v>3207</v>
      </c>
      <c r="I4073" s="50">
        <v>42128</v>
      </c>
      <c r="M4073" s="49" t="s">
        <v>13957</v>
      </c>
    </row>
    <row r="4074" spans="1:13" x14ac:dyDescent="0.35">
      <c r="A4074" s="49" t="s">
        <v>13958</v>
      </c>
      <c r="B4074" s="49" t="s">
        <v>3491</v>
      </c>
      <c r="C4074" s="49" t="s">
        <v>13959</v>
      </c>
      <c r="D4074" s="49" t="s">
        <v>1264</v>
      </c>
      <c r="E4074" s="49" t="s">
        <v>2774</v>
      </c>
      <c r="F4074" s="49" t="s">
        <v>2825</v>
      </c>
      <c r="G4074" s="49" t="s">
        <v>2776</v>
      </c>
      <c r="H4074" s="49" t="s">
        <v>2827</v>
      </c>
      <c r="I4074" s="50">
        <v>43230</v>
      </c>
      <c r="M4074" s="49" t="s">
        <v>13960</v>
      </c>
    </row>
    <row r="4075" spans="1:13" x14ac:dyDescent="0.35">
      <c r="A4075" s="49" t="s">
        <v>13961</v>
      </c>
      <c r="B4075" s="49" t="s">
        <v>13962</v>
      </c>
      <c r="C4075" s="49" t="s">
        <v>13963</v>
      </c>
      <c r="D4075" s="49" t="s">
        <v>1264</v>
      </c>
      <c r="E4075" s="49" t="s">
        <v>2774</v>
      </c>
      <c r="F4075" s="49" t="s">
        <v>2900</v>
      </c>
      <c r="G4075" s="49" t="s">
        <v>2826</v>
      </c>
      <c r="H4075" s="49" t="s">
        <v>980</v>
      </c>
      <c r="I4075" s="50">
        <v>41969</v>
      </c>
      <c r="M4075" s="49" t="s">
        <v>13964</v>
      </c>
    </row>
    <row r="4076" spans="1:13" x14ac:dyDescent="0.35">
      <c r="A4076" s="49" t="s">
        <v>13965</v>
      </c>
      <c r="B4076" s="49" t="s">
        <v>7028</v>
      </c>
      <c r="C4076" s="49" t="s">
        <v>8828</v>
      </c>
      <c r="D4076" s="49" t="s">
        <v>1264</v>
      </c>
      <c r="E4076" s="49" t="s">
        <v>2774</v>
      </c>
      <c r="F4076" s="49" t="s">
        <v>4774</v>
      </c>
      <c r="G4076" s="49" t="s">
        <v>2826</v>
      </c>
      <c r="H4076" s="49" t="s">
        <v>3207</v>
      </c>
      <c r="I4076" s="50">
        <v>42102</v>
      </c>
      <c r="M4076" s="49" t="s">
        <v>13966</v>
      </c>
    </row>
    <row r="4077" spans="1:13" x14ac:dyDescent="0.35">
      <c r="A4077" s="49" t="s">
        <v>13967</v>
      </c>
      <c r="B4077" s="49" t="s">
        <v>13968</v>
      </c>
      <c r="C4077" s="49" t="s">
        <v>13969</v>
      </c>
      <c r="D4077" s="49" t="s">
        <v>1264</v>
      </c>
      <c r="E4077" s="49" t="s">
        <v>2774</v>
      </c>
      <c r="F4077" s="49" t="s">
        <v>2825</v>
      </c>
      <c r="G4077" s="49" t="s">
        <v>2776</v>
      </c>
      <c r="H4077" s="49" t="s">
        <v>2827</v>
      </c>
      <c r="I4077" s="50">
        <v>42786</v>
      </c>
      <c r="M4077" s="49" t="s">
        <v>13970</v>
      </c>
    </row>
    <row r="4078" spans="1:13" x14ac:dyDescent="0.35">
      <c r="A4078" s="49" t="s">
        <v>13971</v>
      </c>
      <c r="C4078" s="49" t="s">
        <v>13972</v>
      </c>
      <c r="D4078" s="49" t="s">
        <v>1264</v>
      </c>
      <c r="E4078" s="49" t="s">
        <v>2774</v>
      </c>
      <c r="F4078" s="49" t="s">
        <v>5123</v>
      </c>
      <c r="G4078" s="49" t="s">
        <v>2776</v>
      </c>
      <c r="H4078" s="49" t="s">
        <v>980</v>
      </c>
      <c r="I4078" s="50">
        <v>43874</v>
      </c>
      <c r="M4078" s="49" t="s">
        <v>13973</v>
      </c>
    </row>
    <row r="4079" spans="1:13" x14ac:dyDescent="0.35">
      <c r="A4079" s="49" t="s">
        <v>13974</v>
      </c>
      <c r="B4079" s="49" t="s">
        <v>13975</v>
      </c>
      <c r="C4079" s="49" t="s">
        <v>13976</v>
      </c>
      <c r="D4079" s="49" t="s">
        <v>1264</v>
      </c>
      <c r="E4079" s="49" t="s">
        <v>2774</v>
      </c>
      <c r="F4079" s="49" t="s">
        <v>2825</v>
      </c>
      <c r="G4079" s="49" t="s">
        <v>2776</v>
      </c>
      <c r="H4079" s="49" t="s">
        <v>2827</v>
      </c>
      <c r="I4079" s="50">
        <v>43441</v>
      </c>
      <c r="M4079" s="49" t="s">
        <v>13977</v>
      </c>
    </row>
    <row r="4080" spans="1:13" x14ac:dyDescent="0.35">
      <c r="A4080" s="49" t="s">
        <v>13978</v>
      </c>
      <c r="C4080" s="49" t="s">
        <v>13932</v>
      </c>
      <c r="D4080" s="49" t="s">
        <v>1264</v>
      </c>
      <c r="E4080" s="49" t="s">
        <v>2774</v>
      </c>
      <c r="F4080" s="49" t="s">
        <v>2900</v>
      </c>
      <c r="G4080" s="49" t="s">
        <v>2776</v>
      </c>
      <c r="H4080" s="49" t="s">
        <v>2832</v>
      </c>
      <c r="I4080" s="50">
        <v>43815</v>
      </c>
      <c r="M4080" s="49" t="s">
        <v>13979</v>
      </c>
    </row>
    <row r="4081" spans="1:13" x14ac:dyDescent="0.35">
      <c r="A4081" s="49" t="s">
        <v>13980</v>
      </c>
      <c r="C4081" s="49" t="s">
        <v>13981</v>
      </c>
      <c r="D4081" s="49" t="s">
        <v>1264</v>
      </c>
      <c r="E4081" s="49" t="s">
        <v>2774</v>
      </c>
      <c r="F4081" s="49" t="s">
        <v>3005</v>
      </c>
      <c r="G4081" s="49" t="s">
        <v>2776</v>
      </c>
      <c r="H4081" s="49" t="s">
        <v>980</v>
      </c>
      <c r="I4081" s="50">
        <v>44061</v>
      </c>
      <c r="M4081" s="49" t="s">
        <v>13982</v>
      </c>
    </row>
    <row r="4082" spans="1:13" x14ac:dyDescent="0.35">
      <c r="A4082" s="49" t="s">
        <v>13983</v>
      </c>
      <c r="C4082" s="49" t="s">
        <v>5544</v>
      </c>
      <c r="D4082" s="49" t="s">
        <v>1264</v>
      </c>
      <c r="E4082" s="49" t="s">
        <v>2774</v>
      </c>
      <c r="F4082" s="49" t="s">
        <v>3188</v>
      </c>
      <c r="G4082" s="49" t="s">
        <v>2776</v>
      </c>
      <c r="H4082" s="49" t="s">
        <v>2827</v>
      </c>
      <c r="I4082" s="50">
        <v>44172</v>
      </c>
      <c r="M4082" s="49" t="s">
        <v>13984</v>
      </c>
    </row>
    <row r="4083" spans="1:13" x14ac:dyDescent="0.35">
      <c r="A4083" s="49" t="s">
        <v>13985</v>
      </c>
      <c r="C4083" s="49" t="s">
        <v>8721</v>
      </c>
      <c r="D4083" s="49" t="s">
        <v>1264</v>
      </c>
      <c r="E4083" s="49" t="s">
        <v>7057</v>
      </c>
      <c r="F4083" s="49" t="s">
        <v>2825</v>
      </c>
      <c r="G4083" s="49" t="s">
        <v>2776</v>
      </c>
      <c r="H4083" s="49" t="s">
        <v>2827</v>
      </c>
      <c r="I4083" s="50">
        <v>41151</v>
      </c>
      <c r="M4083" s="49" t="s">
        <v>13986</v>
      </c>
    </row>
    <row r="4084" spans="1:13" x14ac:dyDescent="0.35">
      <c r="A4084" s="49" t="s">
        <v>13987</v>
      </c>
      <c r="C4084" s="49" t="s">
        <v>13987</v>
      </c>
      <c r="D4084" s="49" t="s">
        <v>1264</v>
      </c>
      <c r="E4084" s="49" t="s">
        <v>2774</v>
      </c>
      <c r="F4084" s="49" t="s">
        <v>2900</v>
      </c>
      <c r="G4084" s="49" t="s">
        <v>2776</v>
      </c>
      <c r="H4084" s="49" t="s">
        <v>980</v>
      </c>
      <c r="I4084" s="50">
        <v>42018</v>
      </c>
      <c r="M4084" s="49" t="s">
        <v>13988</v>
      </c>
    </row>
    <row r="4085" spans="1:13" x14ac:dyDescent="0.35">
      <c r="A4085" s="49" t="s">
        <v>13989</v>
      </c>
      <c r="B4085" s="49" t="s">
        <v>7783</v>
      </c>
      <c r="C4085" s="49" t="s">
        <v>13990</v>
      </c>
      <c r="D4085" s="49" t="s">
        <v>1264</v>
      </c>
      <c r="E4085" s="49" t="s">
        <v>2785</v>
      </c>
      <c r="F4085" s="49" t="s">
        <v>2792</v>
      </c>
      <c r="G4085" s="49" t="s">
        <v>2776</v>
      </c>
      <c r="H4085" s="49" t="s">
        <v>8</v>
      </c>
      <c r="I4085" s="50">
        <v>41609</v>
      </c>
      <c r="M4085" s="49" t="s">
        <v>13991</v>
      </c>
    </row>
    <row r="4086" spans="1:13" x14ac:dyDescent="0.35">
      <c r="A4086" s="49" t="s">
        <v>13992</v>
      </c>
      <c r="C4086" s="49" t="s">
        <v>13993</v>
      </c>
      <c r="D4086" s="49" t="s">
        <v>1264</v>
      </c>
      <c r="E4086" s="49" t="s">
        <v>2774</v>
      </c>
      <c r="F4086" s="49" t="s">
        <v>5254</v>
      </c>
      <c r="G4086" s="49" t="s">
        <v>2776</v>
      </c>
      <c r="H4086" s="49" t="s">
        <v>2827</v>
      </c>
      <c r="I4086" s="50">
        <v>40837</v>
      </c>
      <c r="M4086" s="49" t="s">
        <v>13994</v>
      </c>
    </row>
    <row r="4087" spans="1:13" x14ac:dyDescent="0.35">
      <c r="A4087" s="49" t="s">
        <v>13995</v>
      </c>
      <c r="B4087" s="49" t="s">
        <v>3420</v>
      </c>
      <c r="C4087" s="49" t="s">
        <v>13996</v>
      </c>
      <c r="D4087" s="49" t="s">
        <v>1264</v>
      </c>
      <c r="E4087" s="49" t="s">
        <v>2908</v>
      </c>
      <c r="F4087" s="49" t="s">
        <v>2939</v>
      </c>
      <c r="G4087" s="49" t="s">
        <v>2776</v>
      </c>
      <c r="H4087" s="49" t="s">
        <v>980</v>
      </c>
      <c r="I4087" s="50">
        <v>41878</v>
      </c>
      <c r="M4087" s="49" t="s">
        <v>13997</v>
      </c>
    </row>
    <row r="4088" spans="1:13" x14ac:dyDescent="0.35">
      <c r="A4088" s="49" t="s">
        <v>13998</v>
      </c>
      <c r="B4088" s="49" t="s">
        <v>13999</v>
      </c>
      <c r="C4088" s="49" t="s">
        <v>3056</v>
      </c>
      <c r="D4088" s="49" t="s">
        <v>1264</v>
      </c>
      <c r="E4088" s="49" t="s">
        <v>2774</v>
      </c>
      <c r="F4088" s="49" t="s">
        <v>3598</v>
      </c>
      <c r="G4088" s="49" t="s">
        <v>2776</v>
      </c>
      <c r="H4088" s="49" t="s">
        <v>973</v>
      </c>
      <c r="I4088" s="50">
        <v>41724</v>
      </c>
      <c r="M4088" s="49" t="s">
        <v>14000</v>
      </c>
    </row>
    <row r="4089" spans="1:13" x14ac:dyDescent="0.35">
      <c r="A4089" s="49" t="s">
        <v>14001</v>
      </c>
      <c r="B4089" s="49" t="s">
        <v>10448</v>
      </c>
      <c r="C4089" s="49" t="s">
        <v>14002</v>
      </c>
      <c r="D4089" s="49" t="s">
        <v>1264</v>
      </c>
      <c r="E4089" s="49" t="s">
        <v>2774</v>
      </c>
      <c r="F4089" s="49" t="s">
        <v>2825</v>
      </c>
      <c r="G4089" s="49" t="s">
        <v>2776</v>
      </c>
      <c r="H4089" s="49" t="s">
        <v>2827</v>
      </c>
      <c r="I4089" s="50">
        <v>42026</v>
      </c>
      <c r="M4089" s="49" t="s">
        <v>14003</v>
      </c>
    </row>
    <row r="4090" spans="1:13" x14ac:dyDescent="0.35">
      <c r="A4090" s="49" t="s">
        <v>14004</v>
      </c>
      <c r="B4090" s="49" t="s">
        <v>4845</v>
      </c>
      <c r="C4090" s="49" t="s">
        <v>3245</v>
      </c>
      <c r="D4090" s="49" t="s">
        <v>1264</v>
      </c>
      <c r="E4090" s="49" t="s">
        <v>2774</v>
      </c>
      <c r="F4090" s="49" t="s">
        <v>2825</v>
      </c>
      <c r="G4090" s="49" t="s">
        <v>2787</v>
      </c>
      <c r="H4090" s="49" t="s">
        <v>2827</v>
      </c>
      <c r="I4090" s="50">
        <v>42087</v>
      </c>
      <c r="M4090" s="49" t="s">
        <v>14005</v>
      </c>
    </row>
    <row r="4091" spans="1:13" x14ac:dyDescent="0.35">
      <c r="A4091" s="49" t="s">
        <v>14006</v>
      </c>
      <c r="C4091" s="49" t="s">
        <v>14007</v>
      </c>
      <c r="D4091" s="49" t="s">
        <v>1264</v>
      </c>
      <c r="E4091" s="49" t="s">
        <v>2785</v>
      </c>
      <c r="F4091" s="49" t="s">
        <v>2792</v>
      </c>
      <c r="G4091" s="49" t="s">
        <v>2787</v>
      </c>
      <c r="H4091" s="49" t="s">
        <v>8</v>
      </c>
      <c r="I4091" s="50">
        <v>42180</v>
      </c>
      <c r="M4091" s="49" t="s">
        <v>3470</v>
      </c>
    </row>
    <row r="4092" spans="1:13" x14ac:dyDescent="0.35">
      <c r="A4092" s="49" t="s">
        <v>14008</v>
      </c>
      <c r="B4092" s="49" t="s">
        <v>13813</v>
      </c>
      <c r="C4092" s="49" t="s">
        <v>14009</v>
      </c>
      <c r="D4092" s="49" t="s">
        <v>1264</v>
      </c>
      <c r="E4092" s="49" t="s">
        <v>2774</v>
      </c>
      <c r="F4092" s="49" t="s">
        <v>2825</v>
      </c>
      <c r="G4092" s="49" t="s">
        <v>2776</v>
      </c>
      <c r="H4092" s="49" t="s">
        <v>2827</v>
      </c>
      <c r="I4092" s="50">
        <v>41337</v>
      </c>
      <c r="M4092" s="49" t="s">
        <v>14010</v>
      </c>
    </row>
    <row r="4093" spans="1:13" x14ac:dyDescent="0.35">
      <c r="A4093" s="49" t="s">
        <v>14011</v>
      </c>
      <c r="B4093" s="49" t="s">
        <v>13813</v>
      </c>
      <c r="C4093" s="49" t="s">
        <v>4450</v>
      </c>
      <c r="D4093" s="49" t="s">
        <v>1264</v>
      </c>
      <c r="E4093" s="49" t="s">
        <v>2774</v>
      </c>
      <c r="F4093" s="49" t="s">
        <v>2825</v>
      </c>
      <c r="G4093" s="49" t="s">
        <v>2776</v>
      </c>
      <c r="H4093" s="49" t="s">
        <v>973</v>
      </c>
      <c r="I4093" s="50">
        <v>40687</v>
      </c>
      <c r="M4093" s="49" t="s">
        <v>14012</v>
      </c>
    </row>
    <row r="4094" spans="1:13" x14ac:dyDescent="0.35">
      <c r="A4094" s="49" t="s">
        <v>14013</v>
      </c>
      <c r="B4094" s="49" t="s">
        <v>14014</v>
      </c>
      <c r="C4094" s="49" t="s">
        <v>3597</v>
      </c>
      <c r="D4094" s="49" t="s">
        <v>1264</v>
      </c>
      <c r="E4094" s="49" t="s">
        <v>2774</v>
      </c>
      <c r="F4094" s="49" t="s">
        <v>2825</v>
      </c>
      <c r="G4094" s="49" t="s">
        <v>2776</v>
      </c>
      <c r="H4094" s="49" t="s">
        <v>2827</v>
      </c>
      <c r="I4094" s="50">
        <v>40704</v>
      </c>
      <c r="M4094" s="49" t="s">
        <v>14015</v>
      </c>
    </row>
    <row r="4095" spans="1:13" x14ac:dyDescent="0.35">
      <c r="A4095" s="49" t="s">
        <v>14016</v>
      </c>
      <c r="B4095" s="49" t="s">
        <v>14017</v>
      </c>
      <c r="C4095" s="49" t="s">
        <v>3597</v>
      </c>
      <c r="D4095" s="49" t="s">
        <v>1264</v>
      </c>
      <c r="E4095" s="49" t="s">
        <v>2774</v>
      </c>
      <c r="F4095" s="49" t="s">
        <v>2825</v>
      </c>
      <c r="G4095" s="49" t="s">
        <v>2776</v>
      </c>
      <c r="H4095" s="49" t="s">
        <v>2827</v>
      </c>
      <c r="I4095" s="50">
        <v>40704</v>
      </c>
      <c r="M4095" s="49" t="s">
        <v>14018</v>
      </c>
    </row>
    <row r="4096" spans="1:13" x14ac:dyDescent="0.35">
      <c r="A4096" s="49" t="s">
        <v>14019</v>
      </c>
      <c r="C4096" s="49" t="s">
        <v>14009</v>
      </c>
      <c r="D4096" s="49" t="s">
        <v>1264</v>
      </c>
      <c r="E4096" s="49" t="s">
        <v>2774</v>
      </c>
      <c r="F4096" s="49" t="s">
        <v>2825</v>
      </c>
      <c r="G4096" s="49" t="s">
        <v>2776</v>
      </c>
      <c r="H4096" s="49" t="s">
        <v>2827</v>
      </c>
      <c r="I4096" s="50">
        <v>41183</v>
      </c>
      <c r="M4096" s="49" t="s">
        <v>14010</v>
      </c>
    </row>
    <row r="4097" spans="1:13" x14ac:dyDescent="0.35">
      <c r="A4097" s="49" t="s">
        <v>14020</v>
      </c>
      <c r="B4097" s="49" t="s">
        <v>2806</v>
      </c>
      <c r="C4097" s="49" t="s">
        <v>8148</v>
      </c>
      <c r="D4097" s="49" t="s">
        <v>1264</v>
      </c>
      <c r="E4097" s="49" t="s">
        <v>2774</v>
      </c>
      <c r="F4097" s="49" t="s">
        <v>2900</v>
      </c>
      <c r="G4097" s="49" t="s">
        <v>2776</v>
      </c>
      <c r="H4097" s="49" t="s">
        <v>2806</v>
      </c>
      <c r="I4097" s="50">
        <v>40681</v>
      </c>
      <c r="M4097" s="49" t="s">
        <v>14021</v>
      </c>
    </row>
    <row r="4098" spans="1:13" x14ac:dyDescent="0.35">
      <c r="A4098" s="49" t="s">
        <v>14022</v>
      </c>
      <c r="C4098" s="49" t="s">
        <v>3837</v>
      </c>
      <c r="D4098" s="49" t="s">
        <v>1264</v>
      </c>
      <c r="E4098" s="49" t="s">
        <v>2774</v>
      </c>
      <c r="F4098" s="49" t="s">
        <v>2900</v>
      </c>
      <c r="G4098" s="49" t="s">
        <v>2776</v>
      </c>
      <c r="H4098" s="49" t="s">
        <v>3229</v>
      </c>
      <c r="I4098" s="50">
        <v>41261</v>
      </c>
      <c r="M4098" s="49" t="s">
        <v>14023</v>
      </c>
    </row>
    <row r="4099" spans="1:13" x14ac:dyDescent="0.35">
      <c r="A4099" s="49" t="s">
        <v>14024</v>
      </c>
      <c r="B4099" s="49" t="s">
        <v>3372</v>
      </c>
      <c r="C4099" s="49" t="s">
        <v>3022</v>
      </c>
      <c r="D4099" s="49" t="s">
        <v>1264</v>
      </c>
      <c r="E4099" s="49" t="s">
        <v>2774</v>
      </c>
      <c r="F4099" s="49" t="s">
        <v>2900</v>
      </c>
      <c r="G4099" s="49" t="s">
        <v>2776</v>
      </c>
      <c r="H4099" s="49" t="s">
        <v>3229</v>
      </c>
      <c r="I4099" s="50">
        <v>40654</v>
      </c>
      <c r="M4099" s="49" t="s">
        <v>14025</v>
      </c>
    </row>
    <row r="4100" spans="1:13" x14ac:dyDescent="0.35">
      <c r="A4100" s="49" t="s">
        <v>14026</v>
      </c>
      <c r="C4100" s="49" t="s">
        <v>14027</v>
      </c>
      <c r="D4100" s="49" t="s">
        <v>1264</v>
      </c>
      <c r="E4100" s="49" t="s">
        <v>2774</v>
      </c>
      <c r="F4100" s="49" t="s">
        <v>2900</v>
      </c>
      <c r="G4100" s="49" t="s">
        <v>2776</v>
      </c>
      <c r="H4100" s="49" t="s">
        <v>980</v>
      </c>
      <c r="I4100" s="50">
        <v>41082</v>
      </c>
      <c r="M4100" s="49" t="s">
        <v>14028</v>
      </c>
    </row>
    <row r="4101" spans="1:13" x14ac:dyDescent="0.35">
      <c r="A4101" s="49" t="s">
        <v>14029</v>
      </c>
      <c r="C4101" s="49" t="s">
        <v>3056</v>
      </c>
      <c r="D4101" s="49" t="s">
        <v>1264</v>
      </c>
      <c r="E4101" s="49" t="s">
        <v>2774</v>
      </c>
      <c r="F4101" s="49" t="s">
        <v>2900</v>
      </c>
      <c r="G4101" s="49" t="s">
        <v>2776</v>
      </c>
      <c r="H4101" s="49" t="s">
        <v>3229</v>
      </c>
      <c r="I4101" s="50">
        <v>40535</v>
      </c>
      <c r="M4101" s="49" t="s">
        <v>14030</v>
      </c>
    </row>
    <row r="4102" spans="1:13" x14ac:dyDescent="0.35">
      <c r="A4102" s="49" t="s">
        <v>14031</v>
      </c>
      <c r="B4102" s="49" t="s">
        <v>4659</v>
      </c>
      <c r="C4102" s="49" t="s">
        <v>3985</v>
      </c>
      <c r="D4102" s="49" t="s">
        <v>1264</v>
      </c>
      <c r="E4102" s="49" t="s">
        <v>2774</v>
      </c>
      <c r="F4102" s="49" t="s">
        <v>2900</v>
      </c>
      <c r="G4102" s="49" t="s">
        <v>2776</v>
      </c>
      <c r="H4102" s="49" t="s">
        <v>980</v>
      </c>
      <c r="I4102" s="50">
        <v>40967</v>
      </c>
      <c r="M4102" s="49" t="s">
        <v>14032</v>
      </c>
    </row>
    <row r="4103" spans="1:13" x14ac:dyDescent="0.35">
      <c r="A4103" s="49" t="s">
        <v>14033</v>
      </c>
      <c r="C4103" s="49" t="s">
        <v>9100</v>
      </c>
      <c r="D4103" s="49" t="s">
        <v>1264</v>
      </c>
      <c r="E4103" s="49" t="s">
        <v>2899</v>
      </c>
      <c r="F4103" s="49" t="s">
        <v>2939</v>
      </c>
      <c r="G4103" s="49" t="s">
        <v>2776</v>
      </c>
      <c r="H4103" s="49" t="s">
        <v>980</v>
      </c>
      <c r="I4103" s="50">
        <v>40479</v>
      </c>
      <c r="M4103" s="49" t="s">
        <v>14034</v>
      </c>
    </row>
    <row r="4104" spans="1:13" x14ac:dyDescent="0.35">
      <c r="A4104" s="49" t="s">
        <v>14035</v>
      </c>
      <c r="C4104" s="49" t="s">
        <v>2961</v>
      </c>
      <c r="D4104" s="49" t="s">
        <v>1264</v>
      </c>
      <c r="E4104" s="49" t="s">
        <v>2899</v>
      </c>
      <c r="F4104" s="49" t="s">
        <v>2939</v>
      </c>
      <c r="G4104" s="49" t="s">
        <v>2776</v>
      </c>
      <c r="H4104" s="49" t="s">
        <v>980</v>
      </c>
      <c r="I4104" s="50">
        <v>40479</v>
      </c>
      <c r="M4104" s="49" t="s">
        <v>14036</v>
      </c>
    </row>
    <row r="4105" spans="1:13" x14ac:dyDescent="0.35">
      <c r="A4105" s="49" t="s">
        <v>14037</v>
      </c>
      <c r="B4105" s="49" t="s">
        <v>14038</v>
      </c>
      <c r="C4105" s="49" t="s">
        <v>2773</v>
      </c>
      <c r="D4105" s="49" t="s">
        <v>1264</v>
      </c>
      <c r="E4105" s="49" t="s">
        <v>2774</v>
      </c>
      <c r="F4105" s="49" t="s">
        <v>2775</v>
      </c>
      <c r="G4105" s="49" t="s">
        <v>2776</v>
      </c>
      <c r="H4105" s="49" t="s">
        <v>980</v>
      </c>
      <c r="I4105" s="50">
        <v>41088</v>
      </c>
      <c r="M4105" s="49" t="s">
        <v>14039</v>
      </c>
    </row>
    <row r="4106" spans="1:13" x14ac:dyDescent="0.35">
      <c r="A4106" s="49" t="s">
        <v>14040</v>
      </c>
      <c r="B4106" s="49" t="s">
        <v>14041</v>
      </c>
      <c r="C4106" s="49" t="s">
        <v>2773</v>
      </c>
      <c r="D4106" s="49" t="s">
        <v>1264</v>
      </c>
      <c r="E4106" s="49" t="s">
        <v>2774</v>
      </c>
      <c r="F4106" s="49" t="s">
        <v>2775</v>
      </c>
      <c r="G4106" s="49" t="s">
        <v>2776</v>
      </c>
      <c r="H4106" s="49" t="s">
        <v>980</v>
      </c>
      <c r="I4106" s="50">
        <v>40907</v>
      </c>
      <c r="J4106" s="50">
        <v>40948</v>
      </c>
      <c r="K4106" s="50">
        <v>42044</v>
      </c>
      <c r="M4106" s="49" t="s">
        <v>14042</v>
      </c>
    </row>
    <row r="4107" spans="1:13" x14ac:dyDescent="0.35">
      <c r="A4107" s="49" t="s">
        <v>14043</v>
      </c>
      <c r="C4107" s="49" t="s">
        <v>14044</v>
      </c>
      <c r="D4107" s="49" t="s">
        <v>1264</v>
      </c>
      <c r="E4107" s="49" t="s">
        <v>14045</v>
      </c>
      <c r="G4107" s="49" t="s">
        <v>4891</v>
      </c>
    </row>
    <row r="4108" spans="1:13" x14ac:dyDescent="0.35">
      <c r="A4108" s="49" t="s">
        <v>14046</v>
      </c>
      <c r="C4108" s="49" t="s">
        <v>14047</v>
      </c>
      <c r="D4108" s="49" t="s">
        <v>1264</v>
      </c>
      <c r="E4108" s="49" t="s">
        <v>14045</v>
      </c>
      <c r="G4108" s="49" t="s">
        <v>2901</v>
      </c>
      <c r="I4108" s="50">
        <v>45797</v>
      </c>
      <c r="J4108" s="50">
        <v>45797</v>
      </c>
      <c r="K4108" s="50">
        <v>45797</v>
      </c>
    </row>
    <row r="4109" spans="1:13" x14ac:dyDescent="0.35">
      <c r="A4109" s="49" t="s">
        <v>14048</v>
      </c>
      <c r="C4109" s="49" t="s">
        <v>14049</v>
      </c>
      <c r="D4109" s="49" t="s">
        <v>1264</v>
      </c>
      <c r="E4109" s="49" t="s">
        <v>2774</v>
      </c>
      <c r="F4109" s="49" t="s">
        <v>2825</v>
      </c>
      <c r="G4109" s="49" t="s">
        <v>2826</v>
      </c>
      <c r="H4109" s="49" t="s">
        <v>973</v>
      </c>
      <c r="I4109" s="50">
        <v>41864</v>
      </c>
      <c r="M4109" s="49" t="s">
        <v>14050</v>
      </c>
    </row>
    <row r="4110" spans="1:13" x14ac:dyDescent="0.35">
      <c r="A4110" s="49" t="s">
        <v>14051</v>
      </c>
      <c r="B4110" s="49" t="s">
        <v>14052</v>
      </c>
      <c r="C4110" s="49" t="s">
        <v>14044</v>
      </c>
      <c r="D4110" s="49" t="s">
        <v>1264</v>
      </c>
      <c r="E4110" s="49" t="s">
        <v>2774</v>
      </c>
      <c r="F4110" s="49" t="s">
        <v>14053</v>
      </c>
      <c r="G4110" s="49" t="s">
        <v>2787</v>
      </c>
      <c r="H4110" s="49" t="s">
        <v>2827</v>
      </c>
      <c r="I4110" s="50">
        <v>45819</v>
      </c>
      <c r="J4110" s="50">
        <v>45819</v>
      </c>
      <c r="K4110" s="50">
        <v>45989</v>
      </c>
      <c r="M4110" s="49" t="s">
        <v>14054</v>
      </c>
    </row>
    <row r="4111" spans="1:13" x14ac:dyDescent="0.35">
      <c r="A4111" s="49" t="s">
        <v>14055</v>
      </c>
      <c r="C4111" s="49" t="s">
        <v>3103</v>
      </c>
      <c r="D4111" s="49" t="s">
        <v>1264</v>
      </c>
      <c r="E4111" s="49" t="s">
        <v>2908</v>
      </c>
      <c r="F4111" s="49" t="s">
        <v>2939</v>
      </c>
      <c r="G4111" s="49" t="s">
        <v>2776</v>
      </c>
      <c r="H4111" s="49" t="s">
        <v>8</v>
      </c>
      <c r="I4111" s="50">
        <v>40294</v>
      </c>
      <c r="M4111" s="49" t="s">
        <v>14056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2CC1-4B75-4928-A87D-CA7E9D89584B}">
  <dimension ref="A1:Y629"/>
  <sheetViews>
    <sheetView tabSelected="1" topLeftCell="M1" zoomScale="26" zoomScaleNormal="92" workbookViewId="0">
      <selection activeCell="W19" sqref="W19"/>
    </sheetView>
  </sheetViews>
  <sheetFormatPr baseColWidth="10" defaultRowHeight="14.5" x14ac:dyDescent="0.35"/>
  <cols>
    <col min="2" max="2" width="96.7265625" customWidth="1"/>
    <col min="3" max="3" width="33.08984375" customWidth="1"/>
    <col min="4" max="4" width="24.7265625" style="2" customWidth="1"/>
    <col min="5" max="5" width="19.7265625" style="2" customWidth="1"/>
    <col min="6" max="6" width="17.36328125" style="2" customWidth="1"/>
    <col min="7" max="7" width="14.90625" customWidth="1"/>
    <col min="8" max="8" width="23" customWidth="1"/>
    <col min="9" max="9" width="16.453125" customWidth="1"/>
    <col min="10" max="10" width="17.81640625" customWidth="1"/>
    <col min="11" max="11" width="12.36328125" customWidth="1"/>
    <col min="13" max="13" width="33.26953125" bestFit="1" customWidth="1"/>
    <col min="14" max="14" width="24.36328125" bestFit="1" customWidth="1"/>
    <col min="15" max="17" width="63.36328125" customWidth="1"/>
    <col min="18" max="18" width="12" customWidth="1"/>
    <col min="23" max="23" width="57" bestFit="1" customWidth="1"/>
    <col min="24" max="24" width="22.54296875" bestFit="1" customWidth="1"/>
  </cols>
  <sheetData>
    <row r="1" spans="1:23" s="4" customFormat="1" ht="28.5" customHeight="1" x14ac:dyDescent="0.35">
      <c r="A1" s="26" t="s">
        <v>0</v>
      </c>
      <c r="B1" s="23" t="s">
        <v>1</v>
      </c>
      <c r="C1" s="23" t="s">
        <v>2</v>
      </c>
      <c r="D1" s="23" t="s">
        <v>1067</v>
      </c>
      <c r="E1" s="27" t="s">
        <v>1070</v>
      </c>
      <c r="F1" s="27" t="s">
        <v>1071</v>
      </c>
      <c r="G1" s="23" t="s">
        <v>1068</v>
      </c>
      <c r="H1" s="23" t="s">
        <v>3</v>
      </c>
      <c r="I1" s="23" t="s">
        <v>4</v>
      </c>
      <c r="J1" s="23" t="s">
        <v>5</v>
      </c>
      <c r="K1" s="23" t="s">
        <v>6</v>
      </c>
      <c r="L1" s="23" t="s">
        <v>7</v>
      </c>
      <c r="M1" s="28" t="s">
        <v>15715</v>
      </c>
      <c r="N1" s="28" t="s">
        <v>14057</v>
      </c>
      <c r="O1" s="28" t="s">
        <v>14058</v>
      </c>
      <c r="P1" s="28" t="s">
        <v>15714</v>
      </c>
      <c r="Q1" s="28" t="s">
        <v>2745</v>
      </c>
      <c r="R1" s="28" t="s">
        <v>1069</v>
      </c>
    </row>
    <row r="2" spans="1:23" x14ac:dyDescent="0.35">
      <c r="A2" s="24" t="s">
        <v>8</v>
      </c>
      <c r="B2" s="1" t="s">
        <v>14</v>
      </c>
      <c r="C2" s="1" t="s">
        <v>15</v>
      </c>
      <c r="D2" s="3" t="s">
        <v>16</v>
      </c>
      <c r="E2" s="3">
        <v>100</v>
      </c>
      <c r="F2" s="3">
        <v>100</v>
      </c>
      <c r="G2" s="1" t="s">
        <v>17</v>
      </c>
      <c r="H2" s="1" t="s">
        <v>17</v>
      </c>
      <c r="I2" s="1" t="s">
        <v>12</v>
      </c>
      <c r="J2" s="1">
        <v>0</v>
      </c>
      <c r="K2" s="1" t="s">
        <v>12</v>
      </c>
      <c r="L2" s="1" t="s">
        <v>7</v>
      </c>
      <c r="M2" s="25"/>
      <c r="N2" s="25" t="str">
        <f>IFERROR(VLOOKUP(Tableau3[[#This Row],[Denomination Sociale]],Tableau7[],1,0),"")</f>
        <v/>
      </c>
      <c r="O2" s="25" t="str">
        <f>VLOOKUP(Tableau3[[#This Row],[Denomination Sociale]],Tableau6[],1,0)</f>
        <v>2S GOLD</v>
      </c>
      <c r="P2" s="25" t="s">
        <v>14</v>
      </c>
      <c r="Q2" s="25" t="str">
        <f>VLOOKUP(Tableau3[[#This Row],[Denomination Sociale]],Tableau6[],1,1)</f>
        <v>2S GOLD</v>
      </c>
      <c r="R2" s="25" t="s">
        <v>8</v>
      </c>
    </row>
    <row r="3" spans="1:23" x14ac:dyDescent="0.35">
      <c r="A3" s="24" t="s">
        <v>8</v>
      </c>
      <c r="B3" s="1" t="s">
        <v>18</v>
      </c>
      <c r="C3" s="1" t="s">
        <v>19</v>
      </c>
      <c r="D3" s="3" t="s">
        <v>20</v>
      </c>
      <c r="E3" s="3">
        <v>100</v>
      </c>
      <c r="F3" s="3">
        <v>100</v>
      </c>
      <c r="G3" s="1" t="s">
        <v>17</v>
      </c>
      <c r="H3" s="1" t="s">
        <v>17</v>
      </c>
      <c r="I3" s="1" t="s">
        <v>12</v>
      </c>
      <c r="J3" s="1">
        <v>0</v>
      </c>
      <c r="K3" s="1" t="s">
        <v>12</v>
      </c>
      <c r="L3" s="1" t="s">
        <v>7</v>
      </c>
      <c r="M3" s="25"/>
      <c r="N3" s="25" t="str">
        <f>IFERROR(VLOOKUP(Tableau3[[#This Row],[Denomination Sociale]],Tableau7[],1,0),"")</f>
        <v/>
      </c>
      <c r="O3" s="25" t="str">
        <f>VLOOKUP(Tableau3[[#This Row],[Denomination Sociale]],Tableau6[],1,0)</f>
        <v>ABA SERVICES</v>
      </c>
      <c r="P3" s="25" t="s">
        <v>18</v>
      </c>
      <c r="Q3" s="25" t="str">
        <f>VLOOKUP(Tableau3[[#This Row],[Denomination Sociale]],Tableau6[],1,1)</f>
        <v>ABA SERVICES</v>
      </c>
      <c r="R3" s="25" t="s">
        <v>8</v>
      </c>
    </row>
    <row r="4" spans="1:23" x14ac:dyDescent="0.35">
      <c r="A4" s="24" t="s">
        <v>8</v>
      </c>
      <c r="B4" s="1" t="s">
        <v>15283</v>
      </c>
      <c r="C4" s="1" t="s">
        <v>22</v>
      </c>
      <c r="D4" s="3" t="s">
        <v>23</v>
      </c>
      <c r="E4" s="3">
        <v>100</v>
      </c>
      <c r="F4" s="3" t="s">
        <v>12</v>
      </c>
      <c r="G4" s="1" t="s">
        <v>17</v>
      </c>
      <c r="H4" s="1" t="s">
        <v>17</v>
      </c>
      <c r="I4" s="1" t="s">
        <v>12</v>
      </c>
      <c r="J4" s="1">
        <v>0</v>
      </c>
      <c r="K4" s="1" t="s">
        <v>12</v>
      </c>
      <c r="L4" s="1" t="s">
        <v>7</v>
      </c>
      <c r="M4" s="25"/>
      <c r="N4" s="25" t="str">
        <f>IFERROR(VLOOKUP(Tableau3[[#This Row],[Denomination Sociale]],Tableau7[],1,0),"")</f>
        <v/>
      </c>
      <c r="O4" s="25" t="str">
        <f>VLOOKUP(Tableau3[[#This Row],[Denomination Sociale]],Tableau6[],1,0)</f>
        <v>ABABACAR DIOP TRANSPORTS</v>
      </c>
      <c r="P4" s="25" t="s">
        <v>15283</v>
      </c>
      <c r="Q4" s="25" t="str">
        <f>VLOOKUP(Tableau3[[#This Row],[Denomination Sociale]],Tableau6[],1,1)</f>
        <v>ABABACAR DIOP TRANSPORTS</v>
      </c>
      <c r="R4" s="25" t="s">
        <v>8</v>
      </c>
    </row>
    <row r="5" spans="1:23" x14ac:dyDescent="0.35">
      <c r="A5" s="24" t="s">
        <v>8</v>
      </c>
      <c r="B5" s="1" t="s">
        <v>24</v>
      </c>
      <c r="C5" s="1" t="s">
        <v>25</v>
      </c>
      <c r="D5" s="3" t="s">
        <v>26</v>
      </c>
      <c r="E5" s="3">
        <v>50</v>
      </c>
      <c r="F5" s="3">
        <v>50</v>
      </c>
      <c r="G5" s="1" t="s">
        <v>17</v>
      </c>
      <c r="H5" s="1" t="s">
        <v>17</v>
      </c>
      <c r="I5" s="1" t="s">
        <v>12</v>
      </c>
      <c r="J5" s="1">
        <v>0</v>
      </c>
      <c r="K5" s="1" t="s">
        <v>12</v>
      </c>
      <c r="L5" s="1" t="s">
        <v>7</v>
      </c>
      <c r="M5" s="25"/>
      <c r="N5" s="25" t="str">
        <f>IFERROR(VLOOKUP(Tableau3[[#This Row],[Denomination Sociale]],Tableau7[],1,0),"")</f>
        <v/>
      </c>
      <c r="O5" s="25" t="str">
        <f>VLOOKUP(Tableau3[[#This Row],[Denomination Sociale]],Tableau6[],1,0)</f>
        <v>ABANDOUR GEOLINK</v>
      </c>
      <c r="P5" s="25" t="s">
        <v>24</v>
      </c>
      <c r="Q5" s="25" t="str">
        <f>VLOOKUP(Tableau3[[#This Row],[Denomination Sociale]],Tableau6[],1,1)</f>
        <v>ABANDOUR GEOLINK</v>
      </c>
      <c r="R5" s="25" t="s">
        <v>8</v>
      </c>
    </row>
    <row r="6" spans="1:23" x14ac:dyDescent="0.35">
      <c r="A6" s="24" t="s">
        <v>8</v>
      </c>
      <c r="B6" s="1" t="s">
        <v>24</v>
      </c>
      <c r="C6" s="1" t="s">
        <v>27</v>
      </c>
      <c r="D6" s="3" t="s">
        <v>26</v>
      </c>
      <c r="E6" s="3">
        <v>50</v>
      </c>
      <c r="F6" s="3">
        <v>50</v>
      </c>
      <c r="G6" s="1" t="s">
        <v>17</v>
      </c>
      <c r="H6" s="1" t="s">
        <v>17</v>
      </c>
      <c r="I6" s="1" t="s">
        <v>12</v>
      </c>
      <c r="J6" s="1">
        <v>0</v>
      </c>
      <c r="K6" s="1" t="s">
        <v>12</v>
      </c>
      <c r="L6" s="1" t="s">
        <v>7</v>
      </c>
      <c r="M6" s="25"/>
      <c r="N6" s="25" t="str">
        <f>IFERROR(VLOOKUP(Tableau3[[#This Row],[Denomination Sociale]],Tableau7[],1,0),"")</f>
        <v/>
      </c>
      <c r="O6" s="25" t="str">
        <f>VLOOKUP(Tableau3[[#This Row],[Denomination Sociale]],Tableau6[],1,0)</f>
        <v>ABANDOUR GEOLINK</v>
      </c>
      <c r="P6" s="25" t="s">
        <v>24</v>
      </c>
      <c r="Q6" s="25" t="str">
        <f>VLOOKUP(Tableau3[[#This Row],[Denomination Sociale]],Tableau6[],1,1)</f>
        <v>ABANDOUR GEOLINK</v>
      </c>
      <c r="R6" s="25" t="s">
        <v>8</v>
      </c>
    </row>
    <row r="7" spans="1:23" x14ac:dyDescent="0.35">
      <c r="A7" s="24" t="s">
        <v>8</v>
      </c>
      <c r="B7" s="1" t="s">
        <v>15055</v>
      </c>
      <c r="C7" s="1" t="s">
        <v>29</v>
      </c>
      <c r="D7" s="3" t="s">
        <v>30</v>
      </c>
      <c r="E7" s="3">
        <v>33</v>
      </c>
      <c r="F7" s="3">
        <v>33</v>
      </c>
      <c r="G7" s="1" t="s">
        <v>17</v>
      </c>
      <c r="H7" s="1" t="s">
        <v>17</v>
      </c>
      <c r="I7" s="1" t="s">
        <v>12</v>
      </c>
      <c r="J7" s="1">
        <v>0</v>
      </c>
      <c r="K7" s="1" t="s">
        <v>12</v>
      </c>
      <c r="L7" s="1" t="s">
        <v>7</v>
      </c>
      <c r="M7" s="25"/>
      <c r="N7" s="25" t="str">
        <f>IFERROR(VLOOKUP(Tableau3[[#This Row],[Denomination Sociale]],Tableau7[],1,0),"")</f>
        <v/>
      </c>
      <c r="O7" s="25" t="str">
        <f>VLOOKUP(Tableau3[[#This Row],[Denomination Sociale]],Tableau6[],1,0)</f>
        <v>AD GOLD</v>
      </c>
      <c r="P7" s="25" t="s">
        <v>15055</v>
      </c>
      <c r="Q7" s="25" t="str">
        <f>VLOOKUP(Tableau3[[#This Row],[Denomination Sociale]],Tableau6[],1,1)</f>
        <v>AD GOLD</v>
      </c>
      <c r="R7" s="25" t="s">
        <v>8</v>
      </c>
    </row>
    <row r="8" spans="1:23" x14ac:dyDescent="0.35">
      <c r="A8" s="24" t="s">
        <v>8</v>
      </c>
      <c r="B8" s="1" t="s">
        <v>15055</v>
      </c>
      <c r="C8" s="1" t="s">
        <v>31</v>
      </c>
      <c r="D8" s="3" t="s">
        <v>30</v>
      </c>
      <c r="E8" s="3">
        <v>34</v>
      </c>
      <c r="F8" s="3">
        <v>34</v>
      </c>
      <c r="G8" s="1" t="s">
        <v>17</v>
      </c>
      <c r="H8" s="1" t="s">
        <v>17</v>
      </c>
      <c r="I8" s="1" t="s">
        <v>12</v>
      </c>
      <c r="J8" s="1">
        <v>0</v>
      </c>
      <c r="K8" s="1" t="s">
        <v>12</v>
      </c>
      <c r="L8" s="1" t="s">
        <v>7</v>
      </c>
      <c r="M8" s="25"/>
      <c r="N8" s="25" t="str">
        <f>IFERROR(VLOOKUP(Tableau3[[#This Row],[Denomination Sociale]],Tableau7[],1,0),"")</f>
        <v/>
      </c>
      <c r="O8" s="25" t="str">
        <f>VLOOKUP(Tableau3[[#This Row],[Denomination Sociale]],Tableau6[],1,0)</f>
        <v>AD GOLD</v>
      </c>
      <c r="P8" s="25" t="s">
        <v>15055</v>
      </c>
      <c r="Q8" s="25" t="str">
        <f>VLOOKUP(Tableau3[[#This Row],[Denomination Sociale]],Tableau6[],1,1)</f>
        <v>AD GOLD</v>
      </c>
      <c r="R8" s="25" t="s">
        <v>8</v>
      </c>
    </row>
    <row r="9" spans="1:23" x14ac:dyDescent="0.35">
      <c r="A9" s="24" t="s">
        <v>8</v>
      </c>
      <c r="B9" s="1" t="s">
        <v>15055</v>
      </c>
      <c r="C9" s="1" t="s">
        <v>32</v>
      </c>
      <c r="D9" s="3" t="s">
        <v>30</v>
      </c>
      <c r="E9" s="3">
        <v>33</v>
      </c>
      <c r="F9" s="3">
        <v>33</v>
      </c>
      <c r="G9" s="1" t="s">
        <v>17</v>
      </c>
      <c r="H9" s="1" t="s">
        <v>17</v>
      </c>
      <c r="I9" s="1" t="s">
        <v>12</v>
      </c>
      <c r="J9" s="1">
        <v>0</v>
      </c>
      <c r="K9" s="1" t="s">
        <v>12</v>
      </c>
      <c r="L9" s="1" t="s">
        <v>7</v>
      </c>
      <c r="M9" s="25"/>
      <c r="N9" s="25" t="str">
        <f>IFERROR(VLOOKUP(Tableau3[[#This Row],[Denomination Sociale]],Tableau7[],1,0),"")</f>
        <v/>
      </c>
      <c r="O9" s="25" t="str">
        <f>VLOOKUP(Tableau3[[#This Row],[Denomination Sociale]],Tableau6[],1,0)</f>
        <v>AD GOLD</v>
      </c>
      <c r="P9" s="25" t="s">
        <v>15055</v>
      </c>
      <c r="Q9" s="25" t="str">
        <f>VLOOKUP(Tableau3[[#This Row],[Denomination Sociale]],Tableau6[],1,1)</f>
        <v>AD GOLD</v>
      </c>
      <c r="R9" s="25" t="s">
        <v>8</v>
      </c>
    </row>
    <row r="10" spans="1:23" ht="93.5" x14ac:dyDescent="2.1">
      <c r="A10" s="24" t="s">
        <v>980</v>
      </c>
      <c r="B10" s="1" t="s">
        <v>6334</v>
      </c>
      <c r="C10" s="1" t="s">
        <v>1140</v>
      </c>
      <c r="D10" s="3" t="s">
        <v>1141</v>
      </c>
      <c r="E10" s="3">
        <v>100</v>
      </c>
      <c r="F10" s="3">
        <v>100</v>
      </c>
      <c r="G10" s="1" t="s">
        <v>17</v>
      </c>
      <c r="H10" s="1"/>
      <c r="I10" s="1">
        <v>0</v>
      </c>
      <c r="J10" s="1" t="s">
        <v>12</v>
      </c>
      <c r="K10" s="1" t="s">
        <v>12</v>
      </c>
      <c r="L10" s="1" t="s">
        <v>7</v>
      </c>
      <c r="M10" s="25"/>
      <c r="N10" s="25" t="str">
        <f>IFERROR(VLOOKUP(Tableau3[[#This Row],[Denomination Sociale]],Tableau7[],1,0),"")</f>
        <v/>
      </c>
      <c r="O10" s="25" t="str">
        <f>VLOOKUP(Tableau3[[#This Row],[Denomination Sociale]],Tableau6[],1,0)</f>
        <v>ADAMA UNIVERSAL IMMOBILIER ET AFFAIRES</v>
      </c>
      <c r="P10" s="25" t="s">
        <v>6334</v>
      </c>
      <c r="Q10" s="25" t="str">
        <f>VLOOKUP(Tableau3[[#This Row],[Denomination Sociale]],Tableau6[],1,1)</f>
        <v>ADAMA UNIVERSAL IMMOBILIER ET AFFAIRES</v>
      </c>
      <c r="R10" s="25" t="s">
        <v>980</v>
      </c>
      <c r="W10" s="64">
        <f>COUNTA(Tableau3[Colonne2])</f>
        <v>425</v>
      </c>
    </row>
    <row r="11" spans="1:23" x14ac:dyDescent="0.35">
      <c r="A11" s="24" t="s">
        <v>8</v>
      </c>
      <c r="B11" s="1" t="s">
        <v>33</v>
      </c>
      <c r="C11" s="1" t="s">
        <v>34</v>
      </c>
      <c r="D11" s="3" t="s">
        <v>35</v>
      </c>
      <c r="E11" s="3">
        <v>100</v>
      </c>
      <c r="F11" s="3" t="s">
        <v>12</v>
      </c>
      <c r="G11" s="1" t="s">
        <v>17</v>
      </c>
      <c r="H11" s="1" t="s">
        <v>17</v>
      </c>
      <c r="I11" s="1" t="s">
        <v>12</v>
      </c>
      <c r="J11" s="1">
        <v>0</v>
      </c>
      <c r="K11" s="1" t="s">
        <v>12</v>
      </c>
      <c r="L11" s="1" t="s">
        <v>7</v>
      </c>
      <c r="M11" s="25"/>
      <c r="N11" s="25" t="str">
        <f>IFERROR(VLOOKUP(Tableau3[[#This Row],[Denomination Sociale]],Tableau7[],1,0),"")</f>
        <v/>
      </c>
      <c r="O11" s="25" t="str">
        <f>VLOOKUP(Tableau3[[#This Row],[Denomination Sociale]],Tableau6[],1,0)</f>
        <v>ADJAF UNIVERSEL</v>
      </c>
      <c r="P11" s="25" t="s">
        <v>33</v>
      </c>
      <c r="Q11" s="25" t="str">
        <f>VLOOKUP(Tableau3[[#This Row],[Denomination Sociale]],Tableau6[],1,1)</f>
        <v>ADJAF UNIVERSEL</v>
      </c>
      <c r="R11" s="25" t="s">
        <v>8</v>
      </c>
    </row>
    <row r="12" spans="1:23" x14ac:dyDescent="0.35">
      <c r="A12" s="24" t="s">
        <v>980</v>
      </c>
      <c r="B12" s="1" t="s">
        <v>1223</v>
      </c>
      <c r="C12" s="1" t="s">
        <v>1009</v>
      </c>
      <c r="D12" s="3" t="s">
        <v>1010</v>
      </c>
      <c r="E12" s="3">
        <v>100</v>
      </c>
      <c r="F12" s="3">
        <v>100</v>
      </c>
      <c r="G12" s="1" t="s">
        <v>17</v>
      </c>
      <c r="H12" s="1" t="s">
        <v>17</v>
      </c>
      <c r="I12" s="1" t="s">
        <v>12</v>
      </c>
      <c r="J12" s="1">
        <v>0</v>
      </c>
      <c r="K12" s="1" t="s">
        <v>12</v>
      </c>
      <c r="L12" s="1" t="s">
        <v>7</v>
      </c>
      <c r="M12" s="25"/>
      <c r="N12" s="25" t="str">
        <f>IFERROR(VLOOKUP(Tableau3[[#This Row],[Denomination Sociale]],Tableau7[],1,0),"")</f>
        <v/>
      </c>
      <c r="O12" s="25" t="str">
        <f>VLOOKUP(Tableau3[[#This Row],[Denomination Sociale]],Tableau6[],1,0)</f>
        <v>AFIA SERVICES</v>
      </c>
      <c r="P12" s="25" t="s">
        <v>1223</v>
      </c>
      <c r="Q12" s="25" t="str">
        <f>VLOOKUP(Tableau3[[#This Row],[Denomination Sociale]],Tableau6[],1,1)</f>
        <v>AFIA SERVICES</v>
      </c>
      <c r="R12" s="25" t="s">
        <v>980</v>
      </c>
    </row>
    <row r="13" spans="1:23" s="57" customFormat="1" x14ac:dyDescent="0.35">
      <c r="A13" s="24" t="s">
        <v>8</v>
      </c>
      <c r="B13" s="1" t="s">
        <v>15687</v>
      </c>
      <c r="C13" s="1" t="s">
        <v>48</v>
      </c>
      <c r="D13" s="3" t="s">
        <v>461</v>
      </c>
      <c r="E13" s="3">
        <v>100</v>
      </c>
      <c r="F13" s="3">
        <v>100</v>
      </c>
      <c r="G13" s="1" t="s">
        <v>17</v>
      </c>
      <c r="H13" s="1" t="s">
        <v>17</v>
      </c>
      <c r="I13" s="1" t="s">
        <v>12</v>
      </c>
      <c r="J13" s="1">
        <v>0</v>
      </c>
      <c r="K13" s="1" t="s">
        <v>12</v>
      </c>
      <c r="L13" s="1" t="s">
        <v>7</v>
      </c>
      <c r="M13" s="25"/>
      <c r="N13" s="25" t="str">
        <f>IFERROR(VLOOKUP(Tableau3[[#This Row],[Denomination Sociale]],Tableau7[],1,0),"")</f>
        <v/>
      </c>
      <c r="O13" s="25" t="str">
        <f>VLOOKUP(Tableau3[[#This Row],[Denomination Sociale]],Tableau6[],1,0)</f>
        <v>MINES DU JEGUEUM</v>
      </c>
      <c r="P13" s="25" t="s">
        <v>15687</v>
      </c>
      <c r="Q13" s="25" t="str">
        <f>VLOOKUP(Tableau3[[#This Row],[Denomination Sociale]],Tableau6[],1,1)</f>
        <v>MINERAL TRADE GROUP</v>
      </c>
      <c r="R13" s="25" t="s">
        <v>8</v>
      </c>
    </row>
    <row r="14" spans="1:23" s="57" customFormat="1" x14ac:dyDescent="0.35">
      <c r="A14" s="53" t="s">
        <v>8</v>
      </c>
      <c r="B14" s="54" t="s">
        <v>36</v>
      </c>
      <c r="C14" s="54" t="s">
        <v>37</v>
      </c>
      <c r="D14" s="55" t="s">
        <v>38</v>
      </c>
      <c r="E14" s="55">
        <v>67</v>
      </c>
      <c r="F14" s="55" t="s">
        <v>12</v>
      </c>
      <c r="G14" s="54" t="s">
        <v>17</v>
      </c>
      <c r="H14" s="54" t="s">
        <v>17</v>
      </c>
      <c r="I14" s="54" t="s">
        <v>12</v>
      </c>
      <c r="J14" s="54">
        <v>0</v>
      </c>
      <c r="K14" s="54" t="s">
        <v>12</v>
      </c>
      <c r="L14" s="54" t="s">
        <v>7</v>
      </c>
      <c r="M14" s="25"/>
      <c r="N14" s="56" t="str">
        <f>IFERROR(VLOOKUP(Tableau3[[#This Row],[Denomination Sociale]],Tableau7[],1,0),"")</f>
        <v/>
      </c>
      <c r="O14" s="56" t="e">
        <f>VLOOKUP(Tableau3[[#This Row],[Denomination Sociale]],Tableau6[],1,0)</f>
        <v>#N/A</v>
      </c>
      <c r="P14" s="56"/>
      <c r="Q14" s="56" t="str">
        <f>VLOOKUP(Tableau3[[#This Row],[Denomination Sociale]],Tableau6[],1,1)</f>
        <v>AFRIC MINING</v>
      </c>
      <c r="R14" s="56" t="s">
        <v>8</v>
      </c>
    </row>
    <row r="15" spans="1:23" s="57" customFormat="1" x14ac:dyDescent="0.35">
      <c r="A15" s="53" t="s">
        <v>8</v>
      </c>
      <c r="B15" s="54" t="s">
        <v>36</v>
      </c>
      <c r="C15" s="54" t="s">
        <v>39</v>
      </c>
      <c r="D15" s="55" t="s">
        <v>38</v>
      </c>
      <c r="E15" s="55">
        <v>33</v>
      </c>
      <c r="F15" s="55" t="s">
        <v>12</v>
      </c>
      <c r="G15" s="54" t="s">
        <v>17</v>
      </c>
      <c r="H15" s="54" t="s">
        <v>17</v>
      </c>
      <c r="I15" s="54" t="s">
        <v>12</v>
      </c>
      <c r="J15" s="54">
        <v>0</v>
      </c>
      <c r="K15" s="54" t="s">
        <v>12</v>
      </c>
      <c r="L15" s="54" t="s">
        <v>7</v>
      </c>
      <c r="M15" s="25"/>
      <c r="N15" s="56" t="str">
        <f>IFERROR(VLOOKUP(Tableau3[[#This Row],[Denomination Sociale]],Tableau7[],1,0),"")</f>
        <v/>
      </c>
      <c r="O15" s="56" t="e">
        <f>VLOOKUP(Tableau3[[#This Row],[Denomination Sociale]],Tableau6[],1,0)</f>
        <v>#N/A</v>
      </c>
      <c r="P15" s="56"/>
      <c r="Q15" s="56" t="str">
        <f>VLOOKUP(Tableau3[[#This Row],[Denomination Sociale]],Tableau6[],1,1)</f>
        <v>AFRIC MINING</v>
      </c>
      <c r="R15" s="56" t="s">
        <v>8</v>
      </c>
    </row>
    <row r="16" spans="1:23" x14ac:dyDescent="0.35">
      <c r="A16" s="24" t="s">
        <v>8</v>
      </c>
      <c r="B16" s="1" t="s">
        <v>15103</v>
      </c>
      <c r="C16" s="1" t="s">
        <v>44</v>
      </c>
      <c r="D16" s="3" t="s">
        <v>45</v>
      </c>
      <c r="E16" s="3">
        <v>50</v>
      </c>
      <c r="F16" s="3">
        <v>50</v>
      </c>
      <c r="G16" s="1" t="s">
        <v>17</v>
      </c>
      <c r="H16" s="1" t="s">
        <v>17</v>
      </c>
      <c r="I16" s="1" t="s">
        <v>12</v>
      </c>
      <c r="J16" s="1">
        <v>0</v>
      </c>
      <c r="K16" s="1" t="s">
        <v>12</v>
      </c>
      <c r="L16" s="1" t="s">
        <v>7</v>
      </c>
      <c r="M16" s="25"/>
      <c r="N16" s="25" t="str">
        <f>IFERROR(VLOOKUP(Tableau3[[#This Row],[Denomination Sociale]],Tableau7[],1,0),"")</f>
        <v/>
      </c>
      <c r="O16" s="25" t="str">
        <f>VLOOKUP(Tableau3[[#This Row],[Denomination Sociale]],Tableau6[],1,0)</f>
        <v>AFRICA GLOBAL GEOINGENIERIE</v>
      </c>
      <c r="P16" s="25" t="s">
        <v>15103</v>
      </c>
      <c r="Q16" s="25" t="str">
        <f>VLOOKUP(Tableau3[[#This Row],[Denomination Sociale]],Tableau6[],1,1)</f>
        <v>AFRICA GLOBAL GEOINGENIERIE</v>
      </c>
      <c r="R16" s="25" t="s">
        <v>8</v>
      </c>
    </row>
    <row r="17" spans="1:25" x14ac:dyDescent="0.35">
      <c r="A17" s="24" t="s">
        <v>8</v>
      </c>
      <c r="B17" s="1" t="s">
        <v>15103</v>
      </c>
      <c r="C17" s="1" t="s">
        <v>46</v>
      </c>
      <c r="D17" s="3" t="s">
        <v>45</v>
      </c>
      <c r="E17" s="3">
        <v>50</v>
      </c>
      <c r="F17" s="3">
        <v>50</v>
      </c>
      <c r="G17" s="1" t="s">
        <v>17</v>
      </c>
      <c r="H17" s="1" t="s">
        <v>17</v>
      </c>
      <c r="I17" s="1" t="s">
        <v>12</v>
      </c>
      <c r="J17" s="1">
        <v>0</v>
      </c>
      <c r="K17" s="1" t="s">
        <v>12</v>
      </c>
      <c r="L17" s="1" t="s">
        <v>7</v>
      </c>
      <c r="M17" s="25"/>
      <c r="N17" s="25" t="str">
        <f>IFERROR(VLOOKUP(Tableau3[[#This Row],[Denomination Sociale]],Tableau7[],1,0),"")</f>
        <v/>
      </c>
      <c r="O17" s="25" t="str">
        <f>VLOOKUP(Tableau3[[#This Row],[Denomination Sociale]],Tableau6[],1,0)</f>
        <v>AFRICA GLOBAL GEOINGENIERIE</v>
      </c>
      <c r="P17" s="25" t="s">
        <v>15103</v>
      </c>
      <c r="Q17" s="25" t="str">
        <f>VLOOKUP(Tableau3[[#This Row],[Denomination Sociale]],Tableau6[],1,1)</f>
        <v>AFRICA GLOBAL GEOINGENIERIE</v>
      </c>
      <c r="R17" s="25" t="s">
        <v>8</v>
      </c>
    </row>
    <row r="18" spans="1:25" s="57" customFormat="1" ht="93.5" x14ac:dyDescent="2.1">
      <c r="A18" s="53" t="s">
        <v>8</v>
      </c>
      <c r="B18" s="54" t="s">
        <v>15104</v>
      </c>
      <c r="C18" s="54" t="s">
        <v>48</v>
      </c>
      <c r="D18" s="55" t="s">
        <v>49</v>
      </c>
      <c r="E18" s="55">
        <v>100</v>
      </c>
      <c r="F18" s="55">
        <v>100</v>
      </c>
      <c r="G18" s="54" t="s">
        <v>17</v>
      </c>
      <c r="H18" s="54" t="s">
        <v>17</v>
      </c>
      <c r="I18" s="54" t="s">
        <v>12</v>
      </c>
      <c r="J18" s="54">
        <v>0</v>
      </c>
      <c r="K18" s="54" t="s">
        <v>12</v>
      </c>
      <c r="L18" s="54" t="s">
        <v>7</v>
      </c>
      <c r="M18" s="25"/>
      <c r="N18" s="25" t="str">
        <f>IFERROR(VLOOKUP(Tableau3[[#This Row],[Denomination Sociale]],Tableau7[],1,0),"")</f>
        <v/>
      </c>
      <c r="O18" s="25" t="str">
        <f>VLOOKUP(Tableau3[[#This Row],[Denomination Sociale]],Tableau6[],1,0)</f>
        <v>AFRICA TRADE AND INVESTMENT CONSULTING</v>
      </c>
      <c r="P18" s="25" t="s">
        <v>15104</v>
      </c>
      <c r="Q18" s="25" t="str">
        <f>VLOOKUP(Tableau3[[#This Row],[Denomination Sociale]],Tableau6[],1,1)</f>
        <v>AFRICA TRADE AND INVESTMENT CONSULTING</v>
      </c>
      <c r="R18" s="56" t="s">
        <v>8</v>
      </c>
      <c r="W18" s="64">
        <f>COUNTA(M:M)-1</f>
        <v>8</v>
      </c>
    </row>
    <row r="19" spans="1:25" s="57" customFormat="1" x14ac:dyDescent="0.35">
      <c r="A19" s="53" t="s">
        <v>8</v>
      </c>
      <c r="B19" s="54" t="s">
        <v>15106</v>
      </c>
      <c r="C19" s="54" t="s">
        <v>41</v>
      </c>
      <c r="D19" s="55" t="s">
        <v>42</v>
      </c>
      <c r="E19" s="55">
        <v>100</v>
      </c>
      <c r="F19" s="55">
        <v>100</v>
      </c>
      <c r="G19" s="54" t="s">
        <v>17</v>
      </c>
      <c r="H19" s="54" t="s">
        <v>17</v>
      </c>
      <c r="I19" s="54" t="s">
        <v>12</v>
      </c>
      <c r="J19" s="54">
        <v>0</v>
      </c>
      <c r="K19" s="54" t="s">
        <v>12</v>
      </c>
      <c r="L19" s="54" t="s">
        <v>7</v>
      </c>
      <c r="M19" s="25"/>
      <c r="N19" s="56" t="str">
        <f>IFERROR(VLOOKUP(Tableau3[[#This Row],[Denomination Sociale]],Tableau7[],1,0),"")</f>
        <v/>
      </c>
      <c r="O19" s="56" t="e">
        <f>VLOOKUP(Tableau3[[#This Row],[Denomination Sociale]],Tableau6[],1,0)</f>
        <v>#N/A</v>
      </c>
      <c r="P19" s="56"/>
      <c r="Q19" s="56" t="str">
        <f>VLOOKUP(Tableau3[[#This Row],[Denomination Sociale]],Tableau6[],1,1)</f>
        <v>AFRICA CAPITAL INVEST-SARL</v>
      </c>
      <c r="R19" s="56" t="s">
        <v>8</v>
      </c>
    </row>
    <row r="20" spans="1:25" s="57" customFormat="1" x14ac:dyDescent="0.35">
      <c r="A20" s="53" t="s">
        <v>835</v>
      </c>
      <c r="B20" s="54" t="s">
        <v>15105</v>
      </c>
      <c r="C20" s="54" t="s">
        <v>837</v>
      </c>
      <c r="D20" s="55" t="s">
        <v>838</v>
      </c>
      <c r="E20" s="55" t="s">
        <v>12</v>
      </c>
      <c r="F20" s="55" t="s">
        <v>12</v>
      </c>
      <c r="G20" s="54" t="s">
        <v>17</v>
      </c>
      <c r="H20" s="54" t="s">
        <v>17</v>
      </c>
      <c r="I20" s="54" t="s">
        <v>12</v>
      </c>
      <c r="J20" s="54">
        <v>0</v>
      </c>
      <c r="K20" s="54" t="s">
        <v>12</v>
      </c>
      <c r="L20" s="54" t="s">
        <v>7</v>
      </c>
      <c r="M20" s="25"/>
      <c r="N20" s="56" t="str">
        <f>IFERROR(VLOOKUP(Tableau3[[#This Row],[Denomination Sociale]],Tableau7[],1,0),"")</f>
        <v/>
      </c>
      <c r="O20" s="56" t="e">
        <f>VLOOKUP(Tableau3[[#This Row],[Denomination Sociale]],Tableau6[],1,0)</f>
        <v>#N/A</v>
      </c>
      <c r="P20" s="56"/>
      <c r="Q20" s="56" t="str">
        <f>VLOOKUP(Tableau3[[#This Row],[Denomination Sociale]],Tableau6[],1,1)</f>
        <v>AFRICA TRADING EQUIPEMENT CONSTRUCTION</v>
      </c>
      <c r="R20" s="56" t="s">
        <v>835</v>
      </c>
      <c r="W20"/>
      <c r="X20"/>
    </row>
    <row r="21" spans="1:25" s="57" customFormat="1" x14ac:dyDescent="0.35">
      <c r="A21" s="53" t="s">
        <v>8</v>
      </c>
      <c r="B21" s="54" t="s">
        <v>15107</v>
      </c>
      <c r="C21" s="54" t="s">
        <v>1176</v>
      </c>
      <c r="D21" s="55" t="s">
        <v>1177</v>
      </c>
      <c r="E21" s="55">
        <v>20</v>
      </c>
      <c r="F21" s="55">
        <v>20</v>
      </c>
      <c r="G21" s="54" t="s">
        <v>17</v>
      </c>
      <c r="H21" s="54"/>
      <c r="I21" s="54">
        <v>0</v>
      </c>
      <c r="J21" s="54" t="s">
        <v>12</v>
      </c>
      <c r="K21" s="54" t="s">
        <v>12</v>
      </c>
      <c r="L21" s="54" t="s">
        <v>7</v>
      </c>
      <c r="M21" s="25"/>
      <c r="N21" s="56" t="str">
        <f>IFERROR(VLOOKUP(Tableau3[[#This Row],[Denomination Sociale]],Tableau7[],1,0),"")</f>
        <v/>
      </c>
      <c r="O21" s="56" t="e">
        <f>VLOOKUP(Tableau3[[#This Row],[Denomination Sociale]],Tableau6[],1,0)</f>
        <v>#N/A</v>
      </c>
      <c r="P21" s="56"/>
      <c r="Q21" s="56" t="str">
        <f>VLOOKUP(Tableau3[[#This Row],[Denomination Sociale]],Tableau6[],1,1)</f>
        <v>AFRICA TRADING EQUIPEMENT CONSTRUCTION</v>
      </c>
      <c r="R21" s="56" t="s">
        <v>8</v>
      </c>
    </row>
    <row r="22" spans="1:25" x14ac:dyDescent="0.35">
      <c r="A22" s="24" t="s">
        <v>8</v>
      </c>
      <c r="B22" s="1" t="s">
        <v>15291</v>
      </c>
      <c r="C22" s="1" t="s">
        <v>51</v>
      </c>
      <c r="D22" s="3" t="s">
        <v>52</v>
      </c>
      <c r="E22" s="3">
        <v>25</v>
      </c>
      <c r="F22" s="3" t="s">
        <v>12</v>
      </c>
      <c r="G22" s="1" t="s">
        <v>17</v>
      </c>
      <c r="H22" s="1" t="s">
        <v>17</v>
      </c>
      <c r="I22" s="1" t="s">
        <v>12</v>
      </c>
      <c r="J22" s="1">
        <v>0</v>
      </c>
      <c r="K22" s="1" t="s">
        <v>12</v>
      </c>
      <c r="L22" s="1" t="s">
        <v>7</v>
      </c>
      <c r="M22" s="25"/>
      <c r="N22" s="25" t="str">
        <f>IFERROR(VLOOKUP(Tableau3[[#This Row],[Denomination Sociale]],Tableau7[],1,0),"")</f>
        <v/>
      </c>
      <c r="O22" s="25" t="str">
        <f>VLOOKUP(Tableau3[[#This Row],[Denomination Sociale]],Tableau6[],1,0)</f>
        <v>AFRICAN BUILDERS</v>
      </c>
      <c r="P22" s="25" t="s">
        <v>15291</v>
      </c>
      <c r="Q22" s="25" t="str">
        <f>VLOOKUP(Tableau3[[#This Row],[Denomination Sociale]],Tableau6[],1,1)</f>
        <v>AFRICAN BUILDERS</v>
      </c>
      <c r="R22" s="25" t="s">
        <v>8</v>
      </c>
    </row>
    <row r="23" spans="1:25" x14ac:dyDescent="0.35">
      <c r="A23" s="24" t="s">
        <v>8</v>
      </c>
      <c r="B23" s="1" t="s">
        <v>15291</v>
      </c>
      <c r="C23" s="1" t="s">
        <v>53</v>
      </c>
      <c r="D23" s="3" t="s">
        <v>52</v>
      </c>
      <c r="E23" s="3">
        <v>25</v>
      </c>
      <c r="F23" s="3" t="s">
        <v>12</v>
      </c>
      <c r="G23" s="1" t="s">
        <v>17</v>
      </c>
      <c r="H23" s="1" t="s">
        <v>17</v>
      </c>
      <c r="I23" s="1" t="s">
        <v>12</v>
      </c>
      <c r="J23" s="1">
        <v>0</v>
      </c>
      <c r="K23" s="1" t="s">
        <v>12</v>
      </c>
      <c r="L23" s="1" t="s">
        <v>7</v>
      </c>
      <c r="M23" s="25"/>
      <c r="N23" s="25" t="str">
        <f>IFERROR(VLOOKUP(Tableau3[[#This Row],[Denomination Sociale]],Tableau7[],1,0),"")</f>
        <v/>
      </c>
      <c r="O23" s="25" t="str">
        <f>VLOOKUP(Tableau3[[#This Row],[Denomination Sociale]],Tableau6[],1,0)</f>
        <v>AFRICAN BUILDERS</v>
      </c>
      <c r="P23" s="25" t="s">
        <v>15291</v>
      </c>
      <c r="Q23" s="25" t="str">
        <f>VLOOKUP(Tableau3[[#This Row],[Denomination Sociale]],Tableau6[],1,1)</f>
        <v>AFRICAN BUILDERS</v>
      </c>
      <c r="R23" s="25" t="s">
        <v>8</v>
      </c>
    </row>
    <row r="24" spans="1:25" x14ac:dyDescent="0.35">
      <c r="A24" s="24" t="s">
        <v>8</v>
      </c>
      <c r="B24" s="1" t="s">
        <v>15291</v>
      </c>
      <c r="C24" s="1" t="s">
        <v>54</v>
      </c>
      <c r="D24" s="3" t="s">
        <v>52</v>
      </c>
      <c r="E24" s="3">
        <v>25</v>
      </c>
      <c r="F24" s="3" t="s">
        <v>12</v>
      </c>
      <c r="G24" s="1" t="s">
        <v>17</v>
      </c>
      <c r="H24" s="1" t="s">
        <v>17</v>
      </c>
      <c r="I24" s="1" t="s">
        <v>12</v>
      </c>
      <c r="J24" s="1">
        <v>0</v>
      </c>
      <c r="K24" s="1" t="s">
        <v>12</v>
      </c>
      <c r="L24" s="1" t="s">
        <v>7</v>
      </c>
      <c r="M24" s="25"/>
      <c r="N24" s="25" t="str">
        <f>IFERROR(VLOOKUP(Tableau3[[#This Row],[Denomination Sociale]],Tableau7[],1,0),"")</f>
        <v/>
      </c>
      <c r="O24" s="25" t="str">
        <f>VLOOKUP(Tableau3[[#This Row],[Denomination Sociale]],Tableau6[],1,0)</f>
        <v>AFRICAN BUILDERS</v>
      </c>
      <c r="P24" s="25" t="s">
        <v>15291</v>
      </c>
      <c r="Q24" s="25" t="str">
        <f>VLOOKUP(Tableau3[[#This Row],[Denomination Sociale]],Tableau6[],1,1)</f>
        <v>AFRICAN BUILDERS</v>
      </c>
      <c r="R24" s="25" t="s">
        <v>8</v>
      </c>
    </row>
    <row r="25" spans="1:25" x14ac:dyDescent="0.35">
      <c r="A25" s="24" t="s">
        <v>8</v>
      </c>
      <c r="B25" s="1" t="s">
        <v>15291</v>
      </c>
      <c r="C25" s="1" t="s">
        <v>55</v>
      </c>
      <c r="D25" s="3" t="s">
        <v>52</v>
      </c>
      <c r="E25" s="3">
        <v>25</v>
      </c>
      <c r="F25" s="3" t="s">
        <v>12</v>
      </c>
      <c r="G25" s="1" t="s">
        <v>17</v>
      </c>
      <c r="H25" s="1" t="s">
        <v>17</v>
      </c>
      <c r="I25" s="1" t="s">
        <v>12</v>
      </c>
      <c r="J25" s="1">
        <v>0</v>
      </c>
      <c r="K25" s="1" t="s">
        <v>12</v>
      </c>
      <c r="L25" s="1" t="s">
        <v>7</v>
      </c>
      <c r="M25" s="25"/>
      <c r="N25" s="25" t="str">
        <f>IFERROR(VLOOKUP(Tableau3[[#This Row],[Denomination Sociale]],Tableau7[],1,0),"")</f>
        <v/>
      </c>
      <c r="O25" s="25" t="str">
        <f>VLOOKUP(Tableau3[[#This Row],[Denomination Sociale]],Tableau6[],1,0)</f>
        <v>AFRICAN BUILDERS</v>
      </c>
      <c r="P25" s="25" t="s">
        <v>15291</v>
      </c>
      <c r="Q25" s="25" t="str">
        <f>VLOOKUP(Tableau3[[#This Row],[Denomination Sociale]],Tableau6[],1,1)</f>
        <v>AFRICAN BUILDERS</v>
      </c>
      <c r="R25" s="25" t="s">
        <v>8</v>
      </c>
    </row>
    <row r="26" spans="1:25" x14ac:dyDescent="0.35">
      <c r="A26" s="24" t="s">
        <v>8</v>
      </c>
      <c r="B26" s="1" t="s">
        <v>14121</v>
      </c>
      <c r="C26" s="1" t="s">
        <v>57</v>
      </c>
      <c r="D26" s="3" t="s">
        <v>58</v>
      </c>
      <c r="E26" s="3" t="s">
        <v>12</v>
      </c>
      <c r="F26" s="3" t="s">
        <v>12</v>
      </c>
      <c r="G26" s="1" t="s">
        <v>59</v>
      </c>
      <c r="H26" s="1" t="s">
        <v>59</v>
      </c>
      <c r="I26" s="1" t="s">
        <v>12</v>
      </c>
      <c r="J26" s="1">
        <v>0</v>
      </c>
      <c r="K26" s="1" t="s">
        <v>12</v>
      </c>
      <c r="L26" s="1" t="s">
        <v>7</v>
      </c>
      <c r="M26" s="25"/>
      <c r="N26" s="25" t="str">
        <f>IFERROR(VLOOKUP(Tableau3[[#This Row],[Denomination Sociale]],Tableau7[],1,0),"")</f>
        <v/>
      </c>
      <c r="O26" s="25" t="str">
        <f>VLOOKUP(Tableau3[[#This Row],[Denomination Sociale]],Tableau6[],1,0)</f>
        <v>AGEM</v>
      </c>
      <c r="P26" s="25" t="s">
        <v>14121</v>
      </c>
      <c r="Q26" s="25" t="str">
        <f>VLOOKUP(Tableau3[[#This Row],[Denomination Sociale]],Tableau6[],1,1)</f>
        <v>AGEM</v>
      </c>
      <c r="R26" s="25" t="s">
        <v>8</v>
      </c>
    </row>
    <row r="27" spans="1:25" x14ac:dyDescent="0.35">
      <c r="A27" s="24" t="s">
        <v>8</v>
      </c>
      <c r="B27" s="1" t="s">
        <v>60</v>
      </c>
      <c r="C27" s="1" t="s">
        <v>61</v>
      </c>
      <c r="D27" s="3" t="s">
        <v>62</v>
      </c>
      <c r="E27" s="3">
        <v>60</v>
      </c>
      <c r="F27" s="3">
        <v>60</v>
      </c>
      <c r="G27" s="1" t="s">
        <v>17</v>
      </c>
      <c r="H27" s="1" t="s">
        <v>17</v>
      </c>
      <c r="I27" s="1" t="s">
        <v>12</v>
      </c>
      <c r="J27" s="1">
        <v>0</v>
      </c>
      <c r="K27" s="1" t="s">
        <v>12</v>
      </c>
      <c r="L27" s="1" t="s">
        <v>7</v>
      </c>
      <c r="M27" s="25"/>
      <c r="N27" s="25" t="str">
        <f>IFERROR(VLOOKUP(Tableau3[[#This Row],[Denomination Sociale]],Tableau7[],1,0),"")</f>
        <v/>
      </c>
      <c r="O27" s="25" t="str">
        <f>VLOOKUP(Tableau3[[#This Row],[Denomination Sociale]],Tableau6[],1,0)</f>
        <v>AGRO SENEGAL EXPORTS</v>
      </c>
      <c r="P27" s="25" t="s">
        <v>60</v>
      </c>
      <c r="Q27" s="25" t="str">
        <f>VLOOKUP(Tableau3[[#This Row],[Denomination Sociale]],Tableau6[],1,1)</f>
        <v>AGRO SENEGAL EXPORTS</v>
      </c>
      <c r="R27" s="25" t="s">
        <v>8</v>
      </c>
    </row>
    <row r="28" spans="1:25" x14ac:dyDescent="0.35">
      <c r="A28" s="24" t="s">
        <v>8</v>
      </c>
      <c r="B28" s="1" t="s">
        <v>60</v>
      </c>
      <c r="C28" s="1" t="s">
        <v>63</v>
      </c>
      <c r="D28" s="3" t="s">
        <v>62</v>
      </c>
      <c r="E28" s="3">
        <v>40</v>
      </c>
      <c r="F28" s="3">
        <v>40</v>
      </c>
      <c r="G28" s="1" t="s">
        <v>17</v>
      </c>
      <c r="H28" s="1" t="s">
        <v>17</v>
      </c>
      <c r="I28" s="1" t="s">
        <v>12</v>
      </c>
      <c r="J28" s="1">
        <v>0</v>
      </c>
      <c r="K28" s="1" t="s">
        <v>12</v>
      </c>
      <c r="L28" s="1" t="s">
        <v>7</v>
      </c>
      <c r="M28" s="25"/>
      <c r="N28" s="25" t="str">
        <f>IFERROR(VLOOKUP(Tableau3[[#This Row],[Denomination Sociale]],Tableau7[],1,0),"")</f>
        <v/>
      </c>
      <c r="O28" s="25" t="str">
        <f>VLOOKUP(Tableau3[[#This Row],[Denomination Sociale]],Tableau6[],1,0)</f>
        <v>AGRO SENEGAL EXPORTS</v>
      </c>
      <c r="P28" s="25" t="s">
        <v>60</v>
      </c>
      <c r="Q28" s="25" t="str">
        <f>VLOOKUP(Tableau3[[#This Row],[Denomination Sociale]],Tableau6[],1,1)</f>
        <v>AGRO SENEGAL EXPORTS</v>
      </c>
      <c r="R28" s="25" t="s">
        <v>8</v>
      </c>
    </row>
    <row r="29" spans="1:25" x14ac:dyDescent="0.35">
      <c r="A29" s="24" t="s">
        <v>8</v>
      </c>
      <c r="B29" s="1" t="s">
        <v>64</v>
      </c>
      <c r="C29" s="1" t="s">
        <v>65</v>
      </c>
      <c r="D29" s="3" t="s">
        <v>66</v>
      </c>
      <c r="E29" s="3">
        <v>100</v>
      </c>
      <c r="F29" s="3">
        <v>100</v>
      </c>
      <c r="G29" s="1" t="s">
        <v>17</v>
      </c>
      <c r="H29" s="1" t="s">
        <v>17</v>
      </c>
      <c r="I29" s="1" t="s">
        <v>12</v>
      </c>
      <c r="J29" s="1">
        <v>0</v>
      </c>
      <c r="K29" s="1" t="s">
        <v>12</v>
      </c>
      <c r="L29" s="1" t="s">
        <v>7</v>
      </c>
      <c r="M29" s="25"/>
      <c r="N29" s="25" t="str">
        <f>IFERROR(VLOOKUP(Tableau3[[#This Row],[Denomination Sociale]],Tableau7[],1,0),"")</f>
        <v/>
      </c>
      <c r="O29" s="25" t="str">
        <f>VLOOKUP(Tableau3[[#This Row],[Denomination Sociale]],Tableau6[],1,0)</f>
        <v>AL MAKHTOUM GENERAL TRADING</v>
      </c>
      <c r="P29" s="25" t="s">
        <v>64</v>
      </c>
      <c r="Q29" s="25" t="str">
        <f>VLOOKUP(Tableau3[[#This Row],[Denomination Sociale]],Tableau6[],1,1)</f>
        <v>AL MAKHTOUM GENERAL TRADING</v>
      </c>
      <c r="R29" s="25" t="s">
        <v>8</v>
      </c>
    </row>
    <row r="30" spans="1:25" s="57" customFormat="1" x14ac:dyDescent="0.35">
      <c r="A30" s="53" t="s">
        <v>8</v>
      </c>
      <c r="B30" s="54" t="s">
        <v>15107</v>
      </c>
      <c r="C30" s="54" t="s">
        <v>1178</v>
      </c>
      <c r="D30" s="55" t="s">
        <v>1177</v>
      </c>
      <c r="E30" s="55">
        <v>80</v>
      </c>
      <c r="F30" s="55">
        <v>80</v>
      </c>
      <c r="G30" s="54" t="s">
        <v>17</v>
      </c>
      <c r="H30" s="54"/>
      <c r="I30" s="54">
        <v>0</v>
      </c>
      <c r="J30" s="54" t="s">
        <v>12</v>
      </c>
      <c r="K30" s="54" t="s">
        <v>12</v>
      </c>
      <c r="L30" s="54" t="s">
        <v>7</v>
      </c>
      <c r="M30" s="25"/>
      <c r="N30" s="56" t="str">
        <f>IFERROR(VLOOKUP(Tableau3[[#This Row],[Denomination Sociale]],Tableau7[],1,0),"")</f>
        <v/>
      </c>
      <c r="O30" s="56" t="e">
        <f>VLOOKUP(Tableau3[[#This Row],[Denomination Sociale]],Tableau6[],1,0)</f>
        <v>#N/A</v>
      </c>
      <c r="P30" s="56"/>
      <c r="Q30" s="56" t="str">
        <f>VLOOKUP(Tableau3[[#This Row],[Denomination Sociale]],Tableau6[],1,1)</f>
        <v>AFRICA TRADING EQUIPEMENT CONSTRUCTION</v>
      </c>
      <c r="R30" s="56" t="s">
        <v>8</v>
      </c>
      <c r="W30"/>
      <c r="X30"/>
      <c r="Y30"/>
    </row>
    <row r="31" spans="1:25" s="57" customFormat="1" x14ac:dyDescent="0.35">
      <c r="A31" s="24" t="s">
        <v>8</v>
      </c>
      <c r="B31" s="1" t="s">
        <v>15059</v>
      </c>
      <c r="C31" s="1" t="s">
        <v>250</v>
      </c>
      <c r="D31" s="3" t="s">
        <v>251</v>
      </c>
      <c r="E31" s="3">
        <v>100</v>
      </c>
      <c r="F31" s="3">
        <v>100</v>
      </c>
      <c r="G31" s="1" t="s">
        <v>17</v>
      </c>
      <c r="H31" s="1" t="s">
        <v>17</v>
      </c>
      <c r="I31" s="1" t="s">
        <v>12</v>
      </c>
      <c r="J31" s="1">
        <v>0</v>
      </c>
      <c r="K31" s="1" t="s">
        <v>12</v>
      </c>
      <c r="L31" s="1" t="s">
        <v>7</v>
      </c>
      <c r="M31" s="25"/>
      <c r="N31" s="25" t="str">
        <f>IFERROR(VLOOKUP(Tableau3[[#This Row],[Denomination Sociale]],Tableau7[],1,0),"")</f>
        <v/>
      </c>
      <c r="O31" s="25" t="str">
        <f>VLOOKUP(Tableau3[[#This Row],[Denomination Sociale]],Tableau6[],1,0)</f>
        <v>AICHA</v>
      </c>
      <c r="P31" s="25" t="s">
        <v>15059</v>
      </c>
      <c r="Q31" s="25" t="str">
        <f>VLOOKUP(Tableau3[[#This Row],[Denomination Sociale]],Tableau6[],1,1)</f>
        <v>AICHA</v>
      </c>
      <c r="R31" s="25" t="s">
        <v>8</v>
      </c>
      <c r="W31"/>
      <c r="X31"/>
      <c r="Y31"/>
    </row>
    <row r="32" spans="1:25" x14ac:dyDescent="0.35">
      <c r="A32" s="24" t="s">
        <v>980</v>
      </c>
      <c r="B32" s="1" t="s">
        <v>1019</v>
      </c>
      <c r="C32" s="1" t="s">
        <v>1020</v>
      </c>
      <c r="D32" s="3" t="s">
        <v>1021</v>
      </c>
      <c r="E32" s="3">
        <v>100</v>
      </c>
      <c r="F32" s="3">
        <v>100</v>
      </c>
      <c r="G32" s="1" t="s">
        <v>17</v>
      </c>
      <c r="H32" s="1" t="s">
        <v>17</v>
      </c>
      <c r="I32" s="1" t="s">
        <v>12</v>
      </c>
      <c r="J32" s="1">
        <v>0</v>
      </c>
      <c r="K32" s="1" t="s">
        <v>12</v>
      </c>
      <c r="L32" s="1" t="s">
        <v>7</v>
      </c>
      <c r="M32" s="25"/>
      <c r="N32" s="25" t="str">
        <f>IFERROR(VLOOKUP(Tableau3[[#This Row],[Denomination Sociale]],Tableau7[],1,0),"")</f>
        <v/>
      </c>
      <c r="O32" s="25" t="str">
        <f>VLOOKUP(Tableau3[[#This Row],[Denomination Sociale]],Tableau6[],1,0)</f>
        <v>ALPHA OMEGA</v>
      </c>
      <c r="P32" s="25" t="s">
        <v>1019</v>
      </c>
      <c r="Q32" s="25" t="str">
        <f>VLOOKUP(Tableau3[[#This Row],[Denomination Sociale]],Tableau6[],1,1)</f>
        <v>ALPHA OMEGA</v>
      </c>
      <c r="R32" s="25" t="s">
        <v>980</v>
      </c>
    </row>
    <row r="33" spans="1:18" x14ac:dyDescent="0.35">
      <c r="A33" s="24" t="s">
        <v>8</v>
      </c>
      <c r="B33" s="1" t="s">
        <v>15139</v>
      </c>
      <c r="C33" s="1" t="s">
        <v>72</v>
      </c>
      <c r="D33" s="3" t="s">
        <v>73</v>
      </c>
      <c r="E33" s="3">
        <v>100</v>
      </c>
      <c r="F33" s="3">
        <v>100</v>
      </c>
      <c r="G33" s="1" t="s">
        <v>17</v>
      </c>
      <c r="H33" s="1" t="s">
        <v>17</v>
      </c>
      <c r="I33" s="1" t="s">
        <v>12</v>
      </c>
      <c r="J33" s="1">
        <v>0</v>
      </c>
      <c r="K33" s="1" t="s">
        <v>12</v>
      </c>
      <c r="L33" s="1" t="s">
        <v>7</v>
      </c>
      <c r="M33" s="25"/>
      <c r="N33" s="25" t="str">
        <f>IFERROR(VLOOKUP(Tableau3[[#This Row],[Denomination Sociale]],Tableau7[],1,0),"")</f>
        <v/>
      </c>
      <c r="O33" s="25" t="str">
        <f>VLOOKUP(Tableau3[[#This Row],[Denomination Sociale]],Tableau6[],1,0)</f>
        <v>AMATH NDIAYE INTERNATIONALE PRESTIGE</v>
      </c>
      <c r="P33" s="25" t="s">
        <v>15139</v>
      </c>
      <c r="Q33" s="25" t="str">
        <f>VLOOKUP(Tableau3[[#This Row],[Denomination Sociale]],Tableau6[],1,1)</f>
        <v>AMATH NDIAYE INTERNATIONALE PRESTIGE</v>
      </c>
      <c r="R33" s="25" t="s">
        <v>8</v>
      </c>
    </row>
    <row r="34" spans="1:18" x14ac:dyDescent="0.35">
      <c r="A34" s="24" t="s">
        <v>873</v>
      </c>
      <c r="B34" s="1" t="s">
        <v>1172</v>
      </c>
      <c r="C34" s="1" t="s">
        <v>1173</v>
      </c>
      <c r="D34" s="3" t="s">
        <v>1174</v>
      </c>
      <c r="E34" s="3">
        <v>40</v>
      </c>
      <c r="F34" s="3" t="s">
        <v>12</v>
      </c>
      <c r="G34" s="1" t="s">
        <v>17</v>
      </c>
      <c r="H34" s="1"/>
      <c r="I34" s="1">
        <v>0</v>
      </c>
      <c r="J34" s="1" t="s">
        <v>12</v>
      </c>
      <c r="K34" s="1" t="s">
        <v>12</v>
      </c>
      <c r="L34" s="1" t="s">
        <v>7</v>
      </c>
      <c r="M34" s="25"/>
      <c r="N34" s="25" t="str">
        <f>IFERROR(VLOOKUP(Tableau3[[#This Row],[Denomination Sociale]],Tableau7[],1,0),"")</f>
        <v/>
      </c>
      <c r="O34" s="25" t="str">
        <f>VLOOKUP(Tableau3[[#This Row],[Denomination Sociale]],Tableau6[],1,0)</f>
        <v>AMICALE DES ORPAILLEURS DE KEDOUGOU</v>
      </c>
      <c r="P34" s="25" t="s">
        <v>1172</v>
      </c>
      <c r="Q34" s="25" t="str">
        <f>VLOOKUP(Tableau3[[#This Row],[Denomination Sociale]],Tableau6[],1,1)</f>
        <v>AMICALE DES ORPAILLEURS DE KEDOUGOU</v>
      </c>
      <c r="R34" s="25" t="s">
        <v>873</v>
      </c>
    </row>
    <row r="35" spans="1:18" x14ac:dyDescent="0.35">
      <c r="A35" s="53" t="s">
        <v>8</v>
      </c>
      <c r="B35" s="54" t="s">
        <v>67</v>
      </c>
      <c r="C35" s="54" t="s">
        <v>68</v>
      </c>
      <c r="D35" s="55" t="s">
        <v>69</v>
      </c>
      <c r="E35" s="55">
        <v>50</v>
      </c>
      <c r="F35" s="55">
        <v>50</v>
      </c>
      <c r="G35" s="54" t="s">
        <v>17</v>
      </c>
      <c r="H35" s="54" t="s">
        <v>17</v>
      </c>
      <c r="I35" s="54" t="s">
        <v>12</v>
      </c>
      <c r="J35" s="54">
        <v>0</v>
      </c>
      <c r="K35" s="54" t="s">
        <v>12</v>
      </c>
      <c r="L35" s="54" t="s">
        <v>7</v>
      </c>
      <c r="M35" s="25"/>
      <c r="N35" s="56" t="str">
        <f>IFERROR(VLOOKUP(Tableau3[[#This Row],[Denomination Sociale]],Tableau7[],1,0),"")</f>
        <v/>
      </c>
      <c r="O35" s="56" t="e">
        <f>VLOOKUP(Tableau3[[#This Row],[Denomination Sociale]],Tableau6[],1,0)</f>
        <v>#N/A</v>
      </c>
      <c r="P35" s="56"/>
      <c r="Q35" s="56" t="str">
        <f>VLOOKUP(Tableau3[[#This Row],[Denomination Sociale]],Tableau6[],1,1)</f>
        <v>ALIOUNE NDIAYE</v>
      </c>
      <c r="R35" s="56" t="s">
        <v>8</v>
      </c>
    </row>
    <row r="36" spans="1:18" x14ac:dyDescent="0.35">
      <c r="A36" s="24" t="s">
        <v>8</v>
      </c>
      <c r="B36" s="1" t="s">
        <v>74</v>
      </c>
      <c r="C36" s="1" t="s">
        <v>75</v>
      </c>
      <c r="D36" s="3" t="s">
        <v>76</v>
      </c>
      <c r="E36" s="3">
        <v>100</v>
      </c>
      <c r="F36" s="3" t="s">
        <v>12</v>
      </c>
      <c r="G36" s="1" t="s">
        <v>17</v>
      </c>
      <c r="H36" s="1" t="s">
        <v>17</v>
      </c>
      <c r="I36" s="1" t="s">
        <v>12</v>
      </c>
      <c r="J36" s="1">
        <v>0</v>
      </c>
      <c r="K36" s="1" t="s">
        <v>12</v>
      </c>
      <c r="L36" s="1" t="s">
        <v>7</v>
      </c>
      <c r="M36" s="25"/>
      <c r="N36" s="25" t="str">
        <f>IFERROR(VLOOKUP(Tableau3[[#This Row],[Denomination Sociale]],Tableau7[],1,0),"")</f>
        <v/>
      </c>
      <c r="O36" s="25" t="str">
        <f>VLOOKUP(Tableau3[[#This Row],[Denomination Sociale]],Tableau6[],1,0)</f>
        <v>ARC EN CIEL</v>
      </c>
      <c r="P36" s="25" t="s">
        <v>74</v>
      </c>
      <c r="Q36" s="25" t="str">
        <f>VLOOKUP(Tableau3[[#This Row],[Denomination Sociale]],Tableau6[],1,1)</f>
        <v>ARC EN CIEL</v>
      </c>
      <c r="R36" s="25" t="s">
        <v>8</v>
      </c>
    </row>
    <row r="37" spans="1:18" x14ac:dyDescent="0.35">
      <c r="A37" s="24" t="s">
        <v>8</v>
      </c>
      <c r="B37" s="1" t="s">
        <v>3765</v>
      </c>
      <c r="C37" s="1" t="s">
        <v>78</v>
      </c>
      <c r="D37" s="3" t="s">
        <v>79</v>
      </c>
      <c r="E37" s="3">
        <v>50</v>
      </c>
      <c r="F37" s="3">
        <v>50</v>
      </c>
      <c r="G37" s="1" t="s">
        <v>17</v>
      </c>
      <c r="H37" s="1" t="s">
        <v>17</v>
      </c>
      <c r="I37" s="1" t="s">
        <v>12</v>
      </c>
      <c r="J37" s="1">
        <v>0</v>
      </c>
      <c r="K37" s="1" t="s">
        <v>12</v>
      </c>
      <c r="L37" s="1" t="s">
        <v>7</v>
      </c>
      <c r="M37" s="25"/>
      <c r="N37" s="25" t="str">
        <f>IFERROR(VLOOKUP(Tableau3[[#This Row],[Denomination Sociale]],Tableau7[],1,0),"")</f>
        <v/>
      </c>
      <c r="O37" s="25" t="str">
        <f>VLOOKUP(Tableau3[[#This Row],[Denomination Sociale]],Tableau6[],1,0)</f>
        <v>ARDIMINES</v>
      </c>
      <c r="P37" s="25" t="s">
        <v>3765</v>
      </c>
      <c r="Q37" s="25" t="str">
        <f>VLOOKUP(Tableau3[[#This Row],[Denomination Sociale]],Tableau6[],1,1)</f>
        <v>ARDIMINES</v>
      </c>
      <c r="R37" s="25" t="s">
        <v>8</v>
      </c>
    </row>
    <row r="38" spans="1:18" x14ac:dyDescent="0.35">
      <c r="A38" s="24" t="s">
        <v>8</v>
      </c>
      <c r="B38" s="1" t="s">
        <v>3765</v>
      </c>
      <c r="C38" s="1" t="s">
        <v>80</v>
      </c>
      <c r="D38" s="3" t="s">
        <v>79</v>
      </c>
      <c r="E38" s="3">
        <v>50</v>
      </c>
      <c r="F38" s="3">
        <v>50</v>
      </c>
      <c r="G38" s="1" t="s">
        <v>81</v>
      </c>
      <c r="H38" s="1" t="s">
        <v>81</v>
      </c>
      <c r="I38" s="1" t="s">
        <v>12</v>
      </c>
      <c r="J38" s="1">
        <v>0</v>
      </c>
      <c r="K38" s="1" t="s">
        <v>12</v>
      </c>
      <c r="L38" s="1" t="s">
        <v>7</v>
      </c>
      <c r="M38" s="25"/>
      <c r="N38" s="25" t="str">
        <f>IFERROR(VLOOKUP(Tableau3[[#This Row],[Denomination Sociale]],Tableau7[],1,0),"")</f>
        <v/>
      </c>
      <c r="O38" s="25" t="str">
        <f>VLOOKUP(Tableau3[[#This Row],[Denomination Sociale]],Tableau6[],1,0)</f>
        <v>ARDIMINES</v>
      </c>
      <c r="P38" s="25" t="s">
        <v>3765</v>
      </c>
      <c r="Q38" s="25" t="str">
        <f>VLOOKUP(Tableau3[[#This Row],[Denomination Sociale]],Tableau6[],1,1)</f>
        <v>ARDIMINES</v>
      </c>
      <c r="R38" s="25" t="s">
        <v>8</v>
      </c>
    </row>
    <row r="39" spans="1:18" x14ac:dyDescent="0.35">
      <c r="A39" s="24" t="s">
        <v>8</v>
      </c>
      <c r="B39" s="1" t="s">
        <v>15628</v>
      </c>
      <c r="C39" s="1" t="s">
        <v>83</v>
      </c>
      <c r="D39" s="3" t="s">
        <v>84</v>
      </c>
      <c r="E39" s="3">
        <v>25</v>
      </c>
      <c r="F39" s="3">
        <v>25</v>
      </c>
      <c r="G39" s="1" t="s">
        <v>17</v>
      </c>
      <c r="H39" s="1" t="s">
        <v>17</v>
      </c>
      <c r="I39" s="1" t="s">
        <v>12</v>
      </c>
      <c r="J39" s="1">
        <v>0</v>
      </c>
      <c r="K39" s="1" t="s">
        <v>12</v>
      </c>
      <c r="L39" s="1" t="s">
        <v>7</v>
      </c>
      <c r="M39" s="25"/>
      <c r="N39" s="25" t="str">
        <f>IFERROR(VLOOKUP(Tableau3[[#This Row],[Denomination Sociale]],Tableau7[],1,0),"")</f>
        <v/>
      </c>
      <c r="O39" s="25" t="str">
        <f>VLOOKUP(Tableau3[[#This Row],[Denomination Sociale]],Tableau6[],1,0)</f>
        <v>AREZKI</v>
      </c>
      <c r="P39" s="25" t="s">
        <v>15628</v>
      </c>
      <c r="Q39" s="25" t="str">
        <f>VLOOKUP(Tableau3[[#This Row],[Denomination Sociale]],Tableau6[],1,1)</f>
        <v>AREZKI</v>
      </c>
      <c r="R39" s="25" t="s">
        <v>8</v>
      </c>
    </row>
    <row r="40" spans="1:18" x14ac:dyDescent="0.35">
      <c r="A40" s="24" t="s">
        <v>8</v>
      </c>
      <c r="B40" s="1" t="s">
        <v>15628</v>
      </c>
      <c r="C40" s="1" t="s">
        <v>85</v>
      </c>
      <c r="D40" s="3" t="s">
        <v>84</v>
      </c>
      <c r="E40" s="3">
        <v>30</v>
      </c>
      <c r="F40" s="3">
        <v>30</v>
      </c>
      <c r="G40" s="1" t="s">
        <v>17</v>
      </c>
      <c r="H40" s="1" t="s">
        <v>17</v>
      </c>
      <c r="I40" s="1" t="s">
        <v>12</v>
      </c>
      <c r="J40" s="1">
        <v>0</v>
      </c>
      <c r="K40" s="1" t="s">
        <v>12</v>
      </c>
      <c r="L40" s="1" t="s">
        <v>7</v>
      </c>
      <c r="M40" s="25"/>
      <c r="N40" s="25" t="str">
        <f>IFERROR(VLOOKUP(Tableau3[[#This Row],[Denomination Sociale]],Tableau7[],1,0),"")</f>
        <v/>
      </c>
      <c r="O40" s="25" t="str">
        <f>VLOOKUP(Tableau3[[#This Row],[Denomination Sociale]],Tableau6[],1,0)</f>
        <v>AREZKI</v>
      </c>
      <c r="P40" s="25" t="s">
        <v>15628</v>
      </c>
      <c r="Q40" s="25" t="str">
        <f>VLOOKUP(Tableau3[[#This Row],[Denomination Sociale]],Tableau6[],1,1)</f>
        <v>AREZKI</v>
      </c>
      <c r="R40" s="25" t="s">
        <v>8</v>
      </c>
    </row>
    <row r="41" spans="1:18" x14ac:dyDescent="0.35">
      <c r="A41" s="24" t="s">
        <v>8</v>
      </c>
      <c r="B41" s="1" t="s">
        <v>15628</v>
      </c>
      <c r="C41" s="1" t="s">
        <v>86</v>
      </c>
      <c r="D41" s="3" t="s">
        <v>84</v>
      </c>
      <c r="E41" s="3">
        <v>15</v>
      </c>
      <c r="F41" s="3">
        <v>15</v>
      </c>
      <c r="G41" s="1" t="s">
        <v>17</v>
      </c>
      <c r="H41" s="1" t="s">
        <v>17</v>
      </c>
      <c r="I41" s="1" t="s">
        <v>12</v>
      </c>
      <c r="J41" s="1">
        <v>0</v>
      </c>
      <c r="K41" s="1" t="s">
        <v>12</v>
      </c>
      <c r="L41" s="1" t="s">
        <v>7</v>
      </c>
      <c r="M41" s="25"/>
      <c r="N41" s="25" t="str">
        <f>IFERROR(VLOOKUP(Tableau3[[#This Row],[Denomination Sociale]],Tableau7[],1,0),"")</f>
        <v/>
      </c>
      <c r="O41" s="25" t="str">
        <f>VLOOKUP(Tableau3[[#This Row],[Denomination Sociale]],Tableau6[],1,0)</f>
        <v>AREZKI</v>
      </c>
      <c r="P41" s="25" t="s">
        <v>15628</v>
      </c>
      <c r="Q41" s="25" t="str">
        <f>VLOOKUP(Tableau3[[#This Row],[Denomination Sociale]],Tableau6[],1,1)</f>
        <v>AREZKI</v>
      </c>
      <c r="R41" s="25" t="s">
        <v>8</v>
      </c>
    </row>
    <row r="42" spans="1:18" x14ac:dyDescent="0.35">
      <c r="A42" s="24" t="s">
        <v>8</v>
      </c>
      <c r="B42" s="1" t="s">
        <v>15628</v>
      </c>
      <c r="C42" s="1" t="s">
        <v>87</v>
      </c>
      <c r="D42" s="3" t="s">
        <v>84</v>
      </c>
      <c r="E42" s="3">
        <v>30</v>
      </c>
      <c r="F42" s="3">
        <v>30</v>
      </c>
      <c r="G42" s="1" t="s">
        <v>17</v>
      </c>
      <c r="H42" s="1" t="s">
        <v>17</v>
      </c>
      <c r="I42" s="1" t="s">
        <v>12</v>
      </c>
      <c r="J42" s="1">
        <v>0</v>
      </c>
      <c r="K42" s="1" t="s">
        <v>12</v>
      </c>
      <c r="L42" s="1" t="s">
        <v>7</v>
      </c>
      <c r="M42" s="25"/>
      <c r="N42" s="25" t="str">
        <f>IFERROR(VLOOKUP(Tableau3[[#This Row],[Denomination Sociale]],Tableau7[],1,0),"")</f>
        <v/>
      </c>
      <c r="O42" s="25" t="str">
        <f>VLOOKUP(Tableau3[[#This Row],[Denomination Sociale]],Tableau6[],1,0)</f>
        <v>AREZKI</v>
      </c>
      <c r="P42" s="25" t="s">
        <v>15628</v>
      </c>
      <c r="Q42" s="25" t="str">
        <f>VLOOKUP(Tableau3[[#This Row],[Denomination Sociale]],Tableau6[],1,1)</f>
        <v>AREZKI</v>
      </c>
      <c r="R42" s="25" t="s">
        <v>8</v>
      </c>
    </row>
    <row r="43" spans="1:18" x14ac:dyDescent="0.35">
      <c r="A43" s="53" t="s">
        <v>8</v>
      </c>
      <c r="B43" s="54" t="s">
        <v>67</v>
      </c>
      <c r="C43" s="54" t="s">
        <v>70</v>
      </c>
      <c r="D43" s="55" t="s">
        <v>69</v>
      </c>
      <c r="E43" s="55">
        <v>50</v>
      </c>
      <c r="F43" s="55">
        <v>50</v>
      </c>
      <c r="G43" s="54" t="s">
        <v>17</v>
      </c>
      <c r="H43" s="54" t="s">
        <v>17</v>
      </c>
      <c r="I43" s="54" t="s">
        <v>12</v>
      </c>
      <c r="J43" s="54">
        <v>0</v>
      </c>
      <c r="K43" s="54" t="s">
        <v>12</v>
      </c>
      <c r="L43" s="54" t="s">
        <v>7</v>
      </c>
      <c r="M43" s="25"/>
      <c r="N43" s="56" t="str">
        <f>IFERROR(VLOOKUP(Tableau3[[#This Row],[Denomination Sociale]],Tableau7[],1,0),"")</f>
        <v/>
      </c>
      <c r="O43" s="56" t="e">
        <f>VLOOKUP(Tableau3[[#This Row],[Denomination Sociale]],Tableau6[],1,0)</f>
        <v>#N/A</v>
      </c>
      <c r="P43" s="56"/>
      <c r="Q43" s="56" t="str">
        <f>VLOOKUP(Tableau3[[#This Row],[Denomination Sociale]],Tableau6[],1,1)</f>
        <v>ALIOUNE NDIAYE</v>
      </c>
      <c r="R43" s="56" t="s">
        <v>8</v>
      </c>
    </row>
    <row r="44" spans="1:18" x14ac:dyDescent="0.35">
      <c r="A44" s="24" t="s">
        <v>8</v>
      </c>
      <c r="B44" s="1" t="s">
        <v>91</v>
      </c>
      <c r="C44" s="1" t="s">
        <v>92</v>
      </c>
      <c r="D44" s="3" t="s">
        <v>93</v>
      </c>
      <c r="E44" s="3">
        <v>100</v>
      </c>
      <c r="F44" s="3">
        <v>100</v>
      </c>
      <c r="G44" s="1" t="s">
        <v>17</v>
      </c>
      <c r="H44" s="1" t="s">
        <v>17</v>
      </c>
      <c r="I44" s="1" t="s">
        <v>12</v>
      </c>
      <c r="J44" s="1">
        <v>0</v>
      </c>
      <c r="K44" s="1" t="s">
        <v>12</v>
      </c>
      <c r="L44" s="1" t="s">
        <v>7</v>
      </c>
      <c r="M44" s="25"/>
      <c r="N44" s="25" t="str">
        <f>IFERROR(VLOOKUP(Tableau3[[#This Row],[Denomination Sociale]],Tableau7[],1,0),"")</f>
        <v/>
      </c>
      <c r="O44" s="25" t="str">
        <f>VLOOKUP(Tableau3[[#This Row],[Denomination Sociale]],Tableau6[],1,0)</f>
        <v>AWAHABA GROUP</v>
      </c>
      <c r="P44" s="25" t="s">
        <v>91</v>
      </c>
      <c r="Q44" s="25" t="str">
        <f>VLOOKUP(Tableau3[[#This Row],[Denomination Sociale]],Tableau6[],1,1)</f>
        <v>AWAHABA GROUP</v>
      </c>
      <c r="R44" s="25" t="s">
        <v>8</v>
      </c>
    </row>
    <row r="45" spans="1:18" x14ac:dyDescent="0.35">
      <c r="A45" s="24" t="s">
        <v>980</v>
      </c>
      <c r="B45" s="1" t="s">
        <v>91</v>
      </c>
      <c r="C45" s="1" t="s">
        <v>1137</v>
      </c>
      <c r="D45" s="3" t="s">
        <v>1138</v>
      </c>
      <c r="E45" s="3">
        <v>60</v>
      </c>
      <c r="F45" s="3">
        <v>60</v>
      </c>
      <c r="G45" s="1" t="s">
        <v>17</v>
      </c>
      <c r="H45" s="1"/>
      <c r="I45" s="1">
        <v>0</v>
      </c>
      <c r="J45" s="1" t="s">
        <v>12</v>
      </c>
      <c r="K45" s="1" t="s">
        <v>12</v>
      </c>
      <c r="L45" s="1" t="s">
        <v>7</v>
      </c>
      <c r="M45" s="25"/>
      <c r="N45" s="25" t="str">
        <f>IFERROR(VLOOKUP(Tableau3[[#This Row],[Denomination Sociale]],Tableau7[],1,0),"")</f>
        <v/>
      </c>
      <c r="O45" s="25" t="str">
        <f>VLOOKUP(Tableau3[[#This Row],[Denomination Sociale]],Tableau6[],1,0)</f>
        <v>AWAHABA GROUP</v>
      </c>
      <c r="P45" s="25" t="s">
        <v>91</v>
      </c>
      <c r="Q45" s="25" t="str">
        <f>VLOOKUP(Tableau3[[#This Row],[Denomination Sociale]],Tableau6[],1,1)</f>
        <v>AWAHABA GROUP</v>
      </c>
      <c r="R45" s="25" t="s">
        <v>980</v>
      </c>
    </row>
    <row r="46" spans="1:18" x14ac:dyDescent="0.35">
      <c r="A46" s="24" t="s">
        <v>980</v>
      </c>
      <c r="B46" s="1" t="s">
        <v>91</v>
      </c>
      <c r="C46" s="1" t="s">
        <v>1139</v>
      </c>
      <c r="D46" s="3" t="s">
        <v>1138</v>
      </c>
      <c r="E46" s="3">
        <v>40</v>
      </c>
      <c r="F46" s="3">
        <v>40</v>
      </c>
      <c r="G46" s="1" t="s">
        <v>17</v>
      </c>
      <c r="H46" s="1"/>
      <c r="I46" s="1">
        <v>0</v>
      </c>
      <c r="J46" s="1" t="s">
        <v>12</v>
      </c>
      <c r="K46" s="1" t="s">
        <v>12</v>
      </c>
      <c r="L46" s="1" t="s">
        <v>7</v>
      </c>
      <c r="M46" s="25"/>
      <c r="N46" s="25" t="str">
        <f>IFERROR(VLOOKUP(Tableau3[[#This Row],[Denomination Sociale]],Tableau7[],1,0),"")</f>
        <v/>
      </c>
      <c r="O46" s="25" t="str">
        <f>VLOOKUP(Tableau3[[#This Row],[Denomination Sociale]],Tableau6[],1,0)</f>
        <v>AWAHABA GROUP</v>
      </c>
      <c r="P46" s="25" t="s">
        <v>91</v>
      </c>
      <c r="Q46" s="25" t="str">
        <f>VLOOKUP(Tableau3[[#This Row],[Denomination Sociale]],Tableau6[],1,1)</f>
        <v>AWAHABA GROUP</v>
      </c>
      <c r="R46" s="25" t="s">
        <v>980</v>
      </c>
    </row>
    <row r="47" spans="1:18" x14ac:dyDescent="0.35">
      <c r="A47" s="24" t="s">
        <v>980</v>
      </c>
      <c r="B47" s="1" t="s">
        <v>1022</v>
      </c>
      <c r="C47" s="1" t="s">
        <v>1023</v>
      </c>
      <c r="D47" s="3" t="s">
        <v>1024</v>
      </c>
      <c r="E47" s="3">
        <v>100</v>
      </c>
      <c r="F47" s="3">
        <v>100</v>
      </c>
      <c r="G47" s="1" t="s">
        <v>17</v>
      </c>
      <c r="H47" s="1" t="s">
        <v>17</v>
      </c>
      <c r="I47" s="1" t="s">
        <v>12</v>
      </c>
      <c r="J47" s="1">
        <v>0</v>
      </c>
      <c r="K47" s="1" t="s">
        <v>12</v>
      </c>
      <c r="L47" s="1" t="s">
        <v>7</v>
      </c>
      <c r="M47" s="25"/>
      <c r="N47" s="25" t="str">
        <f>IFERROR(VLOOKUP(Tableau3[[#This Row],[Denomination Sociale]],Tableau7[],1,0),"")</f>
        <v/>
      </c>
      <c r="O47" s="25" t="str">
        <f>VLOOKUP(Tableau3[[#This Row],[Denomination Sociale]],Tableau6[],1,0)</f>
        <v>BAKHOUM BUSINESS COMPANY</v>
      </c>
      <c r="P47" s="25" t="s">
        <v>1022</v>
      </c>
      <c r="Q47" s="25" t="str">
        <f>VLOOKUP(Tableau3[[#This Row],[Denomination Sociale]],Tableau6[],1,1)</f>
        <v>BAKHOUM BUSINESS COMPANY</v>
      </c>
      <c r="R47" s="25" t="s">
        <v>980</v>
      </c>
    </row>
    <row r="48" spans="1:18" x14ac:dyDescent="0.35">
      <c r="A48" s="24" t="s">
        <v>8</v>
      </c>
      <c r="B48" s="1" t="s">
        <v>13635</v>
      </c>
      <c r="C48" s="1" t="s">
        <v>95</v>
      </c>
      <c r="D48" s="3" t="s">
        <v>96</v>
      </c>
      <c r="E48" s="3" t="s">
        <v>12</v>
      </c>
      <c r="F48" s="3" t="s">
        <v>12</v>
      </c>
      <c r="G48" s="1" t="s">
        <v>17</v>
      </c>
      <c r="H48" s="1" t="s">
        <v>17</v>
      </c>
      <c r="I48" s="1" t="s">
        <v>12</v>
      </c>
      <c r="J48" s="1">
        <v>0</v>
      </c>
      <c r="K48" s="1" t="s">
        <v>12</v>
      </c>
      <c r="L48" s="1" t="s">
        <v>7</v>
      </c>
      <c r="M48" s="25"/>
      <c r="N48" s="25" t="str">
        <f>IFERROR(VLOOKUP(Tableau3[[#This Row],[Denomination Sociale]],Tableau7[],1,0),"")</f>
        <v/>
      </c>
      <c r="O48" s="25" t="str">
        <f>VLOOKUP(Tableau3[[#This Row],[Denomination Sociale]],Tableau6[],1,0)</f>
        <v>BAMBADJI</v>
      </c>
      <c r="P48" s="25" t="s">
        <v>13635</v>
      </c>
      <c r="Q48" s="25" t="str">
        <f>VLOOKUP(Tableau3[[#This Row],[Denomination Sociale]],Tableau6[],1,1)</f>
        <v>BAMBADJI</v>
      </c>
      <c r="R48" s="25" t="s">
        <v>8</v>
      </c>
    </row>
    <row r="49" spans="1:24" x14ac:dyDescent="0.35">
      <c r="A49" s="24" t="s">
        <v>8</v>
      </c>
      <c r="B49" s="1" t="s">
        <v>15246</v>
      </c>
      <c r="C49" s="1" t="s">
        <v>98</v>
      </c>
      <c r="D49" s="3" t="s">
        <v>99</v>
      </c>
      <c r="E49" s="3" t="s">
        <v>12</v>
      </c>
      <c r="F49" s="3" t="s">
        <v>12</v>
      </c>
      <c r="G49" s="1" t="s">
        <v>100</v>
      </c>
      <c r="H49" s="1" t="s">
        <v>100</v>
      </c>
      <c r="I49" s="1" t="s">
        <v>12</v>
      </c>
      <c r="J49" s="1">
        <v>0</v>
      </c>
      <c r="K49" s="1" t="s">
        <v>12</v>
      </c>
      <c r="L49" s="1" t="s">
        <v>7</v>
      </c>
      <c r="M49" s="25"/>
      <c r="N49" s="25" t="str">
        <f>IFERROR(VLOOKUP(Tableau3[[#This Row],[Denomination Sociale]],Tableau7[],1,0),"")</f>
        <v/>
      </c>
      <c r="O49" s="25" t="str">
        <f>VLOOKUP(Tableau3[[#This Row],[Denomination Sociale]],Tableau6[],1,0)</f>
        <v>BAMBOUK EXPLORATION</v>
      </c>
      <c r="P49" s="25" t="s">
        <v>15246</v>
      </c>
      <c r="Q49" s="25" t="str">
        <f>VLOOKUP(Tableau3[[#This Row],[Denomination Sociale]],Tableau6[],1,1)</f>
        <v>BAMBOUK EXPLORATION</v>
      </c>
      <c r="R49" s="25" t="s">
        <v>8</v>
      </c>
    </row>
    <row r="50" spans="1:24" s="57" customFormat="1" x14ac:dyDescent="0.35">
      <c r="A50" s="53" t="s">
        <v>8</v>
      </c>
      <c r="B50" s="54" t="s">
        <v>88</v>
      </c>
      <c r="C50" s="54" t="s">
        <v>89</v>
      </c>
      <c r="D50" s="55" t="s">
        <v>90</v>
      </c>
      <c r="E50" s="55">
        <v>100</v>
      </c>
      <c r="F50" s="55" t="s">
        <v>12</v>
      </c>
      <c r="G50" s="54" t="s">
        <v>17</v>
      </c>
      <c r="H50" s="54" t="s">
        <v>17</v>
      </c>
      <c r="I50" s="54" t="s">
        <v>12</v>
      </c>
      <c r="J50" s="54">
        <v>0</v>
      </c>
      <c r="K50" s="54" t="s">
        <v>12</v>
      </c>
      <c r="L50" s="54" t="s">
        <v>7</v>
      </c>
      <c r="M50" s="25"/>
      <c r="N50" s="56" t="str">
        <f>IFERROR(VLOOKUP(Tableau3[[#This Row],[Denomination Sociale]],Tableau7[],1,0),"")</f>
        <v/>
      </c>
      <c r="O50" s="56" t="e">
        <f>VLOOKUP(Tableau3[[#This Row],[Denomination Sociale]],Tableau6[],1,0)</f>
        <v>#N/A</v>
      </c>
      <c r="P50" s="56"/>
      <c r="Q50" s="56" t="str">
        <f>VLOOKUP(Tableau3[[#This Row],[Denomination Sociale]],Tableau6[],1,1)</f>
        <v>AWA LY</v>
      </c>
      <c r="R50" s="56" t="s">
        <v>8</v>
      </c>
      <c r="W50"/>
      <c r="X50"/>
    </row>
    <row r="51" spans="1:24" x14ac:dyDescent="0.35">
      <c r="A51" s="24" t="s">
        <v>8</v>
      </c>
      <c r="B51" s="1" t="s">
        <v>14105</v>
      </c>
      <c r="C51" s="1" t="s">
        <v>102</v>
      </c>
      <c r="D51" s="3" t="s">
        <v>103</v>
      </c>
      <c r="E51" s="3" t="s">
        <v>12</v>
      </c>
      <c r="F51" s="3" t="s">
        <v>12</v>
      </c>
      <c r="G51" s="1" t="s">
        <v>104</v>
      </c>
      <c r="H51" s="1" t="s">
        <v>104</v>
      </c>
      <c r="I51" s="1" t="s">
        <v>12</v>
      </c>
      <c r="J51" s="1">
        <v>0</v>
      </c>
      <c r="K51" s="1" t="s">
        <v>12</v>
      </c>
      <c r="L51" s="1" t="s">
        <v>7</v>
      </c>
      <c r="M51" s="25"/>
      <c r="N51" s="25" t="str">
        <f>IFERROR(VLOOKUP(Tableau3[[#This Row],[Denomination Sociale]],Tableau7[],1,0),"")</f>
        <v/>
      </c>
      <c r="O51" s="25" t="str">
        <f>VLOOKUP(Tableau3[[#This Row],[Denomination Sociale]],Tableau6[],1,0)</f>
        <v>BAMBUK MINERALS</v>
      </c>
      <c r="P51" s="25" t="s">
        <v>14105</v>
      </c>
      <c r="Q51" s="25" t="str">
        <f>VLOOKUP(Tableau3[[#This Row],[Denomination Sociale]],Tableau6[],1,1)</f>
        <v>BAMBUK MINERALS</v>
      </c>
      <c r="R51" s="25" t="s">
        <v>8</v>
      </c>
    </row>
    <row r="52" spans="1:24" x14ac:dyDescent="0.35">
      <c r="A52" s="24" t="s">
        <v>873</v>
      </c>
      <c r="B52" s="1" t="s">
        <v>874</v>
      </c>
      <c r="C52" s="1" t="s">
        <v>875</v>
      </c>
      <c r="D52" s="3" t="s">
        <v>876</v>
      </c>
      <c r="E52" s="3" t="s">
        <v>12</v>
      </c>
      <c r="F52" s="3" t="s">
        <v>12</v>
      </c>
      <c r="G52" s="1" t="s">
        <v>17</v>
      </c>
      <c r="H52" s="1" t="s">
        <v>17</v>
      </c>
      <c r="I52" s="1" t="s">
        <v>12</v>
      </c>
      <c r="J52" s="1">
        <v>0</v>
      </c>
      <c r="K52" s="1" t="s">
        <v>12</v>
      </c>
      <c r="L52" s="1" t="s">
        <v>7</v>
      </c>
      <c r="M52" s="25"/>
      <c r="N52" s="25" t="str">
        <f>IFERROR(VLOOKUP(Tableau3[[#This Row],[Denomination Sociale]],Tableau7[],1,0),"")</f>
        <v/>
      </c>
      <c r="O52" s="25" t="str">
        <f>VLOOKUP(Tableau3[[#This Row],[Denomination Sociale]],Tableau6[],1,0)</f>
        <v>BANTAL DE BEROLA</v>
      </c>
      <c r="P52" s="25" t="s">
        <v>874</v>
      </c>
      <c r="Q52" s="25" t="str">
        <f>VLOOKUP(Tableau3[[#This Row],[Denomination Sociale]],Tableau6[],1,1)</f>
        <v>BANTAL DE BEROLA</v>
      </c>
      <c r="R52" s="25" t="s">
        <v>873</v>
      </c>
    </row>
    <row r="53" spans="1:24" x14ac:dyDescent="0.35">
      <c r="A53" s="24" t="s">
        <v>873</v>
      </c>
      <c r="B53" s="1" t="s">
        <v>874</v>
      </c>
      <c r="C53" s="1" t="s">
        <v>877</v>
      </c>
      <c r="D53" s="3" t="s">
        <v>876</v>
      </c>
      <c r="E53" s="3" t="s">
        <v>12</v>
      </c>
      <c r="F53" s="3" t="s">
        <v>12</v>
      </c>
      <c r="G53" s="1" t="s">
        <v>17</v>
      </c>
      <c r="H53" s="1" t="s">
        <v>17</v>
      </c>
      <c r="I53" s="1" t="s">
        <v>12</v>
      </c>
      <c r="J53" s="1">
        <v>0</v>
      </c>
      <c r="K53" s="1" t="s">
        <v>12</v>
      </c>
      <c r="L53" s="1" t="s">
        <v>7</v>
      </c>
      <c r="M53" s="25"/>
      <c r="N53" s="25" t="str">
        <f>IFERROR(VLOOKUP(Tableau3[[#This Row],[Denomination Sociale]],Tableau7[],1,0),"")</f>
        <v/>
      </c>
      <c r="O53" s="25" t="str">
        <f>VLOOKUP(Tableau3[[#This Row],[Denomination Sociale]],Tableau6[],1,0)</f>
        <v>BANTAL DE BEROLA</v>
      </c>
      <c r="P53" s="25" t="s">
        <v>874</v>
      </c>
      <c r="Q53" s="25" t="str">
        <f>VLOOKUP(Tableau3[[#This Row],[Denomination Sociale]],Tableau6[],1,1)</f>
        <v>BANTAL DE BEROLA</v>
      </c>
      <c r="R53" s="25" t="s">
        <v>873</v>
      </c>
    </row>
    <row r="54" spans="1:24" x14ac:dyDescent="0.35">
      <c r="A54" s="24" t="s">
        <v>873</v>
      </c>
      <c r="B54" s="1" t="s">
        <v>874</v>
      </c>
      <c r="C54" s="1" t="s">
        <v>878</v>
      </c>
      <c r="D54" s="3" t="s">
        <v>876</v>
      </c>
      <c r="E54" s="3" t="s">
        <v>12</v>
      </c>
      <c r="F54" s="3" t="s">
        <v>12</v>
      </c>
      <c r="G54" s="1" t="s">
        <v>17</v>
      </c>
      <c r="H54" s="1" t="s">
        <v>17</v>
      </c>
      <c r="I54" s="1" t="s">
        <v>12</v>
      </c>
      <c r="J54" s="1">
        <v>0</v>
      </c>
      <c r="K54" s="1" t="s">
        <v>12</v>
      </c>
      <c r="L54" s="1" t="s">
        <v>7</v>
      </c>
      <c r="M54" s="25"/>
      <c r="N54" s="25" t="str">
        <f>IFERROR(VLOOKUP(Tableau3[[#This Row],[Denomination Sociale]],Tableau7[],1,0),"")</f>
        <v/>
      </c>
      <c r="O54" s="25" t="str">
        <f>VLOOKUP(Tableau3[[#This Row],[Denomination Sociale]],Tableau6[],1,0)</f>
        <v>BANTAL DE BEROLA</v>
      </c>
      <c r="P54" s="25" t="s">
        <v>874</v>
      </c>
      <c r="Q54" s="25" t="str">
        <f>VLOOKUP(Tableau3[[#This Row],[Denomination Sociale]],Tableau6[],1,1)</f>
        <v>BANTAL DE BEROLA</v>
      </c>
      <c r="R54" s="25" t="s">
        <v>873</v>
      </c>
    </row>
    <row r="55" spans="1:24" x14ac:dyDescent="0.35">
      <c r="A55" s="24" t="s">
        <v>8</v>
      </c>
      <c r="B55" s="1" t="s">
        <v>15108</v>
      </c>
      <c r="C55" s="1" t="s">
        <v>68</v>
      </c>
      <c r="D55" s="3" t="s">
        <v>109</v>
      </c>
      <c r="E55" s="3">
        <v>75</v>
      </c>
      <c r="F55" s="3">
        <v>75</v>
      </c>
      <c r="G55" s="1" t="s">
        <v>17</v>
      </c>
      <c r="H55" s="1" t="s">
        <v>17</v>
      </c>
      <c r="I55" s="1" t="s">
        <v>12</v>
      </c>
      <c r="J55" s="1">
        <v>0</v>
      </c>
      <c r="K55" s="1" t="s">
        <v>12</v>
      </c>
      <c r="L55" s="1" t="s">
        <v>7</v>
      </c>
      <c r="M55" s="25"/>
      <c r="N55" s="25" t="str">
        <f>IFERROR(VLOOKUP(Tableau3[[#This Row],[Denomination Sociale]],Tableau7[],1,0),"")</f>
        <v/>
      </c>
      <c r="O55" s="25" t="str">
        <f>VLOOKUP(Tableau3[[#This Row],[Denomination Sociale]],Tableau6[],1,0)</f>
        <v>BAOBAB GOLD</v>
      </c>
      <c r="P55" s="25" t="s">
        <v>15108</v>
      </c>
      <c r="Q55" s="25" t="str">
        <f>VLOOKUP(Tableau3[[#This Row],[Denomination Sociale]],Tableau6[],1,1)</f>
        <v>BAOBAB GOLD</v>
      </c>
      <c r="R55" s="25" t="s">
        <v>8</v>
      </c>
    </row>
    <row r="56" spans="1:24" x14ac:dyDescent="0.35">
      <c r="A56" s="24" t="s">
        <v>8</v>
      </c>
      <c r="B56" s="1" t="s">
        <v>15108</v>
      </c>
      <c r="C56" s="1" t="s">
        <v>110</v>
      </c>
      <c r="D56" s="3" t="s">
        <v>109</v>
      </c>
      <c r="E56" s="3">
        <v>25</v>
      </c>
      <c r="F56" s="3">
        <v>25</v>
      </c>
      <c r="G56" s="1" t="s">
        <v>17</v>
      </c>
      <c r="H56" s="1" t="s">
        <v>17</v>
      </c>
      <c r="I56" s="1" t="s">
        <v>12</v>
      </c>
      <c r="J56" s="1">
        <v>0</v>
      </c>
      <c r="K56" s="1" t="s">
        <v>12</v>
      </c>
      <c r="L56" s="1" t="s">
        <v>7</v>
      </c>
      <c r="M56" s="25"/>
      <c r="N56" s="25" t="str">
        <f>IFERROR(VLOOKUP(Tableau3[[#This Row],[Denomination Sociale]],Tableau7[],1,0),"")</f>
        <v/>
      </c>
      <c r="O56" s="25" t="str">
        <f>VLOOKUP(Tableau3[[#This Row],[Denomination Sociale]],Tableau6[],1,0)</f>
        <v>BAOBAB GOLD</v>
      </c>
      <c r="P56" s="25" t="s">
        <v>15108</v>
      </c>
      <c r="Q56" s="25" t="str">
        <f>VLOOKUP(Tableau3[[#This Row],[Denomination Sociale]],Tableau6[],1,1)</f>
        <v>BAOBAB GOLD</v>
      </c>
      <c r="R56" s="25" t="s">
        <v>8</v>
      </c>
    </row>
    <row r="57" spans="1:24" x14ac:dyDescent="0.35">
      <c r="A57" s="24" t="s">
        <v>8</v>
      </c>
      <c r="B57" s="1" t="s">
        <v>111</v>
      </c>
      <c r="C57" s="1" t="s">
        <v>112</v>
      </c>
      <c r="D57" s="3" t="s">
        <v>113</v>
      </c>
      <c r="E57" s="3">
        <v>50</v>
      </c>
      <c r="F57" s="3">
        <v>50</v>
      </c>
      <c r="G57" s="1" t="s">
        <v>17</v>
      </c>
      <c r="H57" s="1" t="s">
        <v>17</v>
      </c>
      <c r="I57" s="1" t="s">
        <v>12</v>
      </c>
      <c r="J57" s="1">
        <v>0</v>
      </c>
      <c r="K57" s="1" t="s">
        <v>12</v>
      </c>
      <c r="L57" s="1" t="s">
        <v>7</v>
      </c>
      <c r="M57" s="25"/>
      <c r="N57" s="25" t="str">
        <f>IFERROR(VLOOKUP(Tableau3[[#This Row],[Denomination Sociale]],Tableau7[],1,0),"")</f>
        <v/>
      </c>
      <c r="O57" s="25" t="str">
        <f>VLOOKUP(Tableau3[[#This Row],[Denomination Sociale]],Tableau6[],1,0)</f>
        <v>BAOBAB MINING</v>
      </c>
      <c r="P57" s="25" t="s">
        <v>111</v>
      </c>
      <c r="Q57" s="25" t="str">
        <f>VLOOKUP(Tableau3[[#This Row],[Denomination Sociale]],Tableau6[],1,1)</f>
        <v>BAOBAB MINING</v>
      </c>
      <c r="R57" s="25" t="s">
        <v>8</v>
      </c>
    </row>
    <row r="58" spans="1:24" x14ac:dyDescent="0.35">
      <c r="A58" s="24" t="s">
        <v>8</v>
      </c>
      <c r="B58" s="1" t="s">
        <v>111</v>
      </c>
      <c r="C58" s="1" t="s">
        <v>114</v>
      </c>
      <c r="D58" s="3" t="s">
        <v>113</v>
      </c>
      <c r="E58" s="3">
        <v>50</v>
      </c>
      <c r="F58" s="3">
        <v>50</v>
      </c>
      <c r="G58" s="1" t="s">
        <v>17</v>
      </c>
      <c r="H58" s="1" t="s">
        <v>17</v>
      </c>
      <c r="I58" s="1" t="s">
        <v>12</v>
      </c>
      <c r="J58" s="1">
        <v>0</v>
      </c>
      <c r="K58" s="1" t="s">
        <v>12</v>
      </c>
      <c r="L58" s="1" t="s">
        <v>7</v>
      </c>
      <c r="M58" s="25"/>
      <c r="N58" s="25" t="str">
        <f>IFERROR(VLOOKUP(Tableau3[[#This Row],[Denomination Sociale]],Tableau7[],1,0),"")</f>
        <v/>
      </c>
      <c r="O58" s="25" t="str">
        <f>VLOOKUP(Tableau3[[#This Row],[Denomination Sociale]],Tableau6[],1,0)</f>
        <v>BAOBAB MINING</v>
      </c>
      <c r="P58" s="25" t="s">
        <v>111</v>
      </c>
      <c r="Q58" s="25" t="str">
        <f>VLOOKUP(Tableau3[[#This Row],[Denomination Sociale]],Tableau6[],1,1)</f>
        <v>BAOBAB MINING</v>
      </c>
      <c r="R58" s="25" t="s">
        <v>8</v>
      </c>
    </row>
    <row r="59" spans="1:24" x14ac:dyDescent="0.35">
      <c r="A59" s="24" t="s">
        <v>8</v>
      </c>
      <c r="B59" s="1" t="s">
        <v>105</v>
      </c>
      <c r="C59" s="1" t="s">
        <v>106</v>
      </c>
      <c r="D59" s="3" t="s">
        <v>107</v>
      </c>
      <c r="E59" s="3">
        <v>50</v>
      </c>
      <c r="F59" s="3">
        <v>50</v>
      </c>
      <c r="G59" s="1" t="s">
        <v>17</v>
      </c>
      <c r="H59" s="1" t="s">
        <v>17</v>
      </c>
      <c r="I59" s="1" t="s">
        <v>12</v>
      </c>
      <c r="J59" s="1">
        <v>0</v>
      </c>
      <c r="K59" s="1" t="s">
        <v>12</v>
      </c>
      <c r="L59" s="1" t="s">
        <v>7</v>
      </c>
      <c r="M59" s="25"/>
      <c r="N59" s="25" t="str">
        <f>IFERROR(VLOOKUP(Tableau3[[#This Row],[Denomination Sociale]],Tableau7[],1,0),"")</f>
        <v/>
      </c>
      <c r="O59" s="25" t="str">
        <f>VLOOKUP(Tableau3[[#This Row],[Denomination Sociale]],Tableau6[],1,0)</f>
        <v>BAMINE</v>
      </c>
      <c r="P59" s="25" t="s">
        <v>105</v>
      </c>
      <c r="Q59" s="25" t="str">
        <f>VLOOKUP(Tableau3[[#This Row],[Denomination Sociale]],Tableau6[],1,1)</f>
        <v>BAMINE</v>
      </c>
      <c r="R59" s="25" t="s">
        <v>8</v>
      </c>
    </row>
    <row r="60" spans="1:24" x14ac:dyDescent="0.35">
      <c r="A60" s="24" t="s">
        <v>8</v>
      </c>
      <c r="B60" s="1" t="s">
        <v>118</v>
      </c>
      <c r="C60" s="1" t="s">
        <v>119</v>
      </c>
      <c r="D60" s="3" t="s">
        <v>120</v>
      </c>
      <c r="E60" s="3">
        <v>100</v>
      </c>
      <c r="F60" s="3" t="s">
        <v>12</v>
      </c>
      <c r="G60" s="1" t="s">
        <v>121</v>
      </c>
      <c r="H60" s="1" t="s">
        <v>121</v>
      </c>
      <c r="I60" s="1" t="s">
        <v>12</v>
      </c>
      <c r="J60" s="1">
        <v>0</v>
      </c>
      <c r="K60" s="1" t="s">
        <v>12</v>
      </c>
      <c r="L60" s="1" t="s">
        <v>7</v>
      </c>
      <c r="M60" s="25"/>
      <c r="N60" s="25" t="str">
        <f>IFERROR(VLOOKUP(Tableau3[[#This Row],[Denomination Sociale]],Tableau7[],1,0),"")</f>
        <v/>
      </c>
      <c r="O60" s="25" t="str">
        <f>VLOOKUP(Tableau3[[#This Row],[Denomination Sociale]],Tableau6[],1,0)</f>
        <v>BAU</v>
      </c>
      <c r="P60" s="25" t="s">
        <v>118</v>
      </c>
      <c r="Q60" s="25" t="str">
        <f>VLOOKUP(Tableau3[[#This Row],[Denomination Sociale]],Tableau6[],1,1)</f>
        <v>BAU</v>
      </c>
      <c r="R60" s="25" t="s">
        <v>8</v>
      </c>
    </row>
    <row r="61" spans="1:24" x14ac:dyDescent="0.35">
      <c r="A61" s="24" t="s">
        <v>8</v>
      </c>
      <c r="B61" s="1" t="s">
        <v>122</v>
      </c>
      <c r="C61" s="1" t="s">
        <v>123</v>
      </c>
      <c r="D61" s="3" t="s">
        <v>124</v>
      </c>
      <c r="E61" s="3" t="s">
        <v>12</v>
      </c>
      <c r="F61" s="3" t="s">
        <v>12</v>
      </c>
      <c r="G61" s="1" t="s">
        <v>125</v>
      </c>
      <c r="H61" s="1" t="s">
        <v>125</v>
      </c>
      <c r="I61" s="1" t="s">
        <v>12</v>
      </c>
      <c r="J61" s="1">
        <v>0</v>
      </c>
      <c r="K61" s="1" t="s">
        <v>12</v>
      </c>
      <c r="L61" s="1" t="s">
        <v>7</v>
      </c>
      <c r="M61" s="25"/>
      <c r="N61" s="25" t="str">
        <f>IFERROR(VLOOKUP(Tableau3[[#This Row],[Denomination Sociale]],Tableau7[],1,0),"")</f>
        <v/>
      </c>
      <c r="O61" s="25" t="str">
        <f>VLOOKUP(Tableau3[[#This Row],[Denomination Sociale]],Tableau6[],1,0)</f>
        <v>BB FIRST COMMODITY HOLDING LTD</v>
      </c>
      <c r="P61" s="25" t="s">
        <v>122</v>
      </c>
      <c r="Q61" s="25" t="str">
        <f>VLOOKUP(Tableau3[[#This Row],[Denomination Sociale]],Tableau6[],1,1)</f>
        <v>BB FIRST COMMODITY HOLDING LTD</v>
      </c>
      <c r="R61" s="25" t="s">
        <v>8</v>
      </c>
    </row>
    <row r="62" spans="1:24" x14ac:dyDescent="0.35">
      <c r="A62" s="24" t="s">
        <v>8</v>
      </c>
      <c r="B62" s="1" t="s">
        <v>115</v>
      </c>
      <c r="C62" s="1" t="s">
        <v>116</v>
      </c>
      <c r="D62" s="3" t="s">
        <v>117</v>
      </c>
      <c r="E62" s="3" t="s">
        <v>12</v>
      </c>
      <c r="F62" s="3" t="s">
        <v>12</v>
      </c>
      <c r="G62" s="1" t="s">
        <v>17</v>
      </c>
      <c r="H62" s="1" t="s">
        <v>17</v>
      </c>
      <c r="I62" s="1" t="s">
        <v>12</v>
      </c>
      <c r="J62" s="1">
        <v>0</v>
      </c>
      <c r="K62" s="1" t="s">
        <v>12</v>
      </c>
      <c r="L62" s="1" t="s">
        <v>7</v>
      </c>
      <c r="M62" s="25"/>
      <c r="N62" s="25" t="str">
        <f>IFERROR(VLOOKUP(Tableau3[[#This Row],[Denomination Sociale]],Tableau7[],1,0),"")</f>
        <v/>
      </c>
      <c r="O62" s="25" t="str">
        <f>VLOOKUP(Tableau3[[#This Row],[Denomination Sociale]],Tableau6[],1,0)</f>
        <v>BATIR MON PAYS</v>
      </c>
      <c r="P62" s="25" t="s">
        <v>115</v>
      </c>
      <c r="Q62" s="25" t="str">
        <f>VLOOKUP(Tableau3[[#This Row],[Denomination Sociale]],Tableau6[],1,1)</f>
        <v>BATIMENTYS TRAVAUX ET ROUTES</v>
      </c>
      <c r="R62" s="25" t="s">
        <v>8</v>
      </c>
    </row>
    <row r="63" spans="1:24" s="57" customFormat="1" x14ac:dyDescent="0.35">
      <c r="A63" s="53" t="s">
        <v>873</v>
      </c>
      <c r="B63" s="54" t="s">
        <v>1091</v>
      </c>
      <c r="C63" s="54" t="s">
        <v>1092</v>
      </c>
      <c r="D63" s="55" t="s">
        <v>1093</v>
      </c>
      <c r="E63" s="55" t="s">
        <v>12</v>
      </c>
      <c r="F63" s="55" t="s">
        <v>12</v>
      </c>
      <c r="G63" s="54" t="s">
        <v>17</v>
      </c>
      <c r="H63" s="54"/>
      <c r="I63" s="54">
        <v>0</v>
      </c>
      <c r="J63" s="54" t="s">
        <v>12</v>
      </c>
      <c r="K63" s="54" t="s">
        <v>12</v>
      </c>
      <c r="L63" s="54" t="s">
        <v>7</v>
      </c>
      <c r="M63" s="25"/>
      <c r="N63" s="56" t="str">
        <f>IFERROR(VLOOKUP(Tableau3[[#This Row],[Denomination Sociale]],Tableau7[],1,0),"")</f>
        <v/>
      </c>
      <c r="O63" s="56" t="e">
        <f>VLOOKUP(Tableau3[[#This Row],[Denomination Sociale]],Tableau6[],1,0)</f>
        <v>#N/A</v>
      </c>
      <c r="P63" s="56"/>
      <c r="Q63" s="56" t="str">
        <f>VLOOKUP(Tableau3[[#This Row],[Denomination Sociale]],Tableau6[],1,1)</f>
        <v>BEN KABARA</v>
      </c>
      <c r="R63" s="56" t="s">
        <v>873</v>
      </c>
      <c r="W63"/>
      <c r="X63"/>
    </row>
    <row r="64" spans="1:24" s="57" customFormat="1" x14ac:dyDescent="0.35">
      <c r="A64" s="53" t="s">
        <v>873</v>
      </c>
      <c r="B64" s="54" t="s">
        <v>1091</v>
      </c>
      <c r="C64" s="54" t="s">
        <v>1094</v>
      </c>
      <c r="D64" s="55" t="s">
        <v>1093</v>
      </c>
      <c r="E64" s="55" t="s">
        <v>12</v>
      </c>
      <c r="F64" s="55" t="s">
        <v>12</v>
      </c>
      <c r="G64" s="54" t="s">
        <v>17</v>
      </c>
      <c r="H64" s="54"/>
      <c r="I64" s="54">
        <v>0</v>
      </c>
      <c r="J64" s="54" t="s">
        <v>12</v>
      </c>
      <c r="K64" s="54" t="s">
        <v>12</v>
      </c>
      <c r="L64" s="54" t="s">
        <v>7</v>
      </c>
      <c r="M64" s="25"/>
      <c r="N64" s="56" t="str">
        <f>IFERROR(VLOOKUP(Tableau3[[#This Row],[Denomination Sociale]],Tableau7[],1,0),"")</f>
        <v/>
      </c>
      <c r="O64" s="56" t="e">
        <f>VLOOKUP(Tableau3[[#This Row],[Denomination Sociale]],Tableau6[],1,0)</f>
        <v>#N/A</v>
      </c>
      <c r="P64" s="56"/>
      <c r="Q64" s="56" t="str">
        <f>VLOOKUP(Tableau3[[#This Row],[Denomination Sociale]],Tableau6[],1,1)</f>
        <v>BEN KABARA</v>
      </c>
      <c r="R64" s="56" t="s">
        <v>873</v>
      </c>
      <c r="W64"/>
      <c r="X64"/>
    </row>
    <row r="65" spans="1:18" x14ac:dyDescent="0.35">
      <c r="A65" s="24" t="s">
        <v>873</v>
      </c>
      <c r="B65" s="1" t="s">
        <v>879</v>
      </c>
      <c r="C65" s="1" t="s">
        <v>880</v>
      </c>
      <c r="D65" s="3" t="s">
        <v>881</v>
      </c>
      <c r="E65" s="3" t="s">
        <v>12</v>
      </c>
      <c r="F65" s="3" t="s">
        <v>12</v>
      </c>
      <c r="G65" s="1" t="s">
        <v>17</v>
      </c>
      <c r="H65" s="1" t="s">
        <v>17</v>
      </c>
      <c r="I65" s="1" t="s">
        <v>12</v>
      </c>
      <c r="J65" s="1">
        <v>0</v>
      </c>
      <c r="K65" s="1" t="s">
        <v>12</v>
      </c>
      <c r="L65" s="1" t="s">
        <v>7</v>
      </c>
      <c r="M65" s="25"/>
      <c r="N65" s="25" t="str">
        <f>IFERROR(VLOOKUP(Tableau3[[#This Row],[Denomination Sociale]],Tableau7[],1,0),"")</f>
        <v/>
      </c>
      <c r="O65" s="25" t="str">
        <f>VLOOKUP(Tableau3[[#This Row],[Denomination Sociale]],Tableau6[],1,0)</f>
        <v>BENKANTO</v>
      </c>
      <c r="P65" s="25" t="s">
        <v>879</v>
      </c>
      <c r="Q65" s="25" t="str">
        <f>VLOOKUP(Tableau3[[#This Row],[Denomination Sociale]],Tableau6[],1,1)</f>
        <v>BENKANTO</v>
      </c>
      <c r="R65" s="25" t="s">
        <v>873</v>
      </c>
    </row>
    <row r="66" spans="1:18" x14ac:dyDescent="0.35">
      <c r="A66" s="24" t="s">
        <v>873</v>
      </c>
      <c r="B66" s="1" t="s">
        <v>879</v>
      </c>
      <c r="C66" s="1" t="s">
        <v>882</v>
      </c>
      <c r="D66" s="3" t="s">
        <v>881</v>
      </c>
      <c r="E66" s="3" t="s">
        <v>12</v>
      </c>
      <c r="F66" s="3" t="s">
        <v>12</v>
      </c>
      <c r="G66" s="1" t="s">
        <v>17</v>
      </c>
      <c r="H66" s="1" t="s">
        <v>17</v>
      </c>
      <c r="I66" s="1" t="s">
        <v>12</v>
      </c>
      <c r="J66" s="1">
        <v>0</v>
      </c>
      <c r="K66" s="1" t="s">
        <v>12</v>
      </c>
      <c r="L66" s="1" t="s">
        <v>7</v>
      </c>
      <c r="M66" s="25"/>
      <c r="N66" s="25" t="str">
        <f>IFERROR(VLOOKUP(Tableau3[[#This Row],[Denomination Sociale]],Tableau7[],1,0),"")</f>
        <v/>
      </c>
      <c r="O66" s="25" t="str">
        <f>VLOOKUP(Tableau3[[#This Row],[Denomination Sociale]],Tableau6[],1,0)</f>
        <v>BENKANTO</v>
      </c>
      <c r="P66" s="25" t="s">
        <v>879</v>
      </c>
      <c r="Q66" s="25" t="str">
        <f>VLOOKUP(Tableau3[[#This Row],[Denomination Sociale]],Tableau6[],1,1)</f>
        <v>BENKANTO</v>
      </c>
      <c r="R66" s="25" t="s">
        <v>873</v>
      </c>
    </row>
    <row r="67" spans="1:18" x14ac:dyDescent="0.35">
      <c r="A67" s="24" t="s">
        <v>873</v>
      </c>
      <c r="B67" s="1" t="s">
        <v>879</v>
      </c>
      <c r="C67" s="1" t="s">
        <v>602</v>
      </c>
      <c r="D67" s="3" t="s">
        <v>881</v>
      </c>
      <c r="E67" s="3" t="s">
        <v>12</v>
      </c>
      <c r="F67" s="3" t="s">
        <v>12</v>
      </c>
      <c r="G67" s="1" t="s">
        <v>17</v>
      </c>
      <c r="H67" s="1" t="s">
        <v>17</v>
      </c>
      <c r="I67" s="1" t="s">
        <v>12</v>
      </c>
      <c r="J67" s="1">
        <v>0</v>
      </c>
      <c r="K67" s="1" t="s">
        <v>12</v>
      </c>
      <c r="L67" s="1" t="s">
        <v>7</v>
      </c>
      <c r="M67" s="25"/>
      <c r="N67" s="25" t="str">
        <f>IFERROR(VLOOKUP(Tableau3[[#This Row],[Denomination Sociale]],Tableau7[],1,0),"")</f>
        <v/>
      </c>
      <c r="O67" s="25" t="str">
        <f>VLOOKUP(Tableau3[[#This Row],[Denomination Sociale]],Tableau6[],1,0)</f>
        <v>BENKANTO</v>
      </c>
      <c r="P67" s="25" t="s">
        <v>879</v>
      </c>
      <c r="Q67" s="25" t="str">
        <f>VLOOKUP(Tableau3[[#This Row],[Denomination Sociale]],Tableau6[],1,1)</f>
        <v>BENKANTO</v>
      </c>
      <c r="R67" s="25" t="s">
        <v>873</v>
      </c>
    </row>
    <row r="68" spans="1:18" x14ac:dyDescent="0.35">
      <c r="A68" s="24" t="s">
        <v>873</v>
      </c>
      <c r="B68" s="1" t="s">
        <v>879</v>
      </c>
      <c r="C68" s="1" t="s">
        <v>883</v>
      </c>
      <c r="D68" s="3" t="s">
        <v>881</v>
      </c>
      <c r="E68" s="3" t="s">
        <v>12</v>
      </c>
      <c r="F68" s="3" t="s">
        <v>12</v>
      </c>
      <c r="G68" s="1" t="s">
        <v>17</v>
      </c>
      <c r="H68" s="1" t="s">
        <v>17</v>
      </c>
      <c r="I68" s="1" t="s">
        <v>12</v>
      </c>
      <c r="J68" s="1">
        <v>0</v>
      </c>
      <c r="K68" s="1" t="s">
        <v>12</v>
      </c>
      <c r="L68" s="1" t="s">
        <v>7</v>
      </c>
      <c r="M68" s="25"/>
      <c r="N68" s="25" t="str">
        <f>IFERROR(VLOOKUP(Tableau3[[#This Row],[Denomination Sociale]],Tableau7[],1,0),"")</f>
        <v/>
      </c>
      <c r="O68" s="25" t="str">
        <f>VLOOKUP(Tableau3[[#This Row],[Denomination Sociale]],Tableau6[],1,0)</f>
        <v>BENKANTO</v>
      </c>
      <c r="P68" s="25" t="s">
        <v>879</v>
      </c>
      <c r="Q68" s="25" t="str">
        <f>VLOOKUP(Tableau3[[#This Row],[Denomination Sociale]],Tableau6[],1,1)</f>
        <v>BENKANTO</v>
      </c>
      <c r="R68" s="25" t="s">
        <v>873</v>
      </c>
    </row>
    <row r="69" spans="1:18" x14ac:dyDescent="0.35">
      <c r="A69" s="24" t="s">
        <v>873</v>
      </c>
      <c r="B69" s="1" t="s">
        <v>879</v>
      </c>
      <c r="C69" s="1" t="s">
        <v>884</v>
      </c>
      <c r="D69" s="3" t="s">
        <v>881</v>
      </c>
      <c r="E69" s="3" t="s">
        <v>12</v>
      </c>
      <c r="F69" s="3" t="s">
        <v>12</v>
      </c>
      <c r="G69" s="1" t="s">
        <v>17</v>
      </c>
      <c r="H69" s="1" t="s">
        <v>17</v>
      </c>
      <c r="I69" s="1" t="s">
        <v>12</v>
      </c>
      <c r="J69" s="1">
        <v>0</v>
      </c>
      <c r="K69" s="1" t="s">
        <v>12</v>
      </c>
      <c r="L69" s="1" t="s">
        <v>7</v>
      </c>
      <c r="M69" s="25"/>
      <c r="N69" s="25" t="str">
        <f>IFERROR(VLOOKUP(Tableau3[[#This Row],[Denomination Sociale]],Tableau7[],1,0),"")</f>
        <v/>
      </c>
      <c r="O69" s="25" t="str">
        <f>VLOOKUP(Tableau3[[#This Row],[Denomination Sociale]],Tableau6[],1,0)</f>
        <v>BENKANTO</v>
      </c>
      <c r="P69" s="25" t="s">
        <v>879</v>
      </c>
      <c r="Q69" s="25" t="str">
        <f>VLOOKUP(Tableau3[[#This Row],[Denomination Sociale]],Tableau6[],1,1)</f>
        <v>BENKANTO</v>
      </c>
      <c r="R69" s="25" t="s">
        <v>873</v>
      </c>
    </row>
    <row r="70" spans="1:18" x14ac:dyDescent="0.35">
      <c r="A70" s="24" t="s">
        <v>873</v>
      </c>
      <c r="B70" s="1" t="s">
        <v>879</v>
      </c>
      <c r="C70" s="1" t="s">
        <v>885</v>
      </c>
      <c r="D70" s="3" t="s">
        <v>881</v>
      </c>
      <c r="E70" s="3" t="s">
        <v>12</v>
      </c>
      <c r="F70" s="3" t="s">
        <v>12</v>
      </c>
      <c r="G70" s="1" t="s">
        <v>17</v>
      </c>
      <c r="H70" s="1" t="s">
        <v>17</v>
      </c>
      <c r="I70" s="1" t="s">
        <v>12</v>
      </c>
      <c r="J70" s="1">
        <v>0</v>
      </c>
      <c r="K70" s="1" t="s">
        <v>12</v>
      </c>
      <c r="L70" s="1" t="s">
        <v>7</v>
      </c>
      <c r="M70" s="25"/>
      <c r="N70" s="25" t="str">
        <f>IFERROR(VLOOKUP(Tableau3[[#This Row],[Denomination Sociale]],Tableau7[],1,0),"")</f>
        <v/>
      </c>
      <c r="O70" s="25" t="str">
        <f>VLOOKUP(Tableau3[[#This Row],[Denomination Sociale]],Tableau6[],1,0)</f>
        <v>BENKANTO</v>
      </c>
      <c r="P70" s="25" t="s">
        <v>879</v>
      </c>
      <c r="Q70" s="25" t="str">
        <f>VLOOKUP(Tableau3[[#This Row],[Denomination Sociale]],Tableau6[],1,1)</f>
        <v>BENKANTO</v>
      </c>
      <c r="R70" s="25" t="s">
        <v>873</v>
      </c>
    </row>
    <row r="71" spans="1:18" x14ac:dyDescent="0.35">
      <c r="A71" s="24" t="s">
        <v>873</v>
      </c>
      <c r="B71" s="1" t="s">
        <v>879</v>
      </c>
      <c r="C71" s="1" t="s">
        <v>886</v>
      </c>
      <c r="D71" s="3" t="s">
        <v>881</v>
      </c>
      <c r="E71" s="3" t="s">
        <v>12</v>
      </c>
      <c r="F71" s="3" t="s">
        <v>12</v>
      </c>
      <c r="G71" s="1" t="s">
        <v>17</v>
      </c>
      <c r="H71" s="1" t="s">
        <v>17</v>
      </c>
      <c r="I71" s="1" t="s">
        <v>12</v>
      </c>
      <c r="J71" s="1">
        <v>0</v>
      </c>
      <c r="K71" s="1" t="s">
        <v>12</v>
      </c>
      <c r="L71" s="1" t="s">
        <v>7</v>
      </c>
      <c r="M71" s="25"/>
      <c r="N71" s="25" t="str">
        <f>IFERROR(VLOOKUP(Tableau3[[#This Row],[Denomination Sociale]],Tableau7[],1,0),"")</f>
        <v/>
      </c>
      <c r="O71" s="25" t="str">
        <f>VLOOKUP(Tableau3[[#This Row],[Denomination Sociale]],Tableau6[],1,0)</f>
        <v>BENKANTO</v>
      </c>
      <c r="P71" s="25" t="s">
        <v>879</v>
      </c>
      <c r="Q71" s="25" t="str">
        <f>VLOOKUP(Tableau3[[#This Row],[Denomination Sociale]],Tableau6[],1,1)</f>
        <v>BENKANTO</v>
      </c>
      <c r="R71" s="25" t="s">
        <v>873</v>
      </c>
    </row>
    <row r="72" spans="1:18" x14ac:dyDescent="0.35">
      <c r="A72" s="24" t="s">
        <v>873</v>
      </c>
      <c r="B72" s="1" t="s">
        <v>879</v>
      </c>
      <c r="C72" s="1" t="s">
        <v>887</v>
      </c>
      <c r="D72" s="3" t="s">
        <v>881</v>
      </c>
      <c r="E72" s="3" t="s">
        <v>12</v>
      </c>
      <c r="F72" s="3" t="s">
        <v>12</v>
      </c>
      <c r="G72" s="1" t="s">
        <v>17</v>
      </c>
      <c r="H72" s="1" t="s">
        <v>17</v>
      </c>
      <c r="I72" s="1" t="s">
        <v>12</v>
      </c>
      <c r="J72" s="1">
        <v>0</v>
      </c>
      <c r="K72" s="1" t="s">
        <v>12</v>
      </c>
      <c r="L72" s="1" t="s">
        <v>7</v>
      </c>
      <c r="M72" s="25"/>
      <c r="N72" s="25" t="str">
        <f>IFERROR(VLOOKUP(Tableau3[[#This Row],[Denomination Sociale]],Tableau7[],1,0),"")</f>
        <v/>
      </c>
      <c r="O72" s="25" t="str">
        <f>VLOOKUP(Tableau3[[#This Row],[Denomination Sociale]],Tableau6[],1,0)</f>
        <v>BENKANTO</v>
      </c>
      <c r="P72" s="25" t="s">
        <v>879</v>
      </c>
      <c r="Q72" s="25" t="str">
        <f>VLOOKUP(Tableau3[[#This Row],[Denomination Sociale]],Tableau6[],1,1)</f>
        <v>BENKANTO</v>
      </c>
      <c r="R72" s="25" t="s">
        <v>873</v>
      </c>
    </row>
    <row r="73" spans="1:18" x14ac:dyDescent="0.35">
      <c r="A73" s="24" t="s">
        <v>873</v>
      </c>
      <c r="B73" s="1" t="s">
        <v>879</v>
      </c>
      <c r="C73" s="1" t="s">
        <v>888</v>
      </c>
      <c r="D73" s="3" t="s">
        <v>881</v>
      </c>
      <c r="E73" s="3" t="s">
        <v>12</v>
      </c>
      <c r="F73" s="3" t="s">
        <v>12</v>
      </c>
      <c r="G73" s="1" t="s">
        <v>17</v>
      </c>
      <c r="H73" s="1" t="s">
        <v>17</v>
      </c>
      <c r="I73" s="1" t="s">
        <v>12</v>
      </c>
      <c r="J73" s="1">
        <v>0</v>
      </c>
      <c r="K73" s="1" t="s">
        <v>12</v>
      </c>
      <c r="L73" s="1" t="s">
        <v>7</v>
      </c>
      <c r="M73" s="25"/>
      <c r="N73" s="25" t="str">
        <f>IFERROR(VLOOKUP(Tableau3[[#This Row],[Denomination Sociale]],Tableau7[],1,0),"")</f>
        <v/>
      </c>
      <c r="O73" s="25" t="str">
        <f>VLOOKUP(Tableau3[[#This Row],[Denomination Sociale]],Tableau6[],1,0)</f>
        <v>BENKANTO</v>
      </c>
      <c r="P73" s="25" t="s">
        <v>879</v>
      </c>
      <c r="Q73" s="25" t="str">
        <f>VLOOKUP(Tableau3[[#This Row],[Denomination Sociale]],Tableau6[],1,1)</f>
        <v>BENKANTO</v>
      </c>
      <c r="R73" s="25" t="s">
        <v>873</v>
      </c>
    </row>
    <row r="74" spans="1:18" x14ac:dyDescent="0.35">
      <c r="A74" s="24" t="s">
        <v>873</v>
      </c>
      <c r="B74" s="1" t="s">
        <v>879</v>
      </c>
      <c r="C74" s="1" t="s">
        <v>889</v>
      </c>
      <c r="D74" s="3" t="s">
        <v>881</v>
      </c>
      <c r="E74" s="3" t="s">
        <v>12</v>
      </c>
      <c r="F74" s="3" t="s">
        <v>12</v>
      </c>
      <c r="G74" s="1" t="s">
        <v>17</v>
      </c>
      <c r="H74" s="1" t="s">
        <v>17</v>
      </c>
      <c r="I74" s="1" t="s">
        <v>12</v>
      </c>
      <c r="J74" s="1">
        <v>0</v>
      </c>
      <c r="K74" s="1" t="s">
        <v>12</v>
      </c>
      <c r="L74" s="1" t="s">
        <v>7</v>
      </c>
      <c r="M74" s="25"/>
      <c r="N74" s="25" t="str">
        <f>IFERROR(VLOOKUP(Tableau3[[#This Row],[Denomination Sociale]],Tableau7[],1,0),"")</f>
        <v/>
      </c>
      <c r="O74" s="25" t="str">
        <f>VLOOKUP(Tableau3[[#This Row],[Denomination Sociale]],Tableau6[],1,0)</f>
        <v>BENKANTO</v>
      </c>
      <c r="P74" s="25" t="s">
        <v>879</v>
      </c>
      <c r="Q74" s="25" t="str">
        <f>VLOOKUP(Tableau3[[#This Row],[Denomination Sociale]],Tableau6[],1,1)</f>
        <v>BENKANTO</v>
      </c>
      <c r="R74" s="25" t="s">
        <v>873</v>
      </c>
    </row>
    <row r="75" spans="1:18" x14ac:dyDescent="0.35">
      <c r="A75" s="24" t="s">
        <v>873</v>
      </c>
      <c r="B75" s="1" t="s">
        <v>879</v>
      </c>
      <c r="C75" s="1" t="s">
        <v>890</v>
      </c>
      <c r="D75" s="3" t="s">
        <v>881</v>
      </c>
      <c r="E75" s="3" t="s">
        <v>12</v>
      </c>
      <c r="F75" s="3" t="s">
        <v>12</v>
      </c>
      <c r="G75" s="1" t="s">
        <v>17</v>
      </c>
      <c r="H75" s="1" t="s">
        <v>17</v>
      </c>
      <c r="I75" s="1" t="s">
        <v>12</v>
      </c>
      <c r="J75" s="1">
        <v>0</v>
      </c>
      <c r="K75" s="1" t="s">
        <v>12</v>
      </c>
      <c r="L75" s="1" t="s">
        <v>7</v>
      </c>
      <c r="M75" s="25"/>
      <c r="N75" s="25" t="str">
        <f>IFERROR(VLOOKUP(Tableau3[[#This Row],[Denomination Sociale]],Tableau7[],1,0),"")</f>
        <v/>
      </c>
      <c r="O75" s="25" t="str">
        <f>VLOOKUP(Tableau3[[#This Row],[Denomination Sociale]],Tableau6[],1,0)</f>
        <v>BENKANTO</v>
      </c>
      <c r="P75" s="25" t="s">
        <v>879</v>
      </c>
      <c r="Q75" s="25" t="str">
        <f>VLOOKUP(Tableau3[[#This Row],[Denomination Sociale]],Tableau6[],1,1)</f>
        <v>BENKANTO</v>
      </c>
      <c r="R75" s="25" t="s">
        <v>873</v>
      </c>
    </row>
    <row r="76" spans="1:18" x14ac:dyDescent="0.35">
      <c r="A76" s="24" t="s">
        <v>873</v>
      </c>
      <c r="B76" s="1" t="s">
        <v>879</v>
      </c>
      <c r="C76" s="1" t="s">
        <v>891</v>
      </c>
      <c r="D76" s="3" t="s">
        <v>881</v>
      </c>
      <c r="E76" s="3" t="s">
        <v>12</v>
      </c>
      <c r="F76" s="3" t="s">
        <v>12</v>
      </c>
      <c r="G76" s="1" t="s">
        <v>17</v>
      </c>
      <c r="H76" s="1" t="s">
        <v>17</v>
      </c>
      <c r="I76" s="1" t="s">
        <v>12</v>
      </c>
      <c r="J76" s="1">
        <v>0</v>
      </c>
      <c r="K76" s="1" t="s">
        <v>12</v>
      </c>
      <c r="L76" s="1" t="s">
        <v>7</v>
      </c>
      <c r="M76" s="25"/>
      <c r="N76" s="25" t="str">
        <f>IFERROR(VLOOKUP(Tableau3[[#This Row],[Denomination Sociale]],Tableau7[],1,0),"")</f>
        <v/>
      </c>
      <c r="O76" s="25" t="str">
        <f>VLOOKUP(Tableau3[[#This Row],[Denomination Sociale]],Tableau6[],1,0)</f>
        <v>BENKANTO</v>
      </c>
      <c r="P76" s="25" t="s">
        <v>879</v>
      </c>
      <c r="Q76" s="25" t="str">
        <f>VLOOKUP(Tableau3[[#This Row],[Denomination Sociale]],Tableau6[],1,1)</f>
        <v>BENKANTO</v>
      </c>
      <c r="R76" s="25" t="s">
        <v>873</v>
      </c>
    </row>
    <row r="77" spans="1:18" x14ac:dyDescent="0.35">
      <c r="A77" s="24" t="s">
        <v>873</v>
      </c>
      <c r="B77" s="1" t="s">
        <v>879</v>
      </c>
      <c r="C77" s="1" t="s">
        <v>892</v>
      </c>
      <c r="D77" s="3" t="s">
        <v>881</v>
      </c>
      <c r="E77" s="3" t="s">
        <v>12</v>
      </c>
      <c r="F77" s="3" t="s">
        <v>12</v>
      </c>
      <c r="G77" s="1" t="s">
        <v>17</v>
      </c>
      <c r="H77" s="1" t="s">
        <v>17</v>
      </c>
      <c r="I77" s="1" t="s">
        <v>12</v>
      </c>
      <c r="J77" s="1">
        <v>0</v>
      </c>
      <c r="K77" s="1" t="s">
        <v>12</v>
      </c>
      <c r="L77" s="1" t="s">
        <v>7</v>
      </c>
      <c r="M77" s="25"/>
      <c r="N77" s="25" t="str">
        <f>IFERROR(VLOOKUP(Tableau3[[#This Row],[Denomination Sociale]],Tableau7[],1,0),"")</f>
        <v/>
      </c>
      <c r="O77" s="25" t="str">
        <f>VLOOKUP(Tableau3[[#This Row],[Denomination Sociale]],Tableau6[],1,0)</f>
        <v>BENKANTO</v>
      </c>
      <c r="P77" s="25" t="s">
        <v>879</v>
      </c>
      <c r="Q77" s="25" t="str">
        <f>VLOOKUP(Tableau3[[#This Row],[Denomination Sociale]],Tableau6[],1,1)</f>
        <v>BENKANTO</v>
      </c>
      <c r="R77" s="25" t="s">
        <v>873</v>
      </c>
    </row>
    <row r="78" spans="1:18" x14ac:dyDescent="0.35">
      <c r="A78" s="24" t="s">
        <v>873</v>
      </c>
      <c r="B78" s="1" t="s">
        <v>879</v>
      </c>
      <c r="C78" s="1" t="s">
        <v>893</v>
      </c>
      <c r="D78" s="3" t="s">
        <v>881</v>
      </c>
      <c r="E78" s="3" t="s">
        <v>12</v>
      </c>
      <c r="F78" s="3" t="s">
        <v>12</v>
      </c>
      <c r="G78" s="1" t="s">
        <v>17</v>
      </c>
      <c r="H78" s="1" t="s">
        <v>17</v>
      </c>
      <c r="I78" s="1" t="s">
        <v>12</v>
      </c>
      <c r="J78" s="1">
        <v>0</v>
      </c>
      <c r="K78" s="1" t="s">
        <v>12</v>
      </c>
      <c r="L78" s="1" t="s">
        <v>7</v>
      </c>
      <c r="M78" s="25"/>
      <c r="N78" s="25" t="str">
        <f>IFERROR(VLOOKUP(Tableau3[[#This Row],[Denomination Sociale]],Tableau7[],1,0),"")</f>
        <v/>
      </c>
      <c r="O78" s="25" t="str">
        <f>VLOOKUP(Tableau3[[#This Row],[Denomination Sociale]],Tableau6[],1,0)</f>
        <v>BENKANTO</v>
      </c>
      <c r="P78" s="25" t="s">
        <v>879</v>
      </c>
      <c r="Q78" s="25" t="str">
        <f>VLOOKUP(Tableau3[[#This Row],[Denomination Sociale]],Tableau6[],1,1)</f>
        <v>BENKANTO</v>
      </c>
      <c r="R78" s="25" t="s">
        <v>873</v>
      </c>
    </row>
    <row r="79" spans="1:18" x14ac:dyDescent="0.35">
      <c r="A79" s="24" t="s">
        <v>873</v>
      </c>
      <c r="B79" s="1" t="s">
        <v>879</v>
      </c>
      <c r="C79" s="1" t="s">
        <v>894</v>
      </c>
      <c r="D79" s="3" t="s">
        <v>881</v>
      </c>
      <c r="E79" s="3" t="s">
        <v>12</v>
      </c>
      <c r="F79" s="3" t="s">
        <v>12</v>
      </c>
      <c r="G79" s="1" t="s">
        <v>17</v>
      </c>
      <c r="H79" s="1" t="s">
        <v>17</v>
      </c>
      <c r="I79" s="1" t="s">
        <v>12</v>
      </c>
      <c r="J79" s="1">
        <v>0</v>
      </c>
      <c r="K79" s="1" t="s">
        <v>12</v>
      </c>
      <c r="L79" s="1" t="s">
        <v>7</v>
      </c>
      <c r="M79" s="25"/>
      <c r="N79" s="25" t="str">
        <f>IFERROR(VLOOKUP(Tableau3[[#This Row],[Denomination Sociale]],Tableau7[],1,0),"")</f>
        <v/>
      </c>
      <c r="O79" s="25" t="str">
        <f>VLOOKUP(Tableau3[[#This Row],[Denomination Sociale]],Tableau6[],1,0)</f>
        <v>BENKANTO</v>
      </c>
      <c r="P79" s="25" t="s">
        <v>879</v>
      </c>
      <c r="Q79" s="25" t="str">
        <f>VLOOKUP(Tableau3[[#This Row],[Denomination Sociale]],Tableau6[],1,1)</f>
        <v>BENKANTO</v>
      </c>
      <c r="R79" s="25" t="s">
        <v>873</v>
      </c>
    </row>
    <row r="80" spans="1:18" x14ac:dyDescent="0.35">
      <c r="A80" s="24" t="s">
        <v>873</v>
      </c>
      <c r="B80" s="1" t="s">
        <v>879</v>
      </c>
      <c r="C80" s="1" t="s">
        <v>895</v>
      </c>
      <c r="D80" s="3" t="s">
        <v>881</v>
      </c>
      <c r="E80" s="3" t="s">
        <v>12</v>
      </c>
      <c r="F80" s="3" t="s">
        <v>12</v>
      </c>
      <c r="G80" s="1" t="s">
        <v>17</v>
      </c>
      <c r="H80" s="1" t="s">
        <v>17</v>
      </c>
      <c r="I80" s="1" t="s">
        <v>12</v>
      </c>
      <c r="J80" s="1">
        <v>0</v>
      </c>
      <c r="K80" s="1" t="s">
        <v>12</v>
      </c>
      <c r="L80" s="1" t="s">
        <v>7</v>
      </c>
      <c r="M80" s="25"/>
      <c r="N80" s="25" t="str">
        <f>IFERROR(VLOOKUP(Tableau3[[#This Row],[Denomination Sociale]],Tableau7[],1,0),"")</f>
        <v/>
      </c>
      <c r="O80" s="25" t="str">
        <f>VLOOKUP(Tableau3[[#This Row],[Denomination Sociale]],Tableau6[],1,0)</f>
        <v>BENKANTO</v>
      </c>
      <c r="P80" s="25" t="s">
        <v>879</v>
      </c>
      <c r="Q80" s="25" t="str">
        <f>VLOOKUP(Tableau3[[#This Row],[Denomination Sociale]],Tableau6[],1,1)</f>
        <v>BENKANTO</v>
      </c>
      <c r="R80" s="25" t="s">
        <v>873</v>
      </c>
    </row>
    <row r="81" spans="1:24" x14ac:dyDescent="0.35">
      <c r="A81" s="24" t="s">
        <v>873</v>
      </c>
      <c r="B81" s="1" t="s">
        <v>879</v>
      </c>
      <c r="C81" s="1" t="s">
        <v>896</v>
      </c>
      <c r="D81" s="3" t="s">
        <v>881</v>
      </c>
      <c r="E81" s="3" t="s">
        <v>12</v>
      </c>
      <c r="F81" s="3" t="s">
        <v>12</v>
      </c>
      <c r="G81" s="1" t="s">
        <v>17</v>
      </c>
      <c r="H81" s="1" t="s">
        <v>17</v>
      </c>
      <c r="I81" s="1" t="s">
        <v>12</v>
      </c>
      <c r="J81" s="1">
        <v>0</v>
      </c>
      <c r="K81" s="1" t="s">
        <v>12</v>
      </c>
      <c r="L81" s="1" t="s">
        <v>7</v>
      </c>
      <c r="M81" s="25"/>
      <c r="N81" s="25" t="str">
        <f>IFERROR(VLOOKUP(Tableau3[[#This Row],[Denomination Sociale]],Tableau7[],1,0),"")</f>
        <v/>
      </c>
      <c r="O81" s="25" t="str">
        <f>VLOOKUP(Tableau3[[#This Row],[Denomination Sociale]],Tableau6[],1,0)</f>
        <v>BENKANTO</v>
      </c>
      <c r="P81" s="25" t="s">
        <v>879</v>
      </c>
      <c r="Q81" s="25" t="str">
        <f>VLOOKUP(Tableau3[[#This Row],[Denomination Sociale]],Tableau6[],1,1)</f>
        <v>BENKANTO</v>
      </c>
      <c r="R81" s="25" t="s">
        <v>873</v>
      </c>
    </row>
    <row r="82" spans="1:24" x14ac:dyDescent="0.35">
      <c r="A82" s="24" t="s">
        <v>873</v>
      </c>
      <c r="B82" s="1" t="s">
        <v>879</v>
      </c>
      <c r="C82" s="1" t="s">
        <v>897</v>
      </c>
      <c r="D82" s="3" t="s">
        <v>881</v>
      </c>
      <c r="E82" s="3" t="s">
        <v>12</v>
      </c>
      <c r="F82" s="3" t="s">
        <v>12</v>
      </c>
      <c r="G82" s="1" t="s">
        <v>17</v>
      </c>
      <c r="H82" s="1" t="s">
        <v>17</v>
      </c>
      <c r="I82" s="1" t="s">
        <v>12</v>
      </c>
      <c r="J82" s="1">
        <v>0</v>
      </c>
      <c r="K82" s="1" t="s">
        <v>12</v>
      </c>
      <c r="L82" s="1" t="s">
        <v>7</v>
      </c>
      <c r="M82" s="25"/>
      <c r="N82" s="25" t="str">
        <f>IFERROR(VLOOKUP(Tableau3[[#This Row],[Denomination Sociale]],Tableau7[],1,0),"")</f>
        <v/>
      </c>
      <c r="O82" s="25" t="str">
        <f>VLOOKUP(Tableau3[[#This Row],[Denomination Sociale]],Tableau6[],1,0)</f>
        <v>BENKANTO</v>
      </c>
      <c r="P82" s="25" t="s">
        <v>879</v>
      </c>
      <c r="Q82" s="25" t="str">
        <f>VLOOKUP(Tableau3[[#This Row],[Denomination Sociale]],Tableau6[],1,1)</f>
        <v>BENKANTO</v>
      </c>
      <c r="R82" s="25" t="s">
        <v>873</v>
      </c>
    </row>
    <row r="83" spans="1:24" x14ac:dyDescent="0.35">
      <c r="A83" s="24" t="s">
        <v>873</v>
      </c>
      <c r="B83" s="1" t="s">
        <v>879</v>
      </c>
      <c r="C83" s="1" t="s">
        <v>898</v>
      </c>
      <c r="D83" s="3" t="s">
        <v>881</v>
      </c>
      <c r="E83" s="3" t="s">
        <v>12</v>
      </c>
      <c r="F83" s="3" t="s">
        <v>12</v>
      </c>
      <c r="G83" s="1" t="s">
        <v>17</v>
      </c>
      <c r="H83" s="1" t="s">
        <v>17</v>
      </c>
      <c r="I83" s="1" t="s">
        <v>12</v>
      </c>
      <c r="J83" s="1">
        <v>0</v>
      </c>
      <c r="K83" s="1" t="s">
        <v>12</v>
      </c>
      <c r="L83" s="1" t="s">
        <v>7</v>
      </c>
      <c r="M83" s="25"/>
      <c r="N83" s="25" t="str">
        <f>IFERROR(VLOOKUP(Tableau3[[#This Row],[Denomination Sociale]],Tableau7[],1,0),"")</f>
        <v/>
      </c>
      <c r="O83" s="25" t="str">
        <f>VLOOKUP(Tableau3[[#This Row],[Denomination Sociale]],Tableau6[],1,0)</f>
        <v>BENKANTO</v>
      </c>
      <c r="P83" s="25" t="s">
        <v>879</v>
      </c>
      <c r="Q83" s="25" t="str">
        <f>VLOOKUP(Tableau3[[#This Row],[Denomination Sociale]],Tableau6[],1,1)</f>
        <v>BENKANTO</v>
      </c>
      <c r="R83" s="25" t="s">
        <v>873</v>
      </c>
    </row>
    <row r="84" spans="1:24" x14ac:dyDescent="0.35">
      <c r="A84" s="24" t="s">
        <v>873</v>
      </c>
      <c r="B84" s="1" t="s">
        <v>879</v>
      </c>
      <c r="C84" s="1" t="s">
        <v>899</v>
      </c>
      <c r="D84" s="3" t="s">
        <v>881</v>
      </c>
      <c r="E84" s="3" t="s">
        <v>12</v>
      </c>
      <c r="F84" s="3" t="s">
        <v>12</v>
      </c>
      <c r="G84" s="1" t="s">
        <v>17</v>
      </c>
      <c r="H84" s="1" t="s">
        <v>17</v>
      </c>
      <c r="I84" s="1" t="s">
        <v>12</v>
      </c>
      <c r="J84" s="1">
        <v>0</v>
      </c>
      <c r="K84" s="1" t="s">
        <v>12</v>
      </c>
      <c r="L84" s="1" t="s">
        <v>7</v>
      </c>
      <c r="M84" s="25"/>
      <c r="N84" s="25" t="str">
        <f>IFERROR(VLOOKUP(Tableau3[[#This Row],[Denomination Sociale]],Tableau7[],1,0),"")</f>
        <v/>
      </c>
      <c r="O84" s="25" t="str">
        <f>VLOOKUP(Tableau3[[#This Row],[Denomination Sociale]],Tableau6[],1,0)</f>
        <v>BENKANTO</v>
      </c>
      <c r="P84" s="25" t="s">
        <v>879</v>
      </c>
      <c r="Q84" s="25" t="str">
        <f>VLOOKUP(Tableau3[[#This Row],[Denomination Sociale]],Tableau6[],1,1)</f>
        <v>BENKANTO</v>
      </c>
      <c r="R84" s="25" t="s">
        <v>873</v>
      </c>
    </row>
    <row r="85" spans="1:24" x14ac:dyDescent="0.35">
      <c r="A85" s="24" t="s">
        <v>873</v>
      </c>
      <c r="B85" s="1" t="s">
        <v>879</v>
      </c>
      <c r="C85" s="1" t="s">
        <v>900</v>
      </c>
      <c r="D85" s="3" t="s">
        <v>881</v>
      </c>
      <c r="E85" s="3" t="s">
        <v>12</v>
      </c>
      <c r="F85" s="3" t="s">
        <v>12</v>
      </c>
      <c r="G85" s="1" t="s">
        <v>17</v>
      </c>
      <c r="H85" s="1" t="s">
        <v>17</v>
      </c>
      <c r="I85" s="1" t="s">
        <v>12</v>
      </c>
      <c r="J85" s="1">
        <v>0</v>
      </c>
      <c r="K85" s="1" t="s">
        <v>12</v>
      </c>
      <c r="L85" s="1" t="s">
        <v>7</v>
      </c>
      <c r="M85" s="25"/>
      <c r="N85" s="25" t="str">
        <f>IFERROR(VLOOKUP(Tableau3[[#This Row],[Denomination Sociale]],Tableau7[],1,0),"")</f>
        <v/>
      </c>
      <c r="O85" s="25" t="str">
        <f>VLOOKUP(Tableau3[[#This Row],[Denomination Sociale]],Tableau6[],1,0)</f>
        <v>BENKANTO</v>
      </c>
      <c r="P85" s="25" t="s">
        <v>879</v>
      </c>
      <c r="Q85" s="25" t="str">
        <f>VLOOKUP(Tableau3[[#This Row],[Denomination Sociale]],Tableau6[],1,1)</f>
        <v>BENKANTO</v>
      </c>
      <c r="R85" s="25" t="s">
        <v>873</v>
      </c>
    </row>
    <row r="86" spans="1:24" x14ac:dyDescent="0.35">
      <c r="A86" s="24" t="s">
        <v>873</v>
      </c>
      <c r="B86" s="1" t="s">
        <v>879</v>
      </c>
      <c r="C86" s="1" t="s">
        <v>901</v>
      </c>
      <c r="D86" s="3" t="s">
        <v>881</v>
      </c>
      <c r="E86" s="3" t="s">
        <v>12</v>
      </c>
      <c r="F86" s="3" t="s">
        <v>12</v>
      </c>
      <c r="G86" s="1" t="s">
        <v>17</v>
      </c>
      <c r="H86" s="1" t="s">
        <v>17</v>
      </c>
      <c r="I86" s="1" t="s">
        <v>12</v>
      </c>
      <c r="J86" s="1">
        <v>0</v>
      </c>
      <c r="K86" s="1" t="s">
        <v>12</v>
      </c>
      <c r="L86" s="1" t="s">
        <v>7</v>
      </c>
      <c r="M86" s="25"/>
      <c r="N86" s="25" t="str">
        <f>IFERROR(VLOOKUP(Tableau3[[#This Row],[Denomination Sociale]],Tableau7[],1,0),"")</f>
        <v/>
      </c>
      <c r="O86" s="25" t="str">
        <f>VLOOKUP(Tableau3[[#This Row],[Denomination Sociale]],Tableau6[],1,0)</f>
        <v>BENKANTO</v>
      </c>
      <c r="P86" s="25" t="s">
        <v>879</v>
      </c>
      <c r="Q86" s="25" t="str">
        <f>VLOOKUP(Tableau3[[#This Row],[Denomination Sociale]],Tableau6[],1,1)</f>
        <v>BENKANTO</v>
      </c>
      <c r="R86" s="25" t="s">
        <v>873</v>
      </c>
    </row>
    <row r="87" spans="1:24" x14ac:dyDescent="0.35">
      <c r="A87" s="24" t="s">
        <v>873</v>
      </c>
      <c r="B87" s="1" t="s">
        <v>879</v>
      </c>
      <c r="C87" s="1" t="s">
        <v>902</v>
      </c>
      <c r="D87" s="3" t="s">
        <v>881</v>
      </c>
      <c r="E87" s="3" t="s">
        <v>12</v>
      </c>
      <c r="F87" s="3" t="s">
        <v>12</v>
      </c>
      <c r="G87" s="1" t="s">
        <v>17</v>
      </c>
      <c r="H87" s="1" t="s">
        <v>17</v>
      </c>
      <c r="I87" s="1" t="s">
        <v>12</v>
      </c>
      <c r="J87" s="1">
        <v>0</v>
      </c>
      <c r="K87" s="1" t="s">
        <v>12</v>
      </c>
      <c r="L87" s="1" t="s">
        <v>7</v>
      </c>
      <c r="M87" s="25"/>
      <c r="N87" s="25" t="str">
        <f>IFERROR(VLOOKUP(Tableau3[[#This Row],[Denomination Sociale]],Tableau7[],1,0),"")</f>
        <v/>
      </c>
      <c r="O87" s="25" t="str">
        <f>VLOOKUP(Tableau3[[#This Row],[Denomination Sociale]],Tableau6[],1,0)</f>
        <v>BENKANTO</v>
      </c>
      <c r="P87" s="25" t="s">
        <v>879</v>
      </c>
      <c r="Q87" s="25" t="str">
        <f>VLOOKUP(Tableau3[[#This Row],[Denomination Sociale]],Tableau6[],1,1)</f>
        <v>BENKANTO</v>
      </c>
      <c r="R87" s="25" t="s">
        <v>873</v>
      </c>
    </row>
    <row r="88" spans="1:24" x14ac:dyDescent="0.35">
      <c r="A88" s="24" t="s">
        <v>873</v>
      </c>
      <c r="B88" s="1" t="s">
        <v>879</v>
      </c>
      <c r="C88" s="1" t="s">
        <v>903</v>
      </c>
      <c r="D88" s="3" t="s">
        <v>881</v>
      </c>
      <c r="E88" s="3" t="s">
        <v>12</v>
      </c>
      <c r="F88" s="3" t="s">
        <v>12</v>
      </c>
      <c r="G88" s="1" t="s">
        <v>17</v>
      </c>
      <c r="H88" s="1" t="s">
        <v>17</v>
      </c>
      <c r="I88" s="1" t="s">
        <v>12</v>
      </c>
      <c r="J88" s="1">
        <v>0</v>
      </c>
      <c r="K88" s="1" t="s">
        <v>12</v>
      </c>
      <c r="L88" s="1" t="s">
        <v>7</v>
      </c>
      <c r="M88" s="25"/>
      <c r="N88" s="25" t="str">
        <f>IFERROR(VLOOKUP(Tableau3[[#This Row],[Denomination Sociale]],Tableau7[],1,0),"")</f>
        <v/>
      </c>
      <c r="O88" s="25" t="str">
        <f>VLOOKUP(Tableau3[[#This Row],[Denomination Sociale]],Tableau6[],1,0)</f>
        <v>BENKANTO</v>
      </c>
      <c r="P88" s="25" t="s">
        <v>879</v>
      </c>
      <c r="Q88" s="25" t="str">
        <f>VLOOKUP(Tableau3[[#This Row],[Denomination Sociale]],Tableau6[],1,1)</f>
        <v>BENKANTO</v>
      </c>
      <c r="R88" s="25" t="s">
        <v>873</v>
      </c>
    </row>
    <row r="89" spans="1:24" x14ac:dyDescent="0.35">
      <c r="A89" s="24" t="s">
        <v>873</v>
      </c>
      <c r="B89" s="1" t="s">
        <v>879</v>
      </c>
      <c r="C89" s="1" t="s">
        <v>904</v>
      </c>
      <c r="D89" s="3" t="s">
        <v>881</v>
      </c>
      <c r="E89" s="3" t="s">
        <v>12</v>
      </c>
      <c r="F89" s="3" t="s">
        <v>12</v>
      </c>
      <c r="G89" s="1" t="s">
        <v>17</v>
      </c>
      <c r="H89" s="1" t="s">
        <v>17</v>
      </c>
      <c r="I89" s="1" t="s">
        <v>12</v>
      </c>
      <c r="J89" s="1">
        <v>0</v>
      </c>
      <c r="K89" s="1" t="s">
        <v>12</v>
      </c>
      <c r="L89" s="1" t="s">
        <v>7</v>
      </c>
      <c r="M89" s="25"/>
      <c r="N89" s="25" t="str">
        <f>IFERROR(VLOOKUP(Tableau3[[#This Row],[Denomination Sociale]],Tableau7[],1,0),"")</f>
        <v/>
      </c>
      <c r="O89" s="25" t="str">
        <f>VLOOKUP(Tableau3[[#This Row],[Denomination Sociale]],Tableau6[],1,0)</f>
        <v>BENKANTO</v>
      </c>
      <c r="P89" s="25" t="s">
        <v>879</v>
      </c>
      <c r="Q89" s="25" t="str">
        <f>VLOOKUP(Tableau3[[#This Row],[Denomination Sociale]],Tableau6[],1,1)</f>
        <v>BENKANTO</v>
      </c>
      <c r="R89" s="25" t="s">
        <v>873</v>
      </c>
    </row>
    <row r="90" spans="1:24" x14ac:dyDescent="0.35">
      <c r="A90" s="24" t="s">
        <v>873</v>
      </c>
      <c r="B90" s="1" t="s">
        <v>879</v>
      </c>
      <c r="C90" s="1" t="s">
        <v>905</v>
      </c>
      <c r="D90" s="3" t="s">
        <v>881</v>
      </c>
      <c r="E90" s="3" t="s">
        <v>12</v>
      </c>
      <c r="F90" s="3" t="s">
        <v>12</v>
      </c>
      <c r="G90" s="1" t="s">
        <v>17</v>
      </c>
      <c r="H90" s="1" t="s">
        <v>17</v>
      </c>
      <c r="I90" s="1" t="s">
        <v>12</v>
      </c>
      <c r="J90" s="1">
        <v>0</v>
      </c>
      <c r="K90" s="1" t="s">
        <v>12</v>
      </c>
      <c r="L90" s="1" t="s">
        <v>7</v>
      </c>
      <c r="M90" s="25"/>
      <c r="N90" s="25" t="str">
        <f>IFERROR(VLOOKUP(Tableau3[[#This Row],[Denomination Sociale]],Tableau7[],1,0),"")</f>
        <v/>
      </c>
      <c r="O90" s="25" t="str">
        <f>VLOOKUP(Tableau3[[#This Row],[Denomination Sociale]],Tableau6[],1,0)</f>
        <v>BENKANTO</v>
      </c>
      <c r="P90" s="25" t="s">
        <v>879</v>
      </c>
      <c r="Q90" s="25" t="str">
        <f>VLOOKUP(Tableau3[[#This Row],[Denomination Sociale]],Tableau6[],1,1)</f>
        <v>BENKANTO</v>
      </c>
      <c r="R90" s="25" t="s">
        <v>873</v>
      </c>
    </row>
    <row r="91" spans="1:24" x14ac:dyDescent="0.35">
      <c r="A91" s="24" t="s">
        <v>873</v>
      </c>
      <c r="B91" s="1" t="s">
        <v>879</v>
      </c>
      <c r="C91" s="1" t="s">
        <v>906</v>
      </c>
      <c r="D91" s="3" t="s">
        <v>881</v>
      </c>
      <c r="E91" s="3" t="s">
        <v>12</v>
      </c>
      <c r="F91" s="3" t="s">
        <v>12</v>
      </c>
      <c r="G91" s="1" t="s">
        <v>17</v>
      </c>
      <c r="H91" s="1" t="s">
        <v>17</v>
      </c>
      <c r="I91" s="1" t="s">
        <v>12</v>
      </c>
      <c r="J91" s="1">
        <v>0</v>
      </c>
      <c r="K91" s="1" t="s">
        <v>12</v>
      </c>
      <c r="L91" s="1" t="s">
        <v>7</v>
      </c>
      <c r="M91" s="25"/>
      <c r="N91" s="25" t="str">
        <f>IFERROR(VLOOKUP(Tableau3[[#This Row],[Denomination Sociale]],Tableau7[],1,0),"")</f>
        <v/>
      </c>
      <c r="O91" s="25" t="str">
        <f>VLOOKUP(Tableau3[[#This Row],[Denomination Sociale]],Tableau6[],1,0)</f>
        <v>BENKANTO</v>
      </c>
      <c r="P91" s="25" t="s">
        <v>879</v>
      </c>
      <c r="Q91" s="25" t="str">
        <f>VLOOKUP(Tableau3[[#This Row],[Denomination Sociale]],Tableau6[],1,1)</f>
        <v>BENKANTO</v>
      </c>
      <c r="R91" s="25" t="s">
        <v>873</v>
      </c>
    </row>
    <row r="92" spans="1:24" x14ac:dyDescent="0.35">
      <c r="A92" s="24" t="s">
        <v>973</v>
      </c>
      <c r="B92" s="1" t="s">
        <v>974</v>
      </c>
      <c r="C92" s="1" t="s">
        <v>975</v>
      </c>
      <c r="D92" s="3" t="s">
        <v>976</v>
      </c>
      <c r="E92" s="3" t="s">
        <v>12</v>
      </c>
      <c r="F92" s="3">
        <v>25</v>
      </c>
      <c r="G92" s="1" t="s">
        <v>17</v>
      </c>
      <c r="H92" s="1" t="s">
        <v>17</v>
      </c>
      <c r="I92" s="1" t="s">
        <v>12</v>
      </c>
      <c r="J92" s="1">
        <v>0</v>
      </c>
      <c r="K92" s="1" t="s">
        <v>12</v>
      </c>
      <c r="L92" s="1" t="s">
        <v>7</v>
      </c>
      <c r="M92" s="25"/>
      <c r="N92" s="25" t="str">
        <f>IFERROR(VLOOKUP(Tableau3[[#This Row],[Denomination Sociale]],Tableau7[],1,0),"")</f>
        <v/>
      </c>
      <c r="O92" s="25" t="str">
        <f>VLOOKUP(Tableau3[[#This Row],[Denomination Sociale]],Tableau6[],1,0)</f>
        <v>BENKHANGHO</v>
      </c>
      <c r="P92" s="25" t="s">
        <v>974</v>
      </c>
      <c r="Q92" s="25" t="str">
        <f>VLOOKUP(Tableau3[[#This Row],[Denomination Sociale]],Tableau6[],1,1)</f>
        <v>BENKHANGHO</v>
      </c>
      <c r="R92" s="25" t="s">
        <v>973</v>
      </c>
    </row>
    <row r="93" spans="1:24" s="57" customFormat="1" x14ac:dyDescent="0.35">
      <c r="A93" s="53" t="s">
        <v>873</v>
      </c>
      <c r="B93" s="54" t="s">
        <v>1091</v>
      </c>
      <c r="C93" s="54" t="s">
        <v>1095</v>
      </c>
      <c r="D93" s="55" t="s">
        <v>1093</v>
      </c>
      <c r="E93" s="55" t="s">
        <v>12</v>
      </c>
      <c r="F93" s="55" t="s">
        <v>12</v>
      </c>
      <c r="G93" s="54" t="s">
        <v>17</v>
      </c>
      <c r="H93" s="54"/>
      <c r="I93" s="54" t="s">
        <v>12</v>
      </c>
      <c r="J93" s="54" t="s">
        <v>12</v>
      </c>
      <c r="K93" s="54" t="s">
        <v>12</v>
      </c>
      <c r="L93" s="54" t="s">
        <v>7</v>
      </c>
      <c r="M93" s="25"/>
      <c r="N93" s="56" t="str">
        <f>IFERROR(VLOOKUP(Tableau3[[#This Row],[Denomination Sociale]],Tableau7[],1,0),"")</f>
        <v/>
      </c>
      <c r="O93" s="56" t="e">
        <f>VLOOKUP(Tableau3[[#This Row],[Denomination Sociale]],Tableau6[],1,0)</f>
        <v>#N/A</v>
      </c>
      <c r="P93" s="56"/>
      <c r="Q93" s="56" t="str">
        <f>VLOOKUP(Tableau3[[#This Row],[Denomination Sociale]],Tableau6[],1,1)</f>
        <v>BEN KABARA</v>
      </c>
      <c r="R93" s="56" t="s">
        <v>873</v>
      </c>
      <c r="W93"/>
      <c r="X93"/>
    </row>
    <row r="94" spans="1:24" x14ac:dyDescent="0.35">
      <c r="A94" s="24" t="s">
        <v>873</v>
      </c>
      <c r="B94" s="1" t="s">
        <v>907</v>
      </c>
      <c r="C94" s="1" t="s">
        <v>908</v>
      </c>
      <c r="D94" s="3" t="s">
        <v>909</v>
      </c>
      <c r="E94" s="3">
        <v>20</v>
      </c>
      <c r="F94" s="3" t="s">
        <v>12</v>
      </c>
      <c r="G94" s="1" t="s">
        <v>17</v>
      </c>
      <c r="H94" s="1" t="s">
        <v>17</v>
      </c>
      <c r="I94" s="1" t="s">
        <v>12</v>
      </c>
      <c r="J94" s="1">
        <v>0</v>
      </c>
      <c r="K94" s="1" t="s">
        <v>12</v>
      </c>
      <c r="L94" s="1" t="s">
        <v>7</v>
      </c>
      <c r="M94" s="25"/>
      <c r="N94" s="25" t="str">
        <f>IFERROR(VLOOKUP(Tableau3[[#This Row],[Denomination Sociale]],Tableau7[],1,0),"")</f>
        <v/>
      </c>
      <c r="O94" s="25" t="str">
        <f>VLOOKUP(Tableau3[[#This Row],[Denomination Sociale]],Tableau6[],1,0)</f>
        <v>BIGSAM OR</v>
      </c>
      <c r="P94" s="25" t="s">
        <v>907</v>
      </c>
      <c r="Q94" s="25" t="str">
        <f>VLOOKUP(Tableau3[[#This Row],[Denomination Sociale]],Tableau6[],1,1)</f>
        <v>BIGSAM OR</v>
      </c>
      <c r="R94" s="25" t="s">
        <v>873</v>
      </c>
    </row>
    <row r="95" spans="1:24" x14ac:dyDescent="0.35">
      <c r="A95" s="24" t="s">
        <v>873</v>
      </c>
      <c r="B95" s="1" t="s">
        <v>907</v>
      </c>
      <c r="C95" s="1" t="s">
        <v>910</v>
      </c>
      <c r="D95" s="3" t="s">
        <v>909</v>
      </c>
      <c r="E95" s="3">
        <v>80</v>
      </c>
      <c r="F95" s="3" t="s">
        <v>12</v>
      </c>
      <c r="G95" s="1" t="s">
        <v>17</v>
      </c>
      <c r="H95" s="1" t="s">
        <v>17</v>
      </c>
      <c r="I95" s="1" t="s">
        <v>12</v>
      </c>
      <c r="J95" s="1">
        <v>0</v>
      </c>
      <c r="K95" s="1" t="s">
        <v>12</v>
      </c>
      <c r="L95" s="1" t="s">
        <v>7</v>
      </c>
      <c r="M95" s="25"/>
      <c r="N95" s="25" t="str">
        <f>IFERROR(VLOOKUP(Tableau3[[#This Row],[Denomination Sociale]],Tableau7[],1,0),"")</f>
        <v/>
      </c>
      <c r="O95" s="25" t="str">
        <f>VLOOKUP(Tableau3[[#This Row],[Denomination Sociale]],Tableau6[],1,0)</f>
        <v>BIGSAM OR</v>
      </c>
      <c r="P95" s="25" t="s">
        <v>907</v>
      </c>
      <c r="Q95" s="25" t="str">
        <f>VLOOKUP(Tableau3[[#This Row],[Denomination Sociale]],Tableau6[],1,1)</f>
        <v>BIGSAM OR</v>
      </c>
      <c r="R95" s="25" t="s">
        <v>873</v>
      </c>
    </row>
    <row r="96" spans="1:24" x14ac:dyDescent="0.35">
      <c r="A96" s="24" t="s">
        <v>873</v>
      </c>
      <c r="B96" s="1" t="s">
        <v>911</v>
      </c>
      <c r="C96" s="1" t="s">
        <v>912</v>
      </c>
      <c r="D96" s="3" t="s">
        <v>913</v>
      </c>
      <c r="E96" s="3" t="s">
        <v>12</v>
      </c>
      <c r="F96" s="3" t="s">
        <v>12</v>
      </c>
      <c r="G96" s="1" t="s">
        <v>17</v>
      </c>
      <c r="H96" s="1" t="s">
        <v>17</v>
      </c>
      <c r="I96" s="1" t="s">
        <v>12</v>
      </c>
      <c r="J96" s="1">
        <v>0</v>
      </c>
      <c r="K96" s="1" t="s">
        <v>12</v>
      </c>
      <c r="L96" s="1" t="s">
        <v>7</v>
      </c>
      <c r="M96" s="25"/>
      <c r="N96" s="25" t="str">
        <f>IFERROR(VLOOKUP(Tableau3[[#This Row],[Denomination Sociale]],Tableau7[],1,0),"")</f>
        <v/>
      </c>
      <c r="O96" s="25" t="str">
        <f>VLOOKUP(Tableau3[[#This Row],[Denomination Sociale]],Tableau6[],1,0)</f>
        <v>BINKHANTO BAITOULAYE</v>
      </c>
      <c r="P96" s="25" t="s">
        <v>911</v>
      </c>
      <c r="Q96" s="25" t="str">
        <f>VLOOKUP(Tableau3[[#This Row],[Denomination Sociale]],Tableau6[],1,1)</f>
        <v>BINKHANTO BAITOULAYE</v>
      </c>
      <c r="R96" s="25" t="s">
        <v>873</v>
      </c>
    </row>
    <row r="97" spans="1:24" x14ac:dyDescent="0.35">
      <c r="A97" s="24" t="s">
        <v>873</v>
      </c>
      <c r="B97" s="1" t="s">
        <v>911</v>
      </c>
      <c r="C97" s="1" t="s">
        <v>914</v>
      </c>
      <c r="D97" s="3" t="s">
        <v>913</v>
      </c>
      <c r="E97" s="3" t="s">
        <v>12</v>
      </c>
      <c r="F97" s="3" t="s">
        <v>12</v>
      </c>
      <c r="G97" s="1" t="s">
        <v>17</v>
      </c>
      <c r="H97" s="1" t="s">
        <v>17</v>
      </c>
      <c r="I97" s="1" t="s">
        <v>12</v>
      </c>
      <c r="J97" s="1">
        <v>0</v>
      </c>
      <c r="K97" s="1" t="s">
        <v>12</v>
      </c>
      <c r="L97" s="1" t="s">
        <v>7</v>
      </c>
      <c r="M97" s="25"/>
      <c r="N97" s="25" t="str">
        <f>IFERROR(VLOOKUP(Tableau3[[#This Row],[Denomination Sociale]],Tableau7[],1,0),"")</f>
        <v/>
      </c>
      <c r="O97" s="25" t="str">
        <f>VLOOKUP(Tableau3[[#This Row],[Denomination Sociale]],Tableau6[],1,0)</f>
        <v>BINKHANTO BAITOULAYE</v>
      </c>
      <c r="P97" s="25" t="s">
        <v>911</v>
      </c>
      <c r="Q97" s="25" t="str">
        <f>VLOOKUP(Tableau3[[#This Row],[Denomination Sociale]],Tableau6[],1,1)</f>
        <v>BINKHANTO BAITOULAYE</v>
      </c>
      <c r="R97" s="25" t="s">
        <v>873</v>
      </c>
    </row>
    <row r="98" spans="1:24" x14ac:dyDescent="0.35">
      <c r="A98" s="24" t="s">
        <v>873</v>
      </c>
      <c r="B98" s="1" t="s">
        <v>911</v>
      </c>
      <c r="C98" s="1" t="s">
        <v>915</v>
      </c>
      <c r="D98" s="3" t="s">
        <v>913</v>
      </c>
      <c r="E98" s="3" t="s">
        <v>12</v>
      </c>
      <c r="F98" s="3" t="s">
        <v>12</v>
      </c>
      <c r="G98" s="1" t="s">
        <v>17</v>
      </c>
      <c r="H98" s="1" t="s">
        <v>17</v>
      </c>
      <c r="I98" s="1" t="s">
        <v>12</v>
      </c>
      <c r="J98" s="1">
        <v>0</v>
      </c>
      <c r="K98" s="1" t="s">
        <v>12</v>
      </c>
      <c r="L98" s="1" t="s">
        <v>7</v>
      </c>
      <c r="M98" s="25"/>
      <c r="N98" s="25" t="str">
        <f>IFERROR(VLOOKUP(Tableau3[[#This Row],[Denomination Sociale]],Tableau7[],1,0),"")</f>
        <v/>
      </c>
      <c r="O98" s="25" t="str">
        <f>VLOOKUP(Tableau3[[#This Row],[Denomination Sociale]],Tableau6[],1,0)</f>
        <v>BINKHANTO BAITOULAYE</v>
      </c>
      <c r="P98" s="25" t="s">
        <v>911</v>
      </c>
      <c r="Q98" s="25" t="str">
        <f>VLOOKUP(Tableau3[[#This Row],[Denomination Sociale]],Tableau6[],1,1)</f>
        <v>BINKHANTO BAITOULAYE</v>
      </c>
      <c r="R98" s="25" t="s">
        <v>873</v>
      </c>
    </row>
    <row r="99" spans="1:24" x14ac:dyDescent="0.35">
      <c r="A99" s="24" t="s">
        <v>8</v>
      </c>
      <c r="B99" s="1" t="s">
        <v>15312</v>
      </c>
      <c r="C99" s="1" t="s">
        <v>130</v>
      </c>
      <c r="D99" s="3" t="s">
        <v>131</v>
      </c>
      <c r="E99" s="3">
        <v>50</v>
      </c>
      <c r="F99" s="3">
        <v>50</v>
      </c>
      <c r="G99" s="1" t="s">
        <v>17</v>
      </c>
      <c r="H99" s="1" t="s">
        <v>17</v>
      </c>
      <c r="I99" s="1" t="s">
        <v>12</v>
      </c>
      <c r="J99" s="1">
        <v>0</v>
      </c>
      <c r="K99" s="1" t="s">
        <v>12</v>
      </c>
      <c r="L99" s="1" t="s">
        <v>7</v>
      </c>
      <c r="M99" s="25"/>
      <c r="N99" s="25" t="str">
        <f>IFERROR(VLOOKUP(Tableau3[[#This Row],[Denomination Sociale]],Tableau7[],1,0),"")</f>
        <v/>
      </c>
      <c r="O99" s="25" t="str">
        <f>VLOOKUP(Tableau3[[#This Row],[Denomination Sociale]],Tableau6[],1,0)</f>
        <v>BINOME</v>
      </c>
      <c r="P99" s="25" t="s">
        <v>15312</v>
      </c>
      <c r="Q99" s="25" t="str">
        <f>VLOOKUP(Tableau3[[#This Row],[Denomination Sociale]],Tableau6[],1,1)</f>
        <v>BINOME</v>
      </c>
      <c r="R99" s="25" t="s">
        <v>8</v>
      </c>
    </row>
    <row r="100" spans="1:24" x14ac:dyDescent="0.35">
      <c r="A100" s="24" t="s">
        <v>8</v>
      </c>
      <c r="B100" s="1" t="s">
        <v>15312</v>
      </c>
      <c r="C100" s="1" t="s">
        <v>132</v>
      </c>
      <c r="D100" s="3" t="s">
        <v>131</v>
      </c>
      <c r="E100" s="3">
        <v>50</v>
      </c>
      <c r="F100" s="3">
        <v>50</v>
      </c>
      <c r="G100" s="1" t="s">
        <v>17</v>
      </c>
      <c r="H100" s="1" t="s">
        <v>17</v>
      </c>
      <c r="I100" s="1" t="s">
        <v>12</v>
      </c>
      <c r="J100" s="1">
        <v>0</v>
      </c>
      <c r="K100" s="1" t="s">
        <v>12</v>
      </c>
      <c r="L100" s="1" t="s">
        <v>7</v>
      </c>
      <c r="M100" s="25"/>
      <c r="N100" s="25" t="str">
        <f>IFERROR(VLOOKUP(Tableau3[[#This Row],[Denomination Sociale]],Tableau7[],1,0),"")</f>
        <v/>
      </c>
      <c r="O100" s="25" t="str">
        <f>VLOOKUP(Tableau3[[#This Row],[Denomination Sociale]],Tableau6[],1,0)</f>
        <v>BINOME</v>
      </c>
      <c r="P100" s="25" t="s">
        <v>15312</v>
      </c>
      <c r="Q100" s="25" t="str">
        <f>VLOOKUP(Tableau3[[#This Row],[Denomination Sociale]],Tableau6[],1,1)</f>
        <v>BINOME</v>
      </c>
      <c r="R100" s="25" t="s">
        <v>8</v>
      </c>
    </row>
    <row r="101" spans="1:24" s="57" customFormat="1" x14ac:dyDescent="0.35">
      <c r="A101" s="53" t="s">
        <v>8</v>
      </c>
      <c r="B101" s="54" t="s">
        <v>126</v>
      </c>
      <c r="C101" s="54" t="s">
        <v>127</v>
      </c>
      <c r="D101" s="55" t="s">
        <v>128</v>
      </c>
      <c r="E101" s="55">
        <v>100</v>
      </c>
      <c r="F101" s="55">
        <v>100</v>
      </c>
      <c r="G101" s="54" t="s">
        <v>17</v>
      </c>
      <c r="H101" s="54" t="s">
        <v>17</v>
      </c>
      <c r="I101" s="54" t="s">
        <v>12</v>
      </c>
      <c r="J101" s="54">
        <v>0</v>
      </c>
      <c r="K101" s="54" t="s">
        <v>12</v>
      </c>
      <c r="L101" s="54" t="s">
        <v>7</v>
      </c>
      <c r="M101" s="25"/>
      <c r="N101" s="56" t="str">
        <f>IFERROR(VLOOKUP(Tableau3[[#This Row],[Denomination Sociale]],Tableau7[],1,0),"")</f>
        <v/>
      </c>
      <c r="O101" s="56" t="e">
        <f>VLOOKUP(Tableau3[[#This Row],[Denomination Sociale]],Tableau6[],1,0)</f>
        <v>#N/A</v>
      </c>
      <c r="P101" s="56"/>
      <c r="Q101" s="56" t="str">
        <f>VLOOKUP(Tableau3[[#This Row],[Denomination Sociale]],Tableau6[],1,1)</f>
        <v>BHAIRAVA AGRICOL</v>
      </c>
      <c r="R101" s="56" t="s">
        <v>8</v>
      </c>
      <c r="W101"/>
      <c r="X101"/>
    </row>
    <row r="102" spans="1:24" s="63" customFormat="1" x14ac:dyDescent="0.35">
      <c r="A102" s="59" t="s">
        <v>8</v>
      </c>
      <c r="B102" s="60" t="s">
        <v>2120</v>
      </c>
      <c r="C102" s="60" t="s">
        <v>134</v>
      </c>
      <c r="D102" s="61" t="s">
        <v>135</v>
      </c>
      <c r="E102" s="61">
        <v>100</v>
      </c>
      <c r="F102" s="61">
        <v>100</v>
      </c>
      <c r="G102" s="60" t="s">
        <v>17</v>
      </c>
      <c r="H102" s="60" t="s">
        <v>17</v>
      </c>
      <c r="I102" s="60" t="s">
        <v>12</v>
      </c>
      <c r="J102" s="60">
        <v>0</v>
      </c>
      <c r="K102" s="60" t="s">
        <v>12</v>
      </c>
      <c r="L102" s="60" t="s">
        <v>7</v>
      </c>
      <c r="M102" s="25"/>
      <c r="N102" s="62" t="str">
        <f>IFERROR(VLOOKUP(Tableau3[[#This Row],[Denomination Sociale]],Tableau7[],1,0),"")</f>
        <v>BIRIMA GOLD RESOURCES</v>
      </c>
      <c r="O102" s="62" t="str">
        <f>VLOOKUP(Tableau3[[#This Row],[Denomination Sociale]],Tableau6[],1,0)</f>
        <v>BIRIMA GOLD RESOURCES</v>
      </c>
      <c r="P102" s="62" t="s">
        <v>2120</v>
      </c>
      <c r="Q102" s="62" t="str">
        <f>VLOOKUP(Tableau3[[#This Row],[Denomination Sociale]],Tableau6[],1,1)</f>
        <v>BIRIMA GOLD RESOURCES</v>
      </c>
      <c r="R102" s="62" t="s">
        <v>8</v>
      </c>
      <c r="W102"/>
      <c r="X102"/>
    </row>
    <row r="103" spans="1:24" x14ac:dyDescent="0.35">
      <c r="A103" s="24" t="s">
        <v>8</v>
      </c>
      <c r="B103" s="1" t="s">
        <v>140</v>
      </c>
      <c r="C103" s="1" t="s">
        <v>141</v>
      </c>
      <c r="D103" s="3" t="s">
        <v>142</v>
      </c>
      <c r="E103" s="3">
        <v>20</v>
      </c>
      <c r="F103" s="3" t="s">
        <v>12</v>
      </c>
      <c r="G103" s="1" t="s">
        <v>17</v>
      </c>
      <c r="H103" s="1" t="s">
        <v>17</v>
      </c>
      <c r="I103" s="1" t="s">
        <v>12</v>
      </c>
      <c r="J103" s="1">
        <v>0</v>
      </c>
      <c r="K103" s="1" t="s">
        <v>12</v>
      </c>
      <c r="L103" s="1" t="s">
        <v>7</v>
      </c>
      <c r="M103" s="25"/>
      <c r="N103" s="25" t="str">
        <f>IFERROR(VLOOKUP(Tableau3[[#This Row],[Denomination Sociale]],Tableau7[],1,0),"")</f>
        <v/>
      </c>
      <c r="O103" s="25" t="str">
        <f>VLOOKUP(Tableau3[[#This Row],[Denomination Sociale]],Tableau6[],1,0)</f>
        <v>BOKAMINE</v>
      </c>
      <c r="P103" s="25" t="s">
        <v>140</v>
      </c>
      <c r="Q103" s="25" t="str">
        <f>VLOOKUP(Tableau3[[#This Row],[Denomination Sociale]],Tableau6[],1,1)</f>
        <v>BOKAMINE</v>
      </c>
      <c r="R103" s="25" t="s">
        <v>8</v>
      </c>
    </row>
    <row r="104" spans="1:24" x14ac:dyDescent="0.35">
      <c r="A104" s="24" t="s">
        <v>8</v>
      </c>
      <c r="B104" s="1" t="s">
        <v>140</v>
      </c>
      <c r="C104" s="1" t="s">
        <v>143</v>
      </c>
      <c r="D104" s="3" t="s">
        <v>142</v>
      </c>
      <c r="E104" s="3">
        <v>20</v>
      </c>
      <c r="F104" s="3" t="s">
        <v>12</v>
      </c>
      <c r="G104" s="1" t="s">
        <v>17</v>
      </c>
      <c r="H104" s="1" t="s">
        <v>17</v>
      </c>
      <c r="I104" s="1" t="s">
        <v>12</v>
      </c>
      <c r="J104" s="1">
        <v>0</v>
      </c>
      <c r="K104" s="1" t="s">
        <v>12</v>
      </c>
      <c r="L104" s="1" t="s">
        <v>7</v>
      </c>
      <c r="M104" s="25"/>
      <c r="N104" s="25" t="str">
        <f>IFERROR(VLOOKUP(Tableau3[[#This Row],[Denomination Sociale]],Tableau7[],1,0),"")</f>
        <v/>
      </c>
      <c r="O104" s="25" t="str">
        <f>VLOOKUP(Tableau3[[#This Row],[Denomination Sociale]],Tableau6[],1,0)</f>
        <v>BOKAMINE</v>
      </c>
      <c r="P104" s="25" t="s">
        <v>140</v>
      </c>
      <c r="Q104" s="25" t="str">
        <f>VLOOKUP(Tableau3[[#This Row],[Denomination Sociale]],Tableau6[],1,1)</f>
        <v>BOKAMINE</v>
      </c>
      <c r="R104" s="25" t="s">
        <v>8</v>
      </c>
    </row>
    <row r="105" spans="1:24" x14ac:dyDescent="0.35">
      <c r="A105" s="24" t="s">
        <v>8</v>
      </c>
      <c r="B105" s="1" t="s">
        <v>140</v>
      </c>
      <c r="C105" s="1" t="s">
        <v>144</v>
      </c>
      <c r="D105" s="3" t="s">
        <v>142</v>
      </c>
      <c r="E105" s="3">
        <v>20</v>
      </c>
      <c r="F105" s="3" t="s">
        <v>12</v>
      </c>
      <c r="G105" s="1" t="s">
        <v>17</v>
      </c>
      <c r="H105" s="1" t="s">
        <v>17</v>
      </c>
      <c r="I105" s="1" t="s">
        <v>12</v>
      </c>
      <c r="J105" s="1">
        <v>0</v>
      </c>
      <c r="K105" s="1" t="s">
        <v>12</v>
      </c>
      <c r="L105" s="1" t="s">
        <v>7</v>
      </c>
      <c r="M105" s="25"/>
      <c r="N105" s="25" t="str">
        <f>IFERROR(VLOOKUP(Tableau3[[#This Row],[Denomination Sociale]],Tableau7[],1,0),"")</f>
        <v/>
      </c>
      <c r="O105" s="25" t="str">
        <f>VLOOKUP(Tableau3[[#This Row],[Denomination Sociale]],Tableau6[],1,0)</f>
        <v>BOKAMINE</v>
      </c>
      <c r="P105" s="25" t="s">
        <v>140</v>
      </c>
      <c r="Q105" s="25" t="str">
        <f>VLOOKUP(Tableau3[[#This Row],[Denomination Sociale]],Tableau6[],1,1)</f>
        <v>BOKAMINE</v>
      </c>
      <c r="R105" s="25" t="s">
        <v>8</v>
      </c>
    </row>
    <row r="106" spans="1:24" s="57" customFormat="1" x14ac:dyDescent="0.35">
      <c r="A106" s="53" t="s">
        <v>8</v>
      </c>
      <c r="B106" s="54" t="s">
        <v>136</v>
      </c>
      <c r="C106" s="54" t="s">
        <v>137</v>
      </c>
      <c r="D106" s="55" t="s">
        <v>138</v>
      </c>
      <c r="E106" s="55" t="s">
        <v>12</v>
      </c>
      <c r="F106" s="55" t="s">
        <v>12</v>
      </c>
      <c r="G106" s="54" t="s">
        <v>139</v>
      </c>
      <c r="H106" s="54" t="s">
        <v>139</v>
      </c>
      <c r="I106" s="54" t="s">
        <v>12</v>
      </c>
      <c r="J106" s="54">
        <v>0</v>
      </c>
      <c r="K106" s="54" t="s">
        <v>12</v>
      </c>
      <c r="L106" s="54" t="s">
        <v>7</v>
      </c>
      <c r="M106" s="25"/>
      <c r="N106" s="56" t="str">
        <f>IFERROR(VLOOKUP(Tableau3[[#This Row],[Denomination Sociale]],Tableau7[],1,0),"")</f>
        <v/>
      </c>
      <c r="O106" s="56" t="e">
        <f>VLOOKUP(Tableau3[[#This Row],[Denomination Sociale]],Tableau6[],1,0)</f>
        <v>#N/A</v>
      </c>
      <c r="P106" s="56"/>
      <c r="Q106" s="56" t="str">
        <f>VLOOKUP(Tableau3[[#This Row],[Denomination Sociale]],Tableau6[],1,1)</f>
        <v>BLACK ROCK MINING</v>
      </c>
      <c r="R106" s="56" t="s">
        <v>8</v>
      </c>
      <c r="W106"/>
      <c r="X106"/>
    </row>
    <row r="107" spans="1:24" s="57" customFormat="1" x14ac:dyDescent="0.35">
      <c r="A107" s="53" t="s">
        <v>8</v>
      </c>
      <c r="B107" s="54" t="s">
        <v>145</v>
      </c>
      <c r="C107" s="54" t="s">
        <v>146</v>
      </c>
      <c r="D107" s="55" t="s">
        <v>147</v>
      </c>
      <c r="E107" s="55">
        <v>100</v>
      </c>
      <c r="F107" s="55">
        <v>100</v>
      </c>
      <c r="G107" s="54" t="s">
        <v>17</v>
      </c>
      <c r="H107" s="54" t="s">
        <v>17</v>
      </c>
      <c r="I107" s="54" t="s">
        <v>12</v>
      </c>
      <c r="J107" s="54">
        <v>0</v>
      </c>
      <c r="K107" s="54" t="s">
        <v>12</v>
      </c>
      <c r="L107" s="54" t="s">
        <v>7</v>
      </c>
      <c r="M107" s="25"/>
      <c r="N107" s="56" t="str">
        <f>IFERROR(VLOOKUP(Tableau3[[#This Row],[Denomination Sociale]],Tableau7[],1,0),"")</f>
        <v/>
      </c>
      <c r="O107" s="56" t="e">
        <f>VLOOKUP(Tableau3[[#This Row],[Denomination Sociale]],Tableau6[],1,0)</f>
        <v>#N/A</v>
      </c>
      <c r="P107" s="56"/>
      <c r="Q107" s="56" t="str">
        <f>VLOOKUP(Tableau3[[#This Row],[Denomination Sociale]],Tableau6[],1,1)</f>
        <v>BOLIMBA MULTI SERVICES</v>
      </c>
      <c r="R107" s="56" t="s">
        <v>8</v>
      </c>
      <c r="W107"/>
      <c r="X107"/>
    </row>
    <row r="108" spans="1:24" x14ac:dyDescent="0.35">
      <c r="A108" s="24" t="s">
        <v>980</v>
      </c>
      <c r="B108" s="1" t="s">
        <v>1231</v>
      </c>
      <c r="C108" s="1" t="s">
        <v>1011</v>
      </c>
      <c r="D108" s="3" t="s">
        <v>1012</v>
      </c>
      <c r="E108" s="3">
        <v>80</v>
      </c>
      <c r="F108" s="3">
        <v>80</v>
      </c>
      <c r="G108" s="1" t="s">
        <v>17</v>
      </c>
      <c r="H108" s="1" t="s">
        <v>17</v>
      </c>
      <c r="I108" s="1" t="s">
        <v>12</v>
      </c>
      <c r="J108" s="1">
        <v>0</v>
      </c>
      <c r="K108" s="1" t="s">
        <v>12</v>
      </c>
      <c r="L108" s="1" t="s">
        <v>7</v>
      </c>
      <c r="M108" s="25"/>
      <c r="N108" s="25" t="str">
        <f>IFERROR(VLOOKUP(Tableau3[[#This Row],[Denomination Sociale]],Tableau7[],1,0),"")</f>
        <v/>
      </c>
      <c r="O108" s="25" t="str">
        <f>VLOOKUP(Tableau3[[#This Row],[Denomination Sociale]],Tableau6[],1,0)</f>
        <v>BOOK JOM ANDE LIGUEY MECKHE</v>
      </c>
      <c r="P108" s="25" t="s">
        <v>1231</v>
      </c>
      <c r="Q108" s="25" t="str">
        <f>VLOOKUP(Tableau3[[#This Row],[Denomination Sociale]],Tableau6[],1,1)</f>
        <v>BOOK JOM ANDE LIGUEY MECKHE</v>
      </c>
      <c r="R108" s="25" t="s">
        <v>980</v>
      </c>
    </row>
    <row r="109" spans="1:24" x14ac:dyDescent="0.35">
      <c r="A109" s="24" t="s">
        <v>8</v>
      </c>
      <c r="B109" s="1" t="s">
        <v>148</v>
      </c>
      <c r="C109" s="1" t="s">
        <v>149</v>
      </c>
      <c r="D109" s="3" t="s">
        <v>150</v>
      </c>
      <c r="E109" s="3" t="s">
        <v>12</v>
      </c>
      <c r="F109" s="3" t="s">
        <v>12</v>
      </c>
      <c r="G109" s="1" t="s">
        <v>151</v>
      </c>
      <c r="H109" s="1" t="s">
        <v>151</v>
      </c>
      <c r="I109" s="1" t="s">
        <v>12</v>
      </c>
      <c r="J109" s="1">
        <v>0</v>
      </c>
      <c r="K109" s="1" t="s">
        <v>12</v>
      </c>
      <c r="L109" s="1" t="s">
        <v>7</v>
      </c>
      <c r="M109" s="25"/>
      <c r="N109" s="25" t="str">
        <f>IFERROR(VLOOKUP(Tableau3[[#This Row],[Denomination Sociale]],Tableau7[],1,0),"")</f>
        <v/>
      </c>
      <c r="O109" s="25" t="str">
        <f>VLOOKUP(Tableau3[[#This Row],[Denomination Sociale]],Tableau6[],1,0)</f>
        <v>BOYA</v>
      </c>
      <c r="P109" s="25" t="s">
        <v>148</v>
      </c>
      <c r="Q109" s="25" t="str">
        <f>VLOOKUP(Tableau3[[#This Row],[Denomination Sociale]],Tableau6[],1,1)</f>
        <v>BOYA</v>
      </c>
      <c r="R109" s="25" t="s">
        <v>8</v>
      </c>
    </row>
    <row r="110" spans="1:24" x14ac:dyDescent="0.35">
      <c r="A110" s="24" t="s">
        <v>980</v>
      </c>
      <c r="B110" s="1" t="s">
        <v>1231</v>
      </c>
      <c r="C110" s="1" t="s">
        <v>1013</v>
      </c>
      <c r="D110" s="3" t="s">
        <v>1012</v>
      </c>
      <c r="E110" s="3">
        <v>20</v>
      </c>
      <c r="F110" s="3">
        <v>20</v>
      </c>
      <c r="G110" s="1" t="s">
        <v>17</v>
      </c>
      <c r="H110" s="1" t="s">
        <v>17</v>
      </c>
      <c r="I110" s="1" t="s">
        <v>12</v>
      </c>
      <c r="J110" s="1">
        <v>0</v>
      </c>
      <c r="K110" s="1" t="s">
        <v>12</v>
      </c>
      <c r="L110" s="1" t="s">
        <v>7</v>
      </c>
      <c r="M110" s="25"/>
      <c r="N110" s="25" t="str">
        <f>IFERROR(VLOOKUP(Tableau3[[#This Row],[Denomination Sociale]],Tableau7[],1,0),"")</f>
        <v/>
      </c>
      <c r="O110" s="25" t="str">
        <f>VLOOKUP(Tableau3[[#This Row],[Denomination Sociale]],Tableau6[],1,0)</f>
        <v>BOOK JOM ANDE LIGUEY MECKHE</v>
      </c>
      <c r="P110" s="25" t="s">
        <v>1231</v>
      </c>
      <c r="Q110" s="25" t="str">
        <f>VLOOKUP(Tableau3[[#This Row],[Denomination Sociale]],Tableau6[],1,1)</f>
        <v>BOOK JOM ANDE LIGUEY MECKHE</v>
      </c>
      <c r="R110" s="25" t="s">
        <v>980</v>
      </c>
    </row>
    <row r="111" spans="1:24" s="57" customFormat="1" x14ac:dyDescent="0.35">
      <c r="A111" s="53" t="s">
        <v>8</v>
      </c>
      <c r="B111" s="54" t="s">
        <v>152</v>
      </c>
      <c r="C111" s="54" t="s">
        <v>153</v>
      </c>
      <c r="D111" s="55" t="s">
        <v>154</v>
      </c>
      <c r="E111" s="55" t="s">
        <v>12</v>
      </c>
      <c r="F111" s="55" t="s">
        <v>12</v>
      </c>
      <c r="G111" s="54" t="s">
        <v>17</v>
      </c>
      <c r="H111" s="54" t="s">
        <v>17</v>
      </c>
      <c r="I111" s="54" t="s">
        <v>12</v>
      </c>
      <c r="J111" s="54">
        <v>0</v>
      </c>
      <c r="K111" s="54" t="s">
        <v>12</v>
      </c>
      <c r="L111" s="54" t="s">
        <v>7</v>
      </c>
      <c r="M111" s="25"/>
      <c r="N111" s="56" t="str">
        <f>IFERROR(VLOOKUP(Tableau3[[#This Row],[Denomination Sociale]],Tableau7[],1,0),"")</f>
        <v/>
      </c>
      <c r="O111" s="56" t="e">
        <f>VLOOKUP(Tableau3[[#This Row],[Denomination Sociale]],Tableau6[],1,0)</f>
        <v>#N/A</v>
      </c>
      <c r="P111" s="56"/>
      <c r="Q111" s="56" t="str">
        <f>VLOOKUP(Tableau3[[#This Row],[Denomination Sociale]],Tableau6[],1,1)</f>
        <v>BOYA</v>
      </c>
      <c r="R111" s="56" t="s">
        <v>8</v>
      </c>
      <c r="W111"/>
      <c r="X111"/>
    </row>
    <row r="112" spans="1:24" s="57" customFormat="1" x14ac:dyDescent="0.35">
      <c r="A112" s="53" t="s">
        <v>8</v>
      </c>
      <c r="B112" s="54" t="s">
        <v>155</v>
      </c>
      <c r="C112" s="54" t="s">
        <v>156</v>
      </c>
      <c r="D112" s="55" t="s">
        <v>157</v>
      </c>
      <c r="E112" s="55">
        <v>33</v>
      </c>
      <c r="F112" s="55">
        <v>33</v>
      </c>
      <c r="G112" s="54" t="s">
        <v>17</v>
      </c>
      <c r="H112" s="54" t="s">
        <v>17</v>
      </c>
      <c r="I112" s="54" t="s">
        <v>12</v>
      </c>
      <c r="J112" s="54">
        <v>0</v>
      </c>
      <c r="K112" s="54" t="s">
        <v>12</v>
      </c>
      <c r="L112" s="54" t="s">
        <v>7</v>
      </c>
      <c r="M112" s="25"/>
      <c r="N112" s="56" t="str">
        <f>IFERROR(VLOOKUP(Tableau3[[#This Row],[Denomination Sociale]],Tableau7[],1,0),"")</f>
        <v/>
      </c>
      <c r="O112" s="56" t="e">
        <f>VLOOKUP(Tableau3[[#This Row],[Denomination Sociale]],Tableau6[],1,0)</f>
        <v>#N/A</v>
      </c>
      <c r="P112" s="56"/>
      <c r="Q112" s="56" t="str">
        <f>VLOOKUP(Tableau3[[#This Row],[Denomination Sociale]],Tableau6[],1,1)</f>
        <v>CAMISEN</v>
      </c>
      <c r="R112" s="56" t="s">
        <v>8</v>
      </c>
      <c r="W112"/>
      <c r="X112"/>
    </row>
    <row r="113" spans="1:24" s="57" customFormat="1" x14ac:dyDescent="0.35">
      <c r="A113" s="53" t="s">
        <v>8</v>
      </c>
      <c r="B113" s="54" t="s">
        <v>155</v>
      </c>
      <c r="C113" s="54" t="s">
        <v>158</v>
      </c>
      <c r="D113" s="55" t="s">
        <v>157</v>
      </c>
      <c r="E113" s="55">
        <v>33</v>
      </c>
      <c r="F113" s="55">
        <v>33</v>
      </c>
      <c r="G113" s="54" t="s">
        <v>17</v>
      </c>
      <c r="H113" s="54" t="s">
        <v>17</v>
      </c>
      <c r="I113" s="54" t="s">
        <v>12</v>
      </c>
      <c r="J113" s="54">
        <v>0</v>
      </c>
      <c r="K113" s="54" t="s">
        <v>12</v>
      </c>
      <c r="L113" s="54" t="s">
        <v>7</v>
      </c>
      <c r="M113" s="25"/>
      <c r="N113" s="56" t="str">
        <f>IFERROR(VLOOKUP(Tableau3[[#This Row],[Denomination Sociale]],Tableau7[],1,0),"")</f>
        <v/>
      </c>
      <c r="O113" s="56" t="e">
        <f>VLOOKUP(Tableau3[[#This Row],[Denomination Sociale]],Tableau6[],1,0)</f>
        <v>#N/A</v>
      </c>
      <c r="P113" s="56"/>
      <c r="Q113" s="56" t="str">
        <f>VLOOKUP(Tableau3[[#This Row],[Denomination Sociale]],Tableau6[],1,1)</f>
        <v>CAMISEN</v>
      </c>
      <c r="R113" s="56" t="s">
        <v>8</v>
      </c>
      <c r="W113"/>
      <c r="X113"/>
    </row>
    <row r="114" spans="1:24" s="57" customFormat="1" x14ac:dyDescent="0.35">
      <c r="A114" s="53" t="s">
        <v>8</v>
      </c>
      <c r="B114" s="54" t="s">
        <v>155</v>
      </c>
      <c r="C114" s="54" t="s">
        <v>159</v>
      </c>
      <c r="D114" s="55" t="s">
        <v>157</v>
      </c>
      <c r="E114" s="55">
        <v>34</v>
      </c>
      <c r="F114" s="55">
        <v>34</v>
      </c>
      <c r="G114" s="54" t="s">
        <v>160</v>
      </c>
      <c r="H114" s="54" t="s">
        <v>160</v>
      </c>
      <c r="I114" s="54" t="s">
        <v>12</v>
      </c>
      <c r="J114" s="54">
        <v>0</v>
      </c>
      <c r="K114" s="54" t="s">
        <v>12</v>
      </c>
      <c r="L114" s="54" t="s">
        <v>7</v>
      </c>
      <c r="M114" s="25"/>
      <c r="N114" s="56" t="str">
        <f>IFERROR(VLOOKUP(Tableau3[[#This Row],[Denomination Sociale]],Tableau7[],1,0),"")</f>
        <v/>
      </c>
      <c r="O114" s="56" t="e">
        <f>VLOOKUP(Tableau3[[#This Row],[Denomination Sociale]],Tableau6[],1,0)</f>
        <v>#N/A</v>
      </c>
      <c r="P114" s="56"/>
      <c r="Q114" s="56" t="str">
        <f>VLOOKUP(Tableau3[[#This Row],[Denomination Sociale]],Tableau6[],1,1)</f>
        <v>CAMISEN</v>
      </c>
      <c r="R114" s="56" t="s">
        <v>8</v>
      </c>
      <c r="W114"/>
      <c r="X114"/>
    </row>
    <row r="115" spans="1:24" s="57" customFormat="1" x14ac:dyDescent="0.35">
      <c r="A115" s="53" t="s">
        <v>980</v>
      </c>
      <c r="B115" s="54" t="s">
        <v>1241</v>
      </c>
      <c r="C115" s="54" t="s">
        <v>981</v>
      </c>
      <c r="D115" s="55" t="s">
        <v>982</v>
      </c>
      <c r="E115" s="55" t="s">
        <v>983</v>
      </c>
      <c r="F115" s="55" t="s">
        <v>983</v>
      </c>
      <c r="G115" s="54" t="s">
        <v>17</v>
      </c>
      <c r="H115" s="54" t="s">
        <v>17</v>
      </c>
      <c r="I115" s="54" t="s">
        <v>12</v>
      </c>
      <c r="J115" s="54">
        <v>0</v>
      </c>
      <c r="K115" s="54" t="s">
        <v>12</v>
      </c>
      <c r="L115" s="54" t="s">
        <v>7</v>
      </c>
      <c r="M115" s="25"/>
      <c r="N115" s="56" t="str">
        <f>IFERROR(VLOOKUP(Tableau3[[#This Row],[Denomination Sociale]],Tableau7[],1,0),"")</f>
        <v/>
      </c>
      <c r="O115" s="56" t="e">
        <f>VLOOKUP(Tableau3[[#This Row],[Denomination Sociale]],Tableau6[],1,0)</f>
        <v>#N/A</v>
      </c>
      <c r="P115" s="56"/>
      <c r="Q115" s="56" t="str">
        <f>VLOOKUP(Tableau3[[#This Row],[Denomination Sociale]],Tableau6[],1,1)</f>
        <v>CANGAY MINES</v>
      </c>
      <c r="R115" s="56" t="s">
        <v>980</v>
      </c>
      <c r="W115"/>
      <c r="X115"/>
    </row>
    <row r="116" spans="1:24" s="57" customFormat="1" x14ac:dyDescent="0.35">
      <c r="A116" s="53" t="s">
        <v>980</v>
      </c>
      <c r="B116" s="54" t="s">
        <v>1241</v>
      </c>
      <c r="C116" s="54" t="s">
        <v>984</v>
      </c>
      <c r="D116" s="55" t="s">
        <v>982</v>
      </c>
      <c r="E116" s="55">
        <v>15</v>
      </c>
      <c r="F116" s="55">
        <v>15</v>
      </c>
      <c r="G116" s="54" t="s">
        <v>59</v>
      </c>
      <c r="H116" s="54" t="s">
        <v>59</v>
      </c>
      <c r="I116" s="54" t="s">
        <v>12</v>
      </c>
      <c r="J116" s="54">
        <v>0</v>
      </c>
      <c r="K116" s="54" t="s">
        <v>12</v>
      </c>
      <c r="L116" s="54" t="s">
        <v>7</v>
      </c>
      <c r="M116" s="25"/>
      <c r="N116" s="56" t="str">
        <f>IFERROR(VLOOKUP(Tableau3[[#This Row],[Denomination Sociale]],Tableau7[],1,0),"")</f>
        <v/>
      </c>
      <c r="O116" s="56" t="e">
        <f>VLOOKUP(Tableau3[[#This Row],[Denomination Sociale]],Tableau6[],1,0)</f>
        <v>#N/A</v>
      </c>
      <c r="P116" s="56"/>
      <c r="Q116" s="56" t="str">
        <f>VLOOKUP(Tableau3[[#This Row],[Denomination Sociale]],Tableau6[],1,1)</f>
        <v>CANGAY MINES</v>
      </c>
      <c r="R116" s="56" t="s">
        <v>980</v>
      </c>
      <c r="W116"/>
      <c r="X116"/>
    </row>
    <row r="117" spans="1:24" s="57" customFormat="1" x14ac:dyDescent="0.35">
      <c r="A117" s="53" t="s">
        <v>980</v>
      </c>
      <c r="B117" s="54" t="s">
        <v>1241</v>
      </c>
      <c r="C117" s="54" t="s">
        <v>985</v>
      </c>
      <c r="D117" s="55" t="s">
        <v>982</v>
      </c>
      <c r="E117" s="55">
        <v>10</v>
      </c>
      <c r="F117" s="55">
        <v>10</v>
      </c>
      <c r="G117" s="54" t="s">
        <v>17</v>
      </c>
      <c r="H117" s="54" t="s">
        <v>17</v>
      </c>
      <c r="I117" s="54" t="s">
        <v>12</v>
      </c>
      <c r="J117" s="54">
        <v>0</v>
      </c>
      <c r="K117" s="54" t="s">
        <v>12</v>
      </c>
      <c r="L117" s="54" t="s">
        <v>7</v>
      </c>
      <c r="M117" s="25"/>
      <c r="N117" s="56" t="str">
        <f>IFERROR(VLOOKUP(Tableau3[[#This Row],[Denomination Sociale]],Tableau7[],1,0),"")</f>
        <v/>
      </c>
      <c r="O117" s="56" t="e">
        <f>VLOOKUP(Tableau3[[#This Row],[Denomination Sociale]],Tableau6[],1,0)</f>
        <v>#N/A</v>
      </c>
      <c r="P117" s="56"/>
      <c r="Q117" s="56" t="str">
        <f>VLOOKUP(Tableau3[[#This Row],[Denomination Sociale]],Tableau6[],1,1)</f>
        <v>CANGAY MINES</v>
      </c>
      <c r="R117" s="56" t="s">
        <v>980</v>
      </c>
      <c r="W117"/>
      <c r="X117"/>
    </row>
    <row r="118" spans="1:24" s="57" customFormat="1" x14ac:dyDescent="0.35">
      <c r="A118" s="53" t="s">
        <v>980</v>
      </c>
      <c r="B118" s="54" t="s">
        <v>1241</v>
      </c>
      <c r="C118" s="54" t="s">
        <v>986</v>
      </c>
      <c r="D118" s="55" t="s">
        <v>982</v>
      </c>
      <c r="E118" s="55">
        <v>15</v>
      </c>
      <c r="F118" s="55">
        <v>15</v>
      </c>
      <c r="G118" s="54" t="s">
        <v>59</v>
      </c>
      <c r="H118" s="54" t="s">
        <v>59</v>
      </c>
      <c r="I118" s="54" t="s">
        <v>12</v>
      </c>
      <c r="J118" s="54">
        <v>0</v>
      </c>
      <c r="K118" s="54" t="s">
        <v>12</v>
      </c>
      <c r="L118" s="54" t="s">
        <v>7</v>
      </c>
      <c r="M118" s="25"/>
      <c r="N118" s="56" t="str">
        <f>IFERROR(VLOOKUP(Tableau3[[#This Row],[Denomination Sociale]],Tableau7[],1,0),"")</f>
        <v/>
      </c>
      <c r="O118" s="56" t="e">
        <f>VLOOKUP(Tableau3[[#This Row],[Denomination Sociale]],Tableau6[],1,0)</f>
        <v>#N/A</v>
      </c>
      <c r="P118" s="56"/>
      <c r="Q118" s="56" t="str">
        <f>VLOOKUP(Tableau3[[#This Row],[Denomination Sociale]],Tableau6[],1,1)</f>
        <v>CANGAY MINES</v>
      </c>
      <c r="R118" s="56" t="s">
        <v>980</v>
      </c>
      <c r="W118"/>
      <c r="X118"/>
    </row>
    <row r="119" spans="1:24" s="57" customFormat="1" x14ac:dyDescent="0.35">
      <c r="A119" s="53" t="s">
        <v>980</v>
      </c>
      <c r="B119" s="54" t="s">
        <v>1241</v>
      </c>
      <c r="C119" s="54" t="s">
        <v>987</v>
      </c>
      <c r="D119" s="55" t="s">
        <v>982</v>
      </c>
      <c r="E119" s="55">
        <v>15</v>
      </c>
      <c r="F119" s="55">
        <v>15</v>
      </c>
      <c r="G119" s="54" t="s">
        <v>59</v>
      </c>
      <c r="H119" s="54" t="s">
        <v>59</v>
      </c>
      <c r="I119" s="54" t="s">
        <v>12</v>
      </c>
      <c r="J119" s="54">
        <v>0</v>
      </c>
      <c r="K119" s="54" t="s">
        <v>12</v>
      </c>
      <c r="L119" s="54" t="s">
        <v>7</v>
      </c>
      <c r="M119" s="25"/>
      <c r="N119" s="56" t="str">
        <f>IFERROR(VLOOKUP(Tableau3[[#This Row],[Denomination Sociale]],Tableau7[],1,0),"")</f>
        <v/>
      </c>
      <c r="O119" s="56" t="e">
        <f>VLOOKUP(Tableau3[[#This Row],[Denomination Sociale]],Tableau6[],1,0)</f>
        <v>#N/A</v>
      </c>
      <c r="P119" s="56"/>
      <c r="Q119" s="56" t="str">
        <f>VLOOKUP(Tableau3[[#This Row],[Denomination Sociale]],Tableau6[],1,1)</f>
        <v>CANGAY MINES</v>
      </c>
      <c r="R119" s="56" t="s">
        <v>980</v>
      </c>
      <c r="W119"/>
      <c r="X119"/>
    </row>
    <row r="120" spans="1:24" x14ac:dyDescent="0.35">
      <c r="A120" s="24" t="s">
        <v>8</v>
      </c>
      <c r="B120" s="1" t="s">
        <v>15321</v>
      </c>
      <c r="C120" s="1" t="s">
        <v>162</v>
      </c>
      <c r="D120" s="3" t="s">
        <v>163</v>
      </c>
      <c r="E120" s="3">
        <v>30</v>
      </c>
      <c r="F120" s="3" t="s">
        <v>12</v>
      </c>
      <c r="G120" s="1" t="s">
        <v>17</v>
      </c>
      <c r="H120" s="1" t="s">
        <v>17</v>
      </c>
      <c r="I120" s="1" t="s">
        <v>12</v>
      </c>
      <c r="J120" s="1">
        <v>0</v>
      </c>
      <c r="K120" s="1" t="s">
        <v>12</v>
      </c>
      <c r="L120" s="1" t="s">
        <v>7</v>
      </c>
      <c r="M120" s="25"/>
      <c r="N120" s="25" t="str">
        <f>IFERROR(VLOOKUP(Tableau3[[#This Row],[Denomination Sociale]],Tableau7[],1,0),"")</f>
        <v/>
      </c>
      <c r="O120" s="25" t="str">
        <f>VLOOKUP(Tableau3[[#This Row],[Denomination Sociale]],Tableau6[],1,0)</f>
        <v>CARRISEN</v>
      </c>
      <c r="P120" s="25" t="s">
        <v>15321</v>
      </c>
      <c r="Q120" s="25" t="str">
        <f>VLOOKUP(Tableau3[[#This Row],[Denomination Sociale]],Tableau6[],1,1)</f>
        <v>CARRISEN</v>
      </c>
      <c r="R120" s="25" t="s">
        <v>8</v>
      </c>
    </row>
    <row r="121" spans="1:24" x14ac:dyDescent="0.35">
      <c r="A121" s="24" t="s">
        <v>8</v>
      </c>
      <c r="B121" s="1" t="s">
        <v>15321</v>
      </c>
      <c r="C121" s="1" t="s">
        <v>164</v>
      </c>
      <c r="D121" s="3" t="s">
        <v>163</v>
      </c>
      <c r="E121" s="3">
        <v>70</v>
      </c>
      <c r="F121" s="3" t="s">
        <v>12</v>
      </c>
      <c r="G121" s="1" t="s">
        <v>17</v>
      </c>
      <c r="H121" s="1" t="s">
        <v>17</v>
      </c>
      <c r="I121" s="1" t="s">
        <v>12</v>
      </c>
      <c r="J121" s="1">
        <v>0</v>
      </c>
      <c r="K121" s="1" t="s">
        <v>12</v>
      </c>
      <c r="L121" s="1" t="s">
        <v>7</v>
      </c>
      <c r="M121" s="25"/>
      <c r="N121" s="25" t="str">
        <f>IFERROR(VLOOKUP(Tableau3[[#This Row],[Denomination Sociale]],Tableau7[],1,0),"")</f>
        <v/>
      </c>
      <c r="O121" s="25" t="str">
        <f>VLOOKUP(Tableau3[[#This Row],[Denomination Sociale]],Tableau6[],1,0)</f>
        <v>CARRISEN</v>
      </c>
      <c r="P121" s="25" t="s">
        <v>15321</v>
      </c>
      <c r="Q121" s="25" t="str">
        <f>VLOOKUP(Tableau3[[#This Row],[Denomination Sociale]],Tableau6[],1,1)</f>
        <v>CARRISEN</v>
      </c>
      <c r="R121" s="25" t="s">
        <v>8</v>
      </c>
    </row>
    <row r="122" spans="1:24" s="57" customFormat="1" x14ac:dyDescent="0.35">
      <c r="A122" s="53" t="s">
        <v>980</v>
      </c>
      <c r="B122" s="54" t="s">
        <v>1241</v>
      </c>
      <c r="C122" s="54" t="s">
        <v>988</v>
      </c>
      <c r="D122" s="55" t="s">
        <v>982</v>
      </c>
      <c r="E122" s="55" t="s">
        <v>983</v>
      </c>
      <c r="F122" s="55" t="s">
        <v>983</v>
      </c>
      <c r="G122" s="54" t="s">
        <v>17</v>
      </c>
      <c r="H122" s="54" t="s">
        <v>17</v>
      </c>
      <c r="I122" s="54" t="s">
        <v>12</v>
      </c>
      <c r="J122" s="54">
        <v>0</v>
      </c>
      <c r="K122" s="54" t="s">
        <v>12</v>
      </c>
      <c r="L122" s="54" t="s">
        <v>7</v>
      </c>
      <c r="M122" s="25"/>
      <c r="N122" s="56" t="str">
        <f>IFERROR(VLOOKUP(Tableau3[[#This Row],[Denomination Sociale]],Tableau7[],1,0),"")</f>
        <v/>
      </c>
      <c r="O122" s="56" t="e">
        <f>VLOOKUP(Tableau3[[#This Row],[Denomination Sociale]],Tableau6[],1,0)</f>
        <v>#N/A</v>
      </c>
      <c r="P122" s="56"/>
      <c r="Q122" s="56" t="str">
        <f>VLOOKUP(Tableau3[[#This Row],[Denomination Sociale]],Tableau6[],1,1)</f>
        <v>CANGAY MINES</v>
      </c>
      <c r="R122" s="56" t="s">
        <v>980</v>
      </c>
      <c r="W122"/>
      <c r="X122"/>
    </row>
    <row r="123" spans="1:24" x14ac:dyDescent="0.35">
      <c r="A123" s="24" t="s">
        <v>980</v>
      </c>
      <c r="B123" s="1" t="s">
        <v>15083</v>
      </c>
      <c r="C123" s="1" t="s">
        <v>1046</v>
      </c>
      <c r="D123" s="3" t="s">
        <v>1047</v>
      </c>
      <c r="E123" s="3">
        <v>95</v>
      </c>
      <c r="F123" s="3">
        <v>95</v>
      </c>
      <c r="G123" s="1" t="s">
        <v>17</v>
      </c>
      <c r="H123" s="1" t="s">
        <v>17</v>
      </c>
      <c r="I123" s="1" t="s">
        <v>12</v>
      </c>
      <c r="J123" s="1">
        <v>0</v>
      </c>
      <c r="K123" s="1" t="s">
        <v>12</v>
      </c>
      <c r="L123" s="1" t="s">
        <v>7</v>
      </c>
      <c r="M123" s="25"/>
      <c r="N123" s="25" t="str">
        <f>IFERROR(VLOOKUP(Tableau3[[#This Row],[Denomination Sociale]],Tableau7[],1,0),"")</f>
        <v/>
      </c>
      <c r="O123" s="25" t="e">
        <f>VLOOKUP(Tableau3[[#This Row],[Denomination Sociale]],Tableau6[],1,0)</f>
        <v>#N/A</v>
      </c>
      <c r="P123" s="25"/>
      <c r="Q123" s="25" t="str">
        <f>VLOOKUP(Tableau3[[#This Row],[Denomination Sociale]],Tableau6[],1,1)</f>
        <v>CANGAY MINES</v>
      </c>
      <c r="R123" s="25" t="s">
        <v>980</v>
      </c>
    </row>
    <row r="124" spans="1:24" x14ac:dyDescent="0.35">
      <c r="A124" s="24" t="s">
        <v>8</v>
      </c>
      <c r="B124" s="1" t="s">
        <v>170</v>
      </c>
      <c r="C124" s="1" t="s">
        <v>171</v>
      </c>
      <c r="D124" s="3" t="s">
        <v>172</v>
      </c>
      <c r="E124" s="3">
        <v>10</v>
      </c>
      <c r="F124" s="3">
        <v>10</v>
      </c>
      <c r="G124" s="1" t="s">
        <v>17</v>
      </c>
      <c r="H124" s="1" t="s">
        <v>17</v>
      </c>
      <c r="I124" s="1" t="s">
        <v>12</v>
      </c>
      <c r="J124" s="1">
        <v>0</v>
      </c>
      <c r="K124" s="1" t="s">
        <v>12</v>
      </c>
      <c r="L124" s="1" t="s">
        <v>7</v>
      </c>
      <c r="M124" s="25"/>
      <c r="N124" s="25" t="str">
        <f>IFERROR(VLOOKUP(Tableau3[[#This Row],[Denomination Sociale]],Tableau7[],1,0),"")</f>
        <v/>
      </c>
      <c r="O124" s="25" t="str">
        <f>VLOOKUP(Tableau3[[#This Row],[Denomination Sociale]],Tableau6[],1,0)</f>
        <v>CHEHUMA</v>
      </c>
      <c r="P124" s="25" t="s">
        <v>170</v>
      </c>
      <c r="Q124" s="25" t="str">
        <f>VLOOKUP(Tableau3[[#This Row],[Denomination Sociale]],Tableau6[],1,1)</f>
        <v>CHEHUMA</v>
      </c>
      <c r="R124" s="25" t="s">
        <v>8</v>
      </c>
    </row>
    <row r="125" spans="1:24" x14ac:dyDescent="0.35">
      <c r="A125" s="24" t="s">
        <v>8</v>
      </c>
      <c r="B125" s="1" t="s">
        <v>170</v>
      </c>
      <c r="C125" s="1" t="s">
        <v>173</v>
      </c>
      <c r="D125" s="3" t="s">
        <v>172</v>
      </c>
      <c r="E125" s="3">
        <v>35</v>
      </c>
      <c r="F125" s="3">
        <v>35</v>
      </c>
      <c r="G125" s="1" t="s">
        <v>17</v>
      </c>
      <c r="H125" s="1" t="s">
        <v>17</v>
      </c>
      <c r="I125" s="1" t="s">
        <v>12</v>
      </c>
      <c r="J125" s="1">
        <v>0</v>
      </c>
      <c r="K125" s="1" t="s">
        <v>12</v>
      </c>
      <c r="L125" s="1" t="s">
        <v>7</v>
      </c>
      <c r="M125" s="25"/>
      <c r="N125" s="25" t="str">
        <f>IFERROR(VLOOKUP(Tableau3[[#This Row],[Denomination Sociale]],Tableau7[],1,0),"")</f>
        <v/>
      </c>
      <c r="O125" s="25" t="str">
        <f>VLOOKUP(Tableau3[[#This Row],[Denomination Sociale]],Tableau6[],1,0)</f>
        <v>CHEHUMA</v>
      </c>
      <c r="P125" s="25" t="s">
        <v>170</v>
      </c>
      <c r="Q125" s="25" t="str">
        <f>VLOOKUP(Tableau3[[#This Row],[Denomination Sociale]],Tableau6[],1,1)</f>
        <v>CHEHUMA</v>
      </c>
      <c r="R125" s="25" t="s">
        <v>8</v>
      </c>
    </row>
    <row r="126" spans="1:24" x14ac:dyDescent="0.35">
      <c r="A126" s="24" t="s">
        <v>8</v>
      </c>
      <c r="B126" s="1" t="s">
        <v>170</v>
      </c>
      <c r="C126" s="1" t="s">
        <v>174</v>
      </c>
      <c r="D126" s="3" t="s">
        <v>172</v>
      </c>
      <c r="E126" s="3">
        <v>5</v>
      </c>
      <c r="F126" s="3">
        <v>5</v>
      </c>
      <c r="G126" s="1" t="s">
        <v>17</v>
      </c>
      <c r="H126" s="1" t="s">
        <v>17</v>
      </c>
      <c r="I126" s="1" t="s">
        <v>12</v>
      </c>
      <c r="J126" s="1">
        <v>0</v>
      </c>
      <c r="K126" s="1" t="s">
        <v>12</v>
      </c>
      <c r="L126" s="1" t="s">
        <v>7</v>
      </c>
      <c r="M126" s="25"/>
      <c r="N126" s="25" t="str">
        <f>IFERROR(VLOOKUP(Tableau3[[#This Row],[Denomination Sociale]],Tableau7[],1,0),"")</f>
        <v/>
      </c>
      <c r="O126" s="25" t="str">
        <f>VLOOKUP(Tableau3[[#This Row],[Denomination Sociale]],Tableau6[],1,0)</f>
        <v>CHEHUMA</v>
      </c>
      <c r="P126" s="25" t="s">
        <v>170</v>
      </c>
      <c r="Q126" s="25" t="str">
        <f>VLOOKUP(Tableau3[[#This Row],[Denomination Sociale]],Tableau6[],1,1)</f>
        <v>CHEHUMA</v>
      </c>
      <c r="R126" s="25" t="s">
        <v>8</v>
      </c>
    </row>
    <row r="127" spans="1:24" x14ac:dyDescent="0.35">
      <c r="A127" s="24" t="s">
        <v>8</v>
      </c>
      <c r="B127" s="1" t="s">
        <v>170</v>
      </c>
      <c r="C127" s="1" t="s">
        <v>175</v>
      </c>
      <c r="D127" s="3" t="s">
        <v>172</v>
      </c>
      <c r="E127" s="3">
        <v>50</v>
      </c>
      <c r="F127" s="3">
        <v>50</v>
      </c>
      <c r="G127" s="1" t="s">
        <v>17</v>
      </c>
      <c r="H127" s="1" t="s">
        <v>17</v>
      </c>
      <c r="I127" s="1" t="s">
        <v>12</v>
      </c>
      <c r="J127" s="1">
        <v>0</v>
      </c>
      <c r="K127" s="1" t="s">
        <v>12</v>
      </c>
      <c r="L127" s="1" t="s">
        <v>7</v>
      </c>
      <c r="M127" s="25"/>
      <c r="N127" s="25" t="str">
        <f>IFERROR(VLOOKUP(Tableau3[[#This Row],[Denomination Sociale]],Tableau7[],1,0),"")</f>
        <v/>
      </c>
      <c r="O127" s="25" t="str">
        <f>VLOOKUP(Tableau3[[#This Row],[Denomination Sociale]],Tableau6[],1,0)</f>
        <v>CHEHUMA</v>
      </c>
      <c r="P127" s="25" t="s">
        <v>170</v>
      </c>
      <c r="Q127" s="25" t="str">
        <f>VLOOKUP(Tableau3[[#This Row],[Denomination Sociale]],Tableau6[],1,1)</f>
        <v>CHEHUMA</v>
      </c>
      <c r="R127" s="25" t="s">
        <v>8</v>
      </c>
    </row>
    <row r="128" spans="1:24" x14ac:dyDescent="0.35">
      <c r="A128" s="24" t="s">
        <v>980</v>
      </c>
      <c r="B128" s="1" t="s">
        <v>15083</v>
      </c>
      <c r="C128" s="1" t="s">
        <v>1048</v>
      </c>
      <c r="D128" s="3" t="s">
        <v>1047</v>
      </c>
      <c r="E128" s="3">
        <v>5</v>
      </c>
      <c r="F128" s="3">
        <v>5</v>
      </c>
      <c r="G128" s="1" t="s">
        <v>17</v>
      </c>
      <c r="H128" s="1" t="s">
        <v>17</v>
      </c>
      <c r="I128" s="1" t="s">
        <v>12</v>
      </c>
      <c r="J128" s="1">
        <v>0</v>
      </c>
      <c r="K128" s="1" t="s">
        <v>12</v>
      </c>
      <c r="L128" s="1" t="s">
        <v>7</v>
      </c>
      <c r="M128" s="25"/>
      <c r="N128" s="25" t="str">
        <f>IFERROR(VLOOKUP(Tableau3[[#This Row],[Denomination Sociale]],Tableau7[],1,0),"")</f>
        <v/>
      </c>
      <c r="O128" s="25" t="e">
        <f>VLOOKUP(Tableau3[[#This Row],[Denomination Sociale]],Tableau6[],1,0)</f>
        <v>#N/A</v>
      </c>
      <c r="P128" s="25"/>
      <c r="Q128" s="25" t="str">
        <f>VLOOKUP(Tableau3[[#This Row],[Denomination Sociale]],Tableau6[],1,1)</f>
        <v>CANGAY MINES</v>
      </c>
      <c r="R128" s="25" t="s">
        <v>980</v>
      </c>
    </row>
    <row r="129" spans="1:18" x14ac:dyDescent="0.35">
      <c r="A129" s="24" t="s">
        <v>8</v>
      </c>
      <c r="B129" s="1" t="s">
        <v>14832</v>
      </c>
      <c r="C129" s="1" t="s">
        <v>166</v>
      </c>
      <c r="D129" s="3" t="s">
        <v>167</v>
      </c>
      <c r="E129" s="3">
        <v>50</v>
      </c>
      <c r="F129" s="3">
        <v>50</v>
      </c>
      <c r="G129" s="1" t="s">
        <v>17</v>
      </c>
      <c r="H129" s="1" t="s">
        <v>17</v>
      </c>
      <c r="I129" s="1" t="s">
        <v>168</v>
      </c>
      <c r="J129" s="1">
        <v>0</v>
      </c>
      <c r="K129" s="1" t="s">
        <v>169</v>
      </c>
      <c r="L129" s="1" t="s">
        <v>7</v>
      </c>
      <c r="M129" s="25"/>
      <c r="N129" s="25" t="str">
        <f>IFERROR(VLOOKUP(Tableau3[[#This Row],[Denomination Sociale]],Tableau7[],1,0),"")</f>
        <v/>
      </c>
      <c r="O129" s="25" t="str">
        <f>VLOOKUP(Tableau3[[#This Row],[Denomination Sociale]],Tableau6[],1,0)</f>
        <v>CASA BAMBA</v>
      </c>
      <c r="P129" s="25" t="s">
        <v>14832</v>
      </c>
      <c r="Q129" s="25" t="str">
        <f>VLOOKUP(Tableau3[[#This Row],[Denomination Sociale]],Tableau6[],1,1)</f>
        <v>CASA BAMBA</v>
      </c>
      <c r="R129" s="25" t="s">
        <v>8</v>
      </c>
    </row>
    <row r="130" spans="1:18" x14ac:dyDescent="0.35">
      <c r="A130" s="24" t="s">
        <v>8</v>
      </c>
      <c r="B130" s="1" t="s">
        <v>14832</v>
      </c>
      <c r="C130" s="1" t="s">
        <v>166</v>
      </c>
      <c r="D130" s="3" t="s">
        <v>167</v>
      </c>
      <c r="E130" s="3">
        <v>50</v>
      </c>
      <c r="F130" s="3">
        <v>50</v>
      </c>
      <c r="G130" s="1" t="s">
        <v>17</v>
      </c>
      <c r="H130" s="1" t="s">
        <v>17</v>
      </c>
      <c r="I130" s="1" t="s">
        <v>17</v>
      </c>
      <c r="J130" s="1">
        <v>0</v>
      </c>
      <c r="K130" s="1" t="s">
        <v>169</v>
      </c>
      <c r="L130" s="1" t="s">
        <v>7</v>
      </c>
      <c r="M130" s="25"/>
      <c r="N130" s="25" t="str">
        <f>IFERROR(VLOOKUP(Tableau3[[#This Row],[Denomination Sociale]],Tableau7[],1,0),"")</f>
        <v/>
      </c>
      <c r="O130" s="25" t="str">
        <f>VLOOKUP(Tableau3[[#This Row],[Denomination Sociale]],Tableau6[],1,0)</f>
        <v>CASA BAMBA</v>
      </c>
      <c r="P130" s="25" t="s">
        <v>14832</v>
      </c>
      <c r="Q130" s="25" t="str">
        <f>VLOOKUP(Tableau3[[#This Row],[Denomination Sociale]],Tableau6[],1,1)</f>
        <v>CASA BAMBA</v>
      </c>
      <c r="R130" s="25" t="s">
        <v>8</v>
      </c>
    </row>
    <row r="131" spans="1:18" x14ac:dyDescent="0.35">
      <c r="A131" s="24" t="s">
        <v>980</v>
      </c>
      <c r="B131" s="1" t="s">
        <v>15084</v>
      </c>
      <c r="C131" s="1" t="s">
        <v>1038</v>
      </c>
      <c r="D131" s="3" t="s">
        <v>1037</v>
      </c>
      <c r="E131" s="3">
        <v>50</v>
      </c>
      <c r="F131" s="3">
        <v>50</v>
      </c>
      <c r="G131" s="1" t="s">
        <v>17</v>
      </c>
      <c r="H131" s="1" t="s">
        <v>17</v>
      </c>
      <c r="I131" s="1" t="s">
        <v>12</v>
      </c>
      <c r="J131" s="1">
        <v>0</v>
      </c>
      <c r="K131" s="1" t="s">
        <v>12</v>
      </c>
      <c r="L131" s="1" t="s">
        <v>7</v>
      </c>
      <c r="M131" s="25"/>
      <c r="N131" s="25" t="str">
        <f>IFERROR(VLOOKUP(Tableau3[[#This Row],[Denomination Sociale]],Tableau7[],1,0),"")</f>
        <v/>
      </c>
      <c r="O131" s="25" t="e">
        <f>VLOOKUP(Tableau3[[#This Row],[Denomination Sociale]],Tableau6[],1,0)</f>
        <v>#N/A</v>
      </c>
      <c r="P131" s="25"/>
      <c r="Q131" s="25" t="str">
        <f>VLOOKUP(Tableau3[[#This Row],[Denomination Sociale]],Tableau6[],1,1)</f>
        <v>CAYOR PHOSPHATE MINING</v>
      </c>
      <c r="R131" s="25" t="s">
        <v>980</v>
      </c>
    </row>
    <row r="132" spans="1:18" x14ac:dyDescent="0.35">
      <c r="A132" s="24" t="s">
        <v>8</v>
      </c>
      <c r="B132" s="1" t="s">
        <v>176</v>
      </c>
      <c r="C132" s="1" t="s">
        <v>177</v>
      </c>
      <c r="D132" s="3" t="s">
        <v>178</v>
      </c>
      <c r="E132" s="3">
        <v>100</v>
      </c>
      <c r="F132" s="3">
        <v>100</v>
      </c>
      <c r="G132" s="1" t="s">
        <v>17</v>
      </c>
      <c r="H132" s="1" t="s">
        <v>17</v>
      </c>
      <c r="I132" s="1" t="s">
        <v>12</v>
      </c>
      <c r="J132" s="1">
        <v>0</v>
      </c>
      <c r="K132" s="1" t="s">
        <v>12</v>
      </c>
      <c r="L132" s="1" t="s">
        <v>7</v>
      </c>
      <c r="M132" s="25"/>
      <c r="N132" s="25" t="str">
        <f>IFERROR(VLOOKUP(Tableau3[[#This Row],[Denomination Sociale]],Tableau7[],1,0),"")</f>
        <v/>
      </c>
      <c r="O132" s="25" t="e">
        <f>VLOOKUP(Tableau3[[#This Row],[Denomination Sociale]],Tableau6[],1,0)</f>
        <v>#N/A</v>
      </c>
      <c r="P132" s="25"/>
      <c r="Q132" s="25" t="str">
        <f>VLOOKUP(Tableau3[[#This Row],[Denomination Sociale]],Tableau6[],1,1)</f>
        <v>COMPAGNIE D'EXPLOITATION DES MATERIAUX</v>
      </c>
      <c r="R132" s="25" t="s">
        <v>8</v>
      </c>
    </row>
    <row r="133" spans="1:18" x14ac:dyDescent="0.35">
      <c r="A133" s="24" t="s">
        <v>8</v>
      </c>
      <c r="B133" s="1" t="s">
        <v>3060</v>
      </c>
      <c r="C133" s="1" t="s">
        <v>180</v>
      </c>
      <c r="D133" s="3" t="s">
        <v>181</v>
      </c>
      <c r="E133" s="3">
        <v>14</v>
      </c>
      <c r="F133" s="3" t="s">
        <v>12</v>
      </c>
      <c r="G133" s="1" t="s">
        <v>182</v>
      </c>
      <c r="H133" s="1" t="s">
        <v>182</v>
      </c>
      <c r="I133" s="1" t="s">
        <v>12</v>
      </c>
      <c r="J133" s="1">
        <v>0</v>
      </c>
      <c r="K133" s="1" t="s">
        <v>12</v>
      </c>
      <c r="L133" s="1" t="s">
        <v>7</v>
      </c>
      <c r="M133" s="25"/>
      <c r="N133" s="25" t="str">
        <f>IFERROR(VLOOKUP(Tableau3[[#This Row],[Denomination Sociale]],Tableau7[],1,0),"")</f>
        <v/>
      </c>
      <c r="O133" s="25" t="str">
        <f>VLOOKUP(Tableau3[[#This Row],[Denomination Sociale]],Tableau6[],1,0)</f>
        <v>COMPAGNIE KHADIM RASSOUL</v>
      </c>
      <c r="P133" s="25" t="s">
        <v>3060</v>
      </c>
      <c r="Q133" s="25" t="str">
        <f>VLOOKUP(Tableau3[[#This Row],[Denomination Sociale]],Tableau6[],1,1)</f>
        <v>COMPAGNIE KHADIM RASSOUL</v>
      </c>
      <c r="R133" s="25" t="s">
        <v>8</v>
      </c>
    </row>
    <row r="134" spans="1:18" x14ac:dyDescent="0.35">
      <c r="A134" s="24" t="s">
        <v>8</v>
      </c>
      <c r="B134" s="1" t="s">
        <v>3060</v>
      </c>
      <c r="C134" s="1" t="s">
        <v>183</v>
      </c>
      <c r="D134" s="3" t="s">
        <v>181</v>
      </c>
      <c r="E134" s="3">
        <v>23</v>
      </c>
      <c r="F134" s="3" t="s">
        <v>12</v>
      </c>
      <c r="G134" s="1" t="s">
        <v>17</v>
      </c>
      <c r="H134" s="1" t="s">
        <v>17</v>
      </c>
      <c r="I134" s="1" t="s">
        <v>12</v>
      </c>
      <c r="J134" s="1">
        <v>0</v>
      </c>
      <c r="K134" s="1" t="s">
        <v>12</v>
      </c>
      <c r="L134" s="1" t="s">
        <v>7</v>
      </c>
      <c r="M134" s="25"/>
      <c r="N134" s="25" t="str">
        <f>IFERROR(VLOOKUP(Tableau3[[#This Row],[Denomination Sociale]],Tableau7[],1,0),"")</f>
        <v/>
      </c>
      <c r="O134" s="25" t="str">
        <f>VLOOKUP(Tableau3[[#This Row],[Denomination Sociale]],Tableau6[],1,0)</f>
        <v>COMPAGNIE KHADIM RASSOUL</v>
      </c>
      <c r="P134" s="25" t="s">
        <v>3060</v>
      </c>
      <c r="Q134" s="25" t="str">
        <f>VLOOKUP(Tableau3[[#This Row],[Denomination Sociale]],Tableau6[],1,1)</f>
        <v>COMPAGNIE KHADIM RASSOUL</v>
      </c>
      <c r="R134" s="25" t="s">
        <v>8</v>
      </c>
    </row>
    <row r="135" spans="1:18" x14ac:dyDescent="0.35">
      <c r="A135" s="24" t="s">
        <v>8</v>
      </c>
      <c r="B135" s="1" t="s">
        <v>3060</v>
      </c>
      <c r="C135" s="1" t="s">
        <v>184</v>
      </c>
      <c r="D135" s="3" t="s">
        <v>181</v>
      </c>
      <c r="E135" s="3">
        <v>13</v>
      </c>
      <c r="F135" s="3" t="s">
        <v>12</v>
      </c>
      <c r="G135" s="1" t="s">
        <v>17</v>
      </c>
      <c r="H135" s="1" t="s">
        <v>17</v>
      </c>
      <c r="I135" s="1" t="s">
        <v>12</v>
      </c>
      <c r="J135" s="1">
        <v>0</v>
      </c>
      <c r="K135" s="1" t="s">
        <v>12</v>
      </c>
      <c r="L135" s="1" t="s">
        <v>7</v>
      </c>
      <c r="M135" s="25"/>
      <c r="N135" s="25" t="str">
        <f>IFERROR(VLOOKUP(Tableau3[[#This Row],[Denomination Sociale]],Tableau7[],1,0),"")</f>
        <v/>
      </c>
      <c r="O135" s="25" t="str">
        <f>VLOOKUP(Tableau3[[#This Row],[Denomination Sociale]],Tableau6[],1,0)</f>
        <v>COMPAGNIE KHADIM RASSOUL</v>
      </c>
      <c r="P135" s="25" t="s">
        <v>3060</v>
      </c>
      <c r="Q135" s="25" t="str">
        <f>VLOOKUP(Tableau3[[#This Row],[Denomination Sociale]],Tableau6[],1,1)</f>
        <v>COMPAGNIE KHADIM RASSOUL</v>
      </c>
      <c r="R135" s="25" t="s">
        <v>8</v>
      </c>
    </row>
    <row r="136" spans="1:18" x14ac:dyDescent="0.35">
      <c r="A136" s="24" t="s">
        <v>8</v>
      </c>
      <c r="B136" s="1" t="s">
        <v>3060</v>
      </c>
      <c r="C136" s="1" t="s">
        <v>185</v>
      </c>
      <c r="D136" s="3" t="s">
        <v>181</v>
      </c>
      <c r="E136" s="3">
        <v>50</v>
      </c>
      <c r="F136" s="3" t="s">
        <v>12</v>
      </c>
      <c r="G136" s="1" t="s">
        <v>182</v>
      </c>
      <c r="H136" s="1" t="s">
        <v>182</v>
      </c>
      <c r="I136" s="1" t="s">
        <v>12</v>
      </c>
      <c r="J136" s="1">
        <v>0</v>
      </c>
      <c r="K136" s="1" t="s">
        <v>12</v>
      </c>
      <c r="L136" s="1" t="s">
        <v>7</v>
      </c>
      <c r="M136" s="25"/>
      <c r="N136" s="25" t="str">
        <f>IFERROR(VLOOKUP(Tableau3[[#This Row],[Denomination Sociale]],Tableau7[],1,0),"")</f>
        <v/>
      </c>
      <c r="O136" s="25" t="str">
        <f>VLOOKUP(Tableau3[[#This Row],[Denomination Sociale]],Tableau6[],1,0)</f>
        <v>COMPAGNIE KHADIM RASSOUL</v>
      </c>
      <c r="P136" s="25" t="s">
        <v>3060</v>
      </c>
      <c r="Q136" s="25" t="str">
        <f>VLOOKUP(Tableau3[[#This Row],[Denomination Sociale]],Tableau6[],1,1)</f>
        <v>COMPAGNIE KHADIM RASSOUL</v>
      </c>
      <c r="R136" s="25" t="s">
        <v>8</v>
      </c>
    </row>
    <row r="137" spans="1:18" x14ac:dyDescent="0.35">
      <c r="A137" s="24" t="s">
        <v>8</v>
      </c>
      <c r="B137" s="1" t="s">
        <v>8310</v>
      </c>
      <c r="C137" s="1" t="s">
        <v>1112</v>
      </c>
      <c r="D137" s="3" t="s">
        <v>1113</v>
      </c>
      <c r="E137" s="3">
        <v>25</v>
      </c>
      <c r="F137" s="3">
        <v>25</v>
      </c>
      <c r="G137" s="1" t="s">
        <v>17</v>
      </c>
      <c r="H137" s="1"/>
      <c r="I137" s="1">
        <v>0</v>
      </c>
      <c r="J137" s="1" t="s">
        <v>12</v>
      </c>
      <c r="K137" s="1" t="s">
        <v>12</v>
      </c>
      <c r="L137" s="1" t="s">
        <v>7</v>
      </c>
      <c r="M137" s="25"/>
      <c r="N137" s="25" t="str">
        <f>IFERROR(VLOOKUP(Tableau3[[#This Row],[Denomination Sociale]],Tableau7[],1,0),"")</f>
        <v/>
      </c>
      <c r="O137" s="25" t="str">
        <f>VLOOKUP(Tableau3[[#This Row],[Denomination Sociale]],Tableau6[],1,0)</f>
        <v>COMPAGNIE SAHELIENNE D'ENTREPRISE</v>
      </c>
      <c r="P137" s="25" t="s">
        <v>8310</v>
      </c>
      <c r="Q137" s="25" t="str">
        <f>VLOOKUP(Tableau3[[#This Row],[Denomination Sociale]],Tableau6[],1,1)</f>
        <v>COMPAGNIE SAHELIENNE D'ENTREPRISE</v>
      </c>
      <c r="R137" s="25" t="s">
        <v>8</v>
      </c>
    </row>
    <row r="138" spans="1:18" x14ac:dyDescent="0.35">
      <c r="A138" s="24" t="s">
        <v>8</v>
      </c>
      <c r="B138" s="49" t="s">
        <v>15154</v>
      </c>
      <c r="C138" s="1" t="s">
        <v>193</v>
      </c>
      <c r="D138" s="3" t="s">
        <v>194</v>
      </c>
      <c r="E138" s="3">
        <v>100</v>
      </c>
      <c r="F138" s="3">
        <v>100</v>
      </c>
      <c r="G138" s="1" t="s">
        <v>17</v>
      </c>
      <c r="H138" s="1" t="s">
        <v>17</v>
      </c>
      <c r="I138" s="1" t="s">
        <v>12</v>
      </c>
      <c r="J138" s="1">
        <v>0</v>
      </c>
      <c r="K138" s="1" t="s">
        <v>12</v>
      </c>
      <c r="L138" s="1" t="s">
        <v>7</v>
      </c>
      <c r="M138" s="25"/>
      <c r="N138" s="25" t="str">
        <f>IFERROR(VLOOKUP(Tableau3[[#This Row],[Denomination Sociale]],Tableau7[],1,0),"")</f>
        <v/>
      </c>
      <c r="O138" s="25" t="str">
        <f>VLOOKUP(Tableau3[[#This Row],[Denomination Sociale]],Tableau6[],1,0)</f>
        <v>COMPTOIR COMMERCIAL BALLA AICHA CCBA</v>
      </c>
      <c r="P138" s="25" t="s">
        <v>15154</v>
      </c>
      <c r="Q138" s="25" t="str">
        <f>VLOOKUP(Tableau3[[#This Row],[Denomination Sociale]],Tableau6[],1,1)</f>
        <v>COMPTOIR COMMERCIAL BALLA AICHA CCBA</v>
      </c>
      <c r="R138" s="25" t="s">
        <v>8</v>
      </c>
    </row>
    <row r="139" spans="1:18" x14ac:dyDescent="0.35">
      <c r="A139" s="24" t="s">
        <v>873</v>
      </c>
      <c r="B139" s="1" t="s">
        <v>15110</v>
      </c>
      <c r="C139" s="1" t="s">
        <v>581</v>
      </c>
      <c r="D139" s="3" t="s">
        <v>917</v>
      </c>
      <c r="E139" s="3">
        <v>15</v>
      </c>
      <c r="F139" s="3" t="s">
        <v>12</v>
      </c>
      <c r="G139" s="1" t="s">
        <v>17</v>
      </c>
      <c r="H139" s="1" t="s">
        <v>17</v>
      </c>
      <c r="I139" s="1" t="s">
        <v>12</v>
      </c>
      <c r="J139" s="1">
        <v>0</v>
      </c>
      <c r="K139" s="1" t="s">
        <v>12</v>
      </c>
      <c r="L139" s="1" t="s">
        <v>7</v>
      </c>
      <c r="M139" s="25"/>
      <c r="N139" s="25" t="str">
        <f>IFERROR(VLOOKUP(Tableau3[[#This Row],[Denomination Sociale]],Tableau7[],1,0),"")</f>
        <v/>
      </c>
      <c r="O139" s="25" t="str">
        <f>VLOOKUP(Tableau3[[#This Row],[Denomination Sociale]],Tableau6[],1,0)</f>
        <v>COMPTOIR D'OR DE LA REGION</v>
      </c>
      <c r="P139" s="25" t="s">
        <v>15110</v>
      </c>
      <c r="Q139" s="25" t="str">
        <f>VLOOKUP(Tableau3[[#This Row],[Denomination Sociale]],Tableau6[],1,1)</f>
        <v>COMPTOIR D'OR DE LA REGION</v>
      </c>
      <c r="R139" s="25" t="s">
        <v>873</v>
      </c>
    </row>
    <row r="140" spans="1:18" x14ac:dyDescent="0.35">
      <c r="A140" s="24" t="s">
        <v>873</v>
      </c>
      <c r="B140" s="1" t="s">
        <v>15110</v>
      </c>
      <c r="C140" s="1" t="s">
        <v>918</v>
      </c>
      <c r="D140" s="3" t="s">
        <v>917</v>
      </c>
      <c r="E140" s="3">
        <v>35</v>
      </c>
      <c r="F140" s="3" t="s">
        <v>12</v>
      </c>
      <c r="G140" s="1" t="s">
        <v>17</v>
      </c>
      <c r="H140" s="1" t="s">
        <v>17</v>
      </c>
      <c r="I140" s="1" t="s">
        <v>12</v>
      </c>
      <c r="J140" s="1">
        <v>0</v>
      </c>
      <c r="K140" s="1" t="s">
        <v>12</v>
      </c>
      <c r="L140" s="1" t="s">
        <v>7</v>
      </c>
      <c r="M140" s="25"/>
      <c r="N140" s="25" t="str">
        <f>IFERROR(VLOOKUP(Tableau3[[#This Row],[Denomination Sociale]],Tableau7[],1,0),"")</f>
        <v/>
      </c>
      <c r="O140" s="25" t="str">
        <f>VLOOKUP(Tableau3[[#This Row],[Denomination Sociale]],Tableau6[],1,0)</f>
        <v>COMPTOIR D'OR DE LA REGION</v>
      </c>
      <c r="P140" s="25" t="s">
        <v>15110</v>
      </c>
      <c r="Q140" s="25" t="str">
        <f>VLOOKUP(Tableau3[[#This Row],[Denomination Sociale]],Tableau6[],1,1)</f>
        <v>COMPTOIR D'OR DE LA REGION</v>
      </c>
      <c r="R140" s="25" t="s">
        <v>873</v>
      </c>
    </row>
    <row r="141" spans="1:18" x14ac:dyDescent="0.35">
      <c r="A141" s="24" t="s">
        <v>873</v>
      </c>
      <c r="B141" s="1" t="s">
        <v>15110</v>
      </c>
      <c r="C141" s="1" t="s">
        <v>919</v>
      </c>
      <c r="D141" s="3" t="s">
        <v>917</v>
      </c>
      <c r="E141" s="3">
        <v>18</v>
      </c>
      <c r="F141" s="3" t="s">
        <v>12</v>
      </c>
      <c r="G141" s="1" t="s">
        <v>17</v>
      </c>
      <c r="H141" s="1" t="s">
        <v>17</v>
      </c>
      <c r="I141" s="1" t="s">
        <v>12</v>
      </c>
      <c r="J141" s="1">
        <v>0</v>
      </c>
      <c r="K141" s="1" t="s">
        <v>12</v>
      </c>
      <c r="L141" s="1" t="s">
        <v>7</v>
      </c>
      <c r="M141" s="25"/>
      <c r="N141" s="25" t="str">
        <f>IFERROR(VLOOKUP(Tableau3[[#This Row],[Denomination Sociale]],Tableau7[],1,0),"")</f>
        <v/>
      </c>
      <c r="O141" s="25" t="str">
        <f>VLOOKUP(Tableau3[[#This Row],[Denomination Sociale]],Tableau6[],1,0)</f>
        <v>COMPTOIR D'OR DE LA REGION</v>
      </c>
      <c r="P141" s="25" t="s">
        <v>15110</v>
      </c>
      <c r="Q141" s="25" t="str">
        <f>VLOOKUP(Tableau3[[#This Row],[Denomination Sociale]],Tableau6[],1,1)</f>
        <v>COMPTOIR D'OR DE LA REGION</v>
      </c>
      <c r="R141" s="25" t="s">
        <v>873</v>
      </c>
    </row>
    <row r="142" spans="1:18" x14ac:dyDescent="0.35">
      <c r="A142" s="24" t="s">
        <v>873</v>
      </c>
      <c r="B142" s="1" t="s">
        <v>15110</v>
      </c>
      <c r="C142" s="1" t="s">
        <v>920</v>
      </c>
      <c r="D142" s="3" t="s">
        <v>917</v>
      </c>
      <c r="E142" s="3">
        <v>32</v>
      </c>
      <c r="F142" s="3" t="s">
        <v>12</v>
      </c>
      <c r="G142" s="1" t="s">
        <v>17</v>
      </c>
      <c r="H142" s="1" t="s">
        <v>17</v>
      </c>
      <c r="I142" s="1" t="s">
        <v>12</v>
      </c>
      <c r="J142" s="1">
        <v>0</v>
      </c>
      <c r="K142" s="1" t="s">
        <v>12</v>
      </c>
      <c r="L142" s="1" t="s">
        <v>7</v>
      </c>
      <c r="M142" s="25"/>
      <c r="N142" s="25" t="str">
        <f>IFERROR(VLOOKUP(Tableau3[[#This Row],[Denomination Sociale]],Tableau7[],1,0),"")</f>
        <v/>
      </c>
      <c r="O142" s="25" t="str">
        <f>VLOOKUP(Tableau3[[#This Row],[Denomination Sociale]],Tableau6[],1,0)</f>
        <v>COMPTOIR D'OR DE LA REGION</v>
      </c>
      <c r="P142" s="25" t="s">
        <v>15110</v>
      </c>
      <c r="Q142" s="25" t="str">
        <f>VLOOKUP(Tableau3[[#This Row],[Denomination Sociale]],Tableau6[],1,1)</f>
        <v>COMPTOIR D'OR DE LA REGION</v>
      </c>
      <c r="R142" s="25" t="s">
        <v>873</v>
      </c>
    </row>
    <row r="143" spans="1:18" x14ac:dyDescent="0.35">
      <c r="A143" s="24" t="s">
        <v>8</v>
      </c>
      <c r="B143" s="1" t="s">
        <v>195</v>
      </c>
      <c r="C143" s="1" t="s">
        <v>196</v>
      </c>
      <c r="D143" s="3" t="s">
        <v>197</v>
      </c>
      <c r="E143" s="3" t="s">
        <v>12</v>
      </c>
      <c r="F143" s="3">
        <v>70</v>
      </c>
      <c r="G143" s="1" t="s">
        <v>17</v>
      </c>
      <c r="H143" s="1" t="s">
        <v>17</v>
      </c>
      <c r="I143" s="1" t="s">
        <v>12</v>
      </c>
      <c r="J143" s="1" t="s">
        <v>12</v>
      </c>
      <c r="K143" s="1" t="s">
        <v>12</v>
      </c>
      <c r="L143" s="1" t="s">
        <v>7</v>
      </c>
      <c r="M143" s="25"/>
      <c r="N143" s="25" t="str">
        <f>IFERROR(VLOOKUP(Tableau3[[#This Row],[Denomination Sociale]],Tableau7[],1,0),"")</f>
        <v/>
      </c>
      <c r="O143" s="25" t="str">
        <f>VLOOKUP(Tableau3[[#This Row],[Denomination Sociale]],Tableau6[],1,0)</f>
        <v>CONSULTING BUSINESS AGENCY</v>
      </c>
      <c r="P143" s="25" t="s">
        <v>195</v>
      </c>
      <c r="Q143" s="25" t="str">
        <f>VLOOKUP(Tableau3[[#This Row],[Denomination Sociale]],Tableau6[],1,1)</f>
        <v>CONSULTING BUSINESS AGENCY</v>
      </c>
      <c r="R143" s="25" t="s">
        <v>8</v>
      </c>
    </row>
    <row r="144" spans="1:18" x14ac:dyDescent="0.35">
      <c r="A144" s="24" t="s">
        <v>8</v>
      </c>
      <c r="B144" s="1" t="s">
        <v>195</v>
      </c>
      <c r="C144" s="1" t="s">
        <v>198</v>
      </c>
      <c r="D144" s="3" t="s">
        <v>197</v>
      </c>
      <c r="E144" s="3">
        <v>30</v>
      </c>
      <c r="F144" s="3">
        <v>30</v>
      </c>
      <c r="G144" s="1" t="s">
        <v>17</v>
      </c>
      <c r="H144" s="1" t="s">
        <v>17</v>
      </c>
      <c r="I144" s="1" t="s">
        <v>12</v>
      </c>
      <c r="J144" s="1">
        <v>0</v>
      </c>
      <c r="K144" s="1" t="s">
        <v>12</v>
      </c>
      <c r="L144" s="1" t="s">
        <v>7</v>
      </c>
      <c r="M144" s="25"/>
      <c r="N144" s="25" t="str">
        <f>IFERROR(VLOOKUP(Tableau3[[#This Row],[Denomination Sociale]],Tableau7[],1,0),"")</f>
        <v/>
      </c>
      <c r="O144" s="25" t="str">
        <f>VLOOKUP(Tableau3[[#This Row],[Denomination Sociale]],Tableau6[],1,0)</f>
        <v>CONSULTING BUSINESS AGENCY</v>
      </c>
      <c r="P144" s="25" t="s">
        <v>195</v>
      </c>
      <c r="Q144" s="25" t="str">
        <f>VLOOKUP(Tableau3[[#This Row],[Denomination Sociale]],Tableau6[],1,1)</f>
        <v>CONSULTING BUSINESS AGENCY</v>
      </c>
      <c r="R144" s="25" t="s">
        <v>8</v>
      </c>
    </row>
    <row r="145" spans="1:18" x14ac:dyDescent="0.35">
      <c r="A145" s="24" t="s">
        <v>8</v>
      </c>
      <c r="B145" s="1" t="s">
        <v>199</v>
      </c>
      <c r="C145" s="1" t="s">
        <v>200</v>
      </c>
      <c r="D145" s="3" t="s">
        <v>201</v>
      </c>
      <c r="E145" s="3">
        <v>24</v>
      </c>
      <c r="F145" s="3" t="s">
        <v>12</v>
      </c>
      <c r="G145" s="1" t="s">
        <v>17</v>
      </c>
      <c r="H145" s="1" t="s">
        <v>17</v>
      </c>
      <c r="I145" s="1" t="s">
        <v>12</v>
      </c>
      <c r="J145" s="1">
        <v>0</v>
      </c>
      <c r="K145" s="1" t="s">
        <v>12</v>
      </c>
      <c r="L145" s="1" t="s">
        <v>7</v>
      </c>
      <c r="M145" s="25" t="s">
        <v>199</v>
      </c>
      <c r="N145" s="25" t="str">
        <f>IFERROR(VLOOKUP(Tableau3[[#This Row],[Denomination Sociale]],Tableau7[],1,0),"")</f>
        <v>CSE GRANULATS</v>
      </c>
      <c r="O145" s="25" t="str">
        <f>VLOOKUP(Tableau3[[#This Row],[Denomination Sociale]],Tableau6[],1,0)</f>
        <v>CSE GRANULATS</v>
      </c>
      <c r="P145" s="25" t="s">
        <v>199</v>
      </c>
      <c r="Q145" s="25" t="str">
        <f>VLOOKUP(Tableau3[[#This Row],[Denomination Sociale]],Tableau6[],1,1)</f>
        <v>CSE GRANULATS</v>
      </c>
      <c r="R145" s="25" t="s">
        <v>8</v>
      </c>
    </row>
    <row r="146" spans="1:18" x14ac:dyDescent="0.35">
      <c r="A146" s="24" t="s">
        <v>8</v>
      </c>
      <c r="B146" s="1" t="s">
        <v>199</v>
      </c>
      <c r="C146" s="1" t="s">
        <v>202</v>
      </c>
      <c r="D146" s="3" t="s">
        <v>201</v>
      </c>
      <c r="E146" s="3">
        <v>5</v>
      </c>
      <c r="F146" s="3" t="s">
        <v>12</v>
      </c>
      <c r="G146" s="1" t="s">
        <v>17</v>
      </c>
      <c r="H146" s="1" t="s">
        <v>17</v>
      </c>
      <c r="I146" s="1" t="s">
        <v>12</v>
      </c>
      <c r="J146" s="1">
        <v>0</v>
      </c>
      <c r="K146" s="1" t="s">
        <v>12</v>
      </c>
      <c r="L146" s="1" t="s">
        <v>7</v>
      </c>
      <c r="M146" s="25" t="s">
        <v>199</v>
      </c>
      <c r="N146" s="25" t="str">
        <f>IFERROR(VLOOKUP(Tableau3[[#This Row],[Denomination Sociale]],Tableau7[],1,0),"")</f>
        <v>CSE GRANULATS</v>
      </c>
      <c r="O146" s="25" t="str">
        <f>VLOOKUP(Tableau3[[#This Row],[Denomination Sociale]],Tableau6[],1,0)</f>
        <v>CSE GRANULATS</v>
      </c>
      <c r="P146" s="25" t="s">
        <v>199</v>
      </c>
      <c r="Q146" s="25" t="str">
        <f>VLOOKUP(Tableau3[[#This Row],[Denomination Sociale]],Tableau6[],1,1)</f>
        <v>CSE GRANULATS</v>
      </c>
      <c r="R146" s="25" t="s">
        <v>8</v>
      </c>
    </row>
    <row r="147" spans="1:18" x14ac:dyDescent="0.35">
      <c r="A147" s="24" t="s">
        <v>8</v>
      </c>
      <c r="B147" s="1" t="s">
        <v>199</v>
      </c>
      <c r="C147" s="1" t="s">
        <v>203</v>
      </c>
      <c r="D147" s="3" t="s">
        <v>201</v>
      </c>
      <c r="E147" s="3">
        <v>11</v>
      </c>
      <c r="F147" s="3" t="s">
        <v>12</v>
      </c>
      <c r="G147" s="1" t="s">
        <v>17</v>
      </c>
      <c r="H147" s="1" t="s">
        <v>17</v>
      </c>
      <c r="I147" s="1" t="s">
        <v>12</v>
      </c>
      <c r="J147" s="1">
        <v>0</v>
      </c>
      <c r="K147" s="1" t="s">
        <v>12</v>
      </c>
      <c r="L147" s="1" t="s">
        <v>7</v>
      </c>
      <c r="M147" s="25" t="s">
        <v>199</v>
      </c>
      <c r="N147" s="25" t="str">
        <f>IFERROR(VLOOKUP(Tableau3[[#This Row],[Denomination Sociale]],Tableau7[],1,0),"")</f>
        <v>CSE GRANULATS</v>
      </c>
      <c r="O147" s="25" t="str">
        <f>VLOOKUP(Tableau3[[#This Row],[Denomination Sociale]],Tableau6[],1,0)</f>
        <v>CSE GRANULATS</v>
      </c>
      <c r="P147" s="25" t="s">
        <v>199</v>
      </c>
      <c r="Q147" s="25" t="str">
        <f>VLOOKUP(Tableau3[[#This Row],[Denomination Sociale]],Tableau6[],1,1)</f>
        <v>CSE GRANULATS</v>
      </c>
      <c r="R147" s="25" t="s">
        <v>8</v>
      </c>
    </row>
    <row r="148" spans="1:18" x14ac:dyDescent="0.35">
      <c r="A148" s="24" t="s">
        <v>8</v>
      </c>
      <c r="B148" s="1" t="s">
        <v>199</v>
      </c>
      <c r="C148" s="1" t="s">
        <v>204</v>
      </c>
      <c r="D148" s="3" t="s">
        <v>201</v>
      </c>
      <c r="E148" s="3">
        <v>23</v>
      </c>
      <c r="F148" s="3" t="s">
        <v>12</v>
      </c>
      <c r="G148" s="1" t="s">
        <v>17</v>
      </c>
      <c r="H148" s="1" t="s">
        <v>17</v>
      </c>
      <c r="I148" s="1" t="s">
        <v>12</v>
      </c>
      <c r="J148" s="1">
        <v>0</v>
      </c>
      <c r="K148" s="1" t="s">
        <v>12</v>
      </c>
      <c r="L148" s="1" t="s">
        <v>7</v>
      </c>
      <c r="M148" s="25" t="s">
        <v>199</v>
      </c>
      <c r="N148" s="25" t="str">
        <f>IFERROR(VLOOKUP(Tableau3[[#This Row],[Denomination Sociale]],Tableau7[],1,0),"")</f>
        <v>CSE GRANULATS</v>
      </c>
      <c r="O148" s="25" t="str">
        <f>VLOOKUP(Tableau3[[#This Row],[Denomination Sociale]],Tableau6[],1,0)</f>
        <v>CSE GRANULATS</v>
      </c>
      <c r="P148" s="25" t="s">
        <v>199</v>
      </c>
      <c r="Q148" s="25" t="str">
        <f>VLOOKUP(Tableau3[[#This Row],[Denomination Sociale]],Tableau6[],1,1)</f>
        <v>CSE GRANULATS</v>
      </c>
      <c r="R148" s="25" t="s">
        <v>8</v>
      </c>
    </row>
    <row r="149" spans="1:18" x14ac:dyDescent="0.35">
      <c r="A149" s="24" t="s">
        <v>8</v>
      </c>
      <c r="B149" s="1" t="s">
        <v>199</v>
      </c>
      <c r="C149" s="1" t="s">
        <v>205</v>
      </c>
      <c r="D149" s="3" t="s">
        <v>201</v>
      </c>
      <c r="E149" s="3">
        <v>11</v>
      </c>
      <c r="F149" s="3" t="s">
        <v>12</v>
      </c>
      <c r="G149" s="1" t="s">
        <v>17</v>
      </c>
      <c r="H149" s="1" t="s">
        <v>17</v>
      </c>
      <c r="I149" s="1" t="s">
        <v>12</v>
      </c>
      <c r="J149" s="1">
        <v>0</v>
      </c>
      <c r="K149" s="1" t="s">
        <v>12</v>
      </c>
      <c r="L149" s="1" t="s">
        <v>7</v>
      </c>
      <c r="M149" s="25" t="s">
        <v>199</v>
      </c>
      <c r="N149" s="25" t="str">
        <f>IFERROR(VLOOKUP(Tableau3[[#This Row],[Denomination Sociale]],Tableau7[],1,0),"")</f>
        <v>CSE GRANULATS</v>
      </c>
      <c r="O149" s="25" t="str">
        <f>VLOOKUP(Tableau3[[#This Row],[Denomination Sociale]],Tableau6[],1,0)</f>
        <v>CSE GRANULATS</v>
      </c>
      <c r="P149" s="25" t="s">
        <v>199</v>
      </c>
      <c r="Q149" s="25" t="str">
        <f>VLOOKUP(Tableau3[[#This Row],[Denomination Sociale]],Tableau6[],1,1)</f>
        <v>CSE GRANULATS</v>
      </c>
      <c r="R149" s="25" t="s">
        <v>8</v>
      </c>
    </row>
    <row r="150" spans="1:18" x14ac:dyDescent="0.35">
      <c r="A150" s="24" t="s">
        <v>8</v>
      </c>
      <c r="B150" s="1" t="s">
        <v>199</v>
      </c>
      <c r="C150" s="1" t="s">
        <v>206</v>
      </c>
      <c r="D150" s="3" t="s">
        <v>201</v>
      </c>
      <c r="E150" s="3">
        <v>11</v>
      </c>
      <c r="F150" s="3" t="s">
        <v>12</v>
      </c>
      <c r="G150" s="1" t="s">
        <v>17</v>
      </c>
      <c r="H150" s="1" t="s">
        <v>17</v>
      </c>
      <c r="I150" s="1" t="s">
        <v>12</v>
      </c>
      <c r="J150" s="1">
        <v>0</v>
      </c>
      <c r="K150" s="1" t="s">
        <v>12</v>
      </c>
      <c r="L150" s="1" t="s">
        <v>7</v>
      </c>
      <c r="M150" s="25" t="s">
        <v>199</v>
      </c>
      <c r="N150" s="25" t="str">
        <f>IFERROR(VLOOKUP(Tableau3[[#This Row],[Denomination Sociale]],Tableau7[],1,0),"")</f>
        <v>CSE GRANULATS</v>
      </c>
      <c r="O150" s="25" t="str">
        <f>VLOOKUP(Tableau3[[#This Row],[Denomination Sociale]],Tableau6[],1,0)</f>
        <v>CSE GRANULATS</v>
      </c>
      <c r="P150" s="25" t="s">
        <v>199</v>
      </c>
      <c r="Q150" s="25" t="str">
        <f>VLOOKUP(Tableau3[[#This Row],[Denomination Sociale]],Tableau6[],1,1)</f>
        <v>CSE GRANULATS</v>
      </c>
      <c r="R150" s="25" t="s">
        <v>8</v>
      </c>
    </row>
    <row r="151" spans="1:18" x14ac:dyDescent="0.35">
      <c r="A151" s="24" t="s">
        <v>8</v>
      </c>
      <c r="B151" s="1" t="s">
        <v>8310</v>
      </c>
      <c r="C151" s="1" t="s">
        <v>828</v>
      </c>
      <c r="D151" s="3" t="s">
        <v>1113</v>
      </c>
      <c r="E151" s="3">
        <v>50</v>
      </c>
      <c r="F151" s="3">
        <v>50</v>
      </c>
      <c r="G151" s="1" t="s">
        <v>17</v>
      </c>
      <c r="H151" s="1"/>
      <c r="I151" s="1">
        <v>0</v>
      </c>
      <c r="J151" s="1" t="s">
        <v>12</v>
      </c>
      <c r="K151" s="1" t="s">
        <v>12</v>
      </c>
      <c r="L151" s="1" t="s">
        <v>7</v>
      </c>
      <c r="M151" s="25"/>
      <c r="N151" s="25" t="str">
        <f>IFERROR(VLOOKUP(Tableau3[[#This Row],[Denomination Sociale]],Tableau7[],1,0),"")</f>
        <v/>
      </c>
      <c r="O151" s="25" t="str">
        <f>VLOOKUP(Tableau3[[#This Row],[Denomination Sociale]],Tableau6[],1,0)</f>
        <v>COMPAGNIE SAHELIENNE D'ENTREPRISE</v>
      </c>
      <c r="P151" s="25" t="s">
        <v>8310</v>
      </c>
      <c r="Q151" s="25" t="str">
        <f>VLOOKUP(Tableau3[[#This Row],[Denomination Sociale]],Tableau6[],1,1)</f>
        <v>COMPAGNIE SAHELIENNE D'ENTREPRISE</v>
      </c>
      <c r="R151" s="25" t="s">
        <v>8</v>
      </c>
    </row>
    <row r="152" spans="1:18" x14ac:dyDescent="0.35">
      <c r="A152" s="24" t="s">
        <v>8</v>
      </c>
      <c r="B152" s="1" t="s">
        <v>210</v>
      </c>
      <c r="C152" s="1" t="s">
        <v>211</v>
      </c>
      <c r="D152" s="3" t="s">
        <v>212</v>
      </c>
      <c r="E152" s="3" t="s">
        <v>213</v>
      </c>
      <c r="F152" s="3" t="s">
        <v>213</v>
      </c>
      <c r="G152" s="1" t="s">
        <v>214</v>
      </c>
      <c r="H152" s="1" t="s">
        <v>214</v>
      </c>
      <c r="I152" s="1" t="s">
        <v>12</v>
      </c>
      <c r="J152" s="1">
        <v>0</v>
      </c>
      <c r="K152" s="1" t="s">
        <v>12</v>
      </c>
      <c r="L152" s="1" t="s">
        <v>7</v>
      </c>
      <c r="M152" s="25" t="s">
        <v>210</v>
      </c>
      <c r="N152" s="25" t="str">
        <f>IFERROR(VLOOKUP(Tableau3[[#This Row],[Denomination Sociale]],Tableau7[],1,0),"")</f>
        <v>DANGOTE CEMENT SENEGAL</v>
      </c>
      <c r="O152" s="25" t="str">
        <f>VLOOKUP(Tableau3[[#This Row],[Denomination Sociale]],Tableau6[],1,0)</f>
        <v>DANGOTE CEMENT SENEGAL</v>
      </c>
      <c r="P152" s="25" t="s">
        <v>210</v>
      </c>
      <c r="Q152" s="25" t="str">
        <f>VLOOKUP(Tableau3[[#This Row],[Denomination Sociale]],Tableau6[],1,1)</f>
        <v>DANGOTE CEMENT SENEGAL</v>
      </c>
      <c r="R152" s="25" t="s">
        <v>8</v>
      </c>
    </row>
    <row r="153" spans="1:18" x14ac:dyDescent="0.35">
      <c r="A153" s="24" t="s">
        <v>8</v>
      </c>
      <c r="B153" s="1" t="s">
        <v>215</v>
      </c>
      <c r="C153" s="1" t="s">
        <v>216</v>
      </c>
      <c r="D153" s="3" t="s">
        <v>217</v>
      </c>
      <c r="E153" s="3">
        <v>30</v>
      </c>
      <c r="F153" s="3" t="s">
        <v>12</v>
      </c>
      <c r="G153" s="1" t="s">
        <v>17</v>
      </c>
      <c r="H153" s="1" t="s">
        <v>17</v>
      </c>
      <c r="I153" s="1" t="s">
        <v>12</v>
      </c>
      <c r="J153" s="1">
        <v>0</v>
      </c>
      <c r="K153" s="1" t="s">
        <v>12</v>
      </c>
      <c r="L153" s="1" t="s">
        <v>7</v>
      </c>
      <c r="M153" s="25"/>
      <c r="N153" s="25" t="str">
        <f>IFERROR(VLOOKUP(Tableau3[[#This Row],[Denomination Sociale]],Tableau7[],1,0),"")</f>
        <v/>
      </c>
      <c r="O153" s="25" t="str">
        <f>VLOOKUP(Tableau3[[#This Row],[Denomination Sociale]],Tableau6[],1,0)</f>
        <v>DANTILA MINE D'OR</v>
      </c>
      <c r="P153" s="25" t="s">
        <v>215</v>
      </c>
      <c r="Q153" s="25" t="str">
        <f>VLOOKUP(Tableau3[[#This Row],[Denomination Sociale]],Tableau6[],1,1)</f>
        <v>DANTILA MINE D'OR</v>
      </c>
      <c r="R153" s="25" t="s">
        <v>8</v>
      </c>
    </row>
    <row r="154" spans="1:18" x14ac:dyDescent="0.35">
      <c r="A154" s="24" t="s">
        <v>8</v>
      </c>
      <c r="B154" s="1" t="s">
        <v>215</v>
      </c>
      <c r="C154" s="1" t="s">
        <v>218</v>
      </c>
      <c r="D154" s="3" t="s">
        <v>217</v>
      </c>
      <c r="E154" s="3">
        <v>40</v>
      </c>
      <c r="F154" s="3" t="s">
        <v>12</v>
      </c>
      <c r="G154" s="1" t="s">
        <v>17</v>
      </c>
      <c r="H154" s="1" t="s">
        <v>17</v>
      </c>
      <c r="I154" s="1" t="s">
        <v>12</v>
      </c>
      <c r="J154" s="1">
        <v>0</v>
      </c>
      <c r="K154" s="1" t="s">
        <v>12</v>
      </c>
      <c r="L154" s="1" t="s">
        <v>7</v>
      </c>
      <c r="M154" s="25"/>
      <c r="N154" s="25" t="str">
        <f>IFERROR(VLOOKUP(Tableau3[[#This Row],[Denomination Sociale]],Tableau7[],1,0),"")</f>
        <v/>
      </c>
      <c r="O154" s="25" t="str">
        <f>VLOOKUP(Tableau3[[#This Row],[Denomination Sociale]],Tableau6[],1,0)</f>
        <v>DANTILA MINE D'OR</v>
      </c>
      <c r="P154" s="25" t="s">
        <v>215</v>
      </c>
      <c r="Q154" s="25" t="str">
        <f>VLOOKUP(Tableau3[[#This Row],[Denomination Sociale]],Tableau6[],1,1)</f>
        <v>DANTILA MINE D'OR</v>
      </c>
      <c r="R154" s="25" t="s">
        <v>8</v>
      </c>
    </row>
    <row r="155" spans="1:18" x14ac:dyDescent="0.35">
      <c r="A155" s="24" t="s">
        <v>8</v>
      </c>
      <c r="B155" s="1" t="s">
        <v>215</v>
      </c>
      <c r="C155" s="1" t="s">
        <v>219</v>
      </c>
      <c r="D155" s="3" t="s">
        <v>217</v>
      </c>
      <c r="E155" s="3">
        <v>30</v>
      </c>
      <c r="F155" s="3" t="s">
        <v>12</v>
      </c>
      <c r="G155" s="1" t="s">
        <v>17</v>
      </c>
      <c r="H155" s="1" t="s">
        <v>17</v>
      </c>
      <c r="I155" s="1" t="s">
        <v>12</v>
      </c>
      <c r="J155" s="1">
        <v>0</v>
      </c>
      <c r="K155" s="1" t="s">
        <v>12</v>
      </c>
      <c r="L155" s="1" t="s">
        <v>7</v>
      </c>
      <c r="M155" s="25"/>
      <c r="N155" s="25" t="str">
        <f>IFERROR(VLOOKUP(Tableau3[[#This Row],[Denomination Sociale]],Tableau7[],1,0),"")</f>
        <v/>
      </c>
      <c r="O155" s="25" t="str">
        <f>VLOOKUP(Tableau3[[#This Row],[Denomination Sociale]],Tableau6[],1,0)</f>
        <v>DANTILA MINE D'OR</v>
      </c>
      <c r="P155" s="25" t="s">
        <v>215</v>
      </c>
      <c r="Q155" s="25" t="str">
        <f>VLOOKUP(Tableau3[[#This Row],[Denomination Sociale]],Tableau6[],1,1)</f>
        <v>DANTILA MINE D'OR</v>
      </c>
      <c r="R155" s="25" t="s">
        <v>8</v>
      </c>
    </row>
    <row r="156" spans="1:18" x14ac:dyDescent="0.35">
      <c r="A156" s="24" t="s">
        <v>8</v>
      </c>
      <c r="B156" s="1" t="s">
        <v>220</v>
      </c>
      <c r="C156" s="1" t="s">
        <v>221</v>
      </c>
      <c r="D156" s="3" t="s">
        <v>222</v>
      </c>
      <c r="E156" s="3">
        <v>100</v>
      </c>
      <c r="F156" s="3">
        <v>100</v>
      </c>
      <c r="G156" s="1" t="s">
        <v>17</v>
      </c>
      <c r="H156" s="1" t="s">
        <v>17</v>
      </c>
      <c r="I156" s="1" t="s">
        <v>12</v>
      </c>
      <c r="J156" s="1">
        <v>0</v>
      </c>
      <c r="K156" s="1" t="s">
        <v>12</v>
      </c>
      <c r="L156" s="1" t="s">
        <v>7</v>
      </c>
      <c r="M156" s="25"/>
      <c r="N156" s="25" t="str">
        <f>IFERROR(VLOOKUP(Tableau3[[#This Row],[Denomination Sociale]],Tableau7[],1,0),"")</f>
        <v/>
      </c>
      <c r="O156" s="25" t="str">
        <f>VLOOKUP(Tableau3[[#This Row],[Denomination Sociale]],Tableau6[],1,0)</f>
        <v>DARA SALAM</v>
      </c>
      <c r="P156" s="25" t="s">
        <v>220</v>
      </c>
      <c r="Q156" s="25" t="str">
        <f>VLOOKUP(Tableau3[[#This Row],[Denomination Sociale]],Tableau6[],1,1)</f>
        <v>DARA SALAM</v>
      </c>
      <c r="R156" s="25" t="s">
        <v>8</v>
      </c>
    </row>
    <row r="157" spans="1:18" x14ac:dyDescent="0.35">
      <c r="A157" s="24" t="s">
        <v>8</v>
      </c>
      <c r="B157" s="1" t="s">
        <v>223</v>
      </c>
      <c r="C157" s="1" t="s">
        <v>224</v>
      </c>
      <c r="D157" s="3" t="s">
        <v>225</v>
      </c>
      <c r="E157" s="3">
        <v>100</v>
      </c>
      <c r="F157" s="3">
        <v>100</v>
      </c>
      <c r="G157" s="1" t="s">
        <v>17</v>
      </c>
      <c r="H157" s="1" t="s">
        <v>17</v>
      </c>
      <c r="I157" s="1" t="s">
        <v>12</v>
      </c>
      <c r="J157" s="1">
        <v>0</v>
      </c>
      <c r="K157" s="1" t="s">
        <v>12</v>
      </c>
      <c r="L157" s="1" t="s">
        <v>7</v>
      </c>
      <c r="M157" s="25"/>
      <c r="N157" s="25" t="str">
        <f>IFERROR(VLOOKUP(Tableau3[[#This Row],[Denomination Sociale]],Tableau7[],1,0),"")</f>
        <v/>
      </c>
      <c r="O157" s="25" t="str">
        <f>VLOOKUP(Tableau3[[#This Row],[Denomination Sociale]],Tableau6[],1,0)</f>
        <v>DESK OFFICE</v>
      </c>
      <c r="P157" s="25" t="s">
        <v>223</v>
      </c>
      <c r="Q157" s="25" t="str">
        <f>VLOOKUP(Tableau3[[#This Row],[Denomination Sociale]],Tableau6[],1,1)</f>
        <v>DESK OFFICE</v>
      </c>
      <c r="R157" s="25" t="s">
        <v>8</v>
      </c>
    </row>
    <row r="158" spans="1:18" x14ac:dyDescent="0.35">
      <c r="A158" s="24" t="s">
        <v>8</v>
      </c>
      <c r="B158" s="1" t="s">
        <v>8310</v>
      </c>
      <c r="C158" s="1" t="s">
        <v>27</v>
      </c>
      <c r="D158" s="3" t="s">
        <v>1113</v>
      </c>
      <c r="E158" s="3">
        <v>25</v>
      </c>
      <c r="F158" s="3">
        <v>25</v>
      </c>
      <c r="G158" s="1" t="s">
        <v>17</v>
      </c>
      <c r="H158" s="1"/>
      <c r="I158" s="1">
        <v>0</v>
      </c>
      <c r="J158" s="1" t="s">
        <v>12</v>
      </c>
      <c r="K158" s="1" t="s">
        <v>12</v>
      </c>
      <c r="L158" s="1" t="s">
        <v>7</v>
      </c>
      <c r="M158" s="25"/>
      <c r="N158" s="25" t="str">
        <f>IFERROR(VLOOKUP(Tableau3[[#This Row],[Denomination Sociale]],Tableau7[],1,0),"")</f>
        <v/>
      </c>
      <c r="O158" s="25" t="str">
        <f>VLOOKUP(Tableau3[[#This Row],[Denomination Sociale]],Tableau6[],1,0)</f>
        <v>COMPAGNIE SAHELIENNE D'ENTREPRISE</v>
      </c>
      <c r="P158" s="25" t="s">
        <v>8310</v>
      </c>
      <c r="Q158" s="25" t="str">
        <f>VLOOKUP(Tableau3[[#This Row],[Denomination Sociale]],Tableau6[],1,1)</f>
        <v>COMPAGNIE SAHELIENNE D'ENTREPRISE</v>
      </c>
      <c r="R158" s="25" t="s">
        <v>8</v>
      </c>
    </row>
    <row r="159" spans="1:18" x14ac:dyDescent="0.35">
      <c r="A159" s="24" t="s">
        <v>8</v>
      </c>
      <c r="B159" s="1" t="s">
        <v>1083</v>
      </c>
      <c r="C159" s="1" t="s">
        <v>1084</v>
      </c>
      <c r="D159" s="3" t="s">
        <v>1085</v>
      </c>
      <c r="E159" s="3">
        <v>100</v>
      </c>
      <c r="F159" s="3" t="s">
        <v>12</v>
      </c>
      <c r="G159" s="1" t="s">
        <v>17</v>
      </c>
      <c r="H159" s="1"/>
      <c r="I159" s="1">
        <v>0</v>
      </c>
      <c r="J159" s="1" t="s">
        <v>12</v>
      </c>
      <c r="K159" s="1" t="s">
        <v>12</v>
      </c>
      <c r="L159" s="1" t="s">
        <v>7</v>
      </c>
      <c r="M159" s="25"/>
      <c r="N159" s="25" t="str">
        <f>IFERROR(VLOOKUP(Tableau3[[#This Row],[Denomination Sociale]],Tableau7[],1,0),"")</f>
        <v/>
      </c>
      <c r="O159" s="25" t="e">
        <f>VLOOKUP(Tableau3[[#This Row],[Denomination Sociale]],Tableau6[],1,0)</f>
        <v>#N/A</v>
      </c>
      <c r="P159" s="25"/>
      <c r="Q159" s="25" t="str">
        <f>VLOOKUP(Tableau3[[#This Row],[Denomination Sociale]],Tableau6[],1,1)</f>
        <v>COMPAGNIE SAHELIENNE D'ENTREPRISE</v>
      </c>
      <c r="R159" s="25" t="s">
        <v>8</v>
      </c>
    </row>
    <row r="160" spans="1:18" x14ac:dyDescent="0.35">
      <c r="A160" s="24" t="s">
        <v>8</v>
      </c>
      <c r="B160" s="1" t="s">
        <v>15109</v>
      </c>
      <c r="C160" s="1" t="s">
        <v>187</v>
      </c>
      <c r="D160" s="3" t="s">
        <v>188</v>
      </c>
      <c r="E160" s="3">
        <v>5</v>
      </c>
      <c r="F160" s="3">
        <v>5</v>
      </c>
      <c r="G160" s="1" t="s">
        <v>17</v>
      </c>
      <c r="H160" s="1" t="s">
        <v>17</v>
      </c>
      <c r="I160" s="1" t="s">
        <v>12</v>
      </c>
      <c r="J160" s="1">
        <v>0</v>
      </c>
      <c r="K160" s="1" t="s">
        <v>12</v>
      </c>
      <c r="L160" s="1" t="s">
        <v>7</v>
      </c>
      <c r="M160" s="25"/>
      <c r="N160" s="25" t="str">
        <f>IFERROR(VLOOKUP(Tableau3[[#This Row],[Denomination Sociale]],Tableau7[],1,0),"")</f>
        <v/>
      </c>
      <c r="O160" s="25" t="e">
        <f>VLOOKUP(Tableau3[[#This Row],[Denomination Sociale]],Tableau6[],1,0)</f>
        <v>#N/A</v>
      </c>
      <c r="P160" s="25"/>
      <c r="Q160" s="25" t="str">
        <f>VLOOKUP(Tableau3[[#This Row],[Denomination Sociale]],Tableau6[],1,1)</f>
        <v>COMPAGNIE SENEGALAISE DE PROMOTION IMMOBILIERE</v>
      </c>
      <c r="R160" s="25" t="s">
        <v>8</v>
      </c>
    </row>
    <row r="161" spans="1:18" x14ac:dyDescent="0.35">
      <c r="A161" s="24" t="s">
        <v>8</v>
      </c>
      <c r="B161" s="1" t="s">
        <v>15109</v>
      </c>
      <c r="C161" s="1" t="s">
        <v>189</v>
      </c>
      <c r="D161" s="3" t="s">
        <v>188</v>
      </c>
      <c r="E161" s="3">
        <v>10</v>
      </c>
      <c r="F161" s="3">
        <v>10</v>
      </c>
      <c r="G161" s="1" t="s">
        <v>17</v>
      </c>
      <c r="H161" s="1" t="s">
        <v>17</v>
      </c>
      <c r="I161" s="1" t="s">
        <v>12</v>
      </c>
      <c r="J161" s="1">
        <v>0</v>
      </c>
      <c r="K161" s="1" t="s">
        <v>12</v>
      </c>
      <c r="L161" s="1" t="s">
        <v>7</v>
      </c>
      <c r="M161" s="25"/>
      <c r="N161" s="25" t="str">
        <f>IFERROR(VLOOKUP(Tableau3[[#This Row],[Denomination Sociale]],Tableau7[],1,0),"")</f>
        <v/>
      </c>
      <c r="O161" s="25" t="e">
        <f>VLOOKUP(Tableau3[[#This Row],[Denomination Sociale]],Tableau6[],1,0)</f>
        <v>#N/A</v>
      </c>
      <c r="P161" s="25"/>
      <c r="Q161" s="25" t="str">
        <f>VLOOKUP(Tableau3[[#This Row],[Denomination Sociale]],Tableau6[],1,1)</f>
        <v>COMPAGNIE SENEGALAISE DE PROMOTION IMMOBILIERE</v>
      </c>
      <c r="R161" s="25" t="s">
        <v>8</v>
      </c>
    </row>
    <row r="162" spans="1:18" x14ac:dyDescent="0.35">
      <c r="A162" s="24" t="s">
        <v>8</v>
      </c>
      <c r="B162" s="1" t="s">
        <v>15109</v>
      </c>
      <c r="C162" s="1" t="s">
        <v>190</v>
      </c>
      <c r="D162" s="3" t="s">
        <v>188</v>
      </c>
      <c r="E162" s="3">
        <v>8</v>
      </c>
      <c r="F162" s="3">
        <v>8</v>
      </c>
      <c r="G162" s="1" t="s">
        <v>17</v>
      </c>
      <c r="H162" s="1" t="s">
        <v>17</v>
      </c>
      <c r="I162" s="1" t="s">
        <v>12</v>
      </c>
      <c r="J162" s="1">
        <v>0</v>
      </c>
      <c r="K162" s="1" t="s">
        <v>12</v>
      </c>
      <c r="L162" s="1" t="s">
        <v>7</v>
      </c>
      <c r="M162" s="25"/>
      <c r="N162" s="25" t="str">
        <f>IFERROR(VLOOKUP(Tableau3[[#This Row],[Denomination Sociale]],Tableau7[],1,0),"")</f>
        <v/>
      </c>
      <c r="O162" s="25" t="e">
        <f>VLOOKUP(Tableau3[[#This Row],[Denomination Sociale]],Tableau6[],1,0)</f>
        <v>#N/A</v>
      </c>
      <c r="P162" s="25"/>
      <c r="Q162" s="25" t="str">
        <f>VLOOKUP(Tableau3[[#This Row],[Denomination Sociale]],Tableau6[],1,1)</f>
        <v>COMPAGNIE SENEGALAISE DE PROMOTION IMMOBILIERE</v>
      </c>
      <c r="R162" s="25" t="s">
        <v>8</v>
      </c>
    </row>
    <row r="163" spans="1:18" x14ac:dyDescent="0.35">
      <c r="A163" s="24" t="s">
        <v>8</v>
      </c>
      <c r="B163" s="1" t="s">
        <v>15109</v>
      </c>
      <c r="C163" s="1" t="s">
        <v>191</v>
      </c>
      <c r="D163" s="3" t="s">
        <v>188</v>
      </c>
      <c r="E163" s="3">
        <v>77</v>
      </c>
      <c r="F163" s="3">
        <v>77</v>
      </c>
      <c r="G163" s="1" t="s">
        <v>17</v>
      </c>
      <c r="H163" s="1" t="s">
        <v>17</v>
      </c>
      <c r="I163" s="1" t="s">
        <v>12</v>
      </c>
      <c r="J163" s="1">
        <v>0</v>
      </c>
      <c r="K163" s="1" t="s">
        <v>12</v>
      </c>
      <c r="L163" s="1" t="s">
        <v>7</v>
      </c>
      <c r="M163" s="25"/>
      <c r="N163" s="25" t="str">
        <f>IFERROR(VLOOKUP(Tableau3[[#This Row],[Denomination Sociale]],Tableau7[],1,0),"")</f>
        <v/>
      </c>
      <c r="O163" s="25" t="e">
        <f>VLOOKUP(Tableau3[[#This Row],[Denomination Sociale]],Tableau6[],1,0)</f>
        <v>#N/A</v>
      </c>
      <c r="P163" s="25"/>
      <c r="Q163" s="25" t="str">
        <f>VLOOKUP(Tableau3[[#This Row],[Denomination Sociale]],Tableau6[],1,1)</f>
        <v>COMPAGNIE SENEGALAISE DE PROMOTION IMMOBILIERE</v>
      </c>
      <c r="R163" s="25" t="s">
        <v>8</v>
      </c>
    </row>
    <row r="164" spans="1:18" x14ac:dyDescent="0.35">
      <c r="A164" s="24" t="s">
        <v>8</v>
      </c>
      <c r="B164" s="1" t="s">
        <v>207</v>
      </c>
      <c r="C164" s="1" t="s">
        <v>208</v>
      </c>
      <c r="D164" s="3" t="s">
        <v>209</v>
      </c>
      <c r="E164" s="3">
        <v>100</v>
      </c>
      <c r="F164" s="3">
        <v>100</v>
      </c>
      <c r="G164" s="1" t="s">
        <v>17</v>
      </c>
      <c r="H164" s="1" t="s">
        <v>17</v>
      </c>
      <c r="I164" s="1" t="s">
        <v>12</v>
      </c>
      <c r="J164" s="1">
        <v>0</v>
      </c>
      <c r="K164" s="1" t="s">
        <v>12</v>
      </c>
      <c r="L164" s="1" t="s">
        <v>7</v>
      </c>
      <c r="M164" s="25"/>
      <c r="N164" s="25" t="str">
        <f>IFERROR(VLOOKUP(Tableau3[[#This Row],[Denomination Sociale]],Tableau7[],1,0),"")</f>
        <v/>
      </c>
      <c r="O164" s="25" t="e">
        <f>VLOOKUP(Tableau3[[#This Row],[Denomination Sociale]],Tableau6[],1,0)</f>
        <v>#N/A</v>
      </c>
      <c r="P164" s="25"/>
      <c r="Q164" s="25" t="str">
        <f>VLOOKUP(Tableau3[[#This Row],[Denomination Sociale]],Tableau6[],1,1)</f>
        <v>DABAKH TRANSPORT</v>
      </c>
      <c r="R164" s="25" t="s">
        <v>8</v>
      </c>
    </row>
    <row r="165" spans="1:18" x14ac:dyDescent="0.35">
      <c r="A165" s="24" t="s">
        <v>8</v>
      </c>
      <c r="B165" s="1" t="s">
        <v>226</v>
      </c>
      <c r="C165" s="1" t="s">
        <v>227</v>
      </c>
      <c r="D165" s="3" t="s">
        <v>228</v>
      </c>
      <c r="E165" s="3">
        <v>100</v>
      </c>
      <c r="F165" s="3">
        <v>100</v>
      </c>
      <c r="G165" s="1" t="s">
        <v>17</v>
      </c>
      <c r="H165" s="1" t="s">
        <v>17</v>
      </c>
      <c r="I165" s="1" t="s">
        <v>12</v>
      </c>
      <c r="J165" s="1">
        <v>0</v>
      </c>
      <c r="K165" s="1" t="s">
        <v>12</v>
      </c>
      <c r="L165" s="1" t="s">
        <v>7</v>
      </c>
      <c r="M165" s="25"/>
      <c r="N165" s="25" t="str">
        <f>IFERROR(VLOOKUP(Tableau3[[#This Row],[Denomination Sociale]],Tableau7[],1,0),"")</f>
        <v/>
      </c>
      <c r="O165" s="25" t="str">
        <f>VLOOKUP(Tableau3[[#This Row],[Denomination Sociale]],Tableau6[],1,0)</f>
        <v>DIAMBAR IMMOBILIER</v>
      </c>
      <c r="P165" s="25" t="s">
        <v>226</v>
      </c>
      <c r="Q165" s="25" t="str">
        <f>VLOOKUP(Tableau3[[#This Row],[Denomination Sociale]],Tableau6[],1,1)</f>
        <v>DIAMBAR IMMOBILIER</v>
      </c>
      <c r="R165" s="25" t="s">
        <v>8</v>
      </c>
    </row>
    <row r="166" spans="1:18" x14ac:dyDescent="0.35">
      <c r="A166" s="24" t="s">
        <v>835</v>
      </c>
      <c r="B166" s="1" t="s">
        <v>15679</v>
      </c>
      <c r="C166" s="1" t="s">
        <v>840</v>
      </c>
      <c r="D166" s="3" t="s">
        <v>841</v>
      </c>
      <c r="E166" s="3" t="s">
        <v>12</v>
      </c>
      <c r="F166" s="3" t="s">
        <v>12</v>
      </c>
      <c r="G166" s="1" t="s">
        <v>17</v>
      </c>
      <c r="H166" s="1" t="s">
        <v>17</v>
      </c>
      <c r="I166" s="1" t="s">
        <v>12</v>
      </c>
      <c r="J166" s="1">
        <v>0</v>
      </c>
      <c r="K166" s="1" t="s">
        <v>12</v>
      </c>
      <c r="L166" s="1" t="s">
        <v>7</v>
      </c>
      <c r="M166" s="25"/>
      <c r="N166" s="25" t="str">
        <f>IFERROR(VLOOKUP(Tableau3[[#This Row],[Denomination Sociale]],Tableau7[],1,0),"")</f>
        <v/>
      </c>
      <c r="O166" s="25" t="e">
        <f>VLOOKUP(Tableau3[[#This Row],[Denomination Sociale]],Tableau6[],1,0)</f>
        <v>#N/A</v>
      </c>
      <c r="P166" s="25"/>
      <c r="Q166" s="25" t="str">
        <f>VLOOKUP(Tableau3[[#This Row],[Denomination Sociale]],Tableau6[],1,1)</f>
        <v>DAROU SALAM TAWFEKH</v>
      </c>
      <c r="R166" s="25" t="s">
        <v>835</v>
      </c>
    </row>
    <row r="167" spans="1:18" x14ac:dyDescent="0.35">
      <c r="A167" s="24" t="s">
        <v>980</v>
      </c>
      <c r="B167" s="1" t="s">
        <v>1025</v>
      </c>
      <c r="C167" s="1" t="s">
        <v>1026</v>
      </c>
      <c r="D167" s="3" t="s">
        <v>1027</v>
      </c>
      <c r="E167" s="3">
        <v>100</v>
      </c>
      <c r="F167" s="3">
        <v>100</v>
      </c>
      <c r="G167" s="1" t="s">
        <v>17</v>
      </c>
      <c r="H167" s="1" t="s">
        <v>17</v>
      </c>
      <c r="I167" s="1" t="s">
        <v>12</v>
      </c>
      <c r="J167" s="1">
        <v>0</v>
      </c>
      <c r="K167" s="1" t="s">
        <v>12</v>
      </c>
      <c r="L167" s="1" t="s">
        <v>7</v>
      </c>
      <c r="M167" s="25"/>
      <c r="N167" s="25" t="str">
        <f>IFERROR(VLOOKUP(Tableau3[[#This Row],[Denomination Sociale]],Tableau7[],1,0),"")</f>
        <v/>
      </c>
      <c r="O167" s="25" t="e">
        <f>VLOOKUP(Tableau3[[#This Row],[Denomination Sociale]],Tableau6[],1,0)</f>
        <v>#N/A</v>
      </c>
      <c r="P167" s="25"/>
      <c r="Q167" s="25" t="str">
        <f>VLOOKUP(Tableau3[[#This Row],[Denomination Sociale]],Tableau6[],1,1)</f>
        <v>DIA AMINATA</v>
      </c>
      <c r="R167" s="25" t="s">
        <v>980</v>
      </c>
    </row>
    <row r="168" spans="1:18" x14ac:dyDescent="0.35">
      <c r="A168" s="24" t="s">
        <v>873</v>
      </c>
      <c r="B168" s="1" t="s">
        <v>921</v>
      </c>
      <c r="C168" s="1" t="s">
        <v>922</v>
      </c>
      <c r="D168" s="3" t="s">
        <v>923</v>
      </c>
      <c r="E168" s="3" t="s">
        <v>12</v>
      </c>
      <c r="F168" s="3" t="s">
        <v>12</v>
      </c>
      <c r="G168" s="1" t="s">
        <v>17</v>
      </c>
      <c r="H168" s="1" t="s">
        <v>17</v>
      </c>
      <c r="I168" s="1" t="s">
        <v>12</v>
      </c>
      <c r="J168" s="1">
        <v>0</v>
      </c>
      <c r="K168" s="1" t="s">
        <v>12</v>
      </c>
      <c r="L168" s="1" t="s">
        <v>7</v>
      </c>
      <c r="M168" s="25"/>
      <c r="N168" s="25" t="str">
        <f>IFERROR(VLOOKUP(Tableau3[[#This Row],[Denomination Sociale]],Tableau7[],1,0),"")</f>
        <v/>
      </c>
      <c r="O168" s="25" t="e">
        <f>VLOOKUP(Tableau3[[#This Row],[Denomination Sociale]],Tableau6[],1,0)</f>
        <v>#N/A</v>
      </c>
      <c r="P168" s="25"/>
      <c r="Q168" s="25" t="str">
        <f>VLOOKUP(Tableau3[[#This Row],[Denomination Sociale]],Tableau6[],1,1)</f>
        <v>DIAGNE ASSANE</v>
      </c>
      <c r="R168" s="25" t="s">
        <v>873</v>
      </c>
    </row>
    <row r="169" spans="1:18" x14ac:dyDescent="0.35">
      <c r="A169" s="24" t="s">
        <v>873</v>
      </c>
      <c r="B169" s="1" t="s">
        <v>921</v>
      </c>
      <c r="C169" s="1" t="s">
        <v>924</v>
      </c>
      <c r="D169" s="3" t="s">
        <v>923</v>
      </c>
      <c r="E169" s="3" t="s">
        <v>12</v>
      </c>
      <c r="F169" s="3" t="s">
        <v>12</v>
      </c>
      <c r="G169" s="1" t="s">
        <v>17</v>
      </c>
      <c r="H169" s="1" t="s">
        <v>17</v>
      </c>
      <c r="I169" s="1" t="s">
        <v>12</v>
      </c>
      <c r="J169" s="1">
        <v>0</v>
      </c>
      <c r="K169" s="1" t="s">
        <v>12</v>
      </c>
      <c r="L169" s="1" t="s">
        <v>7</v>
      </c>
      <c r="M169" s="25"/>
      <c r="N169" s="25" t="str">
        <f>IFERROR(VLOOKUP(Tableau3[[#This Row],[Denomination Sociale]],Tableau7[],1,0),"")</f>
        <v/>
      </c>
      <c r="O169" s="25" t="e">
        <f>VLOOKUP(Tableau3[[#This Row],[Denomination Sociale]],Tableau6[],1,0)</f>
        <v>#N/A</v>
      </c>
      <c r="P169" s="25"/>
      <c r="Q169" s="25" t="str">
        <f>VLOOKUP(Tableau3[[#This Row],[Denomination Sociale]],Tableau6[],1,1)</f>
        <v>DIAGNE ASSANE</v>
      </c>
      <c r="R169" s="25" t="s">
        <v>873</v>
      </c>
    </row>
    <row r="170" spans="1:18" x14ac:dyDescent="0.35">
      <c r="A170" s="24" t="s">
        <v>873</v>
      </c>
      <c r="B170" s="1" t="s">
        <v>921</v>
      </c>
      <c r="C170" s="1" t="s">
        <v>925</v>
      </c>
      <c r="D170" s="3" t="s">
        <v>923</v>
      </c>
      <c r="E170" s="3" t="s">
        <v>12</v>
      </c>
      <c r="F170" s="3" t="s">
        <v>12</v>
      </c>
      <c r="G170" s="1" t="s">
        <v>17</v>
      </c>
      <c r="H170" s="1" t="s">
        <v>17</v>
      </c>
      <c r="I170" s="1" t="s">
        <v>12</v>
      </c>
      <c r="J170" s="1">
        <v>0</v>
      </c>
      <c r="K170" s="1" t="s">
        <v>12</v>
      </c>
      <c r="L170" s="1" t="s">
        <v>7</v>
      </c>
      <c r="M170" s="25"/>
      <c r="N170" s="25" t="str">
        <f>IFERROR(VLOOKUP(Tableau3[[#This Row],[Denomination Sociale]],Tableau7[],1,0),"")</f>
        <v/>
      </c>
      <c r="O170" s="25" t="e">
        <f>VLOOKUP(Tableau3[[#This Row],[Denomination Sociale]],Tableau6[],1,0)</f>
        <v>#N/A</v>
      </c>
      <c r="P170" s="25"/>
      <c r="Q170" s="25" t="str">
        <f>VLOOKUP(Tableau3[[#This Row],[Denomination Sociale]],Tableau6[],1,1)</f>
        <v>DIAGNE ASSANE</v>
      </c>
      <c r="R170" s="25" t="s">
        <v>873</v>
      </c>
    </row>
    <row r="171" spans="1:18" x14ac:dyDescent="0.35">
      <c r="A171" s="24" t="s">
        <v>873</v>
      </c>
      <c r="B171" s="1" t="s">
        <v>921</v>
      </c>
      <c r="C171" s="1" t="s">
        <v>926</v>
      </c>
      <c r="D171" s="3" t="s">
        <v>923</v>
      </c>
      <c r="E171" s="3" t="s">
        <v>12</v>
      </c>
      <c r="F171" s="3" t="s">
        <v>12</v>
      </c>
      <c r="G171" s="1" t="s">
        <v>17</v>
      </c>
      <c r="H171" s="1" t="s">
        <v>17</v>
      </c>
      <c r="I171" s="1" t="s">
        <v>12</v>
      </c>
      <c r="J171" s="1">
        <v>0</v>
      </c>
      <c r="K171" s="1" t="s">
        <v>12</v>
      </c>
      <c r="L171" s="1" t="s">
        <v>7</v>
      </c>
      <c r="M171" s="25"/>
      <c r="N171" s="25" t="str">
        <f>IFERROR(VLOOKUP(Tableau3[[#This Row],[Denomination Sociale]],Tableau7[],1,0),"")</f>
        <v/>
      </c>
      <c r="O171" s="25" t="e">
        <f>VLOOKUP(Tableau3[[#This Row],[Denomination Sociale]],Tableau6[],1,0)</f>
        <v>#N/A</v>
      </c>
      <c r="P171" s="25"/>
      <c r="Q171" s="25" t="str">
        <f>VLOOKUP(Tableau3[[#This Row],[Denomination Sociale]],Tableau6[],1,1)</f>
        <v>DIAGNE ASSANE</v>
      </c>
      <c r="R171" s="25" t="s">
        <v>873</v>
      </c>
    </row>
    <row r="172" spans="1:18" x14ac:dyDescent="0.35">
      <c r="A172" s="24" t="s">
        <v>873</v>
      </c>
      <c r="B172" s="1" t="s">
        <v>921</v>
      </c>
      <c r="C172" s="1" t="s">
        <v>927</v>
      </c>
      <c r="D172" s="3" t="s">
        <v>923</v>
      </c>
      <c r="E172" s="3" t="s">
        <v>12</v>
      </c>
      <c r="F172" s="3" t="s">
        <v>12</v>
      </c>
      <c r="G172" s="1" t="s">
        <v>17</v>
      </c>
      <c r="H172" s="1" t="s">
        <v>17</v>
      </c>
      <c r="I172" s="1" t="s">
        <v>12</v>
      </c>
      <c r="J172" s="1">
        <v>0</v>
      </c>
      <c r="K172" s="1" t="s">
        <v>12</v>
      </c>
      <c r="L172" s="1" t="s">
        <v>7</v>
      </c>
      <c r="M172" s="25"/>
      <c r="N172" s="25" t="str">
        <f>IFERROR(VLOOKUP(Tableau3[[#This Row],[Denomination Sociale]],Tableau7[],1,0),"")</f>
        <v/>
      </c>
      <c r="O172" s="25" t="e">
        <f>VLOOKUP(Tableau3[[#This Row],[Denomination Sociale]],Tableau6[],1,0)</f>
        <v>#N/A</v>
      </c>
      <c r="P172" s="25"/>
      <c r="Q172" s="25" t="str">
        <f>VLOOKUP(Tableau3[[#This Row],[Denomination Sociale]],Tableau6[],1,1)</f>
        <v>DIAGNE ASSANE</v>
      </c>
      <c r="R172" s="25" t="s">
        <v>873</v>
      </c>
    </row>
    <row r="173" spans="1:18" x14ac:dyDescent="0.35">
      <c r="A173" s="24" t="s">
        <v>873</v>
      </c>
      <c r="B173" s="1" t="s">
        <v>921</v>
      </c>
      <c r="C173" s="1" t="s">
        <v>928</v>
      </c>
      <c r="D173" s="3" t="s">
        <v>923</v>
      </c>
      <c r="E173" s="3" t="s">
        <v>12</v>
      </c>
      <c r="F173" s="3" t="s">
        <v>12</v>
      </c>
      <c r="G173" s="1" t="s">
        <v>17</v>
      </c>
      <c r="H173" s="1" t="s">
        <v>17</v>
      </c>
      <c r="I173" s="1" t="s">
        <v>12</v>
      </c>
      <c r="J173" s="1">
        <v>0</v>
      </c>
      <c r="K173" s="1" t="s">
        <v>12</v>
      </c>
      <c r="L173" s="1" t="s">
        <v>7</v>
      </c>
      <c r="M173" s="25"/>
      <c r="N173" s="25" t="str">
        <f>IFERROR(VLOOKUP(Tableau3[[#This Row],[Denomination Sociale]],Tableau7[],1,0),"")</f>
        <v/>
      </c>
      <c r="O173" s="25" t="e">
        <f>VLOOKUP(Tableau3[[#This Row],[Denomination Sociale]],Tableau6[],1,0)</f>
        <v>#N/A</v>
      </c>
      <c r="P173" s="25"/>
      <c r="Q173" s="25" t="str">
        <f>VLOOKUP(Tableau3[[#This Row],[Denomination Sociale]],Tableau6[],1,1)</f>
        <v>DIAGNE ASSANE</v>
      </c>
      <c r="R173" s="25" t="s">
        <v>873</v>
      </c>
    </row>
    <row r="174" spans="1:18" x14ac:dyDescent="0.35">
      <c r="A174" s="24" t="s">
        <v>8</v>
      </c>
      <c r="B174" s="1" t="s">
        <v>229</v>
      </c>
      <c r="C174" s="1" t="s">
        <v>230</v>
      </c>
      <c r="D174" s="3" t="s">
        <v>231</v>
      </c>
      <c r="E174" s="3" t="s">
        <v>12</v>
      </c>
      <c r="F174" s="3" t="s">
        <v>12</v>
      </c>
      <c r="G174" s="1" t="s">
        <v>17</v>
      </c>
      <c r="H174" s="1" t="s">
        <v>17</v>
      </c>
      <c r="I174" s="1" t="s">
        <v>12</v>
      </c>
      <c r="J174" s="1">
        <v>0</v>
      </c>
      <c r="K174" s="1" t="s">
        <v>12</v>
      </c>
      <c r="L174" s="1" t="s">
        <v>7</v>
      </c>
      <c r="M174" s="25"/>
      <c r="N174" s="25" t="str">
        <f>IFERROR(VLOOKUP(Tableau3[[#This Row],[Denomination Sociale]],Tableau7[],1,0),"")</f>
        <v/>
      </c>
      <c r="O174" s="25" t="e">
        <f>VLOOKUP(Tableau3[[#This Row],[Denomination Sociale]],Tableau6[],1,0)</f>
        <v>#N/A</v>
      </c>
      <c r="P174" s="25"/>
      <c r="Q174" s="25" t="str">
        <f>VLOOKUP(Tableau3[[#This Row],[Denomination Sociale]],Tableau6[],1,1)</f>
        <v>DIAMON GOL PETROL SL</v>
      </c>
      <c r="R174" s="25" t="s">
        <v>8</v>
      </c>
    </row>
    <row r="175" spans="1:18" x14ac:dyDescent="0.35">
      <c r="A175" s="24" t="s">
        <v>8</v>
      </c>
      <c r="B175" s="1" t="s">
        <v>232</v>
      </c>
      <c r="C175" s="1" t="s">
        <v>233</v>
      </c>
      <c r="D175" s="3" t="s">
        <v>234</v>
      </c>
      <c r="E175" s="3">
        <v>80</v>
      </c>
      <c r="F175" s="3">
        <v>80</v>
      </c>
      <c r="G175" s="1" t="s">
        <v>17</v>
      </c>
      <c r="H175" s="1" t="s">
        <v>17</v>
      </c>
      <c r="I175" s="1" t="s">
        <v>12</v>
      </c>
      <c r="J175" s="1">
        <v>0</v>
      </c>
      <c r="K175" s="1" t="s">
        <v>12</v>
      </c>
      <c r="L175" s="1" t="s">
        <v>7</v>
      </c>
      <c r="M175" s="25"/>
      <c r="N175" s="25" t="str">
        <f>IFERROR(VLOOKUP(Tableau3[[#This Row],[Denomination Sociale]],Tableau7[],1,0),"")</f>
        <v/>
      </c>
      <c r="O175" s="25" t="e">
        <f>VLOOKUP(Tableau3[[#This Row],[Denomination Sociale]],Tableau6[],1,0)</f>
        <v>#N/A</v>
      </c>
      <c r="P175" s="25"/>
      <c r="Q175" s="25" t="str">
        <f>VLOOKUP(Tableau3[[#This Row],[Denomination Sociale]],Tableau6[],1,1)</f>
        <v>DIENDER</v>
      </c>
      <c r="R175" s="25" t="s">
        <v>8</v>
      </c>
    </row>
    <row r="176" spans="1:18" x14ac:dyDescent="0.35">
      <c r="A176" s="24" t="s">
        <v>980</v>
      </c>
      <c r="B176" s="1" t="s">
        <v>1228</v>
      </c>
      <c r="C176" s="1" t="s">
        <v>989</v>
      </c>
      <c r="D176" s="3" t="s">
        <v>990</v>
      </c>
      <c r="E176" s="3">
        <v>100</v>
      </c>
      <c r="F176" s="3">
        <v>100</v>
      </c>
      <c r="G176" s="1" t="s">
        <v>17</v>
      </c>
      <c r="H176" s="1" t="s">
        <v>17</v>
      </c>
      <c r="I176" s="1" t="s">
        <v>12</v>
      </c>
      <c r="J176" s="1">
        <v>0</v>
      </c>
      <c r="K176" s="1" t="s">
        <v>12</v>
      </c>
      <c r="L176" s="1" t="s">
        <v>7</v>
      </c>
      <c r="M176" s="25"/>
      <c r="N176" s="25" t="str">
        <f>IFERROR(VLOOKUP(Tableau3[[#This Row],[Denomination Sociale]],Tableau7[],1,0),"")</f>
        <v/>
      </c>
      <c r="O176" s="25" t="str">
        <f>VLOOKUP(Tableau3[[#This Row],[Denomination Sociale]],Tableau6[],1,0)</f>
        <v>EMEEF CONSULTING</v>
      </c>
      <c r="P176" s="25" t="s">
        <v>1228</v>
      </c>
      <c r="Q176" s="25" t="str">
        <f>VLOOKUP(Tableau3[[#This Row],[Denomination Sociale]],Tableau6[],1,1)</f>
        <v>EMEEF CONSULTING</v>
      </c>
      <c r="R176" s="25" t="s">
        <v>980</v>
      </c>
    </row>
    <row r="177" spans="1:18" x14ac:dyDescent="0.35">
      <c r="A177" s="24" t="s">
        <v>8</v>
      </c>
      <c r="B177" s="1" t="s">
        <v>244</v>
      </c>
      <c r="C177" s="1" t="s">
        <v>171</v>
      </c>
      <c r="D177" s="3" t="s">
        <v>245</v>
      </c>
      <c r="E177" s="3">
        <v>20</v>
      </c>
      <c r="F177" s="3">
        <v>20</v>
      </c>
      <c r="G177" s="1" t="s">
        <v>17</v>
      </c>
      <c r="H177" s="1" t="s">
        <v>17</v>
      </c>
      <c r="I177" s="1" t="s">
        <v>12</v>
      </c>
      <c r="J177" s="1">
        <v>0</v>
      </c>
      <c r="K177" s="1" t="s">
        <v>12</v>
      </c>
      <c r="L177" s="1" t="s">
        <v>7</v>
      </c>
      <c r="M177" s="25"/>
      <c r="N177" s="25" t="str">
        <f>IFERROR(VLOOKUP(Tableau3[[#This Row],[Denomination Sociale]],Tableau7[],1,0),"")</f>
        <v/>
      </c>
      <c r="O177" s="25" t="str">
        <f>VLOOKUP(Tableau3[[#This Row],[Denomination Sociale]],Tableau6[],1,0)</f>
        <v>EMERGENCE MINES &amp; INVESTISSEMENTS</v>
      </c>
      <c r="P177" s="25" t="s">
        <v>244</v>
      </c>
      <c r="Q177" s="25" t="str">
        <f>VLOOKUP(Tableau3[[#This Row],[Denomination Sociale]],Tableau6[],1,1)</f>
        <v>EMERGENCE MINES &amp; INVESTISSEMENTS</v>
      </c>
      <c r="R177" s="25" t="s">
        <v>8</v>
      </c>
    </row>
    <row r="178" spans="1:18" x14ac:dyDescent="0.35">
      <c r="A178" s="24" t="s">
        <v>8</v>
      </c>
      <c r="B178" s="1" t="s">
        <v>244</v>
      </c>
      <c r="C178" s="1" t="s">
        <v>246</v>
      </c>
      <c r="D178" s="3" t="s">
        <v>245</v>
      </c>
      <c r="E178" s="3">
        <v>40</v>
      </c>
      <c r="F178" s="3">
        <v>40</v>
      </c>
      <c r="G178" s="1" t="s">
        <v>247</v>
      </c>
      <c r="H178" s="1" t="s">
        <v>247</v>
      </c>
      <c r="I178" s="1" t="s">
        <v>12</v>
      </c>
      <c r="J178" s="1">
        <v>0</v>
      </c>
      <c r="K178" s="1" t="s">
        <v>12</v>
      </c>
      <c r="L178" s="1" t="s">
        <v>7</v>
      </c>
      <c r="M178" s="25"/>
      <c r="N178" s="25" t="str">
        <f>IFERROR(VLOOKUP(Tableau3[[#This Row],[Denomination Sociale]],Tableau7[],1,0),"")</f>
        <v/>
      </c>
      <c r="O178" s="25" t="str">
        <f>VLOOKUP(Tableau3[[#This Row],[Denomination Sociale]],Tableau6[],1,0)</f>
        <v>EMERGENCE MINES &amp; INVESTISSEMENTS</v>
      </c>
      <c r="P178" s="25" t="s">
        <v>244</v>
      </c>
      <c r="Q178" s="25" t="str">
        <f>VLOOKUP(Tableau3[[#This Row],[Denomination Sociale]],Tableau6[],1,1)</f>
        <v>EMERGENCE MINES &amp; INVESTISSEMENTS</v>
      </c>
      <c r="R178" s="25" t="s">
        <v>8</v>
      </c>
    </row>
    <row r="179" spans="1:18" x14ac:dyDescent="0.35">
      <c r="A179" s="24" t="s">
        <v>8</v>
      </c>
      <c r="B179" s="1" t="s">
        <v>244</v>
      </c>
      <c r="C179" s="1" t="s">
        <v>248</v>
      </c>
      <c r="D179" s="3" t="s">
        <v>245</v>
      </c>
      <c r="E179" s="3">
        <v>40</v>
      </c>
      <c r="F179" s="3">
        <v>40</v>
      </c>
      <c r="G179" s="1" t="s">
        <v>17</v>
      </c>
      <c r="H179" s="1" t="s">
        <v>17</v>
      </c>
      <c r="I179" s="1" t="s">
        <v>12</v>
      </c>
      <c r="J179" s="1">
        <v>0</v>
      </c>
      <c r="K179" s="1" t="s">
        <v>12</v>
      </c>
      <c r="L179" s="1" t="s">
        <v>7</v>
      </c>
      <c r="M179" s="25"/>
      <c r="N179" s="25" t="str">
        <f>IFERROR(VLOOKUP(Tableau3[[#This Row],[Denomination Sociale]],Tableau7[],1,0),"")</f>
        <v/>
      </c>
      <c r="O179" s="25" t="str">
        <f>VLOOKUP(Tableau3[[#This Row],[Denomination Sociale]],Tableau6[],1,0)</f>
        <v>EMERGENCE MINES &amp; INVESTISSEMENTS</v>
      </c>
      <c r="P179" s="25" t="s">
        <v>244</v>
      </c>
      <c r="Q179" s="25" t="str">
        <f>VLOOKUP(Tableau3[[#This Row],[Denomination Sociale]],Tableau6[],1,1)</f>
        <v>EMERGENCE MINES &amp; INVESTISSEMENTS</v>
      </c>
      <c r="R179" s="25" t="s">
        <v>8</v>
      </c>
    </row>
    <row r="180" spans="1:18" x14ac:dyDescent="0.35">
      <c r="A180" s="24" t="s">
        <v>8</v>
      </c>
      <c r="B180" s="1" t="s">
        <v>232</v>
      </c>
      <c r="C180" s="1" t="s">
        <v>235</v>
      </c>
      <c r="D180" s="3" t="s">
        <v>234</v>
      </c>
      <c r="E180" s="3">
        <v>20</v>
      </c>
      <c r="F180" s="3">
        <v>20</v>
      </c>
      <c r="G180" s="1" t="s">
        <v>17</v>
      </c>
      <c r="H180" s="1" t="s">
        <v>17</v>
      </c>
      <c r="I180" s="1" t="s">
        <v>12</v>
      </c>
      <c r="J180" s="1">
        <v>0</v>
      </c>
      <c r="K180" s="1" t="s">
        <v>12</v>
      </c>
      <c r="L180" s="1" t="s">
        <v>7</v>
      </c>
      <c r="M180" s="25"/>
      <c r="N180" s="25" t="str">
        <f>IFERROR(VLOOKUP(Tableau3[[#This Row],[Denomination Sociale]],Tableau7[],1,0),"")</f>
        <v/>
      </c>
      <c r="O180" s="25" t="e">
        <f>VLOOKUP(Tableau3[[#This Row],[Denomination Sociale]],Tableau6[],1,0)</f>
        <v>#N/A</v>
      </c>
      <c r="P180" s="25"/>
      <c r="Q180" s="25" t="str">
        <f>VLOOKUP(Tableau3[[#This Row],[Denomination Sociale]],Tableau6[],1,1)</f>
        <v>DIENDER</v>
      </c>
      <c r="R180" s="25" t="s">
        <v>8</v>
      </c>
    </row>
    <row r="181" spans="1:18" x14ac:dyDescent="0.35">
      <c r="A181" s="24" t="s">
        <v>857</v>
      </c>
      <c r="B181" s="1" t="s">
        <v>858</v>
      </c>
      <c r="C181" s="1" t="s">
        <v>859</v>
      </c>
      <c r="D181" s="3" t="s">
        <v>860</v>
      </c>
      <c r="E181" s="3" t="s">
        <v>12</v>
      </c>
      <c r="F181" s="3" t="s">
        <v>12</v>
      </c>
      <c r="G181" s="1" t="s">
        <v>17</v>
      </c>
      <c r="H181" s="1" t="s">
        <v>17</v>
      </c>
      <c r="I181" s="1" t="s">
        <v>12</v>
      </c>
      <c r="J181" s="1">
        <v>0</v>
      </c>
      <c r="K181" s="1" t="s">
        <v>12</v>
      </c>
      <c r="L181" s="1" t="s">
        <v>7</v>
      </c>
      <c r="M181" s="25"/>
      <c r="N181" s="25" t="str">
        <f>IFERROR(VLOOKUP(Tableau3[[#This Row],[Denomination Sociale]],Tableau7[],1,0),"")</f>
        <v/>
      </c>
      <c r="O181" s="25" t="e">
        <f>VLOOKUP(Tableau3[[#This Row],[Denomination Sociale]],Tableau6[],1,0)</f>
        <v>#N/A</v>
      </c>
      <c r="P181" s="25"/>
      <c r="Q181" s="25" t="str">
        <f>VLOOKUP(Tableau3[[#This Row],[Denomination Sociale]],Tableau6[],1,1)</f>
        <v>DIOR GOLD</v>
      </c>
      <c r="R181" s="25" t="s">
        <v>857</v>
      </c>
    </row>
    <row r="182" spans="1:18" x14ac:dyDescent="0.35">
      <c r="A182" s="24" t="s">
        <v>8</v>
      </c>
      <c r="B182" s="1" t="s">
        <v>15680</v>
      </c>
      <c r="C182" s="1" t="s">
        <v>257</v>
      </c>
      <c r="D182" s="3" t="s">
        <v>258</v>
      </c>
      <c r="E182" s="3">
        <v>100</v>
      </c>
      <c r="F182" s="3" t="s">
        <v>12</v>
      </c>
      <c r="G182" s="1" t="s">
        <v>17</v>
      </c>
      <c r="H182" s="1" t="s">
        <v>17</v>
      </c>
      <c r="I182" s="1" t="s">
        <v>12</v>
      </c>
      <c r="J182" s="1">
        <v>0</v>
      </c>
      <c r="K182" s="1" t="s">
        <v>12</v>
      </c>
      <c r="L182" s="1" t="s">
        <v>7</v>
      </c>
      <c r="M182" s="25"/>
      <c r="N182" s="25" t="str">
        <f>IFERROR(VLOOKUP(Tableau3[[#This Row],[Denomination Sociale]],Tableau7[],1,0),"")</f>
        <v/>
      </c>
      <c r="O182" s="25" t="e">
        <f>VLOOKUP(Tableau3[[#This Row],[Denomination Sociale]],Tableau6[],1,0)</f>
        <v>#N/A</v>
      </c>
      <c r="P182" s="25"/>
      <c r="Q182" s="25" t="str">
        <f>VLOOKUP(Tableau3[[#This Row],[Denomination Sociale]],Tableau6[],1,1)</f>
        <v>DJOLOF TRANSPORT</v>
      </c>
      <c r="R182" s="25" t="s">
        <v>8</v>
      </c>
    </row>
    <row r="183" spans="1:18" x14ac:dyDescent="0.35">
      <c r="A183" s="24" t="s">
        <v>980</v>
      </c>
      <c r="B183" s="1" t="s">
        <v>15678</v>
      </c>
      <c r="C183" s="1" t="s">
        <v>1029</v>
      </c>
      <c r="D183" s="3" t="s">
        <v>1030</v>
      </c>
      <c r="E183" s="3">
        <v>100</v>
      </c>
      <c r="F183" s="3">
        <v>100</v>
      </c>
      <c r="G183" s="1" t="s">
        <v>17</v>
      </c>
      <c r="H183" s="1" t="s">
        <v>17</v>
      </c>
      <c r="I183" s="1" t="s">
        <v>12</v>
      </c>
      <c r="J183" s="1">
        <v>0</v>
      </c>
      <c r="K183" s="1" t="s">
        <v>12</v>
      </c>
      <c r="L183" s="1" t="s">
        <v>7</v>
      </c>
      <c r="M183" s="25"/>
      <c r="N183" s="25" t="str">
        <f>IFERROR(VLOOKUP(Tableau3[[#This Row],[Denomination Sociale]],Tableau7[],1,0),"")</f>
        <v/>
      </c>
      <c r="O183" s="25" t="e">
        <f>VLOOKUP(Tableau3[[#This Row],[Denomination Sociale]],Tableau6[],1,0)</f>
        <v>#N/A</v>
      </c>
      <c r="P183" s="25"/>
      <c r="Q183" s="25" t="str">
        <f>VLOOKUP(Tableau3[[#This Row],[Denomination Sociale]],Tableau6[],1,1)</f>
        <v>EAUX SOUTERRAINES DU SENEGAL</v>
      </c>
      <c r="R183" s="25" t="s">
        <v>980</v>
      </c>
    </row>
    <row r="184" spans="1:18" x14ac:dyDescent="0.35">
      <c r="A184" s="24" t="s">
        <v>966</v>
      </c>
      <c r="B184" s="1" t="s">
        <v>15247</v>
      </c>
      <c r="C184" s="1" t="s">
        <v>859</v>
      </c>
      <c r="D184" s="3" t="s">
        <v>1110</v>
      </c>
      <c r="E184" s="3">
        <v>100</v>
      </c>
      <c r="F184" s="3">
        <v>100</v>
      </c>
      <c r="G184" s="1" t="s">
        <v>17</v>
      </c>
      <c r="H184" s="1"/>
      <c r="I184" s="1">
        <v>0</v>
      </c>
      <c r="J184" s="1" t="s">
        <v>12</v>
      </c>
      <c r="K184" s="1" t="s">
        <v>12</v>
      </c>
      <c r="L184" s="1" t="s">
        <v>7</v>
      </c>
      <c r="M184" s="25"/>
      <c r="N184" s="25" t="str">
        <f>IFERROR(VLOOKUP(Tableau3[[#This Row],[Denomination Sociale]],Tableau7[],1,0),"")</f>
        <v/>
      </c>
      <c r="O184" s="25" t="e">
        <f>VLOOKUP(Tableau3[[#This Row],[Denomination Sociale]],Tableau6[],1,0)</f>
        <v>#N/A</v>
      </c>
      <c r="P184" s="25"/>
      <c r="Q184" s="25" t="str">
        <f>VLOOKUP(Tableau3[[#This Row],[Denomination Sociale]],Tableau6[],1,1)</f>
        <v>EBATI SENEGAL</v>
      </c>
      <c r="R184" s="25" t="s">
        <v>966</v>
      </c>
    </row>
    <row r="185" spans="1:18" x14ac:dyDescent="0.35">
      <c r="A185" s="24" t="s">
        <v>8</v>
      </c>
      <c r="B185" s="1" t="s">
        <v>252</v>
      </c>
      <c r="C185" s="1" t="s">
        <v>253</v>
      </c>
      <c r="D185" s="3" t="s">
        <v>254</v>
      </c>
      <c r="E185" s="3">
        <v>30</v>
      </c>
      <c r="F185" s="3">
        <v>30</v>
      </c>
      <c r="G185" s="1" t="s">
        <v>17</v>
      </c>
      <c r="H185" s="1" t="s">
        <v>17</v>
      </c>
      <c r="I185" s="1" t="s">
        <v>12</v>
      </c>
      <c r="J185" s="1">
        <v>0</v>
      </c>
      <c r="K185" s="1" t="s">
        <v>12</v>
      </c>
      <c r="L185" s="1" t="s">
        <v>7</v>
      </c>
      <c r="M185" s="25"/>
      <c r="N185" s="25" t="str">
        <f>IFERROR(VLOOKUP(Tableau3[[#This Row],[Denomination Sociale]],Tableau7[],1,0),"")</f>
        <v/>
      </c>
      <c r="O185" s="25" t="str">
        <f>VLOOKUP(Tableau3[[#This Row],[Denomination Sociale]],Tableau6[],1,0)</f>
        <v>ENTREPRISE DE RECHERCHE ET D'EXPLOITATION MINIERE (EREM)</v>
      </c>
      <c r="P185" s="25" t="s">
        <v>252</v>
      </c>
      <c r="Q185" s="25" t="str">
        <f>VLOOKUP(Tableau3[[#This Row],[Denomination Sociale]],Tableau6[],1,1)</f>
        <v>ENTREPRISE DE RECHERCHE ET D'EXPLOITATION MINIERE (EREM)</v>
      </c>
      <c r="R185" s="25" t="s">
        <v>8</v>
      </c>
    </row>
    <row r="186" spans="1:18" x14ac:dyDescent="0.35">
      <c r="A186" s="24" t="s">
        <v>8</v>
      </c>
      <c r="B186" s="1" t="s">
        <v>252</v>
      </c>
      <c r="C186" s="1" t="s">
        <v>255</v>
      </c>
      <c r="D186" s="3" t="s">
        <v>254</v>
      </c>
      <c r="E186" s="3">
        <v>30</v>
      </c>
      <c r="F186" s="3">
        <v>30</v>
      </c>
      <c r="G186" s="1" t="s">
        <v>17</v>
      </c>
      <c r="H186" s="1" t="s">
        <v>17</v>
      </c>
      <c r="I186" s="1" t="s">
        <v>12</v>
      </c>
      <c r="J186" s="1">
        <v>0</v>
      </c>
      <c r="K186" s="1" t="s">
        <v>12</v>
      </c>
      <c r="L186" s="1" t="s">
        <v>7</v>
      </c>
      <c r="M186" s="25"/>
      <c r="N186" s="25" t="str">
        <f>IFERROR(VLOOKUP(Tableau3[[#This Row],[Denomination Sociale]],Tableau7[],1,0),"")</f>
        <v/>
      </c>
      <c r="O186" s="25" t="str">
        <f>VLOOKUP(Tableau3[[#This Row],[Denomination Sociale]],Tableau6[],1,0)</f>
        <v>ENTREPRISE DE RECHERCHE ET D'EXPLOITATION MINIERE (EREM)</v>
      </c>
      <c r="P186" s="25" t="s">
        <v>252</v>
      </c>
      <c r="Q186" s="25" t="str">
        <f>VLOOKUP(Tableau3[[#This Row],[Denomination Sociale]],Tableau6[],1,1)</f>
        <v>ENTREPRISE DE RECHERCHE ET D'EXPLOITATION MINIERE (EREM)</v>
      </c>
      <c r="R186" s="25" t="s">
        <v>8</v>
      </c>
    </row>
    <row r="187" spans="1:18" x14ac:dyDescent="0.35">
      <c r="A187" s="24" t="s">
        <v>8</v>
      </c>
      <c r="B187" s="1" t="s">
        <v>252</v>
      </c>
      <c r="C187" s="1" t="s">
        <v>193</v>
      </c>
      <c r="D187" s="3" t="s">
        <v>254</v>
      </c>
      <c r="E187" s="3">
        <v>40</v>
      </c>
      <c r="F187" s="3">
        <v>40</v>
      </c>
      <c r="G187" s="1" t="s">
        <v>17</v>
      </c>
      <c r="H187" s="1" t="s">
        <v>17</v>
      </c>
      <c r="I187" s="1" t="s">
        <v>12</v>
      </c>
      <c r="J187" s="1">
        <v>0</v>
      </c>
      <c r="K187" s="1" t="s">
        <v>12</v>
      </c>
      <c r="L187" s="1" t="s">
        <v>7</v>
      </c>
      <c r="M187" s="25"/>
      <c r="N187" s="25" t="str">
        <f>IFERROR(VLOOKUP(Tableau3[[#This Row],[Denomination Sociale]],Tableau7[],1,0),"")</f>
        <v/>
      </c>
      <c r="O187" s="25" t="str">
        <f>VLOOKUP(Tableau3[[#This Row],[Denomination Sociale]],Tableau6[],1,0)</f>
        <v>ENTREPRISE DE RECHERCHE ET D'EXPLOITATION MINIERE (EREM)</v>
      </c>
      <c r="P187" s="25" t="s">
        <v>252</v>
      </c>
      <c r="Q187" s="25" t="str">
        <f>VLOOKUP(Tableau3[[#This Row],[Denomination Sociale]],Tableau6[],1,1)</f>
        <v>ENTREPRISE DE RECHERCHE ET D'EXPLOITATION MINIERE (EREM)</v>
      </c>
      <c r="R187" s="25" t="s">
        <v>8</v>
      </c>
    </row>
    <row r="188" spans="1:18" x14ac:dyDescent="0.35">
      <c r="A188" s="24" t="s">
        <v>8</v>
      </c>
      <c r="B188" s="1" t="s">
        <v>236</v>
      </c>
      <c r="C188" s="1" t="s">
        <v>237</v>
      </c>
      <c r="D188" s="3" t="s">
        <v>238</v>
      </c>
      <c r="E188" s="3">
        <v>5</v>
      </c>
      <c r="F188" s="3">
        <v>5</v>
      </c>
      <c r="G188" s="1" t="s">
        <v>17</v>
      </c>
      <c r="H188" s="1" t="s">
        <v>17</v>
      </c>
      <c r="I188" s="1" t="s">
        <v>12</v>
      </c>
      <c r="J188" s="1">
        <v>0</v>
      </c>
      <c r="K188" s="1" t="s">
        <v>12</v>
      </c>
      <c r="L188" s="1" t="s">
        <v>7</v>
      </c>
      <c r="M188" s="25"/>
      <c r="N188" s="25" t="str">
        <f>IFERROR(VLOOKUP(Tableau3[[#This Row],[Denomination Sociale]],Tableau7[],1,0),"")</f>
        <v/>
      </c>
      <c r="O188" s="25" t="e">
        <f>VLOOKUP(Tableau3[[#This Row],[Denomination Sociale]],Tableau6[],1,0)</f>
        <v>#N/A</v>
      </c>
      <c r="P188" s="25"/>
      <c r="Q188" s="25" t="str">
        <f>VLOOKUP(Tableau3[[#This Row],[Denomination Sociale]],Tableau6[],1,1)</f>
        <v>EBONY NATURAL RESOURCES</v>
      </c>
      <c r="R188" s="25" t="s">
        <v>8</v>
      </c>
    </row>
    <row r="189" spans="1:18" x14ac:dyDescent="0.35">
      <c r="A189" s="24" t="s">
        <v>8</v>
      </c>
      <c r="B189" s="1" t="s">
        <v>236</v>
      </c>
      <c r="C189" s="1" t="s">
        <v>239</v>
      </c>
      <c r="D189" s="3" t="s">
        <v>238</v>
      </c>
      <c r="E189" s="3">
        <v>65</v>
      </c>
      <c r="F189" s="3">
        <v>65</v>
      </c>
      <c r="G189" s="1" t="s">
        <v>17</v>
      </c>
      <c r="H189" s="1" t="s">
        <v>17</v>
      </c>
      <c r="I189" s="1" t="s">
        <v>12</v>
      </c>
      <c r="J189" s="1">
        <v>0</v>
      </c>
      <c r="K189" s="1" t="s">
        <v>12</v>
      </c>
      <c r="L189" s="1" t="s">
        <v>7</v>
      </c>
      <c r="M189" s="25"/>
      <c r="N189" s="25" t="str">
        <f>IFERROR(VLOOKUP(Tableau3[[#This Row],[Denomination Sociale]],Tableau7[],1,0),"")</f>
        <v/>
      </c>
      <c r="O189" s="25" t="e">
        <f>VLOOKUP(Tableau3[[#This Row],[Denomination Sociale]],Tableau6[],1,0)</f>
        <v>#N/A</v>
      </c>
      <c r="P189" s="25"/>
      <c r="Q189" s="25" t="str">
        <f>VLOOKUP(Tableau3[[#This Row],[Denomination Sociale]],Tableau6[],1,1)</f>
        <v>EBONY NATURAL RESOURCES</v>
      </c>
      <c r="R189" s="25" t="s">
        <v>8</v>
      </c>
    </row>
    <row r="190" spans="1:18" x14ac:dyDescent="0.35">
      <c r="A190" s="24" t="s">
        <v>8</v>
      </c>
      <c r="B190" s="1" t="s">
        <v>259</v>
      </c>
      <c r="C190" s="1" t="s">
        <v>260</v>
      </c>
      <c r="D190" s="3" t="s">
        <v>261</v>
      </c>
      <c r="E190" s="3">
        <v>100</v>
      </c>
      <c r="F190" s="3" t="s">
        <v>12</v>
      </c>
      <c r="G190" s="1" t="s">
        <v>17</v>
      </c>
      <c r="H190" s="1" t="s">
        <v>17</v>
      </c>
      <c r="I190" s="1" t="s">
        <v>12</v>
      </c>
      <c r="J190" s="1">
        <v>0</v>
      </c>
      <c r="K190" s="1" t="s">
        <v>12</v>
      </c>
      <c r="L190" s="1" t="s">
        <v>7</v>
      </c>
      <c r="M190" s="25"/>
      <c r="N190" s="25" t="str">
        <f>IFERROR(VLOOKUP(Tableau3[[#This Row],[Denomination Sociale]],Tableau7[],1,0),"")</f>
        <v/>
      </c>
      <c r="O190" s="25" t="str">
        <f>VLOOKUP(Tableau3[[#This Row],[Denomination Sociale]],Tableau6[],1,0)</f>
        <v>ENTREPRISE GENERALE DE CONSTRUCTION ET D'AMENAGEMENT</v>
      </c>
      <c r="P190" s="25" t="s">
        <v>259</v>
      </c>
      <c r="Q190" s="25" t="str">
        <f>VLOOKUP(Tableau3[[#This Row],[Denomination Sociale]],Tableau6[],1,1)</f>
        <v>ENTREPRISE GENERALE DE CONSTRUCTION ET D'AMENAGEMENT</v>
      </c>
      <c r="R190" s="25" t="s">
        <v>8</v>
      </c>
    </row>
    <row r="191" spans="1:18" x14ac:dyDescent="0.35">
      <c r="A191" s="24" t="s">
        <v>8</v>
      </c>
      <c r="B191" s="1" t="s">
        <v>236</v>
      </c>
      <c r="C191" s="1" t="s">
        <v>240</v>
      </c>
      <c r="D191" s="3" t="s">
        <v>238</v>
      </c>
      <c r="E191" s="3">
        <v>30</v>
      </c>
      <c r="F191" s="3">
        <v>30</v>
      </c>
      <c r="G191" s="1" t="s">
        <v>17</v>
      </c>
      <c r="H191" s="1" t="s">
        <v>17</v>
      </c>
      <c r="I191" s="1" t="s">
        <v>12</v>
      </c>
      <c r="J191" s="1">
        <v>0</v>
      </c>
      <c r="K191" s="1" t="s">
        <v>12</v>
      </c>
      <c r="L191" s="1" t="s">
        <v>7</v>
      </c>
      <c r="M191" s="25"/>
      <c r="N191" s="25" t="str">
        <f>IFERROR(VLOOKUP(Tableau3[[#This Row],[Denomination Sociale]],Tableau7[],1,0),"")</f>
        <v/>
      </c>
      <c r="O191" s="25" t="e">
        <f>VLOOKUP(Tableau3[[#This Row],[Denomination Sociale]],Tableau6[],1,0)</f>
        <v>#N/A</v>
      </c>
      <c r="P191" s="25"/>
      <c r="Q191" s="25" t="str">
        <f>VLOOKUP(Tableau3[[#This Row],[Denomination Sociale]],Tableau6[],1,1)</f>
        <v>EBONY NATURAL RESOURCES</v>
      </c>
      <c r="R191" s="25" t="s">
        <v>8</v>
      </c>
    </row>
    <row r="192" spans="1:18" x14ac:dyDescent="0.35">
      <c r="A192" s="24" t="s">
        <v>8</v>
      </c>
      <c r="B192" s="1" t="s">
        <v>241</v>
      </c>
      <c r="C192" s="1" t="s">
        <v>242</v>
      </c>
      <c r="D192" s="3" t="s">
        <v>243</v>
      </c>
      <c r="E192" s="3">
        <v>100</v>
      </c>
      <c r="F192" s="3" t="s">
        <v>12</v>
      </c>
      <c r="G192" s="1" t="s">
        <v>17</v>
      </c>
      <c r="H192" s="1" t="s">
        <v>17</v>
      </c>
      <c r="I192" s="1" t="s">
        <v>12</v>
      </c>
      <c r="J192" s="1">
        <v>0</v>
      </c>
      <c r="K192" s="1" t="s">
        <v>12</v>
      </c>
      <c r="L192" s="1" t="s">
        <v>7</v>
      </c>
      <c r="M192" s="25"/>
      <c r="N192" s="25" t="str">
        <f>IFERROR(VLOOKUP(Tableau3[[#This Row],[Denomination Sociale]],Tableau7[],1,0),"")</f>
        <v/>
      </c>
      <c r="O192" s="25" t="e">
        <f>VLOOKUP(Tableau3[[#This Row],[Denomination Sociale]],Tableau6[],1,0)</f>
        <v>#N/A</v>
      </c>
      <c r="P192" s="25"/>
      <c r="Q192" s="25" t="str">
        <f>VLOOKUP(Tableau3[[#This Row],[Denomination Sociale]],Tableau6[],1,1)</f>
        <v>ECOMINES SA</v>
      </c>
      <c r="R192" s="25" t="s">
        <v>8</v>
      </c>
    </row>
    <row r="193" spans="1:18" x14ac:dyDescent="0.35">
      <c r="A193" s="24" t="s">
        <v>857</v>
      </c>
      <c r="B193" s="1" t="s">
        <v>15072</v>
      </c>
      <c r="C193" s="1" t="s">
        <v>862</v>
      </c>
      <c r="D193" s="3" t="s">
        <v>863</v>
      </c>
      <c r="E193" s="3">
        <v>100</v>
      </c>
      <c r="F193" s="3">
        <v>100</v>
      </c>
      <c r="G193" s="1" t="s">
        <v>17</v>
      </c>
      <c r="H193" s="1" t="s">
        <v>17</v>
      </c>
      <c r="I193" s="1" t="s">
        <v>12</v>
      </c>
      <c r="J193" s="1">
        <v>0</v>
      </c>
      <c r="K193" s="1" t="s">
        <v>12</v>
      </c>
      <c r="L193" s="1" t="s">
        <v>7</v>
      </c>
      <c r="M193" s="25"/>
      <c r="N193" s="25" t="str">
        <f>IFERROR(VLOOKUP(Tableau3[[#This Row],[Denomination Sociale]],Tableau7[],1,0),"")</f>
        <v/>
      </c>
      <c r="O193" s="25" t="str">
        <f>VLOOKUP(Tableau3[[#This Row],[Denomination Sociale]],Tableau6[],1,0)</f>
        <v>MAMOUR NDIAYE</v>
      </c>
      <c r="P193" s="25" t="s">
        <v>15072</v>
      </c>
      <c r="Q193" s="25" t="str">
        <f>VLOOKUP(Tableau3[[#This Row],[Denomination Sociale]],Tableau6[],1,1)</f>
        <v>MAMOUR NDIAYE</v>
      </c>
      <c r="R193" s="25" t="s">
        <v>857</v>
      </c>
    </row>
    <row r="194" spans="1:18" x14ac:dyDescent="0.35">
      <c r="A194" s="24" t="s">
        <v>8</v>
      </c>
      <c r="B194" s="1" t="s">
        <v>15555</v>
      </c>
      <c r="C194" s="1" t="s">
        <v>1155</v>
      </c>
      <c r="D194" s="3" t="s">
        <v>1156</v>
      </c>
      <c r="E194" s="3">
        <v>25</v>
      </c>
      <c r="F194" s="3">
        <v>25</v>
      </c>
      <c r="G194" s="1" t="s">
        <v>17</v>
      </c>
      <c r="H194" s="1"/>
      <c r="I194" s="1">
        <v>0</v>
      </c>
      <c r="J194" s="1" t="s">
        <v>12</v>
      </c>
      <c r="K194" s="1" t="s">
        <v>12</v>
      </c>
      <c r="L194" s="1" t="s">
        <v>7</v>
      </c>
      <c r="M194" s="25"/>
      <c r="N194" s="25" t="str">
        <f>IFERROR(VLOOKUP(Tableau3[[#This Row],[Denomination Sociale]],Tableau7[],1,0),"")</f>
        <v/>
      </c>
      <c r="O194" s="25" t="e">
        <f>VLOOKUP(Tableau3[[#This Row],[Denomination Sociale]],Tableau6[],1,0)</f>
        <v>#N/A</v>
      </c>
      <c r="P194" s="25"/>
      <c r="Q194" s="25" t="str">
        <f>VLOOKUP(Tableau3[[#This Row],[Denomination Sociale]],Tableau6[],1,1)</f>
        <v>EMIS</v>
      </c>
      <c r="R194" s="25" t="s">
        <v>8</v>
      </c>
    </row>
    <row r="195" spans="1:18" x14ac:dyDescent="0.35">
      <c r="A195" s="24" t="s">
        <v>8</v>
      </c>
      <c r="B195" s="1" t="s">
        <v>15555</v>
      </c>
      <c r="C195" s="1" t="s">
        <v>174</v>
      </c>
      <c r="D195" s="3" t="s">
        <v>1156</v>
      </c>
      <c r="E195" s="3">
        <v>25</v>
      </c>
      <c r="F195" s="3">
        <v>25</v>
      </c>
      <c r="G195" s="1" t="s">
        <v>17</v>
      </c>
      <c r="H195" s="1"/>
      <c r="I195" s="1">
        <v>0</v>
      </c>
      <c r="J195" s="1" t="s">
        <v>12</v>
      </c>
      <c r="K195" s="1" t="s">
        <v>12</v>
      </c>
      <c r="L195" s="1" t="s">
        <v>7</v>
      </c>
      <c r="M195" s="25"/>
      <c r="N195" s="25" t="str">
        <f>IFERROR(VLOOKUP(Tableau3[[#This Row],[Denomination Sociale]],Tableau7[],1,0),"")</f>
        <v/>
      </c>
      <c r="O195" s="25" t="e">
        <f>VLOOKUP(Tableau3[[#This Row],[Denomination Sociale]],Tableau6[],1,0)</f>
        <v>#N/A</v>
      </c>
      <c r="P195" s="25"/>
      <c r="Q195" s="25" t="str">
        <f>VLOOKUP(Tableau3[[#This Row],[Denomination Sociale]],Tableau6[],1,1)</f>
        <v>EMIS</v>
      </c>
      <c r="R195" s="25" t="s">
        <v>8</v>
      </c>
    </row>
    <row r="196" spans="1:18" x14ac:dyDescent="0.35">
      <c r="A196" s="24" t="s">
        <v>980</v>
      </c>
      <c r="B196" s="1" t="s">
        <v>15350</v>
      </c>
      <c r="C196" s="1" t="s">
        <v>1080</v>
      </c>
      <c r="D196" s="3" t="s">
        <v>1081</v>
      </c>
      <c r="E196" s="3">
        <v>50</v>
      </c>
      <c r="F196" s="3">
        <v>50</v>
      </c>
      <c r="G196" s="1" t="s">
        <v>17</v>
      </c>
      <c r="H196" s="1"/>
      <c r="I196" s="1">
        <v>0</v>
      </c>
      <c r="J196" s="1" t="s">
        <v>12</v>
      </c>
      <c r="K196" s="1" t="s">
        <v>12</v>
      </c>
      <c r="L196" s="1" t="s">
        <v>7</v>
      </c>
      <c r="M196" s="25"/>
      <c r="N196" s="25" t="str">
        <f>IFERROR(VLOOKUP(Tableau3[[#This Row],[Denomination Sociale]],Tableau7[],1,0),"")</f>
        <v/>
      </c>
      <c r="O196" s="25" t="str">
        <f>VLOOKUP(Tableau3[[#This Row],[Denomination Sociale]],Tableau6[],1,0)</f>
        <v>ETABLISSEMENT MAODO MINES</v>
      </c>
      <c r="P196" s="25" t="s">
        <v>15350</v>
      </c>
      <c r="Q196" s="25" t="str">
        <f>VLOOKUP(Tableau3[[#This Row],[Denomination Sociale]],Tableau6[],1,1)</f>
        <v>ETABLISSEMENT MAODO MINES</v>
      </c>
      <c r="R196" s="25" t="s">
        <v>980</v>
      </c>
    </row>
    <row r="197" spans="1:18" x14ac:dyDescent="0.35">
      <c r="A197" s="24" t="s">
        <v>980</v>
      </c>
      <c r="B197" s="1" t="s">
        <v>15350</v>
      </c>
      <c r="C197" s="1" t="s">
        <v>1082</v>
      </c>
      <c r="D197" s="3" t="s">
        <v>1081</v>
      </c>
      <c r="E197" s="3">
        <v>50</v>
      </c>
      <c r="F197" s="3">
        <v>50</v>
      </c>
      <c r="G197" s="1" t="s">
        <v>17</v>
      </c>
      <c r="H197" s="1"/>
      <c r="I197" s="1">
        <v>0</v>
      </c>
      <c r="J197" s="1" t="s">
        <v>12</v>
      </c>
      <c r="K197" s="1" t="s">
        <v>12</v>
      </c>
      <c r="L197" s="1" t="s">
        <v>7</v>
      </c>
      <c r="M197" s="25"/>
      <c r="N197" s="25" t="str">
        <f>IFERROR(VLOOKUP(Tableau3[[#This Row],[Denomination Sociale]],Tableau7[],1,0),"")</f>
        <v/>
      </c>
      <c r="O197" s="25" t="str">
        <f>VLOOKUP(Tableau3[[#This Row],[Denomination Sociale]],Tableau6[],1,0)</f>
        <v>ETABLISSEMENT MAODO MINES</v>
      </c>
      <c r="P197" s="25" t="s">
        <v>15350</v>
      </c>
      <c r="Q197" s="25" t="str">
        <f>VLOOKUP(Tableau3[[#This Row],[Denomination Sociale]],Tableau6[],1,1)</f>
        <v>ETABLISSEMENT MAODO MINES</v>
      </c>
      <c r="R197" s="25" t="s">
        <v>980</v>
      </c>
    </row>
    <row r="198" spans="1:18" x14ac:dyDescent="0.35">
      <c r="A198" s="24" t="s">
        <v>873</v>
      </c>
      <c r="B198" s="1" t="s">
        <v>929</v>
      </c>
      <c r="C198" s="1" t="s">
        <v>930</v>
      </c>
      <c r="D198" s="3" t="s">
        <v>931</v>
      </c>
      <c r="E198" s="3">
        <v>100</v>
      </c>
      <c r="F198" s="3" t="s">
        <v>12</v>
      </c>
      <c r="G198" s="1" t="s">
        <v>17</v>
      </c>
      <c r="H198" s="1" t="s">
        <v>17</v>
      </c>
      <c r="I198" s="1" t="s">
        <v>12</v>
      </c>
      <c r="J198" s="1">
        <v>0</v>
      </c>
      <c r="K198" s="1" t="s">
        <v>12</v>
      </c>
      <c r="L198" s="1" t="s">
        <v>7</v>
      </c>
      <c r="M198" s="25"/>
      <c r="N198" s="25" t="str">
        <f>IFERROR(VLOOKUP(Tableau3[[#This Row],[Denomination Sociale]],Tableau7[],1,0),"")</f>
        <v/>
      </c>
      <c r="O198" s="25" t="str">
        <f>VLOOKUP(Tableau3[[#This Row],[Denomination Sociale]],Tableau6[],1,0)</f>
        <v>ETABLISSEMENT SEGA ET FRERES</v>
      </c>
      <c r="P198" s="25" t="s">
        <v>929</v>
      </c>
      <c r="Q198" s="25" t="str">
        <f>VLOOKUP(Tableau3[[#This Row],[Denomination Sociale]],Tableau6[],1,1)</f>
        <v>ETABLISSEMENT SEGA ET FRERES</v>
      </c>
      <c r="R198" s="25" t="s">
        <v>873</v>
      </c>
    </row>
    <row r="199" spans="1:18" x14ac:dyDescent="0.35">
      <c r="A199" s="24" t="s">
        <v>8</v>
      </c>
      <c r="B199" s="1" t="s">
        <v>268</v>
      </c>
      <c r="C199" s="1" t="s">
        <v>269</v>
      </c>
      <c r="D199" s="3" t="s">
        <v>270</v>
      </c>
      <c r="E199" s="3">
        <v>50</v>
      </c>
      <c r="F199" s="3">
        <v>50</v>
      </c>
      <c r="G199" s="1" t="s">
        <v>17</v>
      </c>
      <c r="H199" s="1" t="s">
        <v>17</v>
      </c>
      <c r="I199" s="1" t="s">
        <v>12</v>
      </c>
      <c r="J199" s="1">
        <v>0</v>
      </c>
      <c r="K199" s="1" t="s">
        <v>12</v>
      </c>
      <c r="L199" s="1" t="s">
        <v>7</v>
      </c>
      <c r="M199" s="25"/>
      <c r="N199" s="25" t="str">
        <f>IFERROR(VLOOKUP(Tableau3[[#This Row],[Denomination Sociale]],Tableau7[],1,0),"")</f>
        <v/>
      </c>
      <c r="O199" s="25" t="str">
        <f>VLOOKUP(Tableau3[[#This Row],[Denomination Sociale]],Tableau6[],1,0)</f>
        <v>ETE MINING</v>
      </c>
      <c r="P199" s="25" t="s">
        <v>268</v>
      </c>
      <c r="Q199" s="25" t="str">
        <f>VLOOKUP(Tableau3[[#This Row],[Denomination Sociale]],Tableau6[],1,1)</f>
        <v>ETE MINING</v>
      </c>
      <c r="R199" s="25" t="s">
        <v>8</v>
      </c>
    </row>
    <row r="200" spans="1:18" x14ac:dyDescent="0.35">
      <c r="A200" s="24" t="s">
        <v>8</v>
      </c>
      <c r="B200" s="1" t="s">
        <v>268</v>
      </c>
      <c r="C200" s="1" t="s">
        <v>114</v>
      </c>
      <c r="D200" s="3" t="s">
        <v>270</v>
      </c>
      <c r="E200" s="3">
        <v>50</v>
      </c>
      <c r="F200" s="3">
        <v>50</v>
      </c>
      <c r="G200" s="1" t="s">
        <v>17</v>
      </c>
      <c r="H200" s="1" t="s">
        <v>17</v>
      </c>
      <c r="I200" s="1" t="s">
        <v>12</v>
      </c>
      <c r="J200" s="1">
        <v>0</v>
      </c>
      <c r="K200" s="1" t="s">
        <v>12</v>
      </c>
      <c r="L200" s="1" t="s">
        <v>7</v>
      </c>
      <c r="M200" s="25"/>
      <c r="N200" s="25" t="str">
        <f>IFERROR(VLOOKUP(Tableau3[[#This Row],[Denomination Sociale]],Tableau7[],1,0),"")</f>
        <v/>
      </c>
      <c r="O200" s="25" t="str">
        <f>VLOOKUP(Tableau3[[#This Row],[Denomination Sociale]],Tableau6[],1,0)</f>
        <v>ETE MINING</v>
      </c>
      <c r="P200" s="25" t="s">
        <v>268</v>
      </c>
      <c r="Q200" s="25" t="str">
        <f>VLOOKUP(Tableau3[[#This Row],[Denomination Sociale]],Tableau6[],1,1)</f>
        <v>ETE MINING</v>
      </c>
      <c r="R200" s="25" t="s">
        <v>8</v>
      </c>
    </row>
    <row r="201" spans="1:18" x14ac:dyDescent="0.35">
      <c r="A201" s="24" t="s">
        <v>8</v>
      </c>
      <c r="B201" s="1" t="s">
        <v>15123</v>
      </c>
      <c r="C201" s="1" t="s">
        <v>1185</v>
      </c>
      <c r="D201" s="3" t="s">
        <v>1186</v>
      </c>
      <c r="E201" s="3">
        <v>100</v>
      </c>
      <c r="F201" s="3">
        <v>100</v>
      </c>
      <c r="G201" s="1" t="s">
        <v>17</v>
      </c>
      <c r="H201" s="1"/>
      <c r="I201" s="1">
        <v>0</v>
      </c>
      <c r="J201" s="1" t="s">
        <v>12</v>
      </c>
      <c r="K201" s="1" t="s">
        <v>12</v>
      </c>
      <c r="L201" s="1" t="s">
        <v>7</v>
      </c>
      <c r="M201" s="25"/>
      <c r="N201" s="25" t="str">
        <f>IFERROR(VLOOKUP(Tableau3[[#This Row],[Denomination Sociale]],Tableau7[],1,0),"")</f>
        <v/>
      </c>
      <c r="O201" s="25" t="str">
        <f>VLOOKUP(Tableau3[[#This Row],[Denomination Sociale]],Tableau6[],1,0)</f>
        <v>ETOILE X 313</v>
      </c>
      <c r="P201" s="25" t="s">
        <v>15123</v>
      </c>
      <c r="Q201" s="25" t="str">
        <f>VLOOKUP(Tableau3[[#This Row],[Denomination Sociale]],Tableau6[],1,1)</f>
        <v>ALIOUNE NDIAYE</v>
      </c>
      <c r="R201" s="25" t="s">
        <v>8</v>
      </c>
    </row>
    <row r="202" spans="1:18" x14ac:dyDescent="0.35">
      <c r="A202" s="24" t="s">
        <v>8</v>
      </c>
      <c r="B202" s="1" t="s">
        <v>15555</v>
      </c>
      <c r="C202" s="1" t="s">
        <v>1157</v>
      </c>
      <c r="D202" s="3" t="s">
        <v>1156</v>
      </c>
      <c r="E202" s="3">
        <v>50</v>
      </c>
      <c r="F202" s="3">
        <v>50</v>
      </c>
      <c r="G202" s="1" t="s">
        <v>17</v>
      </c>
      <c r="H202" s="1"/>
      <c r="I202" s="1">
        <v>0</v>
      </c>
      <c r="J202" s="1" t="s">
        <v>12</v>
      </c>
      <c r="K202" s="1" t="s">
        <v>12</v>
      </c>
      <c r="L202" s="1" t="s">
        <v>7</v>
      </c>
      <c r="M202" s="25"/>
      <c r="N202" s="25" t="str">
        <f>IFERROR(VLOOKUP(Tableau3[[#This Row],[Denomination Sociale]],Tableau7[],1,0),"")</f>
        <v/>
      </c>
      <c r="O202" s="25" t="e">
        <f>VLOOKUP(Tableau3[[#This Row],[Denomination Sociale]],Tableau6[],1,0)</f>
        <v>#N/A</v>
      </c>
      <c r="P202" s="25"/>
      <c r="Q202" s="25" t="str">
        <f>VLOOKUP(Tableau3[[#This Row],[Denomination Sociale]],Tableau6[],1,1)</f>
        <v>EMIS</v>
      </c>
      <c r="R202" s="25" t="s">
        <v>8</v>
      </c>
    </row>
    <row r="203" spans="1:18" x14ac:dyDescent="0.35">
      <c r="A203" s="24" t="s">
        <v>973</v>
      </c>
      <c r="B203" s="1" t="s">
        <v>15689</v>
      </c>
      <c r="C203" s="1" t="s">
        <v>978</v>
      </c>
      <c r="D203" s="3" t="s">
        <v>979</v>
      </c>
      <c r="E203" s="3">
        <v>2</v>
      </c>
      <c r="F203" s="3">
        <v>2</v>
      </c>
      <c r="G203" s="1" t="s">
        <v>17</v>
      </c>
      <c r="H203" s="1" t="s">
        <v>17</v>
      </c>
      <c r="I203" s="1" t="s">
        <v>12</v>
      </c>
      <c r="J203" s="1">
        <v>0</v>
      </c>
      <c r="K203" s="1" t="s">
        <v>12</v>
      </c>
      <c r="L203" s="1" t="s">
        <v>7</v>
      </c>
      <c r="M203" s="25"/>
      <c r="N203" s="25" t="str">
        <f>IFERROR(VLOOKUP(Tableau3[[#This Row],[Denomination Sociale]],Tableau7[],1,0),"")</f>
        <v/>
      </c>
      <c r="O203" s="25" t="str">
        <f>VLOOKUP(Tableau3[[#This Row],[Denomination Sociale]],Tableau6[],1,0)</f>
        <v>ABDOULAHAT MBAYE</v>
      </c>
      <c r="P203" s="25" t="s">
        <v>15689</v>
      </c>
      <c r="Q203" s="25" t="str">
        <f>VLOOKUP(Tableau3[[#This Row],[Denomination Sociale]],Tableau6[],1,1)</f>
        <v>ABDOUL BA</v>
      </c>
      <c r="R203" s="25" t="s">
        <v>973</v>
      </c>
    </row>
    <row r="204" spans="1:18" x14ac:dyDescent="0.35">
      <c r="A204" s="24" t="s">
        <v>835</v>
      </c>
      <c r="B204" s="1" t="s">
        <v>15707</v>
      </c>
      <c r="C204" s="1" t="s">
        <v>843</v>
      </c>
      <c r="D204" s="3" t="s">
        <v>844</v>
      </c>
      <c r="E204" s="3" t="s">
        <v>12</v>
      </c>
      <c r="F204" s="3" t="s">
        <v>12</v>
      </c>
      <c r="G204" s="1" t="s">
        <v>17</v>
      </c>
      <c r="H204" s="1" t="s">
        <v>17</v>
      </c>
      <c r="I204" s="1" t="s">
        <v>12</v>
      </c>
      <c r="J204" s="1">
        <v>0</v>
      </c>
      <c r="K204" s="1" t="s">
        <v>12</v>
      </c>
      <c r="L204" s="1" t="s">
        <v>7</v>
      </c>
      <c r="M204" s="25"/>
      <c r="N204" s="25" t="str">
        <f>IFERROR(VLOOKUP(Tableau3[[#This Row],[Denomination Sociale]],Tableau7[],1,0),"")</f>
        <v/>
      </c>
      <c r="O204" s="25" t="e">
        <f>VLOOKUP(Tableau3[[#This Row],[Denomination Sociale]],Tableau6[],1,0)</f>
        <v>#N/A</v>
      </c>
      <c r="P204" s="25"/>
      <c r="Q204" s="25" t="str">
        <f>VLOOKUP(Tableau3[[#This Row],[Denomination Sociale]],Tableau6[],1,1)</f>
        <v>ENTREPRISE GENERALE DAROU SALAM</v>
      </c>
      <c r="R204" s="25" t="s">
        <v>835</v>
      </c>
    </row>
    <row r="205" spans="1:18" x14ac:dyDescent="0.35">
      <c r="A205" s="24" t="s">
        <v>835</v>
      </c>
      <c r="B205" s="1" t="s">
        <v>14248</v>
      </c>
      <c r="C205" s="1" t="s">
        <v>846</v>
      </c>
      <c r="D205" s="3" t="s">
        <v>847</v>
      </c>
      <c r="E205" s="3" t="s">
        <v>12</v>
      </c>
      <c r="F205" s="3" t="s">
        <v>12</v>
      </c>
      <c r="G205" s="1" t="s">
        <v>17</v>
      </c>
      <c r="H205" s="1" t="s">
        <v>17</v>
      </c>
      <c r="I205" s="1" t="s">
        <v>12</v>
      </c>
      <c r="J205" s="1">
        <v>0</v>
      </c>
      <c r="K205" s="1" t="s">
        <v>12</v>
      </c>
      <c r="L205" s="1" t="s">
        <v>7</v>
      </c>
      <c r="M205" s="25"/>
      <c r="N205" s="25" t="str">
        <f>IFERROR(VLOOKUP(Tableau3[[#This Row],[Denomination Sociale]],Tableau7[],1,0),"")</f>
        <v/>
      </c>
      <c r="O205" s="25" t="str">
        <f>VLOOKUP(Tableau3[[#This Row],[Denomination Sociale]],Tableau6[],1,0)</f>
        <v>ENTREPRISE GENERALE DE TRAVAUX PUBLICS ET BATIMENTS</v>
      </c>
      <c r="P205" s="25" t="s">
        <v>14248</v>
      </c>
      <c r="Q205" s="25" t="str">
        <f>VLOOKUP(Tableau3[[#This Row],[Denomination Sociale]],Tableau6[],1,1)</f>
        <v>ENTREPRISE GENERALE DE TRAVAUX PUBLICS ET BATIMENTS</v>
      </c>
      <c r="R205" s="25" t="s">
        <v>835</v>
      </c>
    </row>
    <row r="206" spans="1:18" x14ac:dyDescent="0.35">
      <c r="A206" s="24" t="s">
        <v>980</v>
      </c>
      <c r="B206" s="1" t="s">
        <v>15708</v>
      </c>
      <c r="C206" s="1" t="s">
        <v>1035</v>
      </c>
      <c r="D206" s="3" t="s">
        <v>1036</v>
      </c>
      <c r="E206" s="3">
        <v>100</v>
      </c>
      <c r="F206" s="3">
        <v>100</v>
      </c>
      <c r="G206" s="1" t="s">
        <v>17</v>
      </c>
      <c r="H206" s="1" t="s">
        <v>17</v>
      </c>
      <c r="I206" s="1" t="s">
        <v>12</v>
      </c>
      <c r="J206" s="1">
        <v>0</v>
      </c>
      <c r="K206" s="1" t="s">
        <v>12</v>
      </c>
      <c r="L206" s="1" t="s">
        <v>7</v>
      </c>
      <c r="M206" s="25"/>
      <c r="N206" s="25" t="str">
        <f>IFERROR(VLOOKUP(Tableau3[[#This Row],[Denomination Sociale]],Tableau7[],1,0),"")</f>
        <v/>
      </c>
      <c r="O206" s="25" t="e">
        <f>VLOOKUP(Tableau3[[#This Row],[Denomination Sociale]],Tableau6[],1,0)</f>
        <v>#N/A</v>
      </c>
      <c r="P206" s="25"/>
      <c r="Q206" s="25" t="str">
        <f>VLOOKUP(Tableau3[[#This Row],[Denomination Sociale]],Tableau6[],1,1)</f>
        <v>SERIGNE FALLOU MBACKE</v>
      </c>
      <c r="R206" s="25" t="s">
        <v>980</v>
      </c>
    </row>
    <row r="207" spans="1:18" x14ac:dyDescent="0.35">
      <c r="A207" s="24" t="s">
        <v>980</v>
      </c>
      <c r="B207" s="1" t="s">
        <v>15709</v>
      </c>
      <c r="C207" s="1" t="s">
        <v>1032</v>
      </c>
      <c r="D207" s="3" t="s">
        <v>1033</v>
      </c>
      <c r="E207" s="3">
        <v>100</v>
      </c>
      <c r="F207" s="3">
        <v>100</v>
      </c>
      <c r="G207" s="1" t="s">
        <v>17</v>
      </c>
      <c r="H207" s="1" t="s">
        <v>17</v>
      </c>
      <c r="I207" s="1" t="s">
        <v>168</v>
      </c>
      <c r="J207" s="1">
        <v>0</v>
      </c>
      <c r="K207" s="1" t="s">
        <v>1034</v>
      </c>
      <c r="L207" s="1" t="s">
        <v>7</v>
      </c>
      <c r="M207" s="25"/>
      <c r="N207" s="25" t="str">
        <f>IFERROR(VLOOKUP(Tableau3[[#This Row],[Denomination Sociale]],Tableau7[],1,0),"")</f>
        <v/>
      </c>
      <c r="O207" s="25" t="e">
        <f>VLOOKUP(Tableau3[[#This Row],[Denomination Sociale]],Tableau6[],1,0)</f>
        <v>#N/A</v>
      </c>
      <c r="P207" s="25"/>
      <c r="Q207" s="25" t="str">
        <f>VLOOKUP(Tableau3[[#This Row],[Denomination Sociale]],Tableau6[],1,1)</f>
        <v>SEPHOS</v>
      </c>
      <c r="R207" s="25" t="s">
        <v>980</v>
      </c>
    </row>
    <row r="208" spans="1:18" x14ac:dyDescent="0.35">
      <c r="A208" s="24" t="s">
        <v>980</v>
      </c>
      <c r="B208" s="1" t="s">
        <v>15709</v>
      </c>
      <c r="C208" s="1" t="s">
        <v>1032</v>
      </c>
      <c r="D208" s="3" t="s">
        <v>1033</v>
      </c>
      <c r="E208" s="3">
        <v>100</v>
      </c>
      <c r="F208" s="3">
        <v>100</v>
      </c>
      <c r="G208" s="1" t="s">
        <v>17</v>
      </c>
      <c r="H208" s="1" t="s">
        <v>17</v>
      </c>
      <c r="I208" s="1" t="s">
        <v>17</v>
      </c>
      <c r="J208" s="1">
        <v>0</v>
      </c>
      <c r="K208" s="1" t="s">
        <v>1034</v>
      </c>
      <c r="L208" s="1" t="s">
        <v>7</v>
      </c>
      <c r="M208" s="25"/>
      <c r="N208" s="25" t="str">
        <f>IFERROR(VLOOKUP(Tableau3[[#This Row],[Denomination Sociale]],Tableau7[],1,0),"")</f>
        <v/>
      </c>
      <c r="O208" s="25" t="e">
        <f>VLOOKUP(Tableau3[[#This Row],[Denomination Sociale]],Tableau6[],1,0)</f>
        <v>#N/A</v>
      </c>
      <c r="P208" s="25"/>
      <c r="Q208" s="25" t="str">
        <f>VLOOKUP(Tableau3[[#This Row],[Denomination Sociale]],Tableau6[],1,1)</f>
        <v>SEPHOS</v>
      </c>
      <c r="R208" s="25" t="s">
        <v>980</v>
      </c>
    </row>
    <row r="209" spans="1:18" x14ac:dyDescent="0.35">
      <c r="A209" s="24" t="s">
        <v>8</v>
      </c>
      <c r="B209" s="1" t="s">
        <v>271</v>
      </c>
      <c r="C209" s="1" t="s">
        <v>272</v>
      </c>
      <c r="D209" s="3" t="s">
        <v>273</v>
      </c>
      <c r="E209" s="3" t="s">
        <v>12</v>
      </c>
      <c r="F209" s="3" t="s">
        <v>12</v>
      </c>
      <c r="G209" s="1" t="s">
        <v>274</v>
      </c>
      <c r="H209" s="1" t="s">
        <v>274</v>
      </c>
      <c r="I209" s="1" t="s">
        <v>12</v>
      </c>
      <c r="J209" s="1">
        <v>0</v>
      </c>
      <c r="K209" s="1" t="s">
        <v>12</v>
      </c>
      <c r="L209" s="1" t="s">
        <v>7</v>
      </c>
      <c r="M209" s="25"/>
      <c r="N209" s="25" t="str">
        <f>IFERROR(VLOOKUP(Tableau3[[#This Row],[Denomination Sociale]],Tableau7[],1,0),"")</f>
        <v/>
      </c>
      <c r="O209" s="25" t="e">
        <f>VLOOKUP(Tableau3[[#This Row],[Denomination Sociale]],Tableau6[],1,0)</f>
        <v>#N/A</v>
      </c>
      <c r="P209" s="25"/>
      <c r="Q209" s="25" t="str">
        <f>VLOOKUP(Tableau3[[#This Row],[Denomination Sociale]],Tableau6[],1,1)</f>
        <v>ETUDES ET REALISATIONS DES TALIBES MOURIDES</v>
      </c>
      <c r="R209" s="25" t="s">
        <v>8</v>
      </c>
    </row>
    <row r="210" spans="1:18" x14ac:dyDescent="0.35">
      <c r="A210" s="24" t="s">
        <v>8</v>
      </c>
      <c r="B210" s="1" t="s">
        <v>271</v>
      </c>
      <c r="C210" s="1" t="s">
        <v>275</v>
      </c>
      <c r="D210" s="3" t="s">
        <v>273</v>
      </c>
      <c r="E210" s="3" t="s">
        <v>12</v>
      </c>
      <c r="F210" s="3" t="s">
        <v>12</v>
      </c>
      <c r="G210" s="1" t="s">
        <v>139</v>
      </c>
      <c r="H210" s="1" t="s">
        <v>139</v>
      </c>
      <c r="I210" s="1" t="s">
        <v>12</v>
      </c>
      <c r="J210" s="1">
        <v>0</v>
      </c>
      <c r="K210" s="1" t="s">
        <v>12</v>
      </c>
      <c r="L210" s="1" t="s">
        <v>7</v>
      </c>
      <c r="M210" s="25"/>
      <c r="N210" s="25" t="str">
        <f>IFERROR(VLOOKUP(Tableau3[[#This Row],[Denomination Sociale]],Tableau7[],1,0),"")</f>
        <v/>
      </c>
      <c r="O210" s="25" t="e">
        <f>VLOOKUP(Tableau3[[#This Row],[Denomination Sociale]],Tableau6[],1,0)</f>
        <v>#N/A</v>
      </c>
      <c r="P210" s="25"/>
      <c r="Q210" s="25" t="str">
        <f>VLOOKUP(Tableau3[[#This Row],[Denomination Sociale]],Tableau6[],1,1)</f>
        <v>ETUDES ET REALISATIONS DES TALIBES MOURIDES</v>
      </c>
      <c r="R210" s="25" t="s">
        <v>8</v>
      </c>
    </row>
    <row r="211" spans="1:18" x14ac:dyDescent="0.35">
      <c r="A211" s="24" t="s">
        <v>8</v>
      </c>
      <c r="B211" s="1" t="s">
        <v>15556</v>
      </c>
      <c r="C211" s="1" t="s">
        <v>277</v>
      </c>
      <c r="D211" s="3" t="s">
        <v>278</v>
      </c>
      <c r="E211" s="3">
        <v>100</v>
      </c>
      <c r="F211" s="3">
        <v>100</v>
      </c>
      <c r="G211" s="1" t="s">
        <v>17</v>
      </c>
      <c r="H211" s="1" t="s">
        <v>17</v>
      </c>
      <c r="I211" s="1" t="s">
        <v>12</v>
      </c>
      <c r="J211" s="1">
        <v>0</v>
      </c>
      <c r="K211" s="1" t="s">
        <v>12</v>
      </c>
      <c r="L211" s="1" t="s">
        <v>7</v>
      </c>
      <c r="M211" s="25"/>
      <c r="N211" s="25" t="str">
        <f>IFERROR(VLOOKUP(Tableau3[[#This Row],[Denomination Sociale]],Tableau7[],1,0),"")</f>
        <v/>
      </c>
      <c r="O211" s="25" t="e">
        <f>VLOOKUP(Tableau3[[#This Row],[Denomination Sociale]],Tableau6[],1,0)</f>
        <v>#N/A</v>
      </c>
      <c r="P211" s="25"/>
      <c r="Q211" s="25" t="str">
        <f>VLOOKUP(Tableau3[[#This Row],[Denomination Sociale]],Tableau6[],1,1)</f>
        <v>EVERGREEN AGRO EXPORT</v>
      </c>
      <c r="R211" s="25" t="s">
        <v>8</v>
      </c>
    </row>
    <row r="212" spans="1:18" x14ac:dyDescent="0.35">
      <c r="A212" s="24" t="s">
        <v>8</v>
      </c>
      <c r="B212" s="1" t="s">
        <v>279</v>
      </c>
      <c r="C212" s="1" t="s">
        <v>280</v>
      </c>
      <c r="D212" s="3" t="s">
        <v>281</v>
      </c>
      <c r="E212" s="3">
        <v>90</v>
      </c>
      <c r="F212" s="3" t="s">
        <v>12</v>
      </c>
      <c r="G212" s="1" t="s">
        <v>17</v>
      </c>
      <c r="H212" s="1" t="s">
        <v>17</v>
      </c>
      <c r="I212" s="1" t="s">
        <v>12</v>
      </c>
      <c r="J212" s="1">
        <v>0</v>
      </c>
      <c r="K212" s="1" t="s">
        <v>12</v>
      </c>
      <c r="L212" s="1" t="s">
        <v>7</v>
      </c>
      <c r="M212" s="25"/>
      <c r="N212" s="25" t="str">
        <f>IFERROR(VLOOKUP(Tableau3[[#This Row],[Denomination Sociale]],Tableau7[],1,0),"")</f>
        <v/>
      </c>
      <c r="O212" s="25" t="str">
        <f>VLOOKUP(Tableau3[[#This Row],[Denomination Sociale]],Tableau6[],1,0)</f>
        <v>FAKMOZ</v>
      </c>
      <c r="P212" s="25" t="s">
        <v>279</v>
      </c>
      <c r="Q212" s="25" t="str">
        <f>VLOOKUP(Tableau3[[#This Row],[Denomination Sociale]],Tableau6[],1,1)</f>
        <v>FAKMOZ</v>
      </c>
      <c r="R212" s="25" t="s">
        <v>8</v>
      </c>
    </row>
    <row r="213" spans="1:18" x14ac:dyDescent="0.35">
      <c r="A213" s="24" t="s">
        <v>8</v>
      </c>
      <c r="B213" s="1" t="s">
        <v>279</v>
      </c>
      <c r="C213" s="1" t="s">
        <v>282</v>
      </c>
      <c r="D213" s="3" t="s">
        <v>281</v>
      </c>
      <c r="E213" s="3">
        <v>10</v>
      </c>
      <c r="F213" s="3" t="s">
        <v>12</v>
      </c>
      <c r="G213" s="1" t="s">
        <v>17</v>
      </c>
      <c r="H213" s="1" t="s">
        <v>17</v>
      </c>
      <c r="I213" s="1" t="s">
        <v>12</v>
      </c>
      <c r="J213" s="1">
        <v>0</v>
      </c>
      <c r="K213" s="1" t="s">
        <v>12</v>
      </c>
      <c r="L213" s="1" t="s">
        <v>7</v>
      </c>
      <c r="M213" s="25"/>
      <c r="N213" s="25" t="str">
        <f>IFERROR(VLOOKUP(Tableau3[[#This Row],[Denomination Sociale]],Tableau7[],1,0),"")</f>
        <v/>
      </c>
      <c r="O213" s="25" t="str">
        <f>VLOOKUP(Tableau3[[#This Row],[Denomination Sociale]],Tableau6[],1,0)</f>
        <v>FAKMOZ</v>
      </c>
      <c r="P213" s="25" t="s">
        <v>279</v>
      </c>
      <c r="Q213" s="25" t="str">
        <f>VLOOKUP(Tableau3[[#This Row],[Denomination Sociale]],Tableau6[],1,1)</f>
        <v>FAKMOZ</v>
      </c>
      <c r="R213" s="25" t="s">
        <v>8</v>
      </c>
    </row>
    <row r="214" spans="1:18" x14ac:dyDescent="0.35">
      <c r="A214" s="24" t="s">
        <v>873</v>
      </c>
      <c r="B214" s="1" t="s">
        <v>1150</v>
      </c>
      <c r="C214" s="1" t="s">
        <v>1151</v>
      </c>
      <c r="D214" s="3" t="s">
        <v>1152</v>
      </c>
      <c r="E214" s="3" t="s">
        <v>12</v>
      </c>
      <c r="F214" s="3" t="s">
        <v>12</v>
      </c>
      <c r="G214" s="1" t="s">
        <v>17</v>
      </c>
      <c r="H214" s="1"/>
      <c r="I214" s="1">
        <v>0</v>
      </c>
      <c r="J214" s="1" t="s">
        <v>12</v>
      </c>
      <c r="K214" s="1" t="s">
        <v>12</v>
      </c>
      <c r="L214" s="1" t="s">
        <v>7</v>
      </c>
      <c r="M214" s="25"/>
      <c r="N214" s="25" t="str">
        <f>IFERROR(VLOOKUP(Tableau3[[#This Row],[Denomination Sociale]],Tableau7[],1,0),"")</f>
        <v/>
      </c>
      <c r="O214" s="25" t="e">
        <f>VLOOKUP(Tableau3[[#This Row],[Denomination Sociale]],Tableau6[],1,0)</f>
        <v>#N/A</v>
      </c>
      <c r="P214" s="25"/>
      <c r="Q214" s="25" t="str">
        <f>VLOOKUP(Tableau3[[#This Row],[Denomination Sociale]],Tableau6[],1,1)</f>
        <v>FABRIMETAL</v>
      </c>
      <c r="R214" s="25" t="s">
        <v>873</v>
      </c>
    </row>
    <row r="215" spans="1:18" x14ac:dyDescent="0.35">
      <c r="A215" s="24" t="s">
        <v>873</v>
      </c>
      <c r="B215" s="1" t="s">
        <v>1150</v>
      </c>
      <c r="C215" s="1" t="s">
        <v>897</v>
      </c>
      <c r="D215" s="3" t="s">
        <v>1152</v>
      </c>
      <c r="E215" s="3" t="s">
        <v>12</v>
      </c>
      <c r="F215" s="3" t="s">
        <v>12</v>
      </c>
      <c r="G215" s="1" t="s">
        <v>17</v>
      </c>
      <c r="H215" s="1"/>
      <c r="I215" s="1">
        <v>0</v>
      </c>
      <c r="J215" s="1" t="s">
        <v>12</v>
      </c>
      <c r="K215" s="1" t="s">
        <v>12</v>
      </c>
      <c r="L215" s="1" t="s">
        <v>7</v>
      </c>
      <c r="M215" s="25"/>
      <c r="N215" s="25" t="str">
        <f>IFERROR(VLOOKUP(Tableau3[[#This Row],[Denomination Sociale]],Tableau7[],1,0),"")</f>
        <v/>
      </c>
      <c r="O215" s="25" t="e">
        <f>VLOOKUP(Tableau3[[#This Row],[Denomination Sociale]],Tableau6[],1,0)</f>
        <v>#N/A</v>
      </c>
      <c r="P215" s="25"/>
      <c r="Q215" s="25" t="str">
        <f>VLOOKUP(Tableau3[[#This Row],[Denomination Sociale]],Tableau6[],1,1)</f>
        <v>FABRIMETAL</v>
      </c>
      <c r="R215" s="25" t="s">
        <v>873</v>
      </c>
    </row>
    <row r="216" spans="1:18" x14ac:dyDescent="0.35">
      <c r="A216" s="24" t="s">
        <v>873</v>
      </c>
      <c r="B216" s="1" t="s">
        <v>1150</v>
      </c>
      <c r="C216" s="1" t="s">
        <v>1153</v>
      </c>
      <c r="D216" s="3" t="s">
        <v>1152</v>
      </c>
      <c r="E216" s="3" t="s">
        <v>12</v>
      </c>
      <c r="F216" s="3" t="s">
        <v>12</v>
      </c>
      <c r="G216" s="1" t="s">
        <v>17</v>
      </c>
      <c r="H216" s="1"/>
      <c r="I216" s="1">
        <v>0</v>
      </c>
      <c r="J216" s="1" t="s">
        <v>12</v>
      </c>
      <c r="K216" s="1" t="s">
        <v>12</v>
      </c>
      <c r="L216" s="1" t="s">
        <v>7</v>
      </c>
      <c r="M216" s="25"/>
      <c r="N216" s="25" t="str">
        <f>IFERROR(VLOOKUP(Tableau3[[#This Row],[Denomination Sociale]],Tableau7[],1,0),"")</f>
        <v/>
      </c>
      <c r="O216" s="25" t="e">
        <f>VLOOKUP(Tableau3[[#This Row],[Denomination Sociale]],Tableau6[],1,0)</f>
        <v>#N/A</v>
      </c>
      <c r="P216" s="25"/>
      <c r="Q216" s="25" t="str">
        <f>VLOOKUP(Tableau3[[#This Row],[Denomination Sociale]],Tableau6[],1,1)</f>
        <v>FABRIMETAL</v>
      </c>
      <c r="R216" s="25" t="s">
        <v>873</v>
      </c>
    </row>
    <row r="217" spans="1:18" x14ac:dyDescent="0.35">
      <c r="A217" s="24" t="s">
        <v>8</v>
      </c>
      <c r="B217" s="1" t="s">
        <v>283</v>
      </c>
      <c r="C217" s="1" t="s">
        <v>284</v>
      </c>
      <c r="D217" s="3" t="s">
        <v>285</v>
      </c>
      <c r="E217" s="3">
        <v>25</v>
      </c>
      <c r="F217" s="3">
        <v>25</v>
      </c>
      <c r="G217" s="1" t="s">
        <v>17</v>
      </c>
      <c r="H217" s="1" t="s">
        <v>17</v>
      </c>
      <c r="I217" s="1" t="s">
        <v>12</v>
      </c>
      <c r="J217" s="1">
        <v>0</v>
      </c>
      <c r="K217" s="1" t="s">
        <v>12</v>
      </c>
      <c r="L217" s="1" t="s">
        <v>7</v>
      </c>
      <c r="M217" s="25"/>
      <c r="N217" s="25" t="str">
        <f>IFERROR(VLOOKUP(Tableau3[[#This Row],[Denomination Sociale]],Tableau7[],1,0),"")</f>
        <v/>
      </c>
      <c r="O217" s="25" t="e">
        <f>VLOOKUP(Tableau3[[#This Row],[Denomination Sociale]],Tableau6[],1,0)</f>
        <v>#N/A</v>
      </c>
      <c r="P217" s="25"/>
      <c r="Q217" s="25" t="str">
        <f>VLOOKUP(Tableau3[[#This Row],[Denomination Sociale]],Tableau6[],1,1)</f>
        <v>FAYMINING COPORATE</v>
      </c>
      <c r="R217" s="25" t="s">
        <v>8</v>
      </c>
    </row>
    <row r="218" spans="1:18" x14ac:dyDescent="0.35">
      <c r="A218" s="24" t="s">
        <v>8</v>
      </c>
      <c r="B218" s="1" t="s">
        <v>283</v>
      </c>
      <c r="C218" s="1" t="s">
        <v>286</v>
      </c>
      <c r="D218" s="3" t="s">
        <v>285</v>
      </c>
      <c r="E218" s="3">
        <v>75</v>
      </c>
      <c r="F218" s="3">
        <v>75</v>
      </c>
      <c r="G218" s="1" t="s">
        <v>17</v>
      </c>
      <c r="H218" s="1" t="s">
        <v>17</v>
      </c>
      <c r="I218" s="1" t="s">
        <v>12</v>
      </c>
      <c r="J218" s="1">
        <v>0</v>
      </c>
      <c r="K218" s="1" t="s">
        <v>12</v>
      </c>
      <c r="L218" s="1" t="s">
        <v>7</v>
      </c>
      <c r="M218" s="25"/>
      <c r="N218" s="25" t="str">
        <f>IFERROR(VLOOKUP(Tableau3[[#This Row],[Denomination Sociale]],Tableau7[],1,0),"")</f>
        <v/>
      </c>
      <c r="O218" s="25" t="e">
        <f>VLOOKUP(Tableau3[[#This Row],[Denomination Sociale]],Tableau6[],1,0)</f>
        <v>#N/A</v>
      </c>
      <c r="P218" s="25"/>
      <c r="Q218" s="25" t="str">
        <f>VLOOKUP(Tableau3[[#This Row],[Denomination Sociale]],Tableau6[],1,1)</f>
        <v>FAYMINING COPORATE</v>
      </c>
      <c r="R218" s="25" t="s">
        <v>8</v>
      </c>
    </row>
    <row r="219" spans="1:18" x14ac:dyDescent="0.35">
      <c r="A219" s="24" t="s">
        <v>8</v>
      </c>
      <c r="B219" s="1" t="s">
        <v>292</v>
      </c>
      <c r="C219" s="1" t="s">
        <v>293</v>
      </c>
      <c r="D219" s="3" t="s">
        <v>294</v>
      </c>
      <c r="E219" s="3">
        <v>48</v>
      </c>
      <c r="F219" s="3">
        <v>48</v>
      </c>
      <c r="G219" s="1" t="s">
        <v>295</v>
      </c>
      <c r="H219" s="1" t="s">
        <v>295</v>
      </c>
      <c r="I219" s="1" t="s">
        <v>12</v>
      </c>
      <c r="J219" s="1">
        <v>0</v>
      </c>
      <c r="K219" s="1" t="s">
        <v>12</v>
      </c>
      <c r="L219" s="1" t="s">
        <v>7</v>
      </c>
      <c r="M219" s="25"/>
      <c r="N219" s="25" t="str">
        <f>IFERROR(VLOOKUP(Tableau3[[#This Row],[Denomination Sociale]],Tableau7[],1,0),"")</f>
        <v/>
      </c>
      <c r="O219" s="25" t="str">
        <f>VLOOKUP(Tableau3[[#This Row],[Denomination Sociale]],Tableau6[],1,0)</f>
        <v>GACH MINING COMPANY LIMITED SENEGAL</v>
      </c>
      <c r="P219" s="25" t="s">
        <v>292</v>
      </c>
      <c r="Q219" s="25" t="str">
        <f>VLOOKUP(Tableau3[[#This Row],[Denomination Sociale]],Tableau6[],1,1)</f>
        <v>GACH MINING COMPANY LIMITED SENEGAL</v>
      </c>
      <c r="R219" s="25" t="s">
        <v>8</v>
      </c>
    </row>
    <row r="220" spans="1:18" x14ac:dyDescent="0.35">
      <c r="A220" s="24" t="s">
        <v>8</v>
      </c>
      <c r="B220" s="1" t="s">
        <v>292</v>
      </c>
      <c r="C220" s="1" t="s">
        <v>171</v>
      </c>
      <c r="D220" s="3" t="s">
        <v>294</v>
      </c>
      <c r="E220" s="3">
        <v>5</v>
      </c>
      <c r="F220" s="3">
        <v>5</v>
      </c>
      <c r="G220" s="1" t="s">
        <v>17</v>
      </c>
      <c r="H220" s="1" t="s">
        <v>17</v>
      </c>
      <c r="I220" s="1" t="s">
        <v>12</v>
      </c>
      <c r="J220" s="1">
        <v>0</v>
      </c>
      <c r="K220" s="1" t="s">
        <v>12</v>
      </c>
      <c r="L220" s="1" t="s">
        <v>7</v>
      </c>
      <c r="M220" s="25"/>
      <c r="N220" s="25" t="str">
        <f>IFERROR(VLOOKUP(Tableau3[[#This Row],[Denomination Sociale]],Tableau7[],1,0),"")</f>
        <v/>
      </c>
      <c r="O220" s="25" t="str">
        <f>VLOOKUP(Tableau3[[#This Row],[Denomination Sociale]],Tableau6[],1,0)</f>
        <v>GACH MINING COMPANY LIMITED SENEGAL</v>
      </c>
      <c r="P220" s="25" t="s">
        <v>292</v>
      </c>
      <c r="Q220" s="25" t="str">
        <f>VLOOKUP(Tableau3[[#This Row],[Denomination Sociale]],Tableau6[],1,1)</f>
        <v>GACH MINING COMPANY LIMITED SENEGAL</v>
      </c>
      <c r="R220" s="25" t="s">
        <v>8</v>
      </c>
    </row>
    <row r="221" spans="1:18" x14ac:dyDescent="0.35">
      <c r="A221" s="24" t="s">
        <v>8</v>
      </c>
      <c r="B221" s="1" t="s">
        <v>292</v>
      </c>
      <c r="C221" s="1" t="s">
        <v>246</v>
      </c>
      <c r="D221" s="3" t="s">
        <v>294</v>
      </c>
      <c r="E221" s="3">
        <v>23</v>
      </c>
      <c r="F221" s="3">
        <v>23</v>
      </c>
      <c r="G221" s="1" t="s">
        <v>247</v>
      </c>
      <c r="H221" s="1" t="s">
        <v>247</v>
      </c>
      <c r="I221" s="1" t="s">
        <v>12</v>
      </c>
      <c r="J221" s="1">
        <v>0</v>
      </c>
      <c r="K221" s="1" t="s">
        <v>12</v>
      </c>
      <c r="L221" s="1" t="s">
        <v>7</v>
      </c>
      <c r="M221" s="25"/>
      <c r="N221" s="25" t="str">
        <f>IFERROR(VLOOKUP(Tableau3[[#This Row],[Denomination Sociale]],Tableau7[],1,0),"")</f>
        <v/>
      </c>
      <c r="O221" s="25" t="str">
        <f>VLOOKUP(Tableau3[[#This Row],[Denomination Sociale]],Tableau6[],1,0)</f>
        <v>GACH MINING COMPANY LIMITED SENEGAL</v>
      </c>
      <c r="P221" s="25" t="s">
        <v>292</v>
      </c>
      <c r="Q221" s="25" t="str">
        <f>VLOOKUP(Tableau3[[#This Row],[Denomination Sociale]],Tableau6[],1,1)</f>
        <v>GACH MINING COMPANY LIMITED SENEGAL</v>
      </c>
      <c r="R221" s="25" t="s">
        <v>8</v>
      </c>
    </row>
    <row r="222" spans="1:18" x14ac:dyDescent="0.35">
      <c r="A222" s="24" t="s">
        <v>8</v>
      </c>
      <c r="B222" s="1" t="s">
        <v>292</v>
      </c>
      <c r="C222" s="1" t="s">
        <v>248</v>
      </c>
      <c r="D222" s="3" t="s">
        <v>294</v>
      </c>
      <c r="E222" s="3">
        <v>24</v>
      </c>
      <c r="F222" s="3">
        <v>24</v>
      </c>
      <c r="G222" s="1" t="s">
        <v>17</v>
      </c>
      <c r="H222" s="1" t="s">
        <v>17</v>
      </c>
      <c r="I222" s="1" t="s">
        <v>12</v>
      </c>
      <c r="J222" s="1">
        <v>0</v>
      </c>
      <c r="K222" s="1" t="s">
        <v>12</v>
      </c>
      <c r="L222" s="1" t="s">
        <v>7</v>
      </c>
      <c r="M222" s="25"/>
      <c r="N222" s="25" t="str">
        <f>IFERROR(VLOOKUP(Tableau3[[#This Row],[Denomination Sociale]],Tableau7[],1,0),"")</f>
        <v/>
      </c>
      <c r="O222" s="25" t="str">
        <f>VLOOKUP(Tableau3[[#This Row],[Denomination Sociale]],Tableau6[],1,0)</f>
        <v>GACH MINING COMPANY LIMITED SENEGAL</v>
      </c>
      <c r="P222" s="25" t="s">
        <v>292</v>
      </c>
      <c r="Q222" s="25" t="str">
        <f>VLOOKUP(Tableau3[[#This Row],[Denomination Sociale]],Tableau6[],1,1)</f>
        <v>GACH MINING COMPANY LIMITED SENEGAL</v>
      </c>
      <c r="R222" s="25" t="s">
        <v>8</v>
      </c>
    </row>
    <row r="223" spans="1:18" x14ac:dyDescent="0.35">
      <c r="A223" s="24" t="s">
        <v>8</v>
      </c>
      <c r="B223" s="1" t="s">
        <v>287</v>
      </c>
      <c r="C223" s="1" t="s">
        <v>288</v>
      </c>
      <c r="D223" s="3" t="s">
        <v>289</v>
      </c>
      <c r="E223" s="3">
        <v>20</v>
      </c>
      <c r="F223" s="3">
        <v>20</v>
      </c>
      <c r="G223" s="1" t="s">
        <v>17</v>
      </c>
      <c r="H223" s="1" t="s">
        <v>17</v>
      </c>
      <c r="I223" s="1" t="s">
        <v>12</v>
      </c>
      <c r="J223" s="1">
        <v>0</v>
      </c>
      <c r="K223" s="1" t="s">
        <v>12</v>
      </c>
      <c r="L223" s="1" t="s">
        <v>7</v>
      </c>
      <c r="M223" s="25"/>
      <c r="N223" s="25" t="str">
        <f>IFERROR(VLOOKUP(Tableau3[[#This Row],[Denomination Sociale]],Tableau7[],1,0),"")</f>
        <v/>
      </c>
      <c r="O223" s="25" t="e">
        <f>VLOOKUP(Tableau3[[#This Row],[Denomination Sociale]],Tableau6[],1,0)</f>
        <v>#N/A</v>
      </c>
      <c r="P223" s="25"/>
      <c r="Q223" s="25" t="str">
        <f>VLOOKUP(Tableau3[[#This Row],[Denomination Sociale]],Tableau6[],1,1)</f>
        <v>G.I.E. " LE WOUROUS"</v>
      </c>
      <c r="R223" s="25" t="s">
        <v>8</v>
      </c>
    </row>
    <row r="224" spans="1:18" x14ac:dyDescent="0.35">
      <c r="A224" s="24" t="s">
        <v>8</v>
      </c>
      <c r="B224" s="1" t="s">
        <v>287</v>
      </c>
      <c r="C224" s="1" t="s">
        <v>290</v>
      </c>
      <c r="D224" s="3" t="s">
        <v>289</v>
      </c>
      <c r="E224" s="3">
        <v>40</v>
      </c>
      <c r="F224" s="3">
        <v>40</v>
      </c>
      <c r="G224" s="1" t="s">
        <v>17</v>
      </c>
      <c r="H224" s="1" t="s">
        <v>17</v>
      </c>
      <c r="I224" s="1" t="s">
        <v>12</v>
      </c>
      <c r="J224" s="1">
        <v>0</v>
      </c>
      <c r="K224" s="1" t="s">
        <v>12</v>
      </c>
      <c r="L224" s="1" t="s">
        <v>7</v>
      </c>
      <c r="M224" s="25"/>
      <c r="N224" s="25" t="str">
        <f>IFERROR(VLOOKUP(Tableau3[[#This Row],[Denomination Sociale]],Tableau7[],1,0),"")</f>
        <v/>
      </c>
      <c r="O224" s="25" t="e">
        <f>VLOOKUP(Tableau3[[#This Row],[Denomination Sociale]],Tableau6[],1,0)</f>
        <v>#N/A</v>
      </c>
      <c r="P224" s="25"/>
      <c r="Q224" s="25" t="str">
        <f>VLOOKUP(Tableau3[[#This Row],[Denomination Sociale]],Tableau6[],1,1)</f>
        <v>G.I.E. " LE WOUROUS"</v>
      </c>
      <c r="R224" s="25" t="s">
        <v>8</v>
      </c>
    </row>
    <row r="225" spans="1:18" x14ac:dyDescent="0.35">
      <c r="A225" s="24" t="s">
        <v>8</v>
      </c>
      <c r="B225" s="1" t="s">
        <v>302</v>
      </c>
      <c r="C225" s="1" t="s">
        <v>303</v>
      </c>
      <c r="D225" s="3" t="s">
        <v>304</v>
      </c>
      <c r="E225" s="3">
        <v>50</v>
      </c>
      <c r="F225" s="3">
        <v>50</v>
      </c>
      <c r="G225" s="1" t="s">
        <v>17</v>
      </c>
      <c r="H225" s="1" t="s">
        <v>17</v>
      </c>
      <c r="I225" s="1" t="s">
        <v>12</v>
      </c>
      <c r="J225" s="1">
        <v>0</v>
      </c>
      <c r="K225" s="1" t="s">
        <v>12</v>
      </c>
      <c r="L225" s="1" t="s">
        <v>7</v>
      </c>
      <c r="M225" s="25"/>
      <c r="N225" s="25" t="str">
        <f>IFERROR(VLOOKUP(Tableau3[[#This Row],[Denomination Sociale]],Tableau7[],1,0),"")</f>
        <v/>
      </c>
      <c r="O225" s="25" t="str">
        <f>VLOOKUP(Tableau3[[#This Row],[Denomination Sociale]],Tableau6[],1,0)</f>
        <v>GAMMA CORPORATE</v>
      </c>
      <c r="P225" s="25" t="s">
        <v>302</v>
      </c>
      <c r="Q225" s="25" t="str">
        <f>VLOOKUP(Tableau3[[#This Row],[Denomination Sociale]],Tableau6[],1,1)</f>
        <v>GAMMA CORPORATE</v>
      </c>
      <c r="R225" s="25" t="s">
        <v>8</v>
      </c>
    </row>
    <row r="226" spans="1:18" x14ac:dyDescent="0.35">
      <c r="A226" s="24" t="s">
        <v>8</v>
      </c>
      <c r="B226" s="1" t="s">
        <v>302</v>
      </c>
      <c r="C226" s="1" t="s">
        <v>305</v>
      </c>
      <c r="D226" s="3" t="s">
        <v>304</v>
      </c>
      <c r="E226" s="3">
        <v>50</v>
      </c>
      <c r="F226" s="3">
        <v>50</v>
      </c>
      <c r="G226" s="1" t="s">
        <v>17</v>
      </c>
      <c r="H226" s="1" t="s">
        <v>17</v>
      </c>
      <c r="I226" s="1" t="s">
        <v>12</v>
      </c>
      <c r="J226" s="1">
        <v>0</v>
      </c>
      <c r="K226" s="1" t="s">
        <v>12</v>
      </c>
      <c r="L226" s="1" t="s">
        <v>7</v>
      </c>
      <c r="M226" s="25"/>
      <c r="N226" s="25" t="str">
        <f>IFERROR(VLOOKUP(Tableau3[[#This Row],[Denomination Sociale]],Tableau7[],1,0),"")</f>
        <v/>
      </c>
      <c r="O226" s="25" t="str">
        <f>VLOOKUP(Tableau3[[#This Row],[Denomination Sociale]],Tableau6[],1,0)</f>
        <v>GAMMA CORPORATE</v>
      </c>
      <c r="P226" s="25" t="s">
        <v>302</v>
      </c>
      <c r="Q226" s="25" t="str">
        <f>VLOOKUP(Tableau3[[#This Row],[Denomination Sociale]],Tableau6[],1,1)</f>
        <v>GAMMA CORPORATE</v>
      </c>
      <c r="R226" s="25" t="s">
        <v>8</v>
      </c>
    </row>
    <row r="227" spans="1:18" x14ac:dyDescent="0.35">
      <c r="A227" s="24" t="s">
        <v>8</v>
      </c>
      <c r="B227" s="1" t="s">
        <v>14623</v>
      </c>
      <c r="C227" s="1" t="s">
        <v>307</v>
      </c>
      <c r="D227" s="3" t="s">
        <v>308</v>
      </c>
      <c r="E227" s="3" t="s">
        <v>12</v>
      </c>
      <c r="F227" s="3" t="s">
        <v>12</v>
      </c>
      <c r="G227" s="1" t="s">
        <v>17</v>
      </c>
      <c r="H227" s="1" t="s">
        <v>17</v>
      </c>
      <c r="I227" s="1" t="s">
        <v>12</v>
      </c>
      <c r="J227" s="1">
        <v>0</v>
      </c>
      <c r="K227" s="1" t="s">
        <v>12</v>
      </c>
      <c r="L227" s="1" t="s">
        <v>7</v>
      </c>
      <c r="M227" s="25"/>
      <c r="N227" s="25" t="str">
        <f>IFERROR(VLOOKUP(Tableau3[[#This Row],[Denomination Sociale]],Tableau7[],1,0),"")</f>
        <v/>
      </c>
      <c r="O227" s="25" t="str">
        <f>VLOOKUP(Tableau3[[#This Row],[Denomination Sociale]],Tableau6[],1,0)</f>
        <v>GANGUE TOUS TRAVAUX</v>
      </c>
      <c r="P227" s="25" t="s">
        <v>14623</v>
      </c>
      <c r="Q227" s="25" t="str">
        <f>VLOOKUP(Tableau3[[#This Row],[Denomination Sociale]],Tableau6[],1,1)</f>
        <v>GANGUE TOUS TRAVAUX</v>
      </c>
      <c r="R227" s="25" t="s">
        <v>8</v>
      </c>
    </row>
    <row r="228" spans="1:18" x14ac:dyDescent="0.35">
      <c r="A228" s="24" t="s">
        <v>8</v>
      </c>
      <c r="B228" s="1" t="s">
        <v>287</v>
      </c>
      <c r="C228" s="1" t="s">
        <v>291</v>
      </c>
      <c r="D228" s="3" t="s">
        <v>289</v>
      </c>
      <c r="E228" s="3">
        <v>40</v>
      </c>
      <c r="F228" s="3">
        <v>40</v>
      </c>
      <c r="G228" s="1" t="s">
        <v>17</v>
      </c>
      <c r="H228" s="1" t="s">
        <v>17</v>
      </c>
      <c r="I228" s="1" t="s">
        <v>12</v>
      </c>
      <c r="J228" s="1">
        <v>0</v>
      </c>
      <c r="K228" s="1" t="s">
        <v>12</v>
      </c>
      <c r="L228" s="1" t="s">
        <v>7</v>
      </c>
      <c r="M228" s="25"/>
      <c r="N228" s="25" t="str">
        <f>IFERROR(VLOOKUP(Tableau3[[#This Row],[Denomination Sociale]],Tableau7[],1,0),"")</f>
        <v/>
      </c>
      <c r="O228" s="25" t="e">
        <f>VLOOKUP(Tableau3[[#This Row],[Denomination Sociale]],Tableau6[],1,0)</f>
        <v>#N/A</v>
      </c>
      <c r="P228" s="25"/>
      <c r="Q228" s="25" t="str">
        <f>VLOOKUP(Tableau3[[#This Row],[Denomination Sociale]],Tableau6[],1,1)</f>
        <v>G.I.E. " LE WOUROUS"</v>
      </c>
      <c r="R228" s="25" t="s">
        <v>8</v>
      </c>
    </row>
    <row r="229" spans="1:18" x14ac:dyDescent="0.35">
      <c r="A229" s="24" t="s">
        <v>8</v>
      </c>
      <c r="B229" s="1" t="s">
        <v>296</v>
      </c>
      <c r="C229" s="1" t="s">
        <v>297</v>
      </c>
      <c r="D229" s="3" t="s">
        <v>298</v>
      </c>
      <c r="E229" s="3">
        <v>100</v>
      </c>
      <c r="F229" s="3" t="s">
        <v>12</v>
      </c>
      <c r="G229" s="1" t="s">
        <v>17</v>
      </c>
      <c r="H229" s="1" t="s">
        <v>17</v>
      </c>
      <c r="I229" s="1" t="s">
        <v>12</v>
      </c>
      <c r="J229" s="1">
        <v>0</v>
      </c>
      <c r="K229" s="1" t="s">
        <v>12</v>
      </c>
      <c r="L229" s="1" t="s">
        <v>7</v>
      </c>
      <c r="M229" s="25"/>
      <c r="N229" s="25" t="str">
        <f>IFERROR(VLOOKUP(Tableau3[[#This Row],[Denomination Sociale]],Tableau7[],1,0),"")</f>
        <v/>
      </c>
      <c r="O229" s="25" t="e">
        <f>VLOOKUP(Tableau3[[#This Row],[Denomination Sociale]],Tableau6[],1,0)</f>
        <v>#N/A</v>
      </c>
      <c r="P229" s="25"/>
      <c r="Q229" s="25" t="str">
        <f>VLOOKUP(Tableau3[[#This Row],[Denomination Sociale]],Tableau6[],1,1)</f>
        <v>GACH MINING COMPANY LIMITED SENEGAL</v>
      </c>
      <c r="R229" s="25" t="s">
        <v>8</v>
      </c>
    </row>
    <row r="230" spans="1:18" x14ac:dyDescent="0.35">
      <c r="A230" s="24" t="s">
        <v>8</v>
      </c>
      <c r="B230" s="1" t="s">
        <v>299</v>
      </c>
      <c r="C230" s="1" t="s">
        <v>300</v>
      </c>
      <c r="D230" s="3" t="s">
        <v>301</v>
      </c>
      <c r="E230" s="3" t="s">
        <v>12</v>
      </c>
      <c r="F230" s="3" t="s">
        <v>12</v>
      </c>
      <c r="G230" s="1" t="s">
        <v>17</v>
      </c>
      <c r="H230" s="1" t="s">
        <v>17</v>
      </c>
      <c r="I230" s="1" t="s">
        <v>12</v>
      </c>
      <c r="J230" s="1">
        <v>0</v>
      </c>
      <c r="K230" s="1" t="s">
        <v>12</v>
      </c>
      <c r="L230" s="1" t="s">
        <v>7</v>
      </c>
      <c r="M230" s="25"/>
      <c r="N230" s="25" t="str">
        <f>IFERROR(VLOOKUP(Tableau3[[#This Row],[Denomination Sociale]],Tableau7[],1,0),"")</f>
        <v/>
      </c>
      <c r="O230" s="25" t="e">
        <f>VLOOKUP(Tableau3[[#This Row],[Denomination Sociale]],Tableau6[],1,0)</f>
        <v>#N/A</v>
      </c>
      <c r="P230" s="25"/>
      <c r="Q230" s="25" t="str">
        <f>VLOOKUP(Tableau3[[#This Row],[Denomination Sociale]],Tableau6[],1,1)</f>
        <v>GACH MINING COMPANY LIMITED SENEGAL</v>
      </c>
      <c r="R230" s="25" t="s">
        <v>8</v>
      </c>
    </row>
    <row r="231" spans="1:18" x14ac:dyDescent="0.35">
      <c r="A231" s="24" t="s">
        <v>980</v>
      </c>
      <c r="B231" s="1" t="s">
        <v>12237</v>
      </c>
      <c r="C231" s="1" t="s">
        <v>991</v>
      </c>
      <c r="D231" s="3" t="s">
        <v>992</v>
      </c>
      <c r="E231" s="3">
        <v>100</v>
      </c>
      <c r="F231" s="3">
        <v>100</v>
      </c>
      <c r="G231" s="1" t="s">
        <v>17</v>
      </c>
      <c r="H231" s="1" t="s">
        <v>17</v>
      </c>
      <c r="I231" s="1" t="s">
        <v>12</v>
      </c>
      <c r="J231" s="1">
        <v>0</v>
      </c>
      <c r="K231" s="1" t="s">
        <v>12</v>
      </c>
      <c r="L231" s="1" t="s">
        <v>7</v>
      </c>
      <c r="M231" s="25"/>
      <c r="N231" s="25" t="str">
        <f>IFERROR(VLOOKUP(Tableau3[[#This Row],[Denomination Sociale]],Tableau7[],1,0),"")</f>
        <v/>
      </c>
      <c r="O231" s="25" t="str">
        <f>VLOOKUP(Tableau3[[#This Row],[Denomination Sociale]],Tableau6[],1,0)</f>
        <v>GEOSCIENCES AND PROCESS SERVICES</v>
      </c>
      <c r="P231" s="25" t="s">
        <v>12237</v>
      </c>
      <c r="Q231" s="25" t="str">
        <f>VLOOKUP(Tableau3[[#This Row],[Denomination Sociale]],Tableau6[],1,1)</f>
        <v>GEOSCIENCES AND PROCESS SERVICES</v>
      </c>
      <c r="R231" s="25" t="s">
        <v>980</v>
      </c>
    </row>
    <row r="232" spans="1:18" x14ac:dyDescent="0.35">
      <c r="A232" s="24" t="s">
        <v>8</v>
      </c>
      <c r="B232" s="1" t="s">
        <v>15553</v>
      </c>
      <c r="C232" s="1" t="s">
        <v>1132</v>
      </c>
      <c r="D232" s="3" t="s">
        <v>1133</v>
      </c>
      <c r="E232" s="3">
        <v>100</v>
      </c>
      <c r="F232" s="3">
        <v>100</v>
      </c>
      <c r="G232" s="1" t="s">
        <v>17</v>
      </c>
      <c r="H232" s="1"/>
      <c r="I232" s="1">
        <v>0</v>
      </c>
      <c r="J232" s="1" t="s">
        <v>12</v>
      </c>
      <c r="K232" s="1" t="s">
        <v>12</v>
      </c>
      <c r="L232" s="1" t="s">
        <v>7</v>
      </c>
      <c r="M232" s="25"/>
      <c r="N232" s="25" t="str">
        <f>IFERROR(VLOOKUP(Tableau3[[#This Row],[Denomination Sociale]],Tableau7[],1,0),"")</f>
        <v/>
      </c>
      <c r="O232" s="25" t="e">
        <f>VLOOKUP(Tableau3[[#This Row],[Denomination Sociale]],Tableau6[],1,0)</f>
        <v>#N/A</v>
      </c>
      <c r="P232" s="25"/>
      <c r="Q232" s="25" t="str">
        <f>VLOOKUP(Tableau3[[#This Row],[Denomination Sociale]],Tableau6[],1,1)</f>
        <v>GAS-GOLD</v>
      </c>
      <c r="R232" s="25" t="s">
        <v>8</v>
      </c>
    </row>
    <row r="233" spans="1:18" x14ac:dyDescent="0.35">
      <c r="A233" s="24" t="s">
        <v>873</v>
      </c>
      <c r="B233" s="1" t="s">
        <v>15248</v>
      </c>
      <c r="C233" s="1" t="s">
        <v>908</v>
      </c>
      <c r="D233" s="3" t="s">
        <v>933</v>
      </c>
      <c r="E233" s="3">
        <v>100</v>
      </c>
      <c r="F233" s="3" t="s">
        <v>12</v>
      </c>
      <c r="G233" s="1" t="s">
        <v>17</v>
      </c>
      <c r="H233" s="1" t="s">
        <v>17</v>
      </c>
      <c r="I233" s="1" t="s">
        <v>12</v>
      </c>
      <c r="J233" s="1">
        <v>0</v>
      </c>
      <c r="K233" s="1" t="s">
        <v>12</v>
      </c>
      <c r="L233" s="1" t="s">
        <v>7</v>
      </c>
      <c r="M233" s="25"/>
      <c r="N233" s="25" t="str">
        <f>IFERROR(VLOOKUP(Tableau3[[#This Row],[Denomination Sociale]],Tableau7[],1,0),"")</f>
        <v/>
      </c>
      <c r="O233" s="25" t="e">
        <f>VLOOKUP(Tableau3[[#This Row],[Denomination Sociale]],Tableau6[],1,0)</f>
        <v>#N/A</v>
      </c>
      <c r="P233" s="25"/>
      <c r="Q233" s="25" t="str">
        <f>VLOOKUP(Tableau3[[#This Row],[Denomination Sociale]],Tableau6[],1,1)</f>
        <v>GAYESY</v>
      </c>
      <c r="R233" s="25" t="s">
        <v>873</v>
      </c>
    </row>
    <row r="234" spans="1:18" x14ac:dyDescent="0.35">
      <c r="A234" s="24" t="s">
        <v>966</v>
      </c>
      <c r="B234" s="1" t="s">
        <v>971</v>
      </c>
      <c r="C234" s="1" t="s">
        <v>364</v>
      </c>
      <c r="D234" s="3" t="s">
        <v>972</v>
      </c>
      <c r="E234" s="3">
        <v>2</v>
      </c>
      <c r="F234" s="3" t="s">
        <v>12</v>
      </c>
      <c r="G234" s="1" t="s">
        <v>17</v>
      </c>
      <c r="H234" s="1" t="s">
        <v>17</v>
      </c>
      <c r="I234" s="1" t="s">
        <v>12</v>
      </c>
      <c r="J234" s="1">
        <v>0</v>
      </c>
      <c r="K234" s="1" t="s">
        <v>12</v>
      </c>
      <c r="L234" s="1" t="s">
        <v>7</v>
      </c>
      <c r="M234" s="25"/>
      <c r="N234" s="25" t="str">
        <f>IFERROR(VLOOKUP(Tableau3[[#This Row],[Denomination Sociale]],Tableau7[],1,0),"")</f>
        <v/>
      </c>
      <c r="O234" s="25" t="str">
        <f>VLOOKUP(Tableau3[[#This Row],[Denomination Sociale]],Tableau6[],1,0)</f>
        <v>GEOTEC</v>
      </c>
      <c r="P234" s="25" t="s">
        <v>971</v>
      </c>
      <c r="Q234" s="25" t="str">
        <f>VLOOKUP(Tableau3[[#This Row],[Denomination Sociale]],Tableau6[],1,1)</f>
        <v>GEOTEC</v>
      </c>
      <c r="R234" s="25" t="s">
        <v>966</v>
      </c>
    </row>
    <row r="235" spans="1:18" x14ac:dyDescent="0.35">
      <c r="A235" s="24" t="s">
        <v>8</v>
      </c>
      <c r="B235" s="1" t="s">
        <v>15554</v>
      </c>
      <c r="C235" s="1" t="s">
        <v>310</v>
      </c>
      <c r="D235" s="3" t="s">
        <v>311</v>
      </c>
      <c r="E235" s="3">
        <v>100</v>
      </c>
      <c r="F235" s="3">
        <v>100</v>
      </c>
      <c r="G235" s="1" t="s">
        <v>17</v>
      </c>
      <c r="H235" s="1" t="s">
        <v>17</v>
      </c>
      <c r="I235" s="1" t="s">
        <v>12</v>
      </c>
      <c r="J235" s="1">
        <v>0</v>
      </c>
      <c r="K235" s="1" t="s">
        <v>12</v>
      </c>
      <c r="L235" s="1" t="s">
        <v>7</v>
      </c>
      <c r="M235" s="25"/>
      <c r="N235" s="25" t="str">
        <f>IFERROR(VLOOKUP(Tableau3[[#This Row],[Denomination Sociale]],Tableau7[],1,0),"")</f>
        <v/>
      </c>
      <c r="O235" s="25" t="e">
        <f>VLOOKUP(Tableau3[[#This Row],[Denomination Sociale]],Tableau6[],1,0)</f>
        <v>#N/A</v>
      </c>
      <c r="P235" s="25"/>
      <c r="Q235" s="25" t="str">
        <f>VLOOKUP(Tableau3[[#This Row],[Denomination Sociale]],Tableau6[],1,1)</f>
        <v>GENERAL TRAVAUX EQUIPEMENT</v>
      </c>
      <c r="R235" s="25" t="s">
        <v>8</v>
      </c>
    </row>
    <row r="236" spans="1:18" x14ac:dyDescent="0.35">
      <c r="A236" s="24" t="s">
        <v>8</v>
      </c>
      <c r="B236" s="1" t="s">
        <v>15052</v>
      </c>
      <c r="C236" s="1" t="s">
        <v>313</v>
      </c>
      <c r="D236" s="3" t="s">
        <v>314</v>
      </c>
      <c r="E236" s="3">
        <v>50</v>
      </c>
      <c r="F236" s="3">
        <v>50</v>
      </c>
      <c r="G236" s="1" t="s">
        <v>17</v>
      </c>
      <c r="H236" s="1" t="s">
        <v>17</v>
      </c>
      <c r="I236" s="1" t="s">
        <v>12</v>
      </c>
      <c r="J236" s="1">
        <v>0</v>
      </c>
      <c r="K236" s="1" t="s">
        <v>12</v>
      </c>
      <c r="L236" s="1" t="s">
        <v>7</v>
      </c>
      <c r="M236" s="25"/>
      <c r="N236" s="25" t="str">
        <f>IFERROR(VLOOKUP(Tableau3[[#This Row],[Denomination Sociale]],Tableau7[],1,0),"")</f>
        <v/>
      </c>
      <c r="O236" s="25" t="e">
        <f>VLOOKUP(Tableau3[[#This Row],[Denomination Sociale]],Tableau6[],1,0)</f>
        <v>#N/A</v>
      </c>
      <c r="P236" s="25"/>
      <c r="Q236" s="25" t="str">
        <f>VLOOKUP(Tableau3[[#This Row],[Denomination Sociale]],Tableau6[],1,1)</f>
        <v>GEOSERVICES ENGENEERING</v>
      </c>
      <c r="R236" s="25" t="s">
        <v>8</v>
      </c>
    </row>
    <row r="237" spans="1:18" x14ac:dyDescent="0.35">
      <c r="A237" s="24" t="s">
        <v>8</v>
      </c>
      <c r="B237" s="1" t="s">
        <v>15052</v>
      </c>
      <c r="C237" s="1" t="s">
        <v>315</v>
      </c>
      <c r="D237" s="3" t="s">
        <v>314</v>
      </c>
      <c r="E237" s="3">
        <v>50</v>
      </c>
      <c r="F237" s="3">
        <v>50</v>
      </c>
      <c r="G237" s="1" t="s">
        <v>17</v>
      </c>
      <c r="H237" s="1" t="s">
        <v>17</v>
      </c>
      <c r="I237" s="1" t="s">
        <v>12</v>
      </c>
      <c r="J237" s="1">
        <v>0</v>
      </c>
      <c r="K237" s="1" t="s">
        <v>12</v>
      </c>
      <c r="L237" s="1" t="s">
        <v>7</v>
      </c>
      <c r="M237" s="25"/>
      <c r="N237" s="25" t="str">
        <f>IFERROR(VLOOKUP(Tableau3[[#This Row],[Denomination Sociale]],Tableau7[],1,0),"")</f>
        <v/>
      </c>
      <c r="O237" s="25" t="e">
        <f>VLOOKUP(Tableau3[[#This Row],[Denomination Sociale]],Tableau6[],1,0)</f>
        <v>#N/A</v>
      </c>
      <c r="P237" s="25"/>
      <c r="Q237" s="25" t="str">
        <f>VLOOKUP(Tableau3[[#This Row],[Denomination Sociale]],Tableau6[],1,1)</f>
        <v>GEOSERVICES ENGENEERING</v>
      </c>
      <c r="R237" s="25" t="s">
        <v>8</v>
      </c>
    </row>
    <row r="238" spans="1:18" x14ac:dyDescent="0.35">
      <c r="A238" s="24" t="s">
        <v>873</v>
      </c>
      <c r="B238" s="1" t="s">
        <v>14890</v>
      </c>
      <c r="C238" s="1" t="s">
        <v>1097</v>
      </c>
      <c r="D238" s="3" t="s">
        <v>1098</v>
      </c>
      <c r="E238" s="3" t="s">
        <v>12</v>
      </c>
      <c r="F238" s="3" t="s">
        <v>12</v>
      </c>
      <c r="G238" s="1" t="s">
        <v>17</v>
      </c>
      <c r="H238" s="1"/>
      <c r="I238" s="1">
        <v>0</v>
      </c>
      <c r="J238" s="1" t="s">
        <v>12</v>
      </c>
      <c r="K238" s="1" t="s">
        <v>12</v>
      </c>
      <c r="L238" s="1" t="s">
        <v>7</v>
      </c>
      <c r="M238" s="25"/>
      <c r="N238" s="25" t="str">
        <f>IFERROR(VLOOKUP(Tableau3[[#This Row],[Denomination Sociale]],Tableau7[],1,0),"")</f>
        <v/>
      </c>
      <c r="O238" s="25" t="str">
        <f>VLOOKUP(Tableau3[[#This Row],[Denomination Sociale]],Tableau6[],1,0)</f>
        <v>COUMBOUTOUROU</v>
      </c>
      <c r="P238" s="25" t="s">
        <v>14890</v>
      </c>
      <c r="Q238" s="25" t="str">
        <f>VLOOKUP(Tableau3[[#This Row],[Denomination Sociale]],Tableau6[],1,1)</f>
        <v>COUMBOUTOUROU</v>
      </c>
      <c r="R238" s="25" t="s">
        <v>873</v>
      </c>
    </row>
    <row r="239" spans="1:18" x14ac:dyDescent="0.35">
      <c r="A239" s="24" t="s">
        <v>980</v>
      </c>
      <c r="B239" s="1" t="s">
        <v>14904</v>
      </c>
      <c r="C239" s="1" t="s">
        <v>1039</v>
      </c>
      <c r="D239" s="3" t="s">
        <v>1040</v>
      </c>
      <c r="E239" s="3">
        <v>15</v>
      </c>
      <c r="F239" s="3">
        <v>15</v>
      </c>
      <c r="G239" s="1" t="s">
        <v>17</v>
      </c>
      <c r="H239" s="1" t="s">
        <v>17</v>
      </c>
      <c r="I239" s="1" t="s">
        <v>12</v>
      </c>
      <c r="J239" s="1">
        <v>0</v>
      </c>
      <c r="K239" s="1" t="s">
        <v>12</v>
      </c>
      <c r="L239" s="1" t="s">
        <v>7</v>
      </c>
      <c r="M239" s="25"/>
      <c r="N239" s="25" t="str">
        <f>IFERROR(VLOOKUP(Tableau3[[#This Row],[Denomination Sociale]],Tableau7[],1,0),"")</f>
        <v/>
      </c>
      <c r="O239" s="25" t="str">
        <f>VLOOKUP(Tableau3[[#This Row],[Denomination Sociale]],Tableau6[],1,0)</f>
        <v>E.B.T.S</v>
      </c>
      <c r="P239" s="25" t="s">
        <v>14904</v>
      </c>
      <c r="Q239" s="25" t="str">
        <f>VLOOKUP(Tableau3[[#This Row],[Denomination Sociale]],Tableau6[],1,1)</f>
        <v>E.B.T.S</v>
      </c>
      <c r="R239" s="25" t="s">
        <v>980</v>
      </c>
    </row>
    <row r="240" spans="1:18" x14ac:dyDescent="0.35">
      <c r="A240" s="24" t="s">
        <v>980</v>
      </c>
      <c r="B240" s="1" t="s">
        <v>14904</v>
      </c>
      <c r="C240" s="1" t="s">
        <v>1041</v>
      </c>
      <c r="D240" s="3" t="s">
        <v>1040</v>
      </c>
      <c r="E240" s="3">
        <v>70</v>
      </c>
      <c r="F240" s="3">
        <v>70</v>
      </c>
      <c r="G240" s="1" t="s">
        <v>17</v>
      </c>
      <c r="H240" s="1" t="s">
        <v>17</v>
      </c>
      <c r="I240" s="1" t="s">
        <v>12</v>
      </c>
      <c r="J240" s="1">
        <v>0</v>
      </c>
      <c r="K240" s="1" t="s">
        <v>12</v>
      </c>
      <c r="L240" s="1" t="s">
        <v>7</v>
      </c>
      <c r="M240" s="25"/>
      <c r="N240" s="25" t="str">
        <f>IFERROR(VLOOKUP(Tableau3[[#This Row],[Denomination Sociale]],Tableau7[],1,0),"")</f>
        <v/>
      </c>
      <c r="O240" s="25" t="str">
        <f>VLOOKUP(Tableau3[[#This Row],[Denomination Sociale]],Tableau6[],1,0)</f>
        <v>E.B.T.S</v>
      </c>
      <c r="P240" s="25" t="s">
        <v>14904</v>
      </c>
      <c r="Q240" s="25" t="str">
        <f>VLOOKUP(Tableau3[[#This Row],[Denomination Sociale]],Tableau6[],1,1)</f>
        <v>E.B.T.S</v>
      </c>
      <c r="R240" s="25" t="s">
        <v>980</v>
      </c>
    </row>
    <row r="241" spans="1:18" x14ac:dyDescent="0.35">
      <c r="A241" s="24" t="s">
        <v>980</v>
      </c>
      <c r="B241" s="1" t="s">
        <v>14904</v>
      </c>
      <c r="C241" s="1" t="s">
        <v>1042</v>
      </c>
      <c r="D241" s="3" t="s">
        <v>1040</v>
      </c>
      <c r="E241" s="3">
        <v>15</v>
      </c>
      <c r="F241" s="3">
        <v>15</v>
      </c>
      <c r="G241" s="1" t="s">
        <v>17</v>
      </c>
      <c r="H241" s="1" t="s">
        <v>17</v>
      </c>
      <c r="I241" s="1" t="s">
        <v>12</v>
      </c>
      <c r="J241" s="1">
        <v>0</v>
      </c>
      <c r="K241" s="1" t="s">
        <v>12</v>
      </c>
      <c r="L241" s="1" t="s">
        <v>7</v>
      </c>
      <c r="M241" s="25"/>
      <c r="N241" s="25" t="str">
        <f>IFERROR(VLOOKUP(Tableau3[[#This Row],[Denomination Sociale]],Tableau7[],1,0),"")</f>
        <v/>
      </c>
      <c r="O241" s="25" t="str">
        <f>VLOOKUP(Tableau3[[#This Row],[Denomination Sociale]],Tableau6[],1,0)</f>
        <v>E.B.T.S</v>
      </c>
      <c r="P241" s="25" t="s">
        <v>14904</v>
      </c>
      <c r="Q241" s="25" t="str">
        <f>VLOOKUP(Tableau3[[#This Row],[Denomination Sociale]],Tableau6[],1,1)</f>
        <v>E.B.T.S</v>
      </c>
      <c r="R241" s="25" t="s">
        <v>980</v>
      </c>
    </row>
    <row r="242" spans="1:18" x14ac:dyDescent="0.35">
      <c r="A242" s="24" t="s">
        <v>980</v>
      </c>
      <c r="B242" s="1" t="s">
        <v>14911</v>
      </c>
      <c r="C242" s="1" t="s">
        <v>1043</v>
      </c>
      <c r="D242" s="3" t="s">
        <v>1044</v>
      </c>
      <c r="E242" s="3">
        <v>100</v>
      </c>
      <c r="F242" s="3">
        <v>100</v>
      </c>
      <c r="G242" s="1" t="s">
        <v>17</v>
      </c>
      <c r="H242" s="1" t="s">
        <v>17</v>
      </c>
      <c r="I242" s="1" t="s">
        <v>12</v>
      </c>
      <c r="J242" s="1">
        <v>0</v>
      </c>
      <c r="K242" s="1" t="s">
        <v>12</v>
      </c>
      <c r="L242" s="1" t="s">
        <v>7</v>
      </c>
      <c r="M242" s="25"/>
      <c r="N242" s="25" t="str">
        <f>IFERROR(VLOOKUP(Tableau3[[#This Row],[Denomination Sociale]],Tableau7[],1,0),"")</f>
        <v/>
      </c>
      <c r="O242" s="25" t="str">
        <f>VLOOKUP(Tableau3[[#This Row],[Denomination Sociale]],Tableau6[],1,0)</f>
        <v>FARLOU</v>
      </c>
      <c r="P242" s="25" t="s">
        <v>14911</v>
      </c>
      <c r="Q242" s="25" t="str">
        <f>VLOOKUP(Tableau3[[#This Row],[Denomination Sociale]],Tableau6[],1,1)</f>
        <v>FARLOU</v>
      </c>
      <c r="R242" s="25" t="s">
        <v>980</v>
      </c>
    </row>
    <row r="243" spans="1:18" x14ac:dyDescent="0.35">
      <c r="A243" s="24" t="s">
        <v>966</v>
      </c>
      <c r="B243" s="1" t="s">
        <v>14917</v>
      </c>
      <c r="C243" s="1" t="s">
        <v>1099</v>
      </c>
      <c r="D243" s="3" t="s">
        <v>1100</v>
      </c>
      <c r="E243" s="3" t="s">
        <v>12</v>
      </c>
      <c r="F243" s="3" t="s">
        <v>12</v>
      </c>
      <c r="G243" s="1" t="s">
        <v>17</v>
      </c>
      <c r="H243" s="1"/>
      <c r="I243" s="1">
        <v>0</v>
      </c>
      <c r="J243" s="1" t="s">
        <v>12</v>
      </c>
      <c r="K243" s="1" t="s">
        <v>12</v>
      </c>
      <c r="L243" s="1" t="s">
        <v>7</v>
      </c>
      <c r="M243" s="25"/>
      <c r="N243" s="25" t="str">
        <f>IFERROR(VLOOKUP(Tableau3[[#This Row],[Denomination Sociale]],Tableau7[],1,0),"")</f>
        <v/>
      </c>
      <c r="O243" s="25" t="str">
        <f>VLOOKUP(Tableau3[[#This Row],[Denomination Sociale]],Tableau6[],1,0)</f>
        <v>GARAGE SOUF</v>
      </c>
      <c r="P243" s="25" t="s">
        <v>14917</v>
      </c>
      <c r="Q243" s="25" t="str">
        <f>VLOOKUP(Tableau3[[#This Row],[Denomination Sociale]],Tableau6[],1,1)</f>
        <v>GARAGE SOUF</v>
      </c>
      <c r="R243" s="25" t="s">
        <v>966</v>
      </c>
    </row>
    <row r="244" spans="1:18" x14ac:dyDescent="0.35">
      <c r="A244" s="24" t="s">
        <v>8</v>
      </c>
      <c r="B244" s="1" t="s">
        <v>15622</v>
      </c>
      <c r="C244" s="1" t="s">
        <v>324</v>
      </c>
      <c r="D244" s="3" t="s">
        <v>325</v>
      </c>
      <c r="E244" s="3">
        <v>20</v>
      </c>
      <c r="F244" s="3">
        <v>20</v>
      </c>
      <c r="G244" s="1" t="s">
        <v>17</v>
      </c>
      <c r="H244" s="1" t="s">
        <v>17</v>
      </c>
      <c r="I244" s="1" t="s">
        <v>12</v>
      </c>
      <c r="J244" s="1">
        <v>0</v>
      </c>
      <c r="K244" s="1" t="s">
        <v>12</v>
      </c>
      <c r="L244" s="1" t="s">
        <v>7</v>
      </c>
      <c r="M244" s="25"/>
      <c r="N244" s="25" t="str">
        <f>IFERROR(VLOOKUP(Tableau3[[#This Row],[Denomination Sociale]],Tableau7[],1,0),"")</f>
        <v/>
      </c>
      <c r="O244" s="25" t="e">
        <f>VLOOKUP(Tableau3[[#This Row],[Denomination Sociale]],Tableau6[],1,0)</f>
        <v>#N/A</v>
      </c>
      <c r="P244" s="25"/>
      <c r="Q244" s="25" t="str">
        <f>VLOOKUP(Tableau3[[#This Row],[Denomination Sociale]],Tableau6[],1,1)</f>
        <v>GLOBAL FALLENE HOLDING SERVICE</v>
      </c>
      <c r="R244" s="25" t="s">
        <v>8</v>
      </c>
    </row>
    <row r="245" spans="1:18" x14ac:dyDescent="0.35">
      <c r="A245" s="24" t="s">
        <v>8</v>
      </c>
      <c r="B245" s="1" t="s">
        <v>15622</v>
      </c>
      <c r="C245" s="1" t="s">
        <v>313</v>
      </c>
      <c r="D245" s="3" t="s">
        <v>325</v>
      </c>
      <c r="E245" s="3">
        <v>20</v>
      </c>
      <c r="F245" s="3">
        <v>20</v>
      </c>
      <c r="G245" s="1" t="s">
        <v>17</v>
      </c>
      <c r="H245" s="1" t="s">
        <v>17</v>
      </c>
      <c r="I245" s="1" t="s">
        <v>12</v>
      </c>
      <c r="J245" s="1">
        <v>0</v>
      </c>
      <c r="K245" s="1" t="s">
        <v>12</v>
      </c>
      <c r="L245" s="1" t="s">
        <v>7</v>
      </c>
      <c r="M245" s="25"/>
      <c r="N245" s="25" t="str">
        <f>IFERROR(VLOOKUP(Tableau3[[#This Row],[Denomination Sociale]],Tableau7[],1,0),"")</f>
        <v/>
      </c>
      <c r="O245" s="25" t="e">
        <f>VLOOKUP(Tableau3[[#This Row],[Denomination Sociale]],Tableau6[],1,0)</f>
        <v>#N/A</v>
      </c>
      <c r="P245" s="25"/>
      <c r="Q245" s="25" t="str">
        <f>VLOOKUP(Tableau3[[#This Row],[Denomination Sociale]],Tableau6[],1,1)</f>
        <v>GLOBAL FALLENE HOLDING SERVICE</v>
      </c>
      <c r="R245" s="25" t="s">
        <v>8</v>
      </c>
    </row>
    <row r="246" spans="1:18" x14ac:dyDescent="0.35">
      <c r="A246" s="24" t="s">
        <v>873</v>
      </c>
      <c r="B246" s="1" t="s">
        <v>14948</v>
      </c>
      <c r="C246" s="1" t="s">
        <v>1087</v>
      </c>
      <c r="D246" s="3" t="s">
        <v>1088</v>
      </c>
      <c r="E246" s="3" t="s">
        <v>12</v>
      </c>
      <c r="F246" s="3" t="s">
        <v>12</v>
      </c>
      <c r="G246" s="1" t="s">
        <v>17</v>
      </c>
      <c r="H246" s="1"/>
      <c r="I246" s="1">
        <v>0</v>
      </c>
      <c r="J246" s="1" t="s">
        <v>12</v>
      </c>
      <c r="K246" s="1" t="s">
        <v>12</v>
      </c>
      <c r="L246" s="1" t="s">
        <v>7</v>
      </c>
      <c r="M246" s="25"/>
      <c r="N246" s="25" t="str">
        <f>IFERROR(VLOOKUP(Tableau3[[#This Row],[Denomination Sociale]],Tableau7[],1,0),"")</f>
        <v/>
      </c>
      <c r="O246" s="25" t="str">
        <f>VLOOKUP(Tableau3[[#This Row],[Denomination Sociale]],Tableau6[],1,0)</f>
        <v>MAGNANKANTY</v>
      </c>
      <c r="P246" s="25" t="s">
        <v>14948</v>
      </c>
      <c r="Q246" s="25" t="str">
        <f>VLOOKUP(Tableau3[[#This Row],[Denomination Sociale]],Tableau6[],1,1)</f>
        <v>MAGNANKANTY</v>
      </c>
      <c r="R246" s="25" t="s">
        <v>873</v>
      </c>
    </row>
    <row r="247" spans="1:18" x14ac:dyDescent="0.35">
      <c r="A247" s="24" t="s">
        <v>873</v>
      </c>
      <c r="B247" s="1" t="s">
        <v>14948</v>
      </c>
      <c r="C247" s="1" t="s">
        <v>1089</v>
      </c>
      <c r="D247" s="3" t="s">
        <v>1088</v>
      </c>
      <c r="E247" s="3" t="s">
        <v>12</v>
      </c>
      <c r="F247" s="3" t="s">
        <v>12</v>
      </c>
      <c r="G247" s="1" t="s">
        <v>17</v>
      </c>
      <c r="H247" s="1"/>
      <c r="I247" s="1">
        <v>0</v>
      </c>
      <c r="J247" s="1" t="s">
        <v>12</v>
      </c>
      <c r="K247" s="1" t="s">
        <v>12</v>
      </c>
      <c r="L247" s="1" t="s">
        <v>7</v>
      </c>
      <c r="M247" s="25"/>
      <c r="N247" s="25" t="str">
        <f>IFERROR(VLOOKUP(Tableau3[[#This Row],[Denomination Sociale]],Tableau7[],1,0),"")</f>
        <v/>
      </c>
      <c r="O247" s="25" t="str">
        <f>VLOOKUP(Tableau3[[#This Row],[Denomination Sociale]],Tableau6[],1,0)</f>
        <v>MAGNANKANTY</v>
      </c>
      <c r="P247" s="25" t="s">
        <v>14948</v>
      </c>
      <c r="Q247" s="25" t="str">
        <f>VLOOKUP(Tableau3[[#This Row],[Denomination Sociale]],Tableau6[],1,1)</f>
        <v>MAGNANKANTY</v>
      </c>
      <c r="R247" s="25" t="s">
        <v>873</v>
      </c>
    </row>
    <row r="248" spans="1:18" x14ac:dyDescent="0.35">
      <c r="A248" s="24" t="s">
        <v>873</v>
      </c>
      <c r="B248" s="1" t="s">
        <v>14948</v>
      </c>
      <c r="C248" s="1" t="s">
        <v>1090</v>
      </c>
      <c r="D248" s="3" t="s">
        <v>1088</v>
      </c>
      <c r="E248" s="3" t="s">
        <v>12</v>
      </c>
      <c r="F248" s="3" t="s">
        <v>12</v>
      </c>
      <c r="G248" s="1" t="s">
        <v>17</v>
      </c>
      <c r="H248" s="1"/>
      <c r="I248" s="1">
        <v>0</v>
      </c>
      <c r="J248" s="1" t="s">
        <v>12</v>
      </c>
      <c r="K248" s="1" t="s">
        <v>12</v>
      </c>
      <c r="L248" s="1" t="s">
        <v>7</v>
      </c>
      <c r="M248" s="25"/>
      <c r="N248" s="25" t="str">
        <f>IFERROR(VLOOKUP(Tableau3[[#This Row],[Denomination Sociale]],Tableau7[],1,0),"")</f>
        <v/>
      </c>
      <c r="O248" s="25" t="str">
        <f>VLOOKUP(Tableau3[[#This Row],[Denomination Sociale]],Tableau6[],1,0)</f>
        <v>MAGNANKANTY</v>
      </c>
      <c r="P248" s="25" t="s">
        <v>14948</v>
      </c>
      <c r="Q248" s="25" t="str">
        <f>VLOOKUP(Tableau3[[#This Row],[Denomination Sociale]],Tableau6[],1,1)</f>
        <v>MAGNANKANTY</v>
      </c>
      <c r="R248" s="25" t="s">
        <v>873</v>
      </c>
    </row>
    <row r="249" spans="1:18" x14ac:dyDescent="0.35">
      <c r="A249" s="24" t="s">
        <v>8</v>
      </c>
      <c r="B249" s="1" t="s">
        <v>15085</v>
      </c>
      <c r="C249" s="1" t="s">
        <v>1206</v>
      </c>
      <c r="D249" s="3" t="s">
        <v>1207</v>
      </c>
      <c r="E249" s="3" t="s">
        <v>12</v>
      </c>
      <c r="F249" s="3" t="s">
        <v>12</v>
      </c>
      <c r="G249" s="1" t="s">
        <v>17</v>
      </c>
      <c r="H249" s="1"/>
      <c r="I249" s="1">
        <v>0</v>
      </c>
      <c r="J249" s="1" t="s">
        <v>12</v>
      </c>
      <c r="K249" s="1" t="s">
        <v>12</v>
      </c>
      <c r="L249" s="1" t="s">
        <v>7</v>
      </c>
      <c r="M249" s="25"/>
      <c r="N249" s="25" t="str">
        <f>IFERROR(VLOOKUP(Tableau3[[#This Row],[Denomination Sociale]],Tableau7[],1,0),"")</f>
        <v/>
      </c>
      <c r="O249" s="25" t="str">
        <f>VLOOKUP(Tableau3[[#This Row],[Denomination Sociale]],Tableau6[],1,0)</f>
        <v>SHENG HUA MINING CO,LTD</v>
      </c>
      <c r="P249" s="25" t="s">
        <v>15085</v>
      </c>
      <c r="Q249" s="25" t="str">
        <f>VLOOKUP(Tableau3[[#This Row],[Denomination Sociale]],Tableau6[],1,1)</f>
        <v>SHENG HUA MINING CO,LTD</v>
      </c>
      <c r="R249" s="25" t="s">
        <v>8</v>
      </c>
    </row>
    <row r="250" spans="1:18" x14ac:dyDescent="0.35">
      <c r="A250" s="24" t="s">
        <v>8</v>
      </c>
      <c r="B250" s="1" t="s">
        <v>15085</v>
      </c>
      <c r="C250" s="1" t="s">
        <v>1208</v>
      </c>
      <c r="D250" s="3" t="s">
        <v>1207</v>
      </c>
      <c r="E250" s="3" t="s">
        <v>12</v>
      </c>
      <c r="F250" s="3" t="s">
        <v>12</v>
      </c>
      <c r="G250" s="1" t="s">
        <v>17</v>
      </c>
      <c r="H250" s="1"/>
      <c r="I250" s="1">
        <v>0</v>
      </c>
      <c r="J250" s="1" t="s">
        <v>12</v>
      </c>
      <c r="K250" s="1" t="s">
        <v>12</v>
      </c>
      <c r="L250" s="1" t="s">
        <v>7</v>
      </c>
      <c r="M250" s="25"/>
      <c r="N250" s="25" t="str">
        <f>IFERROR(VLOOKUP(Tableau3[[#This Row],[Denomination Sociale]],Tableau7[],1,0),"")</f>
        <v/>
      </c>
      <c r="O250" s="25" t="str">
        <f>VLOOKUP(Tableau3[[#This Row],[Denomination Sociale]],Tableau6[],1,0)</f>
        <v>SHENG HUA MINING CO,LTD</v>
      </c>
      <c r="P250" s="25" t="s">
        <v>15085</v>
      </c>
      <c r="Q250" s="25" t="str">
        <f>VLOOKUP(Tableau3[[#This Row],[Denomination Sociale]],Tableau6[],1,1)</f>
        <v>SHENG HUA MINING CO,LTD</v>
      </c>
      <c r="R250" s="25" t="s">
        <v>8</v>
      </c>
    </row>
    <row r="251" spans="1:18" x14ac:dyDescent="0.35">
      <c r="A251" s="24" t="s">
        <v>8</v>
      </c>
      <c r="B251" s="1" t="s">
        <v>15182</v>
      </c>
      <c r="C251" s="1" t="s">
        <v>321</v>
      </c>
      <c r="D251" s="3" t="s">
        <v>322</v>
      </c>
      <c r="E251" s="3">
        <v>100</v>
      </c>
      <c r="F251" s="3" t="s">
        <v>12</v>
      </c>
      <c r="G251" s="1" t="s">
        <v>17</v>
      </c>
      <c r="H251" s="1" t="s">
        <v>17</v>
      </c>
      <c r="I251" s="1" t="s">
        <v>12</v>
      </c>
      <c r="J251" s="1">
        <v>0</v>
      </c>
      <c r="K251" s="1" t="s">
        <v>12</v>
      </c>
      <c r="L251" s="1" t="s">
        <v>7</v>
      </c>
      <c r="M251" s="25"/>
      <c r="N251" s="25" t="str">
        <f>IFERROR(VLOOKUP(Tableau3[[#This Row],[Denomination Sociale]],Tableau7[],1,0),"")</f>
        <v/>
      </c>
      <c r="O251" s="25" t="str">
        <f>VLOOKUP(Tableau3[[#This Row],[Denomination Sociale]],Tableau6[],1,0)</f>
        <v>GLADIAMA</v>
      </c>
      <c r="P251" s="25" t="s">
        <v>15182</v>
      </c>
      <c r="Q251" s="25" t="str">
        <f>VLOOKUP(Tableau3[[#This Row],[Denomination Sociale]],Tableau6[],1,1)</f>
        <v>GLADIAMA</v>
      </c>
      <c r="R251" s="25" t="s">
        <v>8</v>
      </c>
    </row>
    <row r="252" spans="1:18" x14ac:dyDescent="0.35">
      <c r="A252" s="24" t="s">
        <v>8</v>
      </c>
      <c r="B252" s="1" t="s">
        <v>15622</v>
      </c>
      <c r="C252" s="1" t="s">
        <v>326</v>
      </c>
      <c r="D252" s="3" t="s">
        <v>325</v>
      </c>
      <c r="E252" s="3">
        <v>20</v>
      </c>
      <c r="F252" s="3">
        <v>20</v>
      </c>
      <c r="G252" s="1" t="s">
        <v>17</v>
      </c>
      <c r="H252" s="1" t="s">
        <v>17</v>
      </c>
      <c r="I252" s="1" t="s">
        <v>12</v>
      </c>
      <c r="J252" s="1">
        <v>0</v>
      </c>
      <c r="K252" s="1" t="s">
        <v>12</v>
      </c>
      <c r="L252" s="1" t="s">
        <v>7</v>
      </c>
      <c r="M252" s="25"/>
      <c r="N252" s="25" t="str">
        <f>IFERROR(VLOOKUP(Tableau3[[#This Row],[Denomination Sociale]],Tableau7[],1,0),"")</f>
        <v/>
      </c>
      <c r="O252" s="25" t="e">
        <f>VLOOKUP(Tableau3[[#This Row],[Denomination Sociale]],Tableau6[],1,0)</f>
        <v>#N/A</v>
      </c>
      <c r="P252" s="25"/>
      <c r="Q252" s="25" t="str">
        <f>VLOOKUP(Tableau3[[#This Row],[Denomination Sociale]],Tableau6[],1,1)</f>
        <v>GLOBAL FALLENE HOLDING SERVICE</v>
      </c>
      <c r="R252" s="25" t="s">
        <v>8</v>
      </c>
    </row>
    <row r="253" spans="1:18" x14ac:dyDescent="0.35">
      <c r="A253" s="24" t="s">
        <v>8</v>
      </c>
      <c r="B253" s="1" t="s">
        <v>15622</v>
      </c>
      <c r="C253" s="1" t="s">
        <v>315</v>
      </c>
      <c r="D253" s="3" t="s">
        <v>325</v>
      </c>
      <c r="E253" s="3">
        <v>20</v>
      </c>
      <c r="F253" s="3">
        <v>20</v>
      </c>
      <c r="G253" s="1" t="s">
        <v>17</v>
      </c>
      <c r="H253" s="1" t="s">
        <v>17</v>
      </c>
      <c r="I253" s="1" t="s">
        <v>12</v>
      </c>
      <c r="J253" s="1">
        <v>0</v>
      </c>
      <c r="K253" s="1" t="s">
        <v>12</v>
      </c>
      <c r="L253" s="1" t="s">
        <v>7</v>
      </c>
      <c r="M253" s="25"/>
      <c r="N253" s="25" t="str">
        <f>IFERROR(VLOOKUP(Tableau3[[#This Row],[Denomination Sociale]],Tableau7[],1,0),"")</f>
        <v/>
      </c>
      <c r="O253" s="25" t="e">
        <f>VLOOKUP(Tableau3[[#This Row],[Denomination Sociale]],Tableau6[],1,0)</f>
        <v>#N/A</v>
      </c>
      <c r="P253" s="25"/>
      <c r="Q253" s="25" t="str">
        <f>VLOOKUP(Tableau3[[#This Row],[Denomination Sociale]],Tableau6[],1,1)</f>
        <v>GLOBAL FALLENE HOLDING SERVICE</v>
      </c>
      <c r="R253" s="25" t="s">
        <v>8</v>
      </c>
    </row>
    <row r="254" spans="1:18" x14ac:dyDescent="0.35">
      <c r="A254" s="24" t="s">
        <v>8</v>
      </c>
      <c r="B254" s="1" t="s">
        <v>15622</v>
      </c>
      <c r="C254" s="1" t="s">
        <v>327</v>
      </c>
      <c r="D254" s="3" t="s">
        <v>325</v>
      </c>
      <c r="E254" s="3">
        <v>20</v>
      </c>
      <c r="F254" s="3">
        <v>20</v>
      </c>
      <c r="G254" s="1" t="s">
        <v>17</v>
      </c>
      <c r="H254" s="1" t="s">
        <v>17</v>
      </c>
      <c r="I254" s="1" t="s">
        <v>12</v>
      </c>
      <c r="J254" s="1">
        <v>0</v>
      </c>
      <c r="K254" s="1" t="s">
        <v>12</v>
      </c>
      <c r="L254" s="1" t="s">
        <v>7</v>
      </c>
      <c r="M254" s="25"/>
      <c r="N254" s="25" t="str">
        <f>IFERROR(VLOOKUP(Tableau3[[#This Row],[Denomination Sociale]],Tableau7[],1,0),"")</f>
        <v/>
      </c>
      <c r="O254" s="25" t="e">
        <f>VLOOKUP(Tableau3[[#This Row],[Denomination Sociale]],Tableau6[],1,0)</f>
        <v>#N/A</v>
      </c>
      <c r="P254" s="25"/>
      <c r="Q254" s="25" t="str">
        <f>VLOOKUP(Tableau3[[#This Row],[Denomination Sociale]],Tableau6[],1,1)</f>
        <v>GLOBAL FALLENE HOLDING SERVICE</v>
      </c>
      <c r="R254" s="25" t="s">
        <v>8</v>
      </c>
    </row>
    <row r="255" spans="1:18" x14ac:dyDescent="0.35">
      <c r="A255" s="24" t="s">
        <v>8</v>
      </c>
      <c r="B255" s="1" t="s">
        <v>335</v>
      </c>
      <c r="C255" s="1" t="s">
        <v>336</v>
      </c>
      <c r="D255" s="3" t="s">
        <v>337</v>
      </c>
      <c r="E255" s="3">
        <v>100</v>
      </c>
      <c r="F255" s="3">
        <v>100</v>
      </c>
      <c r="G255" s="1" t="s">
        <v>17</v>
      </c>
      <c r="H255" s="1" t="s">
        <v>17</v>
      </c>
      <c r="I255" s="1" t="s">
        <v>12</v>
      </c>
      <c r="J255" s="1">
        <v>0</v>
      </c>
      <c r="K255" s="1" t="s">
        <v>12</v>
      </c>
      <c r="L255" s="1" t="s">
        <v>7</v>
      </c>
      <c r="M255" s="25"/>
      <c r="N255" s="25" t="str">
        <f>IFERROR(VLOOKUP(Tableau3[[#This Row],[Denomination Sociale]],Tableau7[],1,0),"")</f>
        <v/>
      </c>
      <c r="O255" s="25" t="e">
        <f>VLOOKUP(Tableau3[[#This Row],[Denomination Sociale]],Tableau6[],1,0)</f>
        <v>#N/A</v>
      </c>
      <c r="P255" s="25"/>
      <c r="Q255" s="25" t="str">
        <f>VLOOKUP(Tableau3[[#This Row],[Denomination Sociale]],Tableau6[],1,1)</f>
        <v>GOLD FAMILY</v>
      </c>
      <c r="R255" s="25" t="s">
        <v>8</v>
      </c>
    </row>
    <row r="256" spans="1:18" x14ac:dyDescent="0.35">
      <c r="A256" s="24" t="s">
        <v>8</v>
      </c>
      <c r="B256" s="1" t="s">
        <v>338</v>
      </c>
      <c r="C256" s="1" t="s">
        <v>68</v>
      </c>
      <c r="D256" s="3" t="s">
        <v>339</v>
      </c>
      <c r="E256" s="3">
        <v>25</v>
      </c>
      <c r="F256" s="3">
        <v>25</v>
      </c>
      <c r="G256" s="1" t="s">
        <v>17</v>
      </c>
      <c r="H256" s="1" t="s">
        <v>17</v>
      </c>
      <c r="I256" s="1" t="s">
        <v>12</v>
      </c>
      <c r="J256" s="1">
        <v>0</v>
      </c>
      <c r="K256" s="1" t="s">
        <v>12</v>
      </c>
      <c r="L256" s="1" t="s">
        <v>7</v>
      </c>
      <c r="M256" s="25"/>
      <c r="N256" s="25" t="str">
        <f>IFERROR(VLOOKUP(Tableau3[[#This Row],[Denomination Sociale]],Tableau7[],1,0),"")</f>
        <v/>
      </c>
      <c r="O256" s="25" t="e">
        <f>VLOOKUP(Tableau3[[#This Row],[Denomination Sociale]],Tableau6[],1,0)</f>
        <v>#N/A</v>
      </c>
      <c r="P256" s="25"/>
      <c r="Q256" s="25" t="str">
        <f>VLOOKUP(Tableau3[[#This Row],[Denomination Sociale]],Tableau6[],1,1)</f>
        <v>GOLDEN KADIOR SAS</v>
      </c>
      <c r="R256" s="25" t="s">
        <v>8</v>
      </c>
    </row>
    <row r="257" spans="1:18" x14ac:dyDescent="0.35">
      <c r="A257" s="24" t="s">
        <v>8</v>
      </c>
      <c r="B257" s="1" t="s">
        <v>328</v>
      </c>
      <c r="C257" s="1" t="s">
        <v>329</v>
      </c>
      <c r="D257" s="3" t="s">
        <v>330</v>
      </c>
      <c r="E257" s="3">
        <v>80</v>
      </c>
      <c r="F257" s="3">
        <v>80</v>
      </c>
      <c r="G257" s="1" t="s">
        <v>17</v>
      </c>
      <c r="H257" s="1" t="s">
        <v>17</v>
      </c>
      <c r="I257" s="1" t="s">
        <v>12</v>
      </c>
      <c r="J257" s="1">
        <v>0</v>
      </c>
      <c r="K257" s="1" t="s">
        <v>12</v>
      </c>
      <c r="L257" s="1" t="s">
        <v>7</v>
      </c>
      <c r="M257" s="25"/>
      <c r="N257" s="25" t="str">
        <f>IFERROR(VLOOKUP(Tableau3[[#This Row],[Denomination Sociale]],Tableau7[],1,0),"")</f>
        <v/>
      </c>
      <c r="O257" s="25" t="str">
        <f>VLOOKUP(Tableau3[[#This Row],[Denomination Sociale]],Tableau6[],1,0)</f>
        <v>GLOBAL IMMO SENEGAL</v>
      </c>
      <c r="P257" s="25" t="s">
        <v>328</v>
      </c>
      <c r="Q257" s="25" t="str">
        <f>VLOOKUP(Tableau3[[#This Row],[Denomination Sociale]],Tableau6[],1,1)</f>
        <v>GLOBAL IMMO SENEGAL</v>
      </c>
      <c r="R257" s="25" t="s">
        <v>8</v>
      </c>
    </row>
    <row r="258" spans="1:18" x14ac:dyDescent="0.35">
      <c r="A258" s="24" t="s">
        <v>8</v>
      </c>
      <c r="B258" s="1" t="s">
        <v>328</v>
      </c>
      <c r="C258" s="1" t="s">
        <v>331</v>
      </c>
      <c r="D258" s="3" t="s">
        <v>330</v>
      </c>
      <c r="E258" s="3">
        <v>20</v>
      </c>
      <c r="F258" s="3">
        <v>20</v>
      </c>
      <c r="G258" s="1" t="s">
        <v>17</v>
      </c>
      <c r="H258" s="1" t="s">
        <v>17</v>
      </c>
      <c r="I258" s="1" t="s">
        <v>12</v>
      </c>
      <c r="J258" s="1">
        <v>0</v>
      </c>
      <c r="K258" s="1" t="s">
        <v>12</v>
      </c>
      <c r="L258" s="1" t="s">
        <v>7</v>
      </c>
      <c r="M258" s="25"/>
      <c r="N258" s="25" t="str">
        <f>IFERROR(VLOOKUP(Tableau3[[#This Row],[Denomination Sociale]],Tableau7[],1,0),"")</f>
        <v/>
      </c>
      <c r="O258" s="25" t="str">
        <f>VLOOKUP(Tableau3[[#This Row],[Denomination Sociale]],Tableau6[],1,0)</f>
        <v>GLOBAL IMMO SENEGAL</v>
      </c>
      <c r="P258" s="25" t="s">
        <v>328</v>
      </c>
      <c r="Q258" s="25" t="str">
        <f>VLOOKUP(Tableau3[[#This Row],[Denomination Sociale]],Tableau6[],1,1)</f>
        <v>GLOBAL IMMO SENEGAL</v>
      </c>
      <c r="R258" s="25" t="s">
        <v>8</v>
      </c>
    </row>
    <row r="259" spans="1:18" x14ac:dyDescent="0.35">
      <c r="A259" s="24" t="s">
        <v>8</v>
      </c>
      <c r="B259" s="1" t="s">
        <v>332</v>
      </c>
      <c r="C259" s="1" t="s">
        <v>333</v>
      </c>
      <c r="D259" s="3" t="s">
        <v>334</v>
      </c>
      <c r="E259" s="3" t="s">
        <v>12</v>
      </c>
      <c r="F259" s="3" t="s">
        <v>12</v>
      </c>
      <c r="G259" s="1" t="s">
        <v>17</v>
      </c>
      <c r="H259" s="1" t="s">
        <v>17</v>
      </c>
      <c r="I259" s="1" t="s">
        <v>12</v>
      </c>
      <c r="J259" s="1">
        <v>0</v>
      </c>
      <c r="K259" s="1" t="s">
        <v>12</v>
      </c>
      <c r="L259" s="1" t="s">
        <v>7</v>
      </c>
      <c r="M259" s="25"/>
      <c r="N259" s="25" t="str">
        <f>IFERROR(VLOOKUP(Tableau3[[#This Row],[Denomination Sociale]],Tableau7[],1,0),"")</f>
        <v/>
      </c>
      <c r="O259" s="25" t="str">
        <f>VLOOKUP(Tableau3[[#This Row],[Denomination Sociale]],Tableau6[],1,0)</f>
        <v>GLOBAL MINING OPERATIONS</v>
      </c>
      <c r="P259" s="25" t="s">
        <v>332</v>
      </c>
      <c r="Q259" s="25" t="str">
        <f>VLOOKUP(Tableau3[[#This Row],[Denomination Sociale]],Tableau6[],1,1)</f>
        <v>GLOBAL MINING OPERATIONS</v>
      </c>
      <c r="R259" s="25" t="s">
        <v>8</v>
      </c>
    </row>
    <row r="260" spans="1:18" x14ac:dyDescent="0.35">
      <c r="A260" s="24" t="s">
        <v>8</v>
      </c>
      <c r="B260" s="1" t="s">
        <v>338</v>
      </c>
      <c r="C260" s="1" t="s">
        <v>340</v>
      </c>
      <c r="D260" s="3" t="s">
        <v>339</v>
      </c>
      <c r="E260" s="3">
        <v>75</v>
      </c>
      <c r="F260" s="3">
        <v>75</v>
      </c>
      <c r="G260" s="1" t="s">
        <v>17</v>
      </c>
      <c r="H260" s="1" t="s">
        <v>17</v>
      </c>
      <c r="I260" s="1" t="s">
        <v>12</v>
      </c>
      <c r="J260" s="1">
        <v>0</v>
      </c>
      <c r="K260" s="1" t="s">
        <v>12</v>
      </c>
      <c r="L260" s="1" t="s">
        <v>7</v>
      </c>
      <c r="M260" s="25"/>
      <c r="N260" s="25" t="str">
        <f>IFERROR(VLOOKUP(Tableau3[[#This Row],[Denomination Sociale]],Tableau7[],1,0),"")</f>
        <v/>
      </c>
      <c r="O260" s="25" t="e">
        <f>VLOOKUP(Tableau3[[#This Row],[Denomination Sociale]],Tableau6[],1,0)</f>
        <v>#N/A</v>
      </c>
      <c r="P260" s="25"/>
      <c r="Q260" s="25" t="str">
        <f>VLOOKUP(Tableau3[[#This Row],[Denomination Sociale]],Tableau6[],1,1)</f>
        <v>GOLDEN KADIOR SAS</v>
      </c>
      <c r="R260" s="25" t="s">
        <v>8</v>
      </c>
    </row>
    <row r="261" spans="1:18" x14ac:dyDescent="0.35">
      <c r="A261" s="24" t="s">
        <v>8</v>
      </c>
      <c r="B261" s="1" t="s">
        <v>341</v>
      </c>
      <c r="C261" s="1" t="s">
        <v>342</v>
      </c>
      <c r="D261" s="3" t="s">
        <v>343</v>
      </c>
      <c r="E261" s="3">
        <v>100</v>
      </c>
      <c r="F261" s="3">
        <v>100</v>
      </c>
      <c r="G261" s="1" t="s">
        <v>17</v>
      </c>
      <c r="H261" s="1" t="s">
        <v>17</v>
      </c>
      <c r="I261" s="1" t="s">
        <v>12</v>
      </c>
      <c r="J261" s="1">
        <v>0</v>
      </c>
      <c r="K261" s="1" t="s">
        <v>12</v>
      </c>
      <c r="L261" s="1" t="s">
        <v>7</v>
      </c>
      <c r="M261" s="25"/>
      <c r="N261" s="25" t="str">
        <f>IFERROR(VLOOKUP(Tableau3[[#This Row],[Denomination Sociale]],Tableau7[],1,0),"")</f>
        <v/>
      </c>
      <c r="O261" s="25" t="e">
        <f>VLOOKUP(Tableau3[[#This Row],[Denomination Sociale]],Tableau6[],1,0)</f>
        <v>#N/A</v>
      </c>
      <c r="P261" s="25"/>
      <c r="Q261" s="25" t="str">
        <f>VLOOKUP(Tableau3[[#This Row],[Denomination Sociale]],Tableau6[],1,1)</f>
        <v>GOLDIMA</v>
      </c>
      <c r="R261" s="25" t="s">
        <v>8</v>
      </c>
    </row>
    <row r="262" spans="1:18" x14ac:dyDescent="0.35">
      <c r="A262" s="24" t="s">
        <v>8</v>
      </c>
      <c r="B262" s="1" t="s">
        <v>344</v>
      </c>
      <c r="C262" s="1" t="s">
        <v>345</v>
      </c>
      <c r="D262" s="3" t="s">
        <v>346</v>
      </c>
      <c r="E262" s="3" t="s">
        <v>12</v>
      </c>
      <c r="F262" s="3" t="s">
        <v>12</v>
      </c>
      <c r="G262" s="1" t="s">
        <v>59</v>
      </c>
      <c r="H262" s="1" t="s">
        <v>59</v>
      </c>
      <c r="I262" s="1" t="s">
        <v>12</v>
      </c>
      <c r="J262" s="1">
        <v>0</v>
      </c>
      <c r="K262" s="1" t="s">
        <v>12</v>
      </c>
      <c r="L262" s="1" t="s">
        <v>7</v>
      </c>
      <c r="M262" s="25"/>
      <c r="N262" s="25" t="str">
        <f>IFERROR(VLOOKUP(Tableau3[[#This Row],[Denomination Sociale]],Tableau7[],1,0),"")</f>
        <v/>
      </c>
      <c r="O262" s="25" t="e">
        <f>VLOOKUP(Tableau3[[#This Row],[Denomination Sociale]],Tableau6[],1,0)</f>
        <v>#N/A</v>
      </c>
      <c r="P262" s="25"/>
      <c r="Q262" s="25" t="str">
        <f>VLOOKUP(Tableau3[[#This Row],[Denomination Sociale]],Tableau6[],1,1)</f>
        <v>GRACE GOLD COMPANY SENEGAL</v>
      </c>
      <c r="R262" s="25" t="s">
        <v>8</v>
      </c>
    </row>
    <row r="263" spans="1:18" x14ac:dyDescent="0.35">
      <c r="A263" s="24" t="s">
        <v>8</v>
      </c>
      <c r="B263" s="1" t="s">
        <v>15677</v>
      </c>
      <c r="C263" s="1" t="s">
        <v>1078</v>
      </c>
      <c r="D263" s="3" t="s">
        <v>1079</v>
      </c>
      <c r="E263" s="3" t="s">
        <v>12</v>
      </c>
      <c r="F263" s="3" t="s">
        <v>12</v>
      </c>
      <c r="G263" s="1" t="s">
        <v>17</v>
      </c>
      <c r="H263" s="1"/>
      <c r="I263" s="1">
        <v>0</v>
      </c>
      <c r="J263" s="1" t="s">
        <v>12</v>
      </c>
      <c r="K263" s="1" t="s">
        <v>12</v>
      </c>
      <c r="L263" s="1" t="s">
        <v>7</v>
      </c>
      <c r="M263" s="25"/>
      <c r="N263" s="25" t="str">
        <f>IFERROR(VLOOKUP(Tableau3[[#This Row],[Denomination Sociale]],Tableau7[],1,0),"")</f>
        <v/>
      </c>
      <c r="O263" s="25" t="e">
        <f>VLOOKUP(Tableau3[[#This Row],[Denomination Sociale]],Tableau6[],1,0)</f>
        <v>#N/A</v>
      </c>
      <c r="P263" s="25"/>
      <c r="Q263" s="25" t="str">
        <f>VLOOKUP(Tableau3[[#This Row],[Denomination Sociale]],Tableau6[],1,1)</f>
        <v>GUILLAYE DIOP</v>
      </c>
      <c r="R263" s="25" t="s">
        <v>8</v>
      </c>
    </row>
    <row r="264" spans="1:18" x14ac:dyDescent="0.35">
      <c r="A264" s="24" t="s">
        <v>966</v>
      </c>
      <c r="B264" s="1" t="s">
        <v>1238</v>
      </c>
      <c r="C264" s="1" t="s">
        <v>967</v>
      </c>
      <c r="D264" s="3" t="s">
        <v>968</v>
      </c>
      <c r="E264" s="3" t="s">
        <v>12</v>
      </c>
      <c r="F264" s="3" t="s">
        <v>12</v>
      </c>
      <c r="G264" s="1" t="s">
        <v>59</v>
      </c>
      <c r="H264" s="1" t="s">
        <v>59</v>
      </c>
      <c r="I264" s="1" t="s">
        <v>12</v>
      </c>
      <c r="J264" s="1">
        <v>0</v>
      </c>
      <c r="K264" s="1" t="s">
        <v>12</v>
      </c>
      <c r="L264" s="1" t="s">
        <v>7</v>
      </c>
      <c r="M264" s="25"/>
      <c r="N264" s="25" t="str">
        <f>IFERROR(VLOOKUP(Tableau3[[#This Row],[Denomination Sociale]],Tableau7[],1,0),"")</f>
        <v/>
      </c>
      <c r="O264" s="25" t="str">
        <f>VLOOKUP(Tableau3[[#This Row],[Denomination Sociale]],Tableau6[],1,0)</f>
        <v>GRACE GOLD COMPANY SENEGAL</v>
      </c>
      <c r="P264" s="25" t="s">
        <v>1238</v>
      </c>
      <c r="Q264" s="25" t="str">
        <f>VLOOKUP(Tableau3[[#This Row],[Denomination Sociale]],Tableau6[],1,1)</f>
        <v>GRACE GOLD COMPANY SENEGAL</v>
      </c>
      <c r="R264" s="25" t="s">
        <v>966</v>
      </c>
    </row>
    <row r="265" spans="1:18" x14ac:dyDescent="0.35">
      <c r="A265" s="24" t="s">
        <v>966</v>
      </c>
      <c r="B265" s="1" t="s">
        <v>1238</v>
      </c>
      <c r="C265" s="1" t="s">
        <v>969</v>
      </c>
      <c r="D265" s="3" t="s">
        <v>968</v>
      </c>
      <c r="E265" s="3" t="s">
        <v>12</v>
      </c>
      <c r="F265" s="3" t="s">
        <v>12</v>
      </c>
      <c r="G265" s="1" t="s">
        <v>17</v>
      </c>
      <c r="H265" s="1" t="s">
        <v>17</v>
      </c>
      <c r="I265" s="1" t="s">
        <v>12</v>
      </c>
      <c r="J265" s="1">
        <v>0</v>
      </c>
      <c r="K265" s="1" t="s">
        <v>12</v>
      </c>
      <c r="L265" s="1" t="s">
        <v>7</v>
      </c>
      <c r="M265" s="25"/>
      <c r="N265" s="25" t="str">
        <f>IFERROR(VLOOKUP(Tableau3[[#This Row],[Denomination Sociale]],Tableau7[],1,0),"")</f>
        <v/>
      </c>
      <c r="O265" s="25" t="str">
        <f>VLOOKUP(Tableau3[[#This Row],[Denomination Sociale]],Tableau6[],1,0)</f>
        <v>GRACE GOLD COMPANY SENEGAL</v>
      </c>
      <c r="P265" s="25" t="s">
        <v>1238</v>
      </c>
      <c r="Q265" s="25" t="str">
        <f>VLOOKUP(Tableau3[[#This Row],[Denomination Sociale]],Tableau6[],1,1)</f>
        <v>GRACE GOLD COMPANY SENEGAL</v>
      </c>
      <c r="R265" s="25" t="s">
        <v>966</v>
      </c>
    </row>
    <row r="266" spans="1:18" x14ac:dyDescent="0.35">
      <c r="A266" s="24" t="s">
        <v>966</v>
      </c>
      <c r="B266" s="1" t="s">
        <v>1238</v>
      </c>
      <c r="C266" s="1" t="s">
        <v>970</v>
      </c>
      <c r="D266" s="3" t="s">
        <v>968</v>
      </c>
      <c r="E266" s="3" t="s">
        <v>12</v>
      </c>
      <c r="F266" s="3" t="s">
        <v>12</v>
      </c>
      <c r="G266" s="1" t="s">
        <v>17</v>
      </c>
      <c r="H266" s="1" t="s">
        <v>17</v>
      </c>
      <c r="I266" s="1" t="s">
        <v>12</v>
      </c>
      <c r="J266" s="1">
        <v>0</v>
      </c>
      <c r="K266" s="1" t="s">
        <v>12</v>
      </c>
      <c r="L266" s="1" t="s">
        <v>7</v>
      </c>
      <c r="M266" s="25"/>
      <c r="N266" s="25" t="str">
        <f>IFERROR(VLOOKUP(Tableau3[[#This Row],[Denomination Sociale]],Tableau7[],1,0),"")</f>
        <v/>
      </c>
      <c r="O266" s="25" t="str">
        <f>VLOOKUP(Tableau3[[#This Row],[Denomination Sociale]],Tableau6[],1,0)</f>
        <v>GRACE GOLD COMPANY SENEGAL</v>
      </c>
      <c r="P266" s="25" t="s">
        <v>1238</v>
      </c>
      <c r="Q266" s="25" t="str">
        <f>VLOOKUP(Tableau3[[#This Row],[Denomination Sociale]],Tableau6[],1,1)</f>
        <v>GRACE GOLD COMPANY SENEGAL</v>
      </c>
      <c r="R266" s="25" t="s">
        <v>966</v>
      </c>
    </row>
    <row r="267" spans="1:18" x14ac:dyDescent="0.35">
      <c r="A267" s="24" t="s">
        <v>8</v>
      </c>
      <c r="B267" s="1" t="s">
        <v>353</v>
      </c>
      <c r="C267" s="1" t="s">
        <v>354</v>
      </c>
      <c r="D267" s="3" t="s">
        <v>355</v>
      </c>
      <c r="E267" s="3">
        <v>100</v>
      </c>
      <c r="F267" s="3">
        <v>100</v>
      </c>
      <c r="G267" s="1" t="s">
        <v>17</v>
      </c>
      <c r="H267" s="1" t="s">
        <v>17</v>
      </c>
      <c r="I267" s="1" t="s">
        <v>12</v>
      </c>
      <c r="J267" s="1">
        <v>0</v>
      </c>
      <c r="K267" s="1" t="s">
        <v>12</v>
      </c>
      <c r="L267" s="1" t="s">
        <v>7</v>
      </c>
      <c r="M267" s="25"/>
      <c r="N267" s="25" t="str">
        <f>IFERROR(VLOOKUP(Tableau3[[#This Row],[Denomination Sociale]],Tableau7[],1,0),"")</f>
        <v/>
      </c>
      <c r="O267" s="25" t="e">
        <f>VLOOKUP(Tableau3[[#This Row],[Denomination Sociale]],Tableau6[],1,0)</f>
        <v>#N/A</v>
      </c>
      <c r="P267" s="25"/>
      <c r="Q267" s="25" t="str">
        <f>VLOOKUP(Tableau3[[#This Row],[Denomination Sociale]],Tableau6[],1,1)</f>
        <v>HACHEM SAFIEDINE</v>
      </c>
      <c r="R267" s="25" t="s">
        <v>8</v>
      </c>
    </row>
    <row r="268" spans="1:18" x14ac:dyDescent="0.35">
      <c r="A268" s="24" t="s">
        <v>8</v>
      </c>
      <c r="B268" s="1" t="s">
        <v>347</v>
      </c>
      <c r="C268" s="1" t="s">
        <v>348</v>
      </c>
      <c r="D268" s="3" t="s">
        <v>349</v>
      </c>
      <c r="E268" s="3">
        <v>100</v>
      </c>
      <c r="F268" s="3" t="s">
        <v>12</v>
      </c>
      <c r="G268" s="1" t="s">
        <v>17</v>
      </c>
      <c r="H268" s="1" t="s">
        <v>17</v>
      </c>
      <c r="I268" s="1" t="s">
        <v>12</v>
      </c>
      <c r="J268" s="1">
        <v>0</v>
      </c>
      <c r="K268" s="1" t="s">
        <v>12</v>
      </c>
      <c r="L268" s="1" t="s">
        <v>7</v>
      </c>
      <c r="M268" s="25"/>
      <c r="N268" s="25" t="str">
        <f>IFERROR(VLOOKUP(Tableau3[[#This Row],[Denomination Sociale]],Tableau7[],1,0),"")</f>
        <v/>
      </c>
      <c r="O268" s="25" t="str">
        <f>VLOOKUP(Tableau3[[#This Row],[Denomination Sociale]],Tableau6[],1,0)</f>
        <v>GROUPE SOCIETE SENEGALO SUISSE DES AFFAIRES</v>
      </c>
      <c r="P268" s="25" t="s">
        <v>347</v>
      </c>
      <c r="Q268" s="25" t="str">
        <f>VLOOKUP(Tableau3[[#This Row],[Denomination Sociale]],Tableau6[],1,1)</f>
        <v>GROUPE SOCIETE SENEGALO SUISSE DES AFFAIRES</v>
      </c>
      <c r="R268" s="25" t="s">
        <v>8</v>
      </c>
    </row>
    <row r="269" spans="1:18" x14ac:dyDescent="0.35">
      <c r="A269" s="24" t="s">
        <v>8</v>
      </c>
      <c r="B269" s="1" t="s">
        <v>14610</v>
      </c>
      <c r="C269" s="1" t="s">
        <v>351</v>
      </c>
      <c r="D269" s="3" t="s">
        <v>352</v>
      </c>
      <c r="E269" s="3">
        <v>100</v>
      </c>
      <c r="F269" s="3" t="s">
        <v>12</v>
      </c>
      <c r="G269" s="1" t="s">
        <v>17</v>
      </c>
      <c r="H269" s="1" t="s">
        <v>17</v>
      </c>
      <c r="I269" s="1" t="s">
        <v>12</v>
      </c>
      <c r="J269" s="1">
        <v>0</v>
      </c>
      <c r="K269" s="1" t="s">
        <v>12</v>
      </c>
      <c r="L269" s="1" t="s">
        <v>7</v>
      </c>
      <c r="M269" s="25"/>
      <c r="N269" s="25" t="str">
        <f>IFERROR(VLOOKUP(Tableau3[[#This Row],[Denomination Sociale]],Tableau7[],1,0),"")</f>
        <v/>
      </c>
      <c r="O269" s="25" t="str">
        <f>VLOOKUP(Tableau3[[#This Row],[Denomination Sociale]],Tableau6[],1,0)</f>
        <v>GUENE MINING</v>
      </c>
      <c r="P269" s="25" t="s">
        <v>14610</v>
      </c>
      <c r="Q269" s="25" t="str">
        <f>VLOOKUP(Tableau3[[#This Row],[Denomination Sociale]],Tableau6[],1,1)</f>
        <v>GUENE MINING</v>
      </c>
      <c r="R269" s="25" t="s">
        <v>8</v>
      </c>
    </row>
    <row r="270" spans="1:18" x14ac:dyDescent="0.35">
      <c r="A270" s="24" t="s">
        <v>980</v>
      </c>
      <c r="B270" s="1" t="s">
        <v>15624</v>
      </c>
      <c r="C270" s="1" t="s">
        <v>1049</v>
      </c>
      <c r="D270" s="3" t="s">
        <v>1050</v>
      </c>
      <c r="E270" s="3">
        <v>100</v>
      </c>
      <c r="F270" s="3">
        <v>100</v>
      </c>
      <c r="G270" s="1" t="s">
        <v>17</v>
      </c>
      <c r="H270" s="1" t="s">
        <v>17</v>
      </c>
      <c r="I270" s="1" t="s">
        <v>168</v>
      </c>
      <c r="J270" s="1">
        <v>0</v>
      </c>
      <c r="K270" s="1" t="s">
        <v>1016</v>
      </c>
      <c r="L270" s="1" t="s">
        <v>7</v>
      </c>
      <c r="M270" s="25"/>
      <c r="N270" s="25" t="str">
        <f>IFERROR(VLOOKUP(Tableau3[[#This Row],[Denomination Sociale]],Tableau7[],1,0),"")</f>
        <v/>
      </c>
      <c r="O270" s="25" t="str">
        <f>VLOOKUP(Tableau3[[#This Row],[Denomination Sociale]],Tableau6[],1,0)</f>
        <v>GUEYE &amp; FRERES THIORO TRANSPORT</v>
      </c>
      <c r="P270" s="25" t="s">
        <v>15624</v>
      </c>
      <c r="Q270" s="25" t="str">
        <f>VLOOKUP(Tableau3[[#This Row],[Denomination Sociale]],Tableau6[],1,1)</f>
        <v>GUEYE &amp; FRERES THIORO TRANSPORT</v>
      </c>
      <c r="R270" s="25" t="s">
        <v>980</v>
      </c>
    </row>
    <row r="271" spans="1:18" x14ac:dyDescent="0.35">
      <c r="A271" s="24" t="s">
        <v>980</v>
      </c>
      <c r="B271" s="1" t="s">
        <v>15624</v>
      </c>
      <c r="C271" s="1" t="s">
        <v>1049</v>
      </c>
      <c r="D271" s="3" t="s">
        <v>1050</v>
      </c>
      <c r="E271" s="3">
        <v>100</v>
      </c>
      <c r="F271" s="3">
        <v>100</v>
      </c>
      <c r="G271" s="1" t="s">
        <v>17</v>
      </c>
      <c r="H271" s="1" t="s">
        <v>17</v>
      </c>
      <c r="I271" s="1" t="s">
        <v>17</v>
      </c>
      <c r="J271" s="1">
        <v>0</v>
      </c>
      <c r="K271" s="1" t="s">
        <v>1016</v>
      </c>
      <c r="L271" s="1" t="s">
        <v>7</v>
      </c>
      <c r="M271" s="25"/>
      <c r="N271" s="25" t="str">
        <f>IFERROR(VLOOKUP(Tableau3[[#This Row],[Denomination Sociale]],Tableau7[],1,0),"")</f>
        <v/>
      </c>
      <c r="O271" s="25" t="str">
        <f>VLOOKUP(Tableau3[[#This Row],[Denomination Sociale]],Tableau6[],1,0)</f>
        <v>GUEYE &amp; FRERES THIORO TRANSPORT</v>
      </c>
      <c r="P271" s="25" t="s">
        <v>15624</v>
      </c>
      <c r="Q271" s="25" t="str">
        <f>VLOOKUP(Tableau3[[#This Row],[Denomination Sociale]],Tableau6[],1,1)</f>
        <v>GUEYE &amp; FRERES THIORO TRANSPORT</v>
      </c>
      <c r="R271" s="25" t="s">
        <v>980</v>
      </c>
    </row>
    <row r="272" spans="1:18" x14ac:dyDescent="0.35">
      <c r="A272" s="24" t="s">
        <v>8</v>
      </c>
      <c r="B272" s="1" t="s">
        <v>353</v>
      </c>
      <c r="C272" s="1" t="s">
        <v>354</v>
      </c>
      <c r="D272" s="3" t="s">
        <v>1073</v>
      </c>
      <c r="E272" s="3">
        <v>200</v>
      </c>
      <c r="F272" s="3">
        <v>200</v>
      </c>
      <c r="G272" s="1" t="s">
        <v>17</v>
      </c>
      <c r="H272" s="1" t="s">
        <v>17</v>
      </c>
      <c r="I272" s="1" t="s">
        <v>12</v>
      </c>
      <c r="J272" s="1">
        <v>0</v>
      </c>
      <c r="K272" s="1" t="s">
        <v>12</v>
      </c>
      <c r="L272" s="1" t="s">
        <v>7</v>
      </c>
      <c r="M272" s="25"/>
      <c r="N272" s="25" t="str">
        <f>IFERROR(VLOOKUP(Tableau3[[#This Row],[Denomination Sociale]],Tableau7[],1,0),"")</f>
        <v/>
      </c>
      <c r="O272" s="25" t="e">
        <f>VLOOKUP(Tableau3[[#This Row],[Denomination Sociale]],Tableau6[],1,0)</f>
        <v>#N/A</v>
      </c>
      <c r="P272" s="25"/>
      <c r="Q272" s="25" t="str">
        <f>VLOOKUP(Tableau3[[#This Row],[Denomination Sociale]],Tableau6[],1,1)</f>
        <v>HACHEM SAFIEDINE</v>
      </c>
      <c r="R272" s="25" t="s">
        <v>8</v>
      </c>
    </row>
    <row r="273" spans="1:18" x14ac:dyDescent="0.35">
      <c r="A273" s="24" t="s">
        <v>873</v>
      </c>
      <c r="B273" s="1" t="s">
        <v>1146</v>
      </c>
      <c r="C273" s="1" t="s">
        <v>1147</v>
      </c>
      <c r="D273" s="3" t="s">
        <v>1148</v>
      </c>
      <c r="E273" s="3" t="s">
        <v>12</v>
      </c>
      <c r="F273" s="3" t="s">
        <v>12</v>
      </c>
      <c r="G273" s="1" t="s">
        <v>17</v>
      </c>
      <c r="H273" s="1"/>
      <c r="I273" s="1">
        <v>0</v>
      </c>
      <c r="J273" s="1" t="s">
        <v>12</v>
      </c>
      <c r="K273" s="1" t="s">
        <v>12</v>
      </c>
      <c r="L273" s="1" t="s">
        <v>7</v>
      </c>
      <c r="M273" s="25"/>
      <c r="N273" s="25" t="str">
        <f>IFERROR(VLOOKUP(Tableau3[[#This Row],[Denomination Sociale]],Tableau7[],1,0),"")</f>
        <v/>
      </c>
      <c r="O273" s="25" t="e">
        <f>VLOOKUP(Tableau3[[#This Row],[Denomination Sociale]],Tableau6[],1,0)</f>
        <v>#N/A</v>
      </c>
      <c r="P273" s="25"/>
      <c r="Q273" s="25" t="str">
        <f>VLOOKUP(Tableau3[[#This Row],[Denomination Sociale]],Tableau6[],1,1)</f>
        <v>HACHEM SAFIEDINE</v>
      </c>
      <c r="R273" s="25" t="s">
        <v>873</v>
      </c>
    </row>
    <row r="274" spans="1:18" x14ac:dyDescent="0.35">
      <c r="A274" s="24" t="s">
        <v>873</v>
      </c>
      <c r="B274" s="1" t="s">
        <v>1146</v>
      </c>
      <c r="C274" s="1" t="s">
        <v>1149</v>
      </c>
      <c r="D274" s="3" t="s">
        <v>1148</v>
      </c>
      <c r="E274" s="3" t="s">
        <v>12</v>
      </c>
      <c r="F274" s="3" t="s">
        <v>12</v>
      </c>
      <c r="G274" s="1" t="s">
        <v>17</v>
      </c>
      <c r="H274" s="1"/>
      <c r="I274" s="1">
        <v>0</v>
      </c>
      <c r="J274" s="1" t="s">
        <v>12</v>
      </c>
      <c r="K274" s="1" t="s">
        <v>12</v>
      </c>
      <c r="L274" s="1" t="s">
        <v>7</v>
      </c>
      <c r="M274" s="25"/>
      <c r="N274" s="25" t="str">
        <f>IFERROR(VLOOKUP(Tableau3[[#This Row],[Denomination Sociale]],Tableau7[],1,0),"")</f>
        <v/>
      </c>
      <c r="O274" s="25" t="e">
        <f>VLOOKUP(Tableau3[[#This Row],[Denomination Sociale]],Tableau6[],1,0)</f>
        <v>#N/A</v>
      </c>
      <c r="P274" s="25"/>
      <c r="Q274" s="25" t="str">
        <f>VLOOKUP(Tableau3[[#This Row],[Denomination Sociale]],Tableau6[],1,1)</f>
        <v>HACHEM SAFIEDINE</v>
      </c>
      <c r="R274" s="25" t="s">
        <v>873</v>
      </c>
    </row>
    <row r="275" spans="1:18" x14ac:dyDescent="0.35">
      <c r="A275" s="24" t="s">
        <v>8</v>
      </c>
      <c r="B275" s="1" t="s">
        <v>363</v>
      </c>
      <c r="C275" s="1" t="s">
        <v>364</v>
      </c>
      <c r="D275" s="3" t="s">
        <v>365</v>
      </c>
      <c r="E275" s="3">
        <v>2</v>
      </c>
      <c r="F275" s="3" t="s">
        <v>12</v>
      </c>
      <c r="G275" s="1" t="s">
        <v>17</v>
      </c>
      <c r="H275" s="1" t="s">
        <v>17</v>
      </c>
      <c r="I275" s="1" t="s">
        <v>12</v>
      </c>
      <c r="J275" s="1">
        <v>0</v>
      </c>
      <c r="K275" s="1" t="s">
        <v>12</v>
      </c>
      <c r="L275" s="1" t="s">
        <v>7</v>
      </c>
      <c r="M275" s="25"/>
      <c r="N275" s="25" t="str">
        <f>IFERROR(VLOOKUP(Tableau3[[#This Row],[Denomination Sociale]],Tableau7[],1,0),"")</f>
        <v/>
      </c>
      <c r="O275" s="25" t="e">
        <f>VLOOKUP(Tableau3[[#This Row],[Denomination Sociale]],Tableau6[],1,0)</f>
        <v>#N/A</v>
      </c>
      <c r="P275" s="25"/>
      <c r="Q275" s="25" t="str">
        <f>VLOOKUP(Tableau3[[#This Row],[Denomination Sociale]],Tableau6[],1,1)</f>
        <v>HARANGA RESOURCES LIMETED</v>
      </c>
      <c r="R275" s="25" t="s">
        <v>8</v>
      </c>
    </row>
    <row r="276" spans="1:18" x14ac:dyDescent="0.35">
      <c r="A276" s="24" t="s">
        <v>8</v>
      </c>
      <c r="B276" s="1" t="s">
        <v>356</v>
      </c>
      <c r="C276" s="1" t="s">
        <v>357</v>
      </c>
      <c r="D276" s="3" t="s">
        <v>358</v>
      </c>
      <c r="E276" s="3">
        <v>15</v>
      </c>
      <c r="F276" s="3">
        <v>15</v>
      </c>
      <c r="G276" s="1" t="s">
        <v>17</v>
      </c>
      <c r="H276" s="1" t="s">
        <v>17</v>
      </c>
      <c r="I276" s="1" t="s">
        <v>12</v>
      </c>
      <c r="J276" s="1">
        <v>0</v>
      </c>
      <c r="K276" s="1" t="s">
        <v>12</v>
      </c>
      <c r="L276" s="1" t="s">
        <v>7</v>
      </c>
      <c r="M276" s="25"/>
      <c r="N276" s="25" t="str">
        <f>IFERROR(VLOOKUP(Tableau3[[#This Row],[Denomination Sociale]],Tableau7[],1,0),"")</f>
        <v/>
      </c>
      <c r="O276" s="25" t="str">
        <f>VLOOKUP(Tableau3[[#This Row],[Denomination Sociale]],Tableau6[],1,0)</f>
        <v>HALWAR MULTISERVICES</v>
      </c>
      <c r="P276" s="25" t="s">
        <v>356</v>
      </c>
      <c r="Q276" s="25" t="str">
        <f>VLOOKUP(Tableau3[[#This Row],[Denomination Sociale]],Tableau6[],1,1)</f>
        <v>HALWAR MULTISERVICES</v>
      </c>
      <c r="R276" s="25" t="s">
        <v>8</v>
      </c>
    </row>
    <row r="277" spans="1:18" x14ac:dyDescent="0.35">
      <c r="A277" s="24" t="s">
        <v>8</v>
      </c>
      <c r="B277" s="1" t="s">
        <v>356</v>
      </c>
      <c r="C277" s="1" t="s">
        <v>359</v>
      </c>
      <c r="D277" s="3" t="s">
        <v>358</v>
      </c>
      <c r="E277" s="3">
        <v>15</v>
      </c>
      <c r="F277" s="3">
        <v>15</v>
      </c>
      <c r="G277" s="1" t="s">
        <v>17</v>
      </c>
      <c r="H277" s="1" t="s">
        <v>17</v>
      </c>
      <c r="I277" s="1" t="s">
        <v>12</v>
      </c>
      <c r="J277" s="1">
        <v>0</v>
      </c>
      <c r="K277" s="1" t="s">
        <v>12</v>
      </c>
      <c r="L277" s="1" t="s">
        <v>7</v>
      </c>
      <c r="M277" s="25"/>
      <c r="N277" s="25" t="str">
        <f>IFERROR(VLOOKUP(Tableau3[[#This Row],[Denomination Sociale]],Tableau7[],1,0),"")</f>
        <v/>
      </c>
      <c r="O277" s="25" t="str">
        <f>VLOOKUP(Tableau3[[#This Row],[Denomination Sociale]],Tableau6[],1,0)</f>
        <v>HALWAR MULTISERVICES</v>
      </c>
      <c r="P277" s="25" t="s">
        <v>356</v>
      </c>
      <c r="Q277" s="25" t="str">
        <f>VLOOKUP(Tableau3[[#This Row],[Denomination Sociale]],Tableau6[],1,1)</f>
        <v>HALWAR MULTISERVICES</v>
      </c>
      <c r="R277" s="25" t="s">
        <v>8</v>
      </c>
    </row>
    <row r="278" spans="1:18" x14ac:dyDescent="0.35">
      <c r="A278" s="24" t="s">
        <v>8</v>
      </c>
      <c r="B278" s="1" t="s">
        <v>356</v>
      </c>
      <c r="C278" s="1" t="s">
        <v>360</v>
      </c>
      <c r="D278" s="3" t="s">
        <v>358</v>
      </c>
      <c r="E278" s="3">
        <v>15</v>
      </c>
      <c r="F278" s="3">
        <v>15</v>
      </c>
      <c r="G278" s="1" t="s">
        <v>17</v>
      </c>
      <c r="H278" s="1" t="s">
        <v>17</v>
      </c>
      <c r="I278" s="1" t="s">
        <v>12</v>
      </c>
      <c r="J278" s="1">
        <v>0</v>
      </c>
      <c r="K278" s="1" t="s">
        <v>12</v>
      </c>
      <c r="L278" s="1" t="s">
        <v>7</v>
      </c>
      <c r="M278" s="25"/>
      <c r="N278" s="25" t="str">
        <f>IFERROR(VLOOKUP(Tableau3[[#This Row],[Denomination Sociale]],Tableau7[],1,0),"")</f>
        <v/>
      </c>
      <c r="O278" s="25" t="str">
        <f>VLOOKUP(Tableau3[[#This Row],[Denomination Sociale]],Tableau6[],1,0)</f>
        <v>HALWAR MULTISERVICES</v>
      </c>
      <c r="P278" s="25" t="s">
        <v>356</v>
      </c>
      <c r="Q278" s="25" t="str">
        <f>VLOOKUP(Tableau3[[#This Row],[Denomination Sociale]],Tableau6[],1,1)</f>
        <v>HALWAR MULTISERVICES</v>
      </c>
      <c r="R278" s="25" t="s">
        <v>8</v>
      </c>
    </row>
    <row r="279" spans="1:18" x14ac:dyDescent="0.35">
      <c r="A279" s="24" t="s">
        <v>8</v>
      </c>
      <c r="B279" s="1" t="s">
        <v>356</v>
      </c>
      <c r="C279" s="1" t="s">
        <v>361</v>
      </c>
      <c r="D279" s="3" t="s">
        <v>358</v>
      </c>
      <c r="E279" s="3">
        <v>15</v>
      </c>
      <c r="F279" s="3">
        <v>15</v>
      </c>
      <c r="G279" s="1" t="s">
        <v>17</v>
      </c>
      <c r="H279" s="1" t="s">
        <v>17</v>
      </c>
      <c r="I279" s="1" t="s">
        <v>12</v>
      </c>
      <c r="J279" s="1">
        <v>0</v>
      </c>
      <c r="K279" s="1" t="s">
        <v>12</v>
      </c>
      <c r="L279" s="1" t="s">
        <v>7</v>
      </c>
      <c r="M279" s="25"/>
      <c r="N279" s="25" t="str">
        <f>IFERROR(VLOOKUP(Tableau3[[#This Row],[Denomination Sociale]],Tableau7[],1,0),"")</f>
        <v/>
      </c>
      <c r="O279" s="25" t="str">
        <f>VLOOKUP(Tableau3[[#This Row],[Denomination Sociale]],Tableau6[],1,0)</f>
        <v>HALWAR MULTISERVICES</v>
      </c>
      <c r="P279" s="25" t="s">
        <v>356</v>
      </c>
      <c r="Q279" s="25" t="str">
        <f>VLOOKUP(Tableau3[[#This Row],[Denomination Sociale]],Tableau6[],1,1)</f>
        <v>HALWAR MULTISERVICES</v>
      </c>
      <c r="R279" s="25" t="s">
        <v>8</v>
      </c>
    </row>
    <row r="280" spans="1:18" x14ac:dyDescent="0.35">
      <c r="A280" s="24" t="s">
        <v>8</v>
      </c>
      <c r="B280" s="1" t="s">
        <v>356</v>
      </c>
      <c r="C280" s="1" t="s">
        <v>362</v>
      </c>
      <c r="D280" s="3" t="s">
        <v>358</v>
      </c>
      <c r="E280" s="3">
        <v>40</v>
      </c>
      <c r="F280" s="3">
        <v>40</v>
      </c>
      <c r="G280" s="1" t="s">
        <v>17</v>
      </c>
      <c r="H280" s="1" t="s">
        <v>17</v>
      </c>
      <c r="I280" s="1" t="s">
        <v>12</v>
      </c>
      <c r="J280" s="1">
        <v>0</v>
      </c>
      <c r="K280" s="1" t="s">
        <v>12</v>
      </c>
      <c r="L280" s="1" t="s">
        <v>7</v>
      </c>
      <c r="M280" s="25"/>
      <c r="N280" s="25" t="str">
        <f>IFERROR(VLOOKUP(Tableau3[[#This Row],[Denomination Sociale]],Tableau7[],1,0),"")</f>
        <v/>
      </c>
      <c r="O280" s="25" t="str">
        <f>VLOOKUP(Tableau3[[#This Row],[Denomination Sociale]],Tableau6[],1,0)</f>
        <v>HALWAR MULTISERVICES</v>
      </c>
      <c r="P280" s="25" t="s">
        <v>356</v>
      </c>
      <c r="Q280" s="25" t="str">
        <f>VLOOKUP(Tableau3[[#This Row],[Denomination Sociale]],Tableau6[],1,1)</f>
        <v>HALWAR MULTISERVICES</v>
      </c>
      <c r="R280" s="25" t="s">
        <v>8</v>
      </c>
    </row>
    <row r="281" spans="1:18" x14ac:dyDescent="0.35">
      <c r="A281" s="24" t="s">
        <v>8</v>
      </c>
      <c r="B281" s="1" t="s">
        <v>375</v>
      </c>
      <c r="C281" s="1" t="s">
        <v>57</v>
      </c>
      <c r="D281" s="3" t="s">
        <v>376</v>
      </c>
      <c r="E281" s="3" t="s">
        <v>12</v>
      </c>
      <c r="F281" s="3" t="s">
        <v>12</v>
      </c>
      <c r="G281" s="1" t="s">
        <v>59</v>
      </c>
      <c r="H281" s="1" t="s">
        <v>59</v>
      </c>
      <c r="I281" s="1" t="s">
        <v>12</v>
      </c>
      <c r="J281" s="1">
        <v>0</v>
      </c>
      <c r="K281" s="1" t="s">
        <v>12</v>
      </c>
      <c r="L281" s="1" t="s">
        <v>7</v>
      </c>
      <c r="M281" s="25"/>
      <c r="N281" s="25" t="str">
        <f>IFERROR(VLOOKUP(Tableau3[[#This Row],[Denomination Sociale]],Tableau7[],1,0),"")</f>
        <v/>
      </c>
      <c r="O281" s="25" t="e">
        <f>VLOOKUP(Tableau3[[#This Row],[Denomination Sociale]],Tableau6[],1,0)</f>
        <v>#N/A</v>
      </c>
      <c r="P281" s="25"/>
      <c r="Q281" s="25" t="str">
        <f>VLOOKUP(Tableau3[[#This Row],[Denomination Sociale]],Tableau6[],1,1)</f>
        <v>I M GOLD</v>
      </c>
      <c r="R281" s="25" t="s">
        <v>8</v>
      </c>
    </row>
    <row r="282" spans="1:18" x14ac:dyDescent="0.35">
      <c r="A282" s="24" t="s">
        <v>8</v>
      </c>
      <c r="B282" s="1" t="s">
        <v>366</v>
      </c>
      <c r="C282" s="1" t="s">
        <v>68</v>
      </c>
      <c r="D282" s="3" t="s">
        <v>367</v>
      </c>
      <c r="E282" s="3">
        <v>50</v>
      </c>
      <c r="F282" s="3">
        <v>50</v>
      </c>
      <c r="G282" s="1" t="s">
        <v>17</v>
      </c>
      <c r="H282" s="1" t="s">
        <v>17</v>
      </c>
      <c r="I282" s="1" t="s">
        <v>12</v>
      </c>
      <c r="J282" s="1">
        <v>0</v>
      </c>
      <c r="K282" s="1" t="s">
        <v>12</v>
      </c>
      <c r="L282" s="1" t="s">
        <v>7</v>
      </c>
      <c r="M282" s="25"/>
      <c r="N282" s="25" t="str">
        <f>IFERROR(VLOOKUP(Tableau3[[#This Row],[Denomination Sociale]],Tableau7[],1,0),"")</f>
        <v/>
      </c>
      <c r="O282" s="25" t="str">
        <f>VLOOKUP(Tableau3[[#This Row],[Denomination Sociale]],Tableau6[],1,0)</f>
        <v>HINDOR</v>
      </c>
      <c r="P282" s="25" t="s">
        <v>366</v>
      </c>
      <c r="Q282" s="25" t="str">
        <f>VLOOKUP(Tableau3[[#This Row],[Denomination Sociale]],Tableau6[],1,1)</f>
        <v>HINDOR</v>
      </c>
      <c r="R282" s="25" t="s">
        <v>8</v>
      </c>
    </row>
    <row r="283" spans="1:18" x14ac:dyDescent="0.35">
      <c r="A283" s="24" t="s">
        <v>8</v>
      </c>
      <c r="B283" s="1" t="s">
        <v>366</v>
      </c>
      <c r="C283" s="1" t="s">
        <v>68</v>
      </c>
      <c r="D283" s="3" t="s">
        <v>1072</v>
      </c>
      <c r="E283" s="3">
        <v>150</v>
      </c>
      <c r="F283" s="3">
        <v>150</v>
      </c>
      <c r="G283" s="1" t="s">
        <v>17</v>
      </c>
      <c r="H283" s="1" t="s">
        <v>17</v>
      </c>
      <c r="I283" s="1" t="s">
        <v>12</v>
      </c>
      <c r="J283" s="1">
        <v>0</v>
      </c>
      <c r="K283" s="1" t="s">
        <v>12</v>
      </c>
      <c r="L283" s="1" t="s">
        <v>7</v>
      </c>
      <c r="M283" s="25"/>
      <c r="N283" s="25" t="str">
        <f>IFERROR(VLOOKUP(Tableau3[[#This Row],[Denomination Sociale]],Tableau7[],1,0),"")</f>
        <v/>
      </c>
      <c r="O283" s="25" t="str">
        <f>VLOOKUP(Tableau3[[#This Row],[Denomination Sociale]],Tableau6[],1,0)</f>
        <v>HINDOR</v>
      </c>
      <c r="P283" s="25" t="s">
        <v>366</v>
      </c>
      <c r="Q283" s="25" t="str">
        <f>VLOOKUP(Tableau3[[#This Row],[Denomination Sociale]],Tableau6[],1,1)</f>
        <v>HINDOR</v>
      </c>
      <c r="R283" s="25" t="s">
        <v>8</v>
      </c>
    </row>
    <row r="284" spans="1:18" x14ac:dyDescent="0.35">
      <c r="A284" s="24" t="s">
        <v>8</v>
      </c>
      <c r="B284" s="1" t="s">
        <v>368</v>
      </c>
      <c r="C284" s="1" t="s">
        <v>369</v>
      </c>
      <c r="D284" s="3" t="s">
        <v>370</v>
      </c>
      <c r="E284" s="3" t="s">
        <v>12</v>
      </c>
      <c r="F284" s="3" t="s">
        <v>12</v>
      </c>
      <c r="G284" s="1" t="s">
        <v>17</v>
      </c>
      <c r="H284" s="1" t="s">
        <v>17</v>
      </c>
      <c r="I284" s="1" t="s">
        <v>12</v>
      </c>
      <c r="J284" s="1">
        <v>0</v>
      </c>
      <c r="K284" s="1" t="s">
        <v>12</v>
      </c>
      <c r="L284" s="1" t="s">
        <v>7</v>
      </c>
      <c r="M284" s="25"/>
      <c r="N284" s="25" t="str">
        <f>IFERROR(VLOOKUP(Tableau3[[#This Row],[Denomination Sociale]],Tableau7[],1,0),"")</f>
        <v/>
      </c>
      <c r="O284" s="25" t="str">
        <f>VLOOKUP(Tableau3[[#This Row],[Denomination Sociale]],Tableau6[],1,0)</f>
        <v>HLNT SENEGAL</v>
      </c>
      <c r="P284" s="25" t="s">
        <v>368</v>
      </c>
      <c r="Q284" s="25" t="str">
        <f>VLOOKUP(Tableau3[[#This Row],[Denomination Sociale]],Tableau6[],1,1)</f>
        <v>HLNT SENEGAL</v>
      </c>
      <c r="R284" s="25" t="s">
        <v>8</v>
      </c>
    </row>
    <row r="285" spans="1:18" x14ac:dyDescent="0.35">
      <c r="A285" s="24" t="s">
        <v>8</v>
      </c>
      <c r="B285" s="1" t="s">
        <v>371</v>
      </c>
      <c r="C285" s="1" t="s">
        <v>171</v>
      </c>
      <c r="D285" s="3" t="s">
        <v>372</v>
      </c>
      <c r="E285" s="3">
        <v>5</v>
      </c>
      <c r="F285" s="3" t="s">
        <v>12</v>
      </c>
      <c r="G285" s="1" t="s">
        <v>17</v>
      </c>
      <c r="H285" s="1" t="s">
        <v>17</v>
      </c>
      <c r="I285" s="1" t="s">
        <v>12</v>
      </c>
      <c r="J285" s="1">
        <v>0</v>
      </c>
      <c r="K285" s="1" t="s">
        <v>12</v>
      </c>
      <c r="L285" s="1" t="s">
        <v>7</v>
      </c>
      <c r="M285" s="25"/>
      <c r="N285" s="25" t="str">
        <f>IFERROR(VLOOKUP(Tableau3[[#This Row],[Denomination Sociale]],Tableau7[],1,0),"")</f>
        <v/>
      </c>
      <c r="O285" s="25" t="str">
        <f>VLOOKUP(Tableau3[[#This Row],[Denomination Sociale]],Tableau6[],1,0)</f>
        <v>I M GOLD</v>
      </c>
      <c r="P285" s="25" t="s">
        <v>371</v>
      </c>
      <c r="Q285" s="25" t="str">
        <f>VLOOKUP(Tableau3[[#This Row],[Denomination Sociale]],Tableau6[],1,1)</f>
        <v>I M GOLD</v>
      </c>
      <c r="R285" s="25" t="s">
        <v>8</v>
      </c>
    </row>
    <row r="286" spans="1:18" x14ac:dyDescent="0.35">
      <c r="A286" s="24" t="s">
        <v>8</v>
      </c>
      <c r="B286" s="1" t="s">
        <v>371</v>
      </c>
      <c r="C286" s="1" t="s">
        <v>373</v>
      </c>
      <c r="D286" s="3" t="s">
        <v>372</v>
      </c>
      <c r="E286" s="3">
        <v>5</v>
      </c>
      <c r="F286" s="3" t="s">
        <v>12</v>
      </c>
      <c r="G286" s="1" t="s">
        <v>17</v>
      </c>
      <c r="H286" s="1" t="s">
        <v>17</v>
      </c>
      <c r="I286" s="1" t="s">
        <v>12</v>
      </c>
      <c r="J286" s="1">
        <v>0</v>
      </c>
      <c r="K286" s="1" t="s">
        <v>12</v>
      </c>
      <c r="L286" s="1" t="s">
        <v>7</v>
      </c>
      <c r="M286" s="25"/>
      <c r="N286" s="25" t="str">
        <f>IFERROR(VLOOKUP(Tableau3[[#This Row],[Denomination Sociale]],Tableau7[],1,0),"")</f>
        <v/>
      </c>
      <c r="O286" s="25" t="str">
        <f>VLOOKUP(Tableau3[[#This Row],[Denomination Sociale]],Tableau6[],1,0)</f>
        <v>I M GOLD</v>
      </c>
      <c r="P286" s="25" t="s">
        <v>371</v>
      </c>
      <c r="Q286" s="25" t="str">
        <f>VLOOKUP(Tableau3[[#This Row],[Denomination Sociale]],Tableau6[],1,1)</f>
        <v>I M GOLD</v>
      </c>
      <c r="R286" s="25" t="s">
        <v>8</v>
      </c>
    </row>
    <row r="287" spans="1:18" x14ac:dyDescent="0.35">
      <c r="A287" s="24" t="s">
        <v>8</v>
      </c>
      <c r="B287" s="1" t="s">
        <v>371</v>
      </c>
      <c r="C287" s="1" t="s">
        <v>374</v>
      </c>
      <c r="D287" s="3" t="s">
        <v>372</v>
      </c>
      <c r="E287" s="3">
        <v>90</v>
      </c>
      <c r="F287" s="3" t="s">
        <v>12</v>
      </c>
      <c r="G287" s="1" t="s">
        <v>17</v>
      </c>
      <c r="H287" s="1" t="s">
        <v>17</v>
      </c>
      <c r="I287" s="1" t="s">
        <v>12</v>
      </c>
      <c r="J287" s="1">
        <v>0</v>
      </c>
      <c r="K287" s="1" t="s">
        <v>12</v>
      </c>
      <c r="L287" s="1" t="s">
        <v>7</v>
      </c>
      <c r="M287" s="25"/>
      <c r="N287" s="25" t="str">
        <f>IFERROR(VLOOKUP(Tableau3[[#This Row],[Denomination Sociale]],Tableau7[],1,0),"")</f>
        <v/>
      </c>
      <c r="O287" s="25" t="str">
        <f>VLOOKUP(Tableau3[[#This Row],[Denomination Sociale]],Tableau6[],1,0)</f>
        <v>I M GOLD</v>
      </c>
      <c r="P287" s="25" t="s">
        <v>371</v>
      </c>
      <c r="Q287" s="25" t="str">
        <f>VLOOKUP(Tableau3[[#This Row],[Denomination Sociale]],Tableau6[],1,1)</f>
        <v>I M GOLD</v>
      </c>
      <c r="R287" s="25" t="s">
        <v>8</v>
      </c>
    </row>
    <row r="288" spans="1:18" x14ac:dyDescent="0.35">
      <c r="A288" s="24" t="s">
        <v>8</v>
      </c>
      <c r="B288" s="1" t="s">
        <v>15712</v>
      </c>
      <c r="C288" s="1" t="s">
        <v>383</v>
      </c>
      <c r="D288" s="3" t="s">
        <v>384</v>
      </c>
      <c r="E288" s="3">
        <v>30</v>
      </c>
      <c r="F288" s="3">
        <v>30</v>
      </c>
      <c r="G288" s="1" t="s">
        <v>17</v>
      </c>
      <c r="H288" s="1" t="s">
        <v>17</v>
      </c>
      <c r="I288" s="1" t="s">
        <v>12</v>
      </c>
      <c r="J288" s="1">
        <v>0</v>
      </c>
      <c r="K288" s="1" t="s">
        <v>12</v>
      </c>
      <c r="L288" s="1" t="s">
        <v>7</v>
      </c>
      <c r="M288" s="25"/>
      <c r="N288" s="25" t="str">
        <f>IFERROR(VLOOKUP(Tableau3[[#This Row],[Denomination Sociale]],Tableau7[],1,0),"")</f>
        <v/>
      </c>
      <c r="O288" s="25" t="e">
        <f>VLOOKUP(Tableau3[[#This Row],[Denomination Sociale]],Tableau6[],1,0)</f>
        <v>#N/A</v>
      </c>
      <c r="P288" s="25"/>
      <c r="Q288" s="25" t="str">
        <f>VLOOKUP(Tableau3[[#This Row],[Denomination Sociale]],Tableau6[],1,1)</f>
        <v>IMPERIAL COMMODITIES</v>
      </c>
      <c r="R288" s="25" t="s">
        <v>8</v>
      </c>
    </row>
    <row r="289" spans="1:18" x14ac:dyDescent="0.35">
      <c r="A289" s="24" t="s">
        <v>8</v>
      </c>
      <c r="B289" s="1" t="s">
        <v>377</v>
      </c>
      <c r="C289" s="1" t="s">
        <v>378</v>
      </c>
      <c r="D289" s="3" t="s">
        <v>379</v>
      </c>
      <c r="E289" s="3">
        <v>50</v>
      </c>
      <c r="F289" s="3">
        <v>50</v>
      </c>
      <c r="G289" s="1" t="s">
        <v>380</v>
      </c>
      <c r="H289" s="1" t="s">
        <v>380</v>
      </c>
      <c r="I289" s="1" t="s">
        <v>12</v>
      </c>
      <c r="J289" s="1">
        <v>0</v>
      </c>
      <c r="K289" s="1" t="s">
        <v>12</v>
      </c>
      <c r="L289" s="1" t="s">
        <v>7</v>
      </c>
      <c r="M289" s="25"/>
      <c r="N289" s="25" t="str">
        <f>IFERROR(VLOOKUP(Tableau3[[#This Row],[Denomination Sociale]],Tableau7[],1,0),"")</f>
        <v/>
      </c>
      <c r="O289" s="25" t="str">
        <f>VLOOKUP(Tableau3[[#This Row],[Denomination Sociale]],Tableau6[],1,0)</f>
        <v>IMPERATOR RESOURCE</v>
      </c>
      <c r="P289" s="25" t="s">
        <v>377</v>
      </c>
      <c r="Q289" s="25" t="str">
        <f>VLOOKUP(Tableau3[[#This Row],[Denomination Sociale]],Tableau6[],1,1)</f>
        <v>IMPERATOR RESOURCE</v>
      </c>
      <c r="R289" s="25" t="s">
        <v>8</v>
      </c>
    </row>
    <row r="290" spans="1:18" x14ac:dyDescent="0.35">
      <c r="A290" s="24" t="s">
        <v>8</v>
      </c>
      <c r="B290" s="1" t="s">
        <v>377</v>
      </c>
      <c r="C290" s="1" t="s">
        <v>381</v>
      </c>
      <c r="D290" s="3" t="s">
        <v>379</v>
      </c>
      <c r="E290" s="3">
        <v>50</v>
      </c>
      <c r="F290" s="3">
        <v>50</v>
      </c>
      <c r="G290" s="1" t="s">
        <v>380</v>
      </c>
      <c r="H290" s="1" t="s">
        <v>380</v>
      </c>
      <c r="I290" s="1" t="s">
        <v>12</v>
      </c>
      <c r="J290" s="1">
        <v>0</v>
      </c>
      <c r="K290" s="1" t="s">
        <v>12</v>
      </c>
      <c r="L290" s="1" t="s">
        <v>7</v>
      </c>
      <c r="M290" s="25"/>
      <c r="N290" s="25" t="str">
        <f>IFERROR(VLOOKUP(Tableau3[[#This Row],[Denomination Sociale]],Tableau7[],1,0),"")</f>
        <v/>
      </c>
      <c r="O290" s="25" t="str">
        <f>VLOOKUP(Tableau3[[#This Row],[Denomination Sociale]],Tableau6[],1,0)</f>
        <v>IMPERATOR RESOURCE</v>
      </c>
      <c r="P290" s="25" t="s">
        <v>377</v>
      </c>
      <c r="Q290" s="25" t="str">
        <f>VLOOKUP(Tableau3[[#This Row],[Denomination Sociale]],Tableau6[],1,1)</f>
        <v>IMPERATOR RESOURCE</v>
      </c>
      <c r="R290" s="25" t="s">
        <v>8</v>
      </c>
    </row>
    <row r="291" spans="1:18" x14ac:dyDescent="0.35">
      <c r="A291" s="24" t="s">
        <v>8</v>
      </c>
      <c r="B291" s="1" t="s">
        <v>15712</v>
      </c>
      <c r="C291" s="1" t="s">
        <v>385</v>
      </c>
      <c r="D291" s="3" t="s">
        <v>384</v>
      </c>
      <c r="E291" s="3">
        <v>70</v>
      </c>
      <c r="F291" s="3">
        <v>70</v>
      </c>
      <c r="G291" s="1" t="s">
        <v>386</v>
      </c>
      <c r="H291" s="1" t="s">
        <v>386</v>
      </c>
      <c r="I291" s="1" t="s">
        <v>12</v>
      </c>
      <c r="J291" s="1">
        <v>0</v>
      </c>
      <c r="K291" s="1" t="s">
        <v>12</v>
      </c>
      <c r="L291" s="1" t="s">
        <v>7</v>
      </c>
      <c r="M291" s="25"/>
      <c r="N291" s="25" t="str">
        <f>IFERROR(VLOOKUP(Tableau3[[#This Row],[Denomination Sociale]],Tableau7[],1,0),"")</f>
        <v/>
      </c>
      <c r="O291" s="25" t="e">
        <f>VLOOKUP(Tableau3[[#This Row],[Denomination Sociale]],Tableau6[],1,0)</f>
        <v>#N/A</v>
      </c>
      <c r="P291" s="25"/>
      <c r="Q291" s="25" t="str">
        <f>VLOOKUP(Tableau3[[#This Row],[Denomination Sociale]],Tableau6[],1,1)</f>
        <v>IMPERIAL COMMODITIES</v>
      </c>
      <c r="R291" s="25" t="s">
        <v>8</v>
      </c>
    </row>
    <row r="292" spans="1:18" x14ac:dyDescent="0.35">
      <c r="A292" s="24" t="s">
        <v>8</v>
      </c>
      <c r="B292" s="1" t="s">
        <v>14258</v>
      </c>
      <c r="C292" s="1" t="s">
        <v>391</v>
      </c>
      <c r="D292" s="3" t="s">
        <v>392</v>
      </c>
      <c r="E292" s="3">
        <v>100</v>
      </c>
      <c r="F292" s="3">
        <v>100</v>
      </c>
      <c r="G292" s="1" t="s">
        <v>17</v>
      </c>
      <c r="H292" s="1" t="s">
        <v>17</v>
      </c>
      <c r="I292" s="1" t="s">
        <v>12</v>
      </c>
      <c r="J292" s="1">
        <v>0</v>
      </c>
      <c r="K292" s="1" t="s">
        <v>12</v>
      </c>
      <c r="L292" s="1" t="s">
        <v>7</v>
      </c>
      <c r="M292" s="25"/>
      <c r="N292" s="25" t="str">
        <f>IFERROR(VLOOKUP(Tableau3[[#This Row],[Denomination Sociale]],Tableau7[],1,0),"")</f>
        <v/>
      </c>
      <c r="O292" s="25" t="str">
        <f>VLOOKUP(Tableau3[[#This Row],[Denomination Sociale]],Tableau6[],1,0)</f>
        <v>INTERNATIONAL CONSULTING GROUP</v>
      </c>
      <c r="P292" s="25" t="s">
        <v>14258</v>
      </c>
      <c r="Q292" s="25" t="str">
        <f>VLOOKUP(Tableau3[[#This Row],[Denomination Sociale]],Tableau6[],1,1)</f>
        <v>INTERNATIONAL CONSULTING GROUP</v>
      </c>
      <c r="R292" s="25" t="s">
        <v>8</v>
      </c>
    </row>
    <row r="293" spans="1:18" x14ac:dyDescent="0.35">
      <c r="A293" s="24" t="s">
        <v>980</v>
      </c>
      <c r="B293" s="1" t="s">
        <v>15381</v>
      </c>
      <c r="C293" s="1" t="s">
        <v>993</v>
      </c>
      <c r="D293" s="3" t="s">
        <v>994</v>
      </c>
      <c r="E293" s="3">
        <v>72</v>
      </c>
      <c r="F293" s="3">
        <v>72</v>
      </c>
      <c r="G293" s="1" t="s">
        <v>17</v>
      </c>
      <c r="H293" s="1" t="s">
        <v>17</v>
      </c>
      <c r="I293" s="1" t="s">
        <v>12</v>
      </c>
      <c r="J293" s="1">
        <v>0</v>
      </c>
      <c r="K293" s="1" t="s">
        <v>12</v>
      </c>
      <c r="L293" s="1" t="s">
        <v>7</v>
      </c>
      <c r="M293" s="25"/>
      <c r="N293" s="25" t="str">
        <f>IFERROR(VLOOKUP(Tableau3[[#This Row],[Denomination Sociale]],Tableau7[],1,0),"")</f>
        <v/>
      </c>
      <c r="O293" s="25" t="str">
        <f>VLOOKUP(Tableau3[[#This Row],[Denomination Sociale]],Tableau6[],1,0)</f>
        <v>INCA</v>
      </c>
      <c r="P293" s="25" t="s">
        <v>15381</v>
      </c>
      <c r="Q293" s="25" t="str">
        <f>VLOOKUP(Tableau3[[#This Row],[Denomination Sociale]],Tableau6[],1,1)</f>
        <v>INCA</v>
      </c>
      <c r="R293" s="25" t="s">
        <v>980</v>
      </c>
    </row>
    <row r="294" spans="1:18" x14ac:dyDescent="0.35">
      <c r="A294" s="24" t="s">
        <v>980</v>
      </c>
      <c r="B294" s="1" t="s">
        <v>15381</v>
      </c>
      <c r="C294" s="1" t="s">
        <v>995</v>
      </c>
      <c r="D294" s="3" t="s">
        <v>994</v>
      </c>
      <c r="E294" s="3">
        <v>5</v>
      </c>
      <c r="F294" s="3">
        <v>5</v>
      </c>
      <c r="G294" s="1" t="s">
        <v>17</v>
      </c>
      <c r="H294" s="1" t="s">
        <v>17</v>
      </c>
      <c r="I294" s="1" t="s">
        <v>12</v>
      </c>
      <c r="J294" s="1">
        <v>0</v>
      </c>
      <c r="K294" s="1" t="s">
        <v>12</v>
      </c>
      <c r="L294" s="1" t="s">
        <v>7</v>
      </c>
      <c r="M294" s="25"/>
      <c r="N294" s="25" t="str">
        <f>IFERROR(VLOOKUP(Tableau3[[#This Row],[Denomination Sociale]],Tableau7[],1,0),"")</f>
        <v/>
      </c>
      <c r="O294" s="25" t="str">
        <f>VLOOKUP(Tableau3[[#This Row],[Denomination Sociale]],Tableau6[],1,0)</f>
        <v>INCA</v>
      </c>
      <c r="P294" s="25" t="s">
        <v>15381</v>
      </c>
      <c r="Q294" s="25" t="str">
        <f>VLOOKUP(Tableau3[[#This Row],[Denomination Sociale]],Tableau6[],1,1)</f>
        <v>INCA</v>
      </c>
      <c r="R294" s="25" t="s">
        <v>980</v>
      </c>
    </row>
    <row r="295" spans="1:18" x14ac:dyDescent="0.35">
      <c r="A295" s="24" t="s">
        <v>980</v>
      </c>
      <c r="B295" s="1" t="s">
        <v>15381</v>
      </c>
      <c r="C295" s="1" t="s">
        <v>996</v>
      </c>
      <c r="D295" s="3" t="s">
        <v>994</v>
      </c>
      <c r="E295" s="3">
        <v>23</v>
      </c>
      <c r="F295" s="3">
        <v>23</v>
      </c>
      <c r="G295" s="1" t="s">
        <v>182</v>
      </c>
      <c r="H295" s="1" t="s">
        <v>182</v>
      </c>
      <c r="I295" s="1" t="s">
        <v>12</v>
      </c>
      <c r="J295" s="1">
        <v>0</v>
      </c>
      <c r="K295" s="1" t="s">
        <v>12</v>
      </c>
      <c r="L295" s="1" t="s">
        <v>7</v>
      </c>
      <c r="M295" s="25"/>
      <c r="N295" s="25" t="str">
        <f>IFERROR(VLOOKUP(Tableau3[[#This Row],[Denomination Sociale]],Tableau7[],1,0),"")</f>
        <v/>
      </c>
      <c r="O295" s="25" t="str">
        <f>VLOOKUP(Tableau3[[#This Row],[Denomination Sociale]],Tableau6[],1,0)</f>
        <v>INCA</v>
      </c>
      <c r="P295" s="25" t="s">
        <v>15381</v>
      </c>
      <c r="Q295" s="25" t="str">
        <f>VLOOKUP(Tableau3[[#This Row],[Denomination Sociale]],Tableau6[],1,1)</f>
        <v>INCA</v>
      </c>
      <c r="R295" s="25" t="s">
        <v>980</v>
      </c>
    </row>
    <row r="296" spans="1:18" x14ac:dyDescent="0.35">
      <c r="A296" s="24" t="s">
        <v>8</v>
      </c>
      <c r="B296" s="1" t="s">
        <v>387</v>
      </c>
      <c r="C296" s="1" t="s">
        <v>388</v>
      </c>
      <c r="D296" s="3" t="s">
        <v>389</v>
      </c>
      <c r="E296" s="3">
        <v>100</v>
      </c>
      <c r="F296" s="3">
        <v>100</v>
      </c>
      <c r="G296" s="1" t="s">
        <v>17</v>
      </c>
      <c r="H296" s="1" t="s">
        <v>17</v>
      </c>
      <c r="I296" s="1" t="s">
        <v>12</v>
      </c>
      <c r="J296" s="1">
        <v>0</v>
      </c>
      <c r="K296" s="1" t="s">
        <v>12</v>
      </c>
      <c r="L296" s="1" t="s">
        <v>7</v>
      </c>
      <c r="M296" s="25"/>
      <c r="N296" s="25" t="str">
        <f>IFERROR(VLOOKUP(Tableau3[[#This Row],[Denomination Sociale]],Tableau7[],1,0),"")</f>
        <v/>
      </c>
      <c r="O296" s="25" t="str">
        <f>VLOOKUP(Tableau3[[#This Row],[Denomination Sociale]],Tableau6[],1,0)</f>
        <v>INNOVA INVESTMENT</v>
      </c>
      <c r="P296" s="25" t="s">
        <v>387</v>
      </c>
      <c r="Q296" s="25" t="str">
        <f>VLOOKUP(Tableau3[[#This Row],[Denomination Sociale]],Tableau6[],1,1)</f>
        <v>INNOVA INVESTMENT</v>
      </c>
      <c r="R296" s="25" t="s">
        <v>8</v>
      </c>
    </row>
    <row r="297" spans="1:18" x14ac:dyDescent="0.35">
      <c r="A297" s="24" t="s">
        <v>8</v>
      </c>
      <c r="B297" s="1" t="s">
        <v>15713</v>
      </c>
      <c r="C297" s="1" t="s">
        <v>1203</v>
      </c>
      <c r="D297" s="3" t="s">
        <v>1204</v>
      </c>
      <c r="E297" s="3" t="s">
        <v>12</v>
      </c>
      <c r="F297" s="3" t="s">
        <v>12</v>
      </c>
      <c r="G297" s="1" t="s">
        <v>17</v>
      </c>
      <c r="H297" s="1"/>
      <c r="I297" s="1" t="s">
        <v>12</v>
      </c>
      <c r="J297" s="1" t="s">
        <v>12</v>
      </c>
      <c r="K297" s="1" t="s">
        <v>12</v>
      </c>
      <c r="L297" s="1" t="s">
        <v>7</v>
      </c>
      <c r="M297" s="25"/>
      <c r="N297" s="25" t="str">
        <f>IFERROR(VLOOKUP(Tableau3[[#This Row],[Denomination Sociale]],Tableau7[],1,0),"")</f>
        <v/>
      </c>
      <c r="O297" s="25" t="e">
        <f>VLOOKUP(Tableau3[[#This Row],[Denomination Sociale]],Tableau6[],1,0)</f>
        <v>#N/A</v>
      </c>
      <c r="P297" s="25"/>
      <c r="Q297" s="25" t="str">
        <f>VLOOKUP(Tableau3[[#This Row],[Denomination Sociale]],Tableau6[],1,1)</f>
        <v>INTERNATIONAL DAROU SALAM ENTREPRISE</v>
      </c>
      <c r="R297" s="25" t="s">
        <v>8</v>
      </c>
    </row>
    <row r="298" spans="1:18" x14ac:dyDescent="0.35">
      <c r="A298" s="24" t="s">
        <v>8</v>
      </c>
      <c r="B298" s="1" t="s">
        <v>404</v>
      </c>
      <c r="C298" s="1" t="s">
        <v>269</v>
      </c>
      <c r="D298" s="3" t="s">
        <v>405</v>
      </c>
      <c r="E298" s="3">
        <v>50</v>
      </c>
      <c r="F298" s="3">
        <v>50</v>
      </c>
      <c r="G298" s="1" t="s">
        <v>17</v>
      </c>
      <c r="H298" s="1" t="s">
        <v>17</v>
      </c>
      <c r="I298" s="1" t="s">
        <v>12</v>
      </c>
      <c r="J298" s="1">
        <v>0</v>
      </c>
      <c r="K298" s="1" t="s">
        <v>12</v>
      </c>
      <c r="L298" s="1" t="s">
        <v>7</v>
      </c>
      <c r="M298" s="25"/>
      <c r="N298" s="25" t="str">
        <f>IFERROR(VLOOKUP(Tableau3[[#This Row],[Denomination Sociale]],Tableau7[],1,0),"")</f>
        <v/>
      </c>
      <c r="O298" s="25" t="e">
        <f>VLOOKUP(Tableau3[[#This Row],[Denomination Sociale]],Tableau6[],1,0)</f>
        <v>#N/A</v>
      </c>
      <c r="P298" s="25"/>
      <c r="Q298" s="25" t="str">
        <f>VLOOKUP(Tableau3[[#This Row],[Denomination Sociale]],Tableau6[],1,1)</f>
        <v>JEAN PIERRE CHAMI</v>
      </c>
      <c r="R298" s="25" t="s">
        <v>8</v>
      </c>
    </row>
    <row r="299" spans="1:18" x14ac:dyDescent="0.35">
      <c r="A299" s="24" t="s">
        <v>8</v>
      </c>
      <c r="B299" s="1" t="s">
        <v>393</v>
      </c>
      <c r="C299" s="1" t="s">
        <v>394</v>
      </c>
      <c r="D299" s="3" t="s">
        <v>395</v>
      </c>
      <c r="E299" s="3">
        <v>25</v>
      </c>
      <c r="F299" s="3" t="s">
        <v>12</v>
      </c>
      <c r="G299" s="1" t="s">
        <v>17</v>
      </c>
      <c r="H299" s="1" t="s">
        <v>17</v>
      </c>
      <c r="I299" s="1" t="s">
        <v>12</v>
      </c>
      <c r="J299" s="1">
        <v>0</v>
      </c>
      <c r="K299" s="1" t="s">
        <v>12</v>
      </c>
      <c r="L299" s="1" t="s">
        <v>7</v>
      </c>
      <c r="M299" s="25"/>
      <c r="N299" s="25" t="str">
        <f>IFERROR(VLOOKUP(Tableau3[[#This Row],[Denomination Sociale]],Tableau7[],1,0),"")</f>
        <v/>
      </c>
      <c r="O299" s="25" t="str">
        <f>VLOOKUP(Tableau3[[#This Row],[Denomination Sociale]],Tableau6[],1,0)</f>
        <v>INTERNATIONAL MINING COMPANY</v>
      </c>
      <c r="P299" s="25" t="s">
        <v>393</v>
      </c>
      <c r="Q299" s="25" t="str">
        <f>VLOOKUP(Tableau3[[#This Row],[Denomination Sociale]],Tableau6[],1,1)</f>
        <v>INTERNATIONAL MINING COMPANY</v>
      </c>
      <c r="R299" s="25" t="s">
        <v>8</v>
      </c>
    </row>
    <row r="300" spans="1:18" x14ac:dyDescent="0.35">
      <c r="A300" s="24" t="s">
        <v>8</v>
      </c>
      <c r="B300" s="1" t="s">
        <v>393</v>
      </c>
      <c r="C300" s="1" t="s">
        <v>396</v>
      </c>
      <c r="D300" s="3" t="s">
        <v>395</v>
      </c>
      <c r="E300" s="3">
        <v>75</v>
      </c>
      <c r="F300" s="3" t="s">
        <v>12</v>
      </c>
      <c r="G300" s="1" t="s">
        <v>17</v>
      </c>
      <c r="H300" s="1" t="s">
        <v>17</v>
      </c>
      <c r="I300" s="1" t="s">
        <v>12</v>
      </c>
      <c r="J300" s="1">
        <v>0</v>
      </c>
      <c r="K300" s="1" t="s">
        <v>12</v>
      </c>
      <c r="L300" s="1" t="s">
        <v>7</v>
      </c>
      <c r="M300" s="25"/>
      <c r="N300" s="25" t="str">
        <f>IFERROR(VLOOKUP(Tableau3[[#This Row],[Denomination Sociale]],Tableau7[],1,0),"")</f>
        <v/>
      </c>
      <c r="O300" s="25" t="str">
        <f>VLOOKUP(Tableau3[[#This Row],[Denomination Sociale]],Tableau6[],1,0)</f>
        <v>INTERNATIONAL MINING COMPANY</v>
      </c>
      <c r="P300" s="25" t="s">
        <v>393</v>
      </c>
      <c r="Q300" s="25" t="str">
        <f>VLOOKUP(Tableau3[[#This Row],[Denomination Sociale]],Tableau6[],1,1)</f>
        <v>INTERNATIONAL MINING COMPANY</v>
      </c>
      <c r="R300" s="25" t="s">
        <v>8</v>
      </c>
    </row>
    <row r="301" spans="1:18" x14ac:dyDescent="0.35">
      <c r="A301" s="24" t="s">
        <v>8</v>
      </c>
      <c r="B301" s="1" t="s">
        <v>397</v>
      </c>
      <c r="C301" s="1" t="s">
        <v>398</v>
      </c>
      <c r="D301" s="3" t="s">
        <v>399</v>
      </c>
      <c r="E301" s="3">
        <v>100</v>
      </c>
      <c r="F301" s="3">
        <v>100</v>
      </c>
      <c r="G301" s="1" t="s">
        <v>17</v>
      </c>
      <c r="H301" s="1" t="s">
        <v>17</v>
      </c>
      <c r="I301" s="1" t="s">
        <v>12</v>
      </c>
      <c r="J301" s="1">
        <v>0</v>
      </c>
      <c r="K301" s="1" t="s">
        <v>12</v>
      </c>
      <c r="L301" s="1" t="s">
        <v>7</v>
      </c>
      <c r="M301" s="25"/>
      <c r="N301" s="25" t="str">
        <f>IFERROR(VLOOKUP(Tableau3[[#This Row],[Denomination Sociale]],Tableau7[],1,0),"")</f>
        <v/>
      </c>
      <c r="O301" s="25" t="str">
        <f>VLOOKUP(Tableau3[[#This Row],[Denomination Sociale]],Tableau6[],1,0)</f>
        <v>IRION TRANSFERS</v>
      </c>
      <c r="P301" s="25" t="s">
        <v>397</v>
      </c>
      <c r="Q301" s="25" t="str">
        <f>VLOOKUP(Tableau3[[#This Row],[Denomination Sociale]],Tableau6[],1,1)</f>
        <v>IRION TRANSFERS</v>
      </c>
      <c r="R301" s="25" t="s">
        <v>8</v>
      </c>
    </row>
    <row r="302" spans="1:18" x14ac:dyDescent="0.35">
      <c r="A302" s="24" t="s">
        <v>8</v>
      </c>
      <c r="B302" s="1" t="s">
        <v>400</v>
      </c>
      <c r="C302" s="1" t="s">
        <v>401</v>
      </c>
      <c r="D302" s="3" t="s">
        <v>402</v>
      </c>
      <c r="E302" s="3">
        <v>30</v>
      </c>
      <c r="F302" s="3">
        <v>30</v>
      </c>
      <c r="G302" s="1" t="s">
        <v>17</v>
      </c>
      <c r="H302" s="1" t="s">
        <v>17</v>
      </c>
      <c r="I302" s="1" t="s">
        <v>12</v>
      </c>
      <c r="J302" s="1">
        <v>0</v>
      </c>
      <c r="K302" s="1" t="s">
        <v>12</v>
      </c>
      <c r="L302" s="1" t="s">
        <v>7</v>
      </c>
      <c r="M302" s="25"/>
      <c r="N302" s="25" t="str">
        <f>IFERROR(VLOOKUP(Tableau3[[#This Row],[Denomination Sociale]],Tableau7[],1,0),"")</f>
        <v/>
      </c>
      <c r="O302" s="25" t="str">
        <f>VLOOKUP(Tableau3[[#This Row],[Denomination Sociale]],Tableau6[],1,0)</f>
        <v>JAMOMINING</v>
      </c>
      <c r="P302" s="25" t="s">
        <v>400</v>
      </c>
      <c r="Q302" s="25" t="str">
        <f>VLOOKUP(Tableau3[[#This Row],[Denomination Sociale]],Tableau6[],1,1)</f>
        <v>JAMOMINING</v>
      </c>
      <c r="R302" s="25" t="s">
        <v>8</v>
      </c>
    </row>
    <row r="303" spans="1:18" x14ac:dyDescent="0.35">
      <c r="A303" s="24" t="s">
        <v>8</v>
      </c>
      <c r="B303" s="1" t="s">
        <v>400</v>
      </c>
      <c r="C303" s="1" t="s">
        <v>403</v>
      </c>
      <c r="D303" s="3" t="s">
        <v>402</v>
      </c>
      <c r="E303" s="3">
        <v>30</v>
      </c>
      <c r="F303" s="3">
        <v>30</v>
      </c>
      <c r="G303" s="1" t="s">
        <v>17</v>
      </c>
      <c r="H303" s="1" t="s">
        <v>17</v>
      </c>
      <c r="I303" s="1" t="s">
        <v>12</v>
      </c>
      <c r="J303" s="1">
        <v>0</v>
      </c>
      <c r="K303" s="1" t="s">
        <v>12</v>
      </c>
      <c r="L303" s="1" t="s">
        <v>7</v>
      </c>
      <c r="M303" s="25"/>
      <c r="N303" s="25" t="str">
        <f>IFERROR(VLOOKUP(Tableau3[[#This Row],[Denomination Sociale]],Tableau7[],1,0),"")</f>
        <v/>
      </c>
      <c r="O303" s="25" t="str">
        <f>VLOOKUP(Tableau3[[#This Row],[Denomination Sociale]],Tableau6[],1,0)</f>
        <v>JAMOMINING</v>
      </c>
      <c r="P303" s="25" t="s">
        <v>400</v>
      </c>
      <c r="Q303" s="25" t="str">
        <f>VLOOKUP(Tableau3[[#This Row],[Denomination Sociale]],Tableau6[],1,1)</f>
        <v>JAMOMINING</v>
      </c>
      <c r="R303" s="25" t="s">
        <v>8</v>
      </c>
    </row>
    <row r="304" spans="1:18" x14ac:dyDescent="0.35">
      <c r="A304" s="24" t="s">
        <v>8</v>
      </c>
      <c r="B304" s="1" t="s">
        <v>404</v>
      </c>
      <c r="C304" s="1" t="s">
        <v>114</v>
      </c>
      <c r="D304" s="3" t="s">
        <v>405</v>
      </c>
      <c r="E304" s="3">
        <v>50</v>
      </c>
      <c r="F304" s="3">
        <v>50</v>
      </c>
      <c r="G304" s="1" t="s">
        <v>17</v>
      </c>
      <c r="H304" s="1" t="s">
        <v>17</v>
      </c>
      <c r="I304" s="1" t="s">
        <v>12</v>
      </c>
      <c r="J304" s="1">
        <v>0</v>
      </c>
      <c r="K304" s="1" t="s">
        <v>12</v>
      </c>
      <c r="L304" s="1" t="s">
        <v>7</v>
      </c>
      <c r="M304" s="25"/>
      <c r="N304" s="25" t="str">
        <f>IFERROR(VLOOKUP(Tableau3[[#This Row],[Denomination Sociale]],Tableau7[],1,0),"")</f>
        <v/>
      </c>
      <c r="O304" s="25" t="e">
        <f>VLOOKUP(Tableau3[[#This Row],[Denomination Sociale]],Tableau6[],1,0)</f>
        <v>#N/A</v>
      </c>
      <c r="P304" s="25"/>
      <c r="Q304" s="25" t="str">
        <f>VLOOKUP(Tableau3[[#This Row],[Denomination Sociale]],Tableau6[],1,1)</f>
        <v>JEAN PIERRE CHAMI</v>
      </c>
      <c r="R304" s="25" t="s">
        <v>8</v>
      </c>
    </row>
    <row r="305" spans="1:18" x14ac:dyDescent="0.35">
      <c r="A305" s="24" t="s">
        <v>8</v>
      </c>
      <c r="B305" s="1" t="s">
        <v>406</v>
      </c>
      <c r="C305" s="1" t="s">
        <v>407</v>
      </c>
      <c r="D305" s="3" t="s">
        <v>408</v>
      </c>
      <c r="E305" s="3" t="s">
        <v>12</v>
      </c>
      <c r="F305" s="3" t="s">
        <v>12</v>
      </c>
      <c r="G305" s="1" t="s">
        <v>409</v>
      </c>
      <c r="H305" s="1" t="s">
        <v>409</v>
      </c>
      <c r="I305" s="1" t="s">
        <v>12</v>
      </c>
      <c r="J305" s="1">
        <v>0</v>
      </c>
      <c r="K305" s="1" t="s">
        <v>12</v>
      </c>
      <c r="L305" s="1" t="s">
        <v>7</v>
      </c>
      <c r="M305" s="25"/>
      <c r="N305" s="25" t="str">
        <f>IFERROR(VLOOKUP(Tableau3[[#This Row],[Denomination Sociale]],Tableau7[],1,0),"")</f>
        <v/>
      </c>
      <c r="O305" s="25" t="e">
        <f>VLOOKUP(Tableau3[[#This Row],[Denomination Sociale]],Tableau6[],1,0)</f>
        <v>#N/A</v>
      </c>
      <c r="P305" s="25"/>
      <c r="Q305" s="25" t="str">
        <f>VLOOKUP(Tableau3[[#This Row],[Denomination Sociale]],Tableau6[],1,1)</f>
        <v>JIWANA RESOURCES PTY. LTD.</v>
      </c>
      <c r="R305" s="25" t="s">
        <v>8</v>
      </c>
    </row>
    <row r="306" spans="1:18" x14ac:dyDescent="0.35">
      <c r="A306" s="24" t="s">
        <v>8</v>
      </c>
      <c r="B306" s="1" t="s">
        <v>15710</v>
      </c>
      <c r="C306" s="1" t="s">
        <v>317</v>
      </c>
      <c r="D306" s="3" t="s">
        <v>318</v>
      </c>
      <c r="E306" s="3" t="s">
        <v>12</v>
      </c>
      <c r="F306" s="3">
        <v>2</v>
      </c>
      <c r="G306" s="1" t="s">
        <v>17</v>
      </c>
      <c r="H306" s="1" t="s">
        <v>17</v>
      </c>
      <c r="I306" s="1" t="s">
        <v>12</v>
      </c>
      <c r="J306" s="1">
        <v>0</v>
      </c>
      <c r="K306" s="1" t="s">
        <v>12</v>
      </c>
      <c r="L306" s="1" t="s">
        <v>7</v>
      </c>
      <c r="M306" s="25"/>
      <c r="N306" s="25" t="str">
        <f>IFERROR(VLOOKUP(Tableau3[[#This Row],[Denomination Sociale]],Tableau7[],1,0),"")</f>
        <v/>
      </c>
      <c r="O306" s="25" t="e">
        <f>VLOOKUP(Tableau3[[#This Row],[Denomination Sociale]],Tableau6[],1,0)</f>
        <v>#N/A</v>
      </c>
      <c r="P306" s="25"/>
      <c r="Q306" s="25" t="str">
        <f>VLOOKUP(Tableau3[[#This Row],[Denomination Sociale]],Tableau6[],1,1)</f>
        <v>KA BUISINESS COMPANY</v>
      </c>
      <c r="R306" s="25" t="s">
        <v>8</v>
      </c>
    </row>
    <row r="307" spans="1:18" x14ac:dyDescent="0.35">
      <c r="A307" s="24" t="s">
        <v>8</v>
      </c>
      <c r="B307" s="1" t="s">
        <v>15710</v>
      </c>
      <c r="C307" s="1" t="s">
        <v>319</v>
      </c>
      <c r="D307" s="3" t="s">
        <v>318</v>
      </c>
      <c r="E307" s="3" t="s">
        <v>12</v>
      </c>
      <c r="F307" s="3">
        <v>2</v>
      </c>
      <c r="G307" s="1" t="s">
        <v>17</v>
      </c>
      <c r="H307" s="1" t="s">
        <v>17</v>
      </c>
      <c r="I307" s="1" t="s">
        <v>12</v>
      </c>
      <c r="J307" s="1">
        <v>0</v>
      </c>
      <c r="K307" s="1" t="s">
        <v>12</v>
      </c>
      <c r="L307" s="1" t="s">
        <v>7</v>
      </c>
      <c r="M307" s="25"/>
      <c r="N307" s="25" t="str">
        <f>IFERROR(VLOOKUP(Tableau3[[#This Row],[Denomination Sociale]],Tableau7[],1,0),"")</f>
        <v/>
      </c>
      <c r="O307" s="25" t="e">
        <f>VLOOKUP(Tableau3[[#This Row],[Denomination Sociale]],Tableau6[],1,0)</f>
        <v>#N/A</v>
      </c>
      <c r="P307" s="25"/>
      <c r="Q307" s="25" t="str">
        <f>VLOOKUP(Tableau3[[#This Row],[Denomination Sociale]],Tableau6[],1,1)</f>
        <v>KA BUISINESS COMPANY</v>
      </c>
      <c r="R307" s="25" t="s">
        <v>8</v>
      </c>
    </row>
    <row r="308" spans="1:18" x14ac:dyDescent="0.35">
      <c r="A308" s="24" t="s">
        <v>8</v>
      </c>
      <c r="B308" s="1" t="s">
        <v>15711</v>
      </c>
      <c r="C308" s="1" t="s">
        <v>1120</v>
      </c>
      <c r="D308" s="3" t="s">
        <v>1121</v>
      </c>
      <c r="E308" s="3">
        <v>100</v>
      </c>
      <c r="F308" s="3">
        <v>100</v>
      </c>
      <c r="G308" s="1" t="s">
        <v>17</v>
      </c>
      <c r="H308" s="1"/>
      <c r="I308" s="1">
        <v>0</v>
      </c>
      <c r="J308" s="1" t="s">
        <v>12</v>
      </c>
      <c r="K308" s="1" t="s">
        <v>12</v>
      </c>
      <c r="L308" s="1" t="s">
        <v>7</v>
      </c>
      <c r="M308" s="25"/>
      <c r="N308" s="25" t="str">
        <f>IFERROR(VLOOKUP(Tableau3[[#This Row],[Denomination Sociale]],Tableau7[],1,0),"")</f>
        <v/>
      </c>
      <c r="O308" s="25" t="e">
        <f>VLOOKUP(Tableau3[[#This Row],[Denomination Sociale]],Tableau6[],1,0)</f>
        <v>#N/A</v>
      </c>
      <c r="P308" s="25"/>
      <c r="Q308" s="25" t="str">
        <f>VLOOKUP(Tableau3[[#This Row],[Denomination Sociale]],Tableau6[],1,1)</f>
        <v>KACTUS GROUP</v>
      </c>
      <c r="R308" s="25" t="s">
        <v>8</v>
      </c>
    </row>
    <row r="309" spans="1:18" x14ac:dyDescent="0.35">
      <c r="A309" s="24" t="s">
        <v>8</v>
      </c>
      <c r="B309" s="1" t="s">
        <v>1168</v>
      </c>
      <c r="C309" s="1" t="s">
        <v>1169</v>
      </c>
      <c r="D309" s="3" t="s">
        <v>1170</v>
      </c>
      <c r="E309" s="3">
        <v>75</v>
      </c>
      <c r="F309" s="3">
        <v>75</v>
      </c>
      <c r="G309" s="1" t="s">
        <v>17</v>
      </c>
      <c r="H309" s="1"/>
      <c r="I309" s="1">
        <v>0</v>
      </c>
      <c r="J309" s="1" t="s">
        <v>12</v>
      </c>
      <c r="K309" s="1" t="s">
        <v>12</v>
      </c>
      <c r="L309" s="1" t="s">
        <v>7</v>
      </c>
      <c r="M309" s="25"/>
      <c r="N309" s="25" t="str">
        <f>IFERROR(VLOOKUP(Tableau3[[#This Row],[Denomination Sociale]],Tableau7[],1,0),"")</f>
        <v/>
      </c>
      <c r="O309" s="25" t="e">
        <f>VLOOKUP(Tableau3[[#This Row],[Denomination Sociale]],Tableau6[],1,0)</f>
        <v>#N/A</v>
      </c>
      <c r="P309" s="25"/>
      <c r="Q309" s="25" t="str">
        <f>VLOOKUP(Tableau3[[#This Row],[Denomination Sociale]],Tableau6[],1,1)</f>
        <v>KALE NEW MINERALS LIMITED</v>
      </c>
      <c r="R309" s="25" t="s">
        <v>8</v>
      </c>
    </row>
    <row r="310" spans="1:18" x14ac:dyDescent="0.35">
      <c r="A310" s="24" t="s">
        <v>8</v>
      </c>
      <c r="B310" s="1" t="s">
        <v>15395</v>
      </c>
      <c r="C310" s="1" t="s">
        <v>411</v>
      </c>
      <c r="D310" s="3" t="s">
        <v>412</v>
      </c>
      <c r="E310" s="3">
        <v>50</v>
      </c>
      <c r="F310" s="3">
        <v>50</v>
      </c>
      <c r="G310" s="1" t="s">
        <v>17</v>
      </c>
      <c r="H310" s="1" t="s">
        <v>17</v>
      </c>
      <c r="I310" s="1" t="s">
        <v>12</v>
      </c>
      <c r="J310" s="1">
        <v>0</v>
      </c>
      <c r="K310" s="1" t="s">
        <v>12</v>
      </c>
      <c r="L310" s="1" t="s">
        <v>7</v>
      </c>
      <c r="M310" s="25"/>
      <c r="N310" s="25" t="str">
        <f>IFERROR(VLOOKUP(Tableau3[[#This Row],[Denomination Sociale]],Tableau7[],1,0),"")</f>
        <v/>
      </c>
      <c r="O310" s="25" t="str">
        <f>VLOOKUP(Tableau3[[#This Row],[Denomination Sociale]],Tableau6[],1,0)</f>
        <v>KANEL RESOURCES</v>
      </c>
      <c r="P310" s="25" t="s">
        <v>15395</v>
      </c>
      <c r="Q310" s="25" t="str">
        <f>VLOOKUP(Tableau3[[#This Row],[Denomination Sociale]],Tableau6[],1,1)</f>
        <v>KANEL RESOURCES</v>
      </c>
      <c r="R310" s="25" t="s">
        <v>8</v>
      </c>
    </row>
    <row r="311" spans="1:18" x14ac:dyDescent="0.35">
      <c r="A311" s="24" t="s">
        <v>8</v>
      </c>
      <c r="B311" s="1" t="s">
        <v>15395</v>
      </c>
      <c r="C311" s="1" t="s">
        <v>413</v>
      </c>
      <c r="D311" s="3" t="s">
        <v>412</v>
      </c>
      <c r="E311" s="3">
        <v>50</v>
      </c>
      <c r="F311" s="3">
        <v>50</v>
      </c>
      <c r="G311" s="1" t="s">
        <v>59</v>
      </c>
      <c r="H311" s="1" t="s">
        <v>59</v>
      </c>
      <c r="I311" s="1" t="s">
        <v>12</v>
      </c>
      <c r="J311" s="1">
        <v>0</v>
      </c>
      <c r="K311" s="1" t="s">
        <v>12</v>
      </c>
      <c r="L311" s="1" t="s">
        <v>7</v>
      </c>
      <c r="M311" s="25"/>
      <c r="N311" s="25" t="str">
        <f>IFERROR(VLOOKUP(Tableau3[[#This Row],[Denomination Sociale]],Tableau7[],1,0),"")</f>
        <v/>
      </c>
      <c r="O311" s="25" t="str">
        <f>VLOOKUP(Tableau3[[#This Row],[Denomination Sociale]],Tableau6[],1,0)</f>
        <v>KANEL RESOURCES</v>
      </c>
      <c r="P311" s="25" t="s">
        <v>15395</v>
      </c>
      <c r="Q311" s="25" t="str">
        <f>VLOOKUP(Tableau3[[#This Row],[Denomination Sociale]],Tableau6[],1,1)</f>
        <v>KANEL RESOURCES</v>
      </c>
      <c r="R311" s="25" t="s">
        <v>8</v>
      </c>
    </row>
    <row r="312" spans="1:18" x14ac:dyDescent="0.35">
      <c r="A312" s="24" t="s">
        <v>873</v>
      </c>
      <c r="B312" s="1" t="s">
        <v>934</v>
      </c>
      <c r="C312" s="1" t="s">
        <v>935</v>
      </c>
      <c r="D312" s="3" t="s">
        <v>936</v>
      </c>
      <c r="E312" s="3" t="s">
        <v>12</v>
      </c>
      <c r="F312" s="3" t="s">
        <v>12</v>
      </c>
      <c r="G312" s="1" t="s">
        <v>17</v>
      </c>
      <c r="H312" s="1" t="s">
        <v>17</v>
      </c>
      <c r="I312" s="1" t="s">
        <v>12</v>
      </c>
      <c r="J312" s="1">
        <v>0</v>
      </c>
      <c r="K312" s="1" t="s">
        <v>12</v>
      </c>
      <c r="L312" s="1" t="s">
        <v>7</v>
      </c>
      <c r="M312" s="25"/>
      <c r="N312" s="25" t="str">
        <f>IFERROR(VLOOKUP(Tableau3[[#This Row],[Denomination Sociale]],Tableau7[],1,0),"")</f>
        <v/>
      </c>
      <c r="O312" s="25" t="str">
        <f>VLOOKUP(Tableau3[[#This Row],[Denomination Sociale]],Tableau6[],1,0)</f>
        <v>KANOUMERY</v>
      </c>
      <c r="P312" s="25" t="s">
        <v>934</v>
      </c>
      <c r="Q312" s="25" t="str">
        <f>VLOOKUP(Tableau3[[#This Row],[Denomination Sociale]],Tableau6[],1,1)</f>
        <v>KANOUMERY</v>
      </c>
      <c r="R312" s="25" t="s">
        <v>873</v>
      </c>
    </row>
    <row r="313" spans="1:18" x14ac:dyDescent="0.35">
      <c r="A313" s="24" t="s">
        <v>873</v>
      </c>
      <c r="B313" s="1" t="s">
        <v>934</v>
      </c>
      <c r="C313" s="1" t="s">
        <v>937</v>
      </c>
      <c r="D313" s="3" t="s">
        <v>936</v>
      </c>
      <c r="E313" s="3" t="s">
        <v>12</v>
      </c>
      <c r="F313" s="3" t="s">
        <v>12</v>
      </c>
      <c r="G313" s="1" t="s">
        <v>17</v>
      </c>
      <c r="H313" s="1" t="s">
        <v>17</v>
      </c>
      <c r="I313" s="1" t="s">
        <v>12</v>
      </c>
      <c r="J313" s="1">
        <v>0</v>
      </c>
      <c r="K313" s="1" t="s">
        <v>12</v>
      </c>
      <c r="L313" s="1" t="s">
        <v>7</v>
      </c>
      <c r="M313" s="25"/>
      <c r="N313" s="25" t="str">
        <f>IFERROR(VLOOKUP(Tableau3[[#This Row],[Denomination Sociale]],Tableau7[],1,0),"")</f>
        <v/>
      </c>
      <c r="O313" s="25" t="str">
        <f>VLOOKUP(Tableau3[[#This Row],[Denomination Sociale]],Tableau6[],1,0)</f>
        <v>KANOUMERY</v>
      </c>
      <c r="P313" s="25" t="s">
        <v>934</v>
      </c>
      <c r="Q313" s="25" t="str">
        <f>VLOOKUP(Tableau3[[#This Row],[Denomination Sociale]],Tableau6[],1,1)</f>
        <v>KANOUMERY</v>
      </c>
      <c r="R313" s="25" t="s">
        <v>873</v>
      </c>
    </row>
    <row r="314" spans="1:18" x14ac:dyDescent="0.35">
      <c r="A314" s="24" t="s">
        <v>873</v>
      </c>
      <c r="B314" s="1" t="s">
        <v>934</v>
      </c>
      <c r="C314" s="1" t="s">
        <v>938</v>
      </c>
      <c r="D314" s="3" t="s">
        <v>936</v>
      </c>
      <c r="E314" s="3" t="s">
        <v>12</v>
      </c>
      <c r="F314" s="3" t="s">
        <v>12</v>
      </c>
      <c r="G314" s="1" t="s">
        <v>17</v>
      </c>
      <c r="H314" s="1" t="s">
        <v>17</v>
      </c>
      <c r="I314" s="1" t="s">
        <v>12</v>
      </c>
      <c r="J314" s="1">
        <v>0</v>
      </c>
      <c r="K314" s="1" t="s">
        <v>12</v>
      </c>
      <c r="L314" s="1" t="s">
        <v>7</v>
      </c>
      <c r="M314" s="25"/>
      <c r="N314" s="25" t="str">
        <f>IFERROR(VLOOKUP(Tableau3[[#This Row],[Denomination Sociale]],Tableau7[],1,0),"")</f>
        <v/>
      </c>
      <c r="O314" s="25" t="str">
        <f>VLOOKUP(Tableau3[[#This Row],[Denomination Sociale]],Tableau6[],1,0)</f>
        <v>KANOUMERY</v>
      </c>
      <c r="P314" s="25" t="s">
        <v>934</v>
      </c>
      <c r="Q314" s="25" t="str">
        <f>VLOOKUP(Tableau3[[#This Row],[Denomination Sociale]],Tableau6[],1,1)</f>
        <v>KANOUMERY</v>
      </c>
      <c r="R314" s="25" t="s">
        <v>873</v>
      </c>
    </row>
    <row r="315" spans="1:18" x14ac:dyDescent="0.35">
      <c r="A315" s="24" t="s">
        <v>8</v>
      </c>
      <c r="B315" s="1" t="s">
        <v>1168</v>
      </c>
      <c r="C315" s="1" t="s">
        <v>1171</v>
      </c>
      <c r="D315" s="3" t="s">
        <v>1170</v>
      </c>
      <c r="E315" s="3">
        <v>25</v>
      </c>
      <c r="F315" s="3">
        <v>25</v>
      </c>
      <c r="G315" s="1" t="s">
        <v>17</v>
      </c>
      <c r="H315" s="1"/>
      <c r="I315" s="1">
        <v>0</v>
      </c>
      <c r="J315" s="1" t="s">
        <v>12</v>
      </c>
      <c r="K315" s="1" t="s">
        <v>12</v>
      </c>
      <c r="L315" s="1" t="s">
        <v>7</v>
      </c>
      <c r="M315" s="25"/>
      <c r="N315" s="25" t="str">
        <f>IFERROR(VLOOKUP(Tableau3[[#This Row],[Denomination Sociale]],Tableau7[],1,0),"")</f>
        <v/>
      </c>
      <c r="O315" s="25" t="e">
        <f>VLOOKUP(Tableau3[[#This Row],[Denomination Sociale]],Tableau6[],1,0)</f>
        <v>#N/A</v>
      </c>
      <c r="P315" s="25"/>
      <c r="Q315" s="25" t="str">
        <f>VLOOKUP(Tableau3[[#This Row],[Denomination Sociale]],Tableau6[],1,1)</f>
        <v>KALE NEW MINERALS LIMITED</v>
      </c>
      <c r="R315" s="25" t="s">
        <v>8</v>
      </c>
    </row>
    <row r="316" spans="1:18" x14ac:dyDescent="0.35">
      <c r="A316" s="24" t="s">
        <v>8</v>
      </c>
      <c r="B316" s="1" t="s">
        <v>414</v>
      </c>
      <c r="C316" s="1" t="s">
        <v>415</v>
      </c>
      <c r="D316" s="3" t="s">
        <v>416</v>
      </c>
      <c r="E316" s="3" t="s">
        <v>12</v>
      </c>
      <c r="F316" s="3" t="s">
        <v>12</v>
      </c>
      <c r="G316" s="1" t="s">
        <v>17</v>
      </c>
      <c r="H316" s="1" t="s">
        <v>17</v>
      </c>
      <c r="I316" s="1" t="s">
        <v>12</v>
      </c>
      <c r="J316" s="1">
        <v>0</v>
      </c>
      <c r="K316" s="1" t="s">
        <v>12</v>
      </c>
      <c r="L316" s="1" t="s">
        <v>7</v>
      </c>
      <c r="M316" s="25"/>
      <c r="N316" s="25" t="str">
        <f>IFERROR(VLOOKUP(Tableau3[[#This Row],[Denomination Sociale]],Tableau7[],1,0),"")</f>
        <v/>
      </c>
      <c r="O316" s="25" t="e">
        <f>VLOOKUP(Tableau3[[#This Row],[Denomination Sociale]],Tableau6[],1,0)</f>
        <v>#N/A</v>
      </c>
      <c r="P316" s="25"/>
      <c r="Q316" s="25" t="str">
        <f>VLOOKUP(Tableau3[[#This Row],[Denomination Sociale]],Tableau6[],1,1)</f>
        <v>KARAMBA</v>
      </c>
      <c r="R316" s="25" t="s">
        <v>8</v>
      </c>
    </row>
    <row r="317" spans="1:18" x14ac:dyDescent="0.35">
      <c r="A317" s="24" t="s">
        <v>8</v>
      </c>
      <c r="B317" s="1" t="s">
        <v>414</v>
      </c>
      <c r="C317" s="1" t="s">
        <v>417</v>
      </c>
      <c r="D317" s="3" t="s">
        <v>416</v>
      </c>
      <c r="E317" s="3" t="s">
        <v>12</v>
      </c>
      <c r="F317" s="3" t="s">
        <v>12</v>
      </c>
      <c r="G317" s="1" t="s">
        <v>17</v>
      </c>
      <c r="H317" s="1" t="s">
        <v>17</v>
      </c>
      <c r="I317" s="1" t="s">
        <v>12</v>
      </c>
      <c r="J317" s="1" t="s">
        <v>12</v>
      </c>
      <c r="K317" s="1" t="s">
        <v>12</v>
      </c>
      <c r="L317" s="1" t="s">
        <v>7</v>
      </c>
      <c r="M317" s="25"/>
      <c r="N317" s="25" t="str">
        <f>IFERROR(VLOOKUP(Tableau3[[#This Row],[Denomination Sociale]],Tableau7[],1,0),"")</f>
        <v/>
      </c>
      <c r="O317" s="25" t="e">
        <f>VLOOKUP(Tableau3[[#This Row],[Denomination Sociale]],Tableau6[],1,0)</f>
        <v>#N/A</v>
      </c>
      <c r="P317" s="25"/>
      <c r="Q317" s="25" t="str">
        <f>VLOOKUP(Tableau3[[#This Row],[Denomination Sociale]],Tableau6[],1,1)</f>
        <v>KARAMBA</v>
      </c>
      <c r="R317" s="25" t="s">
        <v>8</v>
      </c>
    </row>
    <row r="318" spans="1:18" x14ac:dyDescent="0.35">
      <c r="A318" s="24" t="s">
        <v>8</v>
      </c>
      <c r="B318" s="1" t="s">
        <v>414</v>
      </c>
      <c r="C318" s="1" t="s">
        <v>418</v>
      </c>
      <c r="D318" s="3" t="s">
        <v>416</v>
      </c>
      <c r="E318" s="3" t="s">
        <v>12</v>
      </c>
      <c r="F318" s="3" t="s">
        <v>12</v>
      </c>
      <c r="G318" s="1" t="s">
        <v>17</v>
      </c>
      <c r="H318" s="1" t="s">
        <v>17</v>
      </c>
      <c r="I318" s="1" t="s">
        <v>12</v>
      </c>
      <c r="J318" s="1">
        <v>0</v>
      </c>
      <c r="K318" s="1" t="s">
        <v>12</v>
      </c>
      <c r="L318" s="1" t="s">
        <v>7</v>
      </c>
      <c r="M318" s="25"/>
      <c r="N318" s="25" t="str">
        <f>IFERROR(VLOOKUP(Tableau3[[#This Row],[Denomination Sociale]],Tableau7[],1,0),"")</f>
        <v/>
      </c>
      <c r="O318" s="25" t="e">
        <f>VLOOKUP(Tableau3[[#This Row],[Denomination Sociale]],Tableau6[],1,0)</f>
        <v>#N/A</v>
      </c>
      <c r="P318" s="25"/>
      <c r="Q318" s="25" t="str">
        <f>VLOOKUP(Tableau3[[#This Row],[Denomination Sociale]],Tableau6[],1,1)</f>
        <v>KARAMBA</v>
      </c>
      <c r="R318" s="25" t="s">
        <v>8</v>
      </c>
    </row>
    <row r="319" spans="1:18" x14ac:dyDescent="0.35">
      <c r="A319" s="24" t="s">
        <v>873</v>
      </c>
      <c r="B319" s="1" t="s">
        <v>939</v>
      </c>
      <c r="C319" s="1" t="s">
        <v>940</v>
      </c>
      <c r="D319" s="3" t="s">
        <v>941</v>
      </c>
      <c r="E319" s="3">
        <v>5</v>
      </c>
      <c r="F319" s="3" t="s">
        <v>12</v>
      </c>
      <c r="G319" s="1" t="s">
        <v>17</v>
      </c>
      <c r="H319" s="1" t="s">
        <v>17</v>
      </c>
      <c r="I319" s="1" t="s">
        <v>12</v>
      </c>
      <c r="J319" s="1">
        <v>0</v>
      </c>
      <c r="K319" s="1" t="s">
        <v>12</v>
      </c>
      <c r="L319" s="1" t="s">
        <v>7</v>
      </c>
      <c r="M319" s="25"/>
      <c r="N319" s="25" t="str">
        <f>IFERROR(VLOOKUP(Tableau3[[#This Row],[Denomination Sociale]],Tableau7[],1,0),"")</f>
        <v/>
      </c>
      <c r="O319" s="25" t="e">
        <f>VLOOKUP(Tableau3[[#This Row],[Denomination Sociale]],Tableau6[],1,0)</f>
        <v>#N/A</v>
      </c>
      <c r="P319" s="25"/>
      <c r="Q319" s="25" t="str">
        <f>VLOOKUP(Tableau3[[#This Row],[Denomination Sociale]],Tableau6[],1,1)</f>
        <v>KEDOUGOU BUSINESS &amp; MINING SERVICES</v>
      </c>
      <c r="R319" s="25" t="s">
        <v>873</v>
      </c>
    </row>
    <row r="320" spans="1:18" x14ac:dyDescent="0.35">
      <c r="A320" s="24" t="s">
        <v>873</v>
      </c>
      <c r="B320" s="1" t="s">
        <v>939</v>
      </c>
      <c r="C320" s="1" t="s">
        <v>942</v>
      </c>
      <c r="D320" s="3" t="s">
        <v>941</v>
      </c>
      <c r="E320" s="3">
        <v>55</v>
      </c>
      <c r="F320" s="3" t="s">
        <v>12</v>
      </c>
      <c r="G320" s="1" t="s">
        <v>17</v>
      </c>
      <c r="H320" s="1" t="s">
        <v>17</v>
      </c>
      <c r="I320" s="1" t="s">
        <v>12</v>
      </c>
      <c r="J320" s="1">
        <v>0</v>
      </c>
      <c r="K320" s="1" t="s">
        <v>12</v>
      </c>
      <c r="L320" s="1" t="s">
        <v>7</v>
      </c>
      <c r="M320" s="25"/>
      <c r="N320" s="25" t="str">
        <f>IFERROR(VLOOKUP(Tableau3[[#This Row],[Denomination Sociale]],Tableau7[],1,0),"")</f>
        <v/>
      </c>
      <c r="O320" s="25" t="e">
        <f>VLOOKUP(Tableau3[[#This Row],[Denomination Sociale]],Tableau6[],1,0)</f>
        <v>#N/A</v>
      </c>
      <c r="P320" s="25"/>
      <c r="Q320" s="25" t="str">
        <f>VLOOKUP(Tableau3[[#This Row],[Denomination Sociale]],Tableau6[],1,1)</f>
        <v>KEDOUGOU BUSINESS &amp; MINING SERVICES</v>
      </c>
      <c r="R320" s="25" t="s">
        <v>873</v>
      </c>
    </row>
    <row r="321" spans="1:18" x14ac:dyDescent="0.35">
      <c r="A321" s="24" t="s">
        <v>873</v>
      </c>
      <c r="B321" s="1" t="s">
        <v>1209</v>
      </c>
      <c r="C321" s="1" t="s">
        <v>1210</v>
      </c>
      <c r="D321" s="3" t="s">
        <v>1211</v>
      </c>
      <c r="E321" s="3">
        <v>1</v>
      </c>
      <c r="F321" s="3" t="s">
        <v>12</v>
      </c>
      <c r="G321" s="1" t="s">
        <v>17</v>
      </c>
      <c r="H321" s="1"/>
      <c r="I321" s="1">
        <v>0</v>
      </c>
      <c r="J321" s="1" t="s">
        <v>12</v>
      </c>
      <c r="K321" s="1" t="s">
        <v>12</v>
      </c>
      <c r="L321" s="1" t="s">
        <v>7</v>
      </c>
      <c r="M321" s="25"/>
      <c r="N321" s="25" t="str">
        <f>IFERROR(VLOOKUP(Tableau3[[#This Row],[Denomination Sociale]],Tableau7[],1,0),"")</f>
        <v/>
      </c>
      <c r="O321" s="25" t="str">
        <f>VLOOKUP(Tableau3[[#This Row],[Denomination Sociale]],Tableau6[],1,0)</f>
        <v>KEDOUGOU MINE ET CARRIERE</v>
      </c>
      <c r="P321" s="25" t="s">
        <v>1209</v>
      </c>
      <c r="Q321" s="25" t="str">
        <f>VLOOKUP(Tableau3[[#This Row],[Denomination Sociale]],Tableau6[],1,1)</f>
        <v>KEDOUGOU MINE ET CARRIERE</v>
      </c>
      <c r="R321" s="25" t="s">
        <v>873</v>
      </c>
    </row>
    <row r="322" spans="1:18" x14ac:dyDescent="0.35">
      <c r="A322" s="24" t="s">
        <v>873</v>
      </c>
      <c r="B322" s="1" t="s">
        <v>1209</v>
      </c>
      <c r="C322" s="1" t="s">
        <v>1212</v>
      </c>
      <c r="D322" s="3" t="s">
        <v>1211</v>
      </c>
      <c r="E322" s="3">
        <v>10</v>
      </c>
      <c r="F322" s="3" t="s">
        <v>12</v>
      </c>
      <c r="G322" s="1" t="s">
        <v>17</v>
      </c>
      <c r="H322" s="1"/>
      <c r="I322" s="1">
        <v>0</v>
      </c>
      <c r="J322" s="1" t="s">
        <v>12</v>
      </c>
      <c r="K322" s="1" t="s">
        <v>12</v>
      </c>
      <c r="L322" s="1" t="s">
        <v>7</v>
      </c>
      <c r="M322" s="25"/>
      <c r="N322" s="25" t="str">
        <f>IFERROR(VLOOKUP(Tableau3[[#This Row],[Denomination Sociale]],Tableau7[],1,0),"")</f>
        <v/>
      </c>
      <c r="O322" s="25" t="str">
        <f>VLOOKUP(Tableau3[[#This Row],[Denomination Sociale]],Tableau6[],1,0)</f>
        <v>KEDOUGOU MINE ET CARRIERE</v>
      </c>
      <c r="P322" s="25" t="s">
        <v>1209</v>
      </c>
      <c r="Q322" s="25" t="str">
        <f>VLOOKUP(Tableau3[[#This Row],[Denomination Sociale]],Tableau6[],1,1)</f>
        <v>KEDOUGOU MINE ET CARRIERE</v>
      </c>
      <c r="R322" s="25" t="s">
        <v>873</v>
      </c>
    </row>
    <row r="323" spans="1:18" x14ac:dyDescent="0.35">
      <c r="A323" s="24" t="s">
        <v>873</v>
      </c>
      <c r="B323" s="1" t="s">
        <v>1209</v>
      </c>
      <c r="C323" s="1" t="s">
        <v>1213</v>
      </c>
      <c r="D323" s="3" t="s">
        <v>1211</v>
      </c>
      <c r="E323" s="3">
        <v>29</v>
      </c>
      <c r="F323" s="3" t="s">
        <v>12</v>
      </c>
      <c r="G323" s="1" t="s">
        <v>17</v>
      </c>
      <c r="H323" s="1"/>
      <c r="I323" s="1">
        <v>0</v>
      </c>
      <c r="J323" s="1" t="s">
        <v>12</v>
      </c>
      <c r="K323" s="1" t="s">
        <v>12</v>
      </c>
      <c r="L323" s="1" t="s">
        <v>7</v>
      </c>
      <c r="M323" s="25"/>
      <c r="N323" s="25" t="str">
        <f>IFERROR(VLOOKUP(Tableau3[[#This Row],[Denomination Sociale]],Tableau7[],1,0),"")</f>
        <v/>
      </c>
      <c r="O323" s="25" t="str">
        <f>VLOOKUP(Tableau3[[#This Row],[Denomination Sociale]],Tableau6[],1,0)</f>
        <v>KEDOUGOU MINE ET CARRIERE</v>
      </c>
      <c r="P323" s="25" t="s">
        <v>1209</v>
      </c>
      <c r="Q323" s="25" t="str">
        <f>VLOOKUP(Tableau3[[#This Row],[Denomination Sociale]],Tableau6[],1,1)</f>
        <v>KEDOUGOU MINE ET CARRIERE</v>
      </c>
      <c r="R323" s="25" t="s">
        <v>873</v>
      </c>
    </row>
    <row r="324" spans="1:18" x14ac:dyDescent="0.35">
      <c r="A324" s="24" t="s">
        <v>873</v>
      </c>
      <c r="B324" s="1" t="s">
        <v>1209</v>
      </c>
      <c r="C324" s="1" t="s">
        <v>1214</v>
      </c>
      <c r="D324" s="3" t="s">
        <v>1211</v>
      </c>
      <c r="E324" s="3">
        <v>60</v>
      </c>
      <c r="F324" s="3" t="s">
        <v>12</v>
      </c>
      <c r="G324" s="1" t="s">
        <v>17</v>
      </c>
      <c r="H324" s="1"/>
      <c r="I324" s="1">
        <v>0</v>
      </c>
      <c r="J324" s="1" t="s">
        <v>12</v>
      </c>
      <c r="K324" s="1" t="s">
        <v>12</v>
      </c>
      <c r="L324" s="1" t="s">
        <v>7</v>
      </c>
      <c r="M324" s="25"/>
      <c r="N324" s="25" t="str">
        <f>IFERROR(VLOOKUP(Tableau3[[#This Row],[Denomination Sociale]],Tableau7[],1,0),"")</f>
        <v/>
      </c>
      <c r="O324" s="25" t="str">
        <f>VLOOKUP(Tableau3[[#This Row],[Denomination Sociale]],Tableau6[],1,0)</f>
        <v>KEDOUGOU MINE ET CARRIERE</v>
      </c>
      <c r="P324" s="25" t="s">
        <v>1209</v>
      </c>
      <c r="Q324" s="25" t="str">
        <f>VLOOKUP(Tableau3[[#This Row],[Denomination Sociale]],Tableau6[],1,1)</f>
        <v>KEDOUGOU MINE ET CARRIERE</v>
      </c>
      <c r="R324" s="25" t="s">
        <v>873</v>
      </c>
    </row>
    <row r="325" spans="1:18" x14ac:dyDescent="0.35">
      <c r="A325" s="24" t="s">
        <v>873</v>
      </c>
      <c r="B325" s="1" t="s">
        <v>939</v>
      </c>
      <c r="C325" s="1" t="s">
        <v>943</v>
      </c>
      <c r="D325" s="3" t="s">
        <v>941</v>
      </c>
      <c r="E325" s="3">
        <v>40</v>
      </c>
      <c r="F325" s="3" t="s">
        <v>12</v>
      </c>
      <c r="G325" s="1" t="s">
        <v>100</v>
      </c>
      <c r="H325" s="1" t="s">
        <v>100</v>
      </c>
      <c r="I325" s="1" t="s">
        <v>12</v>
      </c>
      <c r="J325" s="1" t="s">
        <v>12</v>
      </c>
      <c r="K325" s="1" t="s">
        <v>12</v>
      </c>
      <c r="L325" s="1" t="s">
        <v>7</v>
      </c>
      <c r="M325" s="25"/>
      <c r="N325" s="25" t="str">
        <f>IFERROR(VLOOKUP(Tableau3[[#This Row],[Denomination Sociale]],Tableau7[],1,0),"")</f>
        <v/>
      </c>
      <c r="O325" s="25" t="e">
        <f>VLOOKUP(Tableau3[[#This Row],[Denomination Sociale]],Tableau6[],1,0)</f>
        <v>#N/A</v>
      </c>
      <c r="P325" s="25"/>
      <c r="Q325" s="25" t="str">
        <f>VLOOKUP(Tableau3[[#This Row],[Denomination Sociale]],Tableau6[],1,1)</f>
        <v>KEDOUGOU BUSINESS &amp; MINING SERVICES</v>
      </c>
      <c r="R325" s="25" t="s">
        <v>873</v>
      </c>
    </row>
    <row r="326" spans="1:18" x14ac:dyDescent="0.35">
      <c r="A326" s="24" t="s">
        <v>980</v>
      </c>
      <c r="B326" s="1" t="s">
        <v>1051</v>
      </c>
      <c r="C326" s="1" t="s">
        <v>1052</v>
      </c>
      <c r="D326" s="3" t="s">
        <v>1053</v>
      </c>
      <c r="E326" s="3">
        <v>100</v>
      </c>
      <c r="F326" s="3">
        <v>100</v>
      </c>
      <c r="G326" s="1" t="s">
        <v>17</v>
      </c>
      <c r="H326" s="1" t="s">
        <v>17</v>
      </c>
      <c r="I326" s="1" t="s">
        <v>12</v>
      </c>
      <c r="J326" s="1">
        <v>0</v>
      </c>
      <c r="K326" s="1" t="s">
        <v>12</v>
      </c>
      <c r="L326" s="1" t="s">
        <v>7</v>
      </c>
      <c r="M326" s="25"/>
      <c r="N326" s="25" t="str">
        <f>IFERROR(VLOOKUP(Tableau3[[#This Row],[Denomination Sociale]],Tableau7[],1,0),"")</f>
        <v/>
      </c>
      <c r="O326" s="25" t="e">
        <f>VLOOKUP(Tableau3[[#This Row],[Denomination Sociale]],Tableau6[],1,0)</f>
        <v>#N/A</v>
      </c>
      <c r="P326" s="25"/>
      <c r="Q326" s="25" t="str">
        <f>VLOOKUP(Tableau3[[#This Row],[Denomination Sociale]],Tableau6[],1,1)</f>
        <v>KEUR KHADIM BTP ET SERVICES</v>
      </c>
      <c r="R326" s="25" t="s">
        <v>980</v>
      </c>
    </row>
    <row r="327" spans="1:18" x14ac:dyDescent="0.35">
      <c r="A327" s="24" t="s">
        <v>873</v>
      </c>
      <c r="B327" s="1" t="s">
        <v>944</v>
      </c>
      <c r="C327" s="1" t="s">
        <v>945</v>
      </c>
      <c r="D327" s="3" t="s">
        <v>946</v>
      </c>
      <c r="E327" s="3" t="s">
        <v>12</v>
      </c>
      <c r="F327" s="3" t="s">
        <v>12</v>
      </c>
      <c r="G327" s="1" t="s">
        <v>17</v>
      </c>
      <c r="H327" s="1" t="s">
        <v>17</v>
      </c>
      <c r="I327" s="1" t="s">
        <v>12</v>
      </c>
      <c r="J327" s="1">
        <v>0</v>
      </c>
      <c r="K327" s="1" t="s">
        <v>12</v>
      </c>
      <c r="L327" s="1" t="s">
        <v>7</v>
      </c>
      <c r="M327" s="25"/>
      <c r="N327" s="25" t="str">
        <f>IFERROR(VLOOKUP(Tableau3[[#This Row],[Denomination Sociale]],Tableau7[],1,0),"")</f>
        <v/>
      </c>
      <c r="O327" s="25" t="e">
        <f>VLOOKUP(Tableau3[[#This Row],[Denomination Sociale]],Tableau6[],1,0)</f>
        <v>#N/A</v>
      </c>
      <c r="P327" s="25"/>
      <c r="Q327" s="25" t="str">
        <f>VLOOKUP(Tableau3[[#This Row],[Denomination Sociale]],Tableau6[],1,1)</f>
        <v>KHAMBEINTEINKOTO NDIN</v>
      </c>
      <c r="R327" s="25" t="s">
        <v>873</v>
      </c>
    </row>
    <row r="328" spans="1:18" x14ac:dyDescent="0.35">
      <c r="A328" s="24" t="s">
        <v>873</v>
      </c>
      <c r="B328" s="1" t="s">
        <v>944</v>
      </c>
      <c r="C328" s="1" t="s">
        <v>947</v>
      </c>
      <c r="D328" s="3" t="s">
        <v>946</v>
      </c>
      <c r="E328" s="3" t="s">
        <v>12</v>
      </c>
      <c r="F328" s="3" t="s">
        <v>12</v>
      </c>
      <c r="G328" s="1" t="s">
        <v>17</v>
      </c>
      <c r="H328" s="1" t="s">
        <v>17</v>
      </c>
      <c r="I328" s="1" t="s">
        <v>12</v>
      </c>
      <c r="J328" s="1">
        <v>0</v>
      </c>
      <c r="K328" s="1" t="s">
        <v>12</v>
      </c>
      <c r="L328" s="1" t="s">
        <v>7</v>
      </c>
      <c r="M328" s="25"/>
      <c r="N328" s="25" t="str">
        <f>IFERROR(VLOOKUP(Tableau3[[#This Row],[Denomination Sociale]],Tableau7[],1,0),"")</f>
        <v/>
      </c>
      <c r="O328" s="25" t="e">
        <f>VLOOKUP(Tableau3[[#This Row],[Denomination Sociale]],Tableau6[],1,0)</f>
        <v>#N/A</v>
      </c>
      <c r="P328" s="25"/>
      <c r="Q328" s="25" t="str">
        <f>VLOOKUP(Tableau3[[#This Row],[Denomination Sociale]],Tableau6[],1,1)</f>
        <v>KHAMBEINTEINKOTO NDIN</v>
      </c>
      <c r="R328" s="25" t="s">
        <v>873</v>
      </c>
    </row>
    <row r="329" spans="1:18" x14ac:dyDescent="0.35">
      <c r="A329" s="24" t="s">
        <v>873</v>
      </c>
      <c r="B329" s="1" t="s">
        <v>944</v>
      </c>
      <c r="C329" s="1" t="s">
        <v>948</v>
      </c>
      <c r="D329" s="3" t="s">
        <v>946</v>
      </c>
      <c r="E329" s="3" t="s">
        <v>12</v>
      </c>
      <c r="F329" s="3" t="s">
        <v>12</v>
      </c>
      <c r="G329" s="1" t="s">
        <v>17</v>
      </c>
      <c r="H329" s="1" t="s">
        <v>17</v>
      </c>
      <c r="I329" s="1" t="s">
        <v>12</v>
      </c>
      <c r="J329" s="1">
        <v>0</v>
      </c>
      <c r="K329" s="1" t="s">
        <v>12</v>
      </c>
      <c r="L329" s="1" t="s">
        <v>7</v>
      </c>
      <c r="M329" s="25"/>
      <c r="N329" s="25" t="str">
        <f>IFERROR(VLOOKUP(Tableau3[[#This Row],[Denomination Sociale]],Tableau7[],1,0),"")</f>
        <v/>
      </c>
      <c r="O329" s="25" t="e">
        <f>VLOOKUP(Tableau3[[#This Row],[Denomination Sociale]],Tableau6[],1,0)</f>
        <v>#N/A</v>
      </c>
      <c r="P329" s="25"/>
      <c r="Q329" s="25" t="str">
        <f>VLOOKUP(Tableau3[[#This Row],[Denomination Sociale]],Tableau6[],1,1)</f>
        <v>KHAMBEINTEINKOTO NDIN</v>
      </c>
      <c r="R329" s="25" t="s">
        <v>873</v>
      </c>
    </row>
    <row r="330" spans="1:18" x14ac:dyDescent="0.35">
      <c r="A330" s="24" t="s">
        <v>8</v>
      </c>
      <c r="B330" s="1" t="s">
        <v>423</v>
      </c>
      <c r="C330" s="1" t="s">
        <v>424</v>
      </c>
      <c r="D330" s="3" t="s">
        <v>425</v>
      </c>
      <c r="E330" s="3">
        <v>100</v>
      </c>
      <c r="F330" s="3">
        <v>100</v>
      </c>
      <c r="G330" s="1" t="s">
        <v>17</v>
      </c>
      <c r="H330" s="1" t="s">
        <v>17</v>
      </c>
      <c r="I330" s="1" t="s">
        <v>12</v>
      </c>
      <c r="J330" s="1">
        <v>0</v>
      </c>
      <c r="K330" s="1" t="s">
        <v>12</v>
      </c>
      <c r="L330" s="1" t="s">
        <v>7</v>
      </c>
      <c r="M330" s="25"/>
      <c r="N330" s="25" t="str">
        <f>IFERROR(VLOOKUP(Tableau3[[#This Row],[Denomination Sociale]],Tableau7[],1,0),"")</f>
        <v/>
      </c>
      <c r="O330" s="25" t="str">
        <f>VLOOKUP(Tableau3[[#This Row],[Denomination Sociale]],Tableau6[],1,0)</f>
        <v>KHELKOM'S LION</v>
      </c>
      <c r="P330" s="25" t="s">
        <v>423</v>
      </c>
      <c r="Q330" s="25" t="str">
        <f>VLOOKUP(Tableau3[[#This Row],[Denomination Sociale]],Tableau6[],1,1)</f>
        <v>KHELKOM'S LION</v>
      </c>
      <c r="R330" s="25" t="s">
        <v>8</v>
      </c>
    </row>
    <row r="331" spans="1:18" x14ac:dyDescent="0.35">
      <c r="A331" s="24" t="s">
        <v>8</v>
      </c>
      <c r="B331" s="1" t="s">
        <v>426</v>
      </c>
      <c r="C331" s="1" t="s">
        <v>427</v>
      </c>
      <c r="D331" s="3" t="s">
        <v>428</v>
      </c>
      <c r="E331" s="3">
        <v>100</v>
      </c>
      <c r="F331" s="3">
        <v>100</v>
      </c>
      <c r="G331" s="1" t="s">
        <v>17</v>
      </c>
      <c r="H331" s="1" t="s">
        <v>17</v>
      </c>
      <c r="I331" s="1" t="s">
        <v>12</v>
      </c>
      <c r="J331" s="1">
        <v>0</v>
      </c>
      <c r="K331" s="1" t="s">
        <v>12</v>
      </c>
      <c r="L331" s="1" t="s">
        <v>7</v>
      </c>
      <c r="M331" s="25"/>
      <c r="N331" s="25" t="str">
        <f>IFERROR(VLOOKUP(Tableau3[[#This Row],[Denomination Sociale]],Tableau7[],1,0),"")</f>
        <v/>
      </c>
      <c r="O331" s="25" t="str">
        <f>VLOOKUP(Tableau3[[#This Row],[Denomination Sociale]],Tableau6[],1,0)</f>
        <v>KHEWEUL DIAMA</v>
      </c>
      <c r="P331" s="25" t="s">
        <v>426</v>
      </c>
      <c r="Q331" s="25" t="str">
        <f>VLOOKUP(Tableau3[[#This Row],[Denomination Sociale]],Tableau6[],1,1)</f>
        <v>KHEWEUL DIAMA</v>
      </c>
      <c r="R331" s="25" t="s">
        <v>8</v>
      </c>
    </row>
    <row r="332" spans="1:18" x14ac:dyDescent="0.35">
      <c r="A332" s="24" t="s">
        <v>873</v>
      </c>
      <c r="B332" s="1" t="s">
        <v>949</v>
      </c>
      <c r="C332" s="1" t="s">
        <v>950</v>
      </c>
      <c r="D332" s="3" t="s">
        <v>951</v>
      </c>
      <c r="E332" s="3" t="s">
        <v>12</v>
      </c>
      <c r="F332" s="3" t="s">
        <v>12</v>
      </c>
      <c r="G332" s="1" t="s">
        <v>17</v>
      </c>
      <c r="H332" s="1" t="s">
        <v>17</v>
      </c>
      <c r="I332" s="1" t="s">
        <v>12</v>
      </c>
      <c r="J332" s="1">
        <v>0</v>
      </c>
      <c r="K332" s="1" t="s">
        <v>12</v>
      </c>
      <c r="L332" s="1" t="s">
        <v>7</v>
      </c>
      <c r="M332" s="25"/>
      <c r="N332" s="25" t="str">
        <f>IFERROR(VLOOKUP(Tableau3[[#This Row],[Denomination Sociale]],Tableau7[],1,0),"")</f>
        <v/>
      </c>
      <c r="O332" s="25" t="str">
        <f>VLOOKUP(Tableau3[[#This Row],[Denomination Sociale]],Tableau6[],1,0)</f>
        <v>KOLIA</v>
      </c>
      <c r="P332" s="25" t="s">
        <v>949</v>
      </c>
      <c r="Q332" s="25" t="str">
        <f>VLOOKUP(Tableau3[[#This Row],[Denomination Sociale]],Tableau6[],1,1)</f>
        <v>KOLIA</v>
      </c>
      <c r="R332" s="25" t="s">
        <v>873</v>
      </c>
    </row>
    <row r="333" spans="1:18" x14ac:dyDescent="0.35">
      <c r="A333" s="24" t="s">
        <v>873</v>
      </c>
      <c r="B333" s="1" t="s">
        <v>949</v>
      </c>
      <c r="C333" s="1" t="s">
        <v>952</v>
      </c>
      <c r="D333" s="3" t="s">
        <v>951</v>
      </c>
      <c r="E333" s="3" t="s">
        <v>12</v>
      </c>
      <c r="F333" s="3" t="s">
        <v>12</v>
      </c>
      <c r="G333" s="1" t="s">
        <v>17</v>
      </c>
      <c r="H333" s="1" t="s">
        <v>17</v>
      </c>
      <c r="I333" s="1" t="s">
        <v>12</v>
      </c>
      <c r="J333" s="1">
        <v>0</v>
      </c>
      <c r="K333" s="1" t="s">
        <v>12</v>
      </c>
      <c r="L333" s="1" t="s">
        <v>7</v>
      </c>
      <c r="M333" s="25"/>
      <c r="N333" s="25" t="str">
        <f>IFERROR(VLOOKUP(Tableau3[[#This Row],[Denomination Sociale]],Tableau7[],1,0),"")</f>
        <v/>
      </c>
      <c r="O333" s="25" t="str">
        <f>VLOOKUP(Tableau3[[#This Row],[Denomination Sociale]],Tableau6[],1,0)</f>
        <v>KOLIA</v>
      </c>
      <c r="P333" s="25" t="s">
        <v>949</v>
      </c>
      <c r="Q333" s="25" t="str">
        <f>VLOOKUP(Tableau3[[#This Row],[Denomination Sociale]],Tableau6[],1,1)</f>
        <v>KOLIA</v>
      </c>
      <c r="R333" s="25" t="s">
        <v>873</v>
      </c>
    </row>
    <row r="334" spans="1:18" x14ac:dyDescent="0.35">
      <c r="A334" s="24" t="s">
        <v>873</v>
      </c>
      <c r="B334" s="1" t="s">
        <v>949</v>
      </c>
      <c r="C334" s="1" t="s">
        <v>930</v>
      </c>
      <c r="D334" s="3" t="s">
        <v>951</v>
      </c>
      <c r="E334" s="3" t="s">
        <v>12</v>
      </c>
      <c r="F334" s="3" t="s">
        <v>12</v>
      </c>
      <c r="G334" s="1" t="s">
        <v>17</v>
      </c>
      <c r="H334" s="1" t="s">
        <v>17</v>
      </c>
      <c r="I334" s="1" t="s">
        <v>12</v>
      </c>
      <c r="J334" s="1">
        <v>0</v>
      </c>
      <c r="K334" s="1" t="s">
        <v>12</v>
      </c>
      <c r="L334" s="1" t="s">
        <v>7</v>
      </c>
      <c r="M334" s="25"/>
      <c r="N334" s="25" t="str">
        <f>IFERROR(VLOOKUP(Tableau3[[#This Row],[Denomination Sociale]],Tableau7[],1,0),"")</f>
        <v/>
      </c>
      <c r="O334" s="25" t="str">
        <f>VLOOKUP(Tableau3[[#This Row],[Denomination Sociale]],Tableau6[],1,0)</f>
        <v>KOLIA</v>
      </c>
      <c r="P334" s="25" t="s">
        <v>949</v>
      </c>
      <c r="Q334" s="25" t="str">
        <f>VLOOKUP(Tableau3[[#This Row],[Denomination Sociale]],Tableau6[],1,1)</f>
        <v>KOLIA</v>
      </c>
      <c r="R334" s="25" t="s">
        <v>873</v>
      </c>
    </row>
    <row r="335" spans="1:18" x14ac:dyDescent="0.35">
      <c r="A335" s="24" t="s">
        <v>8</v>
      </c>
      <c r="B335" s="1" t="s">
        <v>429</v>
      </c>
      <c r="C335" s="1" t="s">
        <v>396</v>
      </c>
      <c r="D335" s="3" t="s">
        <v>430</v>
      </c>
      <c r="E335" s="3">
        <v>100</v>
      </c>
      <c r="F335" s="3">
        <v>100</v>
      </c>
      <c r="G335" s="1" t="s">
        <v>17</v>
      </c>
      <c r="H335" s="1" t="s">
        <v>17</v>
      </c>
      <c r="I335" s="1" t="s">
        <v>12</v>
      </c>
      <c r="J335" s="1">
        <v>0</v>
      </c>
      <c r="K335" s="1" t="s">
        <v>12</v>
      </c>
      <c r="L335" s="1" t="s">
        <v>7</v>
      </c>
      <c r="M335" s="25"/>
      <c r="N335" s="25" t="str">
        <f>IFERROR(VLOOKUP(Tableau3[[#This Row],[Denomination Sociale]],Tableau7[],1,0),"")</f>
        <v/>
      </c>
      <c r="O335" s="25" t="str">
        <f>VLOOKUP(Tableau3[[#This Row],[Denomination Sociale]],Tableau6[],1,0)</f>
        <v>KONKOUTOU GOLD OPERATION</v>
      </c>
      <c r="P335" s="25" t="s">
        <v>429</v>
      </c>
      <c r="Q335" s="25" t="str">
        <f>VLOOKUP(Tableau3[[#This Row],[Denomination Sociale]],Tableau6[],1,1)</f>
        <v>KONKOUTOU GOLD OPERATION</v>
      </c>
      <c r="R335" s="25" t="s">
        <v>8</v>
      </c>
    </row>
    <row r="336" spans="1:18" x14ac:dyDescent="0.35">
      <c r="A336" s="24" t="s">
        <v>8</v>
      </c>
      <c r="B336" s="1" t="s">
        <v>419</v>
      </c>
      <c r="C336" s="1" t="s">
        <v>420</v>
      </c>
      <c r="D336" s="3" t="s">
        <v>421</v>
      </c>
      <c r="E336" s="3">
        <v>100</v>
      </c>
      <c r="F336" s="3" t="s">
        <v>422</v>
      </c>
      <c r="G336" s="1" t="s">
        <v>17</v>
      </c>
      <c r="H336" s="1" t="s">
        <v>17</v>
      </c>
      <c r="I336" s="1" t="s">
        <v>12</v>
      </c>
      <c r="J336" s="1">
        <v>0</v>
      </c>
      <c r="K336" s="1" t="s">
        <v>12</v>
      </c>
      <c r="L336" s="1" t="s">
        <v>7</v>
      </c>
      <c r="M336" s="25"/>
      <c r="N336" s="25" t="str">
        <f>IFERROR(VLOOKUP(Tableau3[[#This Row],[Denomination Sociale]],Tableau7[],1,0),"")</f>
        <v/>
      </c>
      <c r="O336" s="25" t="e">
        <f>VLOOKUP(Tableau3[[#This Row],[Denomination Sociale]],Tableau6[],1,0)</f>
        <v>#N/A</v>
      </c>
      <c r="P336" s="25"/>
      <c r="Q336" s="25" t="str">
        <f>VLOOKUP(Tableau3[[#This Row],[Denomination Sociale]],Tableau6[],1,1)</f>
        <v>KHAMBEINTEINKOTO NDIN</v>
      </c>
      <c r="R336" s="25" t="s">
        <v>8</v>
      </c>
    </row>
    <row r="337" spans="1:18" x14ac:dyDescent="0.35">
      <c r="A337" s="24" t="s">
        <v>8</v>
      </c>
      <c r="B337" s="1" t="s">
        <v>431</v>
      </c>
      <c r="C337" s="1" t="s">
        <v>432</v>
      </c>
      <c r="D337" s="3" t="s">
        <v>433</v>
      </c>
      <c r="E337" s="3" t="s">
        <v>12</v>
      </c>
      <c r="F337" s="3" t="s">
        <v>12</v>
      </c>
      <c r="G337" s="1" t="s">
        <v>17</v>
      </c>
      <c r="H337" s="1" t="s">
        <v>17</v>
      </c>
      <c r="I337" s="1" t="s">
        <v>12</v>
      </c>
      <c r="J337" s="1">
        <v>0</v>
      </c>
      <c r="K337" s="1" t="s">
        <v>12</v>
      </c>
      <c r="L337" s="1" t="s">
        <v>7</v>
      </c>
      <c r="M337" s="25"/>
      <c r="N337" s="25" t="str">
        <f>IFERROR(VLOOKUP(Tableau3[[#This Row],[Denomination Sociale]],Tableau7[],1,0),"")</f>
        <v/>
      </c>
      <c r="O337" s="25" t="e">
        <f>VLOOKUP(Tableau3[[#This Row],[Denomination Sociale]],Tableau6[],1,0)</f>
        <v>#N/A</v>
      </c>
      <c r="P337" s="25"/>
      <c r="Q337" s="25" t="str">
        <f>VLOOKUP(Tableau3[[#This Row],[Denomination Sociale]],Tableau6[],1,1)</f>
        <v>KONKOUTOU GOLD OPERATION</v>
      </c>
      <c r="R337" s="25" t="s">
        <v>8</v>
      </c>
    </row>
    <row r="338" spans="1:18" x14ac:dyDescent="0.35">
      <c r="A338" s="24" t="s">
        <v>8</v>
      </c>
      <c r="B338" s="1" t="s">
        <v>434</v>
      </c>
      <c r="C338" s="1" t="s">
        <v>435</v>
      </c>
      <c r="D338" s="3" t="s">
        <v>436</v>
      </c>
      <c r="E338" s="3">
        <v>25</v>
      </c>
      <c r="F338" s="3" t="s">
        <v>12</v>
      </c>
      <c r="G338" s="1" t="s">
        <v>17</v>
      </c>
      <c r="H338" s="1" t="s">
        <v>17</v>
      </c>
      <c r="I338" s="1" t="s">
        <v>12</v>
      </c>
      <c r="J338" s="1">
        <v>0</v>
      </c>
      <c r="K338" s="1" t="s">
        <v>12</v>
      </c>
      <c r="L338" s="1" t="s">
        <v>7</v>
      </c>
      <c r="M338" s="25"/>
      <c r="N338" s="25" t="str">
        <f>IFERROR(VLOOKUP(Tableau3[[#This Row],[Denomination Sociale]],Tableau7[],1,0),"")</f>
        <v/>
      </c>
      <c r="O338" s="25" t="e">
        <f>VLOOKUP(Tableau3[[#This Row],[Denomination Sociale]],Tableau6[],1,0)</f>
        <v>#N/A</v>
      </c>
      <c r="P338" s="25"/>
      <c r="Q338" s="25" t="str">
        <f>VLOOKUP(Tableau3[[#This Row],[Denomination Sociale]],Tableau6[],1,1)</f>
        <v>KONKOUTOU GOLD OPERATION</v>
      </c>
      <c r="R338" s="25" t="s">
        <v>8</v>
      </c>
    </row>
    <row r="339" spans="1:18" x14ac:dyDescent="0.35">
      <c r="A339" s="24" t="s">
        <v>8</v>
      </c>
      <c r="B339" s="1" t="s">
        <v>434</v>
      </c>
      <c r="C339" s="1" t="s">
        <v>437</v>
      </c>
      <c r="D339" s="3" t="s">
        <v>436</v>
      </c>
      <c r="E339" s="3">
        <v>15</v>
      </c>
      <c r="F339" s="3" t="s">
        <v>12</v>
      </c>
      <c r="G339" s="1" t="s">
        <v>17</v>
      </c>
      <c r="H339" s="1" t="s">
        <v>17</v>
      </c>
      <c r="I339" s="1" t="s">
        <v>12</v>
      </c>
      <c r="J339" s="1">
        <v>0</v>
      </c>
      <c r="K339" s="1" t="s">
        <v>12</v>
      </c>
      <c r="L339" s="1" t="s">
        <v>7</v>
      </c>
      <c r="M339" s="25"/>
      <c r="N339" s="25" t="str">
        <f>IFERROR(VLOOKUP(Tableau3[[#This Row],[Denomination Sociale]],Tableau7[],1,0),"")</f>
        <v/>
      </c>
      <c r="O339" s="25" t="e">
        <f>VLOOKUP(Tableau3[[#This Row],[Denomination Sociale]],Tableau6[],1,0)</f>
        <v>#N/A</v>
      </c>
      <c r="P339" s="25"/>
      <c r="Q339" s="25" t="str">
        <f>VLOOKUP(Tableau3[[#This Row],[Denomination Sociale]],Tableau6[],1,1)</f>
        <v>KONKOUTOU GOLD OPERATION</v>
      </c>
      <c r="R339" s="25" t="s">
        <v>8</v>
      </c>
    </row>
    <row r="340" spans="1:18" x14ac:dyDescent="0.35">
      <c r="A340" s="24" t="s">
        <v>8</v>
      </c>
      <c r="B340" s="1" t="s">
        <v>434</v>
      </c>
      <c r="C340" s="1" t="s">
        <v>438</v>
      </c>
      <c r="D340" s="3" t="s">
        <v>436</v>
      </c>
      <c r="E340" s="3">
        <v>60</v>
      </c>
      <c r="F340" s="3" t="s">
        <v>12</v>
      </c>
      <c r="G340" s="1" t="s">
        <v>17</v>
      </c>
      <c r="H340" s="1" t="s">
        <v>17</v>
      </c>
      <c r="I340" s="1" t="s">
        <v>12</v>
      </c>
      <c r="J340" s="1">
        <v>0</v>
      </c>
      <c r="K340" s="1" t="s">
        <v>12</v>
      </c>
      <c r="L340" s="1" t="s">
        <v>7</v>
      </c>
      <c r="M340" s="25"/>
      <c r="N340" s="25" t="str">
        <f>IFERROR(VLOOKUP(Tableau3[[#This Row],[Denomination Sociale]],Tableau7[],1,0),"")</f>
        <v/>
      </c>
      <c r="O340" s="25" t="e">
        <f>VLOOKUP(Tableau3[[#This Row],[Denomination Sociale]],Tableau6[],1,0)</f>
        <v>#N/A</v>
      </c>
      <c r="P340" s="25"/>
      <c r="Q340" s="25" t="str">
        <f>VLOOKUP(Tableau3[[#This Row],[Denomination Sociale]],Tableau6[],1,1)</f>
        <v>KONKOUTOU GOLD OPERATION</v>
      </c>
      <c r="R340" s="25" t="s">
        <v>8</v>
      </c>
    </row>
    <row r="341" spans="1:18" x14ac:dyDescent="0.35">
      <c r="A341" s="24" t="s">
        <v>8</v>
      </c>
      <c r="B341" s="1" t="s">
        <v>439</v>
      </c>
      <c r="C341" s="1" t="s">
        <v>440</v>
      </c>
      <c r="D341" s="3" t="s">
        <v>441</v>
      </c>
      <c r="E341" s="3">
        <v>70</v>
      </c>
      <c r="F341" s="3">
        <v>70</v>
      </c>
      <c r="G341" s="1" t="s">
        <v>17</v>
      </c>
      <c r="H341" s="1" t="s">
        <v>17</v>
      </c>
      <c r="I341" s="1" t="s">
        <v>12</v>
      </c>
      <c r="J341" s="1">
        <v>0</v>
      </c>
      <c r="K341" s="1" t="s">
        <v>12</v>
      </c>
      <c r="L341" s="1" t="s">
        <v>7</v>
      </c>
      <c r="M341" s="25"/>
      <c r="N341" s="25" t="str">
        <f>IFERROR(VLOOKUP(Tableau3[[#This Row],[Denomination Sociale]],Tableau7[],1,0),"")</f>
        <v/>
      </c>
      <c r="O341" s="25" t="e">
        <f>VLOOKUP(Tableau3[[#This Row],[Denomination Sociale]],Tableau6[],1,0)</f>
        <v>#N/A</v>
      </c>
      <c r="P341" s="25"/>
      <c r="Q341" s="25" t="str">
        <f>VLOOKUP(Tableau3[[#This Row],[Denomination Sociale]],Tableau6[],1,1)</f>
        <v>KUABENA KUSI</v>
      </c>
      <c r="R341" s="25" t="s">
        <v>8</v>
      </c>
    </row>
    <row r="342" spans="1:18" x14ac:dyDescent="0.35">
      <c r="A342" s="24" t="s">
        <v>8</v>
      </c>
      <c r="B342" s="1" t="s">
        <v>439</v>
      </c>
      <c r="C342" s="1" t="s">
        <v>162</v>
      </c>
      <c r="D342" s="3" t="s">
        <v>441</v>
      </c>
      <c r="E342" s="3">
        <v>30</v>
      </c>
      <c r="F342" s="3">
        <v>30</v>
      </c>
      <c r="G342" s="1" t="s">
        <v>17</v>
      </c>
      <c r="H342" s="1" t="s">
        <v>17</v>
      </c>
      <c r="I342" s="1" t="s">
        <v>12</v>
      </c>
      <c r="J342" s="1">
        <v>0</v>
      </c>
      <c r="K342" s="1" t="s">
        <v>12</v>
      </c>
      <c r="L342" s="1" t="s">
        <v>7</v>
      </c>
      <c r="M342" s="25"/>
      <c r="N342" s="25" t="str">
        <f>IFERROR(VLOOKUP(Tableau3[[#This Row],[Denomination Sociale]],Tableau7[],1,0),"")</f>
        <v/>
      </c>
      <c r="O342" s="25" t="e">
        <f>VLOOKUP(Tableau3[[#This Row],[Denomination Sociale]],Tableau6[],1,0)</f>
        <v>#N/A</v>
      </c>
      <c r="P342" s="25"/>
      <c r="Q342" s="25" t="str">
        <f>VLOOKUP(Tableau3[[#This Row],[Denomination Sociale]],Tableau6[],1,1)</f>
        <v>KUABENA KUSI</v>
      </c>
      <c r="R342" s="25" t="s">
        <v>8</v>
      </c>
    </row>
    <row r="343" spans="1:18" x14ac:dyDescent="0.35">
      <c r="A343" s="24" t="s">
        <v>8</v>
      </c>
      <c r="B343" s="1" t="s">
        <v>15134</v>
      </c>
      <c r="C343" s="1" t="s">
        <v>443</v>
      </c>
      <c r="D343" s="3" t="s">
        <v>444</v>
      </c>
      <c r="E343" s="3">
        <v>100</v>
      </c>
      <c r="F343" s="3">
        <v>100</v>
      </c>
      <c r="G343" s="1" t="s">
        <v>17</v>
      </c>
      <c r="H343" s="1" t="s">
        <v>17</v>
      </c>
      <c r="I343" s="1" t="s">
        <v>12</v>
      </c>
      <c r="J343" s="1">
        <v>0</v>
      </c>
      <c r="K343" s="1" t="s">
        <v>12</v>
      </c>
      <c r="L343" s="1" t="s">
        <v>7</v>
      </c>
      <c r="M343" s="25"/>
      <c r="N343" s="25" t="str">
        <f>IFERROR(VLOOKUP(Tableau3[[#This Row],[Denomination Sociale]],Tableau7[],1,0),"")</f>
        <v/>
      </c>
      <c r="O343" s="25" t="str">
        <f>VLOOKUP(Tableau3[[#This Row],[Denomination Sociale]],Tableau6[],1,0)</f>
        <v>AFRIK'MINES</v>
      </c>
      <c r="P343" s="25" t="s">
        <v>15134</v>
      </c>
      <c r="Q343" s="25" t="str">
        <f>VLOOKUP(Tableau3[[#This Row],[Denomination Sociale]],Tableau6[],1,1)</f>
        <v>AFRIK'MINES</v>
      </c>
      <c r="R343" s="25" t="s">
        <v>8</v>
      </c>
    </row>
    <row r="344" spans="1:18" x14ac:dyDescent="0.35">
      <c r="A344" s="24" t="s">
        <v>8</v>
      </c>
      <c r="B344" s="1" t="s">
        <v>448</v>
      </c>
      <c r="C344" s="1" t="s">
        <v>448</v>
      </c>
      <c r="D344" s="3" t="s">
        <v>449</v>
      </c>
      <c r="E344" s="3">
        <v>100</v>
      </c>
      <c r="F344" s="3">
        <v>100</v>
      </c>
      <c r="G344" s="1" t="s">
        <v>17</v>
      </c>
      <c r="H344" s="1" t="s">
        <v>17</v>
      </c>
      <c r="I344" s="1" t="s">
        <v>12</v>
      </c>
      <c r="J344" s="1">
        <v>0</v>
      </c>
      <c r="K344" s="1" t="s">
        <v>12</v>
      </c>
      <c r="L344" s="1" t="s">
        <v>7</v>
      </c>
      <c r="M344" s="25"/>
      <c r="N344" s="25" t="str">
        <f>IFERROR(VLOOKUP(Tableau3[[#This Row],[Denomination Sociale]],Tableau7[],1,0),"")</f>
        <v/>
      </c>
      <c r="O344" s="25" t="str">
        <f>VLOOKUP(Tableau3[[#This Row],[Denomination Sociale]],Tableau6[],1,0)</f>
        <v>LAYE BEYE</v>
      </c>
      <c r="P344" s="25" t="s">
        <v>448</v>
      </c>
      <c r="Q344" s="25" t="str">
        <f>VLOOKUP(Tableau3[[#This Row],[Denomination Sociale]],Tableau6[],1,1)</f>
        <v>LAYE BEYE</v>
      </c>
      <c r="R344" s="25" t="s">
        <v>8</v>
      </c>
    </row>
    <row r="345" spans="1:18" x14ac:dyDescent="0.35">
      <c r="A345" s="24" t="s">
        <v>8</v>
      </c>
      <c r="B345" s="1" t="s">
        <v>445</v>
      </c>
      <c r="C345" s="1" t="s">
        <v>446</v>
      </c>
      <c r="D345" s="3" t="s">
        <v>447</v>
      </c>
      <c r="E345" s="3">
        <v>100</v>
      </c>
      <c r="F345" s="3">
        <v>100</v>
      </c>
      <c r="G345" s="1" t="s">
        <v>17</v>
      </c>
      <c r="H345" s="1" t="s">
        <v>17</v>
      </c>
      <c r="I345" s="1" t="s">
        <v>12</v>
      </c>
      <c r="J345" s="1">
        <v>0</v>
      </c>
      <c r="K345" s="1" t="s">
        <v>12</v>
      </c>
      <c r="L345" s="1" t="s">
        <v>7</v>
      </c>
      <c r="M345" s="25"/>
      <c r="N345" s="25" t="str">
        <f>IFERROR(VLOOKUP(Tableau3[[#This Row],[Denomination Sociale]],Tableau7[],1,0),"")</f>
        <v/>
      </c>
      <c r="O345" s="25" t="e">
        <f>VLOOKUP(Tableau3[[#This Row],[Denomination Sociale]],Tableau6[],1,0)</f>
        <v>#N/A</v>
      </c>
      <c r="P345" s="25"/>
      <c r="Q345" s="25" t="str">
        <f>VLOOKUP(Tableau3[[#This Row],[Denomination Sociale]],Tableau6[],1,1)</f>
        <v>LAMTORO NATURAL RERSOURCES</v>
      </c>
      <c r="R345" s="25" t="s">
        <v>8</v>
      </c>
    </row>
    <row r="346" spans="1:18" x14ac:dyDescent="0.35">
      <c r="A346" s="24" t="s">
        <v>8</v>
      </c>
      <c r="B346" s="1" t="s">
        <v>453</v>
      </c>
      <c r="C346" s="1" t="s">
        <v>454</v>
      </c>
      <c r="D346" s="3" t="s">
        <v>455</v>
      </c>
      <c r="E346" s="3">
        <v>100</v>
      </c>
      <c r="F346" s="3" t="s">
        <v>12</v>
      </c>
      <c r="G346" s="1" t="s">
        <v>17</v>
      </c>
      <c r="H346" s="1" t="s">
        <v>17</v>
      </c>
      <c r="I346" s="1" t="s">
        <v>12</v>
      </c>
      <c r="J346" s="1">
        <v>0</v>
      </c>
      <c r="K346" s="1" t="s">
        <v>12</v>
      </c>
      <c r="L346" s="1" t="s">
        <v>7</v>
      </c>
      <c r="M346" s="25"/>
      <c r="N346" s="25" t="str">
        <f>IFERROR(VLOOKUP(Tableau3[[#This Row],[Denomination Sociale]],Tableau7[],1,0),"")</f>
        <v/>
      </c>
      <c r="O346" s="25" t="str">
        <f>VLOOKUP(Tableau3[[#This Row],[Denomination Sociale]],Tableau6[],1,0)</f>
        <v>LE GRAVIER</v>
      </c>
      <c r="P346" s="25" t="s">
        <v>453</v>
      </c>
      <c r="Q346" s="25" t="str">
        <f>VLOOKUP(Tableau3[[#This Row],[Denomination Sociale]],Tableau6[],1,1)</f>
        <v>LE GRAVIER</v>
      </c>
      <c r="R346" s="25" t="s">
        <v>8</v>
      </c>
    </row>
    <row r="347" spans="1:18" x14ac:dyDescent="0.35">
      <c r="A347" s="24" t="s">
        <v>8</v>
      </c>
      <c r="B347" s="1" t="s">
        <v>450</v>
      </c>
      <c r="C347" s="1" t="s">
        <v>451</v>
      </c>
      <c r="D347" s="3" t="s">
        <v>452</v>
      </c>
      <c r="E347" s="3">
        <v>100</v>
      </c>
      <c r="F347" s="3" t="s">
        <v>12</v>
      </c>
      <c r="G347" s="1" t="s">
        <v>17</v>
      </c>
      <c r="H347" s="1" t="s">
        <v>17</v>
      </c>
      <c r="I347" s="1" t="s">
        <v>12</v>
      </c>
      <c r="J347" s="1">
        <v>0</v>
      </c>
      <c r="K347" s="1" t="s">
        <v>12</v>
      </c>
      <c r="L347" s="1" t="s">
        <v>7</v>
      </c>
      <c r="M347" s="25"/>
      <c r="N347" s="25" t="str">
        <f>IFERROR(VLOOKUP(Tableau3[[#This Row],[Denomination Sociale]],Tableau7[],1,0),"")</f>
        <v/>
      </c>
      <c r="O347" s="25" t="e">
        <f>VLOOKUP(Tableau3[[#This Row],[Denomination Sociale]],Tableau6[],1,0)</f>
        <v>#N/A</v>
      </c>
      <c r="P347" s="25"/>
      <c r="Q347" s="25" t="str">
        <f>VLOOKUP(Tableau3[[#This Row],[Denomination Sociale]],Tableau6[],1,1)</f>
        <v>LD ECOMINING-</v>
      </c>
      <c r="R347" s="25" t="s">
        <v>8</v>
      </c>
    </row>
    <row r="348" spans="1:18" x14ac:dyDescent="0.35">
      <c r="A348" s="24" t="s">
        <v>980</v>
      </c>
      <c r="B348" s="1" t="s">
        <v>2961</v>
      </c>
      <c r="C348" s="1" t="s">
        <v>1055</v>
      </c>
      <c r="D348" s="3" t="s">
        <v>1056</v>
      </c>
      <c r="E348" s="3" t="s">
        <v>1057</v>
      </c>
      <c r="F348" s="3" t="s">
        <v>1057</v>
      </c>
      <c r="G348" s="1" t="s">
        <v>17</v>
      </c>
      <c r="H348" s="1" t="s">
        <v>17</v>
      </c>
      <c r="I348" s="1" t="s">
        <v>12</v>
      </c>
      <c r="J348" s="1">
        <v>0</v>
      </c>
      <c r="K348" s="1" t="s">
        <v>12</v>
      </c>
      <c r="L348" s="1" t="s">
        <v>7</v>
      </c>
      <c r="M348" s="25"/>
      <c r="N348" s="25" t="str">
        <f>IFERROR(VLOOKUP(Tableau3[[#This Row],[Denomination Sociale]],Tableau7[],1,0),"")</f>
        <v/>
      </c>
      <c r="O348" s="25" t="str">
        <f>VLOOKUP(Tableau3[[#This Row],[Denomination Sociale]],Tableau6[],1,0)</f>
        <v>CIMENTS DU SAHEL</v>
      </c>
      <c r="P348" s="25" t="s">
        <v>2961</v>
      </c>
      <c r="Q348" s="25" t="str">
        <f>VLOOKUP(Tableau3[[#This Row],[Denomination Sociale]],Tableau6[],1,1)</f>
        <v>CIMENTS DU SAHEL</v>
      </c>
      <c r="R348" s="25" t="s">
        <v>980</v>
      </c>
    </row>
    <row r="349" spans="1:18" x14ac:dyDescent="0.35">
      <c r="A349" s="24" t="s">
        <v>8</v>
      </c>
      <c r="B349" s="1" t="s">
        <v>456</v>
      </c>
      <c r="C349" s="1" t="s">
        <v>457</v>
      </c>
      <c r="D349" s="3" t="s">
        <v>458</v>
      </c>
      <c r="E349" s="3">
        <v>100</v>
      </c>
      <c r="F349" s="3" t="s">
        <v>12</v>
      </c>
      <c r="G349" s="1" t="s">
        <v>459</v>
      </c>
      <c r="H349" s="1" t="s">
        <v>459</v>
      </c>
      <c r="I349" s="1" t="s">
        <v>12</v>
      </c>
      <c r="J349" s="1">
        <v>0</v>
      </c>
      <c r="K349" s="1" t="s">
        <v>12</v>
      </c>
      <c r="L349" s="1" t="s">
        <v>7</v>
      </c>
      <c r="M349" s="25"/>
      <c r="N349" s="25" t="str">
        <f>IFERROR(VLOOKUP(Tableau3[[#This Row],[Denomination Sociale]],Tableau7[],1,0),"")</f>
        <v/>
      </c>
      <c r="O349" s="25" t="str">
        <f>VLOOKUP(Tableau3[[#This Row],[Denomination Sociale]],Tableau6[],1,0)</f>
        <v>LES GRANDES CARRIERES DU SENEGAL</v>
      </c>
      <c r="P349" s="25" t="s">
        <v>456</v>
      </c>
      <c r="Q349" s="25" t="str">
        <f>VLOOKUP(Tableau3[[#This Row],[Denomination Sociale]],Tableau6[],1,1)</f>
        <v>LES GRANDES CARRIERES DU SENEGAL</v>
      </c>
      <c r="R349" s="25" t="s">
        <v>8</v>
      </c>
    </row>
    <row r="350" spans="1:18" x14ac:dyDescent="0.35">
      <c r="A350" s="24" t="s">
        <v>8</v>
      </c>
      <c r="B350" s="1" t="s">
        <v>15681</v>
      </c>
      <c r="C350" s="1" t="s">
        <v>263</v>
      </c>
      <c r="D350" s="3" t="s">
        <v>264</v>
      </c>
      <c r="E350" s="3">
        <v>100</v>
      </c>
      <c r="F350" s="3">
        <v>100</v>
      </c>
      <c r="G350" s="1" t="s">
        <v>17</v>
      </c>
      <c r="H350" s="1" t="s">
        <v>17</v>
      </c>
      <c r="I350" s="1" t="s">
        <v>12</v>
      </c>
      <c r="J350" s="1">
        <v>0</v>
      </c>
      <c r="K350" s="1" t="s">
        <v>12</v>
      </c>
      <c r="L350" s="1" t="s">
        <v>7</v>
      </c>
      <c r="M350" s="25"/>
      <c r="N350" s="25" t="str">
        <f>IFERROR(VLOOKUP(Tableau3[[#This Row],[Denomination Sociale]],Tableau7[],1,0),"")</f>
        <v/>
      </c>
      <c r="O350" s="25" t="e">
        <f>VLOOKUP(Tableau3[[#This Row],[Denomination Sociale]],Tableau6[],1,0)</f>
        <v>#N/A</v>
      </c>
      <c r="P350" s="25"/>
      <c r="Q350" s="25" t="str">
        <f>VLOOKUP(Tableau3[[#This Row],[Denomination Sociale]],Tableau6[],1,1)</f>
        <v>LD ECOMINING-</v>
      </c>
      <c r="R350" s="25" t="s">
        <v>8</v>
      </c>
    </row>
    <row r="351" spans="1:18" x14ac:dyDescent="0.35">
      <c r="A351" s="24" t="s">
        <v>980</v>
      </c>
      <c r="B351" s="1" t="s">
        <v>1224</v>
      </c>
      <c r="C351" s="1" t="s">
        <v>997</v>
      </c>
      <c r="D351" s="3" t="s">
        <v>998</v>
      </c>
      <c r="E351" s="3" t="s">
        <v>12</v>
      </c>
      <c r="F351" s="3">
        <v>100</v>
      </c>
      <c r="G351" s="1" t="s">
        <v>17</v>
      </c>
      <c r="H351" s="1" t="s">
        <v>17</v>
      </c>
      <c r="I351" s="1" t="s">
        <v>12</v>
      </c>
      <c r="J351" s="1">
        <v>0</v>
      </c>
      <c r="K351" s="1" t="s">
        <v>12</v>
      </c>
      <c r="L351" s="1" t="s">
        <v>7</v>
      </c>
      <c r="M351" s="25"/>
      <c r="N351" s="25" t="str">
        <f>IFERROR(VLOOKUP(Tableau3[[#This Row],[Denomination Sociale]],Tableau7[],1,0),"")</f>
        <v/>
      </c>
      <c r="O351" s="25" t="e">
        <f>VLOOKUP(Tableau3[[#This Row],[Denomination Sociale]],Tableau6[],1,0)</f>
        <v>#N/A</v>
      </c>
      <c r="P351" s="25"/>
      <c r="Q351" s="25" t="str">
        <f>VLOOKUP(Tableau3[[#This Row],[Denomination Sociale]],Tableau6[],1,1)</f>
        <v>LE GRAVIER</v>
      </c>
      <c r="R351" s="25" t="s">
        <v>980</v>
      </c>
    </row>
    <row r="352" spans="1:18" x14ac:dyDescent="0.35">
      <c r="A352" s="24" t="s">
        <v>8</v>
      </c>
      <c r="B352" s="1" t="s">
        <v>1215</v>
      </c>
      <c r="C352" s="1" t="s">
        <v>1216</v>
      </c>
      <c r="D352" s="3" t="s">
        <v>1217</v>
      </c>
      <c r="E352" s="3">
        <v>100</v>
      </c>
      <c r="F352" s="3" t="s">
        <v>12</v>
      </c>
      <c r="G352" s="1" t="s">
        <v>17</v>
      </c>
      <c r="H352" s="1"/>
      <c r="I352" s="1">
        <v>0</v>
      </c>
      <c r="J352" s="1" t="s">
        <v>12</v>
      </c>
      <c r="K352" s="1" t="s">
        <v>12</v>
      </c>
      <c r="L352" s="1" t="s">
        <v>7</v>
      </c>
      <c r="M352" s="25"/>
      <c r="N352" s="25" t="str">
        <f>IFERROR(VLOOKUP(Tableau3[[#This Row],[Denomination Sociale]],Tableau7[],1,0),"")</f>
        <v/>
      </c>
      <c r="O352" s="25" t="e">
        <f>VLOOKUP(Tableau3[[#This Row],[Denomination Sociale]],Tableau6[],1,0)</f>
        <v>#N/A</v>
      </c>
      <c r="P352" s="25"/>
      <c r="Q352" s="25" t="str">
        <f>VLOOKUP(Tableau3[[#This Row],[Denomination Sociale]],Tableau6[],1,1)</f>
        <v>LIN SHI INTERNATIONAL INVESTMENT</v>
      </c>
      <c r="R352" s="25" t="s">
        <v>8</v>
      </c>
    </row>
    <row r="353" spans="1:18" x14ac:dyDescent="0.35">
      <c r="A353" s="24" t="s">
        <v>966</v>
      </c>
      <c r="B353" s="1" t="s">
        <v>15676</v>
      </c>
      <c r="C353" s="1" t="s">
        <v>1182</v>
      </c>
      <c r="D353" s="3" t="s">
        <v>1183</v>
      </c>
      <c r="E353" s="3">
        <v>51</v>
      </c>
      <c r="F353" s="3">
        <v>51</v>
      </c>
      <c r="G353" s="1" t="s">
        <v>17</v>
      </c>
      <c r="H353" s="1"/>
      <c r="I353" s="1">
        <v>0</v>
      </c>
      <c r="J353" s="1" t="s">
        <v>12</v>
      </c>
      <c r="K353" s="1" t="s">
        <v>12</v>
      </c>
      <c r="L353" s="1" t="s">
        <v>7</v>
      </c>
      <c r="M353" s="25"/>
      <c r="N353" s="25" t="str">
        <f>IFERROR(VLOOKUP(Tableau3[[#This Row],[Denomination Sociale]],Tableau7[],1,0),"")</f>
        <v/>
      </c>
      <c r="O353" s="25" t="e">
        <f>VLOOKUP(Tableau3[[#This Row],[Denomination Sociale]],Tableau6[],1,0)</f>
        <v>#N/A</v>
      </c>
      <c r="P353" s="25"/>
      <c r="Q353" s="25" t="str">
        <f>VLOOKUP(Tableau3[[#This Row],[Denomination Sociale]],Tableau6[],1,1)</f>
        <v>LION RISE CEMENT CO</v>
      </c>
      <c r="R353" s="25" t="s">
        <v>966</v>
      </c>
    </row>
    <row r="354" spans="1:18" x14ac:dyDescent="0.35">
      <c r="A354" s="24" t="s">
        <v>8</v>
      </c>
      <c r="B354" s="1" t="s">
        <v>462</v>
      </c>
      <c r="C354" s="1" t="s">
        <v>463</v>
      </c>
      <c r="D354" s="3" t="s">
        <v>464</v>
      </c>
      <c r="E354" s="3">
        <v>15</v>
      </c>
      <c r="F354" s="3">
        <v>15</v>
      </c>
      <c r="G354" s="1" t="s">
        <v>17</v>
      </c>
      <c r="H354" s="1" t="s">
        <v>17</v>
      </c>
      <c r="I354" s="1" t="s">
        <v>12</v>
      </c>
      <c r="J354" s="1">
        <v>0</v>
      </c>
      <c r="K354" s="1" t="s">
        <v>12</v>
      </c>
      <c r="L354" s="1" t="s">
        <v>7</v>
      </c>
      <c r="M354" s="25"/>
      <c r="N354" s="25" t="str">
        <f>IFERROR(VLOOKUP(Tableau3[[#This Row],[Denomination Sociale]],Tableau7[],1,0),"")</f>
        <v/>
      </c>
      <c r="O354" s="25" t="str">
        <f>VLOOKUP(Tableau3[[#This Row],[Denomination Sociale]],Tableau6[],1,0)</f>
        <v>LINGO D'OR SENEGAL</v>
      </c>
      <c r="P354" s="25" t="s">
        <v>462</v>
      </c>
      <c r="Q354" s="25" t="str">
        <f>VLOOKUP(Tableau3[[#This Row],[Denomination Sociale]],Tableau6[],1,1)</f>
        <v>LINGO D'OR SENEGAL</v>
      </c>
      <c r="R354" s="25" t="s">
        <v>8</v>
      </c>
    </row>
    <row r="355" spans="1:18" x14ac:dyDescent="0.35">
      <c r="A355" s="24" t="s">
        <v>8</v>
      </c>
      <c r="B355" s="1" t="s">
        <v>462</v>
      </c>
      <c r="C355" s="1" t="s">
        <v>465</v>
      </c>
      <c r="D355" s="3" t="s">
        <v>464</v>
      </c>
      <c r="E355" s="3">
        <v>55</v>
      </c>
      <c r="F355" s="3">
        <v>55</v>
      </c>
      <c r="G355" s="1" t="s">
        <v>17</v>
      </c>
      <c r="H355" s="1" t="s">
        <v>17</v>
      </c>
      <c r="I355" s="1" t="s">
        <v>12</v>
      </c>
      <c r="J355" s="1">
        <v>0</v>
      </c>
      <c r="K355" s="1" t="s">
        <v>12</v>
      </c>
      <c r="L355" s="1" t="s">
        <v>7</v>
      </c>
      <c r="M355" s="25"/>
      <c r="N355" s="25" t="str">
        <f>IFERROR(VLOOKUP(Tableau3[[#This Row],[Denomination Sociale]],Tableau7[],1,0),"")</f>
        <v/>
      </c>
      <c r="O355" s="25" t="str">
        <f>VLOOKUP(Tableau3[[#This Row],[Denomination Sociale]],Tableau6[],1,0)</f>
        <v>LINGO D'OR SENEGAL</v>
      </c>
      <c r="P355" s="25" t="s">
        <v>462</v>
      </c>
      <c r="Q355" s="25" t="str">
        <f>VLOOKUP(Tableau3[[#This Row],[Denomination Sociale]],Tableau6[],1,1)</f>
        <v>LINGO D'OR SENEGAL</v>
      </c>
      <c r="R355" s="25" t="s">
        <v>8</v>
      </c>
    </row>
    <row r="356" spans="1:18" x14ac:dyDescent="0.35">
      <c r="A356" s="24" t="s">
        <v>8</v>
      </c>
      <c r="B356" s="1" t="s">
        <v>462</v>
      </c>
      <c r="C356" s="1" t="s">
        <v>466</v>
      </c>
      <c r="D356" s="3" t="s">
        <v>464</v>
      </c>
      <c r="E356" s="3">
        <v>30</v>
      </c>
      <c r="F356" s="3">
        <v>30</v>
      </c>
      <c r="G356" s="1" t="s">
        <v>17</v>
      </c>
      <c r="H356" s="1" t="s">
        <v>17</v>
      </c>
      <c r="I356" s="1" t="s">
        <v>12</v>
      </c>
      <c r="J356" s="1">
        <v>0</v>
      </c>
      <c r="K356" s="1" t="s">
        <v>12</v>
      </c>
      <c r="L356" s="1" t="s">
        <v>7</v>
      </c>
      <c r="M356" s="25"/>
      <c r="N356" s="25" t="str">
        <f>IFERROR(VLOOKUP(Tableau3[[#This Row],[Denomination Sociale]],Tableau7[],1,0),"")</f>
        <v/>
      </c>
      <c r="O356" s="25" t="str">
        <f>VLOOKUP(Tableau3[[#This Row],[Denomination Sociale]],Tableau6[],1,0)</f>
        <v>LINGO D'OR SENEGAL</v>
      </c>
      <c r="P356" s="25" t="s">
        <v>462</v>
      </c>
      <c r="Q356" s="25" t="str">
        <f>VLOOKUP(Tableau3[[#This Row],[Denomination Sociale]],Tableau6[],1,1)</f>
        <v>LINGO D'OR SENEGAL</v>
      </c>
      <c r="R356" s="25" t="s">
        <v>8</v>
      </c>
    </row>
    <row r="357" spans="1:18" x14ac:dyDescent="0.35">
      <c r="A357" s="24" t="s">
        <v>8</v>
      </c>
      <c r="B357" s="1" t="s">
        <v>14184</v>
      </c>
      <c r="C357" s="1" t="s">
        <v>468</v>
      </c>
      <c r="D357" s="3" t="s">
        <v>469</v>
      </c>
      <c r="E357" s="3">
        <v>5</v>
      </c>
      <c r="F357" s="3">
        <v>5</v>
      </c>
      <c r="G357" s="1" t="s">
        <v>17</v>
      </c>
      <c r="H357" s="1" t="s">
        <v>17</v>
      </c>
      <c r="I357" s="1" t="s">
        <v>12</v>
      </c>
      <c r="J357" s="1">
        <v>0</v>
      </c>
      <c r="K357" s="1" t="s">
        <v>12</v>
      </c>
      <c r="L357" s="1" t="s">
        <v>7</v>
      </c>
      <c r="M357" s="25"/>
      <c r="N357" s="25" t="str">
        <f>IFERROR(VLOOKUP(Tableau3[[#This Row],[Denomination Sociale]],Tableau7[],1,0),"")</f>
        <v/>
      </c>
      <c r="O357" s="25" t="str">
        <f>VLOOKUP(Tableau3[[#This Row],[Denomination Sociale]],Tableau6[],1,0)</f>
        <v>LOGICOM</v>
      </c>
      <c r="P357" s="25" t="s">
        <v>14184</v>
      </c>
      <c r="Q357" s="25" t="str">
        <f>VLOOKUP(Tableau3[[#This Row],[Denomination Sociale]],Tableau6[],1,1)</f>
        <v>LOGICOM</v>
      </c>
      <c r="R357" s="25" t="s">
        <v>8</v>
      </c>
    </row>
    <row r="358" spans="1:18" x14ac:dyDescent="0.35">
      <c r="A358" s="24" t="s">
        <v>8</v>
      </c>
      <c r="B358" s="1" t="s">
        <v>14184</v>
      </c>
      <c r="C358" s="1" t="s">
        <v>470</v>
      </c>
      <c r="D358" s="3" t="s">
        <v>469</v>
      </c>
      <c r="E358" s="3">
        <v>90</v>
      </c>
      <c r="F358" s="3">
        <v>90</v>
      </c>
      <c r="G358" s="1" t="s">
        <v>17</v>
      </c>
      <c r="H358" s="1" t="s">
        <v>17</v>
      </c>
      <c r="I358" s="1" t="s">
        <v>12</v>
      </c>
      <c r="J358" s="1">
        <v>0</v>
      </c>
      <c r="K358" s="1" t="s">
        <v>12</v>
      </c>
      <c r="L358" s="1" t="s">
        <v>7</v>
      </c>
      <c r="M358" s="25"/>
      <c r="N358" s="25" t="str">
        <f>IFERROR(VLOOKUP(Tableau3[[#This Row],[Denomination Sociale]],Tableau7[],1,0),"")</f>
        <v/>
      </c>
      <c r="O358" s="25" t="str">
        <f>VLOOKUP(Tableau3[[#This Row],[Denomination Sociale]],Tableau6[],1,0)</f>
        <v>LOGICOM</v>
      </c>
      <c r="P358" s="25" t="s">
        <v>14184</v>
      </c>
      <c r="Q358" s="25" t="str">
        <f>VLOOKUP(Tableau3[[#This Row],[Denomination Sociale]],Tableau6[],1,1)</f>
        <v>LOGICOM</v>
      </c>
      <c r="R358" s="25" t="s">
        <v>8</v>
      </c>
    </row>
    <row r="359" spans="1:18" x14ac:dyDescent="0.35">
      <c r="A359" s="24" t="s">
        <v>8</v>
      </c>
      <c r="B359" s="1" t="s">
        <v>14184</v>
      </c>
      <c r="C359" s="1" t="s">
        <v>471</v>
      </c>
      <c r="D359" s="3" t="s">
        <v>469</v>
      </c>
      <c r="E359" s="3">
        <v>5</v>
      </c>
      <c r="F359" s="3">
        <v>5</v>
      </c>
      <c r="G359" s="1" t="s">
        <v>17</v>
      </c>
      <c r="H359" s="1" t="s">
        <v>17</v>
      </c>
      <c r="I359" s="1" t="s">
        <v>12</v>
      </c>
      <c r="J359" s="1">
        <v>0</v>
      </c>
      <c r="K359" s="1" t="s">
        <v>12</v>
      </c>
      <c r="L359" s="1" t="s">
        <v>7</v>
      </c>
      <c r="M359" s="25"/>
      <c r="N359" s="25" t="str">
        <f>IFERROR(VLOOKUP(Tableau3[[#This Row],[Denomination Sociale]],Tableau7[],1,0),"")</f>
        <v/>
      </c>
      <c r="O359" s="25" t="str">
        <f>VLOOKUP(Tableau3[[#This Row],[Denomination Sociale]],Tableau6[],1,0)</f>
        <v>LOGICOM</v>
      </c>
      <c r="P359" s="25" t="s">
        <v>14184</v>
      </c>
      <c r="Q359" s="25" t="str">
        <f>VLOOKUP(Tableau3[[#This Row],[Denomination Sociale]],Tableau6[],1,1)</f>
        <v>LOGICOM</v>
      </c>
      <c r="R359" s="25" t="s">
        <v>8</v>
      </c>
    </row>
    <row r="360" spans="1:18" x14ac:dyDescent="0.35">
      <c r="A360" s="24" t="s">
        <v>8</v>
      </c>
      <c r="B360" s="1" t="s">
        <v>472</v>
      </c>
      <c r="C360" s="1" t="s">
        <v>473</v>
      </c>
      <c r="D360" s="3" t="s">
        <v>474</v>
      </c>
      <c r="E360" s="3">
        <v>100</v>
      </c>
      <c r="F360" s="3" t="s">
        <v>12</v>
      </c>
      <c r="G360" s="1" t="s">
        <v>17</v>
      </c>
      <c r="H360" s="1" t="s">
        <v>17</v>
      </c>
      <c r="I360" s="1" t="s">
        <v>12</v>
      </c>
      <c r="J360" s="1">
        <v>0</v>
      </c>
      <c r="K360" s="1" t="s">
        <v>12</v>
      </c>
      <c r="L360" s="1" t="s">
        <v>7</v>
      </c>
      <c r="M360" s="25"/>
      <c r="N360" s="25" t="str">
        <f>IFERROR(VLOOKUP(Tableau3[[#This Row],[Denomination Sociale]],Tableau7[],1,0),"")</f>
        <v/>
      </c>
      <c r="O360" s="25" t="e">
        <f>VLOOKUP(Tableau3[[#This Row],[Denomination Sociale]],Tableau6[],1,0)</f>
        <v>#N/A</v>
      </c>
      <c r="P360" s="25"/>
      <c r="Q360" s="25" t="str">
        <f>VLOOKUP(Tableau3[[#This Row],[Denomination Sociale]],Tableau6[],1,1)</f>
        <v>LYONS FIELD</v>
      </c>
      <c r="R360" s="25" t="s">
        <v>8</v>
      </c>
    </row>
    <row r="361" spans="1:18" x14ac:dyDescent="0.35">
      <c r="A361" s="24" t="s">
        <v>8</v>
      </c>
      <c r="B361" s="1" t="s">
        <v>475</v>
      </c>
      <c r="C361" s="1" t="s">
        <v>476</v>
      </c>
      <c r="D361" s="3" t="s">
        <v>477</v>
      </c>
      <c r="E361" s="3">
        <v>100</v>
      </c>
      <c r="F361" s="3">
        <v>100</v>
      </c>
      <c r="G361" s="1" t="s">
        <v>17</v>
      </c>
      <c r="H361" s="1" t="s">
        <v>17</v>
      </c>
      <c r="I361" s="1" t="s">
        <v>12</v>
      </c>
      <c r="J361" s="1">
        <v>0</v>
      </c>
      <c r="K361" s="1" t="s">
        <v>12</v>
      </c>
      <c r="L361" s="1" t="s">
        <v>7</v>
      </c>
      <c r="M361" s="25"/>
      <c r="N361" s="25" t="str">
        <f>IFERROR(VLOOKUP(Tableau3[[#This Row],[Denomination Sociale]],Tableau7[],1,0),"")</f>
        <v/>
      </c>
      <c r="O361" s="25" t="str">
        <f>VLOOKUP(Tableau3[[#This Row],[Denomination Sociale]],Tableau6[],1,0)</f>
        <v>MADISSIMO</v>
      </c>
      <c r="P361" s="25" t="s">
        <v>475</v>
      </c>
      <c r="Q361" s="25" t="str">
        <f>VLOOKUP(Tableau3[[#This Row],[Denomination Sociale]],Tableau6[],1,1)</f>
        <v>MADISSIMO</v>
      </c>
      <c r="R361" s="25" t="s">
        <v>8</v>
      </c>
    </row>
    <row r="362" spans="1:18" x14ac:dyDescent="0.35">
      <c r="A362" s="24" t="s">
        <v>8</v>
      </c>
      <c r="B362" s="1" t="s">
        <v>478</v>
      </c>
      <c r="C362" s="1" t="s">
        <v>479</v>
      </c>
      <c r="D362" s="3" t="s">
        <v>480</v>
      </c>
      <c r="E362" s="3" t="s">
        <v>12</v>
      </c>
      <c r="F362" s="3" t="s">
        <v>12</v>
      </c>
      <c r="G362" s="1" t="s">
        <v>17</v>
      </c>
      <c r="H362" s="1" t="s">
        <v>17</v>
      </c>
      <c r="I362" s="1" t="s">
        <v>12</v>
      </c>
      <c r="J362" s="1">
        <v>0</v>
      </c>
      <c r="K362" s="1" t="s">
        <v>12</v>
      </c>
      <c r="L362" s="1" t="s">
        <v>7</v>
      </c>
      <c r="M362" s="25"/>
      <c r="N362" s="25" t="str">
        <f>IFERROR(VLOOKUP(Tableau3[[#This Row],[Denomination Sociale]],Tableau7[],1,0),"")</f>
        <v/>
      </c>
      <c r="O362" s="25" t="e">
        <f>VLOOKUP(Tableau3[[#This Row],[Denomination Sociale]],Tableau6[],1,0)</f>
        <v>#N/A</v>
      </c>
      <c r="P362" s="25"/>
      <c r="Q362" s="25" t="str">
        <f>VLOOKUP(Tableau3[[#This Row],[Denomination Sociale]],Tableau6[],1,1)</f>
        <v>MAISON INTERNATIONALE DU COMMERCE (MIC)</v>
      </c>
      <c r="R362" s="25" t="s">
        <v>8</v>
      </c>
    </row>
    <row r="363" spans="1:18" x14ac:dyDescent="0.35">
      <c r="A363" s="24" t="s">
        <v>8</v>
      </c>
      <c r="B363" s="1" t="s">
        <v>481</v>
      </c>
      <c r="C363" s="1" t="s">
        <v>481</v>
      </c>
      <c r="D363" s="3" t="s">
        <v>482</v>
      </c>
      <c r="E363" s="3" t="s">
        <v>12</v>
      </c>
      <c r="F363" s="3" t="s">
        <v>12</v>
      </c>
      <c r="G363" s="1" t="s">
        <v>17</v>
      </c>
      <c r="H363" s="1" t="s">
        <v>17</v>
      </c>
      <c r="I363" s="1" t="s">
        <v>12</v>
      </c>
      <c r="J363" s="1">
        <v>0</v>
      </c>
      <c r="K363" s="1" t="s">
        <v>12</v>
      </c>
      <c r="L363" s="1" t="s">
        <v>7</v>
      </c>
      <c r="M363" s="25"/>
      <c r="N363" s="25" t="str">
        <f>IFERROR(VLOOKUP(Tableau3[[#This Row],[Denomination Sociale]],Tableau7[],1,0),"")</f>
        <v/>
      </c>
      <c r="O363" s="25" t="e">
        <f>VLOOKUP(Tableau3[[#This Row],[Denomination Sociale]],Tableau6[],1,0)</f>
        <v>#N/A</v>
      </c>
      <c r="P363" s="25"/>
      <c r="Q363" s="25" t="str">
        <f>VLOOKUP(Tableau3[[#This Row],[Denomination Sociale]],Tableau6[],1,1)</f>
        <v>MAMADOU DIA</v>
      </c>
      <c r="R363" s="25" t="s">
        <v>8</v>
      </c>
    </row>
    <row r="364" spans="1:18" x14ac:dyDescent="0.35">
      <c r="A364" s="24" t="s">
        <v>8</v>
      </c>
      <c r="B364" s="1" t="s">
        <v>483</v>
      </c>
      <c r="C364" s="1" t="s">
        <v>484</v>
      </c>
      <c r="D364" s="3" t="s">
        <v>485</v>
      </c>
      <c r="E364" s="3">
        <v>5</v>
      </c>
      <c r="F364" s="3">
        <v>5</v>
      </c>
      <c r="G364" s="1" t="s">
        <v>486</v>
      </c>
      <c r="H364" s="1" t="s">
        <v>486</v>
      </c>
      <c r="I364" s="1" t="s">
        <v>12</v>
      </c>
      <c r="J364" s="1">
        <v>0</v>
      </c>
      <c r="K364" s="1" t="s">
        <v>12</v>
      </c>
      <c r="L364" s="1" t="s">
        <v>7</v>
      </c>
      <c r="M364" s="25"/>
      <c r="N364" s="25" t="str">
        <f>IFERROR(VLOOKUP(Tableau3[[#This Row],[Denomination Sociale]],Tableau7[],1,0),"")</f>
        <v/>
      </c>
      <c r="O364" s="25" t="str">
        <f>VLOOKUP(Tableau3[[#This Row],[Denomination Sociale]],Tableau6[],1,0)</f>
        <v>MANDINGA RESOURCES</v>
      </c>
      <c r="P364" s="25" t="s">
        <v>483</v>
      </c>
      <c r="Q364" s="25" t="str">
        <f>VLOOKUP(Tableau3[[#This Row],[Denomination Sociale]],Tableau6[],1,1)</f>
        <v>MANDINGA RESOURCES</v>
      </c>
      <c r="R364" s="25" t="s">
        <v>8</v>
      </c>
    </row>
    <row r="365" spans="1:18" x14ac:dyDescent="0.35">
      <c r="A365" s="24" t="s">
        <v>8</v>
      </c>
      <c r="B365" s="1" t="s">
        <v>483</v>
      </c>
      <c r="C365" s="1" t="s">
        <v>487</v>
      </c>
      <c r="D365" s="3" t="s">
        <v>485</v>
      </c>
      <c r="E365" s="3">
        <v>5</v>
      </c>
      <c r="F365" s="3">
        <v>5</v>
      </c>
      <c r="G365" s="1" t="s">
        <v>409</v>
      </c>
      <c r="H365" s="1" t="s">
        <v>409</v>
      </c>
      <c r="I365" s="1" t="s">
        <v>12</v>
      </c>
      <c r="J365" s="1">
        <v>0</v>
      </c>
      <c r="K365" s="1" t="s">
        <v>12</v>
      </c>
      <c r="L365" s="1" t="s">
        <v>7</v>
      </c>
      <c r="M365" s="25"/>
      <c r="N365" s="25" t="str">
        <f>IFERROR(VLOOKUP(Tableau3[[#This Row],[Denomination Sociale]],Tableau7[],1,0),"")</f>
        <v/>
      </c>
      <c r="O365" s="25" t="str">
        <f>VLOOKUP(Tableau3[[#This Row],[Denomination Sociale]],Tableau6[],1,0)</f>
        <v>MANDINGA RESOURCES</v>
      </c>
      <c r="P365" s="25" t="s">
        <v>483</v>
      </c>
      <c r="Q365" s="25" t="str">
        <f>VLOOKUP(Tableau3[[#This Row],[Denomination Sociale]],Tableau6[],1,1)</f>
        <v>MANDINGA RESOURCES</v>
      </c>
      <c r="R365" s="25" t="s">
        <v>8</v>
      </c>
    </row>
    <row r="366" spans="1:18" x14ac:dyDescent="0.35">
      <c r="A366" s="24" t="s">
        <v>8</v>
      </c>
      <c r="B366" s="1" t="s">
        <v>483</v>
      </c>
      <c r="C366" s="1" t="s">
        <v>488</v>
      </c>
      <c r="D366" s="3" t="s">
        <v>485</v>
      </c>
      <c r="E366" s="3">
        <v>5</v>
      </c>
      <c r="F366" s="3">
        <v>5</v>
      </c>
      <c r="G366" s="1" t="s">
        <v>274</v>
      </c>
      <c r="H366" s="1" t="s">
        <v>274</v>
      </c>
      <c r="I366" s="1" t="s">
        <v>12</v>
      </c>
      <c r="J366" s="1">
        <v>0</v>
      </c>
      <c r="K366" s="1" t="s">
        <v>12</v>
      </c>
      <c r="L366" s="1" t="s">
        <v>7</v>
      </c>
      <c r="M366" s="25"/>
      <c r="N366" s="25" t="str">
        <f>IFERROR(VLOOKUP(Tableau3[[#This Row],[Denomination Sociale]],Tableau7[],1,0),"")</f>
        <v/>
      </c>
      <c r="O366" s="25" t="str">
        <f>VLOOKUP(Tableau3[[#This Row],[Denomination Sociale]],Tableau6[],1,0)</f>
        <v>MANDINGA RESOURCES</v>
      </c>
      <c r="P366" s="25" t="s">
        <v>483</v>
      </c>
      <c r="Q366" s="25" t="str">
        <f>VLOOKUP(Tableau3[[#This Row],[Denomination Sociale]],Tableau6[],1,1)</f>
        <v>MANDINGA RESOURCES</v>
      </c>
      <c r="R366" s="25" t="s">
        <v>8</v>
      </c>
    </row>
    <row r="367" spans="1:18" x14ac:dyDescent="0.35">
      <c r="A367" s="24" t="s">
        <v>8</v>
      </c>
      <c r="B367" s="1" t="s">
        <v>483</v>
      </c>
      <c r="C367" s="1" t="s">
        <v>489</v>
      </c>
      <c r="D367" s="3" t="s">
        <v>485</v>
      </c>
      <c r="E367" s="3">
        <v>5</v>
      </c>
      <c r="F367" s="3">
        <v>5</v>
      </c>
      <c r="G367" s="1" t="s">
        <v>17</v>
      </c>
      <c r="H367" s="1" t="s">
        <v>17</v>
      </c>
      <c r="I367" s="1" t="s">
        <v>12</v>
      </c>
      <c r="J367" s="1">
        <v>0</v>
      </c>
      <c r="K367" s="1" t="s">
        <v>12</v>
      </c>
      <c r="L367" s="1" t="s">
        <v>7</v>
      </c>
      <c r="M367" s="25"/>
      <c r="N367" s="25" t="str">
        <f>IFERROR(VLOOKUP(Tableau3[[#This Row],[Denomination Sociale]],Tableau7[],1,0),"")</f>
        <v/>
      </c>
      <c r="O367" s="25" t="str">
        <f>VLOOKUP(Tableau3[[#This Row],[Denomination Sociale]],Tableau6[],1,0)</f>
        <v>MANDINGA RESOURCES</v>
      </c>
      <c r="P367" s="25" t="s">
        <v>483</v>
      </c>
      <c r="Q367" s="25" t="str">
        <f>VLOOKUP(Tableau3[[#This Row],[Denomination Sociale]],Tableau6[],1,1)</f>
        <v>MANDINGA RESOURCES</v>
      </c>
      <c r="R367" s="25" t="s">
        <v>8</v>
      </c>
    </row>
    <row r="368" spans="1:18" x14ac:dyDescent="0.35">
      <c r="A368" s="24" t="s">
        <v>8</v>
      </c>
      <c r="B368" s="1" t="s">
        <v>483</v>
      </c>
      <c r="C368" s="1" t="s">
        <v>490</v>
      </c>
      <c r="D368" s="3" t="s">
        <v>485</v>
      </c>
      <c r="E368" s="3">
        <v>5</v>
      </c>
      <c r="F368" s="3">
        <v>5</v>
      </c>
      <c r="G368" s="1" t="s">
        <v>17</v>
      </c>
      <c r="H368" s="1" t="s">
        <v>17</v>
      </c>
      <c r="I368" s="1" t="s">
        <v>12</v>
      </c>
      <c r="J368" s="1">
        <v>0</v>
      </c>
      <c r="K368" s="1" t="s">
        <v>12</v>
      </c>
      <c r="L368" s="1" t="s">
        <v>7</v>
      </c>
      <c r="M368" s="25"/>
      <c r="N368" s="25" t="str">
        <f>IFERROR(VLOOKUP(Tableau3[[#This Row],[Denomination Sociale]],Tableau7[],1,0),"")</f>
        <v/>
      </c>
      <c r="O368" s="25" t="str">
        <f>VLOOKUP(Tableau3[[#This Row],[Denomination Sociale]],Tableau6[],1,0)</f>
        <v>MANDINGA RESOURCES</v>
      </c>
      <c r="P368" s="25" t="s">
        <v>483</v>
      </c>
      <c r="Q368" s="25" t="str">
        <f>VLOOKUP(Tableau3[[#This Row],[Denomination Sociale]],Tableau6[],1,1)</f>
        <v>MANDINGA RESOURCES</v>
      </c>
      <c r="R368" s="25" t="s">
        <v>8</v>
      </c>
    </row>
    <row r="369" spans="1:18" x14ac:dyDescent="0.35">
      <c r="A369" s="24" t="s">
        <v>8</v>
      </c>
      <c r="B369" s="1" t="s">
        <v>483</v>
      </c>
      <c r="C369" s="1" t="s">
        <v>491</v>
      </c>
      <c r="D369" s="3" t="s">
        <v>485</v>
      </c>
      <c r="E369" s="3">
        <v>70</v>
      </c>
      <c r="F369" s="3">
        <v>70</v>
      </c>
      <c r="G369" s="1" t="s">
        <v>409</v>
      </c>
      <c r="H369" s="1" t="s">
        <v>409</v>
      </c>
      <c r="I369" s="1" t="s">
        <v>12</v>
      </c>
      <c r="J369" s="1">
        <v>0</v>
      </c>
      <c r="K369" s="1" t="s">
        <v>12</v>
      </c>
      <c r="L369" s="1" t="s">
        <v>7</v>
      </c>
      <c r="M369" s="25"/>
      <c r="N369" s="25" t="str">
        <f>IFERROR(VLOOKUP(Tableau3[[#This Row],[Denomination Sociale]],Tableau7[],1,0),"")</f>
        <v/>
      </c>
      <c r="O369" s="25" t="str">
        <f>VLOOKUP(Tableau3[[#This Row],[Denomination Sociale]],Tableau6[],1,0)</f>
        <v>MANDINGA RESOURCES</v>
      </c>
      <c r="P369" s="25" t="s">
        <v>483</v>
      </c>
      <c r="Q369" s="25" t="str">
        <f>VLOOKUP(Tableau3[[#This Row],[Denomination Sociale]],Tableau6[],1,1)</f>
        <v>MANDINGA RESOURCES</v>
      </c>
      <c r="R369" s="25" t="s">
        <v>8</v>
      </c>
    </row>
    <row r="370" spans="1:18" x14ac:dyDescent="0.35">
      <c r="A370" s="24" t="s">
        <v>8</v>
      </c>
      <c r="B370" s="1" t="s">
        <v>483</v>
      </c>
      <c r="C370" s="1" t="s">
        <v>492</v>
      </c>
      <c r="D370" s="3" t="s">
        <v>485</v>
      </c>
      <c r="E370" s="3">
        <v>5</v>
      </c>
      <c r="F370" s="3">
        <v>5</v>
      </c>
      <c r="G370" s="1" t="s">
        <v>81</v>
      </c>
      <c r="H370" s="1" t="s">
        <v>81</v>
      </c>
      <c r="I370" s="1" t="s">
        <v>12</v>
      </c>
      <c r="J370" s="1">
        <v>0</v>
      </c>
      <c r="K370" s="1" t="s">
        <v>12</v>
      </c>
      <c r="L370" s="1" t="s">
        <v>7</v>
      </c>
      <c r="M370" s="25"/>
      <c r="N370" s="25" t="str">
        <f>IFERROR(VLOOKUP(Tableau3[[#This Row],[Denomination Sociale]],Tableau7[],1,0),"")</f>
        <v/>
      </c>
      <c r="O370" s="25" t="str">
        <f>VLOOKUP(Tableau3[[#This Row],[Denomination Sociale]],Tableau6[],1,0)</f>
        <v>MANDINGA RESOURCES</v>
      </c>
      <c r="P370" s="25" t="s">
        <v>483</v>
      </c>
      <c r="Q370" s="25" t="str">
        <f>VLOOKUP(Tableau3[[#This Row],[Denomination Sociale]],Tableau6[],1,1)</f>
        <v>MANDINGA RESOURCES</v>
      </c>
      <c r="R370" s="25" t="s">
        <v>8</v>
      </c>
    </row>
    <row r="371" spans="1:18" x14ac:dyDescent="0.35">
      <c r="A371" s="24" t="s">
        <v>8</v>
      </c>
      <c r="B371" s="1" t="s">
        <v>493</v>
      </c>
      <c r="C371" s="1" t="s">
        <v>396</v>
      </c>
      <c r="D371" s="3" t="s">
        <v>494</v>
      </c>
      <c r="E371" s="3">
        <v>100</v>
      </c>
      <c r="F371" s="3">
        <v>100</v>
      </c>
      <c r="G371" s="1" t="s">
        <v>17</v>
      </c>
      <c r="H371" s="1" t="s">
        <v>17</v>
      </c>
      <c r="I371" s="1" t="s">
        <v>12</v>
      </c>
      <c r="J371" s="1">
        <v>0</v>
      </c>
      <c r="K371" s="1" t="s">
        <v>12</v>
      </c>
      <c r="L371" s="1" t="s">
        <v>7</v>
      </c>
      <c r="M371" s="25"/>
      <c r="N371" s="25" t="str">
        <f>IFERROR(VLOOKUP(Tableau3[[#This Row],[Denomination Sociale]],Tableau7[],1,0),"")</f>
        <v/>
      </c>
      <c r="O371" s="25" t="str">
        <f>VLOOKUP(Tableau3[[#This Row],[Denomination Sociale]],Tableau6[],1,0)</f>
        <v>MANSA GOLD CORPORATION</v>
      </c>
      <c r="P371" s="25" t="s">
        <v>493</v>
      </c>
      <c r="Q371" s="25" t="str">
        <f>VLOOKUP(Tableau3[[#This Row],[Denomination Sociale]],Tableau6[],1,1)</f>
        <v>MANSA GOLD CORPORATION</v>
      </c>
      <c r="R371" s="25" t="s">
        <v>8</v>
      </c>
    </row>
    <row r="372" spans="1:18" x14ac:dyDescent="0.35">
      <c r="A372" s="24" t="s">
        <v>8</v>
      </c>
      <c r="B372" s="1" t="s">
        <v>495</v>
      </c>
      <c r="C372" s="1" t="s">
        <v>496</v>
      </c>
      <c r="D372" s="3" t="s">
        <v>497</v>
      </c>
      <c r="E372" s="3" t="s">
        <v>12</v>
      </c>
      <c r="F372" s="3" t="s">
        <v>12</v>
      </c>
      <c r="G372" s="1" t="s">
        <v>139</v>
      </c>
      <c r="H372" s="1" t="s">
        <v>139</v>
      </c>
      <c r="I372" s="1" t="s">
        <v>12</v>
      </c>
      <c r="J372" s="1">
        <v>0</v>
      </c>
      <c r="K372" s="1" t="s">
        <v>12</v>
      </c>
      <c r="L372" s="1" t="s">
        <v>7</v>
      </c>
      <c r="M372" s="25"/>
      <c r="N372" s="25" t="str">
        <f>IFERROR(VLOOKUP(Tableau3[[#This Row],[Denomination Sociale]],Tableau7[],1,0),"")</f>
        <v/>
      </c>
      <c r="O372" s="25" t="str">
        <f>VLOOKUP(Tableau3[[#This Row],[Denomination Sociale]],Tableau6[],1,0)</f>
        <v>MASSAWA</v>
      </c>
      <c r="P372" s="25" t="s">
        <v>495</v>
      </c>
      <c r="Q372" s="25" t="str">
        <f>VLOOKUP(Tableau3[[#This Row],[Denomination Sociale]],Tableau6[],1,1)</f>
        <v>MASSAWA</v>
      </c>
      <c r="R372" s="25" t="s">
        <v>8</v>
      </c>
    </row>
    <row r="373" spans="1:18" x14ac:dyDescent="0.35">
      <c r="A373" s="24" t="s">
        <v>8</v>
      </c>
      <c r="B373" s="1" t="s">
        <v>495</v>
      </c>
      <c r="C373" s="1" t="s">
        <v>498</v>
      </c>
      <c r="D373" s="3" t="s">
        <v>497</v>
      </c>
      <c r="E373" s="3" t="s">
        <v>12</v>
      </c>
      <c r="F373" s="3" t="s">
        <v>12</v>
      </c>
      <c r="G373" s="1" t="s">
        <v>499</v>
      </c>
      <c r="H373" s="1" t="s">
        <v>499</v>
      </c>
      <c r="I373" s="1" t="s">
        <v>500</v>
      </c>
      <c r="J373" s="1">
        <v>1</v>
      </c>
      <c r="K373" s="1" t="s">
        <v>501</v>
      </c>
      <c r="L373" s="1" t="s">
        <v>7</v>
      </c>
      <c r="M373" s="25"/>
      <c r="N373" s="25" t="str">
        <f>IFERROR(VLOOKUP(Tableau3[[#This Row],[Denomination Sociale]],Tableau7[],1,0),"")</f>
        <v/>
      </c>
      <c r="O373" s="25" t="str">
        <f>VLOOKUP(Tableau3[[#This Row],[Denomination Sociale]],Tableau6[],1,0)</f>
        <v>MASSAWA</v>
      </c>
      <c r="P373" s="25" t="s">
        <v>495</v>
      </c>
      <c r="Q373" s="25" t="str">
        <f>VLOOKUP(Tableau3[[#This Row],[Denomination Sociale]],Tableau6[],1,1)</f>
        <v>MASSAWA</v>
      </c>
      <c r="R373" s="25" t="s">
        <v>8</v>
      </c>
    </row>
    <row r="374" spans="1:18" x14ac:dyDescent="0.35">
      <c r="A374" s="24" t="s">
        <v>8</v>
      </c>
      <c r="B374" s="1" t="s">
        <v>495</v>
      </c>
      <c r="C374" s="1" t="s">
        <v>498</v>
      </c>
      <c r="D374" s="3" t="s">
        <v>497</v>
      </c>
      <c r="E374" s="3" t="s">
        <v>12</v>
      </c>
      <c r="F374" s="3" t="s">
        <v>12</v>
      </c>
      <c r="G374" s="1" t="s">
        <v>499</v>
      </c>
      <c r="H374" s="1" t="s">
        <v>499</v>
      </c>
      <c r="I374" s="1" t="s">
        <v>499</v>
      </c>
      <c r="J374" s="1">
        <v>1</v>
      </c>
      <c r="K374" s="1" t="s">
        <v>501</v>
      </c>
      <c r="L374" s="1" t="s">
        <v>7</v>
      </c>
      <c r="M374" s="25"/>
      <c r="N374" s="25" t="str">
        <f>IFERROR(VLOOKUP(Tableau3[[#This Row],[Denomination Sociale]],Tableau7[],1,0),"")</f>
        <v/>
      </c>
      <c r="O374" s="25" t="str">
        <f>VLOOKUP(Tableau3[[#This Row],[Denomination Sociale]],Tableau6[],1,0)</f>
        <v>MASSAWA</v>
      </c>
      <c r="P374" s="25" t="s">
        <v>495</v>
      </c>
      <c r="Q374" s="25" t="str">
        <f>VLOOKUP(Tableau3[[#This Row],[Denomination Sociale]],Tableau6[],1,1)</f>
        <v>MASSAWA</v>
      </c>
      <c r="R374" s="25" t="s">
        <v>8</v>
      </c>
    </row>
    <row r="375" spans="1:18" x14ac:dyDescent="0.35">
      <c r="A375" s="24" t="s">
        <v>8</v>
      </c>
      <c r="B375" s="1" t="s">
        <v>502</v>
      </c>
      <c r="C375" s="1" t="s">
        <v>208</v>
      </c>
      <c r="D375" s="3" t="s">
        <v>503</v>
      </c>
      <c r="E375" s="3">
        <v>40</v>
      </c>
      <c r="F375" s="3">
        <v>40</v>
      </c>
      <c r="G375" s="1" t="s">
        <v>17</v>
      </c>
      <c r="H375" s="1" t="s">
        <v>17</v>
      </c>
      <c r="I375" s="1" t="s">
        <v>12</v>
      </c>
      <c r="J375" s="1">
        <v>0</v>
      </c>
      <c r="K375" s="1" t="s">
        <v>12</v>
      </c>
      <c r="L375" s="1" t="s">
        <v>7</v>
      </c>
      <c r="M375" s="25"/>
      <c r="N375" s="25" t="str">
        <f>IFERROR(VLOOKUP(Tableau3[[#This Row],[Denomination Sociale]],Tableau7[],1,0),"")</f>
        <v/>
      </c>
      <c r="O375" s="25" t="e">
        <f>VLOOKUP(Tableau3[[#This Row],[Denomination Sociale]],Tableau6[],1,0)</f>
        <v>#N/A</v>
      </c>
      <c r="P375" s="25"/>
      <c r="Q375" s="25" t="str">
        <f>VLOOKUP(Tableau3[[#This Row],[Denomination Sociale]],Tableau6[],1,1)</f>
        <v>MAXAJARA INVEST</v>
      </c>
      <c r="R375" s="25" t="s">
        <v>8</v>
      </c>
    </row>
    <row r="376" spans="1:18" x14ac:dyDescent="0.35">
      <c r="A376" s="24" t="s">
        <v>8</v>
      </c>
      <c r="B376" s="1" t="s">
        <v>502</v>
      </c>
      <c r="C376" s="1" t="s">
        <v>504</v>
      </c>
      <c r="D376" s="3" t="s">
        <v>503</v>
      </c>
      <c r="E376" s="3">
        <v>30</v>
      </c>
      <c r="F376" s="3">
        <v>30</v>
      </c>
      <c r="G376" s="1" t="s">
        <v>17</v>
      </c>
      <c r="H376" s="1" t="s">
        <v>17</v>
      </c>
      <c r="I376" s="1" t="s">
        <v>12</v>
      </c>
      <c r="J376" s="1">
        <v>0</v>
      </c>
      <c r="K376" s="1" t="s">
        <v>12</v>
      </c>
      <c r="L376" s="1" t="s">
        <v>7</v>
      </c>
      <c r="M376" s="25"/>
      <c r="N376" s="25" t="str">
        <f>IFERROR(VLOOKUP(Tableau3[[#This Row],[Denomination Sociale]],Tableau7[],1,0),"")</f>
        <v/>
      </c>
      <c r="O376" s="25" t="e">
        <f>VLOOKUP(Tableau3[[#This Row],[Denomination Sociale]],Tableau6[],1,0)</f>
        <v>#N/A</v>
      </c>
      <c r="P376" s="25"/>
      <c r="Q376" s="25" t="str">
        <f>VLOOKUP(Tableau3[[#This Row],[Denomination Sociale]],Tableau6[],1,1)</f>
        <v>MAXAJARA INVEST</v>
      </c>
      <c r="R376" s="25" t="s">
        <v>8</v>
      </c>
    </row>
    <row r="377" spans="1:18" x14ac:dyDescent="0.35">
      <c r="A377" s="24" t="s">
        <v>8</v>
      </c>
      <c r="B377" s="1" t="s">
        <v>502</v>
      </c>
      <c r="C377" s="1" t="s">
        <v>505</v>
      </c>
      <c r="D377" s="3" t="s">
        <v>503</v>
      </c>
      <c r="E377" s="3">
        <v>30</v>
      </c>
      <c r="F377" s="3">
        <v>30</v>
      </c>
      <c r="G377" s="1" t="s">
        <v>17</v>
      </c>
      <c r="H377" s="1" t="s">
        <v>17</v>
      </c>
      <c r="I377" s="1" t="s">
        <v>12</v>
      </c>
      <c r="J377" s="1">
        <v>0</v>
      </c>
      <c r="K377" s="1" t="s">
        <v>12</v>
      </c>
      <c r="L377" s="1" t="s">
        <v>7</v>
      </c>
      <c r="M377" s="25"/>
      <c r="N377" s="25" t="str">
        <f>IFERROR(VLOOKUP(Tableau3[[#This Row],[Denomination Sociale]],Tableau7[],1,0),"")</f>
        <v/>
      </c>
      <c r="O377" s="25" t="e">
        <f>VLOOKUP(Tableau3[[#This Row],[Denomination Sociale]],Tableau6[],1,0)</f>
        <v>#N/A</v>
      </c>
      <c r="P377" s="25"/>
      <c r="Q377" s="25" t="str">
        <f>VLOOKUP(Tableau3[[#This Row],[Denomination Sociale]],Tableau6[],1,1)</f>
        <v>MAXAJARA INVEST</v>
      </c>
      <c r="R377" s="25" t="s">
        <v>8</v>
      </c>
    </row>
    <row r="378" spans="1:18" x14ac:dyDescent="0.35">
      <c r="A378" s="24" t="s">
        <v>8</v>
      </c>
      <c r="B378" s="1" t="s">
        <v>15426</v>
      </c>
      <c r="C378" s="1" t="s">
        <v>255</v>
      </c>
      <c r="D378" s="3" t="s">
        <v>507</v>
      </c>
      <c r="E378" s="3">
        <v>50</v>
      </c>
      <c r="F378" s="3">
        <v>50</v>
      </c>
      <c r="G378" s="1" t="s">
        <v>17</v>
      </c>
      <c r="H378" s="1" t="s">
        <v>17</v>
      </c>
      <c r="I378" s="1" t="s">
        <v>12</v>
      </c>
      <c r="J378" s="1">
        <v>0</v>
      </c>
      <c r="K378" s="1" t="s">
        <v>12</v>
      </c>
      <c r="L378" s="1" t="s">
        <v>7</v>
      </c>
      <c r="M378" s="25"/>
      <c r="N378" s="25" t="str">
        <f>IFERROR(VLOOKUP(Tableau3[[#This Row],[Denomination Sociale]],Tableau7[],1,0),"")</f>
        <v/>
      </c>
      <c r="O378" s="25" t="str">
        <f>VLOOKUP(Tableau3[[#This Row],[Denomination Sociale]],Tableau6[],1,0)</f>
        <v>MC TRANSPORT AND TRADING</v>
      </c>
      <c r="P378" s="25" t="s">
        <v>15426</v>
      </c>
      <c r="Q378" s="25" t="str">
        <f>VLOOKUP(Tableau3[[#This Row],[Denomination Sociale]],Tableau6[],1,1)</f>
        <v>MC TRANSPORT AND TRADING</v>
      </c>
      <c r="R378" s="25" t="s">
        <v>8</v>
      </c>
    </row>
    <row r="379" spans="1:18" x14ac:dyDescent="0.35">
      <c r="A379" s="24" t="s">
        <v>8</v>
      </c>
      <c r="B379" s="1" t="s">
        <v>15426</v>
      </c>
      <c r="C379" s="1" t="s">
        <v>193</v>
      </c>
      <c r="D379" s="3" t="s">
        <v>507</v>
      </c>
      <c r="E379" s="3">
        <v>50</v>
      </c>
      <c r="F379" s="3">
        <v>50</v>
      </c>
      <c r="G379" s="1" t="s">
        <v>17</v>
      </c>
      <c r="H379" s="1" t="s">
        <v>17</v>
      </c>
      <c r="I379" s="1" t="s">
        <v>12</v>
      </c>
      <c r="J379" s="1">
        <v>0</v>
      </c>
      <c r="K379" s="1" t="s">
        <v>12</v>
      </c>
      <c r="L379" s="1" t="s">
        <v>7</v>
      </c>
      <c r="M379" s="25"/>
      <c r="N379" s="25" t="str">
        <f>IFERROR(VLOOKUP(Tableau3[[#This Row],[Denomination Sociale]],Tableau7[],1,0),"")</f>
        <v/>
      </c>
      <c r="O379" s="25" t="str">
        <f>VLOOKUP(Tableau3[[#This Row],[Denomination Sociale]],Tableau6[],1,0)</f>
        <v>MC TRANSPORT AND TRADING</v>
      </c>
      <c r="P379" s="25" t="s">
        <v>15426</v>
      </c>
      <c r="Q379" s="25" t="str">
        <f>VLOOKUP(Tableau3[[#This Row],[Denomination Sociale]],Tableau6[],1,1)</f>
        <v>MC TRANSPORT AND TRADING</v>
      </c>
      <c r="R379" s="25" t="s">
        <v>8</v>
      </c>
    </row>
    <row r="380" spans="1:18" x14ac:dyDescent="0.35">
      <c r="A380" s="24" t="s">
        <v>8</v>
      </c>
      <c r="B380" s="1" t="s">
        <v>15428</v>
      </c>
      <c r="C380" s="1" t="s">
        <v>509</v>
      </c>
      <c r="D380" s="3" t="s">
        <v>510</v>
      </c>
      <c r="E380" s="3">
        <v>10</v>
      </c>
      <c r="F380" s="3">
        <v>10</v>
      </c>
      <c r="G380" s="1" t="s">
        <v>17</v>
      </c>
      <c r="H380" s="1" t="s">
        <v>17</v>
      </c>
      <c r="I380" s="1" t="s">
        <v>12</v>
      </c>
      <c r="J380" s="1">
        <v>0</v>
      </c>
      <c r="K380" s="1" t="s">
        <v>12</v>
      </c>
      <c r="L380" s="1" t="s">
        <v>7</v>
      </c>
      <c r="M380" s="25"/>
      <c r="N380" s="25" t="str">
        <f>IFERROR(VLOOKUP(Tableau3[[#This Row],[Denomination Sociale]],Tableau7[],1,0),"")</f>
        <v/>
      </c>
      <c r="O380" s="25" t="str">
        <f>VLOOKUP(Tableau3[[#This Row],[Denomination Sociale]],Tableau6[],1,0)</f>
        <v>MEDY INDUSTRIES MODERNES</v>
      </c>
      <c r="P380" s="25" t="s">
        <v>15428</v>
      </c>
      <c r="Q380" s="25" t="str">
        <f>VLOOKUP(Tableau3[[#This Row],[Denomination Sociale]],Tableau6[],1,1)</f>
        <v>MEDY INDUSTRIES MODERNES</v>
      </c>
      <c r="R380" s="25" t="s">
        <v>8</v>
      </c>
    </row>
    <row r="381" spans="1:18" x14ac:dyDescent="0.35">
      <c r="A381" s="24" t="s">
        <v>8</v>
      </c>
      <c r="B381" s="1" t="s">
        <v>15428</v>
      </c>
      <c r="C381" s="1" t="s">
        <v>511</v>
      </c>
      <c r="D381" s="3" t="s">
        <v>510</v>
      </c>
      <c r="E381" s="3">
        <v>65</v>
      </c>
      <c r="F381" s="3">
        <v>65</v>
      </c>
      <c r="G381" s="1" t="s">
        <v>17</v>
      </c>
      <c r="H381" s="1" t="s">
        <v>17</v>
      </c>
      <c r="I381" s="1" t="s">
        <v>12</v>
      </c>
      <c r="J381" s="1">
        <v>0</v>
      </c>
      <c r="K381" s="1" t="s">
        <v>12</v>
      </c>
      <c r="L381" s="1" t="s">
        <v>7</v>
      </c>
      <c r="M381" s="25"/>
      <c r="N381" s="25" t="str">
        <f>IFERROR(VLOOKUP(Tableau3[[#This Row],[Denomination Sociale]],Tableau7[],1,0),"")</f>
        <v/>
      </c>
      <c r="O381" s="25" t="str">
        <f>VLOOKUP(Tableau3[[#This Row],[Denomination Sociale]],Tableau6[],1,0)</f>
        <v>MEDY INDUSTRIES MODERNES</v>
      </c>
      <c r="P381" s="25" t="s">
        <v>15428</v>
      </c>
      <c r="Q381" s="25" t="str">
        <f>VLOOKUP(Tableau3[[#This Row],[Denomination Sociale]],Tableau6[],1,1)</f>
        <v>MEDY INDUSTRIES MODERNES</v>
      </c>
      <c r="R381" s="25" t="s">
        <v>8</v>
      </c>
    </row>
    <row r="382" spans="1:18" x14ac:dyDescent="0.35">
      <c r="A382" s="24" t="s">
        <v>8</v>
      </c>
      <c r="B382" s="1" t="s">
        <v>15428</v>
      </c>
      <c r="C382" s="1" t="s">
        <v>512</v>
      </c>
      <c r="D382" s="3" t="s">
        <v>510</v>
      </c>
      <c r="E382" s="3">
        <v>25</v>
      </c>
      <c r="F382" s="3">
        <v>25</v>
      </c>
      <c r="G382" s="1" t="s">
        <v>17</v>
      </c>
      <c r="H382" s="1" t="s">
        <v>17</v>
      </c>
      <c r="I382" s="1" t="s">
        <v>12</v>
      </c>
      <c r="J382" s="1">
        <v>0</v>
      </c>
      <c r="K382" s="1" t="s">
        <v>12</v>
      </c>
      <c r="L382" s="1" t="s">
        <v>7</v>
      </c>
      <c r="M382" s="25"/>
      <c r="N382" s="25" t="str">
        <f>IFERROR(VLOOKUP(Tableau3[[#This Row],[Denomination Sociale]],Tableau7[],1,0),"")</f>
        <v/>
      </c>
      <c r="O382" s="25" t="str">
        <f>VLOOKUP(Tableau3[[#This Row],[Denomination Sociale]],Tableau6[],1,0)</f>
        <v>MEDY INDUSTRIES MODERNES</v>
      </c>
      <c r="P382" s="25" t="s">
        <v>15428</v>
      </c>
      <c r="Q382" s="25" t="str">
        <f>VLOOKUP(Tableau3[[#This Row],[Denomination Sociale]],Tableau6[],1,1)</f>
        <v>MEDY INDUSTRIES MODERNES</v>
      </c>
      <c r="R382" s="25" t="s">
        <v>8</v>
      </c>
    </row>
    <row r="383" spans="1:18" x14ac:dyDescent="0.35">
      <c r="A383" s="24" t="s">
        <v>8</v>
      </c>
      <c r="B383" s="1" t="s">
        <v>513</v>
      </c>
      <c r="C383" s="1" t="s">
        <v>514</v>
      </c>
      <c r="D383" s="3" t="s">
        <v>515</v>
      </c>
      <c r="E383" s="3">
        <v>100</v>
      </c>
      <c r="F383" s="3">
        <v>100</v>
      </c>
      <c r="G383" s="1" t="s">
        <v>17</v>
      </c>
      <c r="H383" s="1" t="s">
        <v>17</v>
      </c>
      <c r="I383" s="1" t="s">
        <v>12</v>
      </c>
      <c r="J383" s="1">
        <v>0</v>
      </c>
      <c r="K383" s="1" t="s">
        <v>12</v>
      </c>
      <c r="L383" s="1" t="s">
        <v>7</v>
      </c>
      <c r="M383" s="25"/>
      <c r="N383" s="25" t="str">
        <f>IFERROR(VLOOKUP(Tableau3[[#This Row],[Denomination Sociale]],Tableau7[],1,0),"")</f>
        <v/>
      </c>
      <c r="O383" s="25" t="str">
        <f>VLOOKUP(Tableau3[[#This Row],[Denomination Sociale]],Tableau6[],1,0)</f>
        <v>MFC INTERNATIONAL</v>
      </c>
      <c r="P383" s="25" t="s">
        <v>513</v>
      </c>
      <c r="Q383" s="25" t="str">
        <f>VLOOKUP(Tableau3[[#This Row],[Denomination Sociale]],Tableau6[],1,1)</f>
        <v>MFC INTERNATIONAL</v>
      </c>
      <c r="R383" s="25" t="s">
        <v>8</v>
      </c>
    </row>
    <row r="384" spans="1:18" x14ac:dyDescent="0.35">
      <c r="A384" s="24" t="s">
        <v>8</v>
      </c>
      <c r="B384" s="1" t="s">
        <v>516</v>
      </c>
      <c r="C384" s="1" t="s">
        <v>517</v>
      </c>
      <c r="D384" s="3" t="s">
        <v>518</v>
      </c>
      <c r="E384" s="3">
        <v>50</v>
      </c>
      <c r="F384" s="3">
        <v>50</v>
      </c>
      <c r="G384" s="1" t="s">
        <v>17</v>
      </c>
      <c r="H384" s="1" t="s">
        <v>17</v>
      </c>
      <c r="I384" s="1" t="s">
        <v>12</v>
      </c>
      <c r="J384" s="1">
        <v>0</v>
      </c>
      <c r="K384" s="1" t="s">
        <v>12</v>
      </c>
      <c r="L384" s="1" t="s">
        <v>7</v>
      </c>
      <c r="M384" s="25"/>
      <c r="N384" s="25" t="str">
        <f>IFERROR(VLOOKUP(Tableau3[[#This Row],[Denomination Sociale]],Tableau7[],1,0),"")</f>
        <v/>
      </c>
      <c r="O384" s="25" t="str">
        <f>VLOOKUP(Tableau3[[#This Row],[Denomination Sociale]],Tableau6[],1,0)</f>
        <v>MINES PROFESSIONAL HOLDING</v>
      </c>
      <c r="P384" s="25" t="s">
        <v>516</v>
      </c>
      <c r="Q384" s="25" t="str">
        <f>VLOOKUP(Tableau3[[#This Row],[Denomination Sociale]],Tableau6[],1,1)</f>
        <v>MINES PROFESSIONAL HOLDING</v>
      </c>
      <c r="R384" s="25" t="s">
        <v>8</v>
      </c>
    </row>
    <row r="385" spans="1:18" x14ac:dyDescent="0.35">
      <c r="A385" s="24" t="s">
        <v>8</v>
      </c>
      <c r="B385" s="1" t="s">
        <v>516</v>
      </c>
      <c r="C385" s="1" t="s">
        <v>519</v>
      </c>
      <c r="D385" s="3" t="s">
        <v>518</v>
      </c>
      <c r="E385" s="3">
        <v>50</v>
      </c>
      <c r="F385" s="3">
        <v>50</v>
      </c>
      <c r="G385" s="1" t="s">
        <v>17</v>
      </c>
      <c r="H385" s="1" t="s">
        <v>17</v>
      </c>
      <c r="I385" s="1" t="s">
        <v>12</v>
      </c>
      <c r="J385" s="1">
        <v>0</v>
      </c>
      <c r="K385" s="1" t="s">
        <v>12</v>
      </c>
      <c r="L385" s="1" t="s">
        <v>7</v>
      </c>
      <c r="M385" s="25"/>
      <c r="N385" s="25" t="str">
        <f>IFERROR(VLOOKUP(Tableau3[[#This Row],[Denomination Sociale]],Tableau7[],1,0),"")</f>
        <v/>
      </c>
      <c r="O385" s="25" t="str">
        <f>VLOOKUP(Tableau3[[#This Row],[Denomination Sociale]],Tableau6[],1,0)</f>
        <v>MINES PROFESSIONAL HOLDING</v>
      </c>
      <c r="P385" s="25" t="s">
        <v>516</v>
      </c>
      <c r="Q385" s="25" t="str">
        <f>VLOOKUP(Tableau3[[#This Row],[Denomination Sociale]],Tableau6[],1,1)</f>
        <v>MINES PROFESSIONAL HOLDING</v>
      </c>
      <c r="R385" s="25" t="s">
        <v>8</v>
      </c>
    </row>
    <row r="386" spans="1:18" x14ac:dyDescent="0.35">
      <c r="A386" s="24" t="s">
        <v>8</v>
      </c>
      <c r="B386" s="1" t="s">
        <v>15675</v>
      </c>
      <c r="C386" s="1" t="s">
        <v>1108</v>
      </c>
      <c r="D386" s="3" t="s">
        <v>1109</v>
      </c>
      <c r="E386" s="3">
        <v>100</v>
      </c>
      <c r="F386" s="3">
        <v>100</v>
      </c>
      <c r="G386" s="1" t="s">
        <v>17</v>
      </c>
      <c r="H386" s="1"/>
      <c r="I386" s="1">
        <v>0</v>
      </c>
      <c r="J386" s="1" t="s">
        <v>12</v>
      </c>
      <c r="K386" s="1" t="s">
        <v>12</v>
      </c>
      <c r="L386" s="1" t="s">
        <v>7</v>
      </c>
      <c r="M386" s="25"/>
      <c r="N386" s="25" t="str">
        <f>IFERROR(VLOOKUP(Tableau3[[#This Row],[Denomination Sociale]],Tableau7[],1,0),"")</f>
        <v/>
      </c>
      <c r="O386" s="25" t="e">
        <f>VLOOKUP(Tableau3[[#This Row],[Denomination Sociale]],Tableau6[],1,0)</f>
        <v>#N/A</v>
      </c>
      <c r="P386" s="25"/>
      <c r="Q386" s="25" t="str">
        <f>VLOOKUP(Tableau3[[#This Row],[Denomination Sociale]],Tableau6[],1,1)</f>
        <v>MINERAL TRADE GROUP</v>
      </c>
      <c r="R386" s="25" t="s">
        <v>8</v>
      </c>
    </row>
    <row r="387" spans="1:18" x14ac:dyDescent="0.35">
      <c r="A387" s="24" t="s">
        <v>8</v>
      </c>
      <c r="B387" s="1" t="s">
        <v>15666</v>
      </c>
      <c r="C387" s="1" t="s">
        <v>521</v>
      </c>
      <c r="D387" s="3" t="s">
        <v>522</v>
      </c>
      <c r="E387" s="3">
        <v>100</v>
      </c>
      <c r="F387" s="3">
        <v>100</v>
      </c>
      <c r="G387" s="1" t="s">
        <v>17</v>
      </c>
      <c r="H387" s="1" t="s">
        <v>17</v>
      </c>
      <c r="I387" s="1" t="s">
        <v>12</v>
      </c>
      <c r="J387" s="1">
        <v>0</v>
      </c>
      <c r="K387" s="1" t="s">
        <v>12</v>
      </c>
      <c r="L387" s="1" t="s">
        <v>7</v>
      </c>
      <c r="M387" s="25"/>
      <c r="N387" s="25" t="str">
        <f>IFERROR(VLOOKUP(Tableau3[[#This Row],[Denomination Sociale]],Tableau7[],1,0),"")</f>
        <v/>
      </c>
      <c r="O387" s="25" t="str">
        <f>VLOOKUP(Tableau3[[#This Row],[Denomination Sociale]],Tableau6[],1,0)</f>
        <v>MOULT INVEST</v>
      </c>
      <c r="P387" s="25" t="s">
        <v>15666</v>
      </c>
      <c r="Q387" s="25" t="str">
        <f>VLOOKUP(Tableau3[[#This Row],[Denomination Sociale]],Tableau6[],1,1)</f>
        <v>MOULT INVEST</v>
      </c>
      <c r="R387" s="25" t="s">
        <v>8</v>
      </c>
    </row>
    <row r="388" spans="1:18" x14ac:dyDescent="0.35">
      <c r="A388" s="24" t="s">
        <v>980</v>
      </c>
      <c r="B388" s="1" t="s">
        <v>1058</v>
      </c>
      <c r="C388" s="1" t="s">
        <v>1058</v>
      </c>
      <c r="D388" s="3" t="s">
        <v>1059</v>
      </c>
      <c r="E388" s="3">
        <v>100</v>
      </c>
      <c r="F388" s="3">
        <v>100</v>
      </c>
      <c r="G388" s="1" t="s">
        <v>17</v>
      </c>
      <c r="H388" s="1" t="s">
        <v>17</v>
      </c>
      <c r="I388" s="1" t="s">
        <v>12</v>
      </c>
      <c r="J388" s="1">
        <v>0</v>
      </c>
      <c r="K388" s="1" t="s">
        <v>12</v>
      </c>
      <c r="L388" s="1" t="s">
        <v>7</v>
      </c>
      <c r="M388" s="25"/>
      <c r="N388" s="25" t="str">
        <f>IFERROR(VLOOKUP(Tableau3[[#This Row],[Denomination Sociale]],Tableau7[],1,0),"")</f>
        <v/>
      </c>
      <c r="O388" s="25" t="str">
        <f>VLOOKUP(Tableau3[[#This Row],[Denomination Sociale]],Tableau6[],1,0)</f>
        <v>MOUSTAPHA NDIAYE</v>
      </c>
      <c r="P388" s="25" t="s">
        <v>1058</v>
      </c>
      <c r="Q388" s="25" t="str">
        <f>VLOOKUP(Tableau3[[#This Row],[Denomination Sociale]],Tableau6[],1,1)</f>
        <v>MOUSTAPHA NDIAYE</v>
      </c>
      <c r="R388" s="25" t="s">
        <v>980</v>
      </c>
    </row>
    <row r="389" spans="1:18" x14ac:dyDescent="0.35">
      <c r="A389" s="24" t="s">
        <v>8</v>
      </c>
      <c r="B389" s="1" t="s">
        <v>523</v>
      </c>
      <c r="C389" s="1" t="s">
        <v>524</v>
      </c>
      <c r="D389" s="3" t="s">
        <v>525</v>
      </c>
      <c r="E389" s="3">
        <v>100</v>
      </c>
      <c r="F389" s="3">
        <v>100</v>
      </c>
      <c r="G389" s="1" t="s">
        <v>17</v>
      </c>
      <c r="H389" s="1" t="s">
        <v>17</v>
      </c>
      <c r="I389" s="1" t="s">
        <v>12</v>
      </c>
      <c r="J389" s="1">
        <v>0</v>
      </c>
      <c r="K389" s="1" t="s">
        <v>12</v>
      </c>
      <c r="L389" s="1" t="s">
        <v>7</v>
      </c>
      <c r="M389" s="25"/>
      <c r="N389" s="25" t="str">
        <f>IFERROR(VLOOKUP(Tableau3[[#This Row],[Denomination Sociale]],Tableau7[],1,0),"")</f>
        <v/>
      </c>
      <c r="O389" s="25" t="str">
        <f>VLOOKUP(Tableau3[[#This Row],[Denomination Sociale]],Tableau6[],1,0)</f>
        <v>NDATTE YALLAH COMPAGNIE</v>
      </c>
      <c r="P389" s="25" t="s">
        <v>523</v>
      </c>
      <c r="Q389" s="25" t="str">
        <f>VLOOKUP(Tableau3[[#This Row],[Denomination Sociale]],Tableau6[],1,1)</f>
        <v>NDATTE YALLAH COMPAGNIE</v>
      </c>
      <c r="R389" s="25" t="s">
        <v>8</v>
      </c>
    </row>
    <row r="390" spans="1:18" x14ac:dyDescent="0.35">
      <c r="A390" s="24" t="s">
        <v>8</v>
      </c>
      <c r="B390" s="1" t="s">
        <v>15705</v>
      </c>
      <c r="C390" s="1" t="s">
        <v>10</v>
      </c>
      <c r="D390" s="3" t="s">
        <v>11</v>
      </c>
      <c r="E390" s="3" t="s">
        <v>12</v>
      </c>
      <c r="F390" s="3" t="s">
        <v>12</v>
      </c>
      <c r="G390" s="1" t="s">
        <v>13</v>
      </c>
      <c r="H390" s="1" t="s">
        <v>13</v>
      </c>
      <c r="I390" s="1" t="s">
        <v>12</v>
      </c>
      <c r="J390" s="1">
        <v>0</v>
      </c>
      <c r="K390" s="1" t="s">
        <v>12</v>
      </c>
      <c r="L390" s="1" t="s">
        <v>7</v>
      </c>
      <c r="M390" s="25"/>
      <c r="N390" s="25" t="str">
        <f>IFERROR(VLOOKUP(Tableau3[[#This Row],[Denomination Sociale]],Tableau7[],1,0),"")</f>
        <v/>
      </c>
      <c r="O390" s="25" t="e">
        <f>VLOOKUP(Tableau3[[#This Row],[Denomination Sociale]],Tableau6[],1,0)</f>
        <v>#N/A</v>
      </c>
      <c r="P390" s="25"/>
      <c r="Q390" s="25" t="str">
        <f>VLOOKUP(Tableau3[[#This Row],[Denomination Sociale]],Tableau6[],1,1)</f>
        <v>MINING RESEARCH COMPANY S.L</v>
      </c>
      <c r="R390" s="25" t="s">
        <v>8</v>
      </c>
    </row>
    <row r="391" spans="1:18" x14ac:dyDescent="0.35">
      <c r="A391" s="24" t="s">
        <v>8</v>
      </c>
      <c r="B391" s="1" t="s">
        <v>15706</v>
      </c>
      <c r="C391" s="1" t="s">
        <v>527</v>
      </c>
      <c r="D391" s="3" t="s">
        <v>528</v>
      </c>
      <c r="E391" s="3">
        <v>30</v>
      </c>
      <c r="F391" s="3">
        <v>30</v>
      </c>
      <c r="G391" s="1" t="s">
        <v>17</v>
      </c>
      <c r="H391" s="1" t="s">
        <v>17</v>
      </c>
      <c r="I391" s="1" t="s">
        <v>12</v>
      </c>
      <c r="J391" s="1">
        <v>0</v>
      </c>
      <c r="K391" s="1" t="s">
        <v>12</v>
      </c>
      <c r="L391" s="1" t="s">
        <v>7</v>
      </c>
      <c r="M391" s="25"/>
      <c r="N391" s="25" t="str">
        <f>IFERROR(VLOOKUP(Tableau3[[#This Row],[Denomination Sociale]],Tableau7[],1,0),"")</f>
        <v/>
      </c>
      <c r="O391" s="25" t="e">
        <f>VLOOKUP(Tableau3[[#This Row],[Denomination Sociale]],Tableau6[],1,0)</f>
        <v>#N/A</v>
      </c>
      <c r="P391" s="25"/>
      <c r="Q391" s="25" t="str">
        <f>VLOOKUP(Tableau3[[#This Row],[Denomination Sociale]],Tableau6[],1,1)</f>
        <v>NEGOCE FIABLE SENEGAL</v>
      </c>
      <c r="R391" s="25" t="s">
        <v>8</v>
      </c>
    </row>
    <row r="392" spans="1:18" x14ac:dyDescent="0.35">
      <c r="A392" s="24" t="s">
        <v>8</v>
      </c>
      <c r="B392" s="1" t="s">
        <v>15706</v>
      </c>
      <c r="C392" s="1" t="s">
        <v>529</v>
      </c>
      <c r="D392" s="3" t="s">
        <v>528</v>
      </c>
      <c r="E392" s="3">
        <v>10</v>
      </c>
      <c r="F392" s="3">
        <v>10</v>
      </c>
      <c r="G392" s="1" t="s">
        <v>17</v>
      </c>
      <c r="H392" s="1" t="s">
        <v>17</v>
      </c>
      <c r="I392" s="1" t="s">
        <v>12</v>
      </c>
      <c r="J392" s="1">
        <v>0</v>
      </c>
      <c r="K392" s="1" t="s">
        <v>12</v>
      </c>
      <c r="L392" s="1" t="s">
        <v>7</v>
      </c>
      <c r="M392" s="25"/>
      <c r="N392" s="25" t="str">
        <f>IFERROR(VLOOKUP(Tableau3[[#This Row],[Denomination Sociale]],Tableau7[],1,0),"")</f>
        <v/>
      </c>
      <c r="O392" s="25" t="e">
        <f>VLOOKUP(Tableau3[[#This Row],[Denomination Sociale]],Tableau6[],1,0)</f>
        <v>#N/A</v>
      </c>
      <c r="P392" s="25"/>
      <c r="Q392" s="25" t="str">
        <f>VLOOKUP(Tableau3[[#This Row],[Denomination Sociale]],Tableau6[],1,1)</f>
        <v>NEGOCE FIABLE SENEGAL</v>
      </c>
      <c r="R392" s="25" t="s">
        <v>8</v>
      </c>
    </row>
    <row r="393" spans="1:18" x14ac:dyDescent="0.35">
      <c r="A393" s="24" t="s">
        <v>8</v>
      </c>
      <c r="B393" s="1" t="s">
        <v>15706</v>
      </c>
      <c r="C393" s="1" t="s">
        <v>530</v>
      </c>
      <c r="D393" s="3" t="s">
        <v>528</v>
      </c>
      <c r="E393" s="3">
        <v>60</v>
      </c>
      <c r="F393" s="3">
        <v>60</v>
      </c>
      <c r="G393" s="1" t="s">
        <v>531</v>
      </c>
      <c r="H393" s="1" t="s">
        <v>531</v>
      </c>
      <c r="I393" s="1" t="s">
        <v>12</v>
      </c>
      <c r="J393" s="1">
        <v>0</v>
      </c>
      <c r="K393" s="1" t="s">
        <v>12</v>
      </c>
      <c r="L393" s="1" t="s">
        <v>7</v>
      </c>
      <c r="M393" s="25"/>
      <c r="N393" s="25" t="str">
        <f>IFERROR(VLOOKUP(Tableau3[[#This Row],[Denomination Sociale]],Tableau7[],1,0),"")</f>
        <v/>
      </c>
      <c r="O393" s="25" t="e">
        <f>VLOOKUP(Tableau3[[#This Row],[Denomination Sociale]],Tableau6[],1,0)</f>
        <v>#N/A</v>
      </c>
      <c r="P393" s="25"/>
      <c r="Q393" s="25" t="str">
        <f>VLOOKUP(Tableau3[[#This Row],[Denomination Sociale]],Tableau6[],1,1)</f>
        <v>NEGOCE FIABLE SENEGAL</v>
      </c>
      <c r="R393" s="25" t="s">
        <v>8</v>
      </c>
    </row>
    <row r="394" spans="1:18" x14ac:dyDescent="0.35">
      <c r="A394" s="24" t="s">
        <v>8</v>
      </c>
      <c r="B394" s="1" t="s">
        <v>532</v>
      </c>
      <c r="C394" s="1" t="s">
        <v>533</v>
      </c>
      <c r="D394" s="3" t="s">
        <v>534</v>
      </c>
      <c r="E394" s="3">
        <v>10</v>
      </c>
      <c r="F394" s="3" t="s">
        <v>12</v>
      </c>
      <c r="G394" s="1" t="s">
        <v>17</v>
      </c>
      <c r="H394" s="1" t="s">
        <v>17</v>
      </c>
      <c r="I394" s="1" t="s">
        <v>12</v>
      </c>
      <c r="J394" s="1">
        <v>0</v>
      </c>
      <c r="K394" s="1" t="s">
        <v>12</v>
      </c>
      <c r="L394" s="1" t="s">
        <v>7</v>
      </c>
      <c r="M394" s="25"/>
      <c r="N394" s="25" t="str">
        <f>IFERROR(VLOOKUP(Tableau3[[#This Row],[Denomination Sociale]],Tableau7[],1,0),"")</f>
        <v/>
      </c>
      <c r="O394" s="25" t="e">
        <f>VLOOKUP(Tableau3[[#This Row],[Denomination Sociale]],Tableau6[],1,0)</f>
        <v>#N/A</v>
      </c>
      <c r="P394" s="25"/>
      <c r="Q394" s="25" t="str">
        <f>VLOOKUP(Tableau3[[#This Row],[Denomination Sociale]],Tableau6[],1,1)</f>
        <v>NEW ENERGY INVESTISMENT</v>
      </c>
      <c r="R394" s="25" t="s">
        <v>8</v>
      </c>
    </row>
    <row r="395" spans="1:18" x14ac:dyDescent="0.35">
      <c r="A395" s="24" t="s">
        <v>8</v>
      </c>
      <c r="B395" s="1" t="s">
        <v>532</v>
      </c>
      <c r="C395" s="1" t="s">
        <v>535</v>
      </c>
      <c r="D395" s="3" t="s">
        <v>534</v>
      </c>
      <c r="E395" s="3">
        <v>15</v>
      </c>
      <c r="F395" s="3" t="s">
        <v>12</v>
      </c>
      <c r="G395" s="1" t="s">
        <v>17</v>
      </c>
      <c r="H395" s="1" t="s">
        <v>17</v>
      </c>
      <c r="I395" s="1" t="s">
        <v>12</v>
      </c>
      <c r="J395" s="1">
        <v>0</v>
      </c>
      <c r="K395" s="1" t="s">
        <v>12</v>
      </c>
      <c r="L395" s="1" t="s">
        <v>7</v>
      </c>
      <c r="M395" s="25"/>
      <c r="N395" s="25" t="str">
        <f>IFERROR(VLOOKUP(Tableau3[[#This Row],[Denomination Sociale]],Tableau7[],1,0),"")</f>
        <v/>
      </c>
      <c r="O395" s="25" t="e">
        <f>VLOOKUP(Tableau3[[#This Row],[Denomination Sociale]],Tableau6[],1,0)</f>
        <v>#N/A</v>
      </c>
      <c r="P395" s="25"/>
      <c r="Q395" s="25" t="str">
        <f>VLOOKUP(Tableau3[[#This Row],[Denomination Sociale]],Tableau6[],1,1)</f>
        <v>NEW ENERGY INVESTISMENT</v>
      </c>
      <c r="R395" s="25" t="s">
        <v>8</v>
      </c>
    </row>
    <row r="396" spans="1:18" x14ac:dyDescent="0.35">
      <c r="A396" s="24" t="s">
        <v>8</v>
      </c>
      <c r="B396" s="1" t="s">
        <v>532</v>
      </c>
      <c r="C396" s="1" t="s">
        <v>536</v>
      </c>
      <c r="D396" s="3" t="s">
        <v>534</v>
      </c>
      <c r="E396" s="3">
        <v>15</v>
      </c>
      <c r="F396" s="3" t="s">
        <v>12</v>
      </c>
      <c r="G396" s="1" t="s">
        <v>386</v>
      </c>
      <c r="H396" s="1" t="s">
        <v>386</v>
      </c>
      <c r="I396" s="1" t="s">
        <v>12</v>
      </c>
      <c r="J396" s="1">
        <v>0</v>
      </c>
      <c r="K396" s="1" t="s">
        <v>12</v>
      </c>
      <c r="L396" s="1" t="s">
        <v>7</v>
      </c>
      <c r="M396" s="25"/>
      <c r="N396" s="25" t="str">
        <f>IFERROR(VLOOKUP(Tableau3[[#This Row],[Denomination Sociale]],Tableau7[],1,0),"")</f>
        <v/>
      </c>
      <c r="O396" s="25" t="e">
        <f>VLOOKUP(Tableau3[[#This Row],[Denomination Sociale]],Tableau6[],1,0)</f>
        <v>#N/A</v>
      </c>
      <c r="P396" s="25"/>
      <c r="Q396" s="25" t="str">
        <f>VLOOKUP(Tableau3[[#This Row],[Denomination Sociale]],Tableau6[],1,1)</f>
        <v>NEW ENERGY INVESTISMENT</v>
      </c>
      <c r="R396" s="25" t="s">
        <v>8</v>
      </c>
    </row>
    <row r="397" spans="1:18" x14ac:dyDescent="0.35">
      <c r="A397" s="24" t="s">
        <v>8</v>
      </c>
      <c r="B397" s="1" t="s">
        <v>532</v>
      </c>
      <c r="C397" s="1" t="s">
        <v>537</v>
      </c>
      <c r="D397" s="3" t="s">
        <v>534</v>
      </c>
      <c r="E397" s="3">
        <v>30</v>
      </c>
      <c r="F397" s="3" t="s">
        <v>12</v>
      </c>
      <c r="G397" s="1" t="s">
        <v>17</v>
      </c>
      <c r="H397" s="1" t="s">
        <v>17</v>
      </c>
      <c r="I397" s="1" t="s">
        <v>12</v>
      </c>
      <c r="J397" s="1">
        <v>0</v>
      </c>
      <c r="K397" s="1" t="s">
        <v>12</v>
      </c>
      <c r="L397" s="1" t="s">
        <v>7</v>
      </c>
      <c r="M397" s="25"/>
      <c r="N397" s="25" t="str">
        <f>IFERROR(VLOOKUP(Tableau3[[#This Row],[Denomination Sociale]],Tableau7[],1,0),"")</f>
        <v/>
      </c>
      <c r="O397" s="25" t="e">
        <f>VLOOKUP(Tableau3[[#This Row],[Denomination Sociale]],Tableau6[],1,0)</f>
        <v>#N/A</v>
      </c>
      <c r="P397" s="25"/>
      <c r="Q397" s="25" t="str">
        <f>VLOOKUP(Tableau3[[#This Row],[Denomination Sociale]],Tableau6[],1,1)</f>
        <v>NEW ENERGY INVESTISMENT</v>
      </c>
      <c r="R397" s="25" t="s">
        <v>8</v>
      </c>
    </row>
    <row r="398" spans="1:18" x14ac:dyDescent="0.35">
      <c r="A398" s="24" t="s">
        <v>8</v>
      </c>
      <c r="B398" s="1" t="s">
        <v>539</v>
      </c>
      <c r="C398" s="1" t="s">
        <v>540</v>
      </c>
      <c r="D398" s="3" t="s">
        <v>541</v>
      </c>
      <c r="E398" s="3">
        <v>20</v>
      </c>
      <c r="F398" s="3">
        <v>20</v>
      </c>
      <c r="G398" s="1" t="s">
        <v>17</v>
      </c>
      <c r="H398" s="1" t="s">
        <v>17</v>
      </c>
      <c r="I398" s="1" t="s">
        <v>12</v>
      </c>
      <c r="J398" s="1">
        <v>0</v>
      </c>
      <c r="K398" s="1" t="s">
        <v>12</v>
      </c>
      <c r="L398" s="1" t="s">
        <v>7</v>
      </c>
      <c r="M398" s="25"/>
      <c r="N398" s="25" t="str">
        <f>IFERROR(VLOOKUP(Tableau3[[#This Row],[Denomination Sociale]],Tableau7[],1,0),"")</f>
        <v/>
      </c>
      <c r="O398" s="25" t="str">
        <f>VLOOKUP(Tableau3[[#This Row],[Denomination Sociale]],Tableau6[],1,0)</f>
        <v>NEW ERA INTERNATIONAL MINING DEVELOPMENT</v>
      </c>
      <c r="P398" s="25" t="s">
        <v>539</v>
      </c>
      <c r="Q398" s="25" t="str">
        <f>VLOOKUP(Tableau3[[#This Row],[Denomination Sociale]],Tableau6[],1,1)</f>
        <v>NEW ERA INTERNATIONAL MINING DEVELOPMENT</v>
      </c>
      <c r="R398" s="25" t="s">
        <v>8</v>
      </c>
    </row>
    <row r="399" spans="1:18" x14ac:dyDescent="0.35">
      <c r="A399" s="24" t="s">
        <v>8</v>
      </c>
      <c r="B399" s="1" t="s">
        <v>539</v>
      </c>
      <c r="C399" s="1" t="s">
        <v>542</v>
      </c>
      <c r="D399" s="3" t="s">
        <v>541</v>
      </c>
      <c r="E399" s="3">
        <v>30</v>
      </c>
      <c r="F399" s="3">
        <v>30</v>
      </c>
      <c r="G399" s="1" t="s">
        <v>17</v>
      </c>
      <c r="H399" s="1" t="s">
        <v>17</v>
      </c>
      <c r="I399" s="1" t="s">
        <v>12</v>
      </c>
      <c r="J399" s="1">
        <v>0</v>
      </c>
      <c r="K399" s="1" t="s">
        <v>12</v>
      </c>
      <c r="L399" s="1" t="s">
        <v>7</v>
      </c>
      <c r="M399" s="25"/>
      <c r="N399" s="25" t="str">
        <f>IFERROR(VLOOKUP(Tableau3[[#This Row],[Denomination Sociale]],Tableau7[],1,0),"")</f>
        <v/>
      </c>
      <c r="O399" s="25" t="str">
        <f>VLOOKUP(Tableau3[[#This Row],[Denomination Sociale]],Tableau6[],1,0)</f>
        <v>NEW ERA INTERNATIONAL MINING DEVELOPMENT</v>
      </c>
      <c r="P399" s="25" t="s">
        <v>539</v>
      </c>
      <c r="Q399" s="25" t="str">
        <f>VLOOKUP(Tableau3[[#This Row],[Denomination Sociale]],Tableau6[],1,1)</f>
        <v>NEW ERA INTERNATIONAL MINING DEVELOPMENT</v>
      </c>
      <c r="R399" s="25" t="s">
        <v>8</v>
      </c>
    </row>
    <row r="400" spans="1:18" x14ac:dyDescent="0.35">
      <c r="A400" s="24" t="s">
        <v>8</v>
      </c>
      <c r="B400" s="1" t="s">
        <v>539</v>
      </c>
      <c r="C400" s="1" t="s">
        <v>543</v>
      </c>
      <c r="D400" s="3" t="s">
        <v>541</v>
      </c>
      <c r="E400" s="3">
        <v>20</v>
      </c>
      <c r="F400" s="3">
        <v>20</v>
      </c>
      <c r="G400" s="1" t="s">
        <v>17</v>
      </c>
      <c r="H400" s="1" t="s">
        <v>17</v>
      </c>
      <c r="I400" s="1" t="s">
        <v>12</v>
      </c>
      <c r="J400" s="1">
        <v>0</v>
      </c>
      <c r="K400" s="1" t="s">
        <v>12</v>
      </c>
      <c r="L400" s="1" t="s">
        <v>7</v>
      </c>
      <c r="M400" s="25"/>
      <c r="N400" s="25" t="str">
        <f>IFERROR(VLOOKUP(Tableau3[[#This Row],[Denomination Sociale]],Tableau7[],1,0),"")</f>
        <v/>
      </c>
      <c r="O400" s="25" t="str">
        <f>VLOOKUP(Tableau3[[#This Row],[Denomination Sociale]],Tableau6[],1,0)</f>
        <v>NEW ERA INTERNATIONAL MINING DEVELOPMENT</v>
      </c>
      <c r="P400" s="25" t="s">
        <v>539</v>
      </c>
      <c r="Q400" s="25" t="str">
        <f>VLOOKUP(Tableau3[[#This Row],[Denomination Sociale]],Tableau6[],1,1)</f>
        <v>NEW ERA INTERNATIONAL MINING DEVELOPMENT</v>
      </c>
      <c r="R400" s="25" t="s">
        <v>8</v>
      </c>
    </row>
    <row r="401" spans="1:18" x14ac:dyDescent="0.35">
      <c r="A401" s="24" t="s">
        <v>8</v>
      </c>
      <c r="B401" s="1" t="s">
        <v>539</v>
      </c>
      <c r="C401" s="1" t="s">
        <v>544</v>
      </c>
      <c r="D401" s="3" t="s">
        <v>541</v>
      </c>
      <c r="E401" s="3">
        <v>30</v>
      </c>
      <c r="F401" s="3">
        <v>30</v>
      </c>
      <c r="G401" s="1" t="s">
        <v>17</v>
      </c>
      <c r="H401" s="1" t="s">
        <v>17</v>
      </c>
      <c r="I401" s="1" t="s">
        <v>12</v>
      </c>
      <c r="J401" s="1">
        <v>0</v>
      </c>
      <c r="K401" s="1" t="s">
        <v>12</v>
      </c>
      <c r="L401" s="1" t="s">
        <v>7</v>
      </c>
      <c r="M401" s="25"/>
      <c r="N401" s="25" t="str">
        <f>IFERROR(VLOOKUP(Tableau3[[#This Row],[Denomination Sociale]],Tableau7[],1,0),"")</f>
        <v/>
      </c>
      <c r="O401" s="25" t="str">
        <f>VLOOKUP(Tableau3[[#This Row],[Denomination Sociale]],Tableau6[],1,0)</f>
        <v>NEW ERA INTERNATIONAL MINING DEVELOPMENT</v>
      </c>
      <c r="P401" s="25" t="s">
        <v>539</v>
      </c>
      <c r="Q401" s="25" t="str">
        <f>VLOOKUP(Tableau3[[#This Row],[Denomination Sociale]],Tableau6[],1,1)</f>
        <v>NEW ERA INTERNATIONAL MINING DEVELOPMENT</v>
      </c>
      <c r="R401" s="25" t="s">
        <v>8</v>
      </c>
    </row>
    <row r="402" spans="1:18" x14ac:dyDescent="0.35">
      <c r="A402" s="24" t="s">
        <v>8</v>
      </c>
      <c r="B402" s="1" t="s">
        <v>532</v>
      </c>
      <c r="C402" s="1" t="s">
        <v>538</v>
      </c>
      <c r="D402" s="3" t="s">
        <v>534</v>
      </c>
      <c r="E402" s="3">
        <v>30</v>
      </c>
      <c r="F402" s="3" t="s">
        <v>12</v>
      </c>
      <c r="G402" s="1" t="s">
        <v>17</v>
      </c>
      <c r="H402" s="1" t="s">
        <v>17</v>
      </c>
      <c r="I402" s="1" t="s">
        <v>12</v>
      </c>
      <c r="J402" s="1">
        <v>0</v>
      </c>
      <c r="K402" s="1" t="s">
        <v>12</v>
      </c>
      <c r="L402" s="1" t="s">
        <v>7</v>
      </c>
      <c r="M402" s="25"/>
      <c r="N402" s="25" t="str">
        <f>IFERROR(VLOOKUP(Tableau3[[#This Row],[Denomination Sociale]],Tableau7[],1,0),"")</f>
        <v/>
      </c>
      <c r="O402" s="25" t="e">
        <f>VLOOKUP(Tableau3[[#This Row],[Denomination Sociale]],Tableau6[],1,0)</f>
        <v>#N/A</v>
      </c>
      <c r="P402" s="25"/>
      <c r="Q402" s="25" t="str">
        <f>VLOOKUP(Tableau3[[#This Row],[Denomination Sociale]],Tableau6[],1,1)</f>
        <v>NEW ENERGY INVESTISMENT</v>
      </c>
      <c r="R402" s="25" t="s">
        <v>8</v>
      </c>
    </row>
    <row r="403" spans="1:18" x14ac:dyDescent="0.35">
      <c r="A403" s="24" t="s">
        <v>8</v>
      </c>
      <c r="B403" s="1" t="s">
        <v>545</v>
      </c>
      <c r="C403" s="1" t="s">
        <v>546</v>
      </c>
      <c r="D403" s="3" t="s">
        <v>547</v>
      </c>
      <c r="E403" s="3">
        <v>15</v>
      </c>
      <c r="F403" s="3">
        <v>15</v>
      </c>
      <c r="G403" s="1" t="s">
        <v>17</v>
      </c>
      <c r="H403" s="1" t="s">
        <v>17</v>
      </c>
      <c r="I403" s="1" t="s">
        <v>12</v>
      </c>
      <c r="J403" s="1">
        <v>0</v>
      </c>
      <c r="K403" s="1" t="s">
        <v>12</v>
      </c>
      <c r="L403" s="1" t="s">
        <v>7</v>
      </c>
      <c r="M403" s="25"/>
      <c r="N403" s="25" t="str">
        <f>IFERROR(VLOOKUP(Tableau3[[#This Row],[Denomination Sociale]],Tableau7[],1,0),"")</f>
        <v/>
      </c>
      <c r="O403" s="25" t="str">
        <f>VLOOKUP(Tableau3[[#This Row],[Denomination Sociale]],Tableau6[],1,0)</f>
        <v>NIANY TRANSIT</v>
      </c>
      <c r="P403" s="25" t="s">
        <v>545</v>
      </c>
      <c r="Q403" s="25" t="str">
        <f>VLOOKUP(Tableau3[[#This Row],[Denomination Sociale]],Tableau6[],1,1)</f>
        <v>NIANY TRANSIT</v>
      </c>
      <c r="R403" s="25" t="s">
        <v>8</v>
      </c>
    </row>
    <row r="404" spans="1:18" x14ac:dyDescent="0.35">
      <c r="A404" s="24" t="s">
        <v>8</v>
      </c>
      <c r="B404" s="1" t="s">
        <v>545</v>
      </c>
      <c r="C404" s="1" t="s">
        <v>548</v>
      </c>
      <c r="D404" s="3" t="s">
        <v>547</v>
      </c>
      <c r="E404" s="3">
        <v>50</v>
      </c>
      <c r="F404" s="3">
        <v>50</v>
      </c>
      <c r="G404" s="1" t="s">
        <v>17</v>
      </c>
      <c r="H404" s="1" t="s">
        <v>17</v>
      </c>
      <c r="I404" s="1" t="s">
        <v>12</v>
      </c>
      <c r="J404" s="1">
        <v>0</v>
      </c>
      <c r="K404" s="1" t="s">
        <v>12</v>
      </c>
      <c r="L404" s="1" t="s">
        <v>7</v>
      </c>
      <c r="M404" s="25"/>
      <c r="N404" s="25" t="str">
        <f>IFERROR(VLOOKUP(Tableau3[[#This Row],[Denomination Sociale]],Tableau7[],1,0),"")</f>
        <v/>
      </c>
      <c r="O404" s="25" t="str">
        <f>VLOOKUP(Tableau3[[#This Row],[Denomination Sociale]],Tableau6[],1,0)</f>
        <v>NIANY TRANSIT</v>
      </c>
      <c r="P404" s="25" t="s">
        <v>545</v>
      </c>
      <c r="Q404" s="25" t="str">
        <f>VLOOKUP(Tableau3[[#This Row],[Denomination Sociale]],Tableau6[],1,1)</f>
        <v>NIANY TRANSIT</v>
      </c>
      <c r="R404" s="25" t="s">
        <v>8</v>
      </c>
    </row>
    <row r="405" spans="1:18" x14ac:dyDescent="0.35">
      <c r="A405" s="24" t="s">
        <v>8</v>
      </c>
      <c r="B405" s="1" t="s">
        <v>545</v>
      </c>
      <c r="C405" s="1" t="s">
        <v>549</v>
      </c>
      <c r="D405" s="3" t="s">
        <v>547</v>
      </c>
      <c r="E405" s="3">
        <v>10</v>
      </c>
      <c r="F405" s="3">
        <v>10</v>
      </c>
      <c r="G405" s="1" t="s">
        <v>17</v>
      </c>
      <c r="H405" s="1" t="s">
        <v>17</v>
      </c>
      <c r="I405" s="1" t="s">
        <v>12</v>
      </c>
      <c r="J405" s="1">
        <v>0</v>
      </c>
      <c r="K405" s="1" t="s">
        <v>12</v>
      </c>
      <c r="L405" s="1" t="s">
        <v>7</v>
      </c>
      <c r="M405" s="25"/>
      <c r="N405" s="25" t="str">
        <f>IFERROR(VLOOKUP(Tableau3[[#This Row],[Denomination Sociale]],Tableau7[],1,0),"")</f>
        <v/>
      </c>
      <c r="O405" s="25" t="str">
        <f>VLOOKUP(Tableau3[[#This Row],[Denomination Sociale]],Tableau6[],1,0)</f>
        <v>NIANY TRANSIT</v>
      </c>
      <c r="P405" s="25" t="s">
        <v>545</v>
      </c>
      <c r="Q405" s="25" t="str">
        <f>VLOOKUP(Tableau3[[#This Row],[Denomination Sociale]],Tableau6[],1,1)</f>
        <v>NIANY TRANSIT</v>
      </c>
      <c r="R405" s="25" t="s">
        <v>8</v>
      </c>
    </row>
    <row r="406" spans="1:18" x14ac:dyDescent="0.35">
      <c r="A406" s="24" t="s">
        <v>8</v>
      </c>
      <c r="B406" s="1" t="s">
        <v>545</v>
      </c>
      <c r="C406" s="1" t="s">
        <v>550</v>
      </c>
      <c r="D406" s="3" t="s">
        <v>547</v>
      </c>
      <c r="E406" s="3">
        <v>25</v>
      </c>
      <c r="F406" s="3">
        <v>25</v>
      </c>
      <c r="G406" s="1" t="s">
        <v>17</v>
      </c>
      <c r="H406" s="1" t="s">
        <v>17</v>
      </c>
      <c r="I406" s="1" t="s">
        <v>12</v>
      </c>
      <c r="J406" s="1">
        <v>0</v>
      </c>
      <c r="K406" s="1" t="s">
        <v>12</v>
      </c>
      <c r="L406" s="1" t="s">
        <v>7</v>
      </c>
      <c r="M406" s="25"/>
      <c r="N406" s="25" t="str">
        <f>IFERROR(VLOOKUP(Tableau3[[#This Row],[Denomination Sociale]],Tableau7[],1,0),"")</f>
        <v/>
      </c>
      <c r="O406" s="25" t="str">
        <f>VLOOKUP(Tableau3[[#This Row],[Denomination Sociale]],Tableau6[],1,0)</f>
        <v>NIANY TRANSIT</v>
      </c>
      <c r="P406" s="25" t="s">
        <v>545</v>
      </c>
      <c r="Q406" s="25" t="str">
        <f>VLOOKUP(Tableau3[[#This Row],[Denomination Sociale]],Tableau6[],1,1)</f>
        <v>NIANY TRANSIT</v>
      </c>
      <c r="R406" s="25" t="s">
        <v>8</v>
      </c>
    </row>
    <row r="407" spans="1:18" x14ac:dyDescent="0.35">
      <c r="A407" s="24" t="s">
        <v>8</v>
      </c>
      <c r="B407" s="1" t="s">
        <v>15445</v>
      </c>
      <c r="C407" s="1" t="s">
        <v>354</v>
      </c>
      <c r="D407" s="3" t="s">
        <v>552</v>
      </c>
      <c r="E407" s="3">
        <v>34</v>
      </c>
      <c r="F407" s="3" t="s">
        <v>12</v>
      </c>
      <c r="G407" s="1" t="s">
        <v>17</v>
      </c>
      <c r="H407" s="1" t="s">
        <v>17</v>
      </c>
      <c r="I407" s="1" t="s">
        <v>12</v>
      </c>
      <c r="J407" s="1">
        <v>0</v>
      </c>
      <c r="K407" s="1" t="s">
        <v>12</v>
      </c>
      <c r="L407" s="1" t="s">
        <v>7</v>
      </c>
      <c r="M407" s="25"/>
      <c r="N407" s="25" t="str">
        <f>IFERROR(VLOOKUP(Tableau3[[#This Row],[Denomination Sociale]],Tableau7[],1,0),"")</f>
        <v/>
      </c>
      <c r="O407" s="25" t="str">
        <f>VLOOKUP(Tableau3[[#This Row],[Denomination Sociale]],Tableau6[],1,0)</f>
        <v>NOGA MINE</v>
      </c>
      <c r="P407" s="25" t="s">
        <v>15445</v>
      </c>
      <c r="Q407" s="25" t="str">
        <f>VLOOKUP(Tableau3[[#This Row],[Denomination Sociale]],Tableau6[],1,1)</f>
        <v>NOGA MINE</v>
      </c>
      <c r="R407" s="25" t="s">
        <v>8</v>
      </c>
    </row>
    <row r="408" spans="1:18" x14ac:dyDescent="0.35">
      <c r="A408" s="24" t="s">
        <v>835</v>
      </c>
      <c r="B408" s="1" t="s">
        <v>851</v>
      </c>
      <c r="C408" s="1" t="s">
        <v>852</v>
      </c>
      <c r="D408" s="3" t="s">
        <v>853</v>
      </c>
      <c r="E408" s="3" t="s">
        <v>12</v>
      </c>
      <c r="F408" s="3" t="s">
        <v>12</v>
      </c>
      <c r="G408" s="1" t="s">
        <v>17</v>
      </c>
      <c r="H408" s="1" t="s">
        <v>17</v>
      </c>
      <c r="I408" s="1" t="s">
        <v>12</v>
      </c>
      <c r="J408" s="1">
        <v>0</v>
      </c>
      <c r="K408" s="1" t="s">
        <v>12</v>
      </c>
      <c r="L408" s="1" t="s">
        <v>7</v>
      </c>
      <c r="M408" s="25"/>
      <c r="N408" s="25" t="str">
        <f>IFERROR(VLOOKUP(Tableau3[[#This Row],[Denomination Sociale]],Tableau7[],1,0),"")</f>
        <v/>
      </c>
      <c r="O408" s="25" t="e">
        <f>VLOOKUP(Tableau3[[#This Row],[Denomination Sociale]],Tableau6[],1,0)</f>
        <v>#N/A</v>
      </c>
      <c r="P408" s="25"/>
      <c r="Q408" s="25" t="str">
        <f>VLOOKUP(Tableau3[[#This Row],[Denomination Sociale]],Tableau6[],1,1)</f>
        <v>NIAMAYA GOLD</v>
      </c>
      <c r="R408" s="25" t="s">
        <v>835</v>
      </c>
    </row>
    <row r="409" spans="1:18" x14ac:dyDescent="0.35">
      <c r="A409" s="24" t="s">
        <v>8</v>
      </c>
      <c r="B409" s="1" t="s">
        <v>553</v>
      </c>
      <c r="C409" s="1" t="s">
        <v>554</v>
      </c>
      <c r="D409" s="3" t="s">
        <v>555</v>
      </c>
      <c r="E409" s="3" t="s">
        <v>12</v>
      </c>
      <c r="F409" s="3" t="s">
        <v>12</v>
      </c>
      <c r="G409" s="1" t="s">
        <v>17</v>
      </c>
      <c r="H409" s="1" t="s">
        <v>17</v>
      </c>
      <c r="I409" s="1" t="s">
        <v>12</v>
      </c>
      <c r="J409" s="1">
        <v>0</v>
      </c>
      <c r="K409" s="1" t="s">
        <v>12</v>
      </c>
      <c r="L409" s="1" t="s">
        <v>7</v>
      </c>
      <c r="M409" s="25"/>
      <c r="N409" s="25" t="str">
        <f>IFERROR(VLOOKUP(Tableau3[[#This Row],[Denomination Sociale]],Tableau7[],1,0),"")</f>
        <v/>
      </c>
      <c r="O409" s="25" t="e">
        <f>VLOOKUP(Tableau3[[#This Row],[Denomination Sociale]],Tableau6[],1,0)</f>
        <v>#N/A</v>
      </c>
      <c r="P409" s="25"/>
      <c r="Q409" s="25" t="str">
        <f>VLOOKUP(Tableau3[[#This Row],[Denomination Sociale]],Tableau6[],1,1)</f>
        <v>NOGAYE BUSINESS CONSULTING COMPAGNY</v>
      </c>
      <c r="R409" s="25" t="s">
        <v>8</v>
      </c>
    </row>
    <row r="410" spans="1:18" x14ac:dyDescent="0.35">
      <c r="A410" s="24" t="s">
        <v>980</v>
      </c>
      <c r="B410" s="1" t="s">
        <v>1060</v>
      </c>
      <c r="C410" s="1" t="s">
        <v>1060</v>
      </c>
      <c r="D410" s="3" t="s">
        <v>1061</v>
      </c>
      <c r="E410" s="3">
        <v>100</v>
      </c>
      <c r="F410" s="3">
        <v>100</v>
      </c>
      <c r="G410" s="1" t="s">
        <v>17</v>
      </c>
      <c r="H410" s="1" t="s">
        <v>17</v>
      </c>
      <c r="I410" s="1" t="s">
        <v>12</v>
      </c>
      <c r="J410" s="1">
        <v>0</v>
      </c>
      <c r="K410" s="1" t="s">
        <v>12</v>
      </c>
      <c r="L410" s="1" t="s">
        <v>7</v>
      </c>
      <c r="M410" s="25"/>
      <c r="N410" s="25" t="str">
        <f>IFERROR(VLOOKUP(Tableau3[[#This Row],[Denomination Sociale]],Tableau7[],1,0),"")</f>
        <v/>
      </c>
      <c r="O410" s="25" t="str">
        <f>VLOOKUP(Tableau3[[#This Row],[Denomination Sociale]],Tableau6[],1,0)</f>
        <v>OUSMANE SOW</v>
      </c>
      <c r="P410" s="25" t="s">
        <v>1060</v>
      </c>
      <c r="Q410" s="25" t="str">
        <f>VLOOKUP(Tableau3[[#This Row],[Denomination Sociale]],Tableau6[],1,1)</f>
        <v>OUSMANE SOW</v>
      </c>
      <c r="R410" s="25" t="s">
        <v>980</v>
      </c>
    </row>
    <row r="411" spans="1:18" x14ac:dyDescent="0.35">
      <c r="A411" s="24" t="s">
        <v>8</v>
      </c>
      <c r="B411" s="1" t="s">
        <v>556</v>
      </c>
      <c r="C411" s="1" t="s">
        <v>557</v>
      </c>
      <c r="D411" s="3" t="s">
        <v>558</v>
      </c>
      <c r="E411" s="3" t="s">
        <v>12</v>
      </c>
      <c r="F411" s="3" t="s">
        <v>12</v>
      </c>
      <c r="G411" s="1" t="s">
        <v>559</v>
      </c>
      <c r="H411" s="1" t="s">
        <v>559</v>
      </c>
      <c r="I411" s="1" t="s">
        <v>12</v>
      </c>
      <c r="J411" s="1">
        <v>0</v>
      </c>
      <c r="K411" s="1" t="s">
        <v>12</v>
      </c>
      <c r="L411" s="1" t="s">
        <v>7</v>
      </c>
      <c r="M411" s="25"/>
      <c r="N411" s="25" t="str">
        <f>IFERROR(VLOOKUP(Tableau3[[#This Row],[Denomination Sociale]],Tableau7[],1,0),"")</f>
        <v/>
      </c>
      <c r="O411" s="25" t="e">
        <f>VLOOKUP(Tableau3[[#This Row],[Denomination Sociale]],Tableau6[],1,0)</f>
        <v>#N/A</v>
      </c>
      <c r="P411" s="25"/>
      <c r="Q411" s="25" t="str">
        <f>VLOOKUP(Tableau3[[#This Row],[Denomination Sociale]],Tableau6[],1,1)</f>
        <v>NOUVELLES SOCIETE DES MINES ET DES TRAVAUX PUBLIQUES</v>
      </c>
      <c r="R411" s="25" t="s">
        <v>8</v>
      </c>
    </row>
    <row r="412" spans="1:18" x14ac:dyDescent="0.35">
      <c r="A412" s="24" t="s">
        <v>980</v>
      </c>
      <c r="B412" s="1" t="s">
        <v>15557</v>
      </c>
      <c r="C412" s="1" t="s">
        <v>1101</v>
      </c>
      <c r="D412" s="3" t="s">
        <v>1102</v>
      </c>
      <c r="E412" s="3">
        <v>50</v>
      </c>
      <c r="F412" s="3">
        <v>50</v>
      </c>
      <c r="G412" s="1" t="s">
        <v>17</v>
      </c>
      <c r="H412" s="1"/>
      <c r="I412" s="1">
        <v>0</v>
      </c>
      <c r="J412" s="1" t="s">
        <v>12</v>
      </c>
      <c r="K412" s="1" t="s">
        <v>12</v>
      </c>
      <c r="L412" s="1" t="s">
        <v>7</v>
      </c>
      <c r="M412" s="25"/>
      <c r="N412" s="25" t="str">
        <f>IFERROR(VLOOKUP(Tableau3[[#This Row],[Denomination Sociale]],Tableau7[],1,0),"")</f>
        <v/>
      </c>
      <c r="O412" s="25" t="e">
        <f>VLOOKUP(Tableau3[[#This Row],[Denomination Sociale]],Tableau6[],1,0)</f>
        <v>#N/A</v>
      </c>
      <c r="P412" s="25"/>
      <c r="Q412" s="25" t="str">
        <f>VLOOKUP(Tableau3[[#This Row],[Denomination Sociale]],Tableau6[],1,1)</f>
        <v>OXIM SERVICES</v>
      </c>
      <c r="R412" s="25" t="s">
        <v>980</v>
      </c>
    </row>
    <row r="413" spans="1:18" x14ac:dyDescent="0.35">
      <c r="A413" s="24" t="s">
        <v>980</v>
      </c>
      <c r="B413" s="1" t="s">
        <v>15557</v>
      </c>
      <c r="C413" s="1" t="s">
        <v>1103</v>
      </c>
      <c r="D413" s="3" t="s">
        <v>1102</v>
      </c>
      <c r="E413" s="3">
        <v>50</v>
      </c>
      <c r="F413" s="3">
        <v>50</v>
      </c>
      <c r="G413" s="1" t="s">
        <v>17</v>
      </c>
      <c r="H413" s="1"/>
      <c r="I413" s="1">
        <v>0</v>
      </c>
      <c r="J413" s="1" t="s">
        <v>12</v>
      </c>
      <c r="K413" s="1" t="s">
        <v>12</v>
      </c>
      <c r="L413" s="1" t="s">
        <v>7</v>
      </c>
      <c r="M413" s="25"/>
      <c r="N413" s="25" t="str">
        <f>IFERROR(VLOOKUP(Tableau3[[#This Row],[Denomination Sociale]],Tableau7[],1,0),"")</f>
        <v/>
      </c>
      <c r="O413" s="25" t="e">
        <f>VLOOKUP(Tableau3[[#This Row],[Denomination Sociale]],Tableau6[],1,0)</f>
        <v>#N/A</v>
      </c>
      <c r="P413" s="25"/>
      <c r="Q413" s="25" t="str">
        <f>VLOOKUP(Tableau3[[#This Row],[Denomination Sociale]],Tableau6[],1,1)</f>
        <v>OXIM SERVICES</v>
      </c>
      <c r="R413" s="25" t="s">
        <v>980</v>
      </c>
    </row>
    <row r="414" spans="1:18" x14ac:dyDescent="0.35">
      <c r="A414" s="24" t="s">
        <v>8</v>
      </c>
      <c r="B414" s="1" t="s">
        <v>15111</v>
      </c>
      <c r="C414" s="1" t="s">
        <v>446</v>
      </c>
      <c r="D414" s="3" t="s">
        <v>562</v>
      </c>
      <c r="E414" s="3">
        <v>40</v>
      </c>
      <c r="F414" s="3">
        <v>40</v>
      </c>
      <c r="G414" s="1" t="s">
        <v>17</v>
      </c>
      <c r="H414" s="1" t="s">
        <v>17</v>
      </c>
      <c r="I414" s="1" t="s">
        <v>12</v>
      </c>
      <c r="J414" s="1">
        <v>0</v>
      </c>
      <c r="K414" s="1" t="s">
        <v>12</v>
      </c>
      <c r="L414" s="1" t="s">
        <v>7</v>
      </c>
      <c r="M414" s="25"/>
      <c r="N414" s="25" t="str">
        <f>IFERROR(VLOOKUP(Tableau3[[#This Row],[Denomination Sociale]],Tableau7[],1,0),"")</f>
        <v/>
      </c>
      <c r="O414" s="25" t="e">
        <f>VLOOKUP(Tableau3[[#This Row],[Denomination Sociale]],Tableau6[],1,0)</f>
        <v>#N/A</v>
      </c>
      <c r="P414" s="25"/>
      <c r="Q414" s="25" t="str">
        <f>VLOOKUP(Tableau3[[#This Row],[Denomination Sociale]],Tableau6[],1,1)</f>
        <v>PANAFRICAIN MINERALS RESSOURCES LTD; SAHEL INVESTMENT &amp; CONSULTING</v>
      </c>
      <c r="R414" s="25" t="s">
        <v>8</v>
      </c>
    </row>
    <row r="415" spans="1:18" x14ac:dyDescent="0.35">
      <c r="A415" s="24" t="s">
        <v>8</v>
      </c>
      <c r="B415" s="1" t="s">
        <v>15111</v>
      </c>
      <c r="C415" s="1" t="s">
        <v>561</v>
      </c>
      <c r="D415" s="3" t="s">
        <v>562</v>
      </c>
      <c r="E415" s="3">
        <v>30</v>
      </c>
      <c r="F415" s="3">
        <v>30</v>
      </c>
      <c r="G415" s="1" t="s">
        <v>17</v>
      </c>
      <c r="H415" s="1" t="s">
        <v>17</v>
      </c>
      <c r="I415" s="1" t="s">
        <v>12</v>
      </c>
      <c r="J415" s="1">
        <v>0</v>
      </c>
      <c r="K415" s="1" t="s">
        <v>12</v>
      </c>
      <c r="L415" s="1" t="s">
        <v>7</v>
      </c>
      <c r="M415" s="25"/>
      <c r="N415" s="25" t="str">
        <f>IFERROR(VLOOKUP(Tableau3[[#This Row],[Denomination Sociale]],Tableau7[],1,0),"")</f>
        <v/>
      </c>
      <c r="O415" s="25" t="e">
        <f>VLOOKUP(Tableau3[[#This Row],[Denomination Sociale]],Tableau6[],1,0)</f>
        <v>#N/A</v>
      </c>
      <c r="P415" s="25"/>
      <c r="Q415" s="25" t="str">
        <f>VLOOKUP(Tableau3[[#This Row],[Denomination Sociale]],Tableau6[],1,1)</f>
        <v>PANAFRICAIN MINERALS RESSOURCES LTD; SAHEL INVESTMENT &amp; CONSULTING</v>
      </c>
      <c r="R415" s="25" t="s">
        <v>8</v>
      </c>
    </row>
    <row r="416" spans="1:18" x14ac:dyDescent="0.35">
      <c r="A416" s="24" t="s">
        <v>8</v>
      </c>
      <c r="B416" s="1" t="s">
        <v>15111</v>
      </c>
      <c r="C416" s="1" t="s">
        <v>563</v>
      </c>
      <c r="D416" s="3" t="s">
        <v>562</v>
      </c>
      <c r="E416" s="3">
        <v>30</v>
      </c>
      <c r="F416" s="3">
        <v>30</v>
      </c>
      <c r="G416" s="1" t="s">
        <v>17</v>
      </c>
      <c r="H416" s="1" t="s">
        <v>17</v>
      </c>
      <c r="I416" s="1" t="s">
        <v>12</v>
      </c>
      <c r="J416" s="1">
        <v>0</v>
      </c>
      <c r="K416" s="1" t="s">
        <v>12</v>
      </c>
      <c r="L416" s="1" t="s">
        <v>7</v>
      </c>
      <c r="M416" s="25"/>
      <c r="N416" s="25" t="str">
        <f>IFERROR(VLOOKUP(Tableau3[[#This Row],[Denomination Sociale]],Tableau7[],1,0),"")</f>
        <v/>
      </c>
      <c r="O416" s="25" t="e">
        <f>VLOOKUP(Tableau3[[#This Row],[Denomination Sociale]],Tableau6[],1,0)</f>
        <v>#N/A</v>
      </c>
      <c r="P416" s="25"/>
      <c r="Q416" s="25" t="str">
        <f>VLOOKUP(Tableau3[[#This Row],[Denomination Sociale]],Tableau6[],1,1)</f>
        <v>PANAFRICAIN MINERALS RESSOURCES LTD; SAHEL INVESTMENT &amp; CONSULTING</v>
      </c>
      <c r="R416" s="25" t="s">
        <v>8</v>
      </c>
    </row>
    <row r="417" spans="1:18" x14ac:dyDescent="0.35">
      <c r="A417" s="24" t="s">
        <v>8</v>
      </c>
      <c r="B417" s="1" t="s">
        <v>15112</v>
      </c>
      <c r="C417" s="1" t="s">
        <v>1126</v>
      </c>
      <c r="D417" s="3" t="s">
        <v>1127</v>
      </c>
      <c r="E417" s="3">
        <v>34</v>
      </c>
      <c r="F417" s="3">
        <v>34</v>
      </c>
      <c r="G417" s="1" t="s">
        <v>17</v>
      </c>
      <c r="H417" s="1"/>
      <c r="I417" s="1">
        <v>0</v>
      </c>
      <c r="J417" s="1" t="s">
        <v>12</v>
      </c>
      <c r="K417" s="1" t="s">
        <v>12</v>
      </c>
      <c r="L417" s="1" t="s">
        <v>7</v>
      </c>
      <c r="M417" s="25"/>
      <c r="N417" s="25" t="str">
        <f>IFERROR(VLOOKUP(Tableau3[[#This Row],[Denomination Sociale]],Tableau7[],1,0),"")</f>
        <v/>
      </c>
      <c r="O417" s="25" t="e">
        <f>VLOOKUP(Tableau3[[#This Row],[Denomination Sociale]],Tableau6[],1,0)</f>
        <v>#N/A</v>
      </c>
      <c r="P417" s="25"/>
      <c r="Q417" s="25" t="str">
        <f>VLOOKUP(Tableau3[[#This Row],[Denomination Sociale]],Tableau6[],1,1)</f>
        <v>PETOWAL MINING COMPANY (PMC) SA</v>
      </c>
      <c r="R417" s="25" t="s">
        <v>8</v>
      </c>
    </row>
    <row r="418" spans="1:18" x14ac:dyDescent="0.35">
      <c r="A418" s="24" t="s">
        <v>8</v>
      </c>
      <c r="B418" s="1" t="s">
        <v>15112</v>
      </c>
      <c r="C418" s="1" t="s">
        <v>1128</v>
      </c>
      <c r="D418" s="3" t="s">
        <v>1127</v>
      </c>
      <c r="E418" s="3" t="s">
        <v>12</v>
      </c>
      <c r="F418" s="3" t="s">
        <v>12</v>
      </c>
      <c r="G418" s="1" t="s">
        <v>17</v>
      </c>
      <c r="H418" s="1"/>
      <c r="I418" s="1">
        <v>0</v>
      </c>
      <c r="J418" s="1" t="s">
        <v>12</v>
      </c>
      <c r="K418" s="1" t="s">
        <v>12</v>
      </c>
      <c r="L418" s="1" t="s">
        <v>7</v>
      </c>
      <c r="M418" s="25"/>
      <c r="N418" s="25" t="str">
        <f>IFERROR(VLOOKUP(Tableau3[[#This Row],[Denomination Sociale]],Tableau7[],1,0),"")</f>
        <v/>
      </c>
      <c r="O418" s="25" t="e">
        <f>VLOOKUP(Tableau3[[#This Row],[Denomination Sociale]],Tableau6[],1,0)</f>
        <v>#N/A</v>
      </c>
      <c r="P418" s="25"/>
      <c r="Q418" s="25" t="str">
        <f>VLOOKUP(Tableau3[[#This Row],[Denomination Sociale]],Tableau6[],1,1)</f>
        <v>PETOWAL MINING COMPANY (PMC) SA</v>
      </c>
      <c r="R418" s="25" t="s">
        <v>8</v>
      </c>
    </row>
    <row r="419" spans="1:18" x14ac:dyDescent="0.35">
      <c r="A419" s="24" t="s">
        <v>8</v>
      </c>
      <c r="B419" s="1" t="s">
        <v>15112</v>
      </c>
      <c r="C419" s="1" t="s">
        <v>1129</v>
      </c>
      <c r="D419" s="3" t="s">
        <v>1127</v>
      </c>
      <c r="E419" s="3" t="s">
        <v>12</v>
      </c>
      <c r="F419" s="3" t="s">
        <v>12</v>
      </c>
      <c r="G419" s="1" t="s">
        <v>17</v>
      </c>
      <c r="H419" s="1"/>
      <c r="I419" s="1">
        <v>0</v>
      </c>
      <c r="J419" s="1" t="s">
        <v>12</v>
      </c>
      <c r="K419" s="1" t="s">
        <v>12</v>
      </c>
      <c r="L419" s="1" t="s">
        <v>7</v>
      </c>
      <c r="M419" s="25"/>
      <c r="N419" s="25" t="str">
        <f>IFERROR(VLOOKUP(Tableau3[[#This Row],[Denomination Sociale]],Tableau7[],1,0),"")</f>
        <v/>
      </c>
      <c r="O419" s="25" t="e">
        <f>VLOOKUP(Tableau3[[#This Row],[Denomination Sociale]],Tableau6[],1,0)</f>
        <v>#N/A</v>
      </c>
      <c r="P419" s="25"/>
      <c r="Q419" s="25" t="str">
        <f>VLOOKUP(Tableau3[[#This Row],[Denomination Sociale]],Tableau6[],1,1)</f>
        <v>PETOWAL MINING COMPANY (PMC) SA</v>
      </c>
      <c r="R419" s="25" t="s">
        <v>8</v>
      </c>
    </row>
    <row r="420" spans="1:18" x14ac:dyDescent="0.35">
      <c r="A420" s="24" t="s">
        <v>8</v>
      </c>
      <c r="B420" s="1" t="s">
        <v>564</v>
      </c>
      <c r="C420" s="1" t="s">
        <v>565</v>
      </c>
      <c r="D420" s="3" t="s">
        <v>566</v>
      </c>
      <c r="E420" s="3">
        <v>100</v>
      </c>
      <c r="F420" s="3">
        <v>100</v>
      </c>
      <c r="G420" s="1" t="s">
        <v>17</v>
      </c>
      <c r="H420" s="1" t="s">
        <v>17</v>
      </c>
      <c r="I420" s="1" t="s">
        <v>12</v>
      </c>
      <c r="J420" s="1">
        <v>0</v>
      </c>
      <c r="K420" s="1" t="s">
        <v>12</v>
      </c>
      <c r="L420" s="1" t="s">
        <v>7</v>
      </c>
      <c r="M420" s="25"/>
      <c r="N420" s="25" t="str">
        <f>IFERROR(VLOOKUP(Tableau3[[#This Row],[Denomination Sociale]],Tableau7[],1,0),"")</f>
        <v/>
      </c>
      <c r="O420" s="25" t="str">
        <f>VLOOKUP(Tableau3[[#This Row],[Denomination Sociale]],Tableau6[],1,0)</f>
        <v>PIKINE MINING</v>
      </c>
      <c r="P420" s="25" t="s">
        <v>564</v>
      </c>
      <c r="Q420" s="25" t="str">
        <f>VLOOKUP(Tableau3[[#This Row],[Denomination Sociale]],Tableau6[],1,1)</f>
        <v>PIKINE MINING</v>
      </c>
      <c r="R420" s="25" t="s">
        <v>8</v>
      </c>
    </row>
    <row r="421" spans="1:18" x14ac:dyDescent="0.35">
      <c r="A421" s="24" t="s">
        <v>8</v>
      </c>
      <c r="B421" s="1" t="s">
        <v>15112</v>
      </c>
      <c r="C421" s="1" t="s">
        <v>1130</v>
      </c>
      <c r="D421" s="3" t="s">
        <v>1127</v>
      </c>
      <c r="E421" s="3">
        <v>10</v>
      </c>
      <c r="F421" s="3">
        <v>10</v>
      </c>
      <c r="G421" s="1" t="s">
        <v>17</v>
      </c>
      <c r="H421" s="1"/>
      <c r="I421" s="1">
        <v>0</v>
      </c>
      <c r="J421" s="1" t="s">
        <v>12</v>
      </c>
      <c r="K421" s="1" t="s">
        <v>12</v>
      </c>
      <c r="L421" s="1" t="s">
        <v>7</v>
      </c>
      <c r="M421" s="25"/>
      <c r="N421" s="25" t="str">
        <f>IFERROR(VLOOKUP(Tableau3[[#This Row],[Denomination Sociale]],Tableau7[],1,0),"")</f>
        <v/>
      </c>
      <c r="O421" s="25" t="e">
        <f>VLOOKUP(Tableau3[[#This Row],[Denomination Sociale]],Tableau6[],1,0)</f>
        <v>#N/A</v>
      </c>
      <c r="P421" s="25"/>
      <c r="Q421" s="25" t="str">
        <f>VLOOKUP(Tableau3[[#This Row],[Denomination Sociale]],Tableau6[],1,1)</f>
        <v>PETOWAL MINING COMPANY (PMC) SA</v>
      </c>
      <c r="R421" s="25" t="s">
        <v>8</v>
      </c>
    </row>
    <row r="422" spans="1:18" x14ac:dyDescent="0.35">
      <c r="A422" s="24" t="s">
        <v>873</v>
      </c>
      <c r="B422" s="1" t="s">
        <v>1114</v>
      </c>
      <c r="C422" s="1" t="s">
        <v>1115</v>
      </c>
      <c r="D422" s="3" t="s">
        <v>1116</v>
      </c>
      <c r="E422" s="3" t="s">
        <v>12</v>
      </c>
      <c r="F422" s="3" t="s">
        <v>12</v>
      </c>
      <c r="G422" s="1" t="s">
        <v>17</v>
      </c>
      <c r="H422" s="1"/>
      <c r="I422" s="1">
        <v>0</v>
      </c>
      <c r="J422" s="1" t="s">
        <v>12</v>
      </c>
      <c r="K422" s="1" t="s">
        <v>12</v>
      </c>
      <c r="L422" s="1" t="s">
        <v>7</v>
      </c>
      <c r="M422" s="25"/>
      <c r="N422" s="25" t="str">
        <f>IFERROR(VLOOKUP(Tableau3[[#This Row],[Denomination Sociale]],Tableau7[],1,0),"")</f>
        <v/>
      </c>
      <c r="O422" s="25" t="e">
        <f>VLOOKUP(Tableau3[[#This Row],[Denomination Sociale]],Tableau6[],1,0)</f>
        <v>#N/A</v>
      </c>
      <c r="P422" s="25"/>
      <c r="Q422" s="25" t="str">
        <f>VLOOKUP(Tableau3[[#This Row],[Denomination Sociale]],Tableau6[],1,1)</f>
        <v>PIKINE MINING</v>
      </c>
      <c r="R422" s="25" t="s">
        <v>873</v>
      </c>
    </row>
    <row r="423" spans="1:18" x14ac:dyDescent="0.35">
      <c r="A423" s="24" t="s">
        <v>873</v>
      </c>
      <c r="B423" s="1" t="s">
        <v>1114</v>
      </c>
      <c r="C423" s="1" t="s">
        <v>1117</v>
      </c>
      <c r="D423" s="3" t="s">
        <v>1116</v>
      </c>
      <c r="E423" s="3" t="s">
        <v>12</v>
      </c>
      <c r="F423" s="3" t="s">
        <v>12</v>
      </c>
      <c r="G423" s="1" t="s">
        <v>17</v>
      </c>
      <c r="H423" s="1"/>
      <c r="I423" s="1">
        <v>0</v>
      </c>
      <c r="J423" s="1" t="s">
        <v>12</v>
      </c>
      <c r="K423" s="1" t="s">
        <v>12</v>
      </c>
      <c r="L423" s="1" t="s">
        <v>7</v>
      </c>
      <c r="M423" s="25"/>
      <c r="N423" s="25" t="str">
        <f>IFERROR(VLOOKUP(Tableau3[[#This Row],[Denomination Sociale]],Tableau7[],1,0),"")</f>
        <v/>
      </c>
      <c r="O423" s="25" t="e">
        <f>VLOOKUP(Tableau3[[#This Row],[Denomination Sociale]],Tableau6[],1,0)</f>
        <v>#N/A</v>
      </c>
      <c r="P423" s="25"/>
      <c r="Q423" s="25" t="str">
        <f>VLOOKUP(Tableau3[[#This Row],[Denomination Sociale]],Tableau6[],1,1)</f>
        <v>PIKINE MINING</v>
      </c>
      <c r="R423" s="25" t="s">
        <v>873</v>
      </c>
    </row>
    <row r="424" spans="1:18" x14ac:dyDescent="0.35">
      <c r="A424" s="24" t="s">
        <v>8</v>
      </c>
      <c r="B424" s="1" t="s">
        <v>567</v>
      </c>
      <c r="C424" s="1" t="s">
        <v>568</v>
      </c>
      <c r="D424" s="3" t="s">
        <v>569</v>
      </c>
      <c r="E424" s="3" t="s">
        <v>12</v>
      </c>
      <c r="F424" s="3" t="s">
        <v>12</v>
      </c>
      <c r="G424" s="1" t="s">
        <v>17</v>
      </c>
      <c r="H424" s="1" t="s">
        <v>17</v>
      </c>
      <c r="I424" s="1" t="s">
        <v>12</v>
      </c>
      <c r="J424" s="1">
        <v>0</v>
      </c>
      <c r="K424" s="1" t="s">
        <v>12</v>
      </c>
      <c r="L424" s="1" t="s">
        <v>7</v>
      </c>
      <c r="M424" s="25"/>
      <c r="N424" s="25" t="str">
        <f>IFERROR(VLOOKUP(Tableau3[[#This Row],[Denomination Sociale]],Tableau7[],1,0),"")</f>
        <v/>
      </c>
      <c r="O424" s="25" t="str">
        <f>VLOOKUP(Tableau3[[#This Row],[Denomination Sociale]],Tableau6[],1,0)</f>
        <v>PROSPECTIUNI</v>
      </c>
      <c r="P424" s="25" t="s">
        <v>567</v>
      </c>
      <c r="Q424" s="25" t="str">
        <f>VLOOKUP(Tableau3[[#This Row],[Denomination Sociale]],Tableau6[],1,1)</f>
        <v>PROSPECTIUNI</v>
      </c>
      <c r="R424" s="25" t="s">
        <v>8</v>
      </c>
    </row>
    <row r="425" spans="1:18" x14ac:dyDescent="0.35">
      <c r="A425" s="24" t="s">
        <v>873</v>
      </c>
      <c r="B425" s="1" t="s">
        <v>1114</v>
      </c>
      <c r="C425" s="1" t="s">
        <v>1118</v>
      </c>
      <c r="D425" s="3" t="s">
        <v>1116</v>
      </c>
      <c r="E425" s="3" t="s">
        <v>12</v>
      </c>
      <c r="F425" s="3" t="s">
        <v>12</v>
      </c>
      <c r="G425" s="1" t="s">
        <v>17</v>
      </c>
      <c r="H425" s="1"/>
      <c r="I425" s="1">
        <v>0</v>
      </c>
      <c r="J425" s="1" t="s">
        <v>12</v>
      </c>
      <c r="K425" s="1" t="s">
        <v>12</v>
      </c>
      <c r="L425" s="1" t="s">
        <v>7</v>
      </c>
      <c r="M425" s="25"/>
      <c r="N425" s="25" t="str">
        <f>IFERROR(VLOOKUP(Tableau3[[#This Row],[Denomination Sociale]],Tableau7[],1,0),"")</f>
        <v/>
      </c>
      <c r="O425" s="25" t="e">
        <f>VLOOKUP(Tableau3[[#This Row],[Denomination Sociale]],Tableau6[],1,0)</f>
        <v>#N/A</v>
      </c>
      <c r="P425" s="25"/>
      <c r="Q425" s="25" t="str">
        <f>VLOOKUP(Tableau3[[#This Row],[Denomination Sociale]],Tableau6[],1,1)</f>
        <v>PIKINE MINING</v>
      </c>
      <c r="R425" s="25" t="s">
        <v>873</v>
      </c>
    </row>
    <row r="426" spans="1:18" x14ac:dyDescent="0.35">
      <c r="A426" s="24" t="s">
        <v>980</v>
      </c>
      <c r="B426" s="1" t="s">
        <v>15249</v>
      </c>
      <c r="C426" s="1" t="s">
        <v>1014</v>
      </c>
      <c r="D426" s="3" t="s">
        <v>1015</v>
      </c>
      <c r="E426" s="3">
        <v>100</v>
      </c>
      <c r="F426" s="3">
        <v>100</v>
      </c>
      <c r="G426" s="1" t="s">
        <v>17</v>
      </c>
      <c r="H426" s="1" t="s">
        <v>17</v>
      </c>
      <c r="I426" s="1" t="s">
        <v>12</v>
      </c>
      <c r="J426" s="1">
        <v>0</v>
      </c>
      <c r="K426" s="1" t="s">
        <v>12</v>
      </c>
      <c r="L426" s="1" t="s">
        <v>7</v>
      </c>
      <c r="M426" s="25"/>
      <c r="N426" s="25" t="str">
        <f>IFERROR(VLOOKUP(Tableau3[[#This Row],[Denomination Sociale]],Tableau7[],1,0),"")</f>
        <v/>
      </c>
      <c r="O426" s="25" t="str">
        <f>VLOOKUP(Tableau3[[#This Row],[Denomination Sociale]],Tableau6[],1,0)</f>
        <v>PS - SENECAT</v>
      </c>
      <c r="P426" s="25" t="s">
        <v>15249</v>
      </c>
      <c r="Q426" s="25" t="str">
        <f>VLOOKUP(Tableau3[[#This Row],[Denomination Sociale]],Tableau6[],1,1)</f>
        <v>PRYM'OR</v>
      </c>
      <c r="R426" s="25" t="s">
        <v>980</v>
      </c>
    </row>
    <row r="427" spans="1:18" x14ac:dyDescent="0.35">
      <c r="A427" s="24" t="s">
        <v>8</v>
      </c>
      <c r="B427" s="1" t="s">
        <v>570</v>
      </c>
      <c r="C427" s="1" t="s">
        <v>173</v>
      </c>
      <c r="D427" s="3" t="s">
        <v>571</v>
      </c>
      <c r="E427" s="3">
        <v>5</v>
      </c>
      <c r="F427" s="3">
        <v>5</v>
      </c>
      <c r="G427" s="1" t="s">
        <v>17</v>
      </c>
      <c r="H427" s="1" t="s">
        <v>17</v>
      </c>
      <c r="I427" s="1" t="s">
        <v>12</v>
      </c>
      <c r="J427" s="1">
        <v>0</v>
      </c>
      <c r="K427" s="1" t="s">
        <v>12</v>
      </c>
      <c r="L427" s="1" t="s">
        <v>7</v>
      </c>
      <c r="M427" s="25"/>
      <c r="N427" s="25" t="str">
        <f>IFERROR(VLOOKUP(Tableau3[[#This Row],[Denomination Sociale]],Tableau7[],1,0),"")</f>
        <v/>
      </c>
      <c r="O427" s="25" t="str">
        <f>VLOOKUP(Tableau3[[#This Row],[Denomination Sociale]],Tableau6[],1,0)</f>
        <v>Q M D COMPANY</v>
      </c>
      <c r="P427" s="25" t="s">
        <v>570</v>
      </c>
      <c r="Q427" s="25" t="str">
        <f>VLOOKUP(Tableau3[[#This Row],[Denomination Sociale]],Tableau6[],1,1)</f>
        <v>PS - SENECAT</v>
      </c>
      <c r="R427" s="25" t="s">
        <v>8</v>
      </c>
    </row>
    <row r="428" spans="1:18" x14ac:dyDescent="0.35">
      <c r="A428" s="24" t="s">
        <v>8</v>
      </c>
      <c r="B428" s="1" t="s">
        <v>570</v>
      </c>
      <c r="C428" s="1" t="s">
        <v>174</v>
      </c>
      <c r="D428" s="3" t="s">
        <v>571</v>
      </c>
      <c r="E428" s="3">
        <v>5</v>
      </c>
      <c r="F428" s="3">
        <v>5</v>
      </c>
      <c r="G428" s="1" t="s">
        <v>17</v>
      </c>
      <c r="H428" s="1" t="s">
        <v>17</v>
      </c>
      <c r="I428" s="1" t="s">
        <v>12</v>
      </c>
      <c r="J428" s="1">
        <v>0</v>
      </c>
      <c r="K428" s="1" t="s">
        <v>12</v>
      </c>
      <c r="L428" s="1" t="s">
        <v>7</v>
      </c>
      <c r="M428" s="25"/>
      <c r="N428" s="25" t="str">
        <f>IFERROR(VLOOKUP(Tableau3[[#This Row],[Denomination Sociale]],Tableau7[],1,0),"")</f>
        <v/>
      </c>
      <c r="O428" s="25" t="str">
        <f>VLOOKUP(Tableau3[[#This Row],[Denomination Sociale]],Tableau6[],1,0)</f>
        <v>Q M D COMPANY</v>
      </c>
      <c r="P428" s="25" t="s">
        <v>570</v>
      </c>
      <c r="Q428" s="25" t="str">
        <f>VLOOKUP(Tableau3[[#This Row],[Denomination Sociale]],Tableau6[],1,1)</f>
        <v>PS - SENECAT</v>
      </c>
      <c r="R428" s="25" t="s">
        <v>8</v>
      </c>
    </row>
    <row r="429" spans="1:18" x14ac:dyDescent="0.35">
      <c r="A429" s="24" t="s">
        <v>8</v>
      </c>
      <c r="B429" s="1" t="s">
        <v>15113</v>
      </c>
      <c r="C429" s="1" t="s">
        <v>573</v>
      </c>
      <c r="D429" s="3" t="s">
        <v>574</v>
      </c>
      <c r="E429" s="3">
        <v>50</v>
      </c>
      <c r="F429" s="3">
        <v>50</v>
      </c>
      <c r="G429" s="1" t="s">
        <v>17</v>
      </c>
      <c r="H429" s="1" t="s">
        <v>17</v>
      </c>
      <c r="I429" s="1" t="s">
        <v>12</v>
      </c>
      <c r="J429" s="1">
        <v>0</v>
      </c>
      <c r="K429" s="1" t="s">
        <v>12</v>
      </c>
      <c r="L429" s="1" t="s">
        <v>7</v>
      </c>
      <c r="M429" s="25"/>
      <c r="N429" s="25" t="str">
        <f>IFERROR(VLOOKUP(Tableau3[[#This Row],[Denomination Sociale]],Tableau7[],1,0),"")</f>
        <v/>
      </c>
      <c r="O429" s="25" t="str">
        <f>VLOOKUP(Tableau3[[#This Row],[Denomination Sociale]],Tableau6[],1,0)</f>
        <v>RACKY PRESTATIONS TECHNIQUES</v>
      </c>
      <c r="P429" s="25" t="s">
        <v>15113</v>
      </c>
      <c r="Q429" s="25" t="str">
        <f>VLOOKUP(Tableau3[[#This Row],[Denomination Sociale]],Tableau6[],1,1)</f>
        <v>RACKY PRESTATIONS TECHNIQUES</v>
      </c>
      <c r="R429" s="25" t="s">
        <v>8</v>
      </c>
    </row>
    <row r="430" spans="1:18" x14ac:dyDescent="0.35">
      <c r="A430" s="24" t="s">
        <v>8</v>
      </c>
      <c r="B430" s="1" t="s">
        <v>570</v>
      </c>
      <c r="C430" s="1" t="s">
        <v>374</v>
      </c>
      <c r="D430" s="3" t="s">
        <v>571</v>
      </c>
      <c r="E430" s="3">
        <v>90</v>
      </c>
      <c r="F430" s="3">
        <v>90</v>
      </c>
      <c r="G430" s="1" t="s">
        <v>17</v>
      </c>
      <c r="H430" s="1" t="s">
        <v>17</v>
      </c>
      <c r="I430" s="1" t="s">
        <v>12</v>
      </c>
      <c r="J430" s="1">
        <v>0</v>
      </c>
      <c r="K430" s="1" t="s">
        <v>12</v>
      </c>
      <c r="L430" s="1" t="s">
        <v>7</v>
      </c>
      <c r="M430" s="25"/>
      <c r="N430" s="25" t="str">
        <f>IFERROR(VLOOKUP(Tableau3[[#This Row],[Denomination Sociale]],Tableau7[],1,0),"")</f>
        <v/>
      </c>
      <c r="O430" s="25" t="str">
        <f>VLOOKUP(Tableau3[[#This Row],[Denomination Sociale]],Tableau6[],1,0)</f>
        <v>Q M D COMPANY</v>
      </c>
      <c r="P430" s="25" t="s">
        <v>570</v>
      </c>
      <c r="Q430" s="25" t="str">
        <f>VLOOKUP(Tableau3[[#This Row],[Denomination Sociale]],Tableau6[],1,1)</f>
        <v>PS - SENECAT</v>
      </c>
      <c r="R430" s="25" t="s">
        <v>8</v>
      </c>
    </row>
    <row r="431" spans="1:18" x14ac:dyDescent="0.35">
      <c r="A431" s="24" t="s">
        <v>8</v>
      </c>
      <c r="B431" s="1" t="s">
        <v>578</v>
      </c>
      <c r="C431" s="1" t="s">
        <v>579</v>
      </c>
      <c r="D431" s="3" t="s">
        <v>580</v>
      </c>
      <c r="E431" s="3">
        <v>5</v>
      </c>
      <c r="F431" s="3">
        <v>5</v>
      </c>
      <c r="G431" s="1" t="s">
        <v>17</v>
      </c>
      <c r="H431" s="1" t="s">
        <v>17</v>
      </c>
      <c r="I431" s="1" t="s">
        <v>12</v>
      </c>
      <c r="J431" s="1">
        <v>0</v>
      </c>
      <c r="K431" s="1" t="s">
        <v>12</v>
      </c>
      <c r="L431" s="1" t="s">
        <v>7</v>
      </c>
      <c r="M431" s="25"/>
      <c r="N431" s="25" t="str">
        <f>IFERROR(VLOOKUP(Tableau3[[#This Row],[Denomination Sociale]],Tableau7[],1,0),"")</f>
        <v/>
      </c>
      <c r="O431" s="25" t="str">
        <f>VLOOKUP(Tableau3[[#This Row],[Denomination Sociale]],Tableau6[],1,0)</f>
        <v>RESEAU NATIONAL DES BIJOUTIERS DU SENEGAL</v>
      </c>
      <c r="P431" s="25" t="s">
        <v>578</v>
      </c>
      <c r="Q431" s="25" t="str">
        <f>VLOOKUP(Tableau3[[#This Row],[Denomination Sociale]],Tableau6[],1,1)</f>
        <v>RESEAU NATIONAL DES BIJOUTIERS DU SENEGAL</v>
      </c>
      <c r="R431" s="25" t="s">
        <v>8</v>
      </c>
    </row>
    <row r="432" spans="1:18" x14ac:dyDescent="0.35">
      <c r="A432" s="24" t="s">
        <v>8</v>
      </c>
      <c r="B432" s="1" t="s">
        <v>578</v>
      </c>
      <c r="C432" s="1" t="s">
        <v>581</v>
      </c>
      <c r="D432" s="3" t="s">
        <v>580</v>
      </c>
      <c r="E432" s="3">
        <v>5</v>
      </c>
      <c r="F432" s="3">
        <v>5</v>
      </c>
      <c r="G432" s="1" t="s">
        <v>17</v>
      </c>
      <c r="H432" s="1" t="s">
        <v>17</v>
      </c>
      <c r="I432" s="1" t="s">
        <v>12</v>
      </c>
      <c r="J432" s="1">
        <v>0</v>
      </c>
      <c r="K432" s="1" t="s">
        <v>12</v>
      </c>
      <c r="L432" s="1" t="s">
        <v>7</v>
      </c>
      <c r="M432" s="25"/>
      <c r="N432" s="25" t="str">
        <f>IFERROR(VLOOKUP(Tableau3[[#This Row],[Denomination Sociale]],Tableau7[],1,0),"")</f>
        <v/>
      </c>
      <c r="O432" s="25" t="str">
        <f>VLOOKUP(Tableau3[[#This Row],[Denomination Sociale]],Tableau6[],1,0)</f>
        <v>RESEAU NATIONAL DES BIJOUTIERS DU SENEGAL</v>
      </c>
      <c r="P432" s="25" t="s">
        <v>578</v>
      </c>
      <c r="Q432" s="25" t="str">
        <f>VLOOKUP(Tableau3[[#This Row],[Denomination Sociale]],Tableau6[],1,1)</f>
        <v>RESEAU NATIONAL DES BIJOUTIERS DU SENEGAL</v>
      </c>
      <c r="R432" s="25" t="s">
        <v>8</v>
      </c>
    </row>
    <row r="433" spans="1:18" x14ac:dyDescent="0.35">
      <c r="A433" s="24" t="s">
        <v>8</v>
      </c>
      <c r="B433" s="1" t="s">
        <v>578</v>
      </c>
      <c r="C433" s="1" t="s">
        <v>582</v>
      </c>
      <c r="D433" s="3" t="s">
        <v>580</v>
      </c>
      <c r="E433" s="3">
        <v>10</v>
      </c>
      <c r="F433" s="3">
        <v>10</v>
      </c>
      <c r="G433" s="1" t="s">
        <v>17</v>
      </c>
      <c r="H433" s="1" t="s">
        <v>17</v>
      </c>
      <c r="I433" s="1" t="s">
        <v>12</v>
      </c>
      <c r="J433" s="1">
        <v>0</v>
      </c>
      <c r="K433" s="1" t="s">
        <v>12</v>
      </c>
      <c r="L433" s="1" t="s">
        <v>7</v>
      </c>
      <c r="M433" s="25"/>
      <c r="N433" s="25" t="str">
        <f>IFERROR(VLOOKUP(Tableau3[[#This Row],[Denomination Sociale]],Tableau7[],1,0),"")</f>
        <v/>
      </c>
      <c r="O433" s="25" t="str">
        <f>VLOOKUP(Tableau3[[#This Row],[Denomination Sociale]],Tableau6[],1,0)</f>
        <v>RESEAU NATIONAL DES BIJOUTIERS DU SENEGAL</v>
      </c>
      <c r="P433" s="25" t="s">
        <v>578</v>
      </c>
      <c r="Q433" s="25" t="str">
        <f>VLOOKUP(Tableau3[[#This Row],[Denomination Sociale]],Tableau6[],1,1)</f>
        <v>RESEAU NATIONAL DES BIJOUTIERS DU SENEGAL</v>
      </c>
      <c r="R433" s="25" t="s">
        <v>8</v>
      </c>
    </row>
    <row r="434" spans="1:18" x14ac:dyDescent="0.35">
      <c r="A434" s="24" t="s">
        <v>8</v>
      </c>
      <c r="B434" s="1" t="s">
        <v>578</v>
      </c>
      <c r="C434" s="1" t="s">
        <v>583</v>
      </c>
      <c r="D434" s="3" t="s">
        <v>580</v>
      </c>
      <c r="E434" s="3">
        <v>10</v>
      </c>
      <c r="F434" s="3">
        <v>10</v>
      </c>
      <c r="G434" s="1" t="s">
        <v>17</v>
      </c>
      <c r="H434" s="1" t="s">
        <v>17</v>
      </c>
      <c r="I434" s="1" t="s">
        <v>12</v>
      </c>
      <c r="J434" s="1">
        <v>0</v>
      </c>
      <c r="K434" s="1" t="s">
        <v>12</v>
      </c>
      <c r="L434" s="1" t="s">
        <v>7</v>
      </c>
      <c r="M434" s="25"/>
      <c r="N434" s="25" t="str">
        <f>IFERROR(VLOOKUP(Tableau3[[#This Row],[Denomination Sociale]],Tableau7[],1,0),"")</f>
        <v/>
      </c>
      <c r="O434" s="25" t="str">
        <f>VLOOKUP(Tableau3[[#This Row],[Denomination Sociale]],Tableau6[],1,0)</f>
        <v>RESEAU NATIONAL DES BIJOUTIERS DU SENEGAL</v>
      </c>
      <c r="P434" s="25" t="s">
        <v>578</v>
      </c>
      <c r="Q434" s="25" t="str">
        <f>VLOOKUP(Tableau3[[#This Row],[Denomination Sociale]],Tableau6[],1,1)</f>
        <v>RESEAU NATIONAL DES BIJOUTIERS DU SENEGAL</v>
      </c>
      <c r="R434" s="25" t="s">
        <v>8</v>
      </c>
    </row>
    <row r="435" spans="1:18" x14ac:dyDescent="0.35">
      <c r="A435" s="24" t="s">
        <v>8</v>
      </c>
      <c r="B435" s="1" t="s">
        <v>578</v>
      </c>
      <c r="C435" s="1" t="s">
        <v>584</v>
      </c>
      <c r="D435" s="3" t="s">
        <v>580</v>
      </c>
      <c r="E435" s="3">
        <v>5</v>
      </c>
      <c r="F435" s="3">
        <v>5</v>
      </c>
      <c r="G435" s="1" t="s">
        <v>17</v>
      </c>
      <c r="H435" s="1" t="s">
        <v>17</v>
      </c>
      <c r="I435" s="1" t="s">
        <v>12</v>
      </c>
      <c r="J435" s="1">
        <v>0</v>
      </c>
      <c r="K435" s="1" t="s">
        <v>12</v>
      </c>
      <c r="L435" s="1" t="s">
        <v>7</v>
      </c>
      <c r="M435" s="25"/>
      <c r="N435" s="25" t="str">
        <f>IFERROR(VLOOKUP(Tableau3[[#This Row],[Denomination Sociale]],Tableau7[],1,0),"")</f>
        <v/>
      </c>
      <c r="O435" s="25" t="str">
        <f>VLOOKUP(Tableau3[[#This Row],[Denomination Sociale]],Tableau6[],1,0)</f>
        <v>RESEAU NATIONAL DES BIJOUTIERS DU SENEGAL</v>
      </c>
      <c r="P435" s="25" t="s">
        <v>578</v>
      </c>
      <c r="Q435" s="25" t="str">
        <f>VLOOKUP(Tableau3[[#This Row],[Denomination Sociale]],Tableau6[],1,1)</f>
        <v>RESEAU NATIONAL DES BIJOUTIERS DU SENEGAL</v>
      </c>
      <c r="R435" s="25" t="s">
        <v>8</v>
      </c>
    </row>
    <row r="436" spans="1:18" x14ac:dyDescent="0.35">
      <c r="A436" s="24" t="s">
        <v>8</v>
      </c>
      <c r="B436" s="1" t="s">
        <v>578</v>
      </c>
      <c r="C436" s="1" t="s">
        <v>585</v>
      </c>
      <c r="D436" s="3" t="s">
        <v>580</v>
      </c>
      <c r="E436" s="3">
        <v>10</v>
      </c>
      <c r="F436" s="3">
        <v>10</v>
      </c>
      <c r="G436" s="1" t="s">
        <v>17</v>
      </c>
      <c r="H436" s="1" t="s">
        <v>17</v>
      </c>
      <c r="I436" s="1" t="s">
        <v>12</v>
      </c>
      <c r="J436" s="1">
        <v>0</v>
      </c>
      <c r="K436" s="1" t="s">
        <v>12</v>
      </c>
      <c r="L436" s="1" t="s">
        <v>7</v>
      </c>
      <c r="M436" s="25"/>
      <c r="N436" s="25" t="str">
        <f>IFERROR(VLOOKUP(Tableau3[[#This Row],[Denomination Sociale]],Tableau7[],1,0),"")</f>
        <v/>
      </c>
      <c r="O436" s="25" t="str">
        <f>VLOOKUP(Tableau3[[#This Row],[Denomination Sociale]],Tableau6[],1,0)</f>
        <v>RESEAU NATIONAL DES BIJOUTIERS DU SENEGAL</v>
      </c>
      <c r="P436" s="25" t="s">
        <v>578</v>
      </c>
      <c r="Q436" s="25" t="str">
        <f>VLOOKUP(Tableau3[[#This Row],[Denomination Sociale]],Tableau6[],1,1)</f>
        <v>RESEAU NATIONAL DES BIJOUTIERS DU SENEGAL</v>
      </c>
      <c r="R436" s="25" t="s">
        <v>8</v>
      </c>
    </row>
    <row r="437" spans="1:18" x14ac:dyDescent="0.35">
      <c r="A437" s="24" t="s">
        <v>8</v>
      </c>
      <c r="B437" s="1" t="s">
        <v>578</v>
      </c>
      <c r="C437" s="1" t="s">
        <v>466</v>
      </c>
      <c r="D437" s="3" t="s">
        <v>580</v>
      </c>
      <c r="E437" s="3">
        <v>55</v>
      </c>
      <c r="F437" s="3">
        <v>55</v>
      </c>
      <c r="G437" s="1" t="s">
        <v>17</v>
      </c>
      <c r="H437" s="1" t="s">
        <v>17</v>
      </c>
      <c r="I437" s="1" t="s">
        <v>12</v>
      </c>
      <c r="J437" s="1">
        <v>0</v>
      </c>
      <c r="K437" s="1" t="s">
        <v>12</v>
      </c>
      <c r="L437" s="1" t="s">
        <v>7</v>
      </c>
      <c r="M437" s="25"/>
      <c r="N437" s="25" t="str">
        <f>IFERROR(VLOOKUP(Tableau3[[#This Row],[Denomination Sociale]],Tableau7[],1,0),"")</f>
        <v/>
      </c>
      <c r="O437" s="25" t="str">
        <f>VLOOKUP(Tableau3[[#This Row],[Denomination Sociale]],Tableau6[],1,0)</f>
        <v>RESEAU NATIONAL DES BIJOUTIERS DU SENEGAL</v>
      </c>
      <c r="P437" s="25" t="s">
        <v>578</v>
      </c>
      <c r="Q437" s="25" t="str">
        <f>VLOOKUP(Tableau3[[#This Row],[Denomination Sociale]],Tableau6[],1,1)</f>
        <v>RESEAU NATIONAL DES BIJOUTIERS DU SENEGAL</v>
      </c>
      <c r="R437" s="25" t="s">
        <v>8</v>
      </c>
    </row>
    <row r="438" spans="1:18" x14ac:dyDescent="0.35">
      <c r="A438" s="24" t="s">
        <v>8</v>
      </c>
      <c r="B438" s="1" t="s">
        <v>586</v>
      </c>
      <c r="C438" s="1" t="s">
        <v>496</v>
      </c>
      <c r="D438" s="3" t="s">
        <v>587</v>
      </c>
      <c r="E438" s="3" t="s">
        <v>12</v>
      </c>
      <c r="F438" s="3" t="s">
        <v>12</v>
      </c>
      <c r="G438" s="1" t="s">
        <v>380</v>
      </c>
      <c r="H438" s="1" t="s">
        <v>380</v>
      </c>
      <c r="I438" s="1" t="s">
        <v>12</v>
      </c>
      <c r="J438" s="1">
        <v>0</v>
      </c>
      <c r="K438" s="1" t="s">
        <v>12</v>
      </c>
      <c r="L438" s="1" t="s">
        <v>7</v>
      </c>
      <c r="M438" s="25"/>
      <c r="N438" s="25" t="str">
        <f>IFERROR(VLOOKUP(Tableau3[[#This Row],[Denomination Sociale]],Tableau7[],1,0),"")</f>
        <v/>
      </c>
      <c r="O438" s="25" t="str">
        <f>VLOOKUP(Tableau3[[#This Row],[Denomination Sociale]],Tableau6[],1,0)</f>
        <v>SABODALA GOLD OPERATIONS</v>
      </c>
      <c r="P438" s="25" t="s">
        <v>586</v>
      </c>
      <c r="Q438" s="25" t="str">
        <f>VLOOKUP(Tableau3[[#This Row],[Denomination Sociale]],Tableau6[],1,1)</f>
        <v>SABODALA GOLD OPERATIONS</v>
      </c>
      <c r="R438" s="25" t="s">
        <v>8</v>
      </c>
    </row>
    <row r="439" spans="1:18" x14ac:dyDescent="0.35">
      <c r="A439" s="24" t="s">
        <v>8</v>
      </c>
      <c r="B439" s="1" t="s">
        <v>586</v>
      </c>
      <c r="C439" s="1" t="s">
        <v>498</v>
      </c>
      <c r="D439" s="3" t="s">
        <v>587</v>
      </c>
      <c r="E439" s="3" t="s">
        <v>12</v>
      </c>
      <c r="F439" s="3" t="s">
        <v>12</v>
      </c>
      <c r="G439" s="1" t="s">
        <v>499</v>
      </c>
      <c r="H439" s="1" t="s">
        <v>499</v>
      </c>
      <c r="I439" s="1" t="s">
        <v>500</v>
      </c>
      <c r="J439" s="1">
        <v>1</v>
      </c>
      <c r="K439" s="1" t="s">
        <v>501</v>
      </c>
      <c r="L439" s="1" t="s">
        <v>7</v>
      </c>
      <c r="M439" s="25"/>
      <c r="N439" s="25" t="str">
        <f>IFERROR(VLOOKUP(Tableau3[[#This Row],[Denomination Sociale]],Tableau7[],1,0),"")</f>
        <v/>
      </c>
      <c r="O439" s="25" t="str">
        <f>VLOOKUP(Tableau3[[#This Row],[Denomination Sociale]],Tableau6[],1,0)</f>
        <v>SABODALA GOLD OPERATIONS</v>
      </c>
      <c r="P439" s="25" t="s">
        <v>586</v>
      </c>
      <c r="Q439" s="25" t="str">
        <f>VLOOKUP(Tableau3[[#This Row],[Denomination Sociale]],Tableau6[],1,1)</f>
        <v>SABODALA GOLD OPERATIONS</v>
      </c>
      <c r="R439" s="25" t="s">
        <v>8</v>
      </c>
    </row>
    <row r="440" spans="1:18" x14ac:dyDescent="0.35">
      <c r="A440" s="24" t="s">
        <v>8</v>
      </c>
      <c r="B440" s="1" t="s">
        <v>586</v>
      </c>
      <c r="C440" s="1" t="s">
        <v>498</v>
      </c>
      <c r="D440" s="3" t="s">
        <v>587</v>
      </c>
      <c r="E440" s="3" t="s">
        <v>12</v>
      </c>
      <c r="F440" s="3" t="s">
        <v>12</v>
      </c>
      <c r="G440" s="1" t="s">
        <v>499</v>
      </c>
      <c r="H440" s="1" t="s">
        <v>499</v>
      </c>
      <c r="I440" s="1" t="s">
        <v>499</v>
      </c>
      <c r="J440" s="1">
        <v>1</v>
      </c>
      <c r="K440" s="1" t="s">
        <v>501</v>
      </c>
      <c r="L440" s="1" t="s">
        <v>7</v>
      </c>
      <c r="M440" s="25"/>
      <c r="N440" s="25" t="str">
        <f>IFERROR(VLOOKUP(Tableau3[[#This Row],[Denomination Sociale]],Tableau7[],1,0),"")</f>
        <v/>
      </c>
      <c r="O440" s="25" t="str">
        <f>VLOOKUP(Tableau3[[#This Row],[Denomination Sociale]],Tableau6[],1,0)</f>
        <v>SABODALA GOLD OPERATIONS</v>
      </c>
      <c r="P440" s="25" t="s">
        <v>586</v>
      </c>
      <c r="Q440" s="25" t="str">
        <f>VLOOKUP(Tableau3[[#This Row],[Denomination Sociale]],Tableau6[],1,1)</f>
        <v>SABODALA GOLD OPERATIONS</v>
      </c>
      <c r="R440" s="25" t="s">
        <v>8</v>
      </c>
    </row>
    <row r="441" spans="1:18" x14ac:dyDescent="0.35">
      <c r="A441" s="24" t="s">
        <v>8</v>
      </c>
      <c r="B441" s="1" t="s">
        <v>7087</v>
      </c>
      <c r="C441" s="1" t="s">
        <v>496</v>
      </c>
      <c r="D441" s="3" t="s">
        <v>589</v>
      </c>
      <c r="E441" s="3" t="s">
        <v>12</v>
      </c>
      <c r="F441" s="3" t="s">
        <v>12</v>
      </c>
      <c r="G441" s="1" t="s">
        <v>380</v>
      </c>
      <c r="H441" s="1" t="s">
        <v>380</v>
      </c>
      <c r="I441" s="1" t="s">
        <v>12</v>
      </c>
      <c r="J441" s="1">
        <v>0</v>
      </c>
      <c r="K441" s="1" t="s">
        <v>12</v>
      </c>
      <c r="L441" s="1" t="s">
        <v>7</v>
      </c>
      <c r="M441" s="25"/>
      <c r="N441" s="25" t="str">
        <f>IFERROR(VLOOKUP(Tableau3[[#This Row],[Denomination Sociale]],Tableau7[],1,0),"")</f>
        <v/>
      </c>
      <c r="O441" s="25" t="str">
        <f>VLOOKUP(Tableau3[[#This Row],[Denomination Sociale]],Tableau6[],1,0)</f>
        <v>SABODALA MINING COMPANY</v>
      </c>
      <c r="P441" s="25" t="s">
        <v>7087</v>
      </c>
      <c r="Q441" s="25" t="str">
        <f>VLOOKUP(Tableau3[[#This Row],[Denomination Sociale]],Tableau6[],1,1)</f>
        <v>SABODALA MINING COMPANY</v>
      </c>
      <c r="R441" s="25" t="s">
        <v>8</v>
      </c>
    </row>
    <row r="442" spans="1:18" x14ac:dyDescent="0.35">
      <c r="A442" s="24" t="s">
        <v>8</v>
      </c>
      <c r="B442" s="1" t="s">
        <v>7087</v>
      </c>
      <c r="C442" s="1" t="s">
        <v>498</v>
      </c>
      <c r="D442" s="3" t="s">
        <v>589</v>
      </c>
      <c r="E442" s="3" t="s">
        <v>12</v>
      </c>
      <c r="F442" s="3" t="s">
        <v>12</v>
      </c>
      <c r="G442" s="1" t="s">
        <v>499</v>
      </c>
      <c r="H442" s="1" t="s">
        <v>499</v>
      </c>
      <c r="I442" s="1" t="s">
        <v>500</v>
      </c>
      <c r="J442" s="1">
        <v>1</v>
      </c>
      <c r="K442" s="1" t="s">
        <v>501</v>
      </c>
      <c r="L442" s="1" t="s">
        <v>7</v>
      </c>
      <c r="M442" s="25"/>
      <c r="N442" s="25" t="str">
        <f>IFERROR(VLOOKUP(Tableau3[[#This Row],[Denomination Sociale]],Tableau7[],1,0),"")</f>
        <v/>
      </c>
      <c r="O442" s="25" t="str">
        <f>VLOOKUP(Tableau3[[#This Row],[Denomination Sociale]],Tableau6[],1,0)</f>
        <v>SABODALA MINING COMPANY</v>
      </c>
      <c r="P442" s="25" t="s">
        <v>7087</v>
      </c>
      <c r="Q442" s="25" t="str">
        <f>VLOOKUP(Tableau3[[#This Row],[Denomination Sociale]],Tableau6[],1,1)</f>
        <v>SABODALA MINING COMPANY</v>
      </c>
      <c r="R442" s="25" t="s">
        <v>8</v>
      </c>
    </row>
    <row r="443" spans="1:18" x14ac:dyDescent="0.35">
      <c r="A443" s="24" t="s">
        <v>8</v>
      </c>
      <c r="B443" s="1" t="s">
        <v>7087</v>
      </c>
      <c r="C443" s="1" t="s">
        <v>498</v>
      </c>
      <c r="D443" s="3" t="s">
        <v>589</v>
      </c>
      <c r="E443" s="3" t="s">
        <v>12</v>
      </c>
      <c r="F443" s="3" t="s">
        <v>12</v>
      </c>
      <c r="G443" s="1" t="s">
        <v>499</v>
      </c>
      <c r="H443" s="1" t="s">
        <v>499</v>
      </c>
      <c r="I443" s="1" t="s">
        <v>499</v>
      </c>
      <c r="J443" s="1">
        <v>1</v>
      </c>
      <c r="K443" s="1" t="s">
        <v>501</v>
      </c>
      <c r="L443" s="1" t="s">
        <v>7</v>
      </c>
      <c r="M443" s="25"/>
      <c r="N443" s="25" t="str">
        <f>IFERROR(VLOOKUP(Tableau3[[#This Row],[Denomination Sociale]],Tableau7[],1,0),"")</f>
        <v/>
      </c>
      <c r="O443" s="25" t="str">
        <f>VLOOKUP(Tableau3[[#This Row],[Denomination Sociale]],Tableau6[],1,0)</f>
        <v>SABODALA MINING COMPANY</v>
      </c>
      <c r="P443" s="25" t="s">
        <v>7087</v>
      </c>
      <c r="Q443" s="25" t="str">
        <f>VLOOKUP(Tableau3[[#This Row],[Denomination Sociale]],Tableau6[],1,1)</f>
        <v>SABODALA MINING COMPANY</v>
      </c>
      <c r="R443" s="25" t="s">
        <v>8</v>
      </c>
    </row>
    <row r="444" spans="1:18" x14ac:dyDescent="0.35">
      <c r="A444" s="24" t="s">
        <v>8</v>
      </c>
      <c r="B444" s="1" t="s">
        <v>590</v>
      </c>
      <c r="C444" s="1" t="s">
        <v>591</v>
      </c>
      <c r="D444" s="3" t="s">
        <v>592</v>
      </c>
      <c r="E444" s="3">
        <v>5</v>
      </c>
      <c r="F444" s="3">
        <v>5</v>
      </c>
      <c r="G444" s="1" t="s">
        <v>17</v>
      </c>
      <c r="H444" s="1" t="s">
        <v>17</v>
      </c>
      <c r="I444" s="1" t="s">
        <v>12</v>
      </c>
      <c r="J444" s="1">
        <v>0</v>
      </c>
      <c r="K444" s="1" t="s">
        <v>12</v>
      </c>
      <c r="L444" s="1" t="s">
        <v>7</v>
      </c>
      <c r="M444" s="25"/>
      <c r="N444" s="25" t="str">
        <f>IFERROR(VLOOKUP(Tableau3[[#This Row],[Denomination Sociale]],Tableau7[],1,0),"")</f>
        <v/>
      </c>
      <c r="O444" s="25" t="str">
        <f>VLOOKUP(Tableau3[[#This Row],[Denomination Sociale]],Tableau6[],1,0)</f>
        <v>SAHAD COMPAGNY</v>
      </c>
      <c r="P444" s="25" t="s">
        <v>590</v>
      </c>
      <c r="Q444" s="25" t="str">
        <f>VLOOKUP(Tableau3[[#This Row],[Denomination Sociale]],Tableau6[],1,1)</f>
        <v>SAHAD COMPAGNY</v>
      </c>
      <c r="R444" s="25" t="s">
        <v>8</v>
      </c>
    </row>
    <row r="445" spans="1:18" x14ac:dyDescent="0.35">
      <c r="A445" s="24" t="s">
        <v>8</v>
      </c>
      <c r="B445" s="1" t="s">
        <v>590</v>
      </c>
      <c r="C445" s="1" t="s">
        <v>174</v>
      </c>
      <c r="D445" s="3" t="s">
        <v>592</v>
      </c>
      <c r="E445" s="3">
        <v>95</v>
      </c>
      <c r="F445" s="3">
        <v>95</v>
      </c>
      <c r="G445" s="1" t="s">
        <v>17</v>
      </c>
      <c r="H445" s="1" t="s">
        <v>17</v>
      </c>
      <c r="I445" s="1" t="s">
        <v>12</v>
      </c>
      <c r="J445" s="1">
        <v>0</v>
      </c>
      <c r="K445" s="1" t="s">
        <v>12</v>
      </c>
      <c r="L445" s="1" t="s">
        <v>7</v>
      </c>
      <c r="M445" s="25"/>
      <c r="N445" s="25" t="str">
        <f>IFERROR(VLOOKUP(Tableau3[[#This Row],[Denomination Sociale]],Tableau7[],1,0),"")</f>
        <v/>
      </c>
      <c r="O445" s="25" t="str">
        <f>VLOOKUP(Tableau3[[#This Row],[Denomination Sociale]],Tableau6[],1,0)</f>
        <v>SAHAD COMPAGNY</v>
      </c>
      <c r="P445" s="25" t="s">
        <v>590</v>
      </c>
      <c r="Q445" s="25" t="str">
        <f>VLOOKUP(Tableau3[[#This Row],[Denomination Sociale]],Tableau6[],1,1)</f>
        <v>SAHAD COMPAGNY</v>
      </c>
      <c r="R445" s="25" t="s">
        <v>8</v>
      </c>
    </row>
    <row r="446" spans="1:18" x14ac:dyDescent="0.35">
      <c r="A446" s="24" t="s">
        <v>8</v>
      </c>
      <c r="B446" s="1" t="s">
        <v>15462</v>
      </c>
      <c r="C446" s="1" t="s">
        <v>1135</v>
      </c>
      <c r="D446" s="3" t="s">
        <v>1136</v>
      </c>
      <c r="E446" s="3">
        <v>100</v>
      </c>
      <c r="F446" s="3">
        <v>100</v>
      </c>
      <c r="G446" s="1" t="s">
        <v>17</v>
      </c>
      <c r="H446" s="1"/>
      <c r="I446" s="1">
        <v>0</v>
      </c>
      <c r="J446" s="1" t="s">
        <v>12</v>
      </c>
      <c r="K446" s="1" t="s">
        <v>12</v>
      </c>
      <c r="L446" s="1" t="s">
        <v>7</v>
      </c>
      <c r="M446" s="25"/>
      <c r="N446" s="25" t="str">
        <f>IFERROR(VLOOKUP(Tableau3[[#This Row],[Denomination Sociale]],Tableau7[],1,0),"")</f>
        <v/>
      </c>
      <c r="O446" s="25" t="str">
        <f>VLOOKUP(Tableau3[[#This Row],[Denomination Sociale]],Tableau6[],1,0)</f>
        <v>SAHEL MINES ET LOGISTICS</v>
      </c>
      <c r="P446" s="25" t="s">
        <v>15462</v>
      </c>
      <c r="Q446" s="25" t="str">
        <f>VLOOKUP(Tableau3[[#This Row],[Denomination Sociale]],Tableau6[],1,1)</f>
        <v>SAHEL MINES ET LOGISTICS</v>
      </c>
      <c r="R446" s="25" t="s">
        <v>8</v>
      </c>
    </row>
    <row r="447" spans="1:18" x14ac:dyDescent="0.35">
      <c r="A447" s="24" t="s">
        <v>980</v>
      </c>
      <c r="B447" s="1" t="s">
        <v>15463</v>
      </c>
      <c r="C447" s="1" t="s">
        <v>999</v>
      </c>
      <c r="D447" s="3" t="s">
        <v>1000</v>
      </c>
      <c r="E447" s="3">
        <v>15</v>
      </c>
      <c r="F447" s="3">
        <v>15</v>
      </c>
      <c r="G447" s="1" t="s">
        <v>17</v>
      </c>
      <c r="H447" s="1" t="s">
        <v>17</v>
      </c>
      <c r="I447" s="1" t="s">
        <v>12</v>
      </c>
      <c r="J447" s="1">
        <v>0</v>
      </c>
      <c r="K447" s="1" t="s">
        <v>12</v>
      </c>
      <c r="L447" s="1" t="s">
        <v>7</v>
      </c>
      <c r="M447" s="25"/>
      <c r="N447" s="25" t="str">
        <f>IFERROR(VLOOKUP(Tableau3[[#This Row],[Denomination Sociale]],Tableau7[],1,0),"")</f>
        <v/>
      </c>
      <c r="O447" s="25" t="str">
        <f>VLOOKUP(Tableau3[[#This Row],[Denomination Sociale]],Tableau6[],1,0)</f>
        <v>SALAME ENTREPRISE</v>
      </c>
      <c r="P447" s="25" t="s">
        <v>15463</v>
      </c>
      <c r="Q447" s="25" t="str">
        <f>VLOOKUP(Tableau3[[#This Row],[Denomination Sociale]],Tableau6[],1,1)</f>
        <v>SALAME ENTREPRISE</v>
      </c>
      <c r="R447" s="25" t="s">
        <v>980</v>
      </c>
    </row>
    <row r="448" spans="1:18" x14ac:dyDescent="0.35">
      <c r="A448" s="24" t="s">
        <v>980</v>
      </c>
      <c r="B448" s="1" t="s">
        <v>15463</v>
      </c>
      <c r="C448" s="1" t="s">
        <v>1001</v>
      </c>
      <c r="D448" s="3" t="s">
        <v>1000</v>
      </c>
      <c r="E448" s="3">
        <v>15</v>
      </c>
      <c r="F448" s="3">
        <v>15</v>
      </c>
      <c r="G448" s="1" t="s">
        <v>17</v>
      </c>
      <c r="H448" s="1" t="s">
        <v>17</v>
      </c>
      <c r="I448" s="1" t="s">
        <v>12</v>
      </c>
      <c r="J448" s="1">
        <v>0</v>
      </c>
      <c r="K448" s="1" t="s">
        <v>12</v>
      </c>
      <c r="L448" s="1" t="s">
        <v>7</v>
      </c>
      <c r="M448" s="25"/>
      <c r="N448" s="25" t="str">
        <f>IFERROR(VLOOKUP(Tableau3[[#This Row],[Denomination Sociale]],Tableau7[],1,0),"")</f>
        <v/>
      </c>
      <c r="O448" s="25" t="str">
        <f>VLOOKUP(Tableau3[[#This Row],[Denomination Sociale]],Tableau6[],1,0)</f>
        <v>SALAME ENTREPRISE</v>
      </c>
      <c r="P448" s="25" t="s">
        <v>15463</v>
      </c>
      <c r="Q448" s="25" t="str">
        <f>VLOOKUP(Tableau3[[#This Row],[Denomination Sociale]],Tableau6[],1,1)</f>
        <v>SALAME ENTREPRISE</v>
      </c>
      <c r="R448" s="25" t="s">
        <v>980</v>
      </c>
    </row>
    <row r="449" spans="1:18" x14ac:dyDescent="0.35">
      <c r="A449" s="24" t="s">
        <v>980</v>
      </c>
      <c r="B449" s="1" t="s">
        <v>2840</v>
      </c>
      <c r="C449" s="1" t="s">
        <v>1016</v>
      </c>
      <c r="D449" s="3" t="s">
        <v>1017</v>
      </c>
      <c r="E449" s="3">
        <v>100</v>
      </c>
      <c r="F449" s="3">
        <v>100</v>
      </c>
      <c r="G449" s="1" t="s">
        <v>17</v>
      </c>
      <c r="H449" s="1" t="s">
        <v>17</v>
      </c>
      <c r="I449" s="1" t="s">
        <v>168</v>
      </c>
      <c r="J449" s="1">
        <v>0</v>
      </c>
      <c r="K449" s="1" t="s">
        <v>1018</v>
      </c>
      <c r="L449" s="1" t="s">
        <v>7</v>
      </c>
      <c r="M449" s="25"/>
      <c r="N449" s="25" t="str">
        <f>IFERROR(VLOOKUP(Tableau3[[#This Row],[Denomination Sociale]],Tableau7[],1,0),"")</f>
        <v/>
      </c>
      <c r="O449" s="25" t="str">
        <f>VLOOKUP(Tableau3[[#This Row],[Denomination Sociale]],Tableau6[],1,0)</f>
        <v>SALIOU MINES INDUSTRIES ET TECHNIQUES</v>
      </c>
      <c r="P449" s="25" t="s">
        <v>2840</v>
      </c>
      <c r="Q449" s="25" t="str">
        <f>VLOOKUP(Tableau3[[#This Row],[Denomination Sociale]],Tableau6[],1,1)</f>
        <v>SALIOU MINES INDUSTRIES ET TECHNIQUES</v>
      </c>
      <c r="R449" s="25" t="s">
        <v>980</v>
      </c>
    </row>
    <row r="450" spans="1:18" x14ac:dyDescent="0.35">
      <c r="A450" s="24" t="s">
        <v>980</v>
      </c>
      <c r="B450" s="1" t="s">
        <v>2840</v>
      </c>
      <c r="C450" s="1" t="s">
        <v>1016</v>
      </c>
      <c r="D450" s="3" t="s">
        <v>1017</v>
      </c>
      <c r="E450" s="3">
        <v>100</v>
      </c>
      <c r="F450" s="3">
        <v>100</v>
      </c>
      <c r="G450" s="1" t="s">
        <v>17</v>
      </c>
      <c r="H450" s="1" t="s">
        <v>17</v>
      </c>
      <c r="I450" s="1" t="s">
        <v>17</v>
      </c>
      <c r="J450" s="1">
        <v>0</v>
      </c>
      <c r="K450" s="1" t="s">
        <v>1018</v>
      </c>
      <c r="L450" s="1" t="s">
        <v>7</v>
      </c>
      <c r="M450" s="25"/>
      <c r="N450" s="25" t="str">
        <f>IFERROR(VLOOKUP(Tableau3[[#This Row],[Denomination Sociale]],Tableau7[],1,0),"")</f>
        <v/>
      </c>
      <c r="O450" s="25" t="str">
        <f>VLOOKUP(Tableau3[[#This Row],[Denomination Sociale]],Tableau6[],1,0)</f>
        <v>SALIOU MINES INDUSTRIES ET TECHNIQUES</v>
      </c>
      <c r="P450" s="25" t="s">
        <v>2840</v>
      </c>
      <c r="Q450" s="25" t="str">
        <f>VLOOKUP(Tableau3[[#This Row],[Denomination Sociale]],Tableau6[],1,1)</f>
        <v>SALIOU MINES INDUSTRIES ET TECHNIQUES</v>
      </c>
      <c r="R450" s="25" t="s">
        <v>980</v>
      </c>
    </row>
    <row r="451" spans="1:18" x14ac:dyDescent="0.35">
      <c r="A451" s="24" t="s">
        <v>8</v>
      </c>
      <c r="B451" s="1" t="s">
        <v>593</v>
      </c>
      <c r="C451" s="1" t="s">
        <v>594</v>
      </c>
      <c r="D451" s="3" t="s">
        <v>595</v>
      </c>
      <c r="E451" s="3">
        <v>20</v>
      </c>
      <c r="F451" s="3">
        <v>20</v>
      </c>
      <c r="G451" s="1" t="s">
        <v>17</v>
      </c>
      <c r="H451" s="1" t="s">
        <v>17</v>
      </c>
      <c r="I451" s="1" t="s">
        <v>12</v>
      </c>
      <c r="J451" s="1">
        <v>0</v>
      </c>
      <c r="K451" s="1" t="s">
        <v>12</v>
      </c>
      <c r="L451" s="1" t="s">
        <v>7</v>
      </c>
      <c r="M451" s="25"/>
      <c r="N451" s="25" t="str">
        <f>IFERROR(VLOOKUP(Tableau3[[#This Row],[Denomination Sociale]],Tableau7[],1,0),"")</f>
        <v/>
      </c>
      <c r="O451" s="25" t="str">
        <f>VLOOKUP(Tableau3[[#This Row],[Denomination Sociale]],Tableau6[],1,0)</f>
        <v>SAM INVEST</v>
      </c>
      <c r="P451" s="25" t="s">
        <v>593</v>
      </c>
      <c r="Q451" s="25" t="str">
        <f>VLOOKUP(Tableau3[[#This Row],[Denomination Sociale]],Tableau6[],1,1)</f>
        <v>SAM INVEST</v>
      </c>
      <c r="R451" s="25" t="s">
        <v>8</v>
      </c>
    </row>
    <row r="452" spans="1:18" x14ac:dyDescent="0.35">
      <c r="A452" s="24" t="s">
        <v>8</v>
      </c>
      <c r="B452" s="1" t="s">
        <v>593</v>
      </c>
      <c r="C452" s="1" t="s">
        <v>596</v>
      </c>
      <c r="D452" s="3" t="s">
        <v>595</v>
      </c>
      <c r="E452" s="3">
        <v>80</v>
      </c>
      <c r="F452" s="3">
        <v>80</v>
      </c>
      <c r="G452" s="1" t="s">
        <v>17</v>
      </c>
      <c r="H452" s="1" t="s">
        <v>17</v>
      </c>
      <c r="I452" s="1" t="s">
        <v>12</v>
      </c>
      <c r="J452" s="1">
        <v>0</v>
      </c>
      <c r="K452" s="1" t="s">
        <v>12</v>
      </c>
      <c r="L452" s="1" t="s">
        <v>7</v>
      </c>
      <c r="M452" s="25"/>
      <c r="N452" s="25" t="str">
        <f>IFERROR(VLOOKUP(Tableau3[[#This Row],[Denomination Sociale]],Tableau7[],1,0),"")</f>
        <v/>
      </c>
      <c r="O452" s="25" t="str">
        <f>VLOOKUP(Tableau3[[#This Row],[Denomination Sociale]],Tableau6[],1,0)</f>
        <v>SAM INVEST</v>
      </c>
      <c r="P452" s="25" t="s">
        <v>593</v>
      </c>
      <c r="Q452" s="25" t="str">
        <f>VLOOKUP(Tableau3[[#This Row],[Denomination Sociale]],Tableau6[],1,1)</f>
        <v>SAM INVEST</v>
      </c>
      <c r="R452" s="25" t="s">
        <v>8</v>
      </c>
    </row>
    <row r="453" spans="1:18" x14ac:dyDescent="0.35">
      <c r="A453" s="24" t="s">
        <v>8</v>
      </c>
      <c r="B453" s="1" t="s">
        <v>15558</v>
      </c>
      <c r="C453" s="1" t="s">
        <v>333</v>
      </c>
      <c r="D453" s="3" t="s">
        <v>598</v>
      </c>
      <c r="E453" s="3">
        <v>40</v>
      </c>
      <c r="F453" s="3">
        <v>40</v>
      </c>
      <c r="G453" s="1" t="s">
        <v>599</v>
      </c>
      <c r="H453" s="1" t="s">
        <v>599</v>
      </c>
      <c r="I453" s="1" t="s">
        <v>12</v>
      </c>
      <c r="J453" s="1">
        <v>0</v>
      </c>
      <c r="K453" s="1" t="s">
        <v>12</v>
      </c>
      <c r="L453" s="1" t="s">
        <v>7</v>
      </c>
      <c r="M453" s="25"/>
      <c r="N453" s="25" t="str">
        <f>IFERROR(VLOOKUP(Tableau3[[#This Row],[Denomination Sociale]],Tableau7[],1,0),"")</f>
        <v/>
      </c>
      <c r="O453" s="25" t="str">
        <f>VLOOKUP(Tableau3[[#This Row],[Denomination Sociale]],Tableau6[],1,0)</f>
        <v>SAMAGOLD</v>
      </c>
      <c r="P453" s="25" t="s">
        <v>15558</v>
      </c>
      <c r="Q453" s="25" t="str">
        <f>VLOOKUP(Tableau3[[#This Row],[Denomination Sociale]],Tableau6[],1,1)</f>
        <v>SAMAGOLD</v>
      </c>
      <c r="R453" s="25" t="s">
        <v>8</v>
      </c>
    </row>
    <row r="454" spans="1:18" x14ac:dyDescent="0.35">
      <c r="A454" s="24" t="s">
        <v>8</v>
      </c>
      <c r="B454" s="1" t="s">
        <v>15558</v>
      </c>
      <c r="C454" s="1" t="s">
        <v>600</v>
      </c>
      <c r="D454" s="3" t="s">
        <v>598</v>
      </c>
      <c r="E454" s="3">
        <v>60</v>
      </c>
      <c r="F454" s="3">
        <v>60</v>
      </c>
      <c r="G454" s="1" t="s">
        <v>17</v>
      </c>
      <c r="H454" s="1" t="s">
        <v>17</v>
      </c>
      <c r="I454" s="1" t="s">
        <v>12</v>
      </c>
      <c r="J454" s="1">
        <v>0</v>
      </c>
      <c r="K454" s="1" t="s">
        <v>12</v>
      </c>
      <c r="L454" s="1" t="s">
        <v>7</v>
      </c>
      <c r="M454" s="25"/>
      <c r="N454" s="25" t="str">
        <f>IFERROR(VLOOKUP(Tableau3[[#This Row],[Denomination Sociale]],Tableau7[],1,0),"")</f>
        <v/>
      </c>
      <c r="O454" s="25" t="str">
        <f>VLOOKUP(Tableau3[[#This Row],[Denomination Sociale]],Tableau6[],1,0)</f>
        <v>SAMAGOLD</v>
      </c>
      <c r="P454" s="25" t="s">
        <v>15558</v>
      </c>
      <c r="Q454" s="25" t="str">
        <f>VLOOKUP(Tableau3[[#This Row],[Denomination Sociale]],Tableau6[],1,1)</f>
        <v>SAMAGOLD</v>
      </c>
      <c r="R454" s="25" t="s">
        <v>8</v>
      </c>
    </row>
    <row r="455" spans="1:18" s="57" customFormat="1" x14ac:dyDescent="0.35">
      <c r="A455" s="53" t="s">
        <v>8</v>
      </c>
      <c r="B455" s="54" t="s">
        <v>15682</v>
      </c>
      <c r="C455" s="54" t="s">
        <v>266</v>
      </c>
      <c r="D455" s="55" t="s">
        <v>267</v>
      </c>
      <c r="E455" s="55">
        <v>100</v>
      </c>
      <c r="F455" s="55" t="s">
        <v>12</v>
      </c>
      <c r="G455" s="54" t="s">
        <v>17</v>
      </c>
      <c r="H455" s="54" t="s">
        <v>17</v>
      </c>
      <c r="I455" s="54" t="s">
        <v>12</v>
      </c>
      <c r="J455" s="54">
        <v>0</v>
      </c>
      <c r="K455" s="54" t="s">
        <v>12</v>
      </c>
      <c r="L455" s="54" t="s">
        <v>7</v>
      </c>
      <c r="M455" s="25"/>
      <c r="N455" s="56" t="str">
        <f>IFERROR(VLOOKUP(Tableau3[[#This Row],[Denomination Sociale]],Tableau7[],1,0),"")</f>
        <v/>
      </c>
      <c r="O455" s="56" t="e">
        <f>VLOOKUP(Tableau3[[#This Row],[Denomination Sociale]],Tableau6[],1,0)</f>
        <v>#N/A</v>
      </c>
      <c r="P455" s="56"/>
      <c r="Q455" s="56" t="str">
        <f>VLOOKUP(Tableau3[[#This Row],[Denomination Sociale]],Tableau6[],1,1)</f>
        <v>Q M D COMPANY</v>
      </c>
      <c r="R455" s="56" t="s">
        <v>8</v>
      </c>
    </row>
    <row r="456" spans="1:18" x14ac:dyDescent="0.35">
      <c r="A456" s="24" t="s">
        <v>8</v>
      </c>
      <c r="B456" s="1" t="s">
        <v>14204</v>
      </c>
      <c r="C456" s="1" t="s">
        <v>576</v>
      </c>
      <c r="D456" s="3" t="s">
        <v>577</v>
      </c>
      <c r="E456" s="3">
        <v>100</v>
      </c>
      <c r="F456" s="3" t="s">
        <v>12</v>
      </c>
      <c r="G456" s="1" t="s">
        <v>17</v>
      </c>
      <c r="H456" s="1" t="s">
        <v>17</v>
      </c>
      <c r="I456" s="1" t="s">
        <v>12</v>
      </c>
      <c r="J456" s="1">
        <v>0</v>
      </c>
      <c r="K456" s="1" t="s">
        <v>12</v>
      </c>
      <c r="L456" s="1" t="s">
        <v>7</v>
      </c>
      <c r="M456" s="25"/>
      <c r="N456" s="25" t="str">
        <f>IFERROR(VLOOKUP(Tableau3[[#This Row],[Denomination Sociale]],Tableau7[],1,0),"")</f>
        <v/>
      </c>
      <c r="O456" s="25" t="str">
        <f>VLOOKUP(Tableau3[[#This Row],[Denomination Sociale]],Tableau6[],1,0)</f>
        <v>RASSOUL MINING OIL GAS &amp; ENERGY</v>
      </c>
      <c r="P456" s="25" t="s">
        <v>14204</v>
      </c>
      <c r="Q456" s="25" t="str">
        <f>VLOOKUP(Tableau3[[#This Row],[Denomination Sociale]],Tableau6[],1,1)</f>
        <v>RASSOUL MINING OIL GAS &amp; ENERGY</v>
      </c>
      <c r="R456" s="25" t="s">
        <v>8</v>
      </c>
    </row>
    <row r="457" spans="1:18" s="57" customFormat="1" x14ac:dyDescent="0.35">
      <c r="A457" s="53" t="s">
        <v>8</v>
      </c>
      <c r="B457" s="54" t="s">
        <v>601</v>
      </c>
      <c r="C457" s="54" t="s">
        <v>602</v>
      </c>
      <c r="D457" s="55" t="s">
        <v>603</v>
      </c>
      <c r="E457" s="55">
        <v>12</v>
      </c>
      <c r="F457" s="55" t="s">
        <v>12</v>
      </c>
      <c r="G457" s="54" t="s">
        <v>17</v>
      </c>
      <c r="H457" s="54" t="s">
        <v>17</v>
      </c>
      <c r="I457" s="54" t="s">
        <v>12</v>
      </c>
      <c r="J457" s="54">
        <v>0</v>
      </c>
      <c r="K457" s="54" t="s">
        <v>12</v>
      </c>
      <c r="L457" s="54" t="s">
        <v>7</v>
      </c>
      <c r="M457" s="25"/>
      <c r="N457" s="56" t="str">
        <f>IFERROR(VLOOKUP(Tableau3[[#This Row],[Denomination Sociale]],Tableau7[],1,0),"")</f>
        <v/>
      </c>
      <c r="O457" s="56" t="e">
        <f>VLOOKUP(Tableau3[[#This Row],[Denomination Sociale]],Tableau6[],1,0)</f>
        <v>#N/A</v>
      </c>
      <c r="P457" s="56"/>
      <c r="Q457" s="56" t="str">
        <f>VLOOKUP(Tableau3[[#This Row],[Denomination Sociale]],Tableau6[],1,1)</f>
        <v>SAMEU BAY DOUNDE</v>
      </c>
      <c r="R457" s="56" t="s">
        <v>8</v>
      </c>
    </row>
    <row r="458" spans="1:18" s="57" customFormat="1" x14ac:dyDescent="0.35">
      <c r="A458" s="53" t="s">
        <v>8</v>
      </c>
      <c r="B458" s="54" t="s">
        <v>601</v>
      </c>
      <c r="C458" s="54" t="s">
        <v>604</v>
      </c>
      <c r="D458" s="55" t="s">
        <v>603</v>
      </c>
      <c r="E458" s="55">
        <v>12</v>
      </c>
      <c r="F458" s="55" t="s">
        <v>12</v>
      </c>
      <c r="G458" s="54" t="s">
        <v>17</v>
      </c>
      <c r="H458" s="54" t="s">
        <v>17</v>
      </c>
      <c r="I458" s="54" t="s">
        <v>12</v>
      </c>
      <c r="J458" s="54">
        <v>0</v>
      </c>
      <c r="K458" s="54" t="s">
        <v>12</v>
      </c>
      <c r="L458" s="54" t="s">
        <v>7</v>
      </c>
      <c r="M458" s="25"/>
      <c r="N458" s="56" t="str">
        <f>IFERROR(VLOOKUP(Tableau3[[#This Row],[Denomination Sociale]],Tableau7[],1,0),"")</f>
        <v/>
      </c>
      <c r="O458" s="56" t="e">
        <f>VLOOKUP(Tableau3[[#This Row],[Denomination Sociale]],Tableau6[],1,0)</f>
        <v>#N/A</v>
      </c>
      <c r="P458" s="56"/>
      <c r="Q458" s="56" t="str">
        <f>VLOOKUP(Tableau3[[#This Row],[Denomination Sociale]],Tableau6[],1,1)</f>
        <v>SAMEU BAY DOUNDE</v>
      </c>
      <c r="R458" s="56" t="s">
        <v>8</v>
      </c>
    </row>
    <row r="459" spans="1:18" s="57" customFormat="1" x14ac:dyDescent="0.35">
      <c r="A459" s="53" t="s">
        <v>8</v>
      </c>
      <c r="B459" s="54" t="s">
        <v>601</v>
      </c>
      <c r="C459" s="54" t="s">
        <v>605</v>
      </c>
      <c r="D459" s="55" t="s">
        <v>603</v>
      </c>
      <c r="E459" s="55">
        <v>12</v>
      </c>
      <c r="F459" s="55" t="s">
        <v>12</v>
      </c>
      <c r="G459" s="54" t="s">
        <v>17</v>
      </c>
      <c r="H459" s="54" t="s">
        <v>17</v>
      </c>
      <c r="I459" s="54" t="s">
        <v>12</v>
      </c>
      <c r="J459" s="54">
        <v>0</v>
      </c>
      <c r="K459" s="54" t="s">
        <v>12</v>
      </c>
      <c r="L459" s="54" t="s">
        <v>7</v>
      </c>
      <c r="M459" s="25"/>
      <c r="N459" s="56" t="str">
        <f>IFERROR(VLOOKUP(Tableau3[[#This Row],[Denomination Sociale]],Tableau7[],1,0),"")</f>
        <v/>
      </c>
      <c r="O459" s="56" t="e">
        <f>VLOOKUP(Tableau3[[#This Row],[Denomination Sociale]],Tableau6[],1,0)</f>
        <v>#N/A</v>
      </c>
      <c r="P459" s="56"/>
      <c r="Q459" s="56" t="str">
        <f>VLOOKUP(Tableau3[[#This Row],[Denomination Sociale]],Tableau6[],1,1)</f>
        <v>SAMEU BAY DOUNDE</v>
      </c>
      <c r="R459" s="56" t="s">
        <v>8</v>
      </c>
    </row>
    <row r="460" spans="1:18" s="57" customFormat="1" x14ac:dyDescent="0.35">
      <c r="A460" s="53" t="s">
        <v>8</v>
      </c>
      <c r="B460" s="54" t="s">
        <v>601</v>
      </c>
      <c r="C460" s="54" t="s">
        <v>606</v>
      </c>
      <c r="D460" s="55" t="s">
        <v>603</v>
      </c>
      <c r="E460" s="55">
        <v>12</v>
      </c>
      <c r="F460" s="55" t="s">
        <v>12</v>
      </c>
      <c r="G460" s="54" t="s">
        <v>17</v>
      </c>
      <c r="H460" s="54" t="s">
        <v>17</v>
      </c>
      <c r="I460" s="54" t="s">
        <v>12</v>
      </c>
      <c r="J460" s="54">
        <v>0</v>
      </c>
      <c r="K460" s="54" t="s">
        <v>12</v>
      </c>
      <c r="L460" s="54" t="s">
        <v>7</v>
      </c>
      <c r="M460" s="25"/>
      <c r="N460" s="56" t="str">
        <f>IFERROR(VLOOKUP(Tableau3[[#This Row],[Denomination Sociale]],Tableau7[],1,0),"")</f>
        <v/>
      </c>
      <c r="O460" s="56" t="e">
        <f>VLOOKUP(Tableau3[[#This Row],[Denomination Sociale]],Tableau6[],1,0)</f>
        <v>#N/A</v>
      </c>
      <c r="P460" s="56"/>
      <c r="Q460" s="56" t="str">
        <f>VLOOKUP(Tableau3[[#This Row],[Denomination Sociale]],Tableau6[],1,1)</f>
        <v>SAMEU BAY DOUNDE</v>
      </c>
      <c r="R460" s="56" t="s">
        <v>8</v>
      </c>
    </row>
    <row r="461" spans="1:18" s="57" customFormat="1" x14ac:dyDescent="0.35">
      <c r="A461" s="53" t="s">
        <v>8</v>
      </c>
      <c r="B461" s="54" t="s">
        <v>601</v>
      </c>
      <c r="C461" s="54" t="s">
        <v>607</v>
      </c>
      <c r="D461" s="55" t="s">
        <v>603</v>
      </c>
      <c r="E461" s="55">
        <v>80</v>
      </c>
      <c r="F461" s="55" t="s">
        <v>12</v>
      </c>
      <c r="G461" s="54" t="s">
        <v>17</v>
      </c>
      <c r="H461" s="54" t="s">
        <v>17</v>
      </c>
      <c r="I461" s="54" t="s">
        <v>12</v>
      </c>
      <c r="J461" s="54">
        <v>0</v>
      </c>
      <c r="K461" s="54" t="s">
        <v>12</v>
      </c>
      <c r="L461" s="54" t="s">
        <v>7</v>
      </c>
      <c r="M461" s="25"/>
      <c r="N461" s="56" t="str">
        <f>IFERROR(VLOOKUP(Tableau3[[#This Row],[Denomination Sociale]],Tableau7[],1,0),"")</f>
        <v/>
      </c>
      <c r="O461" s="56" t="e">
        <f>VLOOKUP(Tableau3[[#This Row],[Denomination Sociale]],Tableau6[],1,0)</f>
        <v>#N/A</v>
      </c>
      <c r="P461" s="56"/>
      <c r="Q461" s="56" t="str">
        <f>VLOOKUP(Tableau3[[#This Row],[Denomination Sociale]],Tableau6[],1,1)</f>
        <v>SAMEU BAY DOUNDE</v>
      </c>
      <c r="R461" s="56" t="s">
        <v>8</v>
      </c>
    </row>
    <row r="462" spans="1:18" x14ac:dyDescent="0.35">
      <c r="A462" s="24" t="s">
        <v>8</v>
      </c>
      <c r="B462" s="1" t="s">
        <v>608</v>
      </c>
      <c r="C462" s="1" t="s">
        <v>609</v>
      </c>
      <c r="D462" s="3" t="s">
        <v>610</v>
      </c>
      <c r="E462" s="3">
        <v>90</v>
      </c>
      <c r="F462" s="3" t="s">
        <v>12</v>
      </c>
      <c r="G462" s="1" t="s">
        <v>17</v>
      </c>
      <c r="H462" s="1" t="s">
        <v>17</v>
      </c>
      <c r="I462" s="1" t="s">
        <v>12</v>
      </c>
      <c r="J462" s="1">
        <v>0</v>
      </c>
      <c r="K462" s="1" t="s">
        <v>12</v>
      </c>
      <c r="L462" s="1" t="s">
        <v>7</v>
      </c>
      <c r="M462" s="25"/>
      <c r="N462" s="25" t="str">
        <f>IFERROR(VLOOKUP(Tableau3[[#This Row],[Denomination Sociale]],Tableau7[],1,0),"")</f>
        <v/>
      </c>
      <c r="O462" s="25" t="str">
        <f>VLOOKUP(Tableau3[[#This Row],[Denomination Sociale]],Tableau6[],1,0)</f>
        <v>SANTANG NEGOCE INVESTMENT</v>
      </c>
      <c r="P462" s="25" t="s">
        <v>608</v>
      </c>
      <c r="Q462" s="25" t="str">
        <f>VLOOKUP(Tableau3[[#This Row],[Denomination Sociale]],Tableau6[],1,1)</f>
        <v>SANTANG NEGOCE INVESTMENT</v>
      </c>
      <c r="R462" s="25" t="s">
        <v>8</v>
      </c>
    </row>
    <row r="463" spans="1:18" x14ac:dyDescent="0.35">
      <c r="A463" s="24" t="s">
        <v>8</v>
      </c>
      <c r="B463" s="1" t="s">
        <v>608</v>
      </c>
      <c r="C463" s="1" t="s">
        <v>611</v>
      </c>
      <c r="D463" s="3" t="s">
        <v>610</v>
      </c>
      <c r="E463" s="3">
        <v>10</v>
      </c>
      <c r="F463" s="3" t="s">
        <v>12</v>
      </c>
      <c r="G463" s="1" t="s">
        <v>17</v>
      </c>
      <c r="H463" s="1" t="s">
        <v>17</v>
      </c>
      <c r="I463" s="1" t="s">
        <v>12</v>
      </c>
      <c r="J463" s="1">
        <v>0</v>
      </c>
      <c r="K463" s="1" t="s">
        <v>12</v>
      </c>
      <c r="L463" s="1" t="s">
        <v>7</v>
      </c>
      <c r="M463" s="25"/>
      <c r="N463" s="25" t="str">
        <f>IFERROR(VLOOKUP(Tableau3[[#This Row],[Denomination Sociale]],Tableau7[],1,0),"")</f>
        <v/>
      </c>
      <c r="O463" s="25" t="str">
        <f>VLOOKUP(Tableau3[[#This Row],[Denomination Sociale]],Tableau6[],1,0)</f>
        <v>SANTANG NEGOCE INVESTMENT</v>
      </c>
      <c r="P463" s="25" t="s">
        <v>608</v>
      </c>
      <c r="Q463" s="25" t="str">
        <f>VLOOKUP(Tableau3[[#This Row],[Denomination Sociale]],Tableau6[],1,1)</f>
        <v>SANTANG NEGOCE INVESTMENT</v>
      </c>
      <c r="R463" s="25" t="s">
        <v>8</v>
      </c>
    </row>
    <row r="464" spans="1:18" x14ac:dyDescent="0.35">
      <c r="A464" s="24" t="s">
        <v>8</v>
      </c>
      <c r="B464" s="1" t="s">
        <v>612</v>
      </c>
      <c r="C464" s="1" t="s">
        <v>613</v>
      </c>
      <c r="D464" s="3" t="s">
        <v>614</v>
      </c>
      <c r="E464" s="3">
        <v>21</v>
      </c>
      <c r="F464" s="3">
        <v>21</v>
      </c>
      <c r="G464" s="1" t="s">
        <v>17</v>
      </c>
      <c r="H464" s="1" t="s">
        <v>17</v>
      </c>
      <c r="I464" s="1" t="s">
        <v>12</v>
      </c>
      <c r="J464" s="1">
        <v>0</v>
      </c>
      <c r="K464" s="1" t="s">
        <v>12</v>
      </c>
      <c r="L464" s="1" t="s">
        <v>7</v>
      </c>
      <c r="M464" s="25"/>
      <c r="N464" s="25" t="str">
        <f>IFERROR(VLOOKUP(Tableau3[[#This Row],[Denomination Sociale]],Tableau7[],1,0),"")</f>
        <v/>
      </c>
      <c r="O464" s="25" t="str">
        <f>VLOOKUP(Tableau3[[#This Row],[Denomination Sociale]],Tableau6[],1,0)</f>
        <v>SANTARGILE</v>
      </c>
      <c r="P464" s="25" t="s">
        <v>612</v>
      </c>
      <c r="Q464" s="25" t="str">
        <f>VLOOKUP(Tableau3[[#This Row],[Denomination Sociale]],Tableau6[],1,1)</f>
        <v>SANTARGILE</v>
      </c>
      <c r="R464" s="25" t="s">
        <v>8</v>
      </c>
    </row>
    <row r="465" spans="1:18" x14ac:dyDescent="0.35">
      <c r="A465" s="24" t="s">
        <v>8</v>
      </c>
      <c r="B465" s="1" t="s">
        <v>612</v>
      </c>
      <c r="C465" s="1" t="s">
        <v>615</v>
      </c>
      <c r="D465" s="3" t="s">
        <v>614</v>
      </c>
      <c r="E465" s="3">
        <v>27</v>
      </c>
      <c r="F465" s="3">
        <v>27</v>
      </c>
      <c r="G465" s="1" t="s">
        <v>17</v>
      </c>
      <c r="H465" s="1" t="s">
        <v>17</v>
      </c>
      <c r="I465" s="1" t="s">
        <v>12</v>
      </c>
      <c r="J465" s="1">
        <v>0</v>
      </c>
      <c r="K465" s="1" t="s">
        <v>12</v>
      </c>
      <c r="L465" s="1" t="s">
        <v>7</v>
      </c>
      <c r="M465" s="25"/>
      <c r="N465" s="25" t="str">
        <f>IFERROR(VLOOKUP(Tableau3[[#This Row],[Denomination Sociale]],Tableau7[],1,0),"")</f>
        <v/>
      </c>
      <c r="O465" s="25" t="str">
        <f>VLOOKUP(Tableau3[[#This Row],[Denomination Sociale]],Tableau6[],1,0)</f>
        <v>SANTARGILE</v>
      </c>
      <c r="P465" s="25" t="s">
        <v>612</v>
      </c>
      <c r="Q465" s="25" t="str">
        <f>VLOOKUP(Tableau3[[#This Row],[Denomination Sociale]],Tableau6[],1,1)</f>
        <v>SANTARGILE</v>
      </c>
      <c r="R465" s="25" t="s">
        <v>8</v>
      </c>
    </row>
    <row r="466" spans="1:18" x14ac:dyDescent="0.35">
      <c r="A466" s="24" t="s">
        <v>8</v>
      </c>
      <c r="B466" s="1" t="s">
        <v>612</v>
      </c>
      <c r="C466" s="1" t="s">
        <v>616</v>
      </c>
      <c r="D466" s="3" t="s">
        <v>614</v>
      </c>
      <c r="E466" s="3">
        <v>5</v>
      </c>
      <c r="F466" s="3">
        <v>5</v>
      </c>
      <c r="G466" s="1" t="s">
        <v>17</v>
      </c>
      <c r="H466" s="1" t="s">
        <v>17</v>
      </c>
      <c r="I466" s="1" t="s">
        <v>12</v>
      </c>
      <c r="J466" s="1">
        <v>0</v>
      </c>
      <c r="K466" s="1" t="s">
        <v>12</v>
      </c>
      <c r="L466" s="1" t="s">
        <v>7</v>
      </c>
      <c r="M466" s="25"/>
      <c r="N466" s="25" t="str">
        <f>IFERROR(VLOOKUP(Tableau3[[#This Row],[Denomination Sociale]],Tableau7[],1,0),"")</f>
        <v/>
      </c>
      <c r="O466" s="25" t="str">
        <f>VLOOKUP(Tableau3[[#This Row],[Denomination Sociale]],Tableau6[],1,0)</f>
        <v>SANTARGILE</v>
      </c>
      <c r="P466" s="25" t="s">
        <v>612</v>
      </c>
      <c r="Q466" s="25" t="str">
        <f>VLOOKUP(Tableau3[[#This Row],[Denomination Sociale]],Tableau6[],1,1)</f>
        <v>SANTARGILE</v>
      </c>
      <c r="R466" s="25" t="s">
        <v>8</v>
      </c>
    </row>
    <row r="467" spans="1:18" x14ac:dyDescent="0.35">
      <c r="A467" s="24" t="s">
        <v>8</v>
      </c>
      <c r="B467" s="1" t="s">
        <v>612</v>
      </c>
      <c r="C467" s="1" t="s">
        <v>617</v>
      </c>
      <c r="D467" s="3" t="s">
        <v>614</v>
      </c>
      <c r="E467" s="3">
        <v>5</v>
      </c>
      <c r="F467" s="3">
        <v>5</v>
      </c>
      <c r="G467" s="1" t="s">
        <v>17</v>
      </c>
      <c r="H467" s="1" t="s">
        <v>17</v>
      </c>
      <c r="I467" s="1" t="s">
        <v>12</v>
      </c>
      <c r="J467" s="1">
        <v>0</v>
      </c>
      <c r="K467" s="1" t="s">
        <v>12</v>
      </c>
      <c r="L467" s="1" t="s">
        <v>7</v>
      </c>
      <c r="M467" s="25"/>
      <c r="N467" s="25" t="str">
        <f>IFERROR(VLOOKUP(Tableau3[[#This Row],[Denomination Sociale]],Tableau7[],1,0),"")</f>
        <v/>
      </c>
      <c r="O467" s="25" t="str">
        <f>VLOOKUP(Tableau3[[#This Row],[Denomination Sociale]],Tableau6[],1,0)</f>
        <v>SANTARGILE</v>
      </c>
      <c r="P467" s="25" t="s">
        <v>612</v>
      </c>
      <c r="Q467" s="25" t="str">
        <f>VLOOKUP(Tableau3[[#This Row],[Denomination Sociale]],Tableau6[],1,1)</f>
        <v>SANTARGILE</v>
      </c>
      <c r="R467" s="25" t="s">
        <v>8</v>
      </c>
    </row>
    <row r="468" spans="1:18" x14ac:dyDescent="0.35">
      <c r="A468" s="24" t="s">
        <v>8</v>
      </c>
      <c r="B468" s="1" t="s">
        <v>612</v>
      </c>
      <c r="C468" s="1" t="s">
        <v>618</v>
      </c>
      <c r="D468" s="3" t="s">
        <v>614</v>
      </c>
      <c r="E468" s="3">
        <v>23</v>
      </c>
      <c r="F468" s="3">
        <v>23</v>
      </c>
      <c r="G468" s="1" t="s">
        <v>17</v>
      </c>
      <c r="H468" s="1" t="s">
        <v>17</v>
      </c>
      <c r="I468" s="1" t="s">
        <v>12</v>
      </c>
      <c r="J468" s="1">
        <v>0</v>
      </c>
      <c r="K468" s="1" t="s">
        <v>12</v>
      </c>
      <c r="L468" s="1" t="s">
        <v>7</v>
      </c>
      <c r="M468" s="25"/>
      <c r="N468" s="25" t="str">
        <f>IFERROR(VLOOKUP(Tableau3[[#This Row],[Denomination Sociale]],Tableau7[],1,0),"")</f>
        <v/>
      </c>
      <c r="O468" s="25" t="str">
        <f>VLOOKUP(Tableau3[[#This Row],[Denomination Sociale]],Tableau6[],1,0)</f>
        <v>SANTARGILE</v>
      </c>
      <c r="P468" s="25" t="s">
        <v>612</v>
      </c>
      <c r="Q468" s="25" t="str">
        <f>VLOOKUP(Tableau3[[#This Row],[Denomination Sociale]],Tableau6[],1,1)</f>
        <v>SANTARGILE</v>
      </c>
      <c r="R468" s="25" t="s">
        <v>8</v>
      </c>
    </row>
    <row r="469" spans="1:18" x14ac:dyDescent="0.35">
      <c r="A469" s="24" t="s">
        <v>8</v>
      </c>
      <c r="B469" s="1" t="s">
        <v>612</v>
      </c>
      <c r="C469" s="1" t="s">
        <v>619</v>
      </c>
      <c r="D469" s="3" t="s">
        <v>614</v>
      </c>
      <c r="E469" s="3">
        <v>5</v>
      </c>
      <c r="F469" s="3">
        <v>5</v>
      </c>
      <c r="G469" s="1" t="s">
        <v>17</v>
      </c>
      <c r="H469" s="1" t="s">
        <v>17</v>
      </c>
      <c r="I469" s="1" t="s">
        <v>12</v>
      </c>
      <c r="J469" s="1">
        <v>0</v>
      </c>
      <c r="K469" s="1" t="s">
        <v>12</v>
      </c>
      <c r="L469" s="1" t="s">
        <v>7</v>
      </c>
      <c r="M469" s="25"/>
      <c r="N469" s="25" t="str">
        <f>IFERROR(VLOOKUP(Tableau3[[#This Row],[Denomination Sociale]],Tableau7[],1,0),"")</f>
        <v/>
      </c>
      <c r="O469" s="25" t="str">
        <f>VLOOKUP(Tableau3[[#This Row],[Denomination Sociale]],Tableau6[],1,0)</f>
        <v>SANTARGILE</v>
      </c>
      <c r="P469" s="25" t="s">
        <v>612</v>
      </c>
      <c r="Q469" s="25" t="str">
        <f>VLOOKUP(Tableau3[[#This Row],[Denomination Sociale]],Tableau6[],1,1)</f>
        <v>SANTARGILE</v>
      </c>
      <c r="R469" s="25" t="s">
        <v>8</v>
      </c>
    </row>
    <row r="470" spans="1:18" x14ac:dyDescent="0.35">
      <c r="A470" s="24" t="s">
        <v>8</v>
      </c>
      <c r="B470" s="1" t="s">
        <v>612</v>
      </c>
      <c r="C470" s="1" t="s">
        <v>620</v>
      </c>
      <c r="D470" s="3" t="s">
        <v>614</v>
      </c>
      <c r="E470" s="3">
        <v>5</v>
      </c>
      <c r="F470" s="3">
        <v>5</v>
      </c>
      <c r="G470" s="1" t="s">
        <v>17</v>
      </c>
      <c r="H470" s="1" t="s">
        <v>17</v>
      </c>
      <c r="I470" s="1" t="s">
        <v>12</v>
      </c>
      <c r="J470" s="1">
        <v>0</v>
      </c>
      <c r="K470" s="1" t="s">
        <v>12</v>
      </c>
      <c r="L470" s="1" t="s">
        <v>7</v>
      </c>
      <c r="M470" s="25"/>
      <c r="N470" s="25" t="str">
        <f>IFERROR(VLOOKUP(Tableau3[[#This Row],[Denomination Sociale]],Tableau7[],1,0),"")</f>
        <v/>
      </c>
      <c r="O470" s="25" t="str">
        <f>VLOOKUP(Tableau3[[#This Row],[Denomination Sociale]],Tableau6[],1,0)</f>
        <v>SANTARGILE</v>
      </c>
      <c r="P470" s="25" t="s">
        <v>612</v>
      </c>
      <c r="Q470" s="25" t="str">
        <f>VLOOKUP(Tableau3[[#This Row],[Denomination Sociale]],Tableau6[],1,1)</f>
        <v>SANTARGILE</v>
      </c>
      <c r="R470" s="25" t="s">
        <v>8</v>
      </c>
    </row>
    <row r="471" spans="1:18" x14ac:dyDescent="0.35">
      <c r="A471" s="24" t="s">
        <v>8</v>
      </c>
      <c r="B471" s="1" t="s">
        <v>612</v>
      </c>
      <c r="C471" s="1" t="s">
        <v>621</v>
      </c>
      <c r="D471" s="3" t="s">
        <v>614</v>
      </c>
      <c r="E471" s="3">
        <v>4</v>
      </c>
      <c r="F471" s="3">
        <v>4</v>
      </c>
      <c r="G471" s="1" t="s">
        <v>17</v>
      </c>
      <c r="H471" s="1" t="s">
        <v>17</v>
      </c>
      <c r="I471" s="1" t="s">
        <v>12</v>
      </c>
      <c r="J471" s="1">
        <v>0</v>
      </c>
      <c r="K471" s="1" t="s">
        <v>12</v>
      </c>
      <c r="L471" s="1" t="s">
        <v>7</v>
      </c>
      <c r="M471" s="25"/>
      <c r="N471" s="25" t="str">
        <f>IFERROR(VLOOKUP(Tableau3[[#This Row],[Denomination Sociale]],Tableau7[],1,0),"")</f>
        <v/>
      </c>
      <c r="O471" s="25" t="str">
        <f>VLOOKUP(Tableau3[[#This Row],[Denomination Sociale]],Tableau6[],1,0)</f>
        <v>SANTARGILE</v>
      </c>
      <c r="P471" s="25" t="s">
        <v>612</v>
      </c>
      <c r="Q471" s="25" t="str">
        <f>VLOOKUP(Tableau3[[#This Row],[Denomination Sociale]],Tableau6[],1,1)</f>
        <v>SANTARGILE</v>
      </c>
      <c r="R471" s="25" t="s">
        <v>8</v>
      </c>
    </row>
    <row r="472" spans="1:18" x14ac:dyDescent="0.35">
      <c r="A472" s="24" t="s">
        <v>8</v>
      </c>
      <c r="B472" s="1" t="s">
        <v>612</v>
      </c>
      <c r="C472" s="1" t="s">
        <v>622</v>
      </c>
      <c r="D472" s="3" t="s">
        <v>614</v>
      </c>
      <c r="E472" s="3">
        <v>5</v>
      </c>
      <c r="F472" s="3">
        <v>5</v>
      </c>
      <c r="G472" s="1" t="s">
        <v>17</v>
      </c>
      <c r="H472" s="1" t="s">
        <v>17</v>
      </c>
      <c r="I472" s="1" t="s">
        <v>12</v>
      </c>
      <c r="J472" s="1">
        <v>0</v>
      </c>
      <c r="K472" s="1" t="s">
        <v>12</v>
      </c>
      <c r="L472" s="1" t="s">
        <v>7</v>
      </c>
      <c r="M472" s="25"/>
      <c r="N472" s="25" t="str">
        <f>IFERROR(VLOOKUP(Tableau3[[#This Row],[Denomination Sociale]],Tableau7[],1,0),"")</f>
        <v/>
      </c>
      <c r="O472" s="25" t="str">
        <f>VLOOKUP(Tableau3[[#This Row],[Denomination Sociale]],Tableau6[],1,0)</f>
        <v>SANTARGILE</v>
      </c>
      <c r="P472" s="25" t="s">
        <v>612</v>
      </c>
      <c r="Q472" s="25" t="str">
        <f>VLOOKUP(Tableau3[[#This Row],[Denomination Sociale]],Tableau6[],1,1)</f>
        <v>SANTARGILE</v>
      </c>
      <c r="R472" s="25" t="s">
        <v>8</v>
      </c>
    </row>
    <row r="473" spans="1:18" s="57" customFormat="1" x14ac:dyDescent="0.35">
      <c r="A473" s="53" t="s">
        <v>873</v>
      </c>
      <c r="B473" s="54" t="s">
        <v>1142</v>
      </c>
      <c r="C473" s="54" t="s">
        <v>1143</v>
      </c>
      <c r="D473" s="55" t="s">
        <v>1144</v>
      </c>
      <c r="E473" s="55" t="s">
        <v>12</v>
      </c>
      <c r="F473" s="55" t="s">
        <v>12</v>
      </c>
      <c r="G473" s="54" t="s">
        <v>17</v>
      </c>
      <c r="H473" s="54"/>
      <c r="I473" s="54">
        <v>0</v>
      </c>
      <c r="J473" s="54" t="s">
        <v>12</v>
      </c>
      <c r="K473" s="54" t="s">
        <v>12</v>
      </c>
      <c r="L473" s="54" t="s">
        <v>7</v>
      </c>
      <c r="M473" s="25"/>
      <c r="N473" s="56" t="str">
        <f>IFERROR(VLOOKUP(Tableau3[[#This Row],[Denomination Sociale]],Tableau7[],1,0),"")</f>
        <v/>
      </c>
      <c r="O473" s="56" t="e">
        <f>VLOOKUP(Tableau3[[#This Row],[Denomination Sociale]],Tableau6[],1,0)</f>
        <v>#N/A</v>
      </c>
      <c r="P473" s="56"/>
      <c r="Q473" s="56" t="str">
        <f>VLOOKUP(Tableau3[[#This Row],[Denomination Sociale]],Tableau6[],1,1)</f>
        <v>SAOCASIK COMPANU SASU</v>
      </c>
      <c r="R473" s="56" t="s">
        <v>873</v>
      </c>
    </row>
    <row r="474" spans="1:18" x14ac:dyDescent="0.35">
      <c r="A474" s="24" t="s">
        <v>8</v>
      </c>
      <c r="B474" s="1" t="s">
        <v>623</v>
      </c>
      <c r="C474" s="1" t="s">
        <v>624</v>
      </c>
      <c r="D474" s="3" t="s">
        <v>625</v>
      </c>
      <c r="E474" s="3" t="s">
        <v>12</v>
      </c>
      <c r="F474" s="3" t="s">
        <v>12</v>
      </c>
      <c r="G474" s="1" t="s">
        <v>17</v>
      </c>
      <c r="H474" s="1" t="s">
        <v>17</v>
      </c>
      <c r="I474" s="1" t="s">
        <v>12</v>
      </c>
      <c r="J474" s="1">
        <v>0</v>
      </c>
      <c r="K474" s="1" t="s">
        <v>12</v>
      </c>
      <c r="L474" s="1" t="s">
        <v>7</v>
      </c>
      <c r="M474" s="25"/>
      <c r="N474" s="25" t="str">
        <f>IFERROR(VLOOKUP(Tableau3[[#This Row],[Denomination Sociale]],Tableau7[],1,0),"")</f>
        <v/>
      </c>
      <c r="O474" s="25" t="str">
        <f>VLOOKUP(Tableau3[[#This Row],[Denomination Sociale]],Tableau6[],1,0)</f>
        <v>SARAYA ENERGY</v>
      </c>
      <c r="P474" s="25" t="s">
        <v>623</v>
      </c>
      <c r="Q474" s="25" t="str">
        <f>VLOOKUP(Tableau3[[#This Row],[Denomination Sociale]],Tableau6[],1,1)</f>
        <v>SARAYA ENERGY</v>
      </c>
      <c r="R474" s="25" t="s">
        <v>8</v>
      </c>
    </row>
    <row r="475" spans="1:18" s="57" customFormat="1" x14ac:dyDescent="0.35">
      <c r="A475" s="53" t="s">
        <v>873</v>
      </c>
      <c r="B475" s="54" t="s">
        <v>1142</v>
      </c>
      <c r="C475" s="54" t="s">
        <v>1145</v>
      </c>
      <c r="D475" s="55" t="s">
        <v>1144</v>
      </c>
      <c r="E475" s="55" t="s">
        <v>12</v>
      </c>
      <c r="F475" s="55" t="s">
        <v>12</v>
      </c>
      <c r="G475" s="54" t="s">
        <v>17</v>
      </c>
      <c r="H475" s="54"/>
      <c r="I475" s="54">
        <v>0</v>
      </c>
      <c r="J475" s="54" t="s">
        <v>12</v>
      </c>
      <c r="K475" s="54" t="s">
        <v>12</v>
      </c>
      <c r="L475" s="54" t="s">
        <v>7</v>
      </c>
      <c r="M475" s="25"/>
      <c r="N475" s="56" t="str">
        <f>IFERROR(VLOOKUP(Tableau3[[#This Row],[Denomination Sociale]],Tableau7[],1,0),"")</f>
        <v/>
      </c>
      <c r="O475" s="56" t="e">
        <f>VLOOKUP(Tableau3[[#This Row],[Denomination Sociale]],Tableau6[],1,0)</f>
        <v>#N/A</v>
      </c>
      <c r="P475" s="56"/>
      <c r="Q475" s="56" t="str">
        <f>VLOOKUP(Tableau3[[#This Row],[Denomination Sociale]],Tableau6[],1,1)</f>
        <v>SAOCASIK COMPANU SASU</v>
      </c>
      <c r="R475" s="56" t="s">
        <v>873</v>
      </c>
    </row>
    <row r="476" spans="1:18" s="57" customFormat="1" x14ac:dyDescent="0.35">
      <c r="A476" s="53" t="s">
        <v>873</v>
      </c>
      <c r="B476" s="54" t="s">
        <v>1142</v>
      </c>
      <c r="C476" s="54" t="s">
        <v>897</v>
      </c>
      <c r="D476" s="55" t="s">
        <v>1144</v>
      </c>
      <c r="E476" s="55" t="s">
        <v>12</v>
      </c>
      <c r="F476" s="55" t="s">
        <v>12</v>
      </c>
      <c r="G476" s="54" t="s">
        <v>17</v>
      </c>
      <c r="H476" s="54"/>
      <c r="I476" s="54">
        <v>0</v>
      </c>
      <c r="J476" s="54" t="s">
        <v>12</v>
      </c>
      <c r="K476" s="54" t="s">
        <v>12</v>
      </c>
      <c r="L476" s="54" t="s">
        <v>7</v>
      </c>
      <c r="M476" s="25"/>
      <c r="N476" s="56" t="str">
        <f>IFERROR(VLOOKUP(Tableau3[[#This Row],[Denomination Sociale]],Tableau7[],1,0),"")</f>
        <v/>
      </c>
      <c r="O476" s="56" t="e">
        <f>VLOOKUP(Tableau3[[#This Row],[Denomination Sociale]],Tableau6[],1,0)</f>
        <v>#N/A</v>
      </c>
      <c r="P476" s="56"/>
      <c r="Q476" s="56" t="str">
        <f>VLOOKUP(Tableau3[[#This Row],[Denomination Sociale]],Tableau6[],1,1)</f>
        <v>SAOCASIK COMPANU SASU</v>
      </c>
      <c r="R476" s="56" t="s">
        <v>873</v>
      </c>
    </row>
    <row r="477" spans="1:18" x14ac:dyDescent="0.35">
      <c r="A477" s="24" t="s">
        <v>864</v>
      </c>
      <c r="B477" s="1" t="s">
        <v>867</v>
      </c>
      <c r="C477" s="1" t="s">
        <v>865</v>
      </c>
      <c r="D477" s="3" t="s">
        <v>868</v>
      </c>
      <c r="E477" s="3" t="s">
        <v>12</v>
      </c>
      <c r="F477" s="3" t="s">
        <v>12</v>
      </c>
      <c r="G477" s="1" t="s">
        <v>17</v>
      </c>
      <c r="H477" s="1" t="s">
        <v>17</v>
      </c>
      <c r="I477" s="1" t="s">
        <v>12</v>
      </c>
      <c r="J477" s="1">
        <v>0</v>
      </c>
      <c r="K477" s="1" t="s">
        <v>12</v>
      </c>
      <c r="L477" s="1" t="s">
        <v>7</v>
      </c>
      <c r="M477" s="25"/>
      <c r="N477" s="25" t="str">
        <f>IFERROR(VLOOKUP(Tableau3[[#This Row],[Denomination Sociale]],Tableau7[],1,0),"")</f>
        <v/>
      </c>
      <c r="O477" s="25" t="str">
        <f>VLOOKUP(Tableau3[[#This Row],[Denomination Sociale]],Tableau6[],1,0)</f>
        <v>SDPP</v>
      </c>
      <c r="P477" s="25" t="s">
        <v>867</v>
      </c>
      <c r="Q477" s="25" t="str">
        <f>VLOOKUP(Tableau3[[#This Row],[Denomination Sociale]],Tableau6[],1,1)</f>
        <v>SDK MINING SA</v>
      </c>
      <c r="R477" s="25" t="s">
        <v>864</v>
      </c>
    </row>
    <row r="478" spans="1:18" x14ac:dyDescent="0.35">
      <c r="A478" s="24" t="s">
        <v>980</v>
      </c>
      <c r="B478" s="1" t="s">
        <v>15469</v>
      </c>
      <c r="C478" s="1" t="s">
        <v>1002</v>
      </c>
      <c r="D478" s="3" t="s">
        <v>1003</v>
      </c>
      <c r="E478" s="3">
        <v>30</v>
      </c>
      <c r="F478" s="3">
        <v>30</v>
      </c>
      <c r="G478" s="1" t="s">
        <v>17</v>
      </c>
      <c r="H478" s="1" t="s">
        <v>17</v>
      </c>
      <c r="I478" s="1" t="s">
        <v>12</v>
      </c>
      <c r="J478" s="1">
        <v>0</v>
      </c>
      <c r="K478" s="1" t="s">
        <v>12</v>
      </c>
      <c r="L478" s="1" t="s">
        <v>7</v>
      </c>
      <c r="M478" s="25"/>
      <c r="N478" s="25" t="str">
        <f>IFERROR(VLOOKUP(Tableau3[[#This Row],[Denomination Sociale]],Tableau7[],1,0),"")</f>
        <v/>
      </c>
      <c r="O478" s="25" t="str">
        <f>VLOOKUP(Tableau3[[#This Row],[Denomination Sociale]],Tableau6[],1,0)</f>
        <v>SEN UK FARM</v>
      </c>
      <c r="P478" s="25" t="s">
        <v>15469</v>
      </c>
      <c r="Q478" s="25" t="str">
        <f>VLOOKUP(Tableau3[[#This Row],[Denomination Sociale]],Tableau6[],1,1)</f>
        <v>SEN UK FARM</v>
      </c>
      <c r="R478" s="25" t="s">
        <v>980</v>
      </c>
    </row>
    <row r="479" spans="1:18" x14ac:dyDescent="0.35">
      <c r="A479" s="24" t="s">
        <v>8</v>
      </c>
      <c r="B479" s="1" t="s">
        <v>629</v>
      </c>
      <c r="C479" s="1" t="s">
        <v>630</v>
      </c>
      <c r="D479" s="3" t="s">
        <v>631</v>
      </c>
      <c r="E479" s="3">
        <v>5</v>
      </c>
      <c r="F479" s="3">
        <v>5</v>
      </c>
      <c r="G479" s="1" t="s">
        <v>17</v>
      </c>
      <c r="H479" s="1" t="s">
        <v>17</v>
      </c>
      <c r="I479" s="1" t="s">
        <v>12</v>
      </c>
      <c r="J479" s="1">
        <v>0</v>
      </c>
      <c r="K479" s="1" t="s">
        <v>12</v>
      </c>
      <c r="L479" s="1" t="s">
        <v>7</v>
      </c>
      <c r="M479" s="25"/>
      <c r="N479" s="25" t="str">
        <f>IFERROR(VLOOKUP(Tableau3[[#This Row],[Denomination Sociale]],Tableau7[],1,0),"")</f>
        <v/>
      </c>
      <c r="O479" s="25" t="str">
        <f>VLOOKUP(Tableau3[[#This Row],[Denomination Sociale]],Tableau6[],1,0)</f>
        <v>SEN GENERAL ACTIVITIES</v>
      </c>
      <c r="P479" s="25" t="s">
        <v>629</v>
      </c>
      <c r="Q479" s="25" t="str">
        <f>VLOOKUP(Tableau3[[#This Row],[Denomination Sociale]],Tableau6[],1,1)</f>
        <v>SEN GENERAL ACTIVITIES</v>
      </c>
      <c r="R479" s="25" t="s">
        <v>8</v>
      </c>
    </row>
    <row r="480" spans="1:18" x14ac:dyDescent="0.35">
      <c r="A480" s="24" t="s">
        <v>8</v>
      </c>
      <c r="B480" s="1" t="s">
        <v>629</v>
      </c>
      <c r="C480" s="1" t="s">
        <v>632</v>
      </c>
      <c r="D480" s="3" t="s">
        <v>631</v>
      </c>
      <c r="E480" s="3">
        <v>5</v>
      </c>
      <c r="F480" s="3">
        <v>5</v>
      </c>
      <c r="G480" s="1" t="s">
        <v>17</v>
      </c>
      <c r="H480" s="1" t="s">
        <v>17</v>
      </c>
      <c r="I480" s="1" t="s">
        <v>12</v>
      </c>
      <c r="J480" s="1">
        <v>0</v>
      </c>
      <c r="K480" s="1" t="s">
        <v>12</v>
      </c>
      <c r="L480" s="1" t="s">
        <v>7</v>
      </c>
      <c r="M480" s="25"/>
      <c r="N480" s="25" t="str">
        <f>IFERROR(VLOOKUP(Tableau3[[#This Row],[Denomination Sociale]],Tableau7[],1,0),"")</f>
        <v/>
      </c>
      <c r="O480" s="25" t="str">
        <f>VLOOKUP(Tableau3[[#This Row],[Denomination Sociale]],Tableau6[],1,0)</f>
        <v>SEN GENERAL ACTIVITIES</v>
      </c>
      <c r="P480" s="25" t="s">
        <v>629</v>
      </c>
      <c r="Q480" s="25" t="str">
        <f>VLOOKUP(Tableau3[[#This Row],[Denomination Sociale]],Tableau6[],1,1)</f>
        <v>SEN GENERAL ACTIVITIES</v>
      </c>
      <c r="R480" s="25" t="s">
        <v>8</v>
      </c>
    </row>
    <row r="481" spans="1:18" x14ac:dyDescent="0.35">
      <c r="A481" s="24" t="s">
        <v>8</v>
      </c>
      <c r="B481" s="1" t="s">
        <v>629</v>
      </c>
      <c r="C481" s="1" t="s">
        <v>633</v>
      </c>
      <c r="D481" s="3" t="s">
        <v>631</v>
      </c>
      <c r="E481" s="3">
        <v>5</v>
      </c>
      <c r="F481" s="3">
        <v>5</v>
      </c>
      <c r="G481" s="1" t="s">
        <v>17</v>
      </c>
      <c r="H481" s="1" t="s">
        <v>17</v>
      </c>
      <c r="I481" s="1" t="s">
        <v>12</v>
      </c>
      <c r="J481" s="1">
        <v>0</v>
      </c>
      <c r="K481" s="1" t="s">
        <v>12</v>
      </c>
      <c r="L481" s="1" t="s">
        <v>7</v>
      </c>
      <c r="M481" s="25"/>
      <c r="N481" s="25" t="str">
        <f>IFERROR(VLOOKUP(Tableau3[[#This Row],[Denomination Sociale]],Tableau7[],1,0),"")</f>
        <v/>
      </c>
      <c r="O481" s="25" t="str">
        <f>VLOOKUP(Tableau3[[#This Row],[Denomination Sociale]],Tableau6[],1,0)</f>
        <v>SEN GENERAL ACTIVITIES</v>
      </c>
      <c r="P481" s="25" t="s">
        <v>629</v>
      </c>
      <c r="Q481" s="25" t="str">
        <f>VLOOKUP(Tableau3[[#This Row],[Denomination Sociale]],Tableau6[],1,1)</f>
        <v>SEN GENERAL ACTIVITIES</v>
      </c>
      <c r="R481" s="25" t="s">
        <v>8</v>
      </c>
    </row>
    <row r="482" spans="1:18" x14ac:dyDescent="0.35">
      <c r="A482" s="24" t="s">
        <v>8</v>
      </c>
      <c r="B482" s="1" t="s">
        <v>629</v>
      </c>
      <c r="C482" s="1" t="s">
        <v>634</v>
      </c>
      <c r="D482" s="3" t="s">
        <v>631</v>
      </c>
      <c r="E482" s="3">
        <v>70</v>
      </c>
      <c r="F482" s="3">
        <v>70</v>
      </c>
      <c r="G482" s="1" t="s">
        <v>17</v>
      </c>
      <c r="H482" s="1" t="s">
        <v>17</v>
      </c>
      <c r="I482" s="1" t="s">
        <v>12</v>
      </c>
      <c r="J482" s="1">
        <v>0</v>
      </c>
      <c r="K482" s="1" t="s">
        <v>12</v>
      </c>
      <c r="L482" s="1" t="s">
        <v>7</v>
      </c>
      <c r="M482" s="25"/>
      <c r="N482" s="25" t="str">
        <f>IFERROR(VLOOKUP(Tableau3[[#This Row],[Denomination Sociale]],Tableau7[],1,0),"")</f>
        <v/>
      </c>
      <c r="O482" s="25" t="str">
        <f>VLOOKUP(Tableau3[[#This Row],[Denomination Sociale]],Tableau6[],1,0)</f>
        <v>SEN GENERAL ACTIVITIES</v>
      </c>
      <c r="P482" s="25" t="s">
        <v>629</v>
      </c>
      <c r="Q482" s="25" t="str">
        <f>VLOOKUP(Tableau3[[#This Row],[Denomination Sociale]],Tableau6[],1,1)</f>
        <v>SEN GENERAL ACTIVITIES</v>
      </c>
      <c r="R482" s="25" t="s">
        <v>8</v>
      </c>
    </row>
    <row r="483" spans="1:18" x14ac:dyDescent="0.35">
      <c r="A483" s="24" t="s">
        <v>8</v>
      </c>
      <c r="B483" s="1" t="s">
        <v>629</v>
      </c>
      <c r="C483" s="1" t="s">
        <v>635</v>
      </c>
      <c r="D483" s="3" t="s">
        <v>631</v>
      </c>
      <c r="E483" s="3">
        <v>5</v>
      </c>
      <c r="F483" s="3">
        <v>5</v>
      </c>
      <c r="G483" s="1" t="s">
        <v>17</v>
      </c>
      <c r="H483" s="1" t="s">
        <v>17</v>
      </c>
      <c r="I483" s="1" t="s">
        <v>12</v>
      </c>
      <c r="J483" s="1">
        <v>0</v>
      </c>
      <c r="K483" s="1" t="s">
        <v>12</v>
      </c>
      <c r="L483" s="1" t="s">
        <v>7</v>
      </c>
      <c r="M483" s="25"/>
      <c r="N483" s="25" t="str">
        <f>IFERROR(VLOOKUP(Tableau3[[#This Row],[Denomination Sociale]],Tableau7[],1,0),"")</f>
        <v/>
      </c>
      <c r="O483" s="25" t="str">
        <f>VLOOKUP(Tableau3[[#This Row],[Denomination Sociale]],Tableau6[],1,0)</f>
        <v>SEN GENERAL ACTIVITIES</v>
      </c>
      <c r="P483" s="25" t="s">
        <v>629</v>
      </c>
      <c r="Q483" s="25" t="str">
        <f>VLOOKUP(Tableau3[[#This Row],[Denomination Sociale]],Tableau6[],1,1)</f>
        <v>SEN GENERAL ACTIVITIES</v>
      </c>
      <c r="R483" s="25" t="s">
        <v>8</v>
      </c>
    </row>
    <row r="484" spans="1:18" x14ac:dyDescent="0.35">
      <c r="A484" s="24" t="s">
        <v>8</v>
      </c>
      <c r="B484" s="1" t="s">
        <v>629</v>
      </c>
      <c r="C484" s="1" t="s">
        <v>636</v>
      </c>
      <c r="D484" s="3" t="s">
        <v>631</v>
      </c>
      <c r="E484" s="3">
        <v>5</v>
      </c>
      <c r="F484" s="3">
        <v>5</v>
      </c>
      <c r="G484" s="1" t="s">
        <v>17</v>
      </c>
      <c r="H484" s="1" t="s">
        <v>17</v>
      </c>
      <c r="I484" s="1" t="s">
        <v>12</v>
      </c>
      <c r="J484" s="1">
        <v>0</v>
      </c>
      <c r="K484" s="1" t="s">
        <v>12</v>
      </c>
      <c r="L484" s="1" t="s">
        <v>7</v>
      </c>
      <c r="M484" s="25"/>
      <c r="N484" s="25" t="str">
        <f>IFERROR(VLOOKUP(Tableau3[[#This Row],[Denomination Sociale]],Tableau7[],1,0),"")</f>
        <v/>
      </c>
      <c r="O484" s="25" t="str">
        <f>VLOOKUP(Tableau3[[#This Row],[Denomination Sociale]],Tableau6[],1,0)</f>
        <v>SEN GENERAL ACTIVITIES</v>
      </c>
      <c r="P484" s="25" t="s">
        <v>629</v>
      </c>
      <c r="Q484" s="25" t="str">
        <f>VLOOKUP(Tableau3[[#This Row],[Denomination Sociale]],Tableau6[],1,1)</f>
        <v>SEN GENERAL ACTIVITIES</v>
      </c>
      <c r="R484" s="25" t="s">
        <v>8</v>
      </c>
    </row>
    <row r="485" spans="1:18" x14ac:dyDescent="0.35">
      <c r="A485" s="24" t="s">
        <v>8</v>
      </c>
      <c r="B485" s="1" t="s">
        <v>629</v>
      </c>
      <c r="C485" s="1" t="s">
        <v>637</v>
      </c>
      <c r="D485" s="3" t="s">
        <v>631</v>
      </c>
      <c r="E485" s="3">
        <v>5</v>
      </c>
      <c r="F485" s="3">
        <v>5</v>
      </c>
      <c r="G485" s="1" t="s">
        <v>17</v>
      </c>
      <c r="H485" s="1" t="s">
        <v>17</v>
      </c>
      <c r="I485" s="1" t="s">
        <v>12</v>
      </c>
      <c r="J485" s="1">
        <v>0</v>
      </c>
      <c r="K485" s="1" t="s">
        <v>12</v>
      </c>
      <c r="L485" s="1" t="s">
        <v>7</v>
      </c>
      <c r="M485" s="25"/>
      <c r="N485" s="25" t="str">
        <f>IFERROR(VLOOKUP(Tableau3[[#This Row],[Denomination Sociale]],Tableau7[],1,0),"")</f>
        <v/>
      </c>
      <c r="O485" s="25" t="str">
        <f>VLOOKUP(Tableau3[[#This Row],[Denomination Sociale]],Tableau6[],1,0)</f>
        <v>SEN GENERAL ACTIVITIES</v>
      </c>
      <c r="P485" s="25" t="s">
        <v>629</v>
      </c>
      <c r="Q485" s="25" t="str">
        <f>VLOOKUP(Tableau3[[#This Row],[Denomination Sociale]],Tableau6[],1,1)</f>
        <v>SEN GENERAL ACTIVITIES</v>
      </c>
      <c r="R485" s="25" t="s">
        <v>8</v>
      </c>
    </row>
    <row r="486" spans="1:18" s="57" customFormat="1" x14ac:dyDescent="0.35">
      <c r="A486" s="53" t="s">
        <v>8</v>
      </c>
      <c r="B486" s="54" t="s">
        <v>638</v>
      </c>
      <c r="C486" s="54" t="s">
        <v>639</v>
      </c>
      <c r="D486" s="55" t="s">
        <v>640</v>
      </c>
      <c r="E486" s="55">
        <v>100</v>
      </c>
      <c r="F486" s="55">
        <v>100</v>
      </c>
      <c r="G486" s="54" t="s">
        <v>17</v>
      </c>
      <c r="H486" s="54" t="s">
        <v>17</v>
      </c>
      <c r="I486" s="54" t="s">
        <v>12</v>
      </c>
      <c r="J486" s="54">
        <v>0</v>
      </c>
      <c r="K486" s="54" t="s">
        <v>12</v>
      </c>
      <c r="L486" s="54" t="s">
        <v>7</v>
      </c>
      <c r="M486" s="25"/>
      <c r="N486" s="56" t="str">
        <f>IFERROR(VLOOKUP(Tableau3[[#This Row],[Denomination Sociale]],Tableau7[],1,0),"")</f>
        <v/>
      </c>
      <c r="O486" s="56" t="e">
        <f>VLOOKUP(Tableau3[[#This Row],[Denomination Sociale]],Tableau6[],1,0)</f>
        <v>#N/A</v>
      </c>
      <c r="P486" s="56"/>
      <c r="Q486" s="56" t="str">
        <f>VLOOKUP(Tableau3[[#This Row],[Denomination Sociale]],Tableau6[],1,1)</f>
        <v>SEN JINHUI MINERAL</v>
      </c>
      <c r="R486" s="56" t="s">
        <v>8</v>
      </c>
    </row>
    <row r="487" spans="1:18" s="63" customFormat="1" x14ac:dyDescent="0.35">
      <c r="A487" s="59" t="s">
        <v>8</v>
      </c>
      <c r="B487" s="60" t="s">
        <v>6712</v>
      </c>
      <c r="C487" s="60" t="s">
        <v>1219</v>
      </c>
      <c r="D487" s="61" t="s">
        <v>1220</v>
      </c>
      <c r="E487" s="61">
        <v>100</v>
      </c>
      <c r="F487" s="61">
        <v>100</v>
      </c>
      <c r="G487" s="60" t="s">
        <v>17</v>
      </c>
      <c r="H487" s="60"/>
      <c r="I487" s="60">
        <v>0</v>
      </c>
      <c r="J487" s="60" t="s">
        <v>12</v>
      </c>
      <c r="K487" s="60" t="s">
        <v>12</v>
      </c>
      <c r="L487" s="60" t="s">
        <v>7</v>
      </c>
      <c r="M487" s="25"/>
      <c r="N487" s="62" t="str">
        <f>IFERROR(VLOOKUP(Tableau3[[#This Row],[Denomination Sociale]],Tableau7[],1,0),"")</f>
        <v/>
      </c>
      <c r="O487" s="62" t="str">
        <f>VLOOKUP(Tableau3[[#This Row],[Denomination Sociale]],Tableau6[],1,0)</f>
        <v>SEN ZANGHUA MINERAL</v>
      </c>
      <c r="P487" s="62" t="s">
        <v>6712</v>
      </c>
      <c r="Q487" s="62" t="str">
        <f>VLOOKUP(Tableau3[[#This Row],[Denomination Sociale]],Tableau6[],1,1)</f>
        <v>SEN ZANGHUA MINERAL</v>
      </c>
      <c r="R487" s="62" t="s">
        <v>8</v>
      </c>
    </row>
    <row r="488" spans="1:18" x14ac:dyDescent="0.35">
      <c r="A488" s="24" t="s">
        <v>8</v>
      </c>
      <c r="B488" s="1" t="s">
        <v>641</v>
      </c>
      <c r="C488" s="1" t="s">
        <v>642</v>
      </c>
      <c r="D488" s="3" t="s">
        <v>643</v>
      </c>
      <c r="E488" s="3">
        <v>100</v>
      </c>
      <c r="F488" s="3">
        <v>100</v>
      </c>
      <c r="G488" s="1" t="s">
        <v>17</v>
      </c>
      <c r="H488" s="1" t="s">
        <v>17</v>
      </c>
      <c r="I488" s="1" t="s">
        <v>12</v>
      </c>
      <c r="J488" s="1">
        <v>0</v>
      </c>
      <c r="K488" s="1" t="s">
        <v>12</v>
      </c>
      <c r="L488" s="1" t="s">
        <v>7</v>
      </c>
      <c r="M488" s="25"/>
      <c r="N488" s="25" t="str">
        <f>IFERROR(VLOOKUP(Tableau3[[#This Row],[Denomination Sociale]],Tableau7[],1,0),"")</f>
        <v/>
      </c>
      <c r="O488" s="25" t="str">
        <f>VLOOKUP(Tableau3[[#This Row],[Denomination Sociale]],Tableau6[],1,0)</f>
        <v>SENEGAL KOM KOM PLUS</v>
      </c>
      <c r="P488" s="25" t="s">
        <v>641</v>
      </c>
      <c r="Q488" s="25" t="str">
        <f>VLOOKUP(Tableau3[[#This Row],[Denomination Sociale]],Tableau6[],1,1)</f>
        <v>SENEGAL KOM KOM PLUS</v>
      </c>
      <c r="R488" s="25" t="s">
        <v>8</v>
      </c>
    </row>
    <row r="489" spans="1:18" x14ac:dyDescent="0.35">
      <c r="A489" s="24" t="s">
        <v>8</v>
      </c>
      <c r="B489" s="1" t="s">
        <v>644</v>
      </c>
      <c r="C489" s="1" t="s">
        <v>645</v>
      </c>
      <c r="D489" s="3" t="s">
        <v>646</v>
      </c>
      <c r="E489" s="3" t="s">
        <v>12</v>
      </c>
      <c r="F489" s="3" t="s">
        <v>12</v>
      </c>
      <c r="G489" s="1" t="s">
        <v>599</v>
      </c>
      <c r="H489" s="1" t="s">
        <v>599</v>
      </c>
      <c r="I489" s="1" t="s">
        <v>12</v>
      </c>
      <c r="J489" s="1">
        <v>0</v>
      </c>
      <c r="K489" s="1" t="s">
        <v>12</v>
      </c>
      <c r="L489" s="1" t="s">
        <v>7</v>
      </c>
      <c r="M489" s="25"/>
      <c r="N489" s="25" t="str">
        <f>IFERROR(VLOOKUP(Tableau3[[#This Row],[Denomination Sociale]],Tableau7[],1,0),"")</f>
        <v/>
      </c>
      <c r="O489" s="25" t="str">
        <f>VLOOKUP(Tableau3[[#This Row],[Denomination Sociale]],Tableau6[],1,0)</f>
        <v>SENEGAL MINERAL RESOURCES</v>
      </c>
      <c r="P489" s="25" t="s">
        <v>644</v>
      </c>
      <c r="Q489" s="25" t="str">
        <f>VLOOKUP(Tableau3[[#This Row],[Denomination Sociale]],Tableau6[],1,1)</f>
        <v>SENEGAL MINERAL RESOURCES</v>
      </c>
      <c r="R489" s="25" t="s">
        <v>8</v>
      </c>
    </row>
    <row r="490" spans="1:18" x14ac:dyDescent="0.35">
      <c r="A490" s="24" t="s">
        <v>8</v>
      </c>
      <c r="B490" s="1" t="s">
        <v>647</v>
      </c>
      <c r="C490" s="1" t="s">
        <v>648</v>
      </c>
      <c r="D490" s="3" t="s">
        <v>649</v>
      </c>
      <c r="E490" s="3" t="s">
        <v>12</v>
      </c>
      <c r="F490" s="3" t="s">
        <v>12</v>
      </c>
      <c r="G490" s="1" t="s">
        <v>17</v>
      </c>
      <c r="H490" s="1" t="s">
        <v>17</v>
      </c>
      <c r="I490" s="1" t="s">
        <v>12</v>
      </c>
      <c r="J490" s="1">
        <v>0</v>
      </c>
      <c r="K490" s="1" t="s">
        <v>12</v>
      </c>
      <c r="L490" s="1" t="s">
        <v>7</v>
      </c>
      <c r="M490" s="25"/>
      <c r="N490" s="25" t="str">
        <f>IFERROR(VLOOKUP(Tableau3[[#This Row],[Denomination Sociale]],Tableau7[],1,0),"")</f>
        <v/>
      </c>
      <c r="O490" s="25" t="str">
        <f>VLOOKUP(Tableau3[[#This Row],[Denomination Sociale]],Tableau6[],1,0)</f>
        <v>SENEGAL NDINDI</v>
      </c>
      <c r="P490" s="25" t="s">
        <v>647</v>
      </c>
      <c r="Q490" s="25" t="str">
        <f>VLOOKUP(Tableau3[[#This Row],[Denomination Sociale]],Tableau6[],1,1)</f>
        <v>SENEGAL NDINDI</v>
      </c>
      <c r="R490" s="25" t="s">
        <v>8</v>
      </c>
    </row>
    <row r="491" spans="1:18" x14ac:dyDescent="0.35">
      <c r="A491" s="24" t="s">
        <v>8</v>
      </c>
      <c r="B491" s="1" t="s">
        <v>647</v>
      </c>
      <c r="C491" s="1" t="s">
        <v>650</v>
      </c>
      <c r="D491" s="3" t="s">
        <v>649</v>
      </c>
      <c r="E491" s="3" t="s">
        <v>12</v>
      </c>
      <c r="F491" s="3" t="s">
        <v>12</v>
      </c>
      <c r="G491" s="1" t="s">
        <v>17</v>
      </c>
      <c r="H491" s="1" t="s">
        <v>17</v>
      </c>
      <c r="I491" s="1" t="s">
        <v>12</v>
      </c>
      <c r="J491" s="1">
        <v>0</v>
      </c>
      <c r="K491" s="1" t="s">
        <v>12</v>
      </c>
      <c r="L491" s="1" t="s">
        <v>7</v>
      </c>
      <c r="M491" s="25"/>
      <c r="N491" s="25" t="str">
        <f>IFERROR(VLOOKUP(Tableau3[[#This Row],[Denomination Sociale]],Tableau7[],1,0),"")</f>
        <v/>
      </c>
      <c r="O491" s="25" t="str">
        <f>VLOOKUP(Tableau3[[#This Row],[Denomination Sociale]],Tableau6[],1,0)</f>
        <v>SENEGAL NDINDI</v>
      </c>
      <c r="P491" s="25" t="s">
        <v>647</v>
      </c>
      <c r="Q491" s="25" t="str">
        <f>VLOOKUP(Tableau3[[#This Row],[Denomination Sociale]],Tableau6[],1,1)</f>
        <v>SENEGAL NDINDI</v>
      </c>
      <c r="R491" s="25" t="s">
        <v>8</v>
      </c>
    </row>
    <row r="492" spans="1:18" x14ac:dyDescent="0.35">
      <c r="A492" s="24" t="s">
        <v>8</v>
      </c>
      <c r="B492" s="1" t="s">
        <v>647</v>
      </c>
      <c r="C492" s="1" t="s">
        <v>651</v>
      </c>
      <c r="D492" s="3" t="s">
        <v>649</v>
      </c>
      <c r="E492" s="3" t="s">
        <v>12</v>
      </c>
      <c r="F492" s="3" t="s">
        <v>12</v>
      </c>
      <c r="G492" s="1" t="s">
        <v>17</v>
      </c>
      <c r="H492" s="1" t="s">
        <v>17</v>
      </c>
      <c r="I492" s="1" t="s">
        <v>12</v>
      </c>
      <c r="J492" s="1">
        <v>0</v>
      </c>
      <c r="K492" s="1" t="s">
        <v>12</v>
      </c>
      <c r="L492" s="1" t="s">
        <v>7</v>
      </c>
      <c r="M492" s="25"/>
      <c r="N492" s="25" t="str">
        <f>IFERROR(VLOOKUP(Tableau3[[#This Row],[Denomination Sociale]],Tableau7[],1,0),"")</f>
        <v/>
      </c>
      <c r="O492" s="25" t="str">
        <f>VLOOKUP(Tableau3[[#This Row],[Denomination Sociale]],Tableau6[],1,0)</f>
        <v>SENEGAL NDINDI</v>
      </c>
      <c r="P492" s="25" t="s">
        <v>647</v>
      </c>
      <c r="Q492" s="25" t="str">
        <f>VLOOKUP(Tableau3[[#This Row],[Denomination Sociale]],Tableau6[],1,1)</f>
        <v>SENEGAL NDINDI</v>
      </c>
      <c r="R492" s="25" t="s">
        <v>8</v>
      </c>
    </row>
    <row r="493" spans="1:18" x14ac:dyDescent="0.35">
      <c r="A493" s="24" t="s">
        <v>8</v>
      </c>
      <c r="B493" s="1" t="s">
        <v>652</v>
      </c>
      <c r="C493" s="1" t="s">
        <v>653</v>
      </c>
      <c r="D493" s="3" t="s">
        <v>654</v>
      </c>
      <c r="E493" s="3">
        <v>100</v>
      </c>
      <c r="F493" s="3">
        <v>100</v>
      </c>
      <c r="G493" s="1" t="s">
        <v>125</v>
      </c>
      <c r="H493" s="1" t="s">
        <v>125</v>
      </c>
      <c r="I493" s="1" t="s">
        <v>12</v>
      </c>
      <c r="J493" s="1">
        <v>0</v>
      </c>
      <c r="K493" s="1" t="s">
        <v>12</v>
      </c>
      <c r="L493" s="1" t="s">
        <v>7</v>
      </c>
      <c r="M493" s="25"/>
      <c r="N493" s="25" t="str">
        <f>IFERROR(VLOOKUP(Tableau3[[#This Row],[Denomination Sociale]],Tableau7[],1,0),"")</f>
        <v/>
      </c>
      <c r="O493" s="25" t="str">
        <f>VLOOKUP(Tableau3[[#This Row],[Denomination Sociale]],Tableau6[],1,0)</f>
        <v>SENEGAL SILEX</v>
      </c>
      <c r="P493" s="25" t="s">
        <v>652</v>
      </c>
      <c r="Q493" s="25" t="str">
        <f>VLOOKUP(Tableau3[[#This Row],[Denomination Sociale]],Tableau6[],1,1)</f>
        <v>SENEGAL SILEX</v>
      </c>
      <c r="R493" s="25" t="s">
        <v>8</v>
      </c>
    </row>
    <row r="494" spans="1:18" s="57" customFormat="1" x14ac:dyDescent="0.35">
      <c r="A494" s="53" t="s">
        <v>1062</v>
      </c>
      <c r="B494" s="54" t="s">
        <v>15114</v>
      </c>
      <c r="C494" s="54" t="s">
        <v>1063</v>
      </c>
      <c r="D494" s="55" t="s">
        <v>1064</v>
      </c>
      <c r="E494" s="55">
        <v>35</v>
      </c>
      <c r="F494" s="55">
        <v>35</v>
      </c>
      <c r="G494" s="54" t="s">
        <v>17</v>
      </c>
      <c r="H494" s="54" t="s">
        <v>17</v>
      </c>
      <c r="I494" s="54" t="s">
        <v>12</v>
      </c>
      <c r="J494" s="54" t="s">
        <v>12</v>
      </c>
      <c r="K494" s="54" t="s">
        <v>12</v>
      </c>
      <c r="L494" s="54" t="s">
        <v>7</v>
      </c>
      <c r="M494" s="25"/>
      <c r="N494" s="56" t="str">
        <f>IFERROR(VLOOKUP(Tableau3[[#This Row],[Denomination Sociale]],Tableau7[],1,0),"")</f>
        <v/>
      </c>
      <c r="O494" s="56" t="e">
        <f>VLOOKUP(Tableau3[[#This Row],[Denomination Sociale]],Tableau6[],1,0)</f>
        <v>#N/A</v>
      </c>
      <c r="P494" s="56"/>
      <c r="Q494" s="56" t="str">
        <f>VLOOKUP(Tableau3[[#This Row],[Denomination Sociale]],Tableau6[],1,1)</f>
        <v>SENEGALAISE DE DEVELOPPEMENT F-SY</v>
      </c>
      <c r="R494" s="56" t="s">
        <v>1062</v>
      </c>
    </row>
    <row r="495" spans="1:18" s="57" customFormat="1" x14ac:dyDescent="0.35">
      <c r="A495" s="53" t="s">
        <v>1062</v>
      </c>
      <c r="B495" s="54" t="s">
        <v>15114</v>
      </c>
      <c r="C495" s="54" t="s">
        <v>1065</v>
      </c>
      <c r="D495" s="55" t="s">
        <v>1064</v>
      </c>
      <c r="E495" s="55">
        <v>30</v>
      </c>
      <c r="F495" s="55">
        <v>30</v>
      </c>
      <c r="G495" s="54" t="s">
        <v>17</v>
      </c>
      <c r="H495" s="54" t="s">
        <v>17</v>
      </c>
      <c r="I495" s="54" t="s">
        <v>12</v>
      </c>
      <c r="J495" s="54" t="s">
        <v>12</v>
      </c>
      <c r="K495" s="54" t="s">
        <v>12</v>
      </c>
      <c r="L495" s="54" t="s">
        <v>7</v>
      </c>
      <c r="M495" s="25"/>
      <c r="N495" s="56" t="str">
        <f>IFERROR(VLOOKUP(Tableau3[[#This Row],[Denomination Sociale]],Tableau7[],1,0),"")</f>
        <v/>
      </c>
      <c r="O495" s="56" t="e">
        <f>VLOOKUP(Tableau3[[#This Row],[Denomination Sociale]],Tableau6[],1,0)</f>
        <v>#N/A</v>
      </c>
      <c r="P495" s="56"/>
      <c r="Q495" s="56" t="str">
        <f>VLOOKUP(Tableau3[[#This Row],[Denomination Sociale]],Tableau6[],1,1)</f>
        <v>SENEGALAISE DE DEVELOPPEMENT F-SY</v>
      </c>
      <c r="R495" s="56" t="s">
        <v>1062</v>
      </c>
    </row>
    <row r="496" spans="1:18" s="57" customFormat="1" x14ac:dyDescent="0.35">
      <c r="A496" s="53" t="s">
        <v>1062</v>
      </c>
      <c r="B496" s="54" t="s">
        <v>15114</v>
      </c>
      <c r="C496" s="54" t="s">
        <v>1066</v>
      </c>
      <c r="D496" s="55" t="s">
        <v>1064</v>
      </c>
      <c r="E496" s="55">
        <v>35</v>
      </c>
      <c r="F496" s="55">
        <v>35</v>
      </c>
      <c r="G496" s="54" t="s">
        <v>17</v>
      </c>
      <c r="H496" s="54" t="s">
        <v>17</v>
      </c>
      <c r="I496" s="54" t="s">
        <v>12</v>
      </c>
      <c r="J496" s="54" t="s">
        <v>12</v>
      </c>
      <c r="K496" s="54" t="s">
        <v>12</v>
      </c>
      <c r="L496" s="54" t="s">
        <v>7</v>
      </c>
      <c r="M496" s="25"/>
      <c r="N496" s="56" t="str">
        <f>IFERROR(VLOOKUP(Tableau3[[#This Row],[Denomination Sociale]],Tableau7[],1,0),"")</f>
        <v/>
      </c>
      <c r="O496" s="56" t="e">
        <f>VLOOKUP(Tableau3[[#This Row],[Denomination Sociale]],Tableau6[],1,0)</f>
        <v>#N/A</v>
      </c>
      <c r="P496" s="56"/>
      <c r="Q496" s="56" t="str">
        <f>VLOOKUP(Tableau3[[#This Row],[Denomination Sociale]],Tableau6[],1,1)</f>
        <v>SENEGALAISE DE DEVELOPPEMENT F-SY</v>
      </c>
      <c r="R496" s="56" t="s">
        <v>1062</v>
      </c>
    </row>
    <row r="497" spans="1:18" x14ac:dyDescent="0.35">
      <c r="A497" s="24" t="s">
        <v>864</v>
      </c>
      <c r="B497" s="1" t="s">
        <v>867</v>
      </c>
      <c r="C497" s="1" t="s">
        <v>865</v>
      </c>
      <c r="D497" s="3" t="s">
        <v>866</v>
      </c>
      <c r="E497" s="3" t="s">
        <v>12</v>
      </c>
      <c r="F497" s="3" t="s">
        <v>12</v>
      </c>
      <c r="G497" s="1" t="s">
        <v>17</v>
      </c>
      <c r="H497" s="1" t="s">
        <v>17</v>
      </c>
      <c r="I497" s="1" t="s">
        <v>12</v>
      </c>
      <c r="J497" s="1">
        <v>0</v>
      </c>
      <c r="K497" s="1" t="s">
        <v>12</v>
      </c>
      <c r="L497" s="1" t="s">
        <v>7</v>
      </c>
      <c r="M497" s="25"/>
      <c r="N497" s="25" t="str">
        <f>IFERROR(VLOOKUP(Tableau3[[#This Row],[Denomination Sociale]],Tableau7[],1,0),"")</f>
        <v/>
      </c>
      <c r="O497" s="25" t="str">
        <f>VLOOKUP(Tableau3[[#This Row],[Denomination Sociale]],Tableau6[],1,0)</f>
        <v>SDPP</v>
      </c>
      <c r="P497" s="25" t="s">
        <v>867</v>
      </c>
      <c r="Q497" s="25" t="str">
        <f>VLOOKUP(Tableau3[[#This Row],[Denomination Sociale]],Tableau6[],1,1)</f>
        <v>SDK MINING SA</v>
      </c>
      <c r="R497" s="25" t="s">
        <v>864</v>
      </c>
    </row>
    <row r="498" spans="1:18" x14ac:dyDescent="0.35">
      <c r="A498" s="24" t="s">
        <v>8</v>
      </c>
      <c r="B498" s="49" t="s">
        <v>15505</v>
      </c>
      <c r="C498" s="1" t="s">
        <v>656</v>
      </c>
      <c r="D498" s="3" t="s">
        <v>657</v>
      </c>
      <c r="E498" s="3">
        <v>67</v>
      </c>
      <c r="F498" s="3">
        <v>67</v>
      </c>
      <c r="G498" s="1" t="s">
        <v>17</v>
      </c>
      <c r="H498" s="1" t="s">
        <v>17</v>
      </c>
      <c r="I498" s="1" t="s">
        <v>12</v>
      </c>
      <c r="J498" s="1">
        <v>0</v>
      </c>
      <c r="K498" s="1" t="s">
        <v>12</v>
      </c>
      <c r="L498" s="1" t="s">
        <v>7</v>
      </c>
      <c r="M498" s="25"/>
      <c r="N498" s="25" t="str">
        <f>IFERROR(VLOOKUP(Tableau3[[#This Row],[Denomination Sociale]],Tableau7[],1,0),"")</f>
        <v/>
      </c>
      <c r="O498" s="25" t="str">
        <f>VLOOKUP(Tableau3[[#This Row],[Denomination Sociale]],Tableau6[],1,0)</f>
        <v>SOCIETE SENEGALAISE DE SERVICES MINIERS DE GENIE CIVIL</v>
      </c>
      <c r="P498" s="25" t="s">
        <v>15505</v>
      </c>
      <c r="Q498" s="25" t="str">
        <f>VLOOKUP(Tableau3[[#This Row],[Denomination Sociale]],Tableau6[],1,1)</f>
        <v>SOCIETE SENEGALAISE DE SERVICES MINIERS DE GENIE CIVIL</v>
      </c>
      <c r="R498" s="25" t="s">
        <v>8</v>
      </c>
    </row>
    <row r="499" spans="1:18" x14ac:dyDescent="0.35">
      <c r="A499" s="24" t="s">
        <v>8</v>
      </c>
      <c r="B499" s="49" t="s">
        <v>15505</v>
      </c>
      <c r="C499" s="1" t="s">
        <v>658</v>
      </c>
      <c r="D499" s="3" t="s">
        <v>657</v>
      </c>
      <c r="E499" s="3">
        <v>33</v>
      </c>
      <c r="F499" s="3">
        <v>33</v>
      </c>
      <c r="G499" s="1" t="s">
        <v>17</v>
      </c>
      <c r="H499" s="1" t="s">
        <v>17</v>
      </c>
      <c r="I499" s="1" t="s">
        <v>12</v>
      </c>
      <c r="J499" s="1">
        <v>0</v>
      </c>
      <c r="K499" s="1" t="s">
        <v>12</v>
      </c>
      <c r="L499" s="1" t="s">
        <v>7</v>
      </c>
      <c r="M499" s="25"/>
      <c r="N499" s="25" t="str">
        <f>IFERROR(VLOOKUP(Tableau3[[#This Row],[Denomination Sociale]],Tableau7[],1,0),"")</f>
        <v/>
      </c>
      <c r="O499" s="25" t="str">
        <f>VLOOKUP(Tableau3[[#This Row],[Denomination Sociale]],Tableau6[],1,0)</f>
        <v>SOCIETE SENEGALAISE DE SERVICES MINIERS DE GENIE CIVIL</v>
      </c>
      <c r="P499" s="25" t="s">
        <v>15505</v>
      </c>
      <c r="Q499" s="25" t="str">
        <f>VLOOKUP(Tableau3[[#This Row],[Denomination Sociale]],Tableau6[],1,1)</f>
        <v>SOCIETE SENEGALAISE DE SERVICES MINIERS DE GENIE CIVIL</v>
      </c>
      <c r="R499" s="25" t="s">
        <v>8</v>
      </c>
    </row>
    <row r="500" spans="1:18" x14ac:dyDescent="0.35">
      <c r="A500" s="24" t="s">
        <v>8</v>
      </c>
      <c r="B500" s="1" t="s">
        <v>659</v>
      </c>
      <c r="C500" s="1" t="s">
        <v>660</v>
      </c>
      <c r="D500" s="3" t="s">
        <v>661</v>
      </c>
      <c r="E500" s="3">
        <v>48</v>
      </c>
      <c r="F500" s="3">
        <v>48</v>
      </c>
      <c r="G500" s="1" t="s">
        <v>17</v>
      </c>
      <c r="H500" s="1" t="s">
        <v>17</v>
      </c>
      <c r="I500" s="1" t="s">
        <v>12</v>
      </c>
      <c r="J500" s="1">
        <v>0</v>
      </c>
      <c r="K500" s="1" t="s">
        <v>12</v>
      </c>
      <c r="L500" s="1" t="s">
        <v>7</v>
      </c>
      <c r="M500" s="25"/>
      <c r="N500" s="25" t="str">
        <f>IFERROR(VLOOKUP(Tableau3[[#This Row],[Denomination Sociale]],Tableau7[],1,0),"")</f>
        <v/>
      </c>
      <c r="O500" s="25" t="str">
        <f>VLOOKUP(Tableau3[[#This Row],[Denomination Sociale]],Tableau6[],1,0)</f>
        <v>SENEGALAISE DES MINES ET GEOLOGIE</v>
      </c>
      <c r="P500" s="25" t="s">
        <v>659</v>
      </c>
      <c r="Q500" s="25" t="str">
        <f>VLOOKUP(Tableau3[[#This Row],[Denomination Sociale]],Tableau6[],1,1)</f>
        <v>SÉNÉGALAISE DES MINES ET DES TRANSPORTS SEMITRAS</v>
      </c>
      <c r="R500" s="25" t="s">
        <v>8</v>
      </c>
    </row>
    <row r="501" spans="1:18" x14ac:dyDescent="0.35">
      <c r="A501" s="24" t="s">
        <v>8</v>
      </c>
      <c r="B501" s="1" t="s">
        <v>659</v>
      </c>
      <c r="C501" s="1" t="s">
        <v>662</v>
      </c>
      <c r="D501" s="3" t="s">
        <v>661</v>
      </c>
      <c r="E501" s="3">
        <v>52</v>
      </c>
      <c r="F501" s="3">
        <v>52</v>
      </c>
      <c r="G501" s="1" t="s">
        <v>17</v>
      </c>
      <c r="H501" s="1" t="s">
        <v>17</v>
      </c>
      <c r="I501" s="1" t="s">
        <v>12</v>
      </c>
      <c r="J501" s="1">
        <v>0</v>
      </c>
      <c r="K501" s="1" t="s">
        <v>12</v>
      </c>
      <c r="L501" s="1" t="s">
        <v>7</v>
      </c>
      <c r="M501" s="25"/>
      <c r="N501" s="25" t="str">
        <f>IFERROR(VLOOKUP(Tableau3[[#This Row],[Denomination Sociale]],Tableau7[],1,0),"")</f>
        <v/>
      </c>
      <c r="O501" s="25" t="str">
        <f>VLOOKUP(Tableau3[[#This Row],[Denomination Sociale]],Tableau6[],1,0)</f>
        <v>SENEGALAISE DES MINES ET GEOLOGIE</v>
      </c>
      <c r="P501" s="25" t="s">
        <v>659</v>
      </c>
      <c r="Q501" s="25" t="str">
        <f>VLOOKUP(Tableau3[[#This Row],[Denomination Sociale]],Tableau6[],1,1)</f>
        <v>SÉNÉGALAISE DES MINES ET DES TRANSPORTS SEMITRAS</v>
      </c>
      <c r="R501" s="25" t="s">
        <v>8</v>
      </c>
    </row>
    <row r="502" spans="1:18" x14ac:dyDescent="0.35">
      <c r="A502" s="24" t="s">
        <v>8</v>
      </c>
      <c r="B502" s="1" t="s">
        <v>15474</v>
      </c>
      <c r="C502" s="1" t="s">
        <v>1123</v>
      </c>
      <c r="D502" s="3" t="s">
        <v>1162</v>
      </c>
      <c r="E502" s="3" t="s">
        <v>1163</v>
      </c>
      <c r="F502" s="3" t="s">
        <v>1163</v>
      </c>
      <c r="G502" s="1" t="s">
        <v>17</v>
      </c>
      <c r="H502" s="1"/>
      <c r="I502" s="1">
        <v>0</v>
      </c>
      <c r="J502" s="1" t="s">
        <v>12</v>
      </c>
      <c r="K502" s="1" t="s">
        <v>12</v>
      </c>
      <c r="L502" s="1" t="s">
        <v>7</v>
      </c>
      <c r="M502" s="25"/>
      <c r="N502" s="25" t="str">
        <f>IFERROR(VLOOKUP(Tableau3[[#This Row],[Denomination Sociale]],Tableau7[],1,0),"")</f>
        <v/>
      </c>
      <c r="O502" s="25" t="str">
        <f>VLOOKUP(Tableau3[[#This Row],[Denomination Sociale]],Tableau6[],1,0)</f>
        <v>SENEGINDIA</v>
      </c>
      <c r="P502" s="25" t="s">
        <v>15474</v>
      </c>
      <c r="Q502" s="25" t="str">
        <f>VLOOKUP(Tableau3[[#This Row],[Denomination Sociale]],Tableau6[],1,1)</f>
        <v>SENEGINDIA</v>
      </c>
      <c r="R502" s="25" t="s">
        <v>8</v>
      </c>
    </row>
    <row r="503" spans="1:18" x14ac:dyDescent="0.35">
      <c r="A503" s="24" t="s">
        <v>8</v>
      </c>
      <c r="B503" s="1" t="s">
        <v>15474</v>
      </c>
      <c r="C503" s="1" t="s">
        <v>1164</v>
      </c>
      <c r="D503" s="3" t="s">
        <v>1162</v>
      </c>
      <c r="E503" s="3" t="s">
        <v>1165</v>
      </c>
      <c r="F503" s="3" t="s">
        <v>1165</v>
      </c>
      <c r="G503" s="1" t="s">
        <v>17</v>
      </c>
      <c r="H503" s="1"/>
      <c r="I503" s="1">
        <v>0</v>
      </c>
      <c r="J503" s="1" t="s">
        <v>12</v>
      </c>
      <c r="K503" s="1" t="s">
        <v>12</v>
      </c>
      <c r="L503" s="1" t="s">
        <v>7</v>
      </c>
      <c r="M503" s="25"/>
      <c r="N503" s="25" t="str">
        <f>IFERROR(VLOOKUP(Tableau3[[#This Row],[Denomination Sociale]],Tableau7[],1,0),"")</f>
        <v/>
      </c>
      <c r="O503" s="25" t="str">
        <f>VLOOKUP(Tableau3[[#This Row],[Denomination Sociale]],Tableau6[],1,0)</f>
        <v>SENEGINDIA</v>
      </c>
      <c r="P503" s="25" t="s">
        <v>15474</v>
      </c>
      <c r="Q503" s="25" t="str">
        <f>VLOOKUP(Tableau3[[#This Row],[Denomination Sociale]],Tableau6[],1,1)</f>
        <v>SENEGINDIA</v>
      </c>
      <c r="R503" s="25" t="s">
        <v>8</v>
      </c>
    </row>
    <row r="504" spans="1:18" x14ac:dyDescent="0.35">
      <c r="A504" s="24" t="s">
        <v>8</v>
      </c>
      <c r="B504" s="1" t="s">
        <v>15474</v>
      </c>
      <c r="C504" s="1" t="s">
        <v>1166</v>
      </c>
      <c r="D504" s="3" t="s">
        <v>1162</v>
      </c>
      <c r="E504" s="3" t="s">
        <v>1167</v>
      </c>
      <c r="F504" s="3" t="s">
        <v>1167</v>
      </c>
      <c r="G504" s="1" t="s">
        <v>160</v>
      </c>
      <c r="H504" s="1"/>
      <c r="I504" s="1">
        <v>0</v>
      </c>
      <c r="J504" s="1" t="s">
        <v>12</v>
      </c>
      <c r="K504" s="1" t="s">
        <v>12</v>
      </c>
      <c r="L504" s="1" t="s">
        <v>7</v>
      </c>
      <c r="M504" s="25"/>
      <c r="N504" s="25" t="str">
        <f>IFERROR(VLOOKUP(Tableau3[[#This Row],[Denomination Sociale]],Tableau7[],1,0),"")</f>
        <v/>
      </c>
      <c r="O504" s="25" t="str">
        <f>VLOOKUP(Tableau3[[#This Row],[Denomination Sociale]],Tableau6[],1,0)</f>
        <v>SENEGINDIA</v>
      </c>
      <c r="P504" s="25" t="s">
        <v>15474</v>
      </c>
      <c r="Q504" s="25" t="str">
        <f>VLOOKUP(Tableau3[[#This Row],[Denomination Sociale]],Tableau6[],1,1)</f>
        <v>SENEGINDIA</v>
      </c>
      <c r="R504" s="25" t="s">
        <v>8</v>
      </c>
    </row>
    <row r="505" spans="1:18" x14ac:dyDescent="0.35">
      <c r="A505" s="24" t="s">
        <v>8</v>
      </c>
      <c r="B505" s="1" t="s">
        <v>663</v>
      </c>
      <c r="C505" s="1" t="s">
        <v>396</v>
      </c>
      <c r="D505" s="3" t="s">
        <v>664</v>
      </c>
      <c r="E505" s="3">
        <v>100</v>
      </c>
      <c r="F505" s="3">
        <v>100</v>
      </c>
      <c r="G505" s="1" t="s">
        <v>17</v>
      </c>
      <c r="H505" s="1" t="s">
        <v>17</v>
      </c>
      <c r="I505" s="1" t="s">
        <v>12</v>
      </c>
      <c r="J505" s="1">
        <v>0</v>
      </c>
      <c r="K505" s="1" t="s">
        <v>12</v>
      </c>
      <c r="L505" s="1" t="s">
        <v>7</v>
      </c>
      <c r="M505" s="25"/>
      <c r="N505" s="25" t="str">
        <f>IFERROR(VLOOKUP(Tableau3[[#This Row],[Denomination Sociale]],Tableau7[],1,0),"")</f>
        <v/>
      </c>
      <c r="O505" s="25" t="str">
        <f>VLOOKUP(Tableau3[[#This Row],[Denomination Sociale]],Tableau6[],1,0)</f>
        <v>SENGOLD COMPANY</v>
      </c>
      <c r="P505" s="25" t="s">
        <v>663</v>
      </c>
      <c r="Q505" s="25" t="str">
        <f>VLOOKUP(Tableau3[[#This Row],[Denomination Sociale]],Tableau6[],1,1)</f>
        <v>SENGOLD COMPANY</v>
      </c>
      <c r="R505" s="25" t="s">
        <v>8</v>
      </c>
    </row>
    <row r="506" spans="1:18" x14ac:dyDescent="0.35">
      <c r="A506" s="24" t="s">
        <v>8</v>
      </c>
      <c r="B506" s="1" t="s">
        <v>665</v>
      </c>
      <c r="C506" s="1" t="s">
        <v>411</v>
      </c>
      <c r="D506" s="3" t="s">
        <v>666</v>
      </c>
      <c r="E506" s="3">
        <v>100</v>
      </c>
      <c r="F506" s="3">
        <v>100</v>
      </c>
      <c r="G506" s="1" t="s">
        <v>17</v>
      </c>
      <c r="H506" s="1" t="s">
        <v>17</v>
      </c>
      <c r="I506" s="1" t="s">
        <v>12</v>
      </c>
      <c r="J506" s="1">
        <v>0</v>
      </c>
      <c r="K506" s="1" t="s">
        <v>12</v>
      </c>
      <c r="L506" s="1" t="s">
        <v>7</v>
      </c>
      <c r="M506" s="25"/>
      <c r="N506" s="25" t="str">
        <f>IFERROR(VLOOKUP(Tableau3[[#This Row],[Denomination Sociale]],Tableau7[],1,0),"")</f>
        <v/>
      </c>
      <c r="O506" s="25" t="str">
        <f>VLOOKUP(Tableau3[[#This Row],[Denomination Sociale]],Tableau6[],1,0)</f>
        <v>SEN-STONES</v>
      </c>
      <c r="P506" s="25" t="s">
        <v>665</v>
      </c>
      <c r="Q506" s="25" t="str">
        <f>VLOOKUP(Tableau3[[#This Row],[Denomination Sociale]],Tableau6[],1,1)</f>
        <v>SEN-STONES</v>
      </c>
      <c r="R506" s="25" t="s">
        <v>8</v>
      </c>
    </row>
    <row r="507" spans="1:18" x14ac:dyDescent="0.35">
      <c r="A507" s="24" t="s">
        <v>8</v>
      </c>
      <c r="B507" s="1" t="s">
        <v>667</v>
      </c>
      <c r="C507" s="1" t="s">
        <v>668</v>
      </c>
      <c r="D507" s="3" t="s">
        <v>669</v>
      </c>
      <c r="E507" s="3">
        <v>100</v>
      </c>
      <c r="F507" s="3">
        <v>100</v>
      </c>
      <c r="G507" s="1" t="s">
        <v>17</v>
      </c>
      <c r="H507" s="1" t="s">
        <v>17</v>
      </c>
      <c r="I507" s="1" t="s">
        <v>12</v>
      </c>
      <c r="J507" s="1">
        <v>0</v>
      </c>
      <c r="K507" s="1" t="s">
        <v>12</v>
      </c>
      <c r="L507" s="1" t="s">
        <v>7</v>
      </c>
      <c r="M507" s="25"/>
      <c r="N507" s="25" t="str">
        <f>IFERROR(VLOOKUP(Tableau3[[#This Row],[Denomination Sociale]],Tableau7[],1,0),"")</f>
        <v/>
      </c>
      <c r="O507" s="25" t="str">
        <f>VLOOKUP(Tableau3[[#This Row],[Denomination Sociale]],Tableau6[],1,0)</f>
        <v>SERTER</v>
      </c>
      <c r="P507" s="25" t="s">
        <v>667</v>
      </c>
      <c r="Q507" s="25" t="str">
        <f>VLOOKUP(Tableau3[[#This Row],[Denomination Sociale]],Tableau6[],1,1)</f>
        <v>SERTER</v>
      </c>
      <c r="R507" s="25" t="s">
        <v>8</v>
      </c>
    </row>
    <row r="508" spans="1:18" x14ac:dyDescent="0.35">
      <c r="A508" s="24" t="s">
        <v>8</v>
      </c>
      <c r="B508" s="1" t="s">
        <v>15484</v>
      </c>
      <c r="C508" s="1" t="s">
        <v>1075</v>
      </c>
      <c r="D508" s="3" t="s">
        <v>1076</v>
      </c>
      <c r="E508" s="3" t="s">
        <v>12</v>
      </c>
      <c r="F508" s="3" t="s">
        <v>12</v>
      </c>
      <c r="G508" s="1" t="s">
        <v>17</v>
      </c>
      <c r="H508" s="1"/>
      <c r="I508" s="1">
        <v>0</v>
      </c>
      <c r="J508" s="1" t="s">
        <v>12</v>
      </c>
      <c r="K508" s="1" t="s">
        <v>12</v>
      </c>
      <c r="L508" s="1" t="s">
        <v>7</v>
      </c>
      <c r="M508" s="25"/>
      <c r="N508" s="25" t="str">
        <f>IFERROR(VLOOKUP(Tableau3[[#This Row],[Denomination Sociale]],Tableau7[],1,0),"")</f>
        <v/>
      </c>
      <c r="O508" s="25" t="str">
        <f>VLOOKUP(Tableau3[[#This Row],[Denomination Sociale]],Tableau6[],1,0)</f>
        <v>SINOHYDRO SENEGAL</v>
      </c>
      <c r="P508" s="25" t="s">
        <v>15484</v>
      </c>
      <c r="Q508" s="25" t="str">
        <f>VLOOKUP(Tableau3[[#This Row],[Denomination Sociale]],Tableau6[],1,1)</f>
        <v>SINOHYDRO SENEGAL</v>
      </c>
      <c r="R508" s="25" t="s">
        <v>8</v>
      </c>
    </row>
    <row r="509" spans="1:18" x14ac:dyDescent="0.35">
      <c r="A509" s="24" t="s">
        <v>8</v>
      </c>
      <c r="B509" s="1" t="s">
        <v>670</v>
      </c>
      <c r="C509" s="1" t="s">
        <v>671</v>
      </c>
      <c r="D509" s="3" t="s">
        <v>672</v>
      </c>
      <c r="E509" s="3">
        <v>100</v>
      </c>
      <c r="F509" s="3" t="s">
        <v>12</v>
      </c>
      <c r="G509" s="1" t="s">
        <v>17</v>
      </c>
      <c r="H509" s="1" t="s">
        <v>17</v>
      </c>
      <c r="I509" s="1" t="s">
        <v>12</v>
      </c>
      <c r="J509" s="1">
        <v>0</v>
      </c>
      <c r="K509" s="1" t="s">
        <v>12</v>
      </c>
      <c r="L509" s="1" t="s">
        <v>7</v>
      </c>
      <c r="M509" s="25"/>
      <c r="N509" s="25" t="str">
        <f>IFERROR(VLOOKUP(Tableau3[[#This Row],[Denomination Sociale]],Tableau7[],1,0),"")</f>
        <v/>
      </c>
      <c r="O509" s="25" t="str">
        <f>VLOOKUP(Tableau3[[#This Row],[Denomination Sociale]],Tableau6[],1,0)</f>
        <v>SINTRADE</v>
      </c>
      <c r="P509" s="25" t="s">
        <v>670</v>
      </c>
      <c r="Q509" s="25" t="str">
        <f>VLOOKUP(Tableau3[[#This Row],[Denomination Sociale]],Tableau6[],1,1)</f>
        <v>SINTRADE</v>
      </c>
      <c r="R509" s="25" t="s">
        <v>8</v>
      </c>
    </row>
    <row r="510" spans="1:18" x14ac:dyDescent="0.35">
      <c r="A510" s="24" t="s">
        <v>8</v>
      </c>
      <c r="B510" s="1" t="s">
        <v>15485</v>
      </c>
      <c r="C510" s="1" t="s">
        <v>1199</v>
      </c>
      <c r="D510" s="3" t="s">
        <v>1200</v>
      </c>
      <c r="E510" s="3">
        <v>49</v>
      </c>
      <c r="F510" s="3">
        <v>49</v>
      </c>
      <c r="G510" s="1" t="s">
        <v>17</v>
      </c>
      <c r="H510" s="1"/>
      <c r="I510" s="1">
        <v>0</v>
      </c>
      <c r="J510" s="1" t="s">
        <v>12</v>
      </c>
      <c r="K510" s="1" t="s">
        <v>12</v>
      </c>
      <c r="L510" s="1" t="s">
        <v>7</v>
      </c>
      <c r="M510" s="25"/>
      <c r="N510" s="25" t="str">
        <f>IFERROR(VLOOKUP(Tableau3[[#This Row],[Denomination Sociale]],Tableau7[],1,0),"")</f>
        <v/>
      </c>
      <c r="O510" s="25" t="str">
        <f>VLOOKUP(Tableau3[[#This Row],[Denomination Sociale]],Tableau6[],1,0)</f>
        <v>SIRAJ MINES ET INDUSTRIES</v>
      </c>
      <c r="P510" s="25" t="s">
        <v>15485</v>
      </c>
      <c r="Q510" s="25" t="str">
        <f>VLOOKUP(Tableau3[[#This Row],[Denomination Sociale]],Tableau6[],1,1)</f>
        <v>SIRAJ MINES ET INDUSTRIES</v>
      </c>
      <c r="R510" s="25" t="s">
        <v>8</v>
      </c>
    </row>
    <row r="511" spans="1:18" x14ac:dyDescent="0.35">
      <c r="A511" s="24" t="s">
        <v>8</v>
      </c>
      <c r="B511" s="1" t="s">
        <v>15485</v>
      </c>
      <c r="C511" s="1" t="s">
        <v>1201</v>
      </c>
      <c r="D511" s="3" t="s">
        <v>1200</v>
      </c>
      <c r="E511" s="3">
        <v>51</v>
      </c>
      <c r="F511" s="3">
        <v>51</v>
      </c>
      <c r="G511" s="1" t="s">
        <v>17</v>
      </c>
      <c r="H511" s="1"/>
      <c r="I511" s="1">
        <v>0</v>
      </c>
      <c r="J511" s="1" t="s">
        <v>12</v>
      </c>
      <c r="K511" s="1" t="s">
        <v>12</v>
      </c>
      <c r="L511" s="1" t="s">
        <v>7</v>
      </c>
      <c r="M511" s="25"/>
      <c r="N511" s="25" t="str">
        <f>IFERROR(VLOOKUP(Tableau3[[#This Row],[Denomination Sociale]],Tableau7[],1,0),"")</f>
        <v/>
      </c>
      <c r="O511" s="25" t="str">
        <f>VLOOKUP(Tableau3[[#This Row],[Denomination Sociale]],Tableau6[],1,0)</f>
        <v>SIRAJ MINES ET INDUSTRIES</v>
      </c>
      <c r="P511" s="25" t="s">
        <v>15485</v>
      </c>
      <c r="Q511" s="25" t="str">
        <f>VLOOKUP(Tableau3[[#This Row],[Denomination Sociale]],Tableau6[],1,1)</f>
        <v>SIRAJ MINES ET INDUSTRIES</v>
      </c>
      <c r="R511" s="25" t="s">
        <v>8</v>
      </c>
    </row>
    <row r="512" spans="1:18" x14ac:dyDescent="0.35">
      <c r="A512" s="24" t="s">
        <v>8</v>
      </c>
      <c r="B512" s="1" t="s">
        <v>15686</v>
      </c>
      <c r="C512" s="1" t="s">
        <v>627</v>
      </c>
      <c r="D512" s="3" t="s">
        <v>628</v>
      </c>
      <c r="E512" s="3">
        <v>55</v>
      </c>
      <c r="F512" s="3" t="s">
        <v>12</v>
      </c>
      <c r="G512" s="1" t="s">
        <v>17</v>
      </c>
      <c r="H512" s="1" t="s">
        <v>17</v>
      </c>
      <c r="I512" s="1" t="s">
        <v>12</v>
      </c>
      <c r="J512" s="1">
        <v>0</v>
      </c>
      <c r="K512" s="1" t="s">
        <v>12</v>
      </c>
      <c r="L512" s="1" t="s">
        <v>7</v>
      </c>
      <c r="M512" s="25"/>
      <c r="N512" s="25" t="str">
        <f>IFERROR(VLOOKUP(Tableau3[[#This Row],[Denomination Sociale]],Tableau7[],1,0),"")</f>
        <v/>
      </c>
      <c r="O512" s="25" t="str">
        <f>VLOOKUP(Tableau3[[#This Row],[Denomination Sociale]],Tableau6[],1,0)</f>
        <v>SKDT</v>
      </c>
      <c r="P512" s="25" t="s">
        <v>15686</v>
      </c>
      <c r="Q512" s="25" t="str">
        <f>VLOOKUP(Tableau3[[#This Row],[Denomination Sociale]],Tableau6[],1,1)</f>
        <v>SK MINING OPERATIONS</v>
      </c>
      <c r="R512" s="25" t="s">
        <v>8</v>
      </c>
    </row>
    <row r="513" spans="1:18" x14ac:dyDescent="0.35">
      <c r="A513" s="24" t="s">
        <v>8</v>
      </c>
      <c r="B513" s="1" t="s">
        <v>15686</v>
      </c>
      <c r="C513" s="1" t="s">
        <v>221</v>
      </c>
      <c r="D513" s="3" t="s">
        <v>628</v>
      </c>
      <c r="E513" s="3">
        <v>45</v>
      </c>
      <c r="F513" s="3">
        <v>45</v>
      </c>
      <c r="G513" s="1" t="s">
        <v>17</v>
      </c>
      <c r="H513" s="1" t="s">
        <v>17</v>
      </c>
      <c r="I513" s="1" t="s">
        <v>12</v>
      </c>
      <c r="J513" s="1">
        <v>0</v>
      </c>
      <c r="K513" s="1" t="s">
        <v>12</v>
      </c>
      <c r="L513" s="1" t="s">
        <v>7</v>
      </c>
      <c r="M513" s="25"/>
      <c r="N513" s="25" t="str">
        <f>IFERROR(VLOOKUP(Tableau3[[#This Row],[Denomination Sociale]],Tableau7[],1,0),"")</f>
        <v/>
      </c>
      <c r="O513" s="25" t="str">
        <f>VLOOKUP(Tableau3[[#This Row],[Denomination Sociale]],Tableau6[],1,0)</f>
        <v>SKDT</v>
      </c>
      <c r="P513" s="25" t="s">
        <v>15686</v>
      </c>
      <c r="Q513" s="25" t="str">
        <f>VLOOKUP(Tableau3[[#This Row],[Denomination Sociale]],Tableau6[],1,1)</f>
        <v>SK MINING OPERATIONS</v>
      </c>
      <c r="R513" s="25" t="s">
        <v>8</v>
      </c>
    </row>
    <row r="514" spans="1:18" x14ac:dyDescent="0.35">
      <c r="A514" s="24" t="s">
        <v>8</v>
      </c>
      <c r="B514" s="1" t="s">
        <v>15623</v>
      </c>
      <c r="C514" s="1" t="s">
        <v>677</v>
      </c>
      <c r="D514" s="3" t="s">
        <v>678</v>
      </c>
      <c r="E514" s="3" t="s">
        <v>12</v>
      </c>
      <c r="F514" s="3" t="s">
        <v>12</v>
      </c>
      <c r="G514" s="1" t="s">
        <v>17</v>
      </c>
      <c r="H514" s="1" t="s">
        <v>17</v>
      </c>
      <c r="I514" s="1" t="s">
        <v>12</v>
      </c>
      <c r="J514" s="1">
        <v>1</v>
      </c>
      <c r="K514" s="1" t="s">
        <v>12</v>
      </c>
      <c r="L514" s="1" t="s">
        <v>7</v>
      </c>
      <c r="M514" s="25"/>
      <c r="N514" s="25" t="str">
        <f>IFERROR(VLOOKUP(Tableau3[[#This Row],[Denomination Sociale]],Tableau7[],1,0),"")</f>
        <v/>
      </c>
      <c r="O514" s="25" t="str">
        <f>VLOOKUP(Tableau3[[#This Row],[Denomination Sociale]],Tableau6[],1,0)</f>
        <v>SOCABEG</v>
      </c>
      <c r="P514" s="25" t="s">
        <v>15623</v>
      </c>
      <c r="Q514" s="25" t="str">
        <f>VLOOKUP(Tableau3[[#This Row],[Denomination Sociale]],Tableau6[],1,1)</f>
        <v>SOCABEG</v>
      </c>
      <c r="R514" s="25" t="s">
        <v>8</v>
      </c>
    </row>
    <row r="515" spans="1:18" x14ac:dyDescent="0.35">
      <c r="A515" s="24" t="s">
        <v>8</v>
      </c>
      <c r="B515" s="1" t="s">
        <v>679</v>
      </c>
      <c r="C515" s="1" t="s">
        <v>680</v>
      </c>
      <c r="D515" s="3" t="s">
        <v>681</v>
      </c>
      <c r="E515" s="3">
        <v>33</v>
      </c>
      <c r="F515" s="3">
        <v>33</v>
      </c>
      <c r="G515" s="1" t="s">
        <v>17</v>
      </c>
      <c r="H515" s="1" t="s">
        <v>17</v>
      </c>
      <c r="I515" s="1" t="s">
        <v>12</v>
      </c>
      <c r="J515" s="1">
        <v>0</v>
      </c>
      <c r="K515" s="1" t="s">
        <v>12</v>
      </c>
      <c r="L515" s="1" t="s">
        <v>7</v>
      </c>
      <c r="M515" s="25"/>
      <c r="N515" s="25" t="str">
        <f>IFERROR(VLOOKUP(Tableau3[[#This Row],[Denomination Sociale]],Tableau7[],1,0),"")</f>
        <v/>
      </c>
      <c r="O515" s="25" t="str">
        <f>VLOOKUP(Tableau3[[#This Row],[Denomination Sociale]],Tableau6[],1,0)</f>
        <v>SOCIETE DE CONCASSAGE ET DE BETON</v>
      </c>
      <c r="P515" s="25" t="s">
        <v>679</v>
      </c>
      <c r="Q515" s="25" t="str">
        <f>VLOOKUP(Tableau3[[#This Row],[Denomination Sociale]],Tableau6[],1,1)</f>
        <v>SOCIETE DE CONCASSAGE ET DE BETON</v>
      </c>
      <c r="R515" s="25" t="s">
        <v>8</v>
      </c>
    </row>
    <row r="516" spans="1:18" x14ac:dyDescent="0.35">
      <c r="A516" s="24" t="s">
        <v>8</v>
      </c>
      <c r="B516" s="1" t="s">
        <v>679</v>
      </c>
      <c r="C516" s="1" t="s">
        <v>682</v>
      </c>
      <c r="D516" s="3" t="s">
        <v>681</v>
      </c>
      <c r="E516" s="3">
        <v>33</v>
      </c>
      <c r="F516" s="3" t="s">
        <v>12</v>
      </c>
      <c r="G516" s="1" t="s">
        <v>683</v>
      </c>
      <c r="H516" s="1" t="s">
        <v>683</v>
      </c>
      <c r="I516" s="1" t="s">
        <v>12</v>
      </c>
      <c r="J516" s="1">
        <v>0</v>
      </c>
      <c r="K516" s="1" t="s">
        <v>12</v>
      </c>
      <c r="L516" s="1" t="s">
        <v>7</v>
      </c>
      <c r="M516" s="25"/>
      <c r="N516" s="25" t="str">
        <f>IFERROR(VLOOKUP(Tableau3[[#This Row],[Denomination Sociale]],Tableau7[],1,0),"")</f>
        <v/>
      </c>
      <c r="O516" s="25" t="str">
        <f>VLOOKUP(Tableau3[[#This Row],[Denomination Sociale]],Tableau6[],1,0)</f>
        <v>SOCIETE DE CONCASSAGE ET DE BETON</v>
      </c>
      <c r="P516" s="25" t="s">
        <v>679</v>
      </c>
      <c r="Q516" s="25" t="str">
        <f>VLOOKUP(Tableau3[[#This Row],[Denomination Sociale]],Tableau6[],1,1)</f>
        <v>SOCIETE DE CONCASSAGE ET DE BETON</v>
      </c>
      <c r="R516" s="25" t="s">
        <v>8</v>
      </c>
    </row>
    <row r="517" spans="1:18" x14ac:dyDescent="0.35">
      <c r="A517" s="24" t="s">
        <v>8</v>
      </c>
      <c r="B517" s="1" t="s">
        <v>679</v>
      </c>
      <c r="C517" s="1" t="s">
        <v>684</v>
      </c>
      <c r="D517" s="3" t="s">
        <v>681</v>
      </c>
      <c r="E517" s="3">
        <v>12</v>
      </c>
      <c r="F517" s="3" t="s">
        <v>12</v>
      </c>
      <c r="G517" s="1" t="s">
        <v>17</v>
      </c>
      <c r="H517" s="1" t="s">
        <v>17</v>
      </c>
      <c r="I517" s="1" t="s">
        <v>12</v>
      </c>
      <c r="J517" s="1">
        <v>0</v>
      </c>
      <c r="K517" s="1" t="s">
        <v>12</v>
      </c>
      <c r="L517" s="1" t="s">
        <v>7</v>
      </c>
      <c r="M517" s="25"/>
      <c r="N517" s="25" t="str">
        <f>IFERROR(VLOOKUP(Tableau3[[#This Row],[Denomination Sociale]],Tableau7[],1,0),"")</f>
        <v/>
      </c>
      <c r="O517" s="25" t="str">
        <f>VLOOKUP(Tableau3[[#This Row],[Denomination Sociale]],Tableau6[],1,0)</f>
        <v>SOCIETE DE CONCASSAGE ET DE BETON</v>
      </c>
      <c r="P517" s="25" t="s">
        <v>679</v>
      </c>
      <c r="Q517" s="25" t="str">
        <f>VLOOKUP(Tableau3[[#This Row],[Denomination Sociale]],Tableau6[],1,1)</f>
        <v>SOCIETE DE CONCASSAGE ET DE BETON</v>
      </c>
      <c r="R517" s="25" t="s">
        <v>8</v>
      </c>
    </row>
    <row r="518" spans="1:18" x14ac:dyDescent="0.35">
      <c r="A518" s="24" t="s">
        <v>8</v>
      </c>
      <c r="B518" s="1" t="s">
        <v>679</v>
      </c>
      <c r="C518" s="1" t="s">
        <v>685</v>
      </c>
      <c r="D518" s="3" t="s">
        <v>681</v>
      </c>
      <c r="E518" s="3">
        <v>33</v>
      </c>
      <c r="F518" s="3">
        <v>33</v>
      </c>
      <c r="G518" s="1" t="s">
        <v>683</v>
      </c>
      <c r="H518" s="1" t="s">
        <v>683</v>
      </c>
      <c r="I518" s="1" t="s">
        <v>12</v>
      </c>
      <c r="J518" s="1">
        <v>0</v>
      </c>
      <c r="K518" s="1" t="s">
        <v>12</v>
      </c>
      <c r="L518" s="1" t="s">
        <v>7</v>
      </c>
      <c r="M518" s="25"/>
      <c r="N518" s="25" t="str">
        <f>IFERROR(VLOOKUP(Tableau3[[#This Row],[Denomination Sociale]],Tableau7[],1,0),"")</f>
        <v/>
      </c>
      <c r="O518" s="25" t="str">
        <f>VLOOKUP(Tableau3[[#This Row],[Denomination Sociale]],Tableau6[],1,0)</f>
        <v>SOCIETE DE CONCASSAGE ET DE BETON</v>
      </c>
      <c r="P518" s="25" t="s">
        <v>679</v>
      </c>
      <c r="Q518" s="25" t="str">
        <f>VLOOKUP(Tableau3[[#This Row],[Denomination Sociale]],Tableau6[],1,1)</f>
        <v>SOCIETE DE CONCASSAGE ET DE BETON</v>
      </c>
      <c r="R518" s="25" t="s">
        <v>8</v>
      </c>
    </row>
    <row r="519" spans="1:18" x14ac:dyDescent="0.35">
      <c r="A519" s="24" t="s">
        <v>980</v>
      </c>
      <c r="B519" s="1" t="s">
        <v>15497</v>
      </c>
      <c r="C519" s="1" t="s">
        <v>999</v>
      </c>
      <c r="D519" s="3" t="s">
        <v>1004</v>
      </c>
      <c r="E519" s="3">
        <v>15</v>
      </c>
      <c r="F519" s="3">
        <v>15</v>
      </c>
      <c r="G519" s="1" t="s">
        <v>17</v>
      </c>
      <c r="H519" s="1" t="s">
        <v>17</v>
      </c>
      <c r="I519" s="1" t="s">
        <v>168</v>
      </c>
      <c r="J519" s="1">
        <v>1</v>
      </c>
      <c r="K519" s="1" t="s">
        <v>12</v>
      </c>
      <c r="L519" s="1" t="s">
        <v>7</v>
      </c>
      <c r="M519" s="25"/>
      <c r="N519" s="25" t="str">
        <f>IFERROR(VLOOKUP(Tableau3[[#This Row],[Denomination Sociale]],Tableau7[],1,0),"")</f>
        <v/>
      </c>
      <c r="O519" s="25" t="str">
        <f>VLOOKUP(Tableau3[[#This Row],[Denomination Sociale]],Tableau6[],1,0)</f>
        <v>SOCIETE DE TRAVAUX GENERAL ET DE COMMERCE</v>
      </c>
      <c r="P519" s="25" t="s">
        <v>15497</v>
      </c>
      <c r="Q519" s="25" t="str">
        <f>VLOOKUP(Tableau3[[#This Row],[Denomination Sociale]],Tableau6[],1,1)</f>
        <v>SOCIETE DE TRAVAUX GENERAL ET DE COMMERCE</v>
      </c>
      <c r="R519" s="25" t="s">
        <v>980</v>
      </c>
    </row>
    <row r="520" spans="1:18" x14ac:dyDescent="0.35">
      <c r="A520" s="24" t="s">
        <v>980</v>
      </c>
      <c r="B520" s="1" t="s">
        <v>15497</v>
      </c>
      <c r="C520" s="1" t="s">
        <v>999</v>
      </c>
      <c r="D520" s="3" t="s">
        <v>1004</v>
      </c>
      <c r="E520" s="3">
        <v>15</v>
      </c>
      <c r="F520" s="3">
        <v>15</v>
      </c>
      <c r="G520" s="1" t="s">
        <v>17</v>
      </c>
      <c r="H520" s="1" t="s">
        <v>17</v>
      </c>
      <c r="I520" s="1" t="s">
        <v>17</v>
      </c>
      <c r="J520" s="1">
        <v>1</v>
      </c>
      <c r="K520" s="1" t="s">
        <v>12</v>
      </c>
      <c r="L520" s="1" t="s">
        <v>7</v>
      </c>
      <c r="M520" s="25"/>
      <c r="N520" s="25" t="str">
        <f>IFERROR(VLOOKUP(Tableau3[[#This Row],[Denomination Sociale]],Tableau7[],1,0),"")</f>
        <v/>
      </c>
      <c r="O520" s="25" t="str">
        <f>VLOOKUP(Tableau3[[#This Row],[Denomination Sociale]],Tableau6[],1,0)</f>
        <v>SOCIETE DE TRAVAUX GENERAL ET DE COMMERCE</v>
      </c>
      <c r="P520" s="25" t="s">
        <v>15497</v>
      </c>
      <c r="Q520" s="25" t="str">
        <f>VLOOKUP(Tableau3[[#This Row],[Denomination Sociale]],Tableau6[],1,1)</f>
        <v>SOCIETE DE TRAVAUX GENERAL ET DE COMMERCE</v>
      </c>
      <c r="R520" s="25" t="s">
        <v>980</v>
      </c>
    </row>
    <row r="521" spans="1:18" x14ac:dyDescent="0.35">
      <c r="A521" s="24" t="s">
        <v>980</v>
      </c>
      <c r="B521" s="1" t="s">
        <v>15497</v>
      </c>
      <c r="C521" s="1" t="s">
        <v>1005</v>
      </c>
      <c r="D521" s="3" t="s">
        <v>1004</v>
      </c>
      <c r="E521" s="3">
        <v>15</v>
      </c>
      <c r="F521" s="3">
        <v>15</v>
      </c>
      <c r="G521" s="1" t="s">
        <v>17</v>
      </c>
      <c r="H521" s="1" t="s">
        <v>17</v>
      </c>
      <c r="I521" s="1" t="s">
        <v>168</v>
      </c>
      <c r="J521" s="1">
        <v>0</v>
      </c>
      <c r="K521" s="1" t="s">
        <v>1006</v>
      </c>
      <c r="L521" s="1" t="s">
        <v>7</v>
      </c>
      <c r="M521" s="25"/>
      <c r="N521" s="25" t="str">
        <f>IFERROR(VLOOKUP(Tableau3[[#This Row],[Denomination Sociale]],Tableau7[],1,0),"")</f>
        <v/>
      </c>
      <c r="O521" s="25" t="str">
        <f>VLOOKUP(Tableau3[[#This Row],[Denomination Sociale]],Tableau6[],1,0)</f>
        <v>SOCIETE DE TRAVAUX GENERAL ET DE COMMERCE</v>
      </c>
      <c r="P521" s="25" t="s">
        <v>15497</v>
      </c>
      <c r="Q521" s="25" t="str">
        <f>VLOOKUP(Tableau3[[#This Row],[Denomination Sociale]],Tableau6[],1,1)</f>
        <v>SOCIETE DE TRAVAUX GENERAL ET DE COMMERCE</v>
      </c>
      <c r="R521" s="25" t="s">
        <v>980</v>
      </c>
    </row>
    <row r="522" spans="1:18" x14ac:dyDescent="0.35">
      <c r="A522" s="24" t="s">
        <v>980</v>
      </c>
      <c r="B522" s="1" t="s">
        <v>15497</v>
      </c>
      <c r="C522" s="1" t="s">
        <v>1005</v>
      </c>
      <c r="D522" s="3" t="s">
        <v>1004</v>
      </c>
      <c r="E522" s="3">
        <v>15</v>
      </c>
      <c r="F522" s="3">
        <v>15</v>
      </c>
      <c r="G522" s="1" t="s">
        <v>17</v>
      </c>
      <c r="H522" s="1" t="s">
        <v>17</v>
      </c>
      <c r="I522" s="1" t="s">
        <v>17</v>
      </c>
      <c r="J522" s="1">
        <v>0</v>
      </c>
      <c r="K522" s="1" t="s">
        <v>1006</v>
      </c>
      <c r="L522" s="1" t="s">
        <v>7</v>
      </c>
      <c r="M522" s="25"/>
      <c r="N522" s="25" t="str">
        <f>IFERROR(VLOOKUP(Tableau3[[#This Row],[Denomination Sociale]],Tableau7[],1,0),"")</f>
        <v/>
      </c>
      <c r="O522" s="25" t="str">
        <f>VLOOKUP(Tableau3[[#This Row],[Denomination Sociale]],Tableau6[],1,0)</f>
        <v>SOCIETE DE TRAVAUX GENERAL ET DE COMMERCE</v>
      </c>
      <c r="P522" s="25" t="s">
        <v>15497</v>
      </c>
      <c r="Q522" s="25" t="str">
        <f>VLOOKUP(Tableau3[[#This Row],[Denomination Sociale]],Tableau6[],1,1)</f>
        <v>SOCIETE DE TRAVAUX GENERAL ET DE COMMERCE</v>
      </c>
      <c r="R522" s="25" t="s">
        <v>980</v>
      </c>
    </row>
    <row r="523" spans="1:18" x14ac:dyDescent="0.35">
      <c r="A523" s="24" t="s">
        <v>8</v>
      </c>
      <c r="B523" s="1" t="s">
        <v>11777</v>
      </c>
      <c r="C523" s="1" t="s">
        <v>687</v>
      </c>
      <c r="D523" s="3" t="s">
        <v>688</v>
      </c>
      <c r="E523" s="3" t="s">
        <v>12</v>
      </c>
      <c r="F523" s="3">
        <v>100</v>
      </c>
      <c r="G523" s="1" t="s">
        <v>17</v>
      </c>
      <c r="H523" s="1" t="s">
        <v>17</v>
      </c>
      <c r="I523" s="1" t="s">
        <v>12</v>
      </c>
      <c r="J523" s="1">
        <v>0</v>
      </c>
      <c r="K523" s="1" t="s">
        <v>12</v>
      </c>
      <c r="L523" s="1" t="s">
        <v>7</v>
      </c>
      <c r="M523" s="25"/>
      <c r="N523" s="25" t="str">
        <f>IFERROR(VLOOKUP(Tableau3[[#This Row],[Denomination Sociale]],Tableau7[],1,0),"")</f>
        <v/>
      </c>
      <c r="O523" s="25" t="str">
        <f>VLOOKUP(Tableau3[[#This Row],[Denomination Sociale]],Tableau6[],1,0)</f>
        <v>SOCIETE DES MINES DU SENEGAL</v>
      </c>
      <c r="P523" s="25" t="s">
        <v>11777</v>
      </c>
      <c r="Q523" s="25" t="str">
        <f>VLOOKUP(Tableau3[[#This Row],[Denomination Sociale]],Tableau6[],1,1)</f>
        <v>SOCIETE DES MINES DU SENEGAL</v>
      </c>
      <c r="R523" s="25" t="s">
        <v>8</v>
      </c>
    </row>
    <row r="524" spans="1:18" x14ac:dyDescent="0.35">
      <c r="A524" s="24" t="s">
        <v>8</v>
      </c>
      <c r="B524" s="1" t="s">
        <v>11777</v>
      </c>
      <c r="C524" s="1" t="s">
        <v>1196</v>
      </c>
      <c r="D524" s="3" t="s">
        <v>1197</v>
      </c>
      <c r="E524" s="3" t="s">
        <v>12</v>
      </c>
      <c r="F524" s="3" t="s">
        <v>12</v>
      </c>
      <c r="G524" s="1" t="s">
        <v>17</v>
      </c>
      <c r="H524" s="1"/>
      <c r="I524" s="1">
        <v>1</v>
      </c>
      <c r="J524" s="1" t="s">
        <v>1221</v>
      </c>
      <c r="K524" s="1" t="s">
        <v>1222</v>
      </c>
      <c r="L524" s="1" t="s">
        <v>7</v>
      </c>
      <c r="M524" s="25"/>
      <c r="N524" s="25" t="str">
        <f>IFERROR(VLOOKUP(Tableau3[[#This Row],[Denomination Sociale]],Tableau7[],1,0),"")</f>
        <v/>
      </c>
      <c r="O524" s="25" t="str">
        <f>VLOOKUP(Tableau3[[#This Row],[Denomination Sociale]],Tableau6[],1,0)</f>
        <v>SOCIETE DES MINES DU SENEGAL</v>
      </c>
      <c r="P524" s="25" t="s">
        <v>11777</v>
      </c>
      <c r="Q524" s="25" t="str">
        <f>VLOOKUP(Tableau3[[#This Row],[Denomination Sociale]],Tableau6[],1,1)</f>
        <v>SOCIETE DES MINES DU SENEGAL</v>
      </c>
      <c r="R524" s="25" t="s">
        <v>8</v>
      </c>
    </row>
    <row r="525" spans="1:18" x14ac:dyDescent="0.35">
      <c r="A525" s="24" t="s">
        <v>8</v>
      </c>
      <c r="B525" s="1" t="s">
        <v>11777</v>
      </c>
      <c r="C525" s="1" t="s">
        <v>1196</v>
      </c>
      <c r="D525" s="3" t="s">
        <v>1197</v>
      </c>
      <c r="E525" s="3" t="s">
        <v>12</v>
      </c>
      <c r="F525" s="3" t="s">
        <v>12</v>
      </c>
      <c r="G525" s="1" t="s">
        <v>17</v>
      </c>
      <c r="H525" s="1"/>
      <c r="I525" s="1">
        <v>1</v>
      </c>
      <c r="J525" s="1" t="s">
        <v>1221</v>
      </c>
      <c r="K525" s="1" t="s">
        <v>1222</v>
      </c>
      <c r="L525" s="1" t="s">
        <v>7</v>
      </c>
      <c r="M525" s="25"/>
      <c r="N525" s="25" t="str">
        <f>IFERROR(VLOOKUP(Tableau3[[#This Row],[Denomination Sociale]],Tableau7[],1,0),"")</f>
        <v/>
      </c>
      <c r="O525" s="25" t="str">
        <f>VLOOKUP(Tableau3[[#This Row],[Denomination Sociale]],Tableau6[],1,0)</f>
        <v>SOCIETE DES MINES DU SENEGAL</v>
      </c>
      <c r="P525" s="25" t="s">
        <v>11777</v>
      </c>
      <c r="Q525" s="25" t="str">
        <f>VLOOKUP(Tableau3[[#This Row],[Denomination Sociale]],Tableau6[],1,1)</f>
        <v>SOCIETE DES MINES DU SENEGAL</v>
      </c>
      <c r="R525" s="25" t="s">
        <v>8</v>
      </c>
    </row>
    <row r="526" spans="1:18" x14ac:dyDescent="0.35">
      <c r="A526" s="24" t="s">
        <v>8</v>
      </c>
      <c r="B526" s="1" t="s">
        <v>689</v>
      </c>
      <c r="C526" s="1" t="s">
        <v>690</v>
      </c>
      <c r="D526" s="3" t="s">
        <v>691</v>
      </c>
      <c r="E526" s="3">
        <v>100</v>
      </c>
      <c r="F526" s="3" t="s">
        <v>12</v>
      </c>
      <c r="G526" s="1" t="s">
        <v>17</v>
      </c>
      <c r="H526" s="1" t="s">
        <v>17</v>
      </c>
      <c r="I526" s="1" t="s">
        <v>12</v>
      </c>
      <c r="J526" s="1">
        <v>0</v>
      </c>
      <c r="K526" s="1" t="s">
        <v>12</v>
      </c>
      <c r="L526" s="1" t="s">
        <v>7</v>
      </c>
      <c r="M526" s="25"/>
      <c r="N526" s="25" t="str">
        <f>IFERROR(VLOOKUP(Tableau3[[#This Row],[Denomination Sociale]],Tableau7[],1,0),"")</f>
        <v/>
      </c>
      <c r="O526" s="25" t="str">
        <f>VLOOKUP(Tableau3[[#This Row],[Denomination Sociale]],Tableau6[],1,0)</f>
        <v>SOCIETE D'EXPLOITATION DE LOGISTIQUE ET DE TRAVAUX</v>
      </c>
      <c r="P526" s="25" t="s">
        <v>689</v>
      </c>
      <c r="Q526" s="25" t="str">
        <f>VLOOKUP(Tableau3[[#This Row],[Denomination Sociale]],Tableau6[],1,1)</f>
        <v>SOCIETE D'EXPLOITATION DE LOGISTIQUE ET DE TRAVAUX</v>
      </c>
      <c r="R526" s="25" t="s">
        <v>8</v>
      </c>
    </row>
    <row r="527" spans="1:18" x14ac:dyDescent="0.35">
      <c r="A527" s="24" t="s">
        <v>8</v>
      </c>
      <c r="B527" s="1" t="s">
        <v>15686</v>
      </c>
      <c r="C527" s="1" t="s">
        <v>674</v>
      </c>
      <c r="D527" s="3" t="s">
        <v>675</v>
      </c>
      <c r="E527" s="3">
        <v>55</v>
      </c>
      <c r="F527" s="3">
        <v>55</v>
      </c>
      <c r="G527" s="1" t="s">
        <v>17</v>
      </c>
      <c r="H527" s="1" t="s">
        <v>17</v>
      </c>
      <c r="I527" s="1" t="s">
        <v>12</v>
      </c>
      <c r="J527" s="1">
        <v>0</v>
      </c>
      <c r="K527" s="1" t="s">
        <v>12</v>
      </c>
      <c r="L527" s="1" t="s">
        <v>7</v>
      </c>
      <c r="M527" s="25"/>
      <c r="N527" s="25" t="str">
        <f>IFERROR(VLOOKUP(Tableau3[[#This Row],[Denomination Sociale]],Tableau7[],1,0),"")</f>
        <v/>
      </c>
      <c r="O527" s="25" t="str">
        <f>VLOOKUP(Tableau3[[#This Row],[Denomination Sociale]],Tableau6[],1,0)</f>
        <v>SKDT</v>
      </c>
      <c r="P527" s="25" t="s">
        <v>15686</v>
      </c>
      <c r="Q527" s="25" t="str">
        <f>VLOOKUP(Tableau3[[#This Row],[Denomination Sociale]],Tableau6[],1,1)</f>
        <v>SK MINING OPERATIONS</v>
      </c>
      <c r="R527" s="25" t="s">
        <v>8</v>
      </c>
    </row>
    <row r="528" spans="1:18" x14ac:dyDescent="0.35">
      <c r="A528" s="24" t="s">
        <v>8</v>
      </c>
      <c r="B528" s="1" t="s">
        <v>15686</v>
      </c>
      <c r="C528" s="1" t="s">
        <v>221</v>
      </c>
      <c r="D528" s="3" t="s">
        <v>675</v>
      </c>
      <c r="E528" s="3">
        <v>45</v>
      </c>
      <c r="F528" s="3">
        <v>45</v>
      </c>
      <c r="G528" s="1" t="s">
        <v>17</v>
      </c>
      <c r="H528" s="1" t="s">
        <v>17</v>
      </c>
      <c r="I528" s="1" t="s">
        <v>12</v>
      </c>
      <c r="J528" s="1">
        <v>0</v>
      </c>
      <c r="K528" s="1" t="s">
        <v>12</v>
      </c>
      <c r="L528" s="1" t="s">
        <v>7</v>
      </c>
      <c r="M528" s="25"/>
      <c r="N528" s="25" t="str">
        <f>IFERROR(VLOOKUP(Tableau3[[#This Row],[Denomination Sociale]],Tableau7[],1,0),"")</f>
        <v/>
      </c>
      <c r="O528" s="25" t="str">
        <f>VLOOKUP(Tableau3[[#This Row],[Denomination Sociale]],Tableau6[],1,0)</f>
        <v>SKDT</v>
      </c>
      <c r="P528" s="25" t="s">
        <v>15686</v>
      </c>
      <c r="Q528" s="25" t="str">
        <f>VLOOKUP(Tableau3[[#This Row],[Denomination Sociale]],Tableau6[],1,1)</f>
        <v>SK MINING OPERATIONS</v>
      </c>
      <c r="R528" s="25" t="s">
        <v>8</v>
      </c>
    </row>
    <row r="529" spans="1:18" x14ac:dyDescent="0.35">
      <c r="A529" s="24" t="s">
        <v>8</v>
      </c>
      <c r="B529" s="1" t="s">
        <v>15117</v>
      </c>
      <c r="C529" s="1" t="s">
        <v>255</v>
      </c>
      <c r="D529" s="3" t="s">
        <v>696</v>
      </c>
      <c r="E529" s="3">
        <v>50</v>
      </c>
      <c r="F529" s="3">
        <v>50</v>
      </c>
      <c r="G529" s="1" t="s">
        <v>17</v>
      </c>
      <c r="H529" s="1" t="s">
        <v>17</v>
      </c>
      <c r="I529" s="1" t="s">
        <v>12</v>
      </c>
      <c r="J529" s="1">
        <v>0</v>
      </c>
      <c r="K529" s="1" t="s">
        <v>12</v>
      </c>
      <c r="L529" s="1" t="s">
        <v>7</v>
      </c>
      <c r="M529" s="25"/>
      <c r="N529" s="25" t="str">
        <f>IFERROR(VLOOKUP(Tableau3[[#This Row],[Denomination Sociale]],Tableau7[],1,0),"")</f>
        <v/>
      </c>
      <c r="O529" s="25" t="str">
        <f>VLOOKUP(Tableau3[[#This Row],[Denomination Sociale]],Tableau6[],1,0)</f>
        <v>SOCIETE GENERALE DES MINES</v>
      </c>
      <c r="P529" s="25" t="s">
        <v>15117</v>
      </c>
      <c r="Q529" s="25" t="str">
        <f>VLOOKUP(Tableau3[[#This Row],[Denomination Sociale]],Tableau6[],1,1)</f>
        <v>SOCIETE GENERALE DES MINES</v>
      </c>
      <c r="R529" s="25" t="s">
        <v>8</v>
      </c>
    </row>
    <row r="530" spans="1:18" x14ac:dyDescent="0.35">
      <c r="A530" s="24" t="s">
        <v>8</v>
      </c>
      <c r="B530" s="1" t="s">
        <v>15117</v>
      </c>
      <c r="C530" s="1" t="s">
        <v>193</v>
      </c>
      <c r="D530" s="3" t="s">
        <v>696</v>
      </c>
      <c r="E530" s="3">
        <v>50</v>
      </c>
      <c r="F530" s="3">
        <v>50</v>
      </c>
      <c r="G530" s="1" t="s">
        <v>17</v>
      </c>
      <c r="H530" s="1" t="s">
        <v>17</v>
      </c>
      <c r="I530" s="1" t="s">
        <v>12</v>
      </c>
      <c r="J530" s="1">
        <v>0</v>
      </c>
      <c r="K530" s="1" t="s">
        <v>12</v>
      </c>
      <c r="L530" s="1" t="s">
        <v>7</v>
      </c>
      <c r="M530" s="25"/>
      <c r="N530" s="25" t="str">
        <f>IFERROR(VLOOKUP(Tableau3[[#This Row],[Denomination Sociale]],Tableau7[],1,0),"")</f>
        <v/>
      </c>
      <c r="O530" s="25" t="str">
        <f>VLOOKUP(Tableau3[[#This Row],[Denomination Sociale]],Tableau6[],1,0)</f>
        <v>SOCIETE GENERALE DES MINES</v>
      </c>
      <c r="P530" s="25" t="s">
        <v>15117</v>
      </c>
      <c r="Q530" s="25" t="str">
        <f>VLOOKUP(Tableau3[[#This Row],[Denomination Sociale]],Tableau6[],1,1)</f>
        <v>SOCIETE GENERALE DES MINES</v>
      </c>
      <c r="R530" s="25" t="s">
        <v>8</v>
      </c>
    </row>
    <row r="531" spans="1:18" x14ac:dyDescent="0.35">
      <c r="A531" s="24" t="s">
        <v>8</v>
      </c>
      <c r="B531" s="1" t="s">
        <v>15118</v>
      </c>
      <c r="C531" s="1" t="s">
        <v>698</v>
      </c>
      <c r="D531" s="3" t="s">
        <v>699</v>
      </c>
      <c r="E531" s="3">
        <v>25</v>
      </c>
      <c r="F531" s="3">
        <v>25</v>
      </c>
      <c r="G531" s="1" t="s">
        <v>17</v>
      </c>
      <c r="H531" s="1" t="s">
        <v>17</v>
      </c>
      <c r="I531" s="1" t="s">
        <v>12</v>
      </c>
      <c r="J531" s="1">
        <v>0</v>
      </c>
      <c r="K531" s="1" t="s">
        <v>12</v>
      </c>
      <c r="L531" s="1" t="s">
        <v>7</v>
      </c>
      <c r="M531" s="25"/>
      <c r="N531" s="25" t="str">
        <f>IFERROR(VLOOKUP(Tableau3[[#This Row],[Denomination Sociale]],Tableau7[],1,0),"")</f>
        <v/>
      </c>
      <c r="O531" s="25" t="str">
        <f>VLOOKUP(Tableau3[[#This Row],[Denomination Sociale]],Tableau6[],1,0)</f>
        <v>SOCIETE IMMOBILIERE DE CONSTRUCTION ET DE GERANCE</v>
      </c>
      <c r="P531" s="25" t="s">
        <v>15118</v>
      </c>
      <c r="Q531" s="25" t="str">
        <f>VLOOKUP(Tableau3[[#This Row],[Denomination Sociale]],Tableau6[],1,1)</f>
        <v>SOCIETE IMMOBILIERE DE CONSTRUCTION ET DE GERANCE</v>
      </c>
      <c r="R531" s="25" t="s">
        <v>8</v>
      </c>
    </row>
    <row r="532" spans="1:18" x14ac:dyDescent="0.35">
      <c r="A532" s="24" t="s">
        <v>8</v>
      </c>
      <c r="B532" s="1" t="s">
        <v>15118</v>
      </c>
      <c r="C532" s="1" t="s">
        <v>700</v>
      </c>
      <c r="D532" s="3" t="s">
        <v>699</v>
      </c>
      <c r="E532" s="3">
        <v>30</v>
      </c>
      <c r="F532" s="3">
        <v>30</v>
      </c>
      <c r="G532" s="1" t="s">
        <v>17</v>
      </c>
      <c r="H532" s="1" t="s">
        <v>17</v>
      </c>
      <c r="I532" s="1" t="s">
        <v>12</v>
      </c>
      <c r="J532" s="1">
        <v>0</v>
      </c>
      <c r="K532" s="1" t="s">
        <v>12</v>
      </c>
      <c r="L532" s="1" t="s">
        <v>7</v>
      </c>
      <c r="M532" s="25"/>
      <c r="N532" s="25" t="str">
        <f>IFERROR(VLOOKUP(Tableau3[[#This Row],[Denomination Sociale]],Tableau7[],1,0),"")</f>
        <v/>
      </c>
      <c r="O532" s="25" t="str">
        <f>VLOOKUP(Tableau3[[#This Row],[Denomination Sociale]],Tableau6[],1,0)</f>
        <v>SOCIETE IMMOBILIERE DE CONSTRUCTION ET DE GERANCE</v>
      </c>
      <c r="P532" s="25" t="s">
        <v>15118</v>
      </c>
      <c r="Q532" s="25" t="str">
        <f>VLOOKUP(Tableau3[[#This Row],[Denomination Sociale]],Tableau6[],1,1)</f>
        <v>SOCIETE IMMOBILIERE DE CONSTRUCTION ET DE GERANCE</v>
      </c>
      <c r="R532" s="25" t="s">
        <v>8</v>
      </c>
    </row>
    <row r="533" spans="1:18" x14ac:dyDescent="0.35">
      <c r="A533" s="24" t="s">
        <v>8</v>
      </c>
      <c r="B533" s="1" t="s">
        <v>15118</v>
      </c>
      <c r="C533" s="1" t="s">
        <v>701</v>
      </c>
      <c r="D533" s="3" t="s">
        <v>699</v>
      </c>
      <c r="E533" s="3">
        <v>15</v>
      </c>
      <c r="F533" s="3">
        <v>15</v>
      </c>
      <c r="G533" s="1" t="s">
        <v>17</v>
      </c>
      <c r="H533" s="1" t="s">
        <v>17</v>
      </c>
      <c r="I533" s="1" t="s">
        <v>12</v>
      </c>
      <c r="J533" s="1">
        <v>0</v>
      </c>
      <c r="K533" s="1" t="s">
        <v>12</v>
      </c>
      <c r="L533" s="1" t="s">
        <v>7</v>
      </c>
      <c r="M533" s="25"/>
      <c r="N533" s="25" t="str">
        <f>IFERROR(VLOOKUP(Tableau3[[#This Row],[Denomination Sociale]],Tableau7[],1,0),"")</f>
        <v/>
      </c>
      <c r="O533" s="25" t="str">
        <f>VLOOKUP(Tableau3[[#This Row],[Denomination Sociale]],Tableau6[],1,0)</f>
        <v>SOCIETE IMMOBILIERE DE CONSTRUCTION ET DE GERANCE</v>
      </c>
      <c r="P533" s="25" t="s">
        <v>15118</v>
      </c>
      <c r="Q533" s="25" t="str">
        <f>VLOOKUP(Tableau3[[#This Row],[Denomination Sociale]],Tableau6[],1,1)</f>
        <v>SOCIETE IMMOBILIERE DE CONSTRUCTION ET DE GERANCE</v>
      </c>
      <c r="R533" s="25" t="s">
        <v>8</v>
      </c>
    </row>
    <row r="534" spans="1:18" x14ac:dyDescent="0.35">
      <c r="A534" s="24" t="s">
        <v>8</v>
      </c>
      <c r="B534" s="1" t="s">
        <v>15118</v>
      </c>
      <c r="C534" s="1" t="s">
        <v>702</v>
      </c>
      <c r="D534" s="3" t="s">
        <v>699</v>
      </c>
      <c r="E534" s="3">
        <v>30</v>
      </c>
      <c r="F534" s="3">
        <v>30</v>
      </c>
      <c r="G534" s="1" t="s">
        <v>17</v>
      </c>
      <c r="H534" s="1" t="s">
        <v>17</v>
      </c>
      <c r="I534" s="1" t="s">
        <v>12</v>
      </c>
      <c r="J534" s="1">
        <v>0</v>
      </c>
      <c r="K534" s="1" t="s">
        <v>12</v>
      </c>
      <c r="L534" s="1" t="s">
        <v>7</v>
      </c>
      <c r="M534" s="25"/>
      <c r="N534" s="25" t="str">
        <f>IFERROR(VLOOKUP(Tableau3[[#This Row],[Denomination Sociale]],Tableau7[],1,0),"")</f>
        <v/>
      </c>
      <c r="O534" s="25" t="str">
        <f>VLOOKUP(Tableau3[[#This Row],[Denomination Sociale]],Tableau6[],1,0)</f>
        <v>SOCIETE IMMOBILIERE DE CONSTRUCTION ET DE GERANCE</v>
      </c>
      <c r="P534" s="25" t="s">
        <v>15118</v>
      </c>
      <c r="Q534" s="25" t="str">
        <f>VLOOKUP(Tableau3[[#This Row],[Denomination Sociale]],Tableau6[],1,1)</f>
        <v>SOCIETE IMMOBILIERE DE CONSTRUCTION ET DE GERANCE</v>
      </c>
      <c r="R534" s="25" t="s">
        <v>8</v>
      </c>
    </row>
    <row r="535" spans="1:18" x14ac:dyDescent="0.35">
      <c r="A535" s="24" t="s">
        <v>8</v>
      </c>
      <c r="B535" s="1" t="s">
        <v>14385</v>
      </c>
      <c r="C535" s="1" t="s">
        <v>704</v>
      </c>
      <c r="D535" s="3" t="s">
        <v>705</v>
      </c>
      <c r="E535" s="3">
        <v>30</v>
      </c>
      <c r="F535" s="3">
        <v>30</v>
      </c>
      <c r="G535" s="1" t="s">
        <v>17</v>
      </c>
      <c r="H535" s="1" t="s">
        <v>17</v>
      </c>
      <c r="I535" s="1" t="s">
        <v>12</v>
      </c>
      <c r="J535" s="1">
        <v>0</v>
      </c>
      <c r="K535" s="1" t="s">
        <v>12</v>
      </c>
      <c r="L535" s="1" t="s">
        <v>7</v>
      </c>
      <c r="M535" s="25"/>
      <c r="N535" s="25" t="str">
        <f>IFERROR(VLOOKUP(Tableau3[[#This Row],[Denomination Sociale]],Tableau7[],1,0),"")</f>
        <v/>
      </c>
      <c r="O535" s="25" t="str">
        <f>VLOOKUP(Tableau3[[#This Row],[Denomination Sociale]],Tableau6[],1,0)</f>
        <v>SOCIETE INTERNATIONALE DES BIENS ET SERVICES</v>
      </c>
      <c r="P535" s="25" t="s">
        <v>14385</v>
      </c>
      <c r="Q535" s="25" t="str">
        <f>VLOOKUP(Tableau3[[#This Row],[Denomination Sociale]],Tableau6[],1,1)</f>
        <v>SOCIETE INTERNATIONALE DES BIENS ET SERVICES</v>
      </c>
      <c r="R535" s="25" t="s">
        <v>8</v>
      </c>
    </row>
    <row r="536" spans="1:18" x14ac:dyDescent="0.35">
      <c r="A536" s="24" t="s">
        <v>8</v>
      </c>
      <c r="B536" s="1" t="s">
        <v>14385</v>
      </c>
      <c r="C536" s="1" t="s">
        <v>706</v>
      </c>
      <c r="D536" s="3" t="s">
        <v>705</v>
      </c>
      <c r="E536" s="3">
        <v>40</v>
      </c>
      <c r="F536" s="3">
        <v>40</v>
      </c>
      <c r="G536" s="1" t="s">
        <v>17</v>
      </c>
      <c r="H536" s="1" t="s">
        <v>17</v>
      </c>
      <c r="I536" s="1" t="s">
        <v>12</v>
      </c>
      <c r="J536" s="1">
        <v>0</v>
      </c>
      <c r="K536" s="1" t="s">
        <v>12</v>
      </c>
      <c r="L536" s="1" t="s">
        <v>7</v>
      </c>
      <c r="M536" s="25"/>
      <c r="N536" s="25" t="str">
        <f>IFERROR(VLOOKUP(Tableau3[[#This Row],[Denomination Sociale]],Tableau7[],1,0),"")</f>
        <v/>
      </c>
      <c r="O536" s="25" t="str">
        <f>VLOOKUP(Tableau3[[#This Row],[Denomination Sociale]],Tableau6[],1,0)</f>
        <v>SOCIETE INTERNATIONALE DES BIENS ET SERVICES</v>
      </c>
      <c r="P536" s="25" t="s">
        <v>14385</v>
      </c>
      <c r="Q536" s="25" t="str">
        <f>VLOOKUP(Tableau3[[#This Row],[Denomination Sociale]],Tableau6[],1,1)</f>
        <v>SOCIETE INTERNATIONALE DES BIENS ET SERVICES</v>
      </c>
      <c r="R536" s="25" t="s">
        <v>8</v>
      </c>
    </row>
    <row r="537" spans="1:18" x14ac:dyDescent="0.35">
      <c r="A537" s="24" t="s">
        <v>8</v>
      </c>
      <c r="B537" s="1" t="s">
        <v>14385</v>
      </c>
      <c r="C537" s="1" t="s">
        <v>687</v>
      </c>
      <c r="D537" s="3" t="s">
        <v>705</v>
      </c>
      <c r="E537" s="3">
        <v>30</v>
      </c>
      <c r="F537" s="3">
        <v>30</v>
      </c>
      <c r="G537" s="1" t="s">
        <v>17</v>
      </c>
      <c r="H537" s="1" t="s">
        <v>17</v>
      </c>
      <c r="I537" s="1" t="s">
        <v>12</v>
      </c>
      <c r="J537" s="1">
        <v>0</v>
      </c>
      <c r="K537" s="1" t="s">
        <v>12</v>
      </c>
      <c r="L537" s="1" t="s">
        <v>7</v>
      </c>
      <c r="M537" s="25"/>
      <c r="N537" s="25" t="str">
        <f>IFERROR(VLOOKUP(Tableau3[[#This Row],[Denomination Sociale]],Tableau7[],1,0),"")</f>
        <v/>
      </c>
      <c r="O537" s="25" t="str">
        <f>VLOOKUP(Tableau3[[#This Row],[Denomination Sociale]],Tableau6[],1,0)</f>
        <v>SOCIETE INTERNATIONALE DES BIENS ET SERVICES</v>
      </c>
      <c r="P537" s="25" t="s">
        <v>14385</v>
      </c>
      <c r="Q537" s="25" t="str">
        <f>VLOOKUP(Tableau3[[#This Row],[Denomination Sociale]],Tableau6[],1,1)</f>
        <v>SOCIETE INTERNATIONALE DES BIENS ET SERVICES</v>
      </c>
      <c r="R537" s="25" t="s">
        <v>8</v>
      </c>
    </row>
    <row r="538" spans="1:18" x14ac:dyDescent="0.35">
      <c r="A538" s="24" t="s">
        <v>8</v>
      </c>
      <c r="B538" s="1" t="s">
        <v>15115</v>
      </c>
      <c r="C538" s="1" t="s">
        <v>1180</v>
      </c>
      <c r="D538" s="3" t="s">
        <v>1181</v>
      </c>
      <c r="E538" s="3">
        <v>100</v>
      </c>
      <c r="F538" s="3">
        <v>100</v>
      </c>
      <c r="G538" s="1" t="s">
        <v>17</v>
      </c>
      <c r="H538" s="1"/>
      <c r="I538" s="1">
        <v>0</v>
      </c>
      <c r="J538" s="1" t="s">
        <v>12</v>
      </c>
      <c r="K538" s="1" t="s">
        <v>12</v>
      </c>
      <c r="L538" s="1" t="s">
        <v>7</v>
      </c>
      <c r="M538" s="25"/>
      <c r="N538" s="25" t="str">
        <f>IFERROR(VLOOKUP(Tableau3[[#This Row],[Denomination Sociale]],Tableau7[],1,0),"")</f>
        <v/>
      </c>
      <c r="O538" s="25" t="e">
        <f>VLOOKUP(Tableau3[[#This Row],[Denomination Sociale]],Tableau6[],1,0)</f>
        <v>#N/A</v>
      </c>
      <c r="P538" s="25"/>
      <c r="Q538" s="25" t="str">
        <f>VLOOKUP(Tableau3[[#This Row],[Denomination Sociale]],Tableau6[],1,1)</f>
        <v>SOCIÉTÉ D'EXPLOITATION ET DE COMMERCIALISATION DES MATIERES EXTRACTIVES ET DU TRANSPORT</v>
      </c>
      <c r="R538" s="25" t="s">
        <v>8</v>
      </c>
    </row>
    <row r="539" spans="1:18" s="57" customFormat="1" x14ac:dyDescent="0.35">
      <c r="A539" s="53" t="s">
        <v>8</v>
      </c>
      <c r="B539" s="54" t="s">
        <v>15116</v>
      </c>
      <c r="C539" s="54" t="s">
        <v>693</v>
      </c>
      <c r="D539" s="55" t="s">
        <v>694</v>
      </c>
      <c r="E539" s="55" t="s">
        <v>12</v>
      </c>
      <c r="F539" s="55" t="s">
        <v>12</v>
      </c>
      <c r="G539" s="54" t="s">
        <v>17</v>
      </c>
      <c r="H539" s="54" t="s">
        <v>17</v>
      </c>
      <c r="I539" s="54" t="s">
        <v>12</v>
      </c>
      <c r="J539" s="54">
        <v>0</v>
      </c>
      <c r="K539" s="54" t="s">
        <v>12</v>
      </c>
      <c r="L539" s="54" t="s">
        <v>7</v>
      </c>
      <c r="M539" s="25"/>
      <c r="N539" s="56" t="str">
        <f>IFERROR(VLOOKUP(Tableau3[[#This Row],[Denomination Sociale]],Tableau7[],1,0),"")</f>
        <v/>
      </c>
      <c r="O539" s="56" t="e">
        <f>VLOOKUP(Tableau3[[#This Row],[Denomination Sociale]],Tableau6[],1,0)</f>
        <v>#N/A</v>
      </c>
      <c r="P539" s="56"/>
      <c r="Q539" s="56" t="str">
        <f>VLOOKUP(Tableau3[[#This Row],[Denomination Sociale]],Tableau6[],1,1)</f>
        <v>SOCIETE GAILLAC-GUEYE</v>
      </c>
      <c r="R539" s="56" t="s">
        <v>8</v>
      </c>
    </row>
    <row r="540" spans="1:18" s="57" customFormat="1" x14ac:dyDescent="0.35">
      <c r="A540" s="53" t="s">
        <v>8</v>
      </c>
      <c r="B540" s="54" t="s">
        <v>15703</v>
      </c>
      <c r="C540" s="54" t="s">
        <v>10</v>
      </c>
      <c r="D540" s="55" t="s">
        <v>708</v>
      </c>
      <c r="E540" s="55" t="s">
        <v>12</v>
      </c>
      <c r="F540" s="55" t="s">
        <v>12</v>
      </c>
      <c r="G540" s="54" t="s">
        <v>13</v>
      </c>
      <c r="H540" s="54" t="s">
        <v>13</v>
      </c>
      <c r="I540" s="54" t="s">
        <v>12</v>
      </c>
      <c r="J540" s="54">
        <v>0</v>
      </c>
      <c r="K540" s="54" t="s">
        <v>12</v>
      </c>
      <c r="L540" s="54" t="s">
        <v>7</v>
      </c>
      <c r="M540" s="25"/>
      <c r="N540" s="56" t="str">
        <f>IFERROR(VLOOKUP(Tableau3[[#This Row],[Denomination Sociale]],Tableau7[],1,0),"")</f>
        <v/>
      </c>
      <c r="O540" s="56" t="e">
        <f>VLOOKUP(Tableau3[[#This Row],[Denomination Sociale]],Tableau6[],1,0)</f>
        <v>#N/A</v>
      </c>
      <c r="P540" s="56"/>
      <c r="Q540" s="56" t="str">
        <f>VLOOKUP(Tableau3[[#This Row],[Denomination Sociale]],Tableau6[],1,1)</f>
        <v>SOCIETE MINIERE AFRICAINE</v>
      </c>
      <c r="R540" s="56" t="s">
        <v>8</v>
      </c>
    </row>
    <row r="541" spans="1:18" s="57" customFormat="1" x14ac:dyDescent="0.35">
      <c r="A541" s="53" t="s">
        <v>8</v>
      </c>
      <c r="B541" s="54" t="s">
        <v>15703</v>
      </c>
      <c r="C541" s="54" t="s">
        <v>709</v>
      </c>
      <c r="D541" s="55" t="s">
        <v>708</v>
      </c>
      <c r="E541" s="55" t="s">
        <v>12</v>
      </c>
      <c r="F541" s="55" t="s">
        <v>12</v>
      </c>
      <c r="G541" s="54" t="s">
        <v>17</v>
      </c>
      <c r="H541" s="54" t="s">
        <v>17</v>
      </c>
      <c r="I541" s="54" t="s">
        <v>12</v>
      </c>
      <c r="J541" s="54">
        <v>0</v>
      </c>
      <c r="K541" s="54" t="s">
        <v>12</v>
      </c>
      <c r="L541" s="54" t="s">
        <v>7</v>
      </c>
      <c r="M541" s="25"/>
      <c r="N541" s="56" t="str">
        <f>IFERROR(VLOOKUP(Tableau3[[#This Row],[Denomination Sociale]],Tableau7[],1,0),"")</f>
        <v/>
      </c>
      <c r="O541" s="56" t="e">
        <f>VLOOKUP(Tableau3[[#This Row],[Denomination Sociale]],Tableau6[],1,0)</f>
        <v>#N/A</v>
      </c>
      <c r="P541" s="56"/>
      <c r="Q541" s="56" t="str">
        <f>VLOOKUP(Tableau3[[#This Row],[Denomination Sociale]],Tableau6[],1,1)</f>
        <v>SOCIETE MINIERE AFRICAINE</v>
      </c>
      <c r="R541" s="56" t="s">
        <v>8</v>
      </c>
    </row>
    <row r="542" spans="1:18" s="57" customFormat="1" x14ac:dyDescent="0.35">
      <c r="A542" s="53" t="s">
        <v>980</v>
      </c>
      <c r="B542" s="54" t="s">
        <v>15559</v>
      </c>
      <c r="C542" s="54" t="s">
        <v>1007</v>
      </c>
      <c r="D542" s="55" t="s">
        <v>1008</v>
      </c>
      <c r="E542" s="55">
        <v>100</v>
      </c>
      <c r="F542" s="55">
        <v>100</v>
      </c>
      <c r="G542" s="54" t="s">
        <v>17</v>
      </c>
      <c r="H542" s="54" t="s">
        <v>17</v>
      </c>
      <c r="I542" s="54" t="s">
        <v>12</v>
      </c>
      <c r="J542" s="54">
        <v>0</v>
      </c>
      <c r="K542" s="54" t="s">
        <v>12</v>
      </c>
      <c r="L542" s="54" t="s">
        <v>7</v>
      </c>
      <c r="M542" s="25"/>
      <c r="N542" s="56" t="str">
        <f>IFERROR(VLOOKUP(Tableau3[[#This Row],[Denomination Sociale]],Tableau7[],1,0),"")</f>
        <v/>
      </c>
      <c r="O542" s="56" t="e">
        <f>VLOOKUP(Tableau3[[#This Row],[Denomination Sociale]],Tableau6[],1,0)</f>
        <v>#N/A</v>
      </c>
      <c r="P542" s="56"/>
      <c r="Q542" s="56" t="str">
        <f>VLOOKUP(Tableau3[[#This Row],[Denomination Sociale]],Tableau6[],1,1)</f>
        <v>SOFRU</v>
      </c>
      <c r="R542" s="56" t="s">
        <v>980</v>
      </c>
    </row>
    <row r="543" spans="1:18" x14ac:dyDescent="0.35">
      <c r="A543" s="24" t="s">
        <v>8</v>
      </c>
      <c r="B543" s="1" t="s">
        <v>2912</v>
      </c>
      <c r="C543" s="1" t="s">
        <v>711</v>
      </c>
      <c r="D543" s="3" t="s">
        <v>712</v>
      </c>
      <c r="E543" s="3" t="s">
        <v>12</v>
      </c>
      <c r="F543" s="3" t="s">
        <v>12</v>
      </c>
      <c r="G543" s="1" t="s">
        <v>17</v>
      </c>
      <c r="H543" s="1" t="s">
        <v>17</v>
      </c>
      <c r="I543" s="1" t="s">
        <v>12</v>
      </c>
      <c r="J543" s="1">
        <v>0</v>
      </c>
      <c r="K543" s="1" t="s">
        <v>12</v>
      </c>
      <c r="L543" s="1" t="s">
        <v>7</v>
      </c>
      <c r="M543" s="25"/>
      <c r="N543" s="25" t="str">
        <f>IFERROR(VLOOKUP(Tableau3[[#This Row],[Denomination Sociale]],Tableau7[],1,0),"")</f>
        <v/>
      </c>
      <c r="O543" s="25" t="str">
        <f>VLOOKUP(Tableau3[[#This Row],[Denomination Sociale]],Tableau6[],1,0)</f>
        <v>SOCIETE SENEGALAISE DES PHOSPHATES DE THIES</v>
      </c>
      <c r="P543" s="25" t="s">
        <v>2912</v>
      </c>
      <c r="Q543" s="25" t="str">
        <f>VLOOKUP(Tableau3[[#This Row],[Denomination Sociale]],Tableau6[],1,1)</f>
        <v>SOCIETE SENEGALAISE DES PHOSPHATES DE THIES</v>
      </c>
      <c r="R543" s="25" t="s">
        <v>8</v>
      </c>
    </row>
    <row r="544" spans="1:18" x14ac:dyDescent="0.35">
      <c r="A544" s="24" t="s">
        <v>8</v>
      </c>
      <c r="B544" s="1" t="s">
        <v>713</v>
      </c>
      <c r="C544" s="1" t="s">
        <v>714</v>
      </c>
      <c r="D544" s="3" t="s">
        <v>715</v>
      </c>
      <c r="E544" s="3" t="s">
        <v>716</v>
      </c>
      <c r="F544" s="3" t="s">
        <v>716</v>
      </c>
      <c r="G544" s="1" t="s">
        <v>139</v>
      </c>
      <c r="H544" s="1" t="s">
        <v>139</v>
      </c>
      <c r="I544" s="1" t="s">
        <v>12</v>
      </c>
      <c r="J544" s="1">
        <v>0</v>
      </c>
      <c r="K544" s="1" t="s">
        <v>12</v>
      </c>
      <c r="L544" s="1" t="s">
        <v>7</v>
      </c>
      <c r="M544" s="25" t="s">
        <v>713</v>
      </c>
      <c r="N544" s="25" t="str">
        <f>IFERROR(VLOOKUP(Tableau3[[#This Row],[Denomination Sociale]],Tableau7[],1,0),"")</f>
        <v>SOCOCIM INDUSTRIES</v>
      </c>
      <c r="O544" s="25" t="str">
        <f>VLOOKUP(Tableau3[[#This Row],[Denomination Sociale]],Tableau6[],1,0)</f>
        <v>SOCOCIM INDUSTRIES</v>
      </c>
      <c r="P544" s="25" t="s">
        <v>713</v>
      </c>
      <c r="Q544" s="25" t="str">
        <f>VLOOKUP(Tableau3[[#This Row],[Denomination Sociale]],Tableau6[],1,1)</f>
        <v>SOCOCIM INDUSTRIES</v>
      </c>
      <c r="R544" s="25" t="s">
        <v>8</v>
      </c>
    </row>
    <row r="545" spans="1:18" x14ac:dyDescent="0.35">
      <c r="A545" s="24" t="s">
        <v>8</v>
      </c>
      <c r="B545" s="1" t="s">
        <v>717</v>
      </c>
      <c r="C545" s="1" t="s">
        <v>718</v>
      </c>
      <c r="D545" s="3" t="s">
        <v>719</v>
      </c>
      <c r="E545" s="3">
        <v>100</v>
      </c>
      <c r="F545" s="3">
        <v>100</v>
      </c>
      <c r="G545" s="1" t="s">
        <v>17</v>
      </c>
      <c r="H545" s="1" t="s">
        <v>17</v>
      </c>
      <c r="I545" s="1" t="s">
        <v>12</v>
      </c>
      <c r="J545" s="1">
        <v>0</v>
      </c>
      <c r="K545" s="1" t="s">
        <v>12</v>
      </c>
      <c r="L545" s="1" t="s">
        <v>7</v>
      </c>
      <c r="M545" s="25"/>
      <c r="N545" s="25" t="str">
        <f>IFERROR(VLOOKUP(Tableau3[[#This Row],[Denomination Sociale]],Tableau7[],1,0),"")</f>
        <v/>
      </c>
      <c r="O545" s="25" t="str">
        <f>VLOOKUP(Tableau3[[#This Row],[Denomination Sociale]],Tableau6[],1,0)</f>
        <v>SOCOTRABAT</v>
      </c>
      <c r="P545" s="25" t="s">
        <v>717</v>
      </c>
      <c r="Q545" s="25" t="str">
        <f>VLOOKUP(Tableau3[[#This Row],[Denomination Sociale]],Tableau6[],1,1)</f>
        <v>SOCOTRABAT</v>
      </c>
      <c r="R545" s="25" t="s">
        <v>8</v>
      </c>
    </row>
    <row r="546" spans="1:18" x14ac:dyDescent="0.35">
      <c r="A546" s="24" t="s">
        <v>8</v>
      </c>
      <c r="B546" s="1" t="s">
        <v>15232</v>
      </c>
      <c r="C546" s="1" t="s">
        <v>721</v>
      </c>
      <c r="D546" s="3" t="s">
        <v>722</v>
      </c>
      <c r="E546" s="3">
        <v>100</v>
      </c>
      <c r="F546" s="3">
        <v>100</v>
      </c>
      <c r="G546" s="1" t="s">
        <v>17</v>
      </c>
      <c r="H546" s="1" t="s">
        <v>17</v>
      </c>
      <c r="I546" s="1" t="s">
        <v>12</v>
      </c>
      <c r="J546" s="1">
        <v>0</v>
      </c>
      <c r="K546" s="1" t="s">
        <v>12</v>
      </c>
      <c r="L546" s="1" t="s">
        <v>7</v>
      </c>
      <c r="M546" s="25"/>
      <c r="N546" s="25" t="str">
        <f>IFERROR(VLOOKUP(Tableau3[[#This Row],[Denomination Sociale]],Tableau7[],1,0),"")</f>
        <v/>
      </c>
      <c r="O546" s="25" t="str">
        <f>VLOOKUP(Tableau3[[#This Row],[Denomination Sociale]],Tableau6[],1,0)</f>
        <v>SODA HOLDING COMPANY</v>
      </c>
      <c r="P546" s="25" t="s">
        <v>15232</v>
      </c>
      <c r="Q546" s="25" t="str">
        <f>VLOOKUP(Tableau3[[#This Row],[Denomination Sociale]],Tableau6[],1,1)</f>
        <v>SODA HOLDING COMPANY</v>
      </c>
      <c r="R546" s="25" t="s">
        <v>8</v>
      </c>
    </row>
    <row r="547" spans="1:18" x14ac:dyDescent="0.35">
      <c r="A547" s="53" t="s">
        <v>8</v>
      </c>
      <c r="B547" s="54" t="s">
        <v>732</v>
      </c>
      <c r="C547" s="54" t="s">
        <v>733</v>
      </c>
      <c r="D547" s="55" t="s">
        <v>734</v>
      </c>
      <c r="E547" s="55">
        <v>15</v>
      </c>
      <c r="F547" s="55">
        <v>15</v>
      </c>
      <c r="G547" s="54" t="s">
        <v>17</v>
      </c>
      <c r="H547" s="54" t="s">
        <v>17</v>
      </c>
      <c r="I547" s="54" t="s">
        <v>12</v>
      </c>
      <c r="J547" s="54">
        <v>0</v>
      </c>
      <c r="K547" s="54" t="s">
        <v>12</v>
      </c>
      <c r="L547" s="54" t="s">
        <v>7</v>
      </c>
      <c r="M547" s="25"/>
      <c r="N547" s="56" t="str">
        <f>IFERROR(VLOOKUP(Tableau3[[#This Row],[Denomination Sociale]],Tableau7[],1,0),"")</f>
        <v/>
      </c>
      <c r="O547" s="56" t="e">
        <f>VLOOKUP(Tableau3[[#This Row],[Denomination Sociale]],Tableau6[],1,0)</f>
        <v>#N/A</v>
      </c>
      <c r="P547" s="56"/>
      <c r="Q547" s="56" t="str">
        <f>VLOOKUP(Tableau3[[#This Row],[Denomination Sociale]],Tableau6[],1,1)</f>
        <v>STAM BDA</v>
      </c>
      <c r="R547" s="56" t="s">
        <v>8</v>
      </c>
    </row>
    <row r="548" spans="1:18" x14ac:dyDescent="0.35">
      <c r="A548" s="24" t="s">
        <v>8</v>
      </c>
      <c r="B548" s="1" t="s">
        <v>15513</v>
      </c>
      <c r="C548" s="1" t="s">
        <v>724</v>
      </c>
      <c r="D548" s="3" t="s">
        <v>725</v>
      </c>
      <c r="E548" s="3">
        <v>10</v>
      </c>
      <c r="F548" s="3">
        <v>10</v>
      </c>
      <c r="G548" s="1" t="s">
        <v>17</v>
      </c>
      <c r="H548" s="1" t="s">
        <v>17</v>
      </c>
      <c r="I548" s="1" t="s">
        <v>12</v>
      </c>
      <c r="J548" s="1">
        <v>0</v>
      </c>
      <c r="K548" s="1" t="s">
        <v>12</v>
      </c>
      <c r="L548" s="1" t="s">
        <v>7</v>
      </c>
      <c r="M548" s="25"/>
      <c r="N548" s="25" t="str">
        <f>IFERROR(VLOOKUP(Tableau3[[#This Row],[Denomination Sociale]],Tableau7[],1,0),"")</f>
        <v/>
      </c>
      <c r="O548" s="25" t="str">
        <f>VLOOKUP(Tableau3[[#This Row],[Denomination Sociale]],Tableau6[],1,0)</f>
        <v>SONKO ET FILS</v>
      </c>
      <c r="P548" s="25" t="s">
        <v>15513</v>
      </c>
      <c r="Q548" s="25" t="str">
        <f>VLOOKUP(Tableau3[[#This Row],[Denomination Sociale]],Tableau6[],1,1)</f>
        <v>SONKO ET FILS</v>
      </c>
      <c r="R548" s="25" t="s">
        <v>8</v>
      </c>
    </row>
    <row r="549" spans="1:18" x14ac:dyDescent="0.35">
      <c r="A549" s="24" t="s">
        <v>8</v>
      </c>
      <c r="B549" s="1" t="s">
        <v>15513</v>
      </c>
      <c r="C549" s="1" t="s">
        <v>726</v>
      </c>
      <c r="D549" s="3" t="s">
        <v>725</v>
      </c>
      <c r="E549" s="3">
        <v>10</v>
      </c>
      <c r="F549" s="3">
        <v>10</v>
      </c>
      <c r="G549" s="1" t="s">
        <v>17</v>
      </c>
      <c r="H549" s="1" t="s">
        <v>17</v>
      </c>
      <c r="I549" s="1" t="s">
        <v>12</v>
      </c>
      <c r="J549" s="1">
        <v>0</v>
      </c>
      <c r="K549" s="1" t="s">
        <v>12</v>
      </c>
      <c r="L549" s="1" t="s">
        <v>7</v>
      </c>
      <c r="M549" s="25"/>
      <c r="N549" s="25" t="str">
        <f>IFERROR(VLOOKUP(Tableau3[[#This Row],[Denomination Sociale]],Tableau7[],1,0),"")</f>
        <v/>
      </c>
      <c r="O549" s="25" t="str">
        <f>VLOOKUP(Tableau3[[#This Row],[Denomination Sociale]],Tableau6[],1,0)</f>
        <v>SONKO ET FILS</v>
      </c>
      <c r="P549" s="25" t="s">
        <v>15513</v>
      </c>
      <c r="Q549" s="25" t="str">
        <f>VLOOKUP(Tableau3[[#This Row],[Denomination Sociale]],Tableau6[],1,1)</f>
        <v>SONKO ET FILS</v>
      </c>
      <c r="R549" s="25" t="s">
        <v>8</v>
      </c>
    </row>
    <row r="550" spans="1:18" x14ac:dyDescent="0.35">
      <c r="A550" s="24" t="s">
        <v>8</v>
      </c>
      <c r="B550" s="1" t="s">
        <v>15513</v>
      </c>
      <c r="C550" s="1" t="s">
        <v>727</v>
      </c>
      <c r="D550" s="3" t="s">
        <v>725</v>
      </c>
      <c r="E550" s="3">
        <v>70</v>
      </c>
      <c r="F550" s="3">
        <v>70</v>
      </c>
      <c r="G550" s="1" t="s">
        <v>17</v>
      </c>
      <c r="H550" s="1" t="s">
        <v>17</v>
      </c>
      <c r="I550" s="1" t="s">
        <v>12</v>
      </c>
      <c r="J550" s="1">
        <v>0</v>
      </c>
      <c r="K550" s="1" t="s">
        <v>12</v>
      </c>
      <c r="L550" s="1" t="s">
        <v>7</v>
      </c>
      <c r="M550" s="25"/>
      <c r="N550" s="25" t="str">
        <f>IFERROR(VLOOKUP(Tableau3[[#This Row],[Denomination Sociale]],Tableau7[],1,0),"")</f>
        <v/>
      </c>
      <c r="O550" s="25" t="str">
        <f>VLOOKUP(Tableau3[[#This Row],[Denomination Sociale]],Tableau6[],1,0)</f>
        <v>SONKO ET FILS</v>
      </c>
      <c r="P550" s="25" t="s">
        <v>15513</v>
      </c>
      <c r="Q550" s="25" t="str">
        <f>VLOOKUP(Tableau3[[#This Row],[Denomination Sociale]],Tableau6[],1,1)</f>
        <v>SONKO ET FILS</v>
      </c>
      <c r="R550" s="25" t="s">
        <v>8</v>
      </c>
    </row>
    <row r="551" spans="1:18" x14ac:dyDescent="0.35">
      <c r="A551" s="24" t="s">
        <v>8</v>
      </c>
      <c r="B551" s="1" t="s">
        <v>15513</v>
      </c>
      <c r="C551" s="1" t="s">
        <v>728</v>
      </c>
      <c r="D551" s="3" t="s">
        <v>725</v>
      </c>
      <c r="E551" s="3">
        <v>10</v>
      </c>
      <c r="F551" s="3">
        <v>10</v>
      </c>
      <c r="G551" s="1" t="s">
        <v>17</v>
      </c>
      <c r="H551" s="1" t="s">
        <v>17</v>
      </c>
      <c r="I551" s="1" t="s">
        <v>12</v>
      </c>
      <c r="J551" s="1">
        <v>0</v>
      </c>
      <c r="K551" s="1" t="s">
        <v>12</v>
      </c>
      <c r="L551" s="1" t="s">
        <v>7</v>
      </c>
      <c r="M551" s="25"/>
      <c r="N551" s="25" t="str">
        <f>IFERROR(VLOOKUP(Tableau3[[#This Row],[Denomination Sociale]],Tableau7[],1,0),"")</f>
        <v/>
      </c>
      <c r="O551" s="25" t="str">
        <f>VLOOKUP(Tableau3[[#This Row],[Denomination Sociale]],Tableau6[],1,0)</f>
        <v>SONKO ET FILS</v>
      </c>
      <c r="P551" s="25" t="s">
        <v>15513</v>
      </c>
      <c r="Q551" s="25" t="str">
        <f>VLOOKUP(Tableau3[[#This Row],[Denomination Sociale]],Tableau6[],1,1)</f>
        <v>SONKO ET FILS</v>
      </c>
      <c r="R551" s="25" t="s">
        <v>8</v>
      </c>
    </row>
    <row r="552" spans="1:18" x14ac:dyDescent="0.35">
      <c r="A552" s="24" t="s">
        <v>8</v>
      </c>
      <c r="B552" s="1" t="s">
        <v>729</v>
      </c>
      <c r="C552" s="1" t="s">
        <v>730</v>
      </c>
      <c r="D552" s="3" t="s">
        <v>731</v>
      </c>
      <c r="E552" s="3">
        <v>100</v>
      </c>
      <c r="F552" s="3">
        <v>100</v>
      </c>
      <c r="G552" s="1" t="s">
        <v>17</v>
      </c>
      <c r="H552" s="1" t="s">
        <v>17</v>
      </c>
      <c r="I552" s="1" t="s">
        <v>12</v>
      </c>
      <c r="J552" s="1">
        <v>0</v>
      </c>
      <c r="K552" s="1" t="s">
        <v>12</v>
      </c>
      <c r="L552" s="1" t="s">
        <v>7</v>
      </c>
      <c r="M552" s="25"/>
      <c r="N552" s="25" t="str">
        <f>IFERROR(VLOOKUP(Tableau3[[#This Row],[Denomination Sociale]],Tableau7[],1,0),"")</f>
        <v/>
      </c>
      <c r="O552" s="25" t="str">
        <f>VLOOKUP(Tableau3[[#This Row],[Denomination Sociale]],Tableau6[],1,0)</f>
        <v>SOYA GOLD</v>
      </c>
      <c r="P552" s="25" t="s">
        <v>729</v>
      </c>
      <c r="Q552" s="25" t="str">
        <f>VLOOKUP(Tableau3[[#This Row],[Denomination Sociale]],Tableau6[],1,1)</f>
        <v>SOYA GOLD</v>
      </c>
      <c r="R552" s="25" t="s">
        <v>8</v>
      </c>
    </row>
    <row r="553" spans="1:18" s="57" customFormat="1" x14ac:dyDescent="0.35">
      <c r="A553" s="53" t="s">
        <v>8</v>
      </c>
      <c r="B553" s="54" t="s">
        <v>735</v>
      </c>
      <c r="C553" s="54" t="s">
        <v>736</v>
      </c>
      <c r="D553" s="55" t="s">
        <v>737</v>
      </c>
      <c r="E553" s="55" t="s">
        <v>12</v>
      </c>
      <c r="F553" s="55" t="s">
        <v>12</v>
      </c>
      <c r="G553" s="54" t="s">
        <v>139</v>
      </c>
      <c r="H553" s="54" t="s">
        <v>139</v>
      </c>
      <c r="I553" s="54" t="s">
        <v>12</v>
      </c>
      <c r="J553" s="54">
        <v>0</v>
      </c>
      <c r="K553" s="54" t="s">
        <v>12</v>
      </c>
      <c r="L553" s="54" t="s">
        <v>7</v>
      </c>
      <c r="M553" s="25"/>
      <c r="N553" s="56" t="str">
        <f>IFERROR(VLOOKUP(Tableau3[[#This Row],[Denomination Sociale]],Tableau7[],1,0),"")</f>
        <v/>
      </c>
      <c r="O553" s="56" t="e">
        <f>VLOOKUP(Tableau3[[#This Row],[Denomination Sociale]],Tableau6[],1,0)</f>
        <v>#N/A</v>
      </c>
      <c r="P553" s="56"/>
      <c r="Q553" s="56" t="str">
        <f>VLOOKUP(Tableau3[[#This Row],[Denomination Sociale]],Tableau6[],1,1)</f>
        <v>STRATEX-EMC SA</v>
      </c>
      <c r="R553" s="56" t="s">
        <v>8</v>
      </c>
    </row>
    <row r="554" spans="1:18" s="57" customFormat="1" x14ac:dyDescent="0.35">
      <c r="A554" s="53" t="s">
        <v>8</v>
      </c>
      <c r="B554" s="54" t="s">
        <v>738</v>
      </c>
      <c r="C554" s="54" t="s">
        <v>739</v>
      </c>
      <c r="D554" s="55" t="s">
        <v>740</v>
      </c>
      <c r="E554" s="55">
        <v>100</v>
      </c>
      <c r="F554" s="55" t="s">
        <v>12</v>
      </c>
      <c r="G554" s="54" t="s">
        <v>17</v>
      </c>
      <c r="H554" s="54" t="s">
        <v>17</v>
      </c>
      <c r="I554" s="54" t="s">
        <v>12</v>
      </c>
      <c r="J554" s="54">
        <v>0</v>
      </c>
      <c r="K554" s="54" t="s">
        <v>12</v>
      </c>
      <c r="L554" s="54" t="s">
        <v>7</v>
      </c>
      <c r="M554" s="25"/>
      <c r="N554" s="56" t="str">
        <f>IFERROR(VLOOKUP(Tableau3[[#This Row],[Denomination Sociale]],Tableau7[],1,0),"")</f>
        <v/>
      </c>
      <c r="O554" s="56" t="e">
        <f>VLOOKUP(Tableau3[[#This Row],[Denomination Sociale]],Tableau6[],1,0)</f>
        <v>#N/A</v>
      </c>
      <c r="P554" s="56"/>
      <c r="Q554" s="56" t="str">
        <f>VLOOKUP(Tableau3[[#This Row],[Denomination Sociale]],Tableau6[],1,1)</f>
        <v>SUNU RESSOURCES MINING - SAS</v>
      </c>
      <c r="R554" s="56" t="s">
        <v>8</v>
      </c>
    </row>
    <row r="555" spans="1:18" s="57" customFormat="1" x14ac:dyDescent="0.35">
      <c r="A555" s="53" t="s">
        <v>8</v>
      </c>
      <c r="B555" s="54" t="s">
        <v>15629</v>
      </c>
      <c r="C555" s="54" t="s">
        <v>1123</v>
      </c>
      <c r="D555" s="55" t="s">
        <v>1124</v>
      </c>
      <c r="E555" s="55" t="s">
        <v>12</v>
      </c>
      <c r="F555" s="55" t="s">
        <v>12</v>
      </c>
      <c r="G555" s="54" t="s">
        <v>17</v>
      </c>
      <c r="H555" s="54"/>
      <c r="I555" s="54">
        <v>0</v>
      </c>
      <c r="J555" s="54" t="s">
        <v>12</v>
      </c>
      <c r="K555" s="54" t="s">
        <v>12</v>
      </c>
      <c r="L555" s="54" t="s">
        <v>7</v>
      </c>
      <c r="M555" s="25"/>
      <c r="N555" s="56" t="str">
        <f>IFERROR(VLOOKUP(Tableau3[[#This Row],[Denomination Sociale]],Tableau7[],1,0),"")</f>
        <v/>
      </c>
      <c r="O555" s="56" t="e">
        <f>VLOOKUP(Tableau3[[#This Row],[Denomination Sociale]],Tableau6[],1,0)</f>
        <v>#N/A</v>
      </c>
      <c r="P555" s="56"/>
      <c r="Q555" s="56" t="str">
        <f>VLOOKUP(Tableau3[[#This Row],[Denomination Sociale]],Tableau6[],1,1)</f>
        <v>SWAMI MINES SAU</v>
      </c>
      <c r="R555" s="56" t="s">
        <v>8</v>
      </c>
    </row>
    <row r="556" spans="1:18" s="57" customFormat="1" x14ac:dyDescent="0.35">
      <c r="A556" s="53" t="s">
        <v>8</v>
      </c>
      <c r="B556" s="54" t="s">
        <v>767</v>
      </c>
      <c r="C556" s="54" t="s">
        <v>768</v>
      </c>
      <c r="D556" s="55" t="s">
        <v>769</v>
      </c>
      <c r="E556" s="55">
        <v>60</v>
      </c>
      <c r="F556" s="55">
        <v>60</v>
      </c>
      <c r="G556" s="54" t="s">
        <v>17</v>
      </c>
      <c r="H556" s="54" t="s">
        <v>17</v>
      </c>
      <c r="I556" s="54" t="s">
        <v>12</v>
      </c>
      <c r="J556" s="54">
        <v>0</v>
      </c>
      <c r="K556" s="54" t="s">
        <v>12</v>
      </c>
      <c r="L556" s="54" t="s">
        <v>7</v>
      </c>
      <c r="M556" s="25"/>
      <c r="N556" s="56" t="str">
        <f>IFERROR(VLOOKUP(Tableau3[[#This Row],[Denomination Sociale]],Tableau7[],1,0),"")</f>
        <v/>
      </c>
      <c r="O556" s="56" t="e">
        <f>VLOOKUP(Tableau3[[#This Row],[Denomination Sociale]],Tableau6[],1,0)</f>
        <v>#N/A</v>
      </c>
      <c r="P556" s="56"/>
      <c r="Q556" s="56" t="str">
        <f>VLOOKUP(Tableau3[[#This Row],[Denomination Sociale]],Tableau6[],1,1)</f>
        <v>TIMINANDIYA</v>
      </c>
      <c r="R556" s="56" t="s">
        <v>8</v>
      </c>
    </row>
    <row r="557" spans="1:18" x14ac:dyDescent="0.35">
      <c r="A557" s="24" t="s">
        <v>8</v>
      </c>
      <c r="B557" s="1" t="s">
        <v>741</v>
      </c>
      <c r="C557" s="1" t="s">
        <v>742</v>
      </c>
      <c r="D557" s="3" t="s">
        <v>743</v>
      </c>
      <c r="E557" s="3">
        <v>100</v>
      </c>
      <c r="F557" s="3">
        <v>100</v>
      </c>
      <c r="G557" s="1" t="s">
        <v>17</v>
      </c>
      <c r="H557" s="1" t="s">
        <v>17</v>
      </c>
      <c r="I557" s="1" t="s">
        <v>12</v>
      </c>
      <c r="J557" s="1">
        <v>0</v>
      </c>
      <c r="K557" s="1" t="s">
        <v>12</v>
      </c>
      <c r="L557" s="1" t="s">
        <v>7</v>
      </c>
      <c r="M557" s="25"/>
      <c r="N557" s="25" t="str">
        <f>IFERROR(VLOOKUP(Tableau3[[#This Row],[Denomination Sociale]],Tableau7[],1,0),"")</f>
        <v/>
      </c>
      <c r="O557" s="25" t="str">
        <f>VLOOKUP(Tableau3[[#This Row],[Denomination Sociale]],Tableau6[],1,0)</f>
        <v>SYFARO MINING COMPANY</v>
      </c>
      <c r="P557" s="25" t="s">
        <v>741</v>
      </c>
      <c r="Q557" s="25" t="str">
        <f>VLOOKUP(Tableau3[[#This Row],[Denomination Sociale]],Tableau6[],1,1)</f>
        <v>SYFARO MINING COMPANY</v>
      </c>
      <c r="R557" s="25" t="s">
        <v>8</v>
      </c>
    </row>
    <row r="558" spans="1:18" x14ac:dyDescent="0.35">
      <c r="A558" s="24" t="s">
        <v>873</v>
      </c>
      <c r="B558" s="1" t="s">
        <v>953</v>
      </c>
      <c r="C558" s="1" t="s">
        <v>954</v>
      </c>
      <c r="D558" s="3" t="s">
        <v>955</v>
      </c>
      <c r="E558" s="3" t="s">
        <v>12</v>
      </c>
      <c r="F558" s="3" t="s">
        <v>12</v>
      </c>
      <c r="G558" s="1" t="s">
        <v>17</v>
      </c>
      <c r="H558" s="1" t="s">
        <v>17</v>
      </c>
      <c r="I558" s="1" t="s">
        <v>12</v>
      </c>
      <c r="J558" s="1">
        <v>0</v>
      </c>
      <c r="K558" s="1" t="s">
        <v>12</v>
      </c>
      <c r="L558" s="1" t="s">
        <v>7</v>
      </c>
      <c r="M558" s="25"/>
      <c r="N558" s="25" t="str">
        <f>IFERROR(VLOOKUP(Tableau3[[#This Row],[Denomination Sociale]],Tableau7[],1,0),"")</f>
        <v/>
      </c>
      <c r="O558" s="25" t="str">
        <f>VLOOKUP(Tableau3[[#This Row],[Denomination Sociale]],Tableau6[],1,0)</f>
        <v>SYLLA COUNDA</v>
      </c>
      <c r="P558" s="25" t="s">
        <v>953</v>
      </c>
      <c r="Q558" s="25" t="str">
        <f>VLOOKUP(Tableau3[[#This Row],[Denomination Sociale]],Tableau6[],1,1)</f>
        <v>SYLLA COUNDA</v>
      </c>
      <c r="R558" s="25" t="s">
        <v>873</v>
      </c>
    </row>
    <row r="559" spans="1:18" x14ac:dyDescent="0.35">
      <c r="A559" s="24" t="s">
        <v>873</v>
      </c>
      <c r="B559" s="1" t="s">
        <v>953</v>
      </c>
      <c r="C559" s="1" t="s">
        <v>956</v>
      </c>
      <c r="D559" s="3" t="s">
        <v>955</v>
      </c>
      <c r="E559" s="3" t="s">
        <v>12</v>
      </c>
      <c r="F559" s="3" t="s">
        <v>12</v>
      </c>
      <c r="G559" s="1" t="s">
        <v>17</v>
      </c>
      <c r="H559" s="1" t="s">
        <v>17</v>
      </c>
      <c r="I559" s="1" t="s">
        <v>12</v>
      </c>
      <c r="J559" s="1">
        <v>0</v>
      </c>
      <c r="K559" s="1" t="s">
        <v>12</v>
      </c>
      <c r="L559" s="1" t="s">
        <v>7</v>
      </c>
      <c r="M559" s="25"/>
      <c r="N559" s="25" t="str">
        <f>IFERROR(VLOOKUP(Tableau3[[#This Row],[Denomination Sociale]],Tableau7[],1,0),"")</f>
        <v/>
      </c>
      <c r="O559" s="25" t="str">
        <f>VLOOKUP(Tableau3[[#This Row],[Denomination Sociale]],Tableau6[],1,0)</f>
        <v>SYLLA COUNDA</v>
      </c>
      <c r="P559" s="25" t="s">
        <v>953</v>
      </c>
      <c r="Q559" s="25" t="str">
        <f>VLOOKUP(Tableau3[[#This Row],[Denomination Sociale]],Tableau6[],1,1)</f>
        <v>SYLLA COUNDA</v>
      </c>
      <c r="R559" s="25" t="s">
        <v>873</v>
      </c>
    </row>
    <row r="560" spans="1:18" x14ac:dyDescent="0.35">
      <c r="A560" s="24" t="s">
        <v>873</v>
      </c>
      <c r="B560" s="1" t="s">
        <v>953</v>
      </c>
      <c r="C560" s="1" t="s">
        <v>957</v>
      </c>
      <c r="D560" s="3" t="s">
        <v>955</v>
      </c>
      <c r="E560" s="3" t="s">
        <v>12</v>
      </c>
      <c r="F560" s="3" t="s">
        <v>12</v>
      </c>
      <c r="G560" s="1" t="s">
        <v>17</v>
      </c>
      <c r="H560" s="1" t="s">
        <v>17</v>
      </c>
      <c r="I560" s="1" t="s">
        <v>12</v>
      </c>
      <c r="J560" s="1">
        <v>0</v>
      </c>
      <c r="K560" s="1" t="s">
        <v>12</v>
      </c>
      <c r="L560" s="1" t="s">
        <v>7</v>
      </c>
      <c r="M560" s="25"/>
      <c r="N560" s="25" t="str">
        <f>IFERROR(VLOOKUP(Tableau3[[#This Row],[Denomination Sociale]],Tableau7[],1,0),"")</f>
        <v/>
      </c>
      <c r="O560" s="25" t="str">
        <f>VLOOKUP(Tableau3[[#This Row],[Denomination Sociale]],Tableau6[],1,0)</f>
        <v>SYLLA COUNDA</v>
      </c>
      <c r="P560" s="25" t="s">
        <v>953</v>
      </c>
      <c r="Q560" s="25" t="str">
        <f>VLOOKUP(Tableau3[[#This Row],[Denomination Sociale]],Tableau6[],1,1)</f>
        <v>SYLLA COUNDA</v>
      </c>
      <c r="R560" s="25" t="s">
        <v>873</v>
      </c>
    </row>
    <row r="561" spans="1:18" x14ac:dyDescent="0.35">
      <c r="A561" s="24" t="s">
        <v>873</v>
      </c>
      <c r="B561" s="1" t="s">
        <v>953</v>
      </c>
      <c r="C561" s="1" t="s">
        <v>958</v>
      </c>
      <c r="D561" s="3" t="s">
        <v>955</v>
      </c>
      <c r="E561" s="3" t="s">
        <v>12</v>
      </c>
      <c r="F561" s="3" t="s">
        <v>12</v>
      </c>
      <c r="G561" s="1" t="s">
        <v>17</v>
      </c>
      <c r="H561" s="1" t="s">
        <v>17</v>
      </c>
      <c r="I561" s="1" t="s">
        <v>12</v>
      </c>
      <c r="J561" s="1">
        <v>0</v>
      </c>
      <c r="K561" s="1" t="s">
        <v>12</v>
      </c>
      <c r="L561" s="1" t="s">
        <v>7</v>
      </c>
      <c r="M561" s="25"/>
      <c r="N561" s="25" t="str">
        <f>IFERROR(VLOOKUP(Tableau3[[#This Row],[Denomination Sociale]],Tableau7[],1,0),"")</f>
        <v/>
      </c>
      <c r="O561" s="25" t="str">
        <f>VLOOKUP(Tableau3[[#This Row],[Denomination Sociale]],Tableau6[],1,0)</f>
        <v>SYLLA COUNDA</v>
      </c>
      <c r="P561" s="25" t="s">
        <v>953</v>
      </c>
      <c r="Q561" s="25" t="str">
        <f>VLOOKUP(Tableau3[[#This Row],[Denomination Sociale]],Tableau6[],1,1)</f>
        <v>SYLLA COUNDA</v>
      </c>
      <c r="R561" s="25" t="s">
        <v>873</v>
      </c>
    </row>
    <row r="562" spans="1:18" x14ac:dyDescent="0.35">
      <c r="A562" s="24" t="s">
        <v>873</v>
      </c>
      <c r="B562" s="1" t="s">
        <v>953</v>
      </c>
      <c r="C562" s="1" t="s">
        <v>959</v>
      </c>
      <c r="D562" s="3" t="s">
        <v>955</v>
      </c>
      <c r="E562" s="3" t="s">
        <v>12</v>
      </c>
      <c r="F562" s="3" t="s">
        <v>12</v>
      </c>
      <c r="G562" s="1" t="s">
        <v>17</v>
      </c>
      <c r="H562" s="1" t="s">
        <v>17</v>
      </c>
      <c r="I562" s="1" t="s">
        <v>12</v>
      </c>
      <c r="J562" s="1">
        <v>0</v>
      </c>
      <c r="K562" s="1" t="s">
        <v>12</v>
      </c>
      <c r="L562" s="1" t="s">
        <v>7</v>
      </c>
      <c r="M562" s="25"/>
      <c r="N562" s="25" t="str">
        <f>IFERROR(VLOOKUP(Tableau3[[#This Row],[Denomination Sociale]],Tableau7[],1,0),"")</f>
        <v/>
      </c>
      <c r="O562" s="25" t="str">
        <f>VLOOKUP(Tableau3[[#This Row],[Denomination Sociale]],Tableau6[],1,0)</f>
        <v>SYLLA COUNDA</v>
      </c>
      <c r="P562" s="25" t="s">
        <v>953</v>
      </c>
      <c r="Q562" s="25" t="str">
        <f>VLOOKUP(Tableau3[[#This Row],[Denomination Sociale]],Tableau6[],1,1)</f>
        <v>SYLLA COUNDA</v>
      </c>
      <c r="R562" s="25" t="s">
        <v>873</v>
      </c>
    </row>
    <row r="563" spans="1:18" x14ac:dyDescent="0.35">
      <c r="A563" s="24" t="s">
        <v>873</v>
      </c>
      <c r="B563" s="1" t="s">
        <v>953</v>
      </c>
      <c r="C563" s="1" t="s">
        <v>890</v>
      </c>
      <c r="D563" s="3" t="s">
        <v>955</v>
      </c>
      <c r="E563" s="3" t="s">
        <v>12</v>
      </c>
      <c r="F563" s="3" t="s">
        <v>12</v>
      </c>
      <c r="G563" s="1" t="s">
        <v>17</v>
      </c>
      <c r="H563" s="1" t="s">
        <v>17</v>
      </c>
      <c r="I563" s="1" t="s">
        <v>12</v>
      </c>
      <c r="J563" s="1">
        <v>0</v>
      </c>
      <c r="K563" s="1" t="s">
        <v>12</v>
      </c>
      <c r="L563" s="1" t="s">
        <v>7</v>
      </c>
      <c r="M563" s="25"/>
      <c r="N563" s="25" t="str">
        <f>IFERROR(VLOOKUP(Tableau3[[#This Row],[Denomination Sociale]],Tableau7[],1,0),"")</f>
        <v/>
      </c>
      <c r="O563" s="25" t="str">
        <f>VLOOKUP(Tableau3[[#This Row],[Denomination Sociale]],Tableau6[],1,0)</f>
        <v>SYLLA COUNDA</v>
      </c>
      <c r="P563" s="25" t="s">
        <v>953</v>
      </c>
      <c r="Q563" s="25" t="str">
        <f>VLOOKUP(Tableau3[[#This Row],[Denomination Sociale]],Tableau6[],1,1)</f>
        <v>SYLLA COUNDA</v>
      </c>
      <c r="R563" s="25" t="s">
        <v>873</v>
      </c>
    </row>
    <row r="564" spans="1:18" x14ac:dyDescent="0.35">
      <c r="A564" s="24" t="s">
        <v>873</v>
      </c>
      <c r="B564" s="1" t="s">
        <v>953</v>
      </c>
      <c r="C564" s="1" t="s">
        <v>960</v>
      </c>
      <c r="D564" s="3" t="s">
        <v>955</v>
      </c>
      <c r="E564" s="3" t="s">
        <v>12</v>
      </c>
      <c r="F564" s="3" t="s">
        <v>12</v>
      </c>
      <c r="G564" s="1" t="s">
        <v>17</v>
      </c>
      <c r="H564" s="1" t="s">
        <v>17</v>
      </c>
      <c r="I564" s="1" t="s">
        <v>12</v>
      </c>
      <c r="J564" s="1">
        <v>0</v>
      </c>
      <c r="K564" s="1" t="s">
        <v>12</v>
      </c>
      <c r="L564" s="1" t="s">
        <v>7</v>
      </c>
      <c r="M564" s="25"/>
      <c r="N564" s="25" t="str">
        <f>IFERROR(VLOOKUP(Tableau3[[#This Row],[Denomination Sociale]],Tableau7[],1,0),"")</f>
        <v/>
      </c>
      <c r="O564" s="25" t="str">
        <f>VLOOKUP(Tableau3[[#This Row],[Denomination Sociale]],Tableau6[],1,0)</f>
        <v>SYLLA COUNDA</v>
      </c>
      <c r="P564" s="25" t="s">
        <v>953</v>
      </c>
      <c r="Q564" s="25" t="str">
        <f>VLOOKUP(Tableau3[[#This Row],[Denomination Sociale]],Tableau6[],1,1)</f>
        <v>SYLLA COUNDA</v>
      </c>
      <c r="R564" s="25" t="s">
        <v>873</v>
      </c>
    </row>
    <row r="565" spans="1:18" x14ac:dyDescent="0.35">
      <c r="A565" s="24" t="s">
        <v>873</v>
      </c>
      <c r="B565" s="1" t="s">
        <v>953</v>
      </c>
      <c r="C565" s="1" t="s">
        <v>961</v>
      </c>
      <c r="D565" s="3" t="s">
        <v>955</v>
      </c>
      <c r="E565" s="3" t="s">
        <v>12</v>
      </c>
      <c r="F565" s="3" t="s">
        <v>12</v>
      </c>
      <c r="G565" s="1" t="s">
        <v>17</v>
      </c>
      <c r="H565" s="1" t="s">
        <v>17</v>
      </c>
      <c r="I565" s="1" t="s">
        <v>12</v>
      </c>
      <c r="J565" s="1">
        <v>0</v>
      </c>
      <c r="K565" s="1" t="s">
        <v>12</v>
      </c>
      <c r="L565" s="1" t="s">
        <v>7</v>
      </c>
      <c r="M565" s="25"/>
      <c r="N565" s="25" t="str">
        <f>IFERROR(VLOOKUP(Tableau3[[#This Row],[Denomination Sociale]],Tableau7[],1,0),"")</f>
        <v/>
      </c>
      <c r="O565" s="25" t="str">
        <f>VLOOKUP(Tableau3[[#This Row],[Denomination Sociale]],Tableau6[],1,0)</f>
        <v>SYLLA COUNDA</v>
      </c>
      <c r="P565" s="25" t="s">
        <v>953</v>
      </c>
      <c r="Q565" s="25" t="str">
        <f>VLOOKUP(Tableau3[[#This Row],[Denomination Sociale]],Tableau6[],1,1)</f>
        <v>SYLLA COUNDA</v>
      </c>
      <c r="R565" s="25" t="s">
        <v>873</v>
      </c>
    </row>
    <row r="566" spans="1:18" x14ac:dyDescent="0.35">
      <c r="A566" s="24" t="s">
        <v>873</v>
      </c>
      <c r="B566" s="1" t="s">
        <v>953</v>
      </c>
      <c r="C566" s="1" t="s">
        <v>962</v>
      </c>
      <c r="D566" s="3" t="s">
        <v>955</v>
      </c>
      <c r="E566" s="3" t="s">
        <v>12</v>
      </c>
      <c r="F566" s="3" t="s">
        <v>12</v>
      </c>
      <c r="G566" s="1" t="s">
        <v>17</v>
      </c>
      <c r="H566" s="1" t="s">
        <v>17</v>
      </c>
      <c r="I566" s="1" t="s">
        <v>12</v>
      </c>
      <c r="J566" s="1">
        <v>0</v>
      </c>
      <c r="K566" s="1" t="s">
        <v>12</v>
      </c>
      <c r="L566" s="1" t="s">
        <v>7</v>
      </c>
      <c r="M566" s="25"/>
      <c r="N566" s="25" t="str">
        <f>IFERROR(VLOOKUP(Tableau3[[#This Row],[Denomination Sociale]],Tableau7[],1,0),"")</f>
        <v/>
      </c>
      <c r="O566" s="25" t="str">
        <f>VLOOKUP(Tableau3[[#This Row],[Denomination Sociale]],Tableau6[],1,0)</f>
        <v>SYLLA COUNDA</v>
      </c>
      <c r="P566" s="25" t="s">
        <v>953</v>
      </c>
      <c r="Q566" s="25" t="str">
        <f>VLOOKUP(Tableau3[[#This Row],[Denomination Sociale]],Tableau6[],1,1)</f>
        <v>SYLLA COUNDA</v>
      </c>
      <c r="R566" s="25" t="s">
        <v>873</v>
      </c>
    </row>
    <row r="567" spans="1:18" x14ac:dyDescent="0.35">
      <c r="A567" s="24" t="s">
        <v>873</v>
      </c>
      <c r="B567" s="1" t="s">
        <v>953</v>
      </c>
      <c r="C567" s="1" t="s">
        <v>963</v>
      </c>
      <c r="D567" s="3" t="s">
        <v>955</v>
      </c>
      <c r="E567" s="3" t="s">
        <v>12</v>
      </c>
      <c r="F567" s="3" t="s">
        <v>12</v>
      </c>
      <c r="G567" s="1" t="s">
        <v>17</v>
      </c>
      <c r="H567" s="1" t="s">
        <v>17</v>
      </c>
      <c r="I567" s="1" t="s">
        <v>12</v>
      </c>
      <c r="J567" s="1">
        <v>0</v>
      </c>
      <c r="K567" s="1" t="s">
        <v>12</v>
      </c>
      <c r="L567" s="1" t="s">
        <v>7</v>
      </c>
      <c r="M567" s="25"/>
      <c r="N567" s="25" t="str">
        <f>IFERROR(VLOOKUP(Tableau3[[#This Row],[Denomination Sociale]],Tableau7[],1,0),"")</f>
        <v/>
      </c>
      <c r="O567" s="25" t="str">
        <f>VLOOKUP(Tableau3[[#This Row],[Denomination Sociale]],Tableau6[],1,0)</f>
        <v>SYLLA COUNDA</v>
      </c>
      <c r="P567" s="25" t="s">
        <v>953</v>
      </c>
      <c r="Q567" s="25" t="str">
        <f>VLOOKUP(Tableau3[[#This Row],[Denomination Sociale]],Tableau6[],1,1)</f>
        <v>SYLLA COUNDA</v>
      </c>
      <c r="R567" s="25" t="s">
        <v>873</v>
      </c>
    </row>
    <row r="568" spans="1:18" x14ac:dyDescent="0.35">
      <c r="A568" s="24" t="s">
        <v>873</v>
      </c>
      <c r="B568" s="1" t="s">
        <v>953</v>
      </c>
      <c r="C568" s="1" t="s">
        <v>964</v>
      </c>
      <c r="D568" s="3" t="s">
        <v>955</v>
      </c>
      <c r="E568" s="3" t="s">
        <v>12</v>
      </c>
      <c r="F568" s="3" t="s">
        <v>12</v>
      </c>
      <c r="G568" s="1" t="s">
        <v>17</v>
      </c>
      <c r="H568" s="1" t="s">
        <v>17</v>
      </c>
      <c r="I568" s="1" t="s">
        <v>12</v>
      </c>
      <c r="J568" s="1">
        <v>0</v>
      </c>
      <c r="K568" s="1" t="s">
        <v>12</v>
      </c>
      <c r="L568" s="1" t="s">
        <v>7</v>
      </c>
      <c r="M568" s="25"/>
      <c r="N568" s="25" t="str">
        <f>IFERROR(VLOOKUP(Tableau3[[#This Row],[Denomination Sociale]],Tableau7[],1,0),"")</f>
        <v/>
      </c>
      <c r="O568" s="25" t="str">
        <f>VLOOKUP(Tableau3[[#This Row],[Denomination Sociale]],Tableau6[],1,0)</f>
        <v>SYLLA COUNDA</v>
      </c>
      <c r="P568" s="25" t="s">
        <v>953</v>
      </c>
      <c r="Q568" s="25" t="str">
        <f>VLOOKUP(Tableau3[[#This Row],[Denomination Sociale]],Tableau6[],1,1)</f>
        <v>SYLLA COUNDA</v>
      </c>
      <c r="R568" s="25" t="s">
        <v>873</v>
      </c>
    </row>
    <row r="569" spans="1:18" x14ac:dyDescent="0.35">
      <c r="A569" s="24" t="s">
        <v>873</v>
      </c>
      <c r="B569" s="1" t="s">
        <v>953</v>
      </c>
      <c r="C569" s="1" t="s">
        <v>965</v>
      </c>
      <c r="D569" s="3" t="s">
        <v>955</v>
      </c>
      <c r="E569" s="3" t="s">
        <v>12</v>
      </c>
      <c r="F569" s="3" t="s">
        <v>12</v>
      </c>
      <c r="G569" s="1" t="s">
        <v>17</v>
      </c>
      <c r="H569" s="1" t="s">
        <v>17</v>
      </c>
      <c r="I569" s="1" t="s">
        <v>12</v>
      </c>
      <c r="J569" s="1">
        <v>0</v>
      </c>
      <c r="K569" s="1" t="s">
        <v>12</v>
      </c>
      <c r="L569" s="1" t="s">
        <v>7</v>
      </c>
      <c r="M569" s="25"/>
      <c r="N569" s="25" t="str">
        <f>IFERROR(VLOOKUP(Tableau3[[#This Row],[Denomination Sociale]],Tableau7[],1,0),"")</f>
        <v/>
      </c>
      <c r="O569" s="25" t="str">
        <f>VLOOKUP(Tableau3[[#This Row],[Denomination Sociale]],Tableau6[],1,0)</f>
        <v>SYLLA COUNDA</v>
      </c>
      <c r="P569" s="25" t="s">
        <v>953</v>
      </c>
      <c r="Q569" s="25" t="str">
        <f>VLOOKUP(Tableau3[[#This Row],[Denomination Sociale]],Tableau6[],1,1)</f>
        <v>SYLLA COUNDA</v>
      </c>
      <c r="R569" s="25" t="s">
        <v>873</v>
      </c>
    </row>
    <row r="570" spans="1:18" x14ac:dyDescent="0.35">
      <c r="A570" s="24" t="s">
        <v>8</v>
      </c>
      <c r="B570" s="1" t="s">
        <v>744</v>
      </c>
      <c r="C570" s="1" t="s">
        <v>745</v>
      </c>
      <c r="D570" s="3" t="s">
        <v>746</v>
      </c>
      <c r="E570" s="3">
        <v>100</v>
      </c>
      <c r="F570" s="3">
        <v>100</v>
      </c>
      <c r="G570" s="1" t="s">
        <v>17</v>
      </c>
      <c r="H570" s="1" t="s">
        <v>17</v>
      </c>
      <c r="I570" s="1" t="s">
        <v>12</v>
      </c>
      <c r="J570" s="1">
        <v>0</v>
      </c>
      <c r="K570" s="1" t="s">
        <v>12</v>
      </c>
      <c r="L570" s="1" t="s">
        <v>7</v>
      </c>
      <c r="M570" s="25"/>
      <c r="N570" s="25" t="str">
        <f>IFERROR(VLOOKUP(Tableau3[[#This Row],[Denomination Sociale]],Tableau7[],1,0),"")</f>
        <v/>
      </c>
      <c r="O570" s="25" t="str">
        <f>VLOOKUP(Tableau3[[#This Row],[Denomination Sociale]],Tableau6[],1,0)</f>
        <v>SYPROM</v>
      </c>
      <c r="P570" s="25" t="s">
        <v>744</v>
      </c>
      <c r="Q570" s="25" t="str">
        <f>VLOOKUP(Tableau3[[#This Row],[Denomination Sociale]],Tableau6[],1,1)</f>
        <v>SYPROM</v>
      </c>
      <c r="R570" s="25" t="s">
        <v>8</v>
      </c>
    </row>
    <row r="571" spans="1:18" x14ac:dyDescent="0.35">
      <c r="A571" s="24" t="s">
        <v>8</v>
      </c>
      <c r="B571" s="1" t="s">
        <v>747</v>
      </c>
      <c r="C571" s="1" t="s">
        <v>748</v>
      </c>
      <c r="D571" s="3" t="s">
        <v>749</v>
      </c>
      <c r="E571" s="3" t="s">
        <v>12</v>
      </c>
      <c r="F571" s="3" t="s">
        <v>12</v>
      </c>
      <c r="G571" s="1" t="s">
        <v>17</v>
      </c>
      <c r="H571" s="1" t="s">
        <v>17</v>
      </c>
      <c r="I571" s="1" t="s">
        <v>12</v>
      </c>
      <c r="J571" s="1">
        <v>0</v>
      </c>
      <c r="K571" s="1" t="s">
        <v>12</v>
      </c>
      <c r="L571" s="1" t="s">
        <v>7</v>
      </c>
      <c r="M571" s="25"/>
      <c r="N571" s="25" t="str">
        <f>IFERROR(VLOOKUP(Tableau3[[#This Row],[Denomination Sociale]],Tableau7[],1,0),"")</f>
        <v/>
      </c>
      <c r="O571" s="25" t="str">
        <f>VLOOKUP(Tableau3[[#This Row],[Denomination Sociale]],Tableau6[],1,0)</f>
        <v>TALIX MINES</v>
      </c>
      <c r="P571" s="25" t="s">
        <v>747</v>
      </c>
      <c r="Q571" s="25" t="str">
        <f>VLOOKUP(Tableau3[[#This Row],[Denomination Sociale]],Tableau6[],1,1)</f>
        <v>TALIX MINES</v>
      </c>
      <c r="R571" s="25" t="s">
        <v>8</v>
      </c>
    </row>
    <row r="572" spans="1:18" x14ac:dyDescent="0.35">
      <c r="A572" s="24" t="s">
        <v>8</v>
      </c>
      <c r="B572" s="1" t="s">
        <v>15524</v>
      </c>
      <c r="C572" s="1" t="s">
        <v>751</v>
      </c>
      <c r="D572" s="3" t="s">
        <v>752</v>
      </c>
      <c r="E572" s="3" t="s">
        <v>12</v>
      </c>
      <c r="F572" s="3" t="s">
        <v>12</v>
      </c>
      <c r="G572" s="1" t="s">
        <v>17</v>
      </c>
      <c r="H572" s="1" t="s">
        <v>17</v>
      </c>
      <c r="I572" s="1" t="s">
        <v>12</v>
      </c>
      <c r="J572" s="1">
        <v>0</v>
      </c>
      <c r="K572" s="1" t="s">
        <v>12</v>
      </c>
      <c r="L572" s="1" t="s">
        <v>7</v>
      </c>
      <c r="M572" s="25"/>
      <c r="N572" s="25" t="str">
        <f>IFERROR(VLOOKUP(Tableau3[[#This Row],[Denomination Sociale]],Tableau7[],1,0),"")</f>
        <v/>
      </c>
      <c r="O572" s="25" t="str">
        <f>VLOOKUP(Tableau3[[#This Row],[Denomination Sociale]],Tableau6[],1,0)</f>
        <v>TAYSTONES</v>
      </c>
      <c r="P572" s="25" t="s">
        <v>15524</v>
      </c>
      <c r="Q572" s="25" t="str">
        <f>VLOOKUP(Tableau3[[#This Row],[Denomination Sociale]],Tableau6[],1,1)</f>
        <v>TAYSTONES</v>
      </c>
      <c r="R572" s="25" t="s">
        <v>8</v>
      </c>
    </row>
    <row r="573" spans="1:18" x14ac:dyDescent="0.35">
      <c r="A573" s="24" t="s">
        <v>8</v>
      </c>
      <c r="B573" s="1" t="s">
        <v>15524</v>
      </c>
      <c r="C573" s="1" t="s">
        <v>753</v>
      </c>
      <c r="D573" s="3" t="s">
        <v>752</v>
      </c>
      <c r="E573" s="3" t="s">
        <v>12</v>
      </c>
      <c r="F573" s="3" t="s">
        <v>12</v>
      </c>
      <c r="G573" s="1" t="s">
        <v>17</v>
      </c>
      <c r="H573" s="1" t="s">
        <v>17</v>
      </c>
      <c r="I573" s="1" t="s">
        <v>12</v>
      </c>
      <c r="J573" s="1">
        <v>0</v>
      </c>
      <c r="K573" s="1" t="s">
        <v>12</v>
      </c>
      <c r="L573" s="1" t="s">
        <v>7</v>
      </c>
      <c r="M573" s="25"/>
      <c r="N573" s="25" t="str">
        <f>IFERROR(VLOOKUP(Tableau3[[#This Row],[Denomination Sociale]],Tableau7[],1,0),"")</f>
        <v/>
      </c>
      <c r="O573" s="25" t="str">
        <f>VLOOKUP(Tableau3[[#This Row],[Denomination Sociale]],Tableau6[],1,0)</f>
        <v>TAYSTONES</v>
      </c>
      <c r="P573" s="25" t="s">
        <v>15524</v>
      </c>
      <c r="Q573" s="25" t="str">
        <f>VLOOKUP(Tableau3[[#This Row],[Denomination Sociale]],Tableau6[],1,1)</f>
        <v>TAYSTONES</v>
      </c>
      <c r="R573" s="25" t="s">
        <v>8</v>
      </c>
    </row>
    <row r="574" spans="1:18" x14ac:dyDescent="0.35">
      <c r="A574" s="24" t="s">
        <v>8</v>
      </c>
      <c r="B574" s="1" t="s">
        <v>754</v>
      </c>
      <c r="C574" s="1" t="s">
        <v>755</v>
      </c>
      <c r="D574" s="3" t="s">
        <v>756</v>
      </c>
      <c r="E574" s="3">
        <v>100</v>
      </c>
      <c r="F574" s="3">
        <v>100</v>
      </c>
      <c r="G574" s="1" t="s">
        <v>17</v>
      </c>
      <c r="H574" s="1" t="s">
        <v>17</v>
      </c>
      <c r="I574" s="1" t="s">
        <v>12</v>
      </c>
      <c r="J574" s="1">
        <v>0</v>
      </c>
      <c r="K574" s="1" t="s">
        <v>12</v>
      </c>
      <c r="L574" s="1" t="s">
        <v>7</v>
      </c>
      <c r="M574" s="25"/>
      <c r="N574" s="25" t="str">
        <f>IFERROR(VLOOKUP(Tableau3[[#This Row],[Denomination Sociale]],Tableau7[],1,0),"")</f>
        <v/>
      </c>
      <c r="O574" s="25" t="str">
        <f>VLOOKUP(Tableau3[[#This Row],[Denomination Sociale]],Tableau6[],1,0)</f>
        <v>TCHILMA BUILDING</v>
      </c>
      <c r="P574" s="25" t="s">
        <v>754</v>
      </c>
      <c r="Q574" s="25" t="str">
        <f>VLOOKUP(Tableau3[[#This Row],[Denomination Sociale]],Tableau6[],1,1)</f>
        <v>TCHILMA BUILDING</v>
      </c>
      <c r="R574" s="25" t="s">
        <v>8</v>
      </c>
    </row>
    <row r="575" spans="1:18" x14ac:dyDescent="0.35">
      <c r="A575" s="24" t="s">
        <v>8</v>
      </c>
      <c r="B575" s="1" t="s">
        <v>757</v>
      </c>
      <c r="C575" s="1" t="s">
        <v>758</v>
      </c>
      <c r="D575" s="3" t="s">
        <v>759</v>
      </c>
      <c r="E575" s="3">
        <v>50</v>
      </c>
      <c r="F575" s="3" t="s">
        <v>12</v>
      </c>
      <c r="G575" s="1" t="s">
        <v>17</v>
      </c>
      <c r="H575" s="1" t="s">
        <v>17</v>
      </c>
      <c r="I575" s="1" t="s">
        <v>12</v>
      </c>
      <c r="J575" s="1">
        <v>0</v>
      </c>
      <c r="K575" s="1" t="s">
        <v>12</v>
      </c>
      <c r="L575" s="1" t="s">
        <v>7</v>
      </c>
      <c r="M575" s="25"/>
      <c r="N575" s="25" t="str">
        <f>IFERROR(VLOOKUP(Tableau3[[#This Row],[Denomination Sociale]],Tableau7[],1,0),"")</f>
        <v/>
      </c>
      <c r="O575" s="25" t="str">
        <f>VLOOKUP(Tableau3[[#This Row],[Denomination Sociale]],Tableau6[],1,0)</f>
        <v>TERANGA HORIZON</v>
      </c>
      <c r="P575" s="25" t="s">
        <v>757</v>
      </c>
      <c r="Q575" s="25" t="str">
        <f>VLOOKUP(Tableau3[[#This Row],[Denomination Sociale]],Tableau6[],1,1)</f>
        <v>TERANGA HORIZON</v>
      </c>
      <c r="R575" s="25" t="s">
        <v>8</v>
      </c>
    </row>
    <row r="576" spans="1:18" x14ac:dyDescent="0.35">
      <c r="A576" s="24" t="s">
        <v>8</v>
      </c>
      <c r="B576" s="1" t="s">
        <v>757</v>
      </c>
      <c r="C576" s="1" t="s">
        <v>760</v>
      </c>
      <c r="D576" s="3" t="s">
        <v>759</v>
      </c>
      <c r="E576" s="3">
        <v>50</v>
      </c>
      <c r="F576" s="3" t="s">
        <v>12</v>
      </c>
      <c r="G576" s="1" t="s">
        <v>17</v>
      </c>
      <c r="H576" s="1" t="s">
        <v>17</v>
      </c>
      <c r="I576" s="1" t="s">
        <v>12</v>
      </c>
      <c r="J576" s="1">
        <v>0</v>
      </c>
      <c r="K576" s="1" t="s">
        <v>12</v>
      </c>
      <c r="L576" s="1" t="s">
        <v>7</v>
      </c>
      <c r="M576" s="25"/>
      <c r="N576" s="25" t="str">
        <f>IFERROR(VLOOKUP(Tableau3[[#This Row],[Denomination Sociale]],Tableau7[],1,0),"")</f>
        <v/>
      </c>
      <c r="O576" s="25" t="str">
        <f>VLOOKUP(Tableau3[[#This Row],[Denomination Sociale]],Tableau6[],1,0)</f>
        <v>TERANGA HORIZON</v>
      </c>
      <c r="P576" s="25" t="s">
        <v>757</v>
      </c>
      <c r="Q576" s="25" t="str">
        <f>VLOOKUP(Tableau3[[#This Row],[Denomination Sociale]],Tableau6[],1,1)</f>
        <v>TERANGA HORIZON</v>
      </c>
      <c r="R576" s="25" t="s">
        <v>8</v>
      </c>
    </row>
    <row r="577" spans="1:18" x14ac:dyDescent="0.35">
      <c r="A577" s="24" t="s">
        <v>864</v>
      </c>
      <c r="B577" s="1" t="s">
        <v>869</v>
      </c>
      <c r="C577" s="1" t="s">
        <v>870</v>
      </c>
      <c r="D577" s="3" t="s">
        <v>871</v>
      </c>
      <c r="E577" s="3" t="s">
        <v>12</v>
      </c>
      <c r="F577" s="3" t="s">
        <v>12</v>
      </c>
      <c r="G577" s="1" t="s">
        <v>872</v>
      </c>
      <c r="H577" s="1" t="s">
        <v>872</v>
      </c>
      <c r="I577" s="1" t="s">
        <v>12</v>
      </c>
      <c r="J577" s="1">
        <v>0</v>
      </c>
      <c r="K577" s="1" t="s">
        <v>12</v>
      </c>
      <c r="L577" s="1" t="s">
        <v>7</v>
      </c>
      <c r="M577" s="25"/>
      <c r="N577" s="25" t="str">
        <f>IFERROR(VLOOKUP(Tableau3[[#This Row],[Denomination Sociale]],Tableau7[],1,0),"")</f>
        <v/>
      </c>
      <c r="O577" s="25" t="str">
        <f>VLOOKUP(Tableau3[[#This Row],[Denomination Sociale]],Tableau6[],1,0)</f>
        <v>TERRACALCO SENEGAL</v>
      </c>
      <c r="P577" s="25" t="s">
        <v>869</v>
      </c>
      <c r="Q577" s="25" t="str">
        <f>VLOOKUP(Tableau3[[#This Row],[Denomination Sociale]],Tableau6[],1,1)</f>
        <v>TERRACALCO SENEGAL</v>
      </c>
      <c r="R577" s="25" t="s">
        <v>864</v>
      </c>
    </row>
    <row r="578" spans="1:18" x14ac:dyDescent="0.35">
      <c r="A578" s="24" t="s">
        <v>8</v>
      </c>
      <c r="B578" s="1" t="s">
        <v>761</v>
      </c>
      <c r="C578" s="1" t="s">
        <v>762</v>
      </c>
      <c r="D578" s="3" t="s">
        <v>763</v>
      </c>
      <c r="E578" s="3">
        <v>100</v>
      </c>
      <c r="F578" s="3" t="s">
        <v>12</v>
      </c>
      <c r="G578" s="1" t="s">
        <v>17</v>
      </c>
      <c r="H578" s="1" t="s">
        <v>17</v>
      </c>
      <c r="I578" s="1" t="s">
        <v>12</v>
      </c>
      <c r="J578" s="1">
        <v>0</v>
      </c>
      <c r="K578" s="1" t="s">
        <v>12</v>
      </c>
      <c r="L578" s="1" t="s">
        <v>7</v>
      </c>
      <c r="M578" s="25"/>
      <c r="N578" s="25" t="str">
        <f>IFERROR(VLOOKUP(Tableau3[[#This Row],[Denomination Sociale]],Tableau7[],1,0),"")</f>
        <v/>
      </c>
      <c r="O578" s="25" t="str">
        <f>VLOOKUP(Tableau3[[#This Row],[Denomination Sociale]],Tableau6[],1,0)</f>
        <v>TESORO SERVICES</v>
      </c>
      <c r="P578" s="25" t="s">
        <v>761</v>
      </c>
      <c r="Q578" s="25" t="str">
        <f>VLOOKUP(Tableau3[[#This Row],[Denomination Sociale]],Tableau6[],1,1)</f>
        <v>TESORO SERVICES</v>
      </c>
      <c r="R578" s="25" t="s">
        <v>8</v>
      </c>
    </row>
    <row r="579" spans="1:18" x14ac:dyDescent="0.35">
      <c r="A579" s="24" t="s">
        <v>8</v>
      </c>
      <c r="B579" s="1" t="s">
        <v>764</v>
      </c>
      <c r="C579" s="1" t="s">
        <v>765</v>
      </c>
      <c r="D579" s="3" t="s">
        <v>766</v>
      </c>
      <c r="E579" s="3">
        <v>100</v>
      </c>
      <c r="F579" s="3">
        <v>100</v>
      </c>
      <c r="G579" s="1" t="s">
        <v>17</v>
      </c>
      <c r="H579" s="1" t="s">
        <v>17</v>
      </c>
      <c r="I579" s="1" t="s">
        <v>12</v>
      </c>
      <c r="J579" s="1">
        <v>0</v>
      </c>
      <c r="K579" s="1" t="s">
        <v>12</v>
      </c>
      <c r="L579" s="1" t="s">
        <v>7</v>
      </c>
      <c r="M579" s="25"/>
      <c r="N579" s="25" t="str">
        <f>IFERROR(VLOOKUP(Tableau3[[#This Row],[Denomination Sociale]],Tableau7[],1,0),"")</f>
        <v/>
      </c>
      <c r="O579" s="25" t="str">
        <f>VLOOKUP(Tableau3[[#This Row],[Denomination Sociale]],Tableau6[],1,0)</f>
        <v>THIAM SENEGAL GOLD FAMILY</v>
      </c>
      <c r="P579" s="25" t="s">
        <v>764</v>
      </c>
      <c r="Q579" s="25" t="str">
        <f>VLOOKUP(Tableau3[[#This Row],[Denomination Sociale]],Tableau6[],1,1)</f>
        <v>THIAM SENEGAL GOLD FAMILY</v>
      </c>
      <c r="R579" s="25" t="s">
        <v>8</v>
      </c>
    </row>
    <row r="580" spans="1:18" s="57" customFormat="1" x14ac:dyDescent="0.35">
      <c r="A580" s="53" t="s">
        <v>8</v>
      </c>
      <c r="B580" s="54" t="s">
        <v>767</v>
      </c>
      <c r="C580" s="54" t="s">
        <v>618</v>
      </c>
      <c r="D580" s="55" t="s">
        <v>769</v>
      </c>
      <c r="E580" s="55">
        <v>20</v>
      </c>
      <c r="F580" s="55">
        <v>20</v>
      </c>
      <c r="G580" s="54" t="s">
        <v>17</v>
      </c>
      <c r="H580" s="54" t="s">
        <v>17</v>
      </c>
      <c r="I580" s="54" t="s">
        <v>12</v>
      </c>
      <c r="J580" s="54">
        <v>0</v>
      </c>
      <c r="K580" s="54" t="s">
        <v>12</v>
      </c>
      <c r="L580" s="54" t="s">
        <v>7</v>
      </c>
      <c r="M580" s="25"/>
      <c r="N580" s="56" t="str">
        <f>IFERROR(VLOOKUP(Tableau3[[#This Row],[Denomination Sociale]],Tableau7[],1,0),"")</f>
        <v/>
      </c>
      <c r="O580" s="56" t="e">
        <f>VLOOKUP(Tableau3[[#This Row],[Denomination Sociale]],Tableau6[],1,0)</f>
        <v>#N/A</v>
      </c>
      <c r="P580" s="56"/>
      <c r="Q580" s="56" t="str">
        <f>VLOOKUP(Tableau3[[#This Row],[Denomination Sociale]],Tableau6[],1,1)</f>
        <v>TIMINANDIYA</v>
      </c>
      <c r="R580" s="56" t="s">
        <v>8</v>
      </c>
    </row>
    <row r="581" spans="1:18" s="57" customFormat="1" x14ac:dyDescent="0.35">
      <c r="A581" s="53" t="s">
        <v>8</v>
      </c>
      <c r="B581" s="54" t="s">
        <v>767</v>
      </c>
      <c r="C581" s="54" t="s">
        <v>770</v>
      </c>
      <c r="D581" s="55" t="s">
        <v>769</v>
      </c>
      <c r="E581" s="55">
        <v>20</v>
      </c>
      <c r="F581" s="55">
        <v>20</v>
      </c>
      <c r="G581" s="54" t="s">
        <v>17</v>
      </c>
      <c r="H581" s="54" t="s">
        <v>17</v>
      </c>
      <c r="I581" s="54" t="s">
        <v>12</v>
      </c>
      <c r="J581" s="54">
        <v>0</v>
      </c>
      <c r="K581" s="54" t="s">
        <v>12</v>
      </c>
      <c r="L581" s="54" t="s">
        <v>7</v>
      </c>
      <c r="M581" s="25"/>
      <c r="N581" s="56" t="str">
        <f>IFERROR(VLOOKUP(Tableau3[[#This Row],[Denomination Sociale]],Tableau7[],1,0),"")</f>
        <v/>
      </c>
      <c r="O581" s="56" t="e">
        <f>VLOOKUP(Tableau3[[#This Row],[Denomination Sociale]],Tableau6[],1,0)</f>
        <v>#N/A</v>
      </c>
      <c r="P581" s="56"/>
      <c r="Q581" s="56" t="str">
        <f>VLOOKUP(Tableau3[[#This Row],[Denomination Sociale]],Tableau6[],1,1)</f>
        <v>TIMINANDIYA</v>
      </c>
      <c r="R581" s="56" t="s">
        <v>8</v>
      </c>
    </row>
    <row r="582" spans="1:18" s="57" customFormat="1" x14ac:dyDescent="0.35">
      <c r="A582" s="53" t="s">
        <v>8</v>
      </c>
      <c r="B582" s="54" t="s">
        <v>15684</v>
      </c>
      <c r="C582" s="54" t="s">
        <v>776</v>
      </c>
      <c r="D582" s="55" t="s">
        <v>777</v>
      </c>
      <c r="E582" s="55" t="s">
        <v>12</v>
      </c>
      <c r="F582" s="55" t="s">
        <v>12</v>
      </c>
      <c r="G582" s="54" t="s">
        <v>139</v>
      </c>
      <c r="H582" s="54" t="s">
        <v>139</v>
      </c>
      <c r="I582" s="54" t="s">
        <v>12</v>
      </c>
      <c r="J582" s="54">
        <v>0</v>
      </c>
      <c r="K582" s="54" t="s">
        <v>12</v>
      </c>
      <c r="L582" s="54" t="s">
        <v>7</v>
      </c>
      <c r="M582" s="25"/>
      <c r="N582" s="56" t="str">
        <f>IFERROR(VLOOKUP(Tableau3[[#This Row],[Denomination Sociale]],Tableau7[],1,0),"")</f>
        <v/>
      </c>
      <c r="O582" s="56" t="e">
        <f>VLOOKUP(Tableau3[[#This Row],[Denomination Sociale]],Tableau6[],1,0)</f>
        <v>#N/A</v>
      </c>
      <c r="P582" s="56"/>
      <c r="Q582" s="56" t="str">
        <f>VLOOKUP(Tableau3[[#This Row],[Denomination Sociale]],Tableau6[],1,1)</f>
        <v>TORODOGOLD SERVICES</v>
      </c>
      <c r="R582" s="56" t="s">
        <v>8</v>
      </c>
    </row>
    <row r="583" spans="1:18" x14ac:dyDescent="0.35">
      <c r="A583" s="24" t="s">
        <v>8</v>
      </c>
      <c r="B583" s="1" t="s">
        <v>771</v>
      </c>
      <c r="C583" s="1" t="s">
        <v>772</v>
      </c>
      <c r="D583" s="3" t="s">
        <v>773</v>
      </c>
      <c r="E583" s="3">
        <v>50</v>
      </c>
      <c r="F583" s="3">
        <v>50</v>
      </c>
      <c r="G583" s="1" t="s">
        <v>17</v>
      </c>
      <c r="H583" s="1" t="s">
        <v>17</v>
      </c>
      <c r="I583" s="1" t="s">
        <v>12</v>
      </c>
      <c r="J583" s="1">
        <v>0</v>
      </c>
      <c r="K583" s="1" t="s">
        <v>12</v>
      </c>
      <c r="L583" s="1" t="s">
        <v>7</v>
      </c>
      <c r="M583" s="25"/>
      <c r="N583" s="25" t="str">
        <f>IFERROR(VLOOKUP(Tableau3[[#This Row],[Denomination Sociale]],Tableau7[],1,0),"")</f>
        <v/>
      </c>
      <c r="O583" s="25" t="str">
        <f>VLOOKUP(Tableau3[[#This Row],[Denomination Sociale]],Tableau6[],1,0)</f>
        <v>TOP BUSINESS CONCEPT</v>
      </c>
      <c r="P583" s="25" t="s">
        <v>771</v>
      </c>
      <c r="Q583" s="25" t="str">
        <f>VLOOKUP(Tableau3[[#This Row],[Denomination Sociale]],Tableau6[],1,1)</f>
        <v>TOP BUSINESS CONCEPT</v>
      </c>
      <c r="R583" s="25" t="s">
        <v>8</v>
      </c>
    </row>
    <row r="584" spans="1:18" x14ac:dyDescent="0.35">
      <c r="A584" s="24" t="s">
        <v>8</v>
      </c>
      <c r="B584" s="1" t="s">
        <v>771</v>
      </c>
      <c r="C584" s="1" t="s">
        <v>774</v>
      </c>
      <c r="D584" s="3" t="s">
        <v>773</v>
      </c>
      <c r="E584" s="3">
        <v>50</v>
      </c>
      <c r="F584" s="3">
        <v>50</v>
      </c>
      <c r="G584" s="1" t="s">
        <v>17</v>
      </c>
      <c r="H584" s="1" t="s">
        <v>17</v>
      </c>
      <c r="I584" s="1" t="s">
        <v>12</v>
      </c>
      <c r="J584" s="1">
        <v>0</v>
      </c>
      <c r="K584" s="1" t="s">
        <v>12</v>
      </c>
      <c r="L584" s="1" t="s">
        <v>7</v>
      </c>
      <c r="M584" s="25"/>
      <c r="N584" s="25" t="str">
        <f>IFERROR(VLOOKUP(Tableau3[[#This Row],[Denomination Sociale]],Tableau7[],1,0),"")</f>
        <v/>
      </c>
      <c r="O584" s="25" t="str">
        <f>VLOOKUP(Tableau3[[#This Row],[Denomination Sociale]],Tableau6[],1,0)</f>
        <v>TOP BUSINESS CONCEPT</v>
      </c>
      <c r="P584" s="25" t="s">
        <v>771</v>
      </c>
      <c r="Q584" s="25" t="str">
        <f>VLOOKUP(Tableau3[[#This Row],[Denomination Sociale]],Tableau6[],1,1)</f>
        <v>TOP BUSINESS CONCEPT</v>
      </c>
      <c r="R584" s="25" t="s">
        <v>8</v>
      </c>
    </row>
    <row r="585" spans="1:18" s="57" customFormat="1" x14ac:dyDescent="0.35">
      <c r="A585" s="53" t="s">
        <v>835</v>
      </c>
      <c r="B585" s="54" t="s">
        <v>854</v>
      </c>
      <c r="C585" s="54" t="s">
        <v>855</v>
      </c>
      <c r="D585" s="55" t="s">
        <v>856</v>
      </c>
      <c r="E585" s="55" t="s">
        <v>12</v>
      </c>
      <c r="F585" s="55" t="s">
        <v>12</v>
      </c>
      <c r="G585" s="54" t="s">
        <v>17</v>
      </c>
      <c r="H585" s="54" t="s">
        <v>17</v>
      </c>
      <c r="I585" s="54" t="s">
        <v>12</v>
      </c>
      <c r="J585" s="54">
        <v>0</v>
      </c>
      <c r="K585" s="54" t="s">
        <v>12</v>
      </c>
      <c r="L585" s="54" t="s">
        <v>7</v>
      </c>
      <c r="M585" s="25"/>
      <c r="N585" s="56" t="str">
        <f>IFERROR(VLOOKUP(Tableau3[[#This Row],[Denomination Sociale]],Tableau7[],1,0),"")</f>
        <v/>
      </c>
      <c r="O585" s="56" t="e">
        <f>VLOOKUP(Tableau3[[#This Row],[Denomination Sociale]],Tableau6[],1,0)</f>
        <v>#N/A</v>
      </c>
      <c r="P585" s="56"/>
      <c r="Q585" s="56" t="str">
        <f>VLOOKUP(Tableau3[[#This Row],[Denomination Sociale]],Tableau6[],1,1)</f>
        <v>TOUBA DAROU SALAM TRANSPORT</v>
      </c>
      <c r="R585" s="56" t="s">
        <v>835</v>
      </c>
    </row>
    <row r="586" spans="1:18" x14ac:dyDescent="0.35">
      <c r="A586" s="24" t="s">
        <v>8</v>
      </c>
      <c r="B586" s="1" t="s">
        <v>778</v>
      </c>
      <c r="C586" s="1" t="s">
        <v>779</v>
      </c>
      <c r="D586" s="3" t="s">
        <v>780</v>
      </c>
      <c r="E586" s="3">
        <v>100</v>
      </c>
      <c r="F586" s="3" t="s">
        <v>12</v>
      </c>
      <c r="G586" s="1" t="s">
        <v>17</v>
      </c>
      <c r="H586" s="1" t="s">
        <v>17</v>
      </c>
      <c r="I586" s="1" t="s">
        <v>12</v>
      </c>
      <c r="J586" s="1">
        <v>0</v>
      </c>
      <c r="K586" s="1" t="s">
        <v>12</v>
      </c>
      <c r="L586" s="1" t="s">
        <v>7</v>
      </c>
      <c r="M586" s="25"/>
      <c r="N586" s="25" t="str">
        <f>IFERROR(VLOOKUP(Tableau3[[#This Row],[Denomination Sociale]],Tableau7[],1,0),"")</f>
        <v/>
      </c>
      <c r="O586" s="25" t="str">
        <f>VLOOKUP(Tableau3[[#This Row],[Denomination Sociale]],Tableau6[],1,0)</f>
        <v>TOUBA AMEUBLEMENT</v>
      </c>
      <c r="P586" s="25" t="s">
        <v>778</v>
      </c>
      <c r="Q586" s="25" t="str">
        <f>VLOOKUP(Tableau3[[#This Row],[Denomination Sociale]],Tableau6[],1,1)</f>
        <v>TOUBA AMEUBLEMENT</v>
      </c>
      <c r="R586" s="25" t="s">
        <v>8</v>
      </c>
    </row>
    <row r="587" spans="1:18" s="57" customFormat="1" x14ac:dyDescent="0.35">
      <c r="A587" s="53" t="s">
        <v>8</v>
      </c>
      <c r="B587" s="54" t="s">
        <v>15250</v>
      </c>
      <c r="C587" s="54" t="s">
        <v>789</v>
      </c>
      <c r="D587" s="55" t="s">
        <v>790</v>
      </c>
      <c r="E587" s="55" t="s">
        <v>12</v>
      </c>
      <c r="F587" s="55" t="s">
        <v>12</v>
      </c>
      <c r="G587" s="54" t="s">
        <v>17</v>
      </c>
      <c r="H587" s="54" t="s">
        <v>17</v>
      </c>
      <c r="I587" s="54" t="s">
        <v>12</v>
      </c>
      <c r="J587" s="54">
        <v>0</v>
      </c>
      <c r="K587" s="54" t="s">
        <v>12</v>
      </c>
      <c r="L587" s="54" t="s">
        <v>7</v>
      </c>
      <c r="M587" s="25"/>
      <c r="N587" s="56" t="str">
        <f>IFERROR(VLOOKUP(Tableau3[[#This Row],[Denomination Sociale]],Tableau7[],1,0),"")</f>
        <v/>
      </c>
      <c r="O587" s="56" t="e">
        <f>VLOOKUP(Tableau3[[#This Row],[Denomination Sociale]],Tableau6[],1,0)</f>
        <v>#N/A</v>
      </c>
      <c r="P587" s="56"/>
      <c r="Q587" s="56" t="str">
        <f>VLOOKUP(Tableau3[[#This Row],[Denomination Sociale]],Tableau6[],1,1)</f>
        <v>TOULAYE AFRIQUE</v>
      </c>
      <c r="R587" s="56" t="s">
        <v>8</v>
      </c>
    </row>
    <row r="588" spans="1:18" x14ac:dyDescent="0.35">
      <c r="A588" s="24" t="s">
        <v>8</v>
      </c>
      <c r="B588" s="1" t="s">
        <v>781</v>
      </c>
      <c r="C588" s="1" t="s">
        <v>782</v>
      </c>
      <c r="D588" s="3" t="s">
        <v>783</v>
      </c>
      <c r="E588" s="3">
        <v>100</v>
      </c>
      <c r="F588" s="3" t="s">
        <v>12</v>
      </c>
      <c r="G588" s="1" t="s">
        <v>17</v>
      </c>
      <c r="H588" s="1" t="s">
        <v>17</v>
      </c>
      <c r="I588" s="1" t="s">
        <v>12</v>
      </c>
      <c r="J588" s="1">
        <v>0</v>
      </c>
      <c r="K588" s="1" t="s">
        <v>12</v>
      </c>
      <c r="L588" s="1" t="s">
        <v>7</v>
      </c>
      <c r="M588" s="25"/>
      <c r="N588" s="25" t="str">
        <f>IFERROR(VLOOKUP(Tableau3[[#This Row],[Denomination Sociale]],Tableau7[],1,0),"")</f>
        <v/>
      </c>
      <c r="O588" s="25" t="str">
        <f>VLOOKUP(Tableau3[[#This Row],[Denomination Sociale]],Tableau6[],1,0)</f>
        <v>TOUBA MINERAL RESSOURCES</v>
      </c>
      <c r="P588" s="25" t="s">
        <v>781</v>
      </c>
      <c r="Q588" s="25" t="str">
        <f>VLOOKUP(Tableau3[[#This Row],[Denomination Sociale]],Tableau6[],1,1)</f>
        <v>TOUBA MINERAL RESSOURCES</v>
      </c>
      <c r="R588" s="25" t="s">
        <v>8</v>
      </c>
    </row>
    <row r="589" spans="1:18" x14ac:dyDescent="0.35">
      <c r="A589" s="24" t="s">
        <v>8</v>
      </c>
      <c r="B589" s="1" t="s">
        <v>15538</v>
      </c>
      <c r="C589" s="1" t="s">
        <v>785</v>
      </c>
      <c r="D589" s="3" t="s">
        <v>786</v>
      </c>
      <c r="E589" s="3">
        <v>60</v>
      </c>
      <c r="F589" s="3" t="s">
        <v>12</v>
      </c>
      <c r="G589" s="1" t="s">
        <v>17</v>
      </c>
      <c r="H589" s="1" t="s">
        <v>17</v>
      </c>
      <c r="I589" s="1" t="s">
        <v>12</v>
      </c>
      <c r="J589" s="1">
        <v>0</v>
      </c>
      <c r="K589" s="1" t="s">
        <v>12</v>
      </c>
      <c r="L589" s="1" t="s">
        <v>7</v>
      </c>
      <c r="M589" s="25"/>
      <c r="N589" s="25" t="str">
        <f>IFERROR(VLOOKUP(Tableau3[[#This Row],[Denomination Sociale]],Tableau7[],1,0),"")</f>
        <v/>
      </c>
      <c r="O589" s="25" t="str">
        <f>VLOOKUP(Tableau3[[#This Row],[Denomination Sociale]],Tableau6[],1,0)</f>
        <v>TOULAYE AFRIQUE</v>
      </c>
      <c r="P589" s="25" t="s">
        <v>15538</v>
      </c>
      <c r="Q589" s="25" t="str">
        <f>VLOOKUP(Tableau3[[#This Row],[Denomination Sociale]],Tableau6[],1,1)</f>
        <v>TOULAYE AFRIQUE</v>
      </c>
      <c r="R589" s="25" t="s">
        <v>8</v>
      </c>
    </row>
    <row r="590" spans="1:18" x14ac:dyDescent="0.35">
      <c r="A590" s="24" t="s">
        <v>8</v>
      </c>
      <c r="B590" s="1" t="s">
        <v>15538</v>
      </c>
      <c r="C590" s="1" t="s">
        <v>787</v>
      </c>
      <c r="D590" s="3" t="s">
        <v>786</v>
      </c>
      <c r="E590" s="3">
        <v>40</v>
      </c>
      <c r="F590" s="3">
        <v>40</v>
      </c>
      <c r="G590" s="1" t="s">
        <v>17</v>
      </c>
      <c r="H590" s="1" t="s">
        <v>17</v>
      </c>
      <c r="I590" s="1" t="s">
        <v>12</v>
      </c>
      <c r="J590" s="1">
        <v>0</v>
      </c>
      <c r="K590" s="1" t="s">
        <v>12</v>
      </c>
      <c r="L590" s="1" t="s">
        <v>7</v>
      </c>
      <c r="M590" s="25"/>
      <c r="N590" s="25" t="str">
        <f>IFERROR(VLOOKUP(Tableau3[[#This Row],[Denomination Sociale]],Tableau7[],1,0),"")</f>
        <v/>
      </c>
      <c r="O590" s="25" t="str">
        <f>VLOOKUP(Tableau3[[#This Row],[Denomination Sociale]],Tableau6[],1,0)</f>
        <v>TOULAYE AFRIQUE</v>
      </c>
      <c r="P590" s="25" t="s">
        <v>15538</v>
      </c>
      <c r="Q590" s="25" t="str">
        <f>VLOOKUP(Tableau3[[#This Row],[Denomination Sociale]],Tableau6[],1,1)</f>
        <v>TOULAYE AFRIQUE</v>
      </c>
      <c r="R590" s="25" t="s">
        <v>8</v>
      </c>
    </row>
    <row r="591" spans="1:18" s="57" customFormat="1" x14ac:dyDescent="0.35">
      <c r="A591" s="53" t="s">
        <v>8</v>
      </c>
      <c r="B591" s="54" t="s">
        <v>15250</v>
      </c>
      <c r="C591" s="54" t="s">
        <v>791</v>
      </c>
      <c r="D591" s="55" t="s">
        <v>790</v>
      </c>
      <c r="E591" s="55" t="s">
        <v>12</v>
      </c>
      <c r="F591" s="55" t="s">
        <v>12</v>
      </c>
      <c r="G591" s="54" t="s">
        <v>139</v>
      </c>
      <c r="H591" s="54" t="s">
        <v>139</v>
      </c>
      <c r="I591" s="54" t="s">
        <v>12</v>
      </c>
      <c r="J591" s="54">
        <v>0</v>
      </c>
      <c r="K591" s="54" t="s">
        <v>12</v>
      </c>
      <c r="L591" s="54" t="s">
        <v>7</v>
      </c>
      <c r="M591" s="25"/>
      <c r="N591" s="56" t="str">
        <f>IFERROR(VLOOKUP(Tableau3[[#This Row],[Denomination Sociale]],Tableau7[],1,0),"")</f>
        <v/>
      </c>
      <c r="O591" s="56" t="e">
        <f>VLOOKUP(Tableau3[[#This Row],[Denomination Sociale]],Tableau6[],1,0)</f>
        <v>#N/A</v>
      </c>
      <c r="P591" s="56"/>
      <c r="Q591" s="56" t="str">
        <f>VLOOKUP(Tableau3[[#This Row],[Denomination Sociale]],Tableau6[],1,1)</f>
        <v>TOULAYE AFRIQUE</v>
      </c>
      <c r="R591" s="56" t="s">
        <v>8</v>
      </c>
    </row>
    <row r="592" spans="1:18" s="57" customFormat="1" x14ac:dyDescent="0.35">
      <c r="A592" s="53" t="s">
        <v>8</v>
      </c>
      <c r="B592" s="54" t="s">
        <v>15250</v>
      </c>
      <c r="C592" s="54" t="s">
        <v>792</v>
      </c>
      <c r="D592" s="55" t="s">
        <v>790</v>
      </c>
      <c r="E592" s="55" t="s">
        <v>12</v>
      </c>
      <c r="F592" s="55" t="s">
        <v>12</v>
      </c>
      <c r="G592" s="54" t="s">
        <v>139</v>
      </c>
      <c r="H592" s="54" t="s">
        <v>139</v>
      </c>
      <c r="I592" s="54" t="s">
        <v>12</v>
      </c>
      <c r="J592" s="54">
        <v>0</v>
      </c>
      <c r="K592" s="54" t="s">
        <v>12</v>
      </c>
      <c r="L592" s="54" t="s">
        <v>7</v>
      </c>
      <c r="M592" s="25"/>
      <c r="N592" s="56" t="str">
        <f>IFERROR(VLOOKUP(Tableau3[[#This Row],[Denomination Sociale]],Tableau7[],1,0),"")</f>
        <v/>
      </c>
      <c r="O592" s="56" t="e">
        <f>VLOOKUP(Tableau3[[#This Row],[Denomination Sociale]],Tableau6[],1,0)</f>
        <v>#N/A</v>
      </c>
      <c r="P592" s="56"/>
      <c r="Q592" s="56" t="str">
        <f>VLOOKUP(Tableau3[[#This Row],[Denomination Sociale]],Tableau6[],1,1)</f>
        <v>TOULAYE AFRIQUE</v>
      </c>
      <c r="R592" s="56" t="s">
        <v>8</v>
      </c>
    </row>
    <row r="593" spans="1:18" s="57" customFormat="1" x14ac:dyDescent="0.35">
      <c r="A593" s="53" t="s">
        <v>8</v>
      </c>
      <c r="B593" s="54" t="s">
        <v>15250</v>
      </c>
      <c r="C593" s="54" t="s">
        <v>793</v>
      </c>
      <c r="D593" s="55" t="s">
        <v>790</v>
      </c>
      <c r="E593" s="55">
        <v>60</v>
      </c>
      <c r="F593" s="55">
        <v>60</v>
      </c>
      <c r="G593" s="54" t="s">
        <v>17</v>
      </c>
      <c r="H593" s="54" t="s">
        <v>17</v>
      </c>
      <c r="I593" s="54" t="s">
        <v>12</v>
      </c>
      <c r="J593" s="54">
        <v>0</v>
      </c>
      <c r="K593" s="54" t="s">
        <v>12</v>
      </c>
      <c r="L593" s="54" t="s">
        <v>7</v>
      </c>
      <c r="M593" s="25"/>
      <c r="N593" s="56" t="str">
        <f>IFERROR(VLOOKUP(Tableau3[[#This Row],[Denomination Sociale]],Tableau7[],1,0),"")</f>
        <v/>
      </c>
      <c r="O593" s="56" t="e">
        <f>VLOOKUP(Tableau3[[#This Row],[Denomination Sociale]],Tableau6[],1,0)</f>
        <v>#N/A</v>
      </c>
      <c r="P593" s="56"/>
      <c r="Q593" s="56" t="str">
        <f>VLOOKUP(Tableau3[[#This Row],[Denomination Sociale]],Tableau6[],1,1)</f>
        <v>TOULAYE AFRIQUE</v>
      </c>
      <c r="R593" s="56" t="s">
        <v>8</v>
      </c>
    </row>
    <row r="594" spans="1:18" s="57" customFormat="1" x14ac:dyDescent="0.35">
      <c r="A594" s="53" t="s">
        <v>8</v>
      </c>
      <c r="B594" s="54" t="s">
        <v>15250</v>
      </c>
      <c r="C594" s="54" t="s">
        <v>794</v>
      </c>
      <c r="D594" s="55" t="s">
        <v>790</v>
      </c>
      <c r="E594" s="55" t="s">
        <v>12</v>
      </c>
      <c r="F594" s="55" t="s">
        <v>12</v>
      </c>
      <c r="G594" s="54" t="s">
        <v>139</v>
      </c>
      <c r="H594" s="54" t="s">
        <v>139</v>
      </c>
      <c r="I594" s="54" t="s">
        <v>12</v>
      </c>
      <c r="J594" s="54">
        <v>0</v>
      </c>
      <c r="K594" s="54" t="s">
        <v>12</v>
      </c>
      <c r="L594" s="54" t="s">
        <v>7</v>
      </c>
      <c r="M594" s="25"/>
      <c r="N594" s="56" t="str">
        <f>IFERROR(VLOOKUP(Tableau3[[#This Row],[Denomination Sociale]],Tableau7[],1,0),"")</f>
        <v/>
      </c>
      <c r="O594" s="56" t="e">
        <f>VLOOKUP(Tableau3[[#This Row],[Denomination Sociale]],Tableau6[],1,0)</f>
        <v>#N/A</v>
      </c>
      <c r="P594" s="56"/>
      <c r="Q594" s="56" t="str">
        <f>VLOOKUP(Tableau3[[#This Row],[Denomination Sociale]],Tableau6[],1,1)</f>
        <v>TOULAYE AFRIQUE</v>
      </c>
      <c r="R594" s="56" t="s">
        <v>8</v>
      </c>
    </row>
    <row r="595" spans="1:18" s="57" customFormat="1" x14ac:dyDescent="0.35">
      <c r="A595" s="24" t="s">
        <v>835</v>
      </c>
      <c r="B595" s="1" t="s">
        <v>15683</v>
      </c>
      <c r="C595" s="1" t="s">
        <v>849</v>
      </c>
      <c r="D595" s="3" t="s">
        <v>850</v>
      </c>
      <c r="E595" s="3" t="s">
        <v>12</v>
      </c>
      <c r="F595" s="3" t="s">
        <v>12</v>
      </c>
      <c r="G595" s="1" t="s">
        <v>17</v>
      </c>
      <c r="H595" s="1" t="s">
        <v>17</v>
      </c>
      <c r="I595" s="1" t="s">
        <v>12</v>
      </c>
      <c r="J595" s="1">
        <v>0</v>
      </c>
      <c r="K595" s="1" t="s">
        <v>12</v>
      </c>
      <c r="L595" s="1" t="s">
        <v>7</v>
      </c>
      <c r="M595" s="25"/>
      <c r="N595" s="25" t="str">
        <f>IFERROR(VLOOKUP(Tableau3[[#This Row],[Denomination Sociale]],Tableau7[],1,0),"")</f>
        <v/>
      </c>
      <c r="O595" s="25" t="str">
        <f>VLOOKUP(Tableau3[[#This Row],[Denomination Sociale]],Tableau6[],1,0)</f>
        <v>WAKEUR BOROM GAWANE</v>
      </c>
      <c r="P595" s="25" t="s">
        <v>15683</v>
      </c>
      <c r="Q595" s="25" t="str">
        <f>VLOOKUP(Tableau3[[#This Row],[Denomination Sociale]],Tableau6[],1,1)</f>
        <v>WAKA INVESTMENT CORPORATE</v>
      </c>
      <c r="R595" s="25" t="s">
        <v>835</v>
      </c>
    </row>
    <row r="596" spans="1:18" x14ac:dyDescent="0.35">
      <c r="A596" s="24" t="s">
        <v>8</v>
      </c>
      <c r="B596" s="1" t="s">
        <v>15242</v>
      </c>
      <c r="C596" s="1" t="s">
        <v>1105</v>
      </c>
      <c r="D596" s="3" t="s">
        <v>1106</v>
      </c>
      <c r="E596" s="3">
        <v>100</v>
      </c>
      <c r="F596" s="3">
        <v>100</v>
      </c>
      <c r="G596" s="1" t="s">
        <v>17</v>
      </c>
      <c r="H596" s="1"/>
      <c r="I596" s="1">
        <v>0</v>
      </c>
      <c r="J596" s="1" t="s">
        <v>12</v>
      </c>
      <c r="K596" s="1" t="s">
        <v>12</v>
      </c>
      <c r="L596" s="1" t="s">
        <v>7</v>
      </c>
      <c r="M596" s="25"/>
      <c r="N596" s="25" t="str">
        <f>IFERROR(VLOOKUP(Tableau3[[#This Row],[Denomination Sociale]],Tableau7[],1,0),"")</f>
        <v/>
      </c>
      <c r="O596" s="25" t="str">
        <f>VLOOKUP(Tableau3[[#This Row],[Denomination Sociale]],Tableau6[],1,0)</f>
        <v>TRANSPORT NAR GAYE</v>
      </c>
      <c r="P596" s="25" t="s">
        <v>15242</v>
      </c>
      <c r="Q596" s="25" t="str">
        <f>VLOOKUP(Tableau3[[#This Row],[Denomination Sociale]],Tableau6[],1,1)</f>
        <v>TRANSPORT NAR GAYE</v>
      </c>
      <c r="R596" s="25" t="s">
        <v>8</v>
      </c>
    </row>
    <row r="597" spans="1:18" x14ac:dyDescent="0.35">
      <c r="A597" s="24" t="s">
        <v>8</v>
      </c>
      <c r="B597" s="1" t="s">
        <v>795</v>
      </c>
      <c r="C597" s="1" t="s">
        <v>796</v>
      </c>
      <c r="D597" s="3" t="s">
        <v>797</v>
      </c>
      <c r="E597" s="3">
        <v>25</v>
      </c>
      <c r="F597" s="3">
        <v>25</v>
      </c>
      <c r="G597" s="1" t="s">
        <v>17</v>
      </c>
      <c r="H597" s="1" t="s">
        <v>17</v>
      </c>
      <c r="I597" s="1" t="s">
        <v>12</v>
      </c>
      <c r="J597" s="1">
        <v>0</v>
      </c>
      <c r="K597" s="1" t="s">
        <v>12</v>
      </c>
      <c r="L597" s="1" t="s">
        <v>7</v>
      </c>
      <c r="M597" s="25"/>
      <c r="N597" s="25" t="str">
        <f>IFERROR(VLOOKUP(Tableau3[[#This Row],[Denomination Sociale]],Tableau7[],1,0),"")</f>
        <v/>
      </c>
      <c r="O597" s="25" t="str">
        <f>VLOOKUP(Tableau3[[#This Row],[Denomination Sociale]],Tableau6[],1,0)</f>
        <v>TRIYANGS INTERNATIONAL MINING GROUP</v>
      </c>
      <c r="P597" s="25" t="s">
        <v>795</v>
      </c>
      <c r="Q597" s="25" t="str">
        <f>VLOOKUP(Tableau3[[#This Row],[Denomination Sociale]],Tableau6[],1,1)</f>
        <v>TRIYANGS INTERNATIONAL MINING GROUP</v>
      </c>
      <c r="R597" s="25" t="s">
        <v>8</v>
      </c>
    </row>
    <row r="598" spans="1:18" x14ac:dyDescent="0.35">
      <c r="A598" s="24" t="s">
        <v>8</v>
      </c>
      <c r="B598" s="1" t="s">
        <v>795</v>
      </c>
      <c r="C598" s="1" t="s">
        <v>543</v>
      </c>
      <c r="D598" s="3" t="s">
        <v>797</v>
      </c>
      <c r="E598" s="3">
        <v>20</v>
      </c>
      <c r="F598" s="3">
        <v>20</v>
      </c>
      <c r="G598" s="1" t="s">
        <v>17</v>
      </c>
      <c r="H598" s="1" t="s">
        <v>17</v>
      </c>
      <c r="I598" s="1" t="s">
        <v>12</v>
      </c>
      <c r="J598" s="1">
        <v>0</v>
      </c>
      <c r="K598" s="1" t="s">
        <v>12</v>
      </c>
      <c r="L598" s="1" t="s">
        <v>7</v>
      </c>
      <c r="M598" s="25"/>
      <c r="N598" s="25" t="str">
        <f>IFERROR(VLOOKUP(Tableau3[[#This Row],[Denomination Sociale]],Tableau7[],1,0),"")</f>
        <v/>
      </c>
      <c r="O598" s="25" t="str">
        <f>VLOOKUP(Tableau3[[#This Row],[Denomination Sociale]],Tableau6[],1,0)</f>
        <v>TRIYANGS INTERNATIONAL MINING GROUP</v>
      </c>
      <c r="P598" s="25" t="s">
        <v>795</v>
      </c>
      <c r="Q598" s="25" t="str">
        <f>VLOOKUP(Tableau3[[#This Row],[Denomination Sociale]],Tableau6[],1,1)</f>
        <v>TRIYANGS INTERNATIONAL MINING GROUP</v>
      </c>
      <c r="R598" s="25" t="s">
        <v>8</v>
      </c>
    </row>
    <row r="599" spans="1:18" x14ac:dyDescent="0.35">
      <c r="A599" s="24" t="s">
        <v>8</v>
      </c>
      <c r="B599" s="1" t="s">
        <v>795</v>
      </c>
      <c r="C599" s="1" t="s">
        <v>798</v>
      </c>
      <c r="D599" s="3" t="s">
        <v>797</v>
      </c>
      <c r="E599" s="3">
        <v>55</v>
      </c>
      <c r="F599" s="3">
        <v>55</v>
      </c>
      <c r="G599" s="1" t="s">
        <v>17</v>
      </c>
      <c r="H599" s="1" t="s">
        <v>17</v>
      </c>
      <c r="I599" s="1" t="s">
        <v>12</v>
      </c>
      <c r="J599" s="1">
        <v>0</v>
      </c>
      <c r="K599" s="1" t="s">
        <v>12</v>
      </c>
      <c r="L599" s="1" t="s">
        <v>7</v>
      </c>
      <c r="M599" s="25"/>
      <c r="N599" s="25" t="str">
        <f>IFERROR(VLOOKUP(Tableau3[[#This Row],[Denomination Sociale]],Tableau7[],1,0),"")</f>
        <v/>
      </c>
      <c r="O599" s="25" t="str">
        <f>VLOOKUP(Tableau3[[#This Row],[Denomination Sociale]],Tableau6[],1,0)</f>
        <v>TRIYANGS INTERNATIONAL MINING GROUP</v>
      </c>
      <c r="P599" s="25" t="s">
        <v>795</v>
      </c>
      <c r="Q599" s="25" t="str">
        <f>VLOOKUP(Tableau3[[#This Row],[Denomination Sociale]],Tableau6[],1,1)</f>
        <v>TRIYANGS INTERNATIONAL MINING GROUP</v>
      </c>
      <c r="R599" s="25" t="s">
        <v>8</v>
      </c>
    </row>
    <row r="600" spans="1:18" x14ac:dyDescent="0.35">
      <c r="A600" s="24" t="s">
        <v>873</v>
      </c>
      <c r="B600" s="1" t="s">
        <v>1158</v>
      </c>
      <c r="C600" s="1" t="s">
        <v>1159</v>
      </c>
      <c r="D600" s="3" t="s">
        <v>1160</v>
      </c>
      <c r="E600" s="3">
        <v>50</v>
      </c>
      <c r="F600" s="3">
        <v>50</v>
      </c>
      <c r="G600" s="1" t="s">
        <v>17</v>
      </c>
      <c r="H600" s="1"/>
      <c r="I600" s="1">
        <v>0</v>
      </c>
      <c r="J600" s="1" t="s">
        <v>12</v>
      </c>
      <c r="K600" s="1" t="s">
        <v>12</v>
      </c>
      <c r="L600" s="1" t="s">
        <v>7</v>
      </c>
      <c r="M600" s="25"/>
      <c r="N600" s="25" t="str">
        <f>IFERROR(VLOOKUP(Tableau3[[#This Row],[Denomination Sociale]],Tableau7[],1,0),"")</f>
        <v/>
      </c>
      <c r="O600" s="25" t="str">
        <f>VLOOKUP(Tableau3[[#This Row],[Denomination Sociale]],Tableau6[],1,0)</f>
        <v>UNION GOLD SENEGAL</v>
      </c>
      <c r="P600" s="25" t="s">
        <v>1158</v>
      </c>
      <c r="Q600" s="25" t="str">
        <f>VLOOKUP(Tableau3[[#This Row],[Denomination Sociale]],Tableau6[],1,1)</f>
        <v>UNION GOLD SENEGAL</v>
      </c>
      <c r="R600" s="25" t="s">
        <v>873</v>
      </c>
    </row>
    <row r="601" spans="1:18" x14ac:dyDescent="0.35">
      <c r="A601" s="24" t="s">
        <v>8</v>
      </c>
      <c r="B601" s="1" t="s">
        <v>799</v>
      </c>
      <c r="C601" s="1" t="s">
        <v>627</v>
      </c>
      <c r="D601" s="3" t="s">
        <v>800</v>
      </c>
      <c r="E601" s="3">
        <v>100</v>
      </c>
      <c r="F601" s="3">
        <v>100</v>
      </c>
      <c r="G601" s="1" t="s">
        <v>17</v>
      </c>
      <c r="H601" s="1" t="s">
        <v>17</v>
      </c>
      <c r="I601" s="1" t="s">
        <v>12</v>
      </c>
      <c r="J601" s="1">
        <v>0</v>
      </c>
      <c r="K601" s="1" t="s">
        <v>12</v>
      </c>
      <c r="L601" s="1" t="s">
        <v>7</v>
      </c>
      <c r="M601" s="25"/>
      <c r="N601" s="25" t="str">
        <f>IFERROR(VLOOKUP(Tableau3[[#This Row],[Denomination Sociale]],Tableau7[],1,0),"")</f>
        <v/>
      </c>
      <c r="O601" s="25" t="str">
        <f>VLOOKUP(Tableau3[[#This Row],[Denomination Sociale]],Tableau6[],1,0)</f>
        <v>UTK MINING SENEGAL</v>
      </c>
      <c r="P601" s="25" t="s">
        <v>799</v>
      </c>
      <c r="Q601" s="25" t="str">
        <f>VLOOKUP(Tableau3[[#This Row],[Denomination Sociale]],Tableau6[],1,1)</f>
        <v>UTK MINING SENEGAL</v>
      </c>
      <c r="R601" s="25" t="s">
        <v>8</v>
      </c>
    </row>
    <row r="602" spans="1:18" x14ac:dyDescent="0.35">
      <c r="A602" s="24" t="s">
        <v>8</v>
      </c>
      <c r="B602" s="1" t="s">
        <v>801</v>
      </c>
      <c r="C602" s="1" t="s">
        <v>802</v>
      </c>
      <c r="D602" s="3" t="s">
        <v>803</v>
      </c>
      <c r="E602" s="3">
        <v>100</v>
      </c>
      <c r="F602" s="3">
        <v>100</v>
      </c>
      <c r="G602" s="1" t="s">
        <v>17</v>
      </c>
      <c r="H602" s="1" t="s">
        <v>17</v>
      </c>
      <c r="I602" s="1" t="s">
        <v>12</v>
      </c>
      <c r="J602" s="1">
        <v>0</v>
      </c>
      <c r="K602" s="1" t="s">
        <v>12</v>
      </c>
      <c r="L602" s="1" t="s">
        <v>7</v>
      </c>
      <c r="M602" s="25"/>
      <c r="N602" s="25" t="str">
        <f>IFERROR(VLOOKUP(Tableau3[[#This Row],[Denomination Sociale]],Tableau7[],1,0),"")</f>
        <v/>
      </c>
      <c r="O602" s="25" t="str">
        <f>VLOOKUP(Tableau3[[#This Row],[Denomination Sociale]],Tableau6[],1,0)</f>
        <v>WALY DIOUF PARTNERS SOLUTION</v>
      </c>
      <c r="P602" s="25" t="s">
        <v>801</v>
      </c>
      <c r="Q602" s="25" t="str">
        <f>VLOOKUP(Tableau3[[#This Row],[Denomination Sociale]],Tableau6[],1,1)</f>
        <v>WALY DIOUF PARTNERS SOLUTION</v>
      </c>
      <c r="R602" s="25" t="s">
        <v>8</v>
      </c>
    </row>
    <row r="603" spans="1:18" x14ac:dyDescent="0.35">
      <c r="A603" s="24" t="s">
        <v>8</v>
      </c>
      <c r="B603" s="1" t="s">
        <v>14620</v>
      </c>
      <c r="C603" s="1" t="s">
        <v>443</v>
      </c>
      <c r="D603" s="3" t="s">
        <v>805</v>
      </c>
      <c r="E603" s="3">
        <v>100</v>
      </c>
      <c r="F603" s="3">
        <v>100</v>
      </c>
      <c r="G603" s="1" t="s">
        <v>17</v>
      </c>
      <c r="H603" s="1" t="s">
        <v>17</v>
      </c>
      <c r="I603" s="1" t="s">
        <v>12</v>
      </c>
      <c r="J603" s="1">
        <v>0</v>
      </c>
      <c r="K603" s="1" t="s">
        <v>12</v>
      </c>
      <c r="L603" s="1" t="s">
        <v>7</v>
      </c>
      <c r="M603" s="25"/>
      <c r="N603" s="25" t="str">
        <f>IFERROR(VLOOKUP(Tableau3[[#This Row],[Denomination Sociale]],Tableau7[],1,0),"")</f>
        <v/>
      </c>
      <c r="O603" s="25" t="str">
        <f>VLOOKUP(Tableau3[[#This Row],[Denomination Sociale]],Tableau6[],1,0)</f>
        <v>WEST AFRICA MINES</v>
      </c>
      <c r="P603" s="25" t="s">
        <v>14620</v>
      </c>
      <c r="Q603" s="25" t="str">
        <f>VLOOKUP(Tableau3[[#This Row],[Denomination Sociale]],Tableau6[],1,1)</f>
        <v>WEST AFRICA MINES</v>
      </c>
      <c r="R603" s="25" t="s">
        <v>8</v>
      </c>
    </row>
    <row r="604" spans="1:18" x14ac:dyDescent="0.35">
      <c r="A604" s="24" t="s">
        <v>8</v>
      </c>
      <c r="B604" s="1" t="s">
        <v>15627</v>
      </c>
      <c r="C604" s="1" t="s">
        <v>807</v>
      </c>
      <c r="D604" s="3" t="s">
        <v>808</v>
      </c>
      <c r="E604" s="3">
        <v>100</v>
      </c>
      <c r="F604" s="3">
        <v>100</v>
      </c>
      <c r="G604" s="1" t="s">
        <v>17</v>
      </c>
      <c r="H604" s="1" t="s">
        <v>17</v>
      </c>
      <c r="I604" s="1" t="s">
        <v>12</v>
      </c>
      <c r="J604" s="1">
        <v>0</v>
      </c>
      <c r="K604" s="1" t="s">
        <v>12</v>
      </c>
      <c r="L604" s="1" t="s">
        <v>7</v>
      </c>
      <c r="M604" s="25"/>
      <c r="N604" s="25" t="str">
        <f>IFERROR(VLOOKUP(Tableau3[[#This Row],[Denomination Sociale]],Tableau7[],1,0),"")</f>
        <v/>
      </c>
      <c r="O604" s="25" t="str">
        <f>VLOOKUP(Tableau3[[#This Row],[Denomination Sociale]],Tableau6[],1,0)</f>
        <v>WEST WIND</v>
      </c>
      <c r="P604" s="25" t="s">
        <v>15627</v>
      </c>
      <c r="Q604" s="25" t="str">
        <f>VLOOKUP(Tableau3[[#This Row],[Denomination Sociale]],Tableau6[],1,1)</f>
        <v>WEST WIND</v>
      </c>
      <c r="R604" s="25" t="s">
        <v>8</v>
      </c>
    </row>
    <row r="605" spans="1:18" s="57" customFormat="1" x14ac:dyDescent="0.35">
      <c r="A605" s="53" t="s">
        <v>8</v>
      </c>
      <c r="B605" s="54" t="s">
        <v>15121</v>
      </c>
      <c r="C605" s="54" t="s">
        <v>1188</v>
      </c>
      <c r="D605" s="55" t="s">
        <v>1189</v>
      </c>
      <c r="E605" s="55">
        <v>70</v>
      </c>
      <c r="F605" s="55">
        <v>70</v>
      </c>
      <c r="G605" s="54" t="s">
        <v>17</v>
      </c>
      <c r="H605" s="54"/>
      <c r="I605" s="54">
        <v>0</v>
      </c>
      <c r="J605" s="54" t="s">
        <v>12</v>
      </c>
      <c r="K605" s="54" t="s">
        <v>12</v>
      </c>
      <c r="L605" s="54" t="s">
        <v>7</v>
      </c>
      <c r="M605" s="25"/>
      <c r="N605" s="56" t="str">
        <f>IFERROR(VLOOKUP(Tableau3[[#This Row],[Denomination Sociale]],Tableau7[],1,0),"")</f>
        <v/>
      </c>
      <c r="O605" s="56" t="e">
        <f>VLOOKUP(Tableau3[[#This Row],[Denomination Sociale]],Tableau6[],1,0)</f>
        <v>#N/A</v>
      </c>
      <c r="P605" s="56"/>
      <c r="Q605" s="56" t="str">
        <f>VLOOKUP(Tableau3[[#This Row],[Denomination Sociale]],Tableau6[],1,1)</f>
        <v>WILLAYA GOLD</v>
      </c>
      <c r="R605" s="56" t="s">
        <v>8</v>
      </c>
    </row>
    <row r="606" spans="1:18" s="57" customFormat="1" x14ac:dyDescent="0.35">
      <c r="A606" s="53" t="s">
        <v>8</v>
      </c>
      <c r="B606" s="54" t="s">
        <v>15121</v>
      </c>
      <c r="C606" s="54" t="s">
        <v>1190</v>
      </c>
      <c r="D606" s="55" t="s">
        <v>1189</v>
      </c>
      <c r="E606" s="55">
        <v>5</v>
      </c>
      <c r="F606" s="55">
        <v>5</v>
      </c>
      <c r="G606" s="54" t="s">
        <v>17</v>
      </c>
      <c r="H606" s="54"/>
      <c r="I606" s="54">
        <v>0</v>
      </c>
      <c r="J606" s="54" t="s">
        <v>12</v>
      </c>
      <c r="K606" s="54" t="s">
        <v>12</v>
      </c>
      <c r="L606" s="54" t="s">
        <v>7</v>
      </c>
      <c r="M606" s="25"/>
      <c r="N606" s="56" t="str">
        <f>IFERROR(VLOOKUP(Tableau3[[#This Row],[Denomination Sociale]],Tableau7[],1,0),"")</f>
        <v/>
      </c>
      <c r="O606" s="56" t="e">
        <f>VLOOKUP(Tableau3[[#This Row],[Denomination Sociale]],Tableau6[],1,0)</f>
        <v>#N/A</v>
      </c>
      <c r="P606" s="56"/>
      <c r="Q606" s="56" t="str">
        <f>VLOOKUP(Tableau3[[#This Row],[Denomination Sociale]],Tableau6[],1,1)</f>
        <v>WILLAYA GOLD</v>
      </c>
      <c r="R606" s="56" t="s">
        <v>8</v>
      </c>
    </row>
    <row r="607" spans="1:18" s="57" customFormat="1" x14ac:dyDescent="0.35">
      <c r="A607" s="53" t="s">
        <v>8</v>
      </c>
      <c r="B607" s="54" t="s">
        <v>15121</v>
      </c>
      <c r="C607" s="54" t="s">
        <v>1191</v>
      </c>
      <c r="D607" s="55" t="s">
        <v>1189</v>
      </c>
      <c r="E607" s="55">
        <v>5</v>
      </c>
      <c r="F607" s="55">
        <v>5</v>
      </c>
      <c r="G607" s="54" t="s">
        <v>17</v>
      </c>
      <c r="H607" s="54"/>
      <c r="I607" s="54">
        <v>0</v>
      </c>
      <c r="J607" s="54" t="s">
        <v>12</v>
      </c>
      <c r="K607" s="54" t="s">
        <v>12</v>
      </c>
      <c r="L607" s="54" t="s">
        <v>7</v>
      </c>
      <c r="M607" s="25"/>
      <c r="N607" s="56" t="str">
        <f>IFERROR(VLOOKUP(Tableau3[[#This Row],[Denomination Sociale]],Tableau7[],1,0),"")</f>
        <v/>
      </c>
      <c r="O607" s="56" t="e">
        <f>VLOOKUP(Tableau3[[#This Row],[Denomination Sociale]],Tableau6[],1,0)</f>
        <v>#N/A</v>
      </c>
      <c r="P607" s="56"/>
      <c r="Q607" s="56" t="str">
        <f>VLOOKUP(Tableau3[[#This Row],[Denomination Sociale]],Tableau6[],1,1)</f>
        <v>WILLAYA GOLD</v>
      </c>
      <c r="R607" s="56" t="s">
        <v>8</v>
      </c>
    </row>
    <row r="608" spans="1:18" s="57" customFormat="1" x14ac:dyDescent="0.35">
      <c r="A608" s="53" t="s">
        <v>8</v>
      </c>
      <c r="B608" s="54" t="s">
        <v>15121</v>
      </c>
      <c r="C608" s="54" t="s">
        <v>1192</v>
      </c>
      <c r="D608" s="55" t="s">
        <v>1189</v>
      </c>
      <c r="E608" s="55">
        <v>5</v>
      </c>
      <c r="F608" s="55">
        <v>5</v>
      </c>
      <c r="G608" s="54" t="s">
        <v>17</v>
      </c>
      <c r="H608" s="54"/>
      <c r="I608" s="54">
        <v>0</v>
      </c>
      <c r="J608" s="54" t="s">
        <v>12</v>
      </c>
      <c r="K608" s="54" t="s">
        <v>12</v>
      </c>
      <c r="L608" s="54" t="s">
        <v>7</v>
      </c>
      <c r="M608" s="25"/>
      <c r="N608" s="56" t="str">
        <f>IFERROR(VLOOKUP(Tableau3[[#This Row],[Denomination Sociale]],Tableau7[],1,0),"")</f>
        <v/>
      </c>
      <c r="O608" s="56" t="e">
        <f>VLOOKUP(Tableau3[[#This Row],[Denomination Sociale]],Tableau6[],1,0)</f>
        <v>#N/A</v>
      </c>
      <c r="P608" s="56"/>
      <c r="Q608" s="56" t="str">
        <f>VLOOKUP(Tableau3[[#This Row],[Denomination Sociale]],Tableau6[],1,1)</f>
        <v>WILLAYA GOLD</v>
      </c>
      <c r="R608" s="56" t="s">
        <v>8</v>
      </c>
    </row>
    <row r="609" spans="1:18" s="57" customFormat="1" x14ac:dyDescent="0.35">
      <c r="A609" s="53" t="s">
        <v>8</v>
      </c>
      <c r="B609" s="54" t="s">
        <v>15121</v>
      </c>
      <c r="C609" s="54" t="s">
        <v>1193</v>
      </c>
      <c r="D609" s="55" t="s">
        <v>1189</v>
      </c>
      <c r="E609" s="55">
        <v>5</v>
      </c>
      <c r="F609" s="55">
        <v>5</v>
      </c>
      <c r="G609" s="54" t="s">
        <v>17</v>
      </c>
      <c r="H609" s="54"/>
      <c r="I609" s="54">
        <v>0</v>
      </c>
      <c r="J609" s="54" t="s">
        <v>12</v>
      </c>
      <c r="K609" s="54" t="s">
        <v>12</v>
      </c>
      <c r="L609" s="54" t="s">
        <v>7</v>
      </c>
      <c r="M609" s="25"/>
      <c r="N609" s="56" t="str">
        <f>IFERROR(VLOOKUP(Tableau3[[#This Row],[Denomination Sociale]],Tableau7[],1,0),"")</f>
        <v/>
      </c>
      <c r="O609" s="56" t="e">
        <f>VLOOKUP(Tableau3[[#This Row],[Denomination Sociale]],Tableau6[],1,0)</f>
        <v>#N/A</v>
      </c>
      <c r="P609" s="56"/>
      <c r="Q609" s="56" t="str">
        <f>VLOOKUP(Tableau3[[#This Row],[Denomination Sociale]],Tableau6[],1,1)</f>
        <v>WILLAYA GOLD</v>
      </c>
      <c r="R609" s="56" t="s">
        <v>8</v>
      </c>
    </row>
    <row r="610" spans="1:18" s="57" customFormat="1" x14ac:dyDescent="0.35">
      <c r="A610" s="53" t="s">
        <v>8</v>
      </c>
      <c r="B610" s="54" t="s">
        <v>15121</v>
      </c>
      <c r="C610" s="54" t="s">
        <v>1194</v>
      </c>
      <c r="D610" s="55" t="s">
        <v>1189</v>
      </c>
      <c r="E610" s="55">
        <v>10</v>
      </c>
      <c r="F610" s="55">
        <v>10</v>
      </c>
      <c r="G610" s="54" t="s">
        <v>17</v>
      </c>
      <c r="H610" s="54"/>
      <c r="I610" s="54">
        <v>0</v>
      </c>
      <c r="J610" s="54" t="s">
        <v>12</v>
      </c>
      <c r="K610" s="54" t="s">
        <v>12</v>
      </c>
      <c r="L610" s="54" t="s">
        <v>7</v>
      </c>
      <c r="M610" s="25"/>
      <c r="N610" s="56" t="str">
        <f>IFERROR(VLOOKUP(Tableau3[[#This Row],[Denomination Sociale]],Tableau7[],1,0),"")</f>
        <v/>
      </c>
      <c r="O610" s="56" t="e">
        <f>VLOOKUP(Tableau3[[#This Row],[Denomination Sociale]],Tableau6[],1,0)</f>
        <v>#N/A</v>
      </c>
      <c r="P610" s="56"/>
      <c r="Q610" s="56" t="str">
        <f>VLOOKUP(Tableau3[[#This Row],[Denomination Sociale]],Tableau6[],1,1)</f>
        <v>WILLAYA GOLD</v>
      </c>
      <c r="R610" s="56" t="s">
        <v>8</v>
      </c>
    </row>
    <row r="611" spans="1:18" s="57" customFormat="1" x14ac:dyDescent="0.35">
      <c r="A611" s="53" t="s">
        <v>8</v>
      </c>
      <c r="B611" s="54" t="s">
        <v>809</v>
      </c>
      <c r="C611" s="54" t="s">
        <v>810</v>
      </c>
      <c r="D611" s="55" t="s">
        <v>811</v>
      </c>
      <c r="E611" s="55" t="s">
        <v>12</v>
      </c>
      <c r="F611" s="55">
        <v>25</v>
      </c>
      <c r="G611" s="54" t="s">
        <v>17</v>
      </c>
      <c r="H611" s="54" t="s">
        <v>17</v>
      </c>
      <c r="I611" s="54" t="s">
        <v>12</v>
      </c>
      <c r="J611" s="54">
        <v>0</v>
      </c>
      <c r="K611" s="54" t="s">
        <v>12</v>
      </c>
      <c r="L611" s="54" t="s">
        <v>7</v>
      </c>
      <c r="M611" s="25"/>
      <c r="N611" s="56" t="str">
        <f>IFERROR(VLOOKUP(Tableau3[[#This Row],[Denomination Sociale]],Tableau7[],1,0),"")</f>
        <v/>
      </c>
      <c r="O611" s="56" t="e">
        <f>VLOOKUP(Tableau3[[#This Row],[Denomination Sociale]],Tableau6[],1,0)</f>
        <v>#N/A</v>
      </c>
      <c r="P611" s="56"/>
      <c r="Q611" s="56" t="str">
        <f>VLOOKUP(Tableau3[[#This Row],[Denomination Sociale]],Tableau6[],1,1)</f>
        <v>WILLAYA GOLD</v>
      </c>
      <c r="R611" s="56" t="s">
        <v>8</v>
      </c>
    </row>
    <row r="612" spans="1:18" s="57" customFormat="1" x14ac:dyDescent="0.35">
      <c r="A612" s="53" t="s">
        <v>8</v>
      </c>
      <c r="B612" s="54" t="s">
        <v>809</v>
      </c>
      <c r="C612" s="54" t="s">
        <v>812</v>
      </c>
      <c r="D612" s="55" t="s">
        <v>811</v>
      </c>
      <c r="E612" s="55" t="s">
        <v>12</v>
      </c>
      <c r="F612" s="55">
        <v>25</v>
      </c>
      <c r="G612" s="54" t="s">
        <v>813</v>
      </c>
      <c r="H612" s="54" t="s">
        <v>813</v>
      </c>
      <c r="I612" s="54" t="s">
        <v>12</v>
      </c>
      <c r="J612" s="54">
        <v>0</v>
      </c>
      <c r="K612" s="54" t="s">
        <v>12</v>
      </c>
      <c r="L612" s="54" t="s">
        <v>7</v>
      </c>
      <c r="M612" s="25"/>
      <c r="N612" s="56" t="str">
        <f>IFERROR(VLOOKUP(Tableau3[[#This Row],[Denomination Sociale]],Tableau7[],1,0),"")</f>
        <v/>
      </c>
      <c r="O612" s="56" t="e">
        <f>VLOOKUP(Tableau3[[#This Row],[Denomination Sociale]],Tableau6[],1,0)</f>
        <v>#N/A</v>
      </c>
      <c r="P612" s="56"/>
      <c r="Q612" s="56" t="str">
        <f>VLOOKUP(Tableau3[[#This Row],[Denomination Sociale]],Tableau6[],1,1)</f>
        <v>WILLAYA GOLD</v>
      </c>
      <c r="R612" s="56" t="s">
        <v>8</v>
      </c>
    </row>
    <row r="613" spans="1:18" s="57" customFormat="1" x14ac:dyDescent="0.35">
      <c r="A613" s="53" t="s">
        <v>8</v>
      </c>
      <c r="B613" s="54" t="s">
        <v>809</v>
      </c>
      <c r="C613" s="54" t="s">
        <v>814</v>
      </c>
      <c r="D613" s="55" t="s">
        <v>811</v>
      </c>
      <c r="E613" s="55" t="s">
        <v>12</v>
      </c>
      <c r="F613" s="55">
        <v>25</v>
      </c>
      <c r="G613" s="54" t="s">
        <v>160</v>
      </c>
      <c r="H613" s="54" t="s">
        <v>160</v>
      </c>
      <c r="I613" s="54" t="s">
        <v>12</v>
      </c>
      <c r="J613" s="54">
        <v>0</v>
      </c>
      <c r="K613" s="54" t="s">
        <v>12</v>
      </c>
      <c r="L613" s="54" t="s">
        <v>7</v>
      </c>
      <c r="M613" s="25"/>
      <c r="N613" s="56" t="str">
        <f>IFERROR(VLOOKUP(Tableau3[[#This Row],[Denomination Sociale]],Tableau7[],1,0),"")</f>
        <v/>
      </c>
      <c r="O613" s="56" t="e">
        <f>VLOOKUP(Tableau3[[#This Row],[Denomination Sociale]],Tableau6[],1,0)</f>
        <v>#N/A</v>
      </c>
      <c r="P613" s="56"/>
      <c r="Q613" s="56" t="str">
        <f>VLOOKUP(Tableau3[[#This Row],[Denomination Sociale]],Tableau6[],1,1)</f>
        <v>WILLAYA GOLD</v>
      </c>
      <c r="R613" s="56" t="s">
        <v>8</v>
      </c>
    </row>
    <row r="614" spans="1:18" s="57" customFormat="1" x14ac:dyDescent="0.35">
      <c r="A614" s="53" t="s">
        <v>8</v>
      </c>
      <c r="B614" s="54" t="s">
        <v>809</v>
      </c>
      <c r="C614" s="54" t="s">
        <v>815</v>
      </c>
      <c r="D614" s="55" t="s">
        <v>811</v>
      </c>
      <c r="E614" s="55" t="s">
        <v>12</v>
      </c>
      <c r="F614" s="55">
        <v>25</v>
      </c>
      <c r="G614" s="54" t="s">
        <v>409</v>
      </c>
      <c r="H614" s="54" t="s">
        <v>409</v>
      </c>
      <c r="I614" s="54" t="s">
        <v>12</v>
      </c>
      <c r="J614" s="54">
        <v>0</v>
      </c>
      <c r="K614" s="54" t="s">
        <v>12</v>
      </c>
      <c r="L614" s="54" t="s">
        <v>7</v>
      </c>
      <c r="M614" s="25"/>
      <c r="N614" s="56" t="str">
        <f>IFERROR(VLOOKUP(Tableau3[[#This Row],[Denomination Sociale]],Tableau7[],1,0),"")</f>
        <v/>
      </c>
      <c r="O614" s="56" t="e">
        <f>VLOOKUP(Tableau3[[#This Row],[Denomination Sociale]],Tableau6[],1,0)</f>
        <v>#N/A</v>
      </c>
      <c r="P614" s="56"/>
      <c r="Q614" s="56" t="str">
        <f>VLOOKUP(Tableau3[[#This Row],[Denomination Sociale]],Tableau6[],1,1)</f>
        <v>WILLAYA GOLD</v>
      </c>
      <c r="R614" s="56" t="s">
        <v>8</v>
      </c>
    </row>
    <row r="615" spans="1:18" x14ac:dyDescent="0.35">
      <c r="A615" s="24" t="s">
        <v>8</v>
      </c>
      <c r="B615" s="1" t="s">
        <v>816</v>
      </c>
      <c r="C615" s="1" t="s">
        <v>817</v>
      </c>
      <c r="D615" s="3" t="s">
        <v>818</v>
      </c>
      <c r="E615" s="3">
        <v>33</v>
      </c>
      <c r="F615" s="3">
        <v>33</v>
      </c>
      <c r="G615" s="1" t="s">
        <v>17</v>
      </c>
      <c r="H615" s="1" t="s">
        <v>17</v>
      </c>
      <c r="I615" s="1" t="s">
        <v>12</v>
      </c>
      <c r="J615" s="1">
        <v>0</v>
      </c>
      <c r="K615" s="1" t="s">
        <v>12</v>
      </c>
      <c r="L615" s="1" t="s">
        <v>7</v>
      </c>
      <c r="M615" s="25"/>
      <c r="N615" s="25" t="str">
        <f>IFERROR(VLOOKUP(Tableau3[[#This Row],[Denomination Sociale]],Tableau7[],1,0),"")</f>
        <v/>
      </c>
      <c r="O615" s="25" t="str">
        <f>VLOOKUP(Tableau3[[#This Row],[Denomination Sociale]],Tableau6[],1,0)</f>
        <v>X.W.O</v>
      </c>
      <c r="P615" s="25" t="s">
        <v>816</v>
      </c>
      <c r="Q615" s="25" t="str">
        <f>VLOOKUP(Tableau3[[#This Row],[Denomination Sociale]],Tableau6[],1,1)</f>
        <v>X.W.O</v>
      </c>
      <c r="R615" s="25" t="s">
        <v>8</v>
      </c>
    </row>
    <row r="616" spans="1:18" x14ac:dyDescent="0.35">
      <c r="A616" s="24" t="s">
        <v>8</v>
      </c>
      <c r="B616" s="1" t="s">
        <v>816</v>
      </c>
      <c r="C616" s="1" t="s">
        <v>819</v>
      </c>
      <c r="D616" s="3" t="s">
        <v>818</v>
      </c>
      <c r="E616" s="3">
        <v>33</v>
      </c>
      <c r="F616" s="3">
        <v>33</v>
      </c>
      <c r="G616" s="1" t="s">
        <v>17</v>
      </c>
      <c r="H616" s="1" t="s">
        <v>17</v>
      </c>
      <c r="I616" s="1" t="s">
        <v>12</v>
      </c>
      <c r="J616" s="1">
        <v>0</v>
      </c>
      <c r="K616" s="1" t="s">
        <v>12</v>
      </c>
      <c r="L616" s="1" t="s">
        <v>7</v>
      </c>
      <c r="M616" s="25"/>
      <c r="N616" s="25" t="str">
        <f>IFERROR(VLOOKUP(Tableau3[[#This Row],[Denomination Sociale]],Tableau7[],1,0),"")</f>
        <v/>
      </c>
      <c r="O616" s="25" t="str">
        <f>VLOOKUP(Tableau3[[#This Row],[Denomination Sociale]],Tableau6[],1,0)</f>
        <v>X.W.O</v>
      </c>
      <c r="P616" s="25" t="s">
        <v>816</v>
      </c>
      <c r="Q616" s="25" t="str">
        <f>VLOOKUP(Tableau3[[#This Row],[Denomination Sociale]],Tableau6[],1,1)</f>
        <v>X.W.O</v>
      </c>
      <c r="R616" s="25" t="s">
        <v>8</v>
      </c>
    </row>
    <row r="617" spans="1:18" x14ac:dyDescent="0.35">
      <c r="A617" s="24" t="s">
        <v>8</v>
      </c>
      <c r="B617" s="1" t="s">
        <v>816</v>
      </c>
      <c r="C617" s="1" t="s">
        <v>114</v>
      </c>
      <c r="D617" s="3" t="s">
        <v>818</v>
      </c>
      <c r="E617" s="3">
        <v>34</v>
      </c>
      <c r="F617" s="3">
        <v>34</v>
      </c>
      <c r="G617" s="1" t="s">
        <v>17</v>
      </c>
      <c r="H617" s="1" t="s">
        <v>17</v>
      </c>
      <c r="I617" s="1" t="s">
        <v>12</v>
      </c>
      <c r="J617" s="1">
        <v>0</v>
      </c>
      <c r="K617" s="1" t="s">
        <v>12</v>
      </c>
      <c r="L617" s="1" t="s">
        <v>7</v>
      </c>
      <c r="M617" s="25"/>
      <c r="N617" s="25" t="str">
        <f>IFERROR(VLOOKUP(Tableau3[[#This Row],[Denomination Sociale]],Tableau7[],1,0),"")</f>
        <v/>
      </c>
      <c r="O617" s="25" t="str">
        <f>VLOOKUP(Tableau3[[#This Row],[Denomination Sociale]],Tableau6[],1,0)</f>
        <v>X.W.O</v>
      </c>
      <c r="P617" s="25" t="s">
        <v>816</v>
      </c>
      <c r="Q617" s="25" t="str">
        <f>VLOOKUP(Tableau3[[#This Row],[Denomination Sociale]],Tableau6[],1,1)</f>
        <v>X.W.O</v>
      </c>
      <c r="R617" s="25" t="s">
        <v>8</v>
      </c>
    </row>
    <row r="618" spans="1:18" x14ac:dyDescent="0.35">
      <c r="A618" s="24" t="s">
        <v>8</v>
      </c>
      <c r="B618" s="1" t="s">
        <v>820</v>
      </c>
      <c r="C618" s="1" t="s">
        <v>543</v>
      </c>
      <c r="D618" s="3" t="s">
        <v>821</v>
      </c>
      <c r="E618" s="3">
        <v>20</v>
      </c>
      <c r="F618" s="3">
        <v>20</v>
      </c>
      <c r="G618" s="1" t="s">
        <v>17</v>
      </c>
      <c r="H618" s="1" t="s">
        <v>17</v>
      </c>
      <c r="I618" s="1" t="s">
        <v>12</v>
      </c>
      <c r="J618" s="1">
        <v>0</v>
      </c>
      <c r="K618" s="1" t="s">
        <v>12</v>
      </c>
      <c r="L618" s="1" t="s">
        <v>7</v>
      </c>
      <c r="M618" s="25"/>
      <c r="N618" s="25" t="str">
        <f>IFERROR(VLOOKUP(Tableau3[[#This Row],[Denomination Sociale]],Tableau7[],1,0),"")</f>
        <v/>
      </c>
      <c r="O618" s="25" t="str">
        <f>VLOOKUP(Tableau3[[#This Row],[Denomination Sociale]],Tableau6[],1,0)</f>
        <v>XINJIN ZIRCONIUM INDUSTRY</v>
      </c>
      <c r="P618" s="25" t="s">
        <v>820</v>
      </c>
      <c r="Q618" s="25" t="str">
        <f>VLOOKUP(Tableau3[[#This Row],[Denomination Sociale]],Tableau6[],1,1)</f>
        <v>XINJIN ZIRCONIUM INDUSTRY</v>
      </c>
      <c r="R618" s="25" t="s">
        <v>8</v>
      </c>
    </row>
    <row r="619" spans="1:18" x14ac:dyDescent="0.35">
      <c r="A619" s="24" t="s">
        <v>8</v>
      </c>
      <c r="B619" s="1" t="s">
        <v>820</v>
      </c>
      <c r="C619" s="1" t="s">
        <v>798</v>
      </c>
      <c r="D619" s="3" t="s">
        <v>821</v>
      </c>
      <c r="E619" s="3">
        <v>20</v>
      </c>
      <c r="F619" s="3">
        <v>20</v>
      </c>
      <c r="G619" s="1" t="s">
        <v>822</v>
      </c>
      <c r="H619" s="1" t="s">
        <v>822</v>
      </c>
      <c r="I619" s="1" t="s">
        <v>12</v>
      </c>
      <c r="J619" s="1">
        <v>0</v>
      </c>
      <c r="K619" s="1" t="s">
        <v>12</v>
      </c>
      <c r="L619" s="1" t="s">
        <v>7</v>
      </c>
      <c r="M619" s="25"/>
      <c r="N619" s="25" t="str">
        <f>IFERROR(VLOOKUP(Tableau3[[#This Row],[Denomination Sociale]],Tableau7[],1,0),"")</f>
        <v/>
      </c>
      <c r="O619" s="25" t="str">
        <f>VLOOKUP(Tableau3[[#This Row],[Denomination Sociale]],Tableau6[],1,0)</f>
        <v>XINJIN ZIRCONIUM INDUSTRY</v>
      </c>
      <c r="P619" s="25" t="s">
        <v>820</v>
      </c>
      <c r="Q619" s="25" t="str">
        <f>VLOOKUP(Tableau3[[#This Row],[Denomination Sociale]],Tableau6[],1,1)</f>
        <v>XINJIN ZIRCONIUM INDUSTRY</v>
      </c>
      <c r="R619" s="25" t="s">
        <v>8</v>
      </c>
    </row>
    <row r="620" spans="1:18" x14ac:dyDescent="0.35">
      <c r="A620" s="24" t="s">
        <v>8</v>
      </c>
      <c r="B620" s="1" t="s">
        <v>820</v>
      </c>
      <c r="C620" s="1" t="s">
        <v>538</v>
      </c>
      <c r="D620" s="3" t="s">
        <v>821</v>
      </c>
      <c r="E620" s="3">
        <v>60</v>
      </c>
      <c r="F620" s="3">
        <v>60</v>
      </c>
      <c r="G620" s="1" t="s">
        <v>17</v>
      </c>
      <c r="H620" s="1" t="s">
        <v>17</v>
      </c>
      <c r="I620" s="1" t="s">
        <v>12</v>
      </c>
      <c r="J620" s="1">
        <v>0</v>
      </c>
      <c r="K620" s="1" t="s">
        <v>12</v>
      </c>
      <c r="L620" s="1" t="s">
        <v>7</v>
      </c>
      <c r="M620" s="25"/>
      <c r="N620" s="25" t="str">
        <f>IFERROR(VLOOKUP(Tableau3[[#This Row],[Denomination Sociale]],Tableau7[],1,0),"")</f>
        <v/>
      </c>
      <c r="O620" s="25" t="str">
        <f>VLOOKUP(Tableau3[[#This Row],[Denomination Sociale]],Tableau6[],1,0)</f>
        <v>XINJIN ZIRCONIUM INDUSTRY</v>
      </c>
      <c r="P620" s="25" t="s">
        <v>820</v>
      </c>
      <c r="Q620" s="25" t="str">
        <f>VLOOKUP(Tableau3[[#This Row],[Denomination Sociale]],Tableau6[],1,1)</f>
        <v>XINJIN ZIRCONIUM INDUSTRY</v>
      </c>
      <c r="R620" s="25" t="s">
        <v>8</v>
      </c>
    </row>
    <row r="621" spans="1:18" x14ac:dyDescent="0.35">
      <c r="A621" s="24" t="s">
        <v>8</v>
      </c>
      <c r="B621" s="1" t="s">
        <v>823</v>
      </c>
      <c r="C621" s="1" t="s">
        <v>824</v>
      </c>
      <c r="D621" s="3" t="s">
        <v>825</v>
      </c>
      <c r="E621" s="3">
        <v>14</v>
      </c>
      <c r="F621" s="3" t="s">
        <v>12</v>
      </c>
      <c r="G621" s="1" t="s">
        <v>17</v>
      </c>
      <c r="H621" s="1" t="s">
        <v>17</v>
      </c>
      <c r="I621" s="1" t="s">
        <v>12</v>
      </c>
      <c r="J621" s="1">
        <v>0</v>
      </c>
      <c r="K621" s="1" t="s">
        <v>12</v>
      </c>
      <c r="L621" s="1" t="s">
        <v>7</v>
      </c>
      <c r="M621" s="25"/>
      <c r="N621" s="25" t="str">
        <f>IFERROR(VLOOKUP(Tableau3[[#This Row],[Denomination Sociale]],Tableau7[],1,0),"")</f>
        <v/>
      </c>
      <c r="O621" s="25" t="str">
        <f>VLOOKUP(Tableau3[[#This Row],[Denomination Sociale]],Tableau6[],1,0)</f>
        <v>YELLOW GROUND SENEGAL SAS</v>
      </c>
      <c r="P621" s="25" t="s">
        <v>823</v>
      </c>
      <c r="Q621" s="25" t="str">
        <f>VLOOKUP(Tableau3[[#This Row],[Denomination Sociale]],Tableau6[],1,1)</f>
        <v>YELLOW GROUND SENEGAL SAS</v>
      </c>
      <c r="R621" s="25" t="s">
        <v>8</v>
      </c>
    </row>
    <row r="622" spans="1:18" x14ac:dyDescent="0.35">
      <c r="A622" s="24" t="s">
        <v>8</v>
      </c>
      <c r="B622" s="1" t="s">
        <v>823</v>
      </c>
      <c r="C622" s="1" t="s">
        <v>826</v>
      </c>
      <c r="D622" s="3" t="s">
        <v>825</v>
      </c>
      <c r="E622" s="3">
        <v>30</v>
      </c>
      <c r="F622" s="3" t="s">
        <v>12</v>
      </c>
      <c r="G622" s="1" t="s">
        <v>139</v>
      </c>
      <c r="H622" s="1" t="s">
        <v>139</v>
      </c>
      <c r="I622" s="1" t="s">
        <v>12</v>
      </c>
      <c r="J622" s="1">
        <v>0</v>
      </c>
      <c r="K622" s="1" t="s">
        <v>12</v>
      </c>
      <c r="L622" s="1" t="s">
        <v>7</v>
      </c>
      <c r="M622" s="25"/>
      <c r="N622" s="25" t="str">
        <f>IFERROR(VLOOKUP(Tableau3[[#This Row],[Denomination Sociale]],Tableau7[],1,0),"")</f>
        <v/>
      </c>
      <c r="O622" s="25" t="str">
        <f>VLOOKUP(Tableau3[[#This Row],[Denomination Sociale]],Tableau6[],1,0)</f>
        <v>YELLOW GROUND SENEGAL SAS</v>
      </c>
      <c r="P622" s="25" t="s">
        <v>823</v>
      </c>
      <c r="Q622" s="25" t="str">
        <f>VLOOKUP(Tableau3[[#This Row],[Denomination Sociale]],Tableau6[],1,1)</f>
        <v>YELLOW GROUND SENEGAL SAS</v>
      </c>
      <c r="R622" s="25" t="s">
        <v>8</v>
      </c>
    </row>
    <row r="623" spans="1:18" x14ac:dyDescent="0.35">
      <c r="A623" s="24" t="s">
        <v>8</v>
      </c>
      <c r="B623" s="1" t="s">
        <v>823</v>
      </c>
      <c r="C623" s="1" t="s">
        <v>827</v>
      </c>
      <c r="D623" s="3" t="s">
        <v>825</v>
      </c>
      <c r="E623" s="3">
        <v>14</v>
      </c>
      <c r="F623" s="3" t="s">
        <v>12</v>
      </c>
      <c r="G623" s="1" t="s">
        <v>139</v>
      </c>
      <c r="H623" s="1" t="s">
        <v>139</v>
      </c>
      <c r="I623" s="1" t="s">
        <v>12</v>
      </c>
      <c r="J623" s="1">
        <v>0</v>
      </c>
      <c r="K623" s="1" t="s">
        <v>12</v>
      </c>
      <c r="L623" s="1" t="s">
        <v>7</v>
      </c>
      <c r="M623" s="25"/>
      <c r="N623" s="25" t="str">
        <f>IFERROR(VLOOKUP(Tableau3[[#This Row],[Denomination Sociale]],Tableau7[],1,0),"")</f>
        <v/>
      </c>
      <c r="O623" s="25" t="str">
        <f>VLOOKUP(Tableau3[[#This Row],[Denomination Sociale]],Tableau6[],1,0)</f>
        <v>YELLOW GROUND SENEGAL SAS</v>
      </c>
      <c r="P623" s="25" t="s">
        <v>823</v>
      </c>
      <c r="Q623" s="25" t="str">
        <f>VLOOKUP(Tableau3[[#This Row],[Denomination Sociale]],Tableau6[],1,1)</f>
        <v>YELLOW GROUND SENEGAL SAS</v>
      </c>
      <c r="R623" s="25" t="s">
        <v>8</v>
      </c>
    </row>
    <row r="624" spans="1:18" x14ac:dyDescent="0.35">
      <c r="A624" s="24" t="s">
        <v>8</v>
      </c>
      <c r="B624" s="1" t="s">
        <v>823</v>
      </c>
      <c r="C624" s="1" t="s">
        <v>828</v>
      </c>
      <c r="D624" s="3" t="s">
        <v>825</v>
      </c>
      <c r="E624" s="3">
        <v>14</v>
      </c>
      <c r="F624" s="3" t="s">
        <v>12</v>
      </c>
      <c r="G624" s="1" t="s">
        <v>17</v>
      </c>
      <c r="H624" s="1" t="s">
        <v>17</v>
      </c>
      <c r="I624" s="1" t="s">
        <v>12</v>
      </c>
      <c r="J624" s="1">
        <v>0</v>
      </c>
      <c r="K624" s="1" t="s">
        <v>12</v>
      </c>
      <c r="L624" s="1" t="s">
        <v>7</v>
      </c>
      <c r="M624" s="25"/>
      <c r="N624" s="25" t="str">
        <f>IFERROR(VLOOKUP(Tableau3[[#This Row],[Denomination Sociale]],Tableau7[],1,0),"")</f>
        <v/>
      </c>
      <c r="O624" s="25" t="str">
        <f>VLOOKUP(Tableau3[[#This Row],[Denomination Sociale]],Tableau6[],1,0)</f>
        <v>YELLOW GROUND SENEGAL SAS</v>
      </c>
      <c r="P624" s="25" t="s">
        <v>823</v>
      </c>
      <c r="Q624" s="25" t="str">
        <f>VLOOKUP(Tableau3[[#This Row],[Denomination Sociale]],Tableau6[],1,1)</f>
        <v>YELLOW GROUND SENEGAL SAS</v>
      </c>
      <c r="R624" s="25" t="s">
        <v>8</v>
      </c>
    </row>
    <row r="625" spans="1:18" x14ac:dyDescent="0.35">
      <c r="A625" s="24" t="s">
        <v>8</v>
      </c>
      <c r="B625" s="1" t="s">
        <v>823</v>
      </c>
      <c r="C625" s="1" t="s">
        <v>303</v>
      </c>
      <c r="D625" s="3" t="s">
        <v>825</v>
      </c>
      <c r="E625" s="3">
        <v>13</v>
      </c>
      <c r="F625" s="3" t="s">
        <v>12</v>
      </c>
      <c r="G625" s="1" t="s">
        <v>17</v>
      </c>
      <c r="H625" s="1" t="s">
        <v>17</v>
      </c>
      <c r="I625" s="1" t="s">
        <v>12</v>
      </c>
      <c r="J625" s="1">
        <v>0</v>
      </c>
      <c r="K625" s="1" t="s">
        <v>12</v>
      </c>
      <c r="L625" s="1" t="s">
        <v>7</v>
      </c>
      <c r="M625" s="25"/>
      <c r="N625" s="25" t="str">
        <f>IFERROR(VLOOKUP(Tableau3[[#This Row],[Denomination Sociale]],Tableau7[],1,0),"")</f>
        <v/>
      </c>
      <c r="O625" s="25" t="str">
        <f>VLOOKUP(Tableau3[[#This Row],[Denomination Sociale]],Tableau6[],1,0)</f>
        <v>YELLOW GROUND SENEGAL SAS</v>
      </c>
      <c r="P625" s="25" t="s">
        <v>823</v>
      </c>
      <c r="Q625" s="25" t="str">
        <f>VLOOKUP(Tableau3[[#This Row],[Denomination Sociale]],Tableau6[],1,1)</f>
        <v>YELLOW GROUND SENEGAL SAS</v>
      </c>
      <c r="R625" s="25" t="s">
        <v>8</v>
      </c>
    </row>
    <row r="626" spans="1:18" x14ac:dyDescent="0.35">
      <c r="A626" s="24" t="s">
        <v>8</v>
      </c>
      <c r="B626" s="1" t="s">
        <v>823</v>
      </c>
      <c r="C626" s="1" t="s">
        <v>829</v>
      </c>
      <c r="D626" s="3" t="s">
        <v>825</v>
      </c>
      <c r="E626" s="3">
        <v>15</v>
      </c>
      <c r="F626" s="3" t="s">
        <v>12</v>
      </c>
      <c r="G626" s="1" t="s">
        <v>139</v>
      </c>
      <c r="H626" s="1" t="s">
        <v>139</v>
      </c>
      <c r="I626" s="1" t="s">
        <v>12</v>
      </c>
      <c r="J626" s="1">
        <v>0</v>
      </c>
      <c r="K626" s="1" t="s">
        <v>12</v>
      </c>
      <c r="L626" s="1" t="s">
        <v>7</v>
      </c>
      <c r="M626" s="25"/>
      <c r="N626" s="25" t="str">
        <f>IFERROR(VLOOKUP(Tableau3[[#This Row],[Denomination Sociale]],Tableau7[],1,0),"")</f>
        <v/>
      </c>
      <c r="O626" s="25" t="str">
        <f>VLOOKUP(Tableau3[[#This Row],[Denomination Sociale]],Tableau6[],1,0)</f>
        <v>YELLOW GROUND SENEGAL SAS</v>
      </c>
      <c r="P626" s="25" t="s">
        <v>823</v>
      </c>
      <c r="Q626" s="25" t="str">
        <f>VLOOKUP(Tableau3[[#This Row],[Denomination Sociale]],Tableau6[],1,1)</f>
        <v>YELLOW GROUND SENEGAL SAS</v>
      </c>
      <c r="R626" s="25" t="s">
        <v>8</v>
      </c>
    </row>
    <row r="627" spans="1:18" x14ac:dyDescent="0.35">
      <c r="A627" s="24" t="s">
        <v>8</v>
      </c>
      <c r="B627" s="30" t="s">
        <v>14150</v>
      </c>
      <c r="C627" s="1" t="s">
        <v>831</v>
      </c>
      <c r="D627" s="3" t="s">
        <v>832</v>
      </c>
      <c r="E627" s="3">
        <v>40</v>
      </c>
      <c r="F627" s="3">
        <v>40</v>
      </c>
      <c r="G627" s="1" t="s">
        <v>17</v>
      </c>
      <c r="H627" s="1" t="s">
        <v>17</v>
      </c>
      <c r="I627" s="1" t="s">
        <v>12</v>
      </c>
      <c r="J627" s="1">
        <v>0</v>
      </c>
      <c r="K627" s="1" t="s">
        <v>12</v>
      </c>
      <c r="L627" s="1" t="s">
        <v>7</v>
      </c>
      <c r="M627" s="25"/>
      <c r="N627" s="25" t="str">
        <f>IFERROR(VLOOKUP(Tableau3[[#This Row],[Denomination Sociale]],Tableau7[],1,0),"")</f>
        <v/>
      </c>
      <c r="O627" s="25" t="str">
        <f>VLOOKUP(Tableau3[[#This Row],[Denomination Sociale]],Tableau6[],1,0)</f>
        <v>ZEYNA TRANSPORTS-IMMO-CONSTRUCTIONS</v>
      </c>
      <c r="P627" s="25" t="s">
        <v>14150</v>
      </c>
      <c r="Q627" s="25" t="str">
        <f>VLOOKUP(Tableau3[[#This Row],[Denomination Sociale]],Tableau6[],1,1)</f>
        <v>ZEYNA TRANSPORTS-IMMO-CONSTRUCTIONS</v>
      </c>
      <c r="R627" s="25" t="s">
        <v>8</v>
      </c>
    </row>
    <row r="628" spans="1:18" x14ac:dyDescent="0.35">
      <c r="A628" s="24" t="s">
        <v>8</v>
      </c>
      <c r="B628" s="30" t="s">
        <v>14150</v>
      </c>
      <c r="C628" s="1" t="s">
        <v>833</v>
      </c>
      <c r="D628" s="3" t="s">
        <v>832</v>
      </c>
      <c r="E628" s="3">
        <v>40</v>
      </c>
      <c r="F628" s="3">
        <v>40</v>
      </c>
      <c r="G628" s="1" t="s">
        <v>17</v>
      </c>
      <c r="H628" s="1" t="s">
        <v>17</v>
      </c>
      <c r="I628" s="1" t="s">
        <v>12</v>
      </c>
      <c r="J628" s="1">
        <v>0</v>
      </c>
      <c r="K628" s="1" t="s">
        <v>12</v>
      </c>
      <c r="L628" s="1" t="s">
        <v>7</v>
      </c>
      <c r="M628" s="25"/>
      <c r="N628" s="25" t="str">
        <f>IFERROR(VLOOKUP(Tableau3[[#This Row],[Denomination Sociale]],Tableau7[],1,0),"")</f>
        <v/>
      </c>
      <c r="O628" s="25" t="str">
        <f>VLOOKUP(Tableau3[[#This Row],[Denomination Sociale]],Tableau6[],1,0)</f>
        <v>ZEYNA TRANSPORTS-IMMO-CONSTRUCTIONS</v>
      </c>
      <c r="P628" s="25" t="s">
        <v>14150</v>
      </c>
      <c r="Q628" s="25" t="str">
        <f>VLOOKUP(Tableau3[[#This Row],[Denomination Sociale]],Tableau6[],1,1)</f>
        <v>ZEYNA TRANSPORTS-IMMO-CONSTRUCTIONS</v>
      </c>
      <c r="R628" s="25" t="s">
        <v>8</v>
      </c>
    </row>
    <row r="629" spans="1:18" x14ac:dyDescent="0.35">
      <c r="A629" s="29" t="s">
        <v>8</v>
      </c>
      <c r="B629" s="30" t="s">
        <v>14150</v>
      </c>
      <c r="C629" s="30" t="s">
        <v>834</v>
      </c>
      <c r="D629" s="31" t="s">
        <v>832</v>
      </c>
      <c r="E629" s="31">
        <v>30</v>
      </c>
      <c r="F629" s="31">
        <v>30</v>
      </c>
      <c r="G629" s="30" t="s">
        <v>17</v>
      </c>
      <c r="H629" s="30" t="s">
        <v>17</v>
      </c>
      <c r="I629" s="30" t="s">
        <v>12</v>
      </c>
      <c r="J629" s="30">
        <v>0</v>
      </c>
      <c r="K629" s="30" t="s">
        <v>12</v>
      </c>
      <c r="L629" s="30" t="s">
        <v>7</v>
      </c>
      <c r="M629" s="25"/>
      <c r="N629" s="25" t="str">
        <f>IFERROR(VLOOKUP(Tableau3[[#This Row],[Denomination Sociale]],Tableau7[],1,0),"")</f>
        <v/>
      </c>
      <c r="O629" s="25" t="str">
        <f>VLOOKUP(Tableau3[[#This Row],[Denomination Sociale]],Tableau6[],1,0)</f>
        <v>ZEYNA TRANSPORTS-IMMO-CONSTRUCTIONS</v>
      </c>
      <c r="P629" s="32" t="s">
        <v>14150</v>
      </c>
      <c r="Q629" s="32" t="str">
        <f>VLOOKUP(Tableau3[[#This Row],[Denomination Sociale]],Tableau6[],1,1)</f>
        <v>ZEYNA TRANSPORTS-IMMO-CONSTRUCTIONS</v>
      </c>
      <c r="R629" s="32" t="s">
        <v>8</v>
      </c>
    </row>
  </sheetData>
  <conditionalFormatting sqref="B138">
    <cfRule type="duplicateValues" dxfId="8" priority="3"/>
  </conditionalFormatting>
  <conditionalFormatting sqref="B139:B497 B1:B137 B500:B1048576">
    <cfRule type="duplicateValues" dxfId="7" priority="20"/>
  </conditionalFormatting>
  <conditionalFormatting sqref="B498">
    <cfRule type="duplicateValues" dxfId="6" priority="2"/>
  </conditionalFormatting>
  <conditionalFormatting sqref="B499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D6EB-A739-4A40-BFD5-73A0DB732F8F}">
  <dimension ref="A1:M4111"/>
  <sheetViews>
    <sheetView topLeftCell="D21" zoomScale="44" zoomScaleNormal="63" workbookViewId="0">
      <selection activeCell="C587" sqref="C587"/>
    </sheetView>
  </sheetViews>
  <sheetFormatPr baseColWidth="10" defaultColWidth="8.7265625" defaultRowHeight="14.5" x14ac:dyDescent="0.35"/>
  <cols>
    <col min="1" max="1" width="100.26953125" style="49" customWidth="1"/>
    <col min="2" max="2" width="63.453125" style="49" customWidth="1"/>
    <col min="4" max="4" width="15.26953125" style="49" customWidth="1"/>
    <col min="5" max="5" width="8.90625" style="49" customWidth="1"/>
    <col min="6" max="6" width="80.54296875" style="49" customWidth="1"/>
    <col min="7" max="7" width="28.6328125" style="49" customWidth="1"/>
    <col min="8" max="8" width="13.90625" style="49" customWidth="1"/>
    <col min="9" max="9" width="19.26953125" style="49" customWidth="1"/>
    <col min="10" max="10" width="11.81640625" style="49" customWidth="1"/>
    <col min="11" max="11" width="13.26953125" style="49" customWidth="1"/>
    <col min="12" max="12" width="14.90625" style="49" customWidth="1"/>
    <col min="13" max="13" width="16.26953125" style="49" customWidth="1"/>
    <col min="14" max="16384" width="8.7265625" style="49"/>
  </cols>
  <sheetData>
    <row r="1" spans="1:13" s="48" customFormat="1" x14ac:dyDescent="0.35">
      <c r="A1" s="48" t="s">
        <v>14799</v>
      </c>
      <c r="B1" s="48" t="s">
        <v>2760</v>
      </c>
      <c r="C1" s="48" t="s">
        <v>2761</v>
      </c>
      <c r="D1" s="48" t="s">
        <v>2763</v>
      </c>
      <c r="E1" s="48" t="s">
        <v>2764</v>
      </c>
      <c r="F1" s="48" t="s">
        <v>2765</v>
      </c>
      <c r="G1" s="48" t="s">
        <v>1252</v>
      </c>
      <c r="H1" s="48" t="s">
        <v>0</v>
      </c>
      <c r="I1" s="48" t="s">
        <v>2766</v>
      </c>
      <c r="J1" s="48" t="s">
        <v>2767</v>
      </c>
      <c r="K1" s="48" t="s">
        <v>2768</v>
      </c>
      <c r="L1" s="48" t="s">
        <v>2769</v>
      </c>
      <c r="M1" s="48" t="s">
        <v>2770</v>
      </c>
    </row>
    <row r="2" spans="1:13" x14ac:dyDescent="0.35">
      <c r="A2" s="49" t="s">
        <v>14702</v>
      </c>
      <c r="B2" s="49" t="s">
        <v>3965</v>
      </c>
      <c r="C2" s="49" t="s">
        <v>3966</v>
      </c>
      <c r="D2" s="49" t="s">
        <v>1264</v>
      </c>
      <c r="E2" s="49" t="s">
        <v>3748</v>
      </c>
      <c r="F2" s="49" t="s">
        <v>2792</v>
      </c>
      <c r="G2" s="49" t="s">
        <v>2901</v>
      </c>
      <c r="H2" s="49" t="s">
        <v>3207</v>
      </c>
      <c r="I2" s="50">
        <v>43832</v>
      </c>
      <c r="J2" s="50">
        <v>43879</v>
      </c>
      <c r="K2" s="50">
        <v>45706</v>
      </c>
      <c r="M2" s="49" t="s">
        <v>3967</v>
      </c>
    </row>
    <row r="3" spans="1:13" x14ac:dyDescent="0.35">
      <c r="A3" s="49" t="s">
        <v>14702</v>
      </c>
      <c r="B3" s="49" t="s">
        <v>5484</v>
      </c>
      <c r="C3" s="49"/>
      <c r="D3" s="49" t="s">
        <v>1264</v>
      </c>
      <c r="E3" s="49" t="s">
        <v>2785</v>
      </c>
      <c r="F3" s="49" t="s">
        <v>2786</v>
      </c>
      <c r="G3" s="49" t="s">
        <v>2787</v>
      </c>
      <c r="H3" s="49" t="s">
        <v>8</v>
      </c>
      <c r="I3" s="50">
        <v>44830</v>
      </c>
      <c r="J3" s="50">
        <v>44879</v>
      </c>
      <c r="K3" s="50">
        <v>45428</v>
      </c>
      <c r="M3" s="49" t="s">
        <v>5485</v>
      </c>
    </row>
    <row r="4" spans="1:13" x14ac:dyDescent="0.35">
      <c r="A4" s="49" t="s">
        <v>14702</v>
      </c>
      <c r="B4" s="49" t="s">
        <v>5506</v>
      </c>
      <c r="C4" s="49" t="s">
        <v>2867</v>
      </c>
      <c r="D4" s="49" t="s">
        <v>1264</v>
      </c>
      <c r="E4" s="49" t="s">
        <v>2785</v>
      </c>
      <c r="F4" s="49" t="s">
        <v>2792</v>
      </c>
      <c r="G4" s="49" t="s">
        <v>2787</v>
      </c>
      <c r="H4" s="49" t="s">
        <v>8</v>
      </c>
      <c r="I4" s="50">
        <v>44929</v>
      </c>
      <c r="J4" s="50">
        <v>44994</v>
      </c>
      <c r="K4" s="50">
        <v>45359</v>
      </c>
      <c r="M4" s="49" t="s">
        <v>5507</v>
      </c>
    </row>
    <row r="5" spans="1:13" x14ac:dyDescent="0.35">
      <c r="A5" s="49" t="s">
        <v>14702</v>
      </c>
      <c r="B5" s="49" t="s">
        <v>9389</v>
      </c>
      <c r="C5" s="49"/>
      <c r="D5" s="49" t="s">
        <v>1264</v>
      </c>
      <c r="E5" s="49" t="s">
        <v>2785</v>
      </c>
      <c r="F5" s="49" t="s">
        <v>2786</v>
      </c>
      <c r="G5" s="49" t="s">
        <v>2776</v>
      </c>
      <c r="H5" s="49" t="s">
        <v>8</v>
      </c>
      <c r="I5" s="50">
        <v>43375</v>
      </c>
      <c r="M5" s="49" t="s">
        <v>9390</v>
      </c>
    </row>
    <row r="6" spans="1:13" x14ac:dyDescent="0.35">
      <c r="A6" s="49" t="s">
        <v>14702</v>
      </c>
      <c r="B6" s="49" t="s">
        <v>10465</v>
      </c>
      <c r="C6" s="49"/>
      <c r="D6" s="49" t="s">
        <v>1264</v>
      </c>
      <c r="E6" s="49" t="s">
        <v>2814</v>
      </c>
      <c r="G6" s="49" t="s">
        <v>2826</v>
      </c>
      <c r="M6" s="49" t="s">
        <v>8885</v>
      </c>
    </row>
    <row r="7" spans="1:13" x14ac:dyDescent="0.35">
      <c r="A7" s="49" t="s">
        <v>14864</v>
      </c>
      <c r="B7" s="49" t="s">
        <v>8231</v>
      </c>
      <c r="C7" s="49" t="s">
        <v>8232</v>
      </c>
      <c r="D7" s="49" t="s">
        <v>1264</v>
      </c>
      <c r="E7" s="49" t="s">
        <v>2986</v>
      </c>
      <c r="F7" s="49" t="s">
        <v>2825</v>
      </c>
      <c r="G7" s="49" t="s">
        <v>2787</v>
      </c>
      <c r="H7" s="49" t="s">
        <v>2827</v>
      </c>
      <c r="I7" s="50">
        <v>42668</v>
      </c>
      <c r="J7" s="50">
        <v>42901</v>
      </c>
      <c r="K7" s="50">
        <v>43968</v>
      </c>
      <c r="M7" s="49" t="s">
        <v>3270</v>
      </c>
    </row>
    <row r="8" spans="1:13" x14ac:dyDescent="0.35">
      <c r="A8" s="49" t="s">
        <v>15280</v>
      </c>
      <c r="B8" s="49" t="s">
        <v>10044</v>
      </c>
      <c r="C8" s="49" t="s">
        <v>10045</v>
      </c>
      <c r="D8" s="49" t="s">
        <v>1264</v>
      </c>
      <c r="E8" s="49" t="s">
        <v>2974</v>
      </c>
      <c r="F8" s="49" t="s">
        <v>2825</v>
      </c>
      <c r="G8" s="49" t="s">
        <v>2826</v>
      </c>
      <c r="H8" s="49" t="s">
        <v>2827</v>
      </c>
      <c r="I8" s="50">
        <v>44155</v>
      </c>
      <c r="M8" s="49" t="s">
        <v>10047</v>
      </c>
    </row>
    <row r="9" spans="1:13" x14ac:dyDescent="0.35">
      <c r="A9" s="49" t="s">
        <v>14</v>
      </c>
      <c r="B9" s="49" t="s">
        <v>11155</v>
      </c>
      <c r="C9" s="49"/>
      <c r="D9" s="49" t="s">
        <v>1264</v>
      </c>
      <c r="E9" s="49" t="s">
        <v>2986</v>
      </c>
      <c r="F9" s="49" t="s">
        <v>2825</v>
      </c>
      <c r="G9" s="49" t="s">
        <v>2776</v>
      </c>
      <c r="H9" s="49" t="s">
        <v>2827</v>
      </c>
      <c r="I9" s="50">
        <v>44826</v>
      </c>
      <c r="M9" s="49" t="s">
        <v>11156</v>
      </c>
    </row>
    <row r="10" spans="1:13" x14ac:dyDescent="0.35">
      <c r="A10" s="49" t="s">
        <v>7352</v>
      </c>
      <c r="B10" s="49" t="s">
        <v>7350</v>
      </c>
      <c r="C10" s="49" t="s">
        <v>7351</v>
      </c>
      <c r="D10" s="49" t="s">
        <v>1264</v>
      </c>
      <c r="E10" s="49" t="s">
        <v>2774</v>
      </c>
      <c r="F10" s="49" t="s">
        <v>3681</v>
      </c>
      <c r="G10" s="49" t="s">
        <v>2787</v>
      </c>
      <c r="H10" s="49" t="s">
        <v>2827</v>
      </c>
      <c r="I10" s="50">
        <v>42011</v>
      </c>
      <c r="J10" s="50">
        <v>42388</v>
      </c>
      <c r="K10" s="50">
        <v>43483</v>
      </c>
      <c r="M10" s="49" t="s">
        <v>7353</v>
      </c>
    </row>
    <row r="11" spans="1:13" x14ac:dyDescent="0.35">
      <c r="A11" s="49" t="s">
        <v>7352</v>
      </c>
      <c r="B11" s="49" t="s">
        <v>9939</v>
      </c>
      <c r="C11" s="49" t="s">
        <v>9940</v>
      </c>
      <c r="D11" s="49" t="s">
        <v>1264</v>
      </c>
      <c r="E11" s="49" t="s">
        <v>7057</v>
      </c>
      <c r="F11" s="49" t="s">
        <v>2825</v>
      </c>
      <c r="G11" s="49" t="s">
        <v>2776</v>
      </c>
      <c r="H11" s="49" t="s">
        <v>2827</v>
      </c>
      <c r="I11" s="50">
        <v>42324</v>
      </c>
      <c r="M11" s="49" t="s">
        <v>9941</v>
      </c>
    </row>
    <row r="12" spans="1:13" x14ac:dyDescent="0.35">
      <c r="A12" s="49" t="s">
        <v>7352</v>
      </c>
      <c r="B12" s="49" t="s">
        <v>9982</v>
      </c>
      <c r="C12" s="49" t="s">
        <v>9983</v>
      </c>
      <c r="D12" s="49" t="s">
        <v>1264</v>
      </c>
      <c r="E12" s="49" t="s">
        <v>7057</v>
      </c>
      <c r="F12" s="49" t="s">
        <v>2825</v>
      </c>
      <c r="G12" s="49" t="s">
        <v>2776</v>
      </c>
      <c r="H12" s="49" t="s">
        <v>2827</v>
      </c>
      <c r="I12" s="50">
        <v>42324</v>
      </c>
      <c r="M12" s="49" t="s">
        <v>9984</v>
      </c>
    </row>
    <row r="13" spans="1:13" x14ac:dyDescent="0.35">
      <c r="A13" s="49" t="s">
        <v>14441</v>
      </c>
      <c r="B13" s="49" t="s">
        <v>8555</v>
      </c>
      <c r="C13" s="49" t="s">
        <v>8556</v>
      </c>
      <c r="D13" s="49" t="s">
        <v>1264</v>
      </c>
      <c r="E13" s="49" t="s">
        <v>2774</v>
      </c>
      <c r="F13" s="49" t="s">
        <v>2825</v>
      </c>
      <c r="G13" s="49" t="s">
        <v>2826</v>
      </c>
      <c r="H13" s="49" t="s">
        <v>973</v>
      </c>
      <c r="I13" s="50">
        <v>39486</v>
      </c>
      <c r="J13" s="50">
        <v>40128</v>
      </c>
      <c r="K13" s="50">
        <v>43779</v>
      </c>
      <c r="M13" s="49" t="s">
        <v>8558</v>
      </c>
    </row>
    <row r="14" spans="1:13" x14ac:dyDescent="0.35">
      <c r="A14" s="49" t="s">
        <v>15281</v>
      </c>
      <c r="B14" s="49" t="s">
        <v>5590</v>
      </c>
      <c r="C14" s="49"/>
      <c r="D14" s="49" t="s">
        <v>1264</v>
      </c>
      <c r="E14" s="49" t="s">
        <v>2986</v>
      </c>
      <c r="F14" s="49" t="s">
        <v>2825</v>
      </c>
      <c r="G14" s="49" t="s">
        <v>2901</v>
      </c>
      <c r="H14" s="49" t="s">
        <v>2827</v>
      </c>
      <c r="I14" s="50">
        <v>45083</v>
      </c>
      <c r="J14" s="50">
        <v>45090</v>
      </c>
      <c r="K14" s="50">
        <v>46185</v>
      </c>
      <c r="M14" s="49" t="s">
        <v>5592</v>
      </c>
    </row>
    <row r="15" spans="1:13" x14ac:dyDescent="0.35">
      <c r="A15" s="49" t="s">
        <v>15281</v>
      </c>
      <c r="B15" s="49" t="s">
        <v>11402</v>
      </c>
      <c r="C15" s="49" t="s">
        <v>3768</v>
      </c>
      <c r="D15" s="49" t="s">
        <v>1264</v>
      </c>
      <c r="E15" s="49" t="s">
        <v>3443</v>
      </c>
      <c r="F15" s="49" t="s">
        <v>3124</v>
      </c>
      <c r="G15" s="49" t="s">
        <v>4891</v>
      </c>
      <c r="H15" s="49" t="s">
        <v>980</v>
      </c>
      <c r="I15" s="50">
        <v>45084</v>
      </c>
    </row>
    <row r="16" spans="1:13" x14ac:dyDescent="0.35">
      <c r="A16" s="49" t="s">
        <v>14087</v>
      </c>
      <c r="B16" s="49" t="s">
        <v>3194</v>
      </c>
      <c r="C16" s="49" t="s">
        <v>3195</v>
      </c>
      <c r="D16" s="49" t="s">
        <v>1264</v>
      </c>
      <c r="E16" s="49" t="s">
        <v>2774</v>
      </c>
      <c r="F16" s="49" t="s">
        <v>2825</v>
      </c>
      <c r="G16" s="49" t="s">
        <v>2787</v>
      </c>
      <c r="H16" s="49" t="s">
        <v>2827</v>
      </c>
      <c r="I16" s="50">
        <v>40912</v>
      </c>
      <c r="J16" s="50">
        <v>40948</v>
      </c>
      <c r="K16" s="50">
        <v>42043</v>
      </c>
      <c r="M16" s="49" t="s">
        <v>3197</v>
      </c>
    </row>
    <row r="17" spans="1:13" x14ac:dyDescent="0.35">
      <c r="A17" s="49" t="s">
        <v>15282</v>
      </c>
      <c r="B17" s="49" t="s">
        <v>11771</v>
      </c>
      <c r="C17" s="49"/>
      <c r="D17" s="49" t="s">
        <v>1264</v>
      </c>
      <c r="E17" s="49" t="s">
        <v>2814</v>
      </c>
      <c r="F17" s="49" t="s">
        <v>2837</v>
      </c>
      <c r="G17" s="49" t="s">
        <v>2776</v>
      </c>
      <c r="H17" s="49" t="s">
        <v>980</v>
      </c>
      <c r="I17" s="50">
        <v>45261</v>
      </c>
      <c r="M17" s="49" t="s">
        <v>11773</v>
      </c>
    </row>
    <row r="18" spans="1:13" x14ac:dyDescent="0.35">
      <c r="A18" s="49" t="s">
        <v>18</v>
      </c>
      <c r="B18" s="49" t="s">
        <v>11069</v>
      </c>
      <c r="C18" s="49" t="s">
        <v>11070</v>
      </c>
      <c r="D18" s="49" t="s">
        <v>1264</v>
      </c>
      <c r="E18" s="49" t="s">
        <v>2785</v>
      </c>
      <c r="F18" s="49" t="s">
        <v>2786</v>
      </c>
      <c r="G18" s="49" t="s">
        <v>2776</v>
      </c>
      <c r="H18" s="49" t="s">
        <v>980</v>
      </c>
      <c r="I18" s="50">
        <v>44762</v>
      </c>
      <c r="M18" s="49" t="s">
        <v>11072</v>
      </c>
    </row>
    <row r="19" spans="1:13" x14ac:dyDescent="0.35">
      <c r="A19" s="49" t="s">
        <v>22</v>
      </c>
      <c r="B19" s="49" t="s">
        <v>7514</v>
      </c>
      <c r="C19" s="49" t="s">
        <v>7515</v>
      </c>
      <c r="D19" s="49" t="s">
        <v>1264</v>
      </c>
      <c r="E19" s="49" t="s">
        <v>2785</v>
      </c>
      <c r="F19" s="49" t="s">
        <v>2786</v>
      </c>
      <c r="G19" s="49" t="s">
        <v>2787</v>
      </c>
      <c r="H19" s="49" t="s">
        <v>980</v>
      </c>
      <c r="I19" s="50">
        <v>42086</v>
      </c>
      <c r="J19" s="50">
        <v>42187</v>
      </c>
      <c r="K19" s="50">
        <v>42370</v>
      </c>
      <c r="M19" s="49" t="s">
        <v>7517</v>
      </c>
    </row>
    <row r="20" spans="1:13" x14ac:dyDescent="0.35">
      <c r="A20" s="49" t="s">
        <v>15283</v>
      </c>
      <c r="B20" s="49" t="s">
        <v>13519</v>
      </c>
      <c r="C20" s="49"/>
      <c r="D20" s="49" t="s">
        <v>1264</v>
      </c>
      <c r="E20" s="49" t="s">
        <v>2785</v>
      </c>
      <c r="F20" s="49" t="s">
        <v>2792</v>
      </c>
      <c r="G20" s="49" t="s">
        <v>4891</v>
      </c>
      <c r="H20" s="49" t="s">
        <v>980</v>
      </c>
      <c r="I20" s="52">
        <v>46147.471631944398</v>
      </c>
      <c r="M20" s="49" t="s">
        <v>13521</v>
      </c>
    </row>
    <row r="21" spans="1:13" x14ac:dyDescent="0.35">
      <c r="A21" s="49" t="s">
        <v>24</v>
      </c>
      <c r="B21" s="49" t="s">
        <v>5251</v>
      </c>
      <c r="C21" s="49" t="s">
        <v>5252</v>
      </c>
      <c r="D21" s="49" t="s">
        <v>1264</v>
      </c>
      <c r="E21" s="49" t="s">
        <v>2774</v>
      </c>
      <c r="F21" s="49" t="s">
        <v>5254</v>
      </c>
      <c r="G21" s="49" t="s">
        <v>2901</v>
      </c>
      <c r="H21" s="49" t="s">
        <v>973</v>
      </c>
      <c r="I21" s="50">
        <v>44127</v>
      </c>
      <c r="J21" s="50">
        <v>44747</v>
      </c>
      <c r="K21" s="50">
        <v>46208</v>
      </c>
      <c r="M21" s="49" t="s">
        <v>5255</v>
      </c>
    </row>
    <row r="22" spans="1:13" x14ac:dyDescent="0.35">
      <c r="A22" s="49" t="s">
        <v>24</v>
      </c>
      <c r="B22" s="49" t="s">
        <v>11477</v>
      </c>
      <c r="C22" s="49"/>
      <c r="D22" s="49" t="s">
        <v>1264</v>
      </c>
      <c r="E22" s="49" t="s">
        <v>2814</v>
      </c>
      <c r="F22" s="49" t="s">
        <v>2837</v>
      </c>
      <c r="G22" s="49" t="s">
        <v>4891</v>
      </c>
      <c r="H22" s="49" t="s">
        <v>980</v>
      </c>
      <c r="I22" s="50">
        <v>45121</v>
      </c>
      <c r="M22" s="49" t="s">
        <v>11478</v>
      </c>
    </row>
    <row r="23" spans="1:13" x14ac:dyDescent="0.35">
      <c r="A23" s="49" t="s">
        <v>15284</v>
      </c>
      <c r="B23" s="49" t="s">
        <v>7120</v>
      </c>
      <c r="C23" s="49"/>
      <c r="D23" s="49" t="s">
        <v>1264</v>
      </c>
      <c r="E23" s="49" t="s">
        <v>2785</v>
      </c>
      <c r="F23" s="49" t="s">
        <v>2792</v>
      </c>
      <c r="G23" s="49" t="s">
        <v>2787</v>
      </c>
      <c r="H23" s="49" t="s">
        <v>8</v>
      </c>
      <c r="I23" s="50">
        <v>43026</v>
      </c>
      <c r="J23" s="50">
        <v>43171</v>
      </c>
      <c r="K23" s="50">
        <v>43354</v>
      </c>
      <c r="M23" s="49" t="s">
        <v>7122</v>
      </c>
    </row>
    <row r="24" spans="1:13" x14ac:dyDescent="0.35">
      <c r="A24" s="49" t="s">
        <v>10384</v>
      </c>
      <c r="B24" s="49" t="s">
        <v>10383</v>
      </c>
      <c r="C24" s="49"/>
      <c r="D24" s="49" t="s">
        <v>1264</v>
      </c>
      <c r="E24" s="49" t="s">
        <v>2814</v>
      </c>
      <c r="F24" s="49" t="s">
        <v>2825</v>
      </c>
      <c r="G24" s="49" t="s">
        <v>2776</v>
      </c>
      <c r="H24" s="49" t="s">
        <v>2827</v>
      </c>
      <c r="I24" s="50">
        <v>42719</v>
      </c>
      <c r="M24" s="49" t="s">
        <v>3470</v>
      </c>
    </row>
    <row r="25" spans="1:13" x14ac:dyDescent="0.35">
      <c r="A25" s="49" t="s">
        <v>14779</v>
      </c>
      <c r="B25" s="49" t="s">
        <v>10532</v>
      </c>
      <c r="C25" s="49"/>
      <c r="D25" s="49" t="s">
        <v>1264</v>
      </c>
      <c r="E25" s="49" t="s">
        <v>2814</v>
      </c>
      <c r="F25" s="49" t="s">
        <v>2825</v>
      </c>
      <c r="G25" s="49" t="s">
        <v>2787</v>
      </c>
      <c r="H25" s="49" t="s">
        <v>2827</v>
      </c>
      <c r="I25" s="50">
        <v>42079</v>
      </c>
      <c r="J25" s="50">
        <v>42090</v>
      </c>
      <c r="K25" s="50">
        <v>42273</v>
      </c>
      <c r="M25" s="49" t="s">
        <v>10534</v>
      </c>
    </row>
    <row r="26" spans="1:13" x14ac:dyDescent="0.35">
      <c r="A26" s="49" t="s">
        <v>14761</v>
      </c>
      <c r="B26" s="49" t="s">
        <v>9737</v>
      </c>
      <c r="C26" s="49" t="s">
        <v>9536</v>
      </c>
      <c r="D26" s="49" t="s">
        <v>1264</v>
      </c>
      <c r="E26" s="49" t="s">
        <v>2785</v>
      </c>
      <c r="F26" s="49" t="s">
        <v>2792</v>
      </c>
      <c r="G26" s="49" t="s">
        <v>2776</v>
      </c>
      <c r="H26" s="49" t="s">
        <v>8</v>
      </c>
      <c r="I26" s="50">
        <v>42194</v>
      </c>
      <c r="M26" s="49" t="s">
        <v>9739</v>
      </c>
    </row>
    <row r="27" spans="1:13" x14ac:dyDescent="0.35">
      <c r="A27" s="49" t="s">
        <v>8851</v>
      </c>
      <c r="B27" s="49" t="s">
        <v>8850</v>
      </c>
      <c r="C27" s="49"/>
      <c r="D27" s="49" t="s">
        <v>1264</v>
      </c>
      <c r="E27" s="49" t="s">
        <v>2785</v>
      </c>
      <c r="F27" s="49" t="s">
        <v>2792</v>
      </c>
      <c r="G27" s="49" t="s">
        <v>2787</v>
      </c>
      <c r="H27" s="49" t="s">
        <v>8</v>
      </c>
      <c r="I27" s="50">
        <v>41995</v>
      </c>
      <c r="J27" s="50">
        <v>41227</v>
      </c>
      <c r="K27" s="50">
        <v>41407</v>
      </c>
      <c r="M27" s="49" t="s">
        <v>8852</v>
      </c>
    </row>
    <row r="28" spans="1:13" x14ac:dyDescent="0.35">
      <c r="A28" s="49" t="s">
        <v>8851</v>
      </c>
      <c r="B28" s="49" t="s">
        <v>10037</v>
      </c>
      <c r="C28" s="49"/>
      <c r="D28" s="49" t="s">
        <v>1264</v>
      </c>
      <c r="E28" s="49" t="s">
        <v>2785</v>
      </c>
      <c r="F28" s="49" t="s">
        <v>2792</v>
      </c>
      <c r="G28" s="49" t="s">
        <v>2776</v>
      </c>
      <c r="H28" s="49" t="s">
        <v>8</v>
      </c>
      <c r="I28" s="50">
        <v>41995</v>
      </c>
      <c r="M28" s="49" t="s">
        <v>9060</v>
      </c>
    </row>
    <row r="29" spans="1:13" x14ac:dyDescent="0.35">
      <c r="A29" s="49" t="s">
        <v>14785</v>
      </c>
      <c r="B29" s="49" t="s">
        <v>10769</v>
      </c>
      <c r="C29" s="49"/>
      <c r="D29" s="49" t="s">
        <v>1264</v>
      </c>
      <c r="E29" s="49" t="s">
        <v>2908</v>
      </c>
      <c r="F29" s="49" t="s">
        <v>3010</v>
      </c>
      <c r="G29" s="49" t="s">
        <v>2776</v>
      </c>
      <c r="H29" s="49" t="s">
        <v>973</v>
      </c>
      <c r="I29" s="50">
        <v>41481</v>
      </c>
      <c r="M29" s="49" t="s">
        <v>10771</v>
      </c>
    </row>
    <row r="30" spans="1:13" x14ac:dyDescent="0.35">
      <c r="A30" s="49" t="s">
        <v>14764</v>
      </c>
      <c r="B30" s="49" t="s">
        <v>9842</v>
      </c>
      <c r="C30" s="49"/>
      <c r="D30" s="49" t="s">
        <v>1264</v>
      </c>
      <c r="E30" s="49" t="s">
        <v>2785</v>
      </c>
      <c r="F30" s="49" t="s">
        <v>2792</v>
      </c>
      <c r="G30" s="49" t="s">
        <v>2776</v>
      </c>
      <c r="H30" s="49" t="s">
        <v>8</v>
      </c>
      <c r="I30" s="50">
        <v>42180</v>
      </c>
      <c r="M30" s="49" t="s">
        <v>9844</v>
      </c>
    </row>
    <row r="31" spans="1:13" x14ac:dyDescent="0.35">
      <c r="A31" s="49" t="s">
        <v>14865</v>
      </c>
      <c r="B31" s="49" t="s">
        <v>5535</v>
      </c>
      <c r="C31" s="49" t="s">
        <v>5536</v>
      </c>
      <c r="D31" s="49" t="s">
        <v>1264</v>
      </c>
      <c r="E31" s="49" t="s">
        <v>2785</v>
      </c>
      <c r="F31" s="49" t="s">
        <v>2792</v>
      </c>
      <c r="G31" s="49" t="s">
        <v>4330</v>
      </c>
      <c r="H31" s="49" t="s">
        <v>3207</v>
      </c>
      <c r="I31" s="50">
        <v>45007</v>
      </c>
      <c r="M31" s="49" t="s">
        <v>5538</v>
      </c>
    </row>
    <row r="32" spans="1:13" x14ac:dyDescent="0.35">
      <c r="A32" s="49" t="s">
        <v>14362</v>
      </c>
      <c r="B32" s="49" t="s">
        <v>7535</v>
      </c>
      <c r="C32" s="49" t="s">
        <v>2867</v>
      </c>
      <c r="D32" s="49" t="s">
        <v>1264</v>
      </c>
      <c r="E32" s="49" t="s">
        <v>2785</v>
      </c>
      <c r="F32" s="49" t="s">
        <v>2792</v>
      </c>
      <c r="G32" s="49" t="s">
        <v>2787</v>
      </c>
      <c r="H32" s="49" t="s">
        <v>8</v>
      </c>
      <c r="I32" s="50">
        <v>42291</v>
      </c>
      <c r="J32" s="50">
        <v>42552</v>
      </c>
      <c r="K32" s="50">
        <v>42735</v>
      </c>
      <c r="M32" s="49" t="s">
        <v>7537</v>
      </c>
    </row>
    <row r="33" spans="1:13" x14ac:dyDescent="0.35">
      <c r="A33" s="49" t="s">
        <v>14825</v>
      </c>
      <c r="B33" s="49" t="s">
        <v>9133</v>
      </c>
      <c r="C33" s="49"/>
      <c r="D33" s="49" t="s">
        <v>1264</v>
      </c>
      <c r="E33" s="49" t="s">
        <v>2908</v>
      </c>
      <c r="F33" s="49" t="s">
        <v>2939</v>
      </c>
      <c r="G33" s="49" t="s">
        <v>2776</v>
      </c>
      <c r="H33" s="49" t="s">
        <v>980</v>
      </c>
      <c r="I33" s="50">
        <v>42139</v>
      </c>
      <c r="M33" s="49" t="s">
        <v>9135</v>
      </c>
    </row>
    <row r="34" spans="1:13" x14ac:dyDescent="0.35">
      <c r="A34" s="49" t="s">
        <v>14470</v>
      </c>
      <c r="B34" s="49" t="s">
        <v>9023</v>
      </c>
      <c r="C34" s="49" t="s">
        <v>9024</v>
      </c>
      <c r="D34" s="49" t="s">
        <v>1264</v>
      </c>
      <c r="E34" s="49" t="s">
        <v>2814</v>
      </c>
      <c r="F34" s="49" t="s">
        <v>3010</v>
      </c>
      <c r="G34" s="49" t="s">
        <v>2787</v>
      </c>
      <c r="H34" s="49" t="s">
        <v>980</v>
      </c>
      <c r="I34" s="50">
        <v>41884</v>
      </c>
      <c r="J34" s="50">
        <v>41940</v>
      </c>
      <c r="K34" s="50">
        <v>42121</v>
      </c>
      <c r="M34" s="49" t="s">
        <v>9026</v>
      </c>
    </row>
    <row r="35" spans="1:13" x14ac:dyDescent="0.35">
      <c r="A35" s="49" t="s">
        <v>14718</v>
      </c>
      <c r="B35" s="49" t="s">
        <v>7386</v>
      </c>
      <c r="C35" s="49" t="s">
        <v>7387</v>
      </c>
      <c r="D35" s="49" t="s">
        <v>1264</v>
      </c>
      <c r="E35" s="49" t="s">
        <v>2908</v>
      </c>
      <c r="F35" s="49" t="s">
        <v>2939</v>
      </c>
      <c r="G35" s="49" t="s">
        <v>2787</v>
      </c>
      <c r="H35" s="49" t="s">
        <v>8</v>
      </c>
      <c r="I35" s="50">
        <v>36598</v>
      </c>
      <c r="J35" s="50">
        <v>37281</v>
      </c>
      <c r="K35" s="50">
        <v>39106</v>
      </c>
      <c r="M35" s="49" t="s">
        <v>7289</v>
      </c>
    </row>
    <row r="36" spans="1:13" x14ac:dyDescent="0.35">
      <c r="A36" s="49" t="s">
        <v>14725</v>
      </c>
      <c r="B36" s="49" t="s">
        <v>7742</v>
      </c>
      <c r="C36" s="49" t="s">
        <v>3214</v>
      </c>
      <c r="D36" s="49" t="s">
        <v>1264</v>
      </c>
      <c r="E36" s="49" t="s">
        <v>2785</v>
      </c>
      <c r="F36" s="49" t="s">
        <v>2786</v>
      </c>
      <c r="G36" s="49" t="s">
        <v>2787</v>
      </c>
      <c r="H36" s="49" t="s">
        <v>980</v>
      </c>
      <c r="I36" s="50">
        <v>42186</v>
      </c>
      <c r="J36" s="50">
        <v>42550</v>
      </c>
      <c r="K36" s="50">
        <v>42732</v>
      </c>
      <c r="M36" s="49" t="s">
        <v>7744</v>
      </c>
    </row>
    <row r="37" spans="1:13" x14ac:dyDescent="0.35">
      <c r="A37" s="49" t="s">
        <v>14190</v>
      </c>
      <c r="B37" s="49" t="s">
        <v>4530</v>
      </c>
      <c r="C37" s="49" t="s">
        <v>2795</v>
      </c>
      <c r="D37" s="49" t="s">
        <v>1264</v>
      </c>
      <c r="E37" s="49" t="s">
        <v>2785</v>
      </c>
      <c r="F37" s="49" t="s">
        <v>2786</v>
      </c>
      <c r="G37" s="49" t="s">
        <v>2787</v>
      </c>
      <c r="H37" s="49" t="s">
        <v>8</v>
      </c>
      <c r="I37" s="50">
        <v>43672</v>
      </c>
      <c r="J37" s="50">
        <v>43859</v>
      </c>
      <c r="K37" s="50">
        <v>44827</v>
      </c>
      <c r="M37" s="49" t="s">
        <v>4532</v>
      </c>
    </row>
    <row r="38" spans="1:13" x14ac:dyDescent="0.35">
      <c r="A38" s="49" t="s">
        <v>14190</v>
      </c>
      <c r="B38" s="49" t="s">
        <v>9384</v>
      </c>
      <c r="C38" s="49"/>
      <c r="D38" s="49" t="s">
        <v>1264</v>
      </c>
      <c r="E38" s="49" t="s">
        <v>2785</v>
      </c>
      <c r="F38" s="49" t="s">
        <v>2786</v>
      </c>
      <c r="G38" s="49" t="s">
        <v>2776</v>
      </c>
      <c r="H38" s="49" t="s">
        <v>8</v>
      </c>
      <c r="I38" s="50">
        <v>43704</v>
      </c>
      <c r="M38" s="49" t="s">
        <v>9385</v>
      </c>
    </row>
    <row r="39" spans="1:13" x14ac:dyDescent="0.35">
      <c r="A39" s="49" t="s">
        <v>14747</v>
      </c>
      <c r="B39" s="49" t="s">
        <v>8688</v>
      </c>
      <c r="C39" s="49"/>
      <c r="D39" s="49" t="s">
        <v>1264</v>
      </c>
      <c r="E39" s="49" t="s">
        <v>2908</v>
      </c>
      <c r="F39" s="49" t="s">
        <v>2786</v>
      </c>
      <c r="G39" s="49" t="s">
        <v>2776</v>
      </c>
      <c r="H39" s="49" t="s">
        <v>980</v>
      </c>
      <c r="I39" s="50">
        <v>41285</v>
      </c>
      <c r="M39" s="49" t="s">
        <v>8690</v>
      </c>
    </row>
    <row r="40" spans="1:13" x14ac:dyDescent="0.35">
      <c r="A40" s="49" t="s">
        <v>14826</v>
      </c>
      <c r="B40" s="49" t="s">
        <v>12169</v>
      </c>
      <c r="C40" s="49"/>
      <c r="D40" s="49" t="s">
        <v>1264</v>
      </c>
      <c r="E40" s="49" t="s">
        <v>2986</v>
      </c>
      <c r="F40" s="49" t="s">
        <v>2825</v>
      </c>
      <c r="G40" s="49" t="s">
        <v>4891</v>
      </c>
      <c r="H40" s="49" t="s">
        <v>2827</v>
      </c>
      <c r="I40" s="50">
        <v>45349</v>
      </c>
      <c r="M40" s="49" t="s">
        <v>12171</v>
      </c>
    </row>
    <row r="41" spans="1:13" x14ac:dyDescent="0.35">
      <c r="A41" s="49" t="s">
        <v>15055</v>
      </c>
      <c r="B41" s="49" t="s">
        <v>12889</v>
      </c>
      <c r="C41" s="49"/>
      <c r="D41" s="49" t="s">
        <v>1264</v>
      </c>
      <c r="E41" s="49" t="s">
        <v>2986</v>
      </c>
      <c r="F41" s="49" t="s">
        <v>2825</v>
      </c>
      <c r="G41" s="49" t="s">
        <v>4891</v>
      </c>
      <c r="H41" s="49" t="s">
        <v>2827</v>
      </c>
      <c r="I41" s="52">
        <v>45840.663449074098</v>
      </c>
      <c r="M41" s="49" t="s">
        <v>12891</v>
      </c>
    </row>
    <row r="42" spans="1:13" x14ac:dyDescent="0.35">
      <c r="A42" s="49" t="s">
        <v>15631</v>
      </c>
      <c r="B42" s="49" t="s">
        <v>8853</v>
      </c>
      <c r="C42" s="49"/>
      <c r="D42" s="49" t="s">
        <v>1264</v>
      </c>
      <c r="E42" s="49" t="s">
        <v>2785</v>
      </c>
      <c r="F42" s="49" t="s">
        <v>2792</v>
      </c>
      <c r="G42" s="49" t="s">
        <v>2787</v>
      </c>
      <c r="H42" s="49" t="s">
        <v>8</v>
      </c>
      <c r="I42" s="50">
        <v>41995</v>
      </c>
      <c r="J42" s="50">
        <v>40882</v>
      </c>
      <c r="K42" s="50">
        <v>41064</v>
      </c>
      <c r="M42" s="49" t="s">
        <v>8855</v>
      </c>
    </row>
    <row r="43" spans="1:13" x14ac:dyDescent="0.35">
      <c r="A43" s="49" t="s">
        <v>15631</v>
      </c>
      <c r="B43" s="49" t="s">
        <v>10027</v>
      </c>
      <c r="C43" s="49" t="s">
        <v>6999</v>
      </c>
      <c r="D43" s="49" t="s">
        <v>1264</v>
      </c>
      <c r="E43" s="49" t="s">
        <v>2785</v>
      </c>
      <c r="F43" s="49" t="s">
        <v>2792</v>
      </c>
      <c r="G43" s="49" t="s">
        <v>2776</v>
      </c>
      <c r="H43" s="49" t="s">
        <v>8</v>
      </c>
      <c r="I43" s="50">
        <v>41507</v>
      </c>
      <c r="M43" s="49" t="s">
        <v>8855</v>
      </c>
    </row>
    <row r="44" spans="1:13" x14ac:dyDescent="0.35">
      <c r="A44" s="49" t="s">
        <v>14349</v>
      </c>
      <c r="B44" s="49" t="s">
        <v>7435</v>
      </c>
      <c r="C44" s="49" t="s">
        <v>7436</v>
      </c>
      <c r="D44" s="49" t="s">
        <v>1264</v>
      </c>
      <c r="E44" s="49" t="s">
        <v>2785</v>
      </c>
      <c r="F44" s="49" t="s">
        <v>2786</v>
      </c>
      <c r="G44" s="49" t="s">
        <v>2787</v>
      </c>
      <c r="H44" s="49" t="s">
        <v>980</v>
      </c>
      <c r="I44" s="50">
        <v>43454</v>
      </c>
      <c r="J44" s="50">
        <v>43609</v>
      </c>
      <c r="K44" s="50">
        <v>43792</v>
      </c>
      <c r="M44" s="49" t="s">
        <v>7438</v>
      </c>
    </row>
    <row r="45" spans="1:13" x14ac:dyDescent="0.35">
      <c r="A45" s="49" t="s">
        <v>14699</v>
      </c>
      <c r="B45" s="49" t="s">
        <v>2875</v>
      </c>
      <c r="C45" s="49" t="s">
        <v>2876</v>
      </c>
      <c r="D45" s="49" t="s">
        <v>1264</v>
      </c>
      <c r="E45" s="49" t="s">
        <v>2785</v>
      </c>
      <c r="F45" s="49" t="s">
        <v>2786</v>
      </c>
      <c r="G45" s="49" t="s">
        <v>2787</v>
      </c>
      <c r="H45" s="49" t="s">
        <v>8</v>
      </c>
      <c r="I45" s="50">
        <v>42212</v>
      </c>
      <c r="J45" s="50">
        <v>42234</v>
      </c>
      <c r="K45" s="50">
        <v>42599</v>
      </c>
      <c r="M45" s="49" t="s">
        <v>2878</v>
      </c>
    </row>
    <row r="46" spans="1:13" x14ac:dyDescent="0.35">
      <c r="A46" s="49" t="s">
        <v>14770</v>
      </c>
      <c r="B46" s="49" t="s">
        <v>10023</v>
      </c>
      <c r="C46" s="49" t="s">
        <v>10024</v>
      </c>
      <c r="D46" s="49" t="s">
        <v>1264</v>
      </c>
      <c r="E46" s="49" t="s">
        <v>2785</v>
      </c>
      <c r="F46" s="49" t="s">
        <v>2786</v>
      </c>
      <c r="G46" s="49" t="s">
        <v>2826</v>
      </c>
      <c r="H46" s="49" t="s">
        <v>8</v>
      </c>
      <c r="I46" s="50">
        <v>41512</v>
      </c>
      <c r="M46" s="49" t="s">
        <v>10026</v>
      </c>
    </row>
    <row r="47" spans="1:13" x14ac:dyDescent="0.35">
      <c r="A47" s="49" t="s">
        <v>6334</v>
      </c>
      <c r="B47" s="49" t="s">
        <v>4723</v>
      </c>
      <c r="C47" s="49" t="s">
        <v>4724</v>
      </c>
      <c r="D47" s="49" t="s">
        <v>1264</v>
      </c>
      <c r="E47" s="49" t="s">
        <v>3443</v>
      </c>
      <c r="F47" s="49" t="s">
        <v>3124</v>
      </c>
      <c r="G47" s="49" t="s">
        <v>2901</v>
      </c>
      <c r="H47" s="49" t="s">
        <v>980</v>
      </c>
      <c r="I47" s="50">
        <v>44455</v>
      </c>
      <c r="J47" s="50">
        <v>44476</v>
      </c>
      <c r="K47" s="50">
        <v>46301</v>
      </c>
    </row>
    <row r="48" spans="1:13" x14ac:dyDescent="0.35">
      <c r="A48" s="49" t="s">
        <v>6334</v>
      </c>
      <c r="B48" s="49" t="s">
        <v>6333</v>
      </c>
      <c r="C48" s="49"/>
      <c r="D48" s="49" t="s">
        <v>1264</v>
      </c>
      <c r="E48" s="49" t="s">
        <v>2986</v>
      </c>
      <c r="F48" s="49" t="s">
        <v>2825</v>
      </c>
      <c r="G48" s="49" t="s">
        <v>4330</v>
      </c>
      <c r="H48" s="49" t="s">
        <v>2827</v>
      </c>
      <c r="I48" s="50">
        <v>45098</v>
      </c>
      <c r="M48" s="49" t="s">
        <v>6335</v>
      </c>
    </row>
    <row r="49" spans="1:13" x14ac:dyDescent="0.35">
      <c r="A49" s="49" t="s">
        <v>6334</v>
      </c>
      <c r="B49" s="49" t="s">
        <v>6480</v>
      </c>
      <c r="C49" s="49"/>
      <c r="D49" s="49" t="s">
        <v>1264</v>
      </c>
      <c r="E49" s="49" t="s">
        <v>2986</v>
      </c>
      <c r="F49" s="49" t="s">
        <v>2825</v>
      </c>
      <c r="G49" s="49" t="s">
        <v>4330</v>
      </c>
      <c r="H49" s="49" t="s">
        <v>973</v>
      </c>
      <c r="I49" s="50">
        <v>45343</v>
      </c>
      <c r="M49" s="49" t="s">
        <v>6481</v>
      </c>
    </row>
    <row r="50" spans="1:13" x14ac:dyDescent="0.35">
      <c r="A50" s="49" t="s">
        <v>6334</v>
      </c>
      <c r="B50" s="49" t="s">
        <v>10869</v>
      </c>
      <c r="C50" s="49"/>
      <c r="D50" s="49" t="s">
        <v>1264</v>
      </c>
      <c r="E50" s="49" t="s">
        <v>2814</v>
      </c>
      <c r="F50" s="49" t="s">
        <v>2939</v>
      </c>
      <c r="G50" s="49" t="s">
        <v>2826</v>
      </c>
      <c r="H50" s="49" t="s">
        <v>980</v>
      </c>
      <c r="I50" s="50">
        <v>44455</v>
      </c>
      <c r="M50" s="49" t="s">
        <v>10870</v>
      </c>
    </row>
    <row r="51" spans="1:13" x14ac:dyDescent="0.35">
      <c r="A51" s="49" t="s">
        <v>6334</v>
      </c>
      <c r="B51" s="49" t="s">
        <v>10994</v>
      </c>
      <c r="C51" s="49" t="s">
        <v>10995</v>
      </c>
      <c r="D51" s="49" t="s">
        <v>1264</v>
      </c>
      <c r="E51" s="49" t="s">
        <v>2986</v>
      </c>
      <c r="F51" s="49" t="s">
        <v>2825</v>
      </c>
      <c r="G51" s="49" t="s">
        <v>2776</v>
      </c>
      <c r="H51" s="49" t="s">
        <v>2827</v>
      </c>
      <c r="I51" s="50">
        <v>44616</v>
      </c>
      <c r="M51" s="49" t="s">
        <v>10996</v>
      </c>
    </row>
    <row r="52" spans="1:13" x14ac:dyDescent="0.35">
      <c r="A52" s="49" t="s">
        <v>6334</v>
      </c>
      <c r="B52" s="49" t="s">
        <v>11073</v>
      </c>
      <c r="C52" s="49"/>
      <c r="D52" s="49" t="s">
        <v>1264</v>
      </c>
      <c r="E52" s="49" t="s">
        <v>2908</v>
      </c>
      <c r="F52" s="49" t="s">
        <v>2939</v>
      </c>
      <c r="G52" s="49" t="s">
        <v>4891</v>
      </c>
      <c r="H52" s="49" t="s">
        <v>980</v>
      </c>
      <c r="I52" s="50">
        <v>44762</v>
      </c>
      <c r="M52" s="49" t="s">
        <v>11074</v>
      </c>
    </row>
    <row r="53" spans="1:13" x14ac:dyDescent="0.35">
      <c r="A53" s="49" t="s">
        <v>6334</v>
      </c>
      <c r="B53" s="49" t="s">
        <v>11713</v>
      </c>
      <c r="C53" s="49"/>
      <c r="D53" s="49" t="s">
        <v>1264</v>
      </c>
      <c r="E53" s="49" t="s">
        <v>2986</v>
      </c>
      <c r="F53" s="49" t="s">
        <v>2825</v>
      </c>
      <c r="G53" s="49" t="s">
        <v>4891</v>
      </c>
      <c r="H53" s="49" t="s">
        <v>2827</v>
      </c>
      <c r="I53" s="50">
        <v>45098</v>
      </c>
      <c r="M53" s="49" t="s">
        <v>11714</v>
      </c>
    </row>
    <row r="54" spans="1:13" x14ac:dyDescent="0.35">
      <c r="A54" s="49" t="s">
        <v>6334</v>
      </c>
      <c r="B54" s="49" t="s">
        <v>11926</v>
      </c>
      <c r="C54" s="49" t="s">
        <v>5974</v>
      </c>
      <c r="D54" s="49" t="s">
        <v>1264</v>
      </c>
      <c r="E54" s="49" t="s">
        <v>2785</v>
      </c>
      <c r="F54" s="49" t="s">
        <v>2786</v>
      </c>
      <c r="G54" s="49" t="s">
        <v>4891</v>
      </c>
      <c r="H54" s="49" t="s">
        <v>980</v>
      </c>
      <c r="I54" s="50">
        <v>45250</v>
      </c>
      <c r="M54" s="49" t="s">
        <v>11927</v>
      </c>
    </row>
    <row r="55" spans="1:13" x14ac:dyDescent="0.35">
      <c r="A55" s="49" t="s">
        <v>6334</v>
      </c>
      <c r="B55" s="49" t="s">
        <v>12306</v>
      </c>
      <c r="C55" s="49"/>
      <c r="D55" s="49" t="s">
        <v>1264</v>
      </c>
      <c r="E55" s="49" t="s">
        <v>2908</v>
      </c>
      <c r="F55" s="49" t="s">
        <v>2939</v>
      </c>
      <c r="G55" s="49" t="s">
        <v>4891</v>
      </c>
      <c r="H55" s="49" t="s">
        <v>8</v>
      </c>
      <c r="I55" s="50">
        <v>45371</v>
      </c>
      <c r="M55" s="49" t="s">
        <v>12307</v>
      </c>
    </row>
    <row r="56" spans="1:13" x14ac:dyDescent="0.35">
      <c r="A56" s="49" t="s">
        <v>6334</v>
      </c>
      <c r="B56" s="49" t="s">
        <v>12448</v>
      </c>
      <c r="C56" s="49" t="s">
        <v>5810</v>
      </c>
      <c r="D56" s="49" t="s">
        <v>1264</v>
      </c>
      <c r="E56" s="49" t="s">
        <v>2785</v>
      </c>
      <c r="F56" s="49" t="s">
        <v>2786</v>
      </c>
      <c r="G56" s="49" t="s">
        <v>4891</v>
      </c>
      <c r="H56" s="49" t="s">
        <v>980</v>
      </c>
      <c r="I56" s="50">
        <v>45419</v>
      </c>
      <c r="M56" s="49" t="s">
        <v>12449</v>
      </c>
    </row>
    <row r="57" spans="1:13" x14ac:dyDescent="0.35">
      <c r="A57" s="49" t="s">
        <v>6334</v>
      </c>
      <c r="B57" s="49" t="s">
        <v>12508</v>
      </c>
      <c r="C57" s="49" t="s">
        <v>5974</v>
      </c>
      <c r="D57" s="49" t="s">
        <v>1264</v>
      </c>
      <c r="E57" s="49" t="s">
        <v>2785</v>
      </c>
      <c r="F57" s="49" t="s">
        <v>2786</v>
      </c>
      <c r="G57" s="49" t="s">
        <v>4891</v>
      </c>
      <c r="H57" s="49" t="s">
        <v>980</v>
      </c>
      <c r="I57" s="50">
        <v>45426</v>
      </c>
      <c r="M57" s="49" t="s">
        <v>12449</v>
      </c>
    </row>
    <row r="58" spans="1:13" x14ac:dyDescent="0.35">
      <c r="A58" s="49" t="s">
        <v>6334</v>
      </c>
      <c r="B58" s="49" t="s">
        <v>12672</v>
      </c>
      <c r="C58" s="49"/>
      <c r="D58" s="49" t="s">
        <v>1264</v>
      </c>
      <c r="E58" s="49" t="s">
        <v>2986</v>
      </c>
      <c r="F58" s="49" t="s">
        <v>2825</v>
      </c>
      <c r="G58" s="49" t="s">
        <v>4891</v>
      </c>
      <c r="H58" s="49" t="s">
        <v>2827</v>
      </c>
      <c r="I58" s="50">
        <v>45351</v>
      </c>
      <c r="M58" s="49" t="s">
        <v>12673</v>
      </c>
    </row>
    <row r="59" spans="1:13" x14ac:dyDescent="0.35">
      <c r="A59" s="49" t="s">
        <v>6334</v>
      </c>
      <c r="B59" s="49" t="s">
        <v>12674</v>
      </c>
      <c r="C59" s="49"/>
      <c r="D59" s="49" t="s">
        <v>1264</v>
      </c>
      <c r="E59" s="49" t="s">
        <v>2986</v>
      </c>
      <c r="F59" s="49" t="s">
        <v>2825</v>
      </c>
      <c r="G59" s="49" t="s">
        <v>4891</v>
      </c>
      <c r="H59" s="49" t="s">
        <v>2827</v>
      </c>
      <c r="I59" s="50">
        <v>45345</v>
      </c>
      <c r="M59" s="49" t="s">
        <v>12675</v>
      </c>
    </row>
    <row r="60" spans="1:13" x14ac:dyDescent="0.35">
      <c r="A60" s="49" t="s">
        <v>6334</v>
      </c>
      <c r="B60" s="49" t="s">
        <v>12892</v>
      </c>
      <c r="C60" s="49"/>
      <c r="D60" s="49" t="s">
        <v>1264</v>
      </c>
      <c r="E60" s="49" t="s">
        <v>2986</v>
      </c>
      <c r="F60" s="49" t="s">
        <v>2825</v>
      </c>
      <c r="G60" s="49" t="s">
        <v>4891</v>
      </c>
      <c r="H60" s="49" t="s">
        <v>2827</v>
      </c>
      <c r="I60" s="52">
        <v>45840.7289467593</v>
      </c>
      <c r="M60" s="49" t="s">
        <v>12893</v>
      </c>
    </row>
    <row r="61" spans="1:13" x14ac:dyDescent="0.35">
      <c r="A61" s="49" t="s">
        <v>6334</v>
      </c>
      <c r="B61" s="49" t="s">
        <v>12956</v>
      </c>
      <c r="C61" s="49"/>
      <c r="D61" s="49" t="s">
        <v>1264</v>
      </c>
      <c r="E61" s="49" t="s">
        <v>2986</v>
      </c>
      <c r="F61" s="49" t="s">
        <v>2825</v>
      </c>
      <c r="G61" s="49" t="s">
        <v>4891</v>
      </c>
      <c r="H61" s="49" t="s">
        <v>2827</v>
      </c>
      <c r="I61" s="52">
        <v>45974.577731481499</v>
      </c>
    </row>
    <row r="62" spans="1:13" x14ac:dyDescent="0.35">
      <c r="A62" s="49" t="s">
        <v>6334</v>
      </c>
      <c r="B62" s="49" t="s">
        <v>12957</v>
      </c>
      <c r="C62" s="49"/>
      <c r="D62" s="49" t="s">
        <v>1264</v>
      </c>
      <c r="E62" s="49" t="s">
        <v>2986</v>
      </c>
      <c r="F62" s="49" t="s">
        <v>2825</v>
      </c>
      <c r="G62" s="49" t="s">
        <v>4891</v>
      </c>
      <c r="H62" s="49" t="s">
        <v>2827</v>
      </c>
      <c r="I62" s="52">
        <v>45974.582337963002</v>
      </c>
      <c r="M62" s="49" t="s">
        <v>12893</v>
      </c>
    </row>
    <row r="63" spans="1:13" x14ac:dyDescent="0.35">
      <c r="A63" s="49" t="s">
        <v>6334</v>
      </c>
      <c r="B63" s="49" t="s">
        <v>13107</v>
      </c>
      <c r="C63" s="49" t="s">
        <v>13079</v>
      </c>
      <c r="D63" s="49" t="s">
        <v>1264</v>
      </c>
      <c r="E63" s="49" t="s">
        <v>2785</v>
      </c>
      <c r="F63" s="49" t="s">
        <v>2786</v>
      </c>
      <c r="G63" s="49" t="s">
        <v>4891</v>
      </c>
      <c r="H63" s="49" t="s">
        <v>980</v>
      </c>
      <c r="I63" s="52">
        <v>46044.415381944404</v>
      </c>
      <c r="M63" s="49" t="s">
        <v>13108</v>
      </c>
    </row>
    <row r="64" spans="1:13" x14ac:dyDescent="0.35">
      <c r="A64" s="49" t="s">
        <v>15285</v>
      </c>
      <c r="B64" s="49" t="s">
        <v>4968</v>
      </c>
      <c r="C64" s="49" t="s">
        <v>4969</v>
      </c>
      <c r="D64" s="49" t="s">
        <v>1264</v>
      </c>
      <c r="E64" s="49" t="s">
        <v>2785</v>
      </c>
      <c r="F64" s="49" t="s">
        <v>2786</v>
      </c>
      <c r="G64" s="49" t="s">
        <v>2787</v>
      </c>
      <c r="H64" s="49" t="s">
        <v>980</v>
      </c>
      <c r="I64" s="50">
        <v>44609</v>
      </c>
      <c r="J64" s="50">
        <v>45160</v>
      </c>
      <c r="K64" s="50">
        <v>45525</v>
      </c>
      <c r="M64" s="49" t="s">
        <v>4971</v>
      </c>
    </row>
    <row r="65" spans="1:13" x14ac:dyDescent="0.35">
      <c r="A65" s="49" t="s">
        <v>15285</v>
      </c>
      <c r="B65" s="49" t="s">
        <v>5028</v>
      </c>
      <c r="C65" s="49" t="s">
        <v>3768</v>
      </c>
      <c r="D65" s="49" t="s">
        <v>1264</v>
      </c>
      <c r="E65" s="49" t="s">
        <v>3443</v>
      </c>
      <c r="F65" s="49" t="s">
        <v>3124</v>
      </c>
      <c r="G65" s="49" t="s">
        <v>2901</v>
      </c>
      <c r="H65" s="49" t="s">
        <v>980</v>
      </c>
      <c r="I65" s="50">
        <v>44781</v>
      </c>
      <c r="J65" s="50">
        <v>44811</v>
      </c>
      <c r="K65" s="50">
        <v>46636</v>
      </c>
    </row>
    <row r="66" spans="1:13" x14ac:dyDescent="0.35">
      <c r="A66" s="49" t="s">
        <v>15285</v>
      </c>
      <c r="B66" s="49" t="s">
        <v>6094</v>
      </c>
      <c r="C66" s="49"/>
      <c r="D66" s="49" t="s">
        <v>1264</v>
      </c>
      <c r="E66" s="49" t="s">
        <v>2785</v>
      </c>
      <c r="F66" s="49" t="s">
        <v>2792</v>
      </c>
      <c r="G66" s="49" t="s">
        <v>4330</v>
      </c>
      <c r="H66" s="49" t="s">
        <v>980</v>
      </c>
      <c r="I66" s="50">
        <v>44949</v>
      </c>
      <c r="M66" s="49" t="s">
        <v>6095</v>
      </c>
    </row>
    <row r="67" spans="1:13" x14ac:dyDescent="0.35">
      <c r="A67" s="49" t="s">
        <v>15285</v>
      </c>
      <c r="B67" s="49" t="s">
        <v>6759</v>
      </c>
      <c r="C67" s="49" t="s">
        <v>6760</v>
      </c>
      <c r="D67" s="49" t="s">
        <v>1264</v>
      </c>
      <c r="E67" s="49" t="s">
        <v>2785</v>
      </c>
      <c r="F67" s="49" t="s">
        <v>2786</v>
      </c>
      <c r="G67" s="49" t="s">
        <v>4891</v>
      </c>
      <c r="H67" s="49" t="s">
        <v>980</v>
      </c>
      <c r="I67" s="52">
        <v>45876.622245370403</v>
      </c>
      <c r="M67" s="49" t="s">
        <v>6761</v>
      </c>
    </row>
    <row r="68" spans="1:13" x14ac:dyDescent="0.35">
      <c r="A68" s="49" t="s">
        <v>15285</v>
      </c>
      <c r="B68" s="49" t="s">
        <v>6827</v>
      </c>
      <c r="C68" s="49"/>
      <c r="D68" s="49" t="s">
        <v>1264</v>
      </c>
      <c r="E68" s="49" t="s">
        <v>2785</v>
      </c>
      <c r="F68" s="49" t="s">
        <v>2792</v>
      </c>
      <c r="G68" s="49" t="s">
        <v>2901</v>
      </c>
      <c r="H68" s="49" t="s">
        <v>980</v>
      </c>
      <c r="I68" s="52">
        <v>45850.397592592599</v>
      </c>
      <c r="J68" s="50">
        <v>45957</v>
      </c>
      <c r="K68" s="50">
        <v>46321</v>
      </c>
      <c r="M68" s="49" t="s">
        <v>6828</v>
      </c>
    </row>
    <row r="69" spans="1:13" x14ac:dyDescent="0.35">
      <c r="A69" s="49" t="s">
        <v>15285</v>
      </c>
      <c r="B69" s="49" t="s">
        <v>6923</v>
      </c>
      <c r="C69" s="49" t="s">
        <v>6924</v>
      </c>
      <c r="D69" s="49" t="s">
        <v>1264</v>
      </c>
      <c r="E69" s="49" t="s">
        <v>2785</v>
      </c>
      <c r="F69" s="49" t="s">
        <v>2786</v>
      </c>
      <c r="G69" s="49" t="s">
        <v>4891</v>
      </c>
      <c r="H69" s="49" t="s">
        <v>980</v>
      </c>
      <c r="I69" s="52">
        <v>46142.542986111097</v>
      </c>
      <c r="M69" s="49" t="s">
        <v>6925</v>
      </c>
    </row>
    <row r="70" spans="1:13" x14ac:dyDescent="0.35">
      <c r="A70" s="49" t="s">
        <v>15285</v>
      </c>
      <c r="B70" s="49" t="s">
        <v>12941</v>
      </c>
      <c r="C70" s="49"/>
      <c r="D70" s="49" t="s">
        <v>1264</v>
      </c>
      <c r="E70" s="49" t="s">
        <v>2785</v>
      </c>
      <c r="F70" s="49" t="s">
        <v>2792</v>
      </c>
      <c r="G70" s="49" t="s">
        <v>4891</v>
      </c>
      <c r="H70" s="49" t="s">
        <v>980</v>
      </c>
      <c r="I70" s="52">
        <v>45951.470532407402</v>
      </c>
      <c r="M70" s="49" t="s">
        <v>6828</v>
      </c>
    </row>
    <row r="71" spans="1:13" x14ac:dyDescent="0.35">
      <c r="A71" s="49" t="s">
        <v>15285</v>
      </c>
      <c r="B71" s="49" t="s">
        <v>13402</v>
      </c>
      <c r="C71" s="49"/>
      <c r="D71" s="49" t="s">
        <v>1264</v>
      </c>
      <c r="E71" s="49" t="s">
        <v>2785</v>
      </c>
      <c r="F71" s="49" t="s">
        <v>2792</v>
      </c>
      <c r="G71" s="49" t="s">
        <v>4891</v>
      </c>
      <c r="H71" s="49" t="s">
        <v>980</v>
      </c>
      <c r="I71" s="52">
        <v>46120.571273148104</v>
      </c>
      <c r="M71" s="49" t="s">
        <v>13403</v>
      </c>
    </row>
    <row r="72" spans="1:13" x14ac:dyDescent="0.35">
      <c r="A72" s="49" t="s">
        <v>33</v>
      </c>
      <c r="B72" s="49" t="s">
        <v>11102</v>
      </c>
      <c r="C72" s="49" t="s">
        <v>2849</v>
      </c>
      <c r="D72" s="49" t="s">
        <v>1264</v>
      </c>
      <c r="E72" s="49" t="s">
        <v>2785</v>
      </c>
      <c r="F72" s="49" t="s">
        <v>2792</v>
      </c>
      <c r="G72" s="49" t="s">
        <v>2776</v>
      </c>
      <c r="H72" s="49" t="s">
        <v>980</v>
      </c>
      <c r="I72" s="50">
        <v>44749</v>
      </c>
      <c r="M72" s="49" t="s">
        <v>11104</v>
      </c>
    </row>
    <row r="73" spans="1:13" x14ac:dyDescent="0.35">
      <c r="A73" s="49" t="s">
        <v>14570</v>
      </c>
      <c r="B73" s="49" t="s">
        <v>10606</v>
      </c>
      <c r="C73" s="49"/>
      <c r="D73" s="49" t="s">
        <v>1264</v>
      </c>
      <c r="E73" s="49" t="s">
        <v>2814</v>
      </c>
      <c r="F73" s="49" t="s">
        <v>2825</v>
      </c>
      <c r="G73" s="49" t="s">
        <v>2776</v>
      </c>
      <c r="H73" s="49" t="s">
        <v>2827</v>
      </c>
      <c r="I73" s="50">
        <v>43448</v>
      </c>
      <c r="M73" s="49" t="s">
        <v>10608</v>
      </c>
    </row>
    <row r="74" spans="1:13" x14ac:dyDescent="0.35">
      <c r="A74" s="49" t="s">
        <v>15286</v>
      </c>
      <c r="B74" s="49" t="s">
        <v>9176</v>
      </c>
      <c r="C74" s="49"/>
      <c r="D74" s="49" t="s">
        <v>1264</v>
      </c>
      <c r="E74" s="49" t="s">
        <v>2908</v>
      </c>
      <c r="F74" s="49" t="s">
        <v>2837</v>
      </c>
      <c r="G74" s="49" t="s">
        <v>2776</v>
      </c>
      <c r="H74" s="49" t="s">
        <v>2827</v>
      </c>
      <c r="I74" s="50">
        <v>43332</v>
      </c>
      <c r="M74" s="49" t="s">
        <v>9178</v>
      </c>
    </row>
    <row r="75" spans="1:13" x14ac:dyDescent="0.35">
      <c r="A75" s="49" t="s">
        <v>15286</v>
      </c>
      <c r="B75" s="49" t="s">
        <v>13864</v>
      </c>
      <c r="C75" s="49" t="s">
        <v>13865</v>
      </c>
      <c r="D75" s="49" t="s">
        <v>1264</v>
      </c>
      <c r="E75" s="49" t="s">
        <v>2774</v>
      </c>
      <c r="F75" s="49" t="s">
        <v>4842</v>
      </c>
      <c r="G75" s="49" t="s">
        <v>2776</v>
      </c>
      <c r="H75" s="49" t="s">
        <v>2827</v>
      </c>
      <c r="I75" s="50">
        <v>43341</v>
      </c>
      <c r="M75" s="49" t="s">
        <v>13866</v>
      </c>
    </row>
    <row r="76" spans="1:13" x14ac:dyDescent="0.35">
      <c r="A76" s="49" t="s">
        <v>14827</v>
      </c>
      <c r="B76" s="49" t="s">
        <v>6611</v>
      </c>
      <c r="C76" s="49" t="s">
        <v>6612</v>
      </c>
      <c r="D76" s="49" t="s">
        <v>1264</v>
      </c>
      <c r="E76" s="49" t="s">
        <v>2774</v>
      </c>
      <c r="F76" s="49" t="s">
        <v>4842</v>
      </c>
      <c r="G76" s="49" t="s">
        <v>2901</v>
      </c>
      <c r="H76" s="49" t="s">
        <v>2827</v>
      </c>
      <c r="I76" s="50">
        <v>44841</v>
      </c>
      <c r="J76" s="50">
        <v>44959</v>
      </c>
      <c r="K76" s="50">
        <v>46419</v>
      </c>
      <c r="M76" s="49" t="s">
        <v>6614</v>
      </c>
    </row>
    <row r="77" spans="1:13" x14ac:dyDescent="0.35">
      <c r="A77" s="49" t="s">
        <v>14827</v>
      </c>
      <c r="B77" s="49" t="s">
        <v>11152</v>
      </c>
      <c r="C77" s="49" t="s">
        <v>11153</v>
      </c>
      <c r="D77" s="49" t="s">
        <v>1264</v>
      </c>
      <c r="E77" s="49" t="s">
        <v>2774</v>
      </c>
      <c r="F77" s="49" t="s">
        <v>4842</v>
      </c>
      <c r="G77" s="49" t="s">
        <v>2776</v>
      </c>
      <c r="H77" s="49" t="s">
        <v>2827</v>
      </c>
      <c r="I77" s="50">
        <v>44841</v>
      </c>
      <c r="M77" s="49" t="s">
        <v>11154</v>
      </c>
    </row>
    <row r="78" spans="1:13" x14ac:dyDescent="0.35">
      <c r="A78" s="49" t="s">
        <v>1223</v>
      </c>
      <c r="B78" s="49" t="s">
        <v>4617</v>
      </c>
      <c r="C78" s="49" t="s">
        <v>4618</v>
      </c>
      <c r="D78" s="49" t="s">
        <v>1264</v>
      </c>
      <c r="E78" s="49" t="s">
        <v>2785</v>
      </c>
      <c r="F78" s="49" t="s">
        <v>2792</v>
      </c>
      <c r="G78" s="49" t="s">
        <v>2787</v>
      </c>
      <c r="H78" s="49" t="s">
        <v>980</v>
      </c>
      <c r="I78" s="50">
        <v>44513</v>
      </c>
      <c r="J78" s="50">
        <v>44701</v>
      </c>
      <c r="K78" s="50">
        <v>45065</v>
      </c>
      <c r="M78" s="49" t="s">
        <v>4620</v>
      </c>
    </row>
    <row r="79" spans="1:13" x14ac:dyDescent="0.35">
      <c r="A79" s="49" t="s">
        <v>15287</v>
      </c>
      <c r="B79" s="49" t="s">
        <v>7193</v>
      </c>
      <c r="C79" s="49" t="s">
        <v>4497</v>
      </c>
      <c r="D79" s="49" t="s">
        <v>1264</v>
      </c>
      <c r="E79" s="49" t="s">
        <v>2785</v>
      </c>
      <c r="F79" s="49" t="s">
        <v>2792</v>
      </c>
      <c r="G79" s="49" t="s">
        <v>2820</v>
      </c>
      <c r="H79" s="49" t="s">
        <v>8</v>
      </c>
      <c r="I79" s="50">
        <v>42758</v>
      </c>
      <c r="J79" s="50">
        <v>42860</v>
      </c>
      <c r="K79" s="50">
        <v>43043</v>
      </c>
      <c r="M79" s="49" t="s">
        <v>7195</v>
      </c>
    </row>
    <row r="80" spans="1:13" x14ac:dyDescent="0.35">
      <c r="A80" s="49" t="s">
        <v>15287</v>
      </c>
      <c r="B80" s="49" t="s">
        <v>7618</v>
      </c>
      <c r="C80" s="49" t="s">
        <v>2867</v>
      </c>
      <c r="D80" s="49" t="s">
        <v>1264</v>
      </c>
      <c r="E80" s="49" t="s">
        <v>2785</v>
      </c>
      <c r="F80" s="49" t="s">
        <v>2792</v>
      </c>
      <c r="G80" s="49" t="s">
        <v>2787</v>
      </c>
      <c r="H80" s="49" t="s">
        <v>8</v>
      </c>
      <c r="I80" s="50">
        <v>42515</v>
      </c>
      <c r="J80" s="50">
        <v>42590</v>
      </c>
      <c r="K80" s="50">
        <v>42773</v>
      </c>
      <c r="M80" s="49" t="s">
        <v>7619</v>
      </c>
    </row>
    <row r="81" spans="1:13" x14ac:dyDescent="0.35">
      <c r="A81" s="49" t="s">
        <v>15287</v>
      </c>
      <c r="B81" s="49" t="s">
        <v>13967</v>
      </c>
      <c r="C81" s="49" t="s">
        <v>13968</v>
      </c>
      <c r="D81" s="49" t="s">
        <v>1264</v>
      </c>
      <c r="E81" s="49" t="s">
        <v>2774</v>
      </c>
      <c r="F81" s="49" t="s">
        <v>2825</v>
      </c>
      <c r="G81" s="49" t="s">
        <v>2776</v>
      </c>
      <c r="H81" s="49" t="s">
        <v>2827</v>
      </c>
      <c r="I81" s="50">
        <v>42786</v>
      </c>
      <c r="M81" s="49" t="s">
        <v>13970</v>
      </c>
    </row>
    <row r="82" spans="1:13" x14ac:dyDescent="0.35">
      <c r="A82" s="49" t="s">
        <v>15132</v>
      </c>
      <c r="B82" s="49" t="s">
        <v>7123</v>
      </c>
      <c r="C82" s="49" t="s">
        <v>5000</v>
      </c>
      <c r="D82" s="49" t="s">
        <v>1264</v>
      </c>
      <c r="E82" s="49" t="s">
        <v>2908</v>
      </c>
      <c r="F82" s="49" t="s">
        <v>2939</v>
      </c>
      <c r="G82" s="49" t="s">
        <v>2820</v>
      </c>
      <c r="H82" s="49" t="s">
        <v>980</v>
      </c>
      <c r="I82" s="50">
        <v>40724</v>
      </c>
      <c r="J82" s="50">
        <v>40924</v>
      </c>
      <c r="K82" s="50">
        <v>42750</v>
      </c>
      <c r="M82" s="49" t="s">
        <v>7125</v>
      </c>
    </row>
    <row r="83" spans="1:13" x14ac:dyDescent="0.35">
      <c r="A83" s="49" t="s">
        <v>15288</v>
      </c>
      <c r="B83" s="49" t="s">
        <v>9699</v>
      </c>
      <c r="C83" s="49" t="s">
        <v>3063</v>
      </c>
      <c r="D83" s="49" t="s">
        <v>1264</v>
      </c>
      <c r="E83" s="49" t="s">
        <v>2908</v>
      </c>
      <c r="F83" s="49" t="s">
        <v>2837</v>
      </c>
      <c r="G83" s="49" t="s">
        <v>2776</v>
      </c>
      <c r="H83" s="49" t="s">
        <v>980</v>
      </c>
      <c r="I83" s="50">
        <v>42087</v>
      </c>
      <c r="M83" s="49" t="s">
        <v>9701</v>
      </c>
    </row>
    <row r="84" spans="1:13" x14ac:dyDescent="0.35">
      <c r="A84" s="49" t="s">
        <v>14262</v>
      </c>
      <c r="B84" s="49" t="s">
        <v>5969</v>
      </c>
      <c r="C84" s="49" t="s">
        <v>3768</v>
      </c>
      <c r="D84" s="49" t="s">
        <v>1264</v>
      </c>
      <c r="E84" s="49" t="s">
        <v>3443</v>
      </c>
      <c r="F84" s="49" t="s">
        <v>3124</v>
      </c>
      <c r="G84" s="49" t="s">
        <v>4330</v>
      </c>
      <c r="H84" s="49" t="s">
        <v>980</v>
      </c>
      <c r="I84" s="50">
        <v>45092</v>
      </c>
    </row>
    <row r="85" spans="1:13" x14ac:dyDescent="0.35">
      <c r="A85" s="49" t="s">
        <v>14262</v>
      </c>
      <c r="B85" s="49" t="s">
        <v>6042</v>
      </c>
      <c r="C85" s="49" t="s">
        <v>6040</v>
      </c>
      <c r="D85" s="49" t="s">
        <v>1264</v>
      </c>
      <c r="E85" s="49" t="s">
        <v>3443</v>
      </c>
      <c r="F85" s="49" t="s">
        <v>3124</v>
      </c>
      <c r="G85" s="49" t="s">
        <v>4330</v>
      </c>
      <c r="H85" s="49" t="s">
        <v>980</v>
      </c>
      <c r="I85" s="50">
        <v>45154</v>
      </c>
    </row>
    <row r="86" spans="1:13" x14ac:dyDescent="0.35">
      <c r="A86" s="49" t="s">
        <v>15103</v>
      </c>
      <c r="B86" s="49" t="s">
        <v>6043</v>
      </c>
      <c r="C86" s="49" t="s">
        <v>6044</v>
      </c>
      <c r="D86" s="49" t="s">
        <v>1264</v>
      </c>
      <c r="E86" s="49" t="s">
        <v>2785</v>
      </c>
      <c r="F86" s="49" t="s">
        <v>2805</v>
      </c>
      <c r="G86" s="49" t="s">
        <v>4330</v>
      </c>
      <c r="H86" s="49" t="s">
        <v>2832</v>
      </c>
      <c r="I86" s="50">
        <v>45238</v>
      </c>
      <c r="M86" s="49" t="s">
        <v>6046</v>
      </c>
    </row>
    <row r="87" spans="1:13" x14ac:dyDescent="0.35">
      <c r="A87" s="49" t="s">
        <v>15103</v>
      </c>
      <c r="B87" s="49" t="s">
        <v>6147</v>
      </c>
      <c r="C87" s="49" t="s">
        <v>6148</v>
      </c>
      <c r="D87" s="49" t="s">
        <v>1264</v>
      </c>
      <c r="E87" s="49" t="s">
        <v>2785</v>
      </c>
      <c r="F87" s="49" t="s">
        <v>2805</v>
      </c>
      <c r="G87" s="49" t="s">
        <v>2787</v>
      </c>
      <c r="H87" s="49" t="s">
        <v>2832</v>
      </c>
      <c r="I87" s="50">
        <v>45275</v>
      </c>
      <c r="J87" s="50">
        <v>45303</v>
      </c>
      <c r="K87" s="50">
        <v>46114</v>
      </c>
      <c r="M87" s="49" t="s">
        <v>6149</v>
      </c>
    </row>
    <row r="88" spans="1:13" x14ac:dyDescent="0.35">
      <c r="A88" s="49" t="s">
        <v>15103</v>
      </c>
      <c r="B88" s="49" t="s">
        <v>6169</v>
      </c>
      <c r="C88" s="49"/>
      <c r="D88" s="49" t="s">
        <v>1264</v>
      </c>
      <c r="E88" s="49" t="s">
        <v>2986</v>
      </c>
      <c r="F88" s="49" t="s">
        <v>2825</v>
      </c>
      <c r="G88" s="49" t="s">
        <v>2901</v>
      </c>
      <c r="H88" s="49" t="s">
        <v>2827</v>
      </c>
      <c r="I88" s="50">
        <v>45098</v>
      </c>
      <c r="J88" s="50">
        <v>45289</v>
      </c>
      <c r="K88" s="50">
        <v>46384</v>
      </c>
      <c r="M88" s="49" t="s">
        <v>6171</v>
      </c>
    </row>
    <row r="89" spans="1:13" x14ac:dyDescent="0.35">
      <c r="A89" s="49" t="s">
        <v>15103</v>
      </c>
      <c r="B89" s="49" t="s">
        <v>6851</v>
      </c>
      <c r="C89" s="49" t="s">
        <v>6852</v>
      </c>
      <c r="D89" s="49" t="s">
        <v>1264</v>
      </c>
      <c r="E89" s="49" t="s">
        <v>2785</v>
      </c>
      <c r="F89" s="49" t="s">
        <v>2805</v>
      </c>
      <c r="G89" s="49" t="s">
        <v>4891</v>
      </c>
      <c r="H89" s="49" t="s">
        <v>2832</v>
      </c>
      <c r="I89" s="52">
        <v>46114.445601851898</v>
      </c>
      <c r="M89" s="49" t="s">
        <v>6149</v>
      </c>
    </row>
    <row r="90" spans="1:13" x14ac:dyDescent="0.35">
      <c r="A90" s="49" t="s">
        <v>15103</v>
      </c>
      <c r="B90" s="49" t="s">
        <v>11057</v>
      </c>
      <c r="C90" s="49"/>
      <c r="D90" s="49" t="s">
        <v>1264</v>
      </c>
      <c r="E90" s="49" t="s">
        <v>2774</v>
      </c>
      <c r="F90" s="49" t="s">
        <v>2825</v>
      </c>
      <c r="G90" s="49" t="s">
        <v>4891</v>
      </c>
      <c r="H90" s="49" t="s">
        <v>2827</v>
      </c>
      <c r="I90" s="50">
        <v>44746</v>
      </c>
      <c r="M90" s="49" t="s">
        <v>11058</v>
      </c>
    </row>
    <row r="91" spans="1:13" x14ac:dyDescent="0.35">
      <c r="A91" s="49" t="s">
        <v>15103</v>
      </c>
      <c r="B91" s="49" t="s">
        <v>11059</v>
      </c>
      <c r="C91" s="49"/>
      <c r="D91" s="49" t="s">
        <v>1264</v>
      </c>
      <c r="E91" s="49" t="s">
        <v>2974</v>
      </c>
      <c r="F91" s="49" t="s">
        <v>2825</v>
      </c>
      <c r="G91" s="49" t="s">
        <v>2776</v>
      </c>
      <c r="H91" s="49" t="s">
        <v>2827</v>
      </c>
      <c r="I91" s="50">
        <v>44746</v>
      </c>
      <c r="M91" s="49" t="s">
        <v>11060</v>
      </c>
    </row>
    <row r="92" spans="1:13" x14ac:dyDescent="0.35">
      <c r="A92" s="49" t="s">
        <v>15103</v>
      </c>
      <c r="B92" s="49" t="s">
        <v>11737</v>
      </c>
      <c r="C92" s="49" t="s">
        <v>5717</v>
      </c>
      <c r="D92" s="49" t="s">
        <v>1264</v>
      </c>
      <c r="E92" s="49" t="s">
        <v>2986</v>
      </c>
      <c r="F92" s="49" t="s">
        <v>2825</v>
      </c>
      <c r="G92" s="49" t="s">
        <v>4891</v>
      </c>
      <c r="H92" s="49" t="s">
        <v>973</v>
      </c>
      <c r="I92" s="50">
        <v>45237</v>
      </c>
      <c r="M92" s="49" t="s">
        <v>11738</v>
      </c>
    </row>
    <row r="93" spans="1:13" x14ac:dyDescent="0.35">
      <c r="A93" s="49" t="s">
        <v>15103</v>
      </c>
      <c r="B93" s="49" t="s">
        <v>13003</v>
      </c>
      <c r="C93" s="49"/>
      <c r="D93" s="49" t="s">
        <v>1264</v>
      </c>
      <c r="E93" s="49" t="s">
        <v>2986</v>
      </c>
      <c r="F93" s="49" t="s">
        <v>2825</v>
      </c>
      <c r="G93" s="49" t="s">
        <v>4891</v>
      </c>
      <c r="H93" s="49" t="s">
        <v>2827</v>
      </c>
      <c r="I93" s="52">
        <v>46006.507870370398</v>
      </c>
    </row>
    <row r="94" spans="1:13" x14ac:dyDescent="0.35">
      <c r="A94" s="49" t="s">
        <v>14511</v>
      </c>
      <c r="B94" s="49" t="s">
        <v>9612</v>
      </c>
      <c r="C94" s="49"/>
      <c r="D94" s="49" t="s">
        <v>1264</v>
      </c>
      <c r="E94" s="49" t="s">
        <v>3443</v>
      </c>
      <c r="F94" s="49" t="s">
        <v>3124</v>
      </c>
      <c r="G94" s="49" t="s">
        <v>2776</v>
      </c>
      <c r="H94" s="49" t="s">
        <v>980</v>
      </c>
      <c r="I94" s="50">
        <v>42605</v>
      </c>
      <c r="M94" s="49" t="s">
        <v>3613</v>
      </c>
    </row>
    <row r="95" spans="1:13" x14ac:dyDescent="0.35">
      <c r="A95" s="49" t="s">
        <v>15290</v>
      </c>
      <c r="B95" s="49" t="s">
        <v>10554</v>
      </c>
      <c r="C95" s="49"/>
      <c r="D95" s="49" t="s">
        <v>1264</v>
      </c>
      <c r="E95" s="49" t="s">
        <v>2814</v>
      </c>
      <c r="F95" s="49" t="s">
        <v>2825</v>
      </c>
      <c r="G95" s="49" t="s">
        <v>2787</v>
      </c>
      <c r="H95" s="49" t="s">
        <v>2827</v>
      </c>
      <c r="I95" s="50">
        <v>41942</v>
      </c>
      <c r="J95" s="50">
        <v>42090</v>
      </c>
      <c r="K95" s="50">
        <v>42274</v>
      </c>
      <c r="M95" s="49" t="s">
        <v>10556</v>
      </c>
    </row>
    <row r="96" spans="1:13" x14ac:dyDescent="0.35">
      <c r="A96" s="49" t="s">
        <v>15289</v>
      </c>
      <c r="B96" s="49" t="s">
        <v>7205</v>
      </c>
      <c r="C96" s="49" t="s">
        <v>7206</v>
      </c>
      <c r="D96" s="49" t="s">
        <v>1264</v>
      </c>
      <c r="E96" s="49" t="s">
        <v>2974</v>
      </c>
      <c r="F96" s="49" t="s">
        <v>2825</v>
      </c>
      <c r="G96" s="49" t="s">
        <v>2787</v>
      </c>
      <c r="H96" s="49" t="s">
        <v>2827</v>
      </c>
      <c r="I96" s="50">
        <v>39818</v>
      </c>
      <c r="J96" s="50">
        <v>40193</v>
      </c>
      <c r="K96" s="50">
        <v>41289</v>
      </c>
      <c r="M96" s="49" t="s">
        <v>7208</v>
      </c>
    </row>
    <row r="97" spans="1:13" x14ac:dyDescent="0.35">
      <c r="A97" s="49" t="s">
        <v>15289</v>
      </c>
      <c r="B97" s="49" t="s">
        <v>13619</v>
      </c>
      <c r="C97" s="49"/>
      <c r="D97" s="49" t="s">
        <v>1264</v>
      </c>
      <c r="E97" s="49" t="s">
        <v>2908</v>
      </c>
      <c r="F97" s="49" t="s">
        <v>2939</v>
      </c>
      <c r="G97" s="49" t="s">
        <v>2776</v>
      </c>
      <c r="H97" s="49" t="s">
        <v>980</v>
      </c>
      <c r="I97" s="50">
        <v>41817</v>
      </c>
      <c r="M97" s="49" t="s">
        <v>13620</v>
      </c>
    </row>
    <row r="98" spans="1:13" x14ac:dyDescent="0.35">
      <c r="A98" s="49" t="s">
        <v>14320</v>
      </c>
      <c r="B98" s="49" t="s">
        <v>7021</v>
      </c>
      <c r="C98" s="49"/>
      <c r="D98" s="49" t="s">
        <v>1264</v>
      </c>
      <c r="E98" s="49" t="s">
        <v>2814</v>
      </c>
      <c r="F98" s="49" t="s">
        <v>2939</v>
      </c>
      <c r="G98" s="49" t="s">
        <v>2826</v>
      </c>
      <c r="H98" s="49" t="s">
        <v>980</v>
      </c>
      <c r="I98" s="50">
        <v>41281</v>
      </c>
      <c r="M98" s="49" t="s">
        <v>7023</v>
      </c>
    </row>
    <row r="99" spans="1:13" x14ac:dyDescent="0.35">
      <c r="A99" s="49" t="s">
        <v>14320</v>
      </c>
      <c r="B99" s="49" t="s">
        <v>10203</v>
      </c>
      <c r="C99" s="49"/>
      <c r="D99" s="49" t="s">
        <v>1264</v>
      </c>
      <c r="E99" s="49" t="s">
        <v>2814</v>
      </c>
      <c r="F99" s="49" t="s">
        <v>2837</v>
      </c>
      <c r="G99" s="49" t="s">
        <v>2776</v>
      </c>
      <c r="H99" s="49" t="s">
        <v>980</v>
      </c>
      <c r="I99" s="50">
        <v>43242</v>
      </c>
      <c r="M99" s="49" t="s">
        <v>3871</v>
      </c>
    </row>
    <row r="100" spans="1:13" x14ac:dyDescent="0.35">
      <c r="A100" s="49" t="s">
        <v>15133</v>
      </c>
      <c r="B100" s="49" t="s">
        <v>6722</v>
      </c>
      <c r="C100" s="49"/>
      <c r="D100" s="49" t="s">
        <v>1264</v>
      </c>
      <c r="E100" s="49" t="s">
        <v>2785</v>
      </c>
      <c r="F100" s="49" t="s">
        <v>2792</v>
      </c>
      <c r="G100" s="49" t="s">
        <v>2901</v>
      </c>
      <c r="H100" s="49" t="s">
        <v>8</v>
      </c>
      <c r="I100" s="50">
        <v>45805</v>
      </c>
      <c r="J100" s="50">
        <v>45807</v>
      </c>
      <c r="K100" s="50">
        <v>46171</v>
      </c>
      <c r="M100" s="49" t="s">
        <v>6724</v>
      </c>
    </row>
    <row r="101" spans="1:13" x14ac:dyDescent="0.35">
      <c r="A101" s="49" t="s">
        <v>15133</v>
      </c>
      <c r="B101" s="49" t="s">
        <v>6794</v>
      </c>
      <c r="C101" s="49"/>
      <c r="D101" s="49" t="s">
        <v>1264</v>
      </c>
      <c r="E101" s="49" t="s">
        <v>2785</v>
      </c>
      <c r="F101" s="49" t="s">
        <v>2792</v>
      </c>
      <c r="G101" s="49" t="s">
        <v>2901</v>
      </c>
      <c r="H101" s="49" t="s">
        <v>8</v>
      </c>
      <c r="I101" s="52">
        <v>45972.6425578704</v>
      </c>
      <c r="J101" s="50">
        <v>45989</v>
      </c>
      <c r="K101" s="50">
        <v>46353</v>
      </c>
      <c r="M101" s="49" t="s">
        <v>6795</v>
      </c>
    </row>
    <row r="102" spans="1:13" x14ac:dyDescent="0.35">
      <c r="A102" s="49" t="s">
        <v>15133</v>
      </c>
      <c r="B102" s="49" t="s">
        <v>6898</v>
      </c>
      <c r="C102" s="49"/>
      <c r="D102" s="49" t="s">
        <v>1264</v>
      </c>
      <c r="E102" s="49" t="s">
        <v>2785</v>
      </c>
      <c r="F102" s="49" t="s">
        <v>2792</v>
      </c>
      <c r="G102" s="49" t="s">
        <v>4330</v>
      </c>
      <c r="H102" s="49" t="s">
        <v>8</v>
      </c>
      <c r="I102" s="52">
        <v>46008.664525462998</v>
      </c>
      <c r="M102" s="49" t="s">
        <v>6899</v>
      </c>
    </row>
    <row r="103" spans="1:13" x14ac:dyDescent="0.35">
      <c r="A103" s="49" t="s">
        <v>15104</v>
      </c>
      <c r="B103" s="49" t="s">
        <v>3692</v>
      </c>
      <c r="C103" s="49" t="s">
        <v>3468</v>
      </c>
      <c r="D103" s="49" t="s">
        <v>1264</v>
      </c>
      <c r="E103" s="49" t="s">
        <v>3443</v>
      </c>
      <c r="F103" s="49" t="s">
        <v>3124</v>
      </c>
      <c r="G103" s="49" t="s">
        <v>2901</v>
      </c>
      <c r="H103" s="49" t="s">
        <v>980</v>
      </c>
      <c r="I103" s="50">
        <v>43165</v>
      </c>
      <c r="J103" s="50">
        <v>43229</v>
      </c>
      <c r="K103" s="50">
        <v>46881</v>
      </c>
      <c r="L103" s="50">
        <v>45055</v>
      </c>
      <c r="M103" s="49" t="s">
        <v>3694</v>
      </c>
    </row>
    <row r="104" spans="1:13" x14ac:dyDescent="0.35">
      <c r="A104" s="49" t="s">
        <v>15104</v>
      </c>
      <c r="B104" s="49" t="s">
        <v>3750</v>
      </c>
      <c r="C104" s="49" t="s">
        <v>3751</v>
      </c>
      <c r="D104" s="49" t="s">
        <v>1264</v>
      </c>
      <c r="E104" s="49" t="s">
        <v>2986</v>
      </c>
      <c r="F104" s="49" t="s">
        <v>2825</v>
      </c>
      <c r="G104" s="49" t="s">
        <v>2787</v>
      </c>
      <c r="H104" s="49" t="s">
        <v>2827</v>
      </c>
      <c r="I104" s="50">
        <v>43249</v>
      </c>
      <c r="J104" s="50">
        <v>43474</v>
      </c>
      <c r="K104" s="50">
        <v>44570</v>
      </c>
      <c r="M104" s="49" t="s">
        <v>3752</v>
      </c>
    </row>
    <row r="105" spans="1:13" x14ac:dyDescent="0.35">
      <c r="A105" s="49" t="s">
        <v>15104</v>
      </c>
      <c r="B105" s="49" t="s">
        <v>4066</v>
      </c>
      <c r="C105" s="49" t="s">
        <v>4067</v>
      </c>
      <c r="D105" s="49" t="s">
        <v>1264</v>
      </c>
      <c r="E105" s="49" t="s">
        <v>2814</v>
      </c>
      <c r="F105" s="49" t="s">
        <v>2825</v>
      </c>
      <c r="G105" s="49" t="s">
        <v>2787</v>
      </c>
      <c r="H105" s="49" t="s">
        <v>2827</v>
      </c>
      <c r="I105" s="50">
        <v>44011</v>
      </c>
      <c r="J105" s="50">
        <v>44159</v>
      </c>
      <c r="K105" s="50">
        <v>44339</v>
      </c>
      <c r="M105" s="49" t="s">
        <v>4068</v>
      </c>
    </row>
    <row r="106" spans="1:13" x14ac:dyDescent="0.35">
      <c r="A106" s="49" t="s">
        <v>15104</v>
      </c>
      <c r="B106" s="49" t="s">
        <v>4174</v>
      </c>
      <c r="C106" s="49" t="s">
        <v>4175</v>
      </c>
      <c r="D106" s="49" t="s">
        <v>1264</v>
      </c>
      <c r="E106" s="49" t="s">
        <v>2814</v>
      </c>
      <c r="F106" s="49" t="s">
        <v>2837</v>
      </c>
      <c r="G106" s="49" t="s">
        <v>2787</v>
      </c>
      <c r="H106" s="49" t="s">
        <v>980</v>
      </c>
      <c r="I106" s="50">
        <v>44215</v>
      </c>
      <c r="J106" s="50">
        <v>44249</v>
      </c>
      <c r="K106" s="50">
        <v>44429</v>
      </c>
      <c r="M106" s="49" t="s">
        <v>4176</v>
      </c>
    </row>
    <row r="107" spans="1:13" x14ac:dyDescent="0.35">
      <c r="A107" s="49" t="s">
        <v>15104</v>
      </c>
      <c r="B107" s="49" t="s">
        <v>4414</v>
      </c>
      <c r="C107" s="49" t="s">
        <v>3776</v>
      </c>
      <c r="D107" s="49" t="s">
        <v>1264</v>
      </c>
      <c r="E107" s="49" t="s">
        <v>2814</v>
      </c>
      <c r="F107" s="49" t="s">
        <v>2837</v>
      </c>
      <c r="G107" s="49" t="s">
        <v>2787</v>
      </c>
      <c r="H107" s="49" t="s">
        <v>973</v>
      </c>
      <c r="I107" s="50">
        <v>44371</v>
      </c>
      <c r="J107" s="50">
        <v>44390</v>
      </c>
      <c r="K107" s="50">
        <v>44754</v>
      </c>
      <c r="M107" s="49" t="s">
        <v>4415</v>
      </c>
    </row>
    <row r="108" spans="1:13" x14ac:dyDescent="0.35">
      <c r="A108" s="49" t="s">
        <v>15104</v>
      </c>
      <c r="B108" s="49" t="s">
        <v>5172</v>
      </c>
      <c r="C108" s="49" t="s">
        <v>5173</v>
      </c>
      <c r="D108" s="49" t="s">
        <v>1264</v>
      </c>
      <c r="E108" s="49" t="s">
        <v>2908</v>
      </c>
      <c r="F108" s="49" t="s">
        <v>2837</v>
      </c>
      <c r="G108" s="49" t="s">
        <v>2901</v>
      </c>
      <c r="H108" s="49" t="s">
        <v>973</v>
      </c>
      <c r="I108" s="50">
        <v>44215</v>
      </c>
      <c r="J108" s="50">
        <v>44862</v>
      </c>
      <c r="K108" s="50">
        <v>46687</v>
      </c>
      <c r="M108" s="49" t="s">
        <v>5174</v>
      </c>
    </row>
    <row r="109" spans="1:13" x14ac:dyDescent="0.35">
      <c r="A109" s="49" t="s">
        <v>15104</v>
      </c>
      <c r="B109" s="49" t="s">
        <v>5488</v>
      </c>
      <c r="C109" s="49"/>
      <c r="D109" s="49" t="s">
        <v>1264</v>
      </c>
      <c r="E109" s="49" t="s">
        <v>2814</v>
      </c>
      <c r="F109" s="49" t="s">
        <v>2837</v>
      </c>
      <c r="G109" s="49" t="s">
        <v>2787</v>
      </c>
      <c r="H109" s="49" t="s">
        <v>980</v>
      </c>
      <c r="I109" s="50">
        <v>45028</v>
      </c>
      <c r="J109" s="50">
        <v>45058</v>
      </c>
      <c r="K109" s="50">
        <v>45241</v>
      </c>
      <c r="M109" s="49" t="s">
        <v>5490</v>
      </c>
    </row>
    <row r="110" spans="1:13" x14ac:dyDescent="0.35">
      <c r="A110" s="49" t="s">
        <v>15104</v>
      </c>
      <c r="B110" s="49" t="s">
        <v>5666</v>
      </c>
      <c r="C110" s="49"/>
      <c r="D110" s="49" t="s">
        <v>1264</v>
      </c>
      <c r="E110" s="49" t="s">
        <v>2908</v>
      </c>
      <c r="F110" s="49" t="s">
        <v>2837</v>
      </c>
      <c r="G110" s="49" t="s">
        <v>2901</v>
      </c>
      <c r="H110" s="49" t="s">
        <v>980</v>
      </c>
      <c r="I110" s="50">
        <v>45085</v>
      </c>
      <c r="J110" s="50">
        <v>45184</v>
      </c>
      <c r="K110" s="50">
        <v>47010</v>
      </c>
      <c r="M110" s="49" t="s">
        <v>5667</v>
      </c>
    </row>
    <row r="111" spans="1:13" x14ac:dyDescent="0.35">
      <c r="A111" s="49" t="s">
        <v>15104</v>
      </c>
      <c r="B111" s="49" t="s">
        <v>8943</v>
      </c>
      <c r="C111" s="49" t="s">
        <v>3075</v>
      </c>
      <c r="D111" s="49" t="s">
        <v>1264</v>
      </c>
      <c r="E111" s="49" t="s">
        <v>2814</v>
      </c>
      <c r="F111" s="49" t="s">
        <v>2825</v>
      </c>
      <c r="G111" s="49" t="s">
        <v>2787</v>
      </c>
      <c r="H111" s="49" t="s">
        <v>2827</v>
      </c>
      <c r="I111" s="50">
        <v>43185</v>
      </c>
      <c r="J111" s="50">
        <v>43236</v>
      </c>
      <c r="K111" s="50">
        <v>43420</v>
      </c>
      <c r="M111" s="49" t="s">
        <v>3752</v>
      </c>
    </row>
    <row r="112" spans="1:13" x14ac:dyDescent="0.35">
      <c r="A112" s="49" t="s">
        <v>15104</v>
      </c>
      <c r="B112" s="49" t="s">
        <v>10372</v>
      </c>
      <c r="C112" s="49" t="s">
        <v>10373</v>
      </c>
      <c r="D112" s="49" t="s">
        <v>1264</v>
      </c>
      <c r="E112" s="49" t="s">
        <v>2814</v>
      </c>
      <c r="F112" s="49" t="s">
        <v>2825</v>
      </c>
      <c r="G112" s="49" t="s">
        <v>2776</v>
      </c>
      <c r="H112" s="49" t="s">
        <v>2827</v>
      </c>
      <c r="I112" s="50">
        <v>43600</v>
      </c>
      <c r="M112" s="49" t="s">
        <v>10374</v>
      </c>
    </row>
    <row r="113" spans="1:13" x14ac:dyDescent="0.35">
      <c r="A113" s="49" t="s">
        <v>15104</v>
      </c>
      <c r="B113" s="49" t="s">
        <v>10803</v>
      </c>
      <c r="C113" s="49"/>
      <c r="D113" s="49" t="s">
        <v>1264</v>
      </c>
      <c r="E113" s="49" t="s">
        <v>2814</v>
      </c>
      <c r="F113" s="49" t="s">
        <v>2837</v>
      </c>
      <c r="G113" s="49" t="s">
        <v>2776</v>
      </c>
      <c r="H113" s="49" t="s">
        <v>2827</v>
      </c>
      <c r="I113" s="50">
        <v>44319</v>
      </c>
      <c r="M113" s="49" t="s">
        <v>10804</v>
      </c>
    </row>
    <row r="114" spans="1:13" x14ac:dyDescent="0.35">
      <c r="A114" s="49" t="s">
        <v>15104</v>
      </c>
      <c r="B114" s="49" t="s">
        <v>11297</v>
      </c>
      <c r="C114" s="49" t="s">
        <v>11298</v>
      </c>
      <c r="D114" s="49" t="s">
        <v>1264</v>
      </c>
      <c r="E114" s="49" t="s">
        <v>2774</v>
      </c>
      <c r="F114" s="49" t="s">
        <v>4842</v>
      </c>
      <c r="G114" s="49" t="s">
        <v>2776</v>
      </c>
      <c r="H114" s="49" t="s">
        <v>2827</v>
      </c>
      <c r="I114" s="50">
        <v>45007</v>
      </c>
      <c r="M114" s="49" t="s">
        <v>11299</v>
      </c>
    </row>
    <row r="115" spans="1:13" x14ac:dyDescent="0.35">
      <c r="A115" s="49" t="s">
        <v>15642</v>
      </c>
      <c r="B115" s="49" t="s">
        <v>2848</v>
      </c>
      <c r="C115" s="49" t="s">
        <v>2849</v>
      </c>
      <c r="D115" s="49" t="s">
        <v>1264</v>
      </c>
      <c r="E115" s="49" t="s">
        <v>2785</v>
      </c>
      <c r="F115" s="49" t="s">
        <v>2792</v>
      </c>
      <c r="G115" s="49" t="s">
        <v>2787</v>
      </c>
      <c r="H115" s="49" t="s">
        <v>980</v>
      </c>
      <c r="I115" s="50">
        <v>43535</v>
      </c>
      <c r="J115" s="50">
        <v>43903</v>
      </c>
      <c r="K115" s="50">
        <v>44268</v>
      </c>
      <c r="M115" s="49" t="s">
        <v>2851</v>
      </c>
    </row>
    <row r="116" spans="1:13" x14ac:dyDescent="0.35">
      <c r="A116" s="49" t="s">
        <v>15642</v>
      </c>
      <c r="B116" s="49" t="s">
        <v>4168</v>
      </c>
      <c r="C116" s="49"/>
      <c r="D116" s="49" t="s">
        <v>1264</v>
      </c>
      <c r="E116" s="49" t="s">
        <v>2785</v>
      </c>
      <c r="F116" s="49" t="s">
        <v>2792</v>
      </c>
      <c r="G116" s="49" t="s">
        <v>2787</v>
      </c>
      <c r="H116" s="49" t="s">
        <v>980</v>
      </c>
      <c r="I116" s="50">
        <v>44182</v>
      </c>
      <c r="J116" s="50">
        <v>44244</v>
      </c>
      <c r="K116" s="50">
        <v>44426</v>
      </c>
      <c r="M116" s="49" t="s">
        <v>4169</v>
      </c>
    </row>
    <row r="117" spans="1:13" x14ac:dyDescent="0.35">
      <c r="A117" s="49" t="s">
        <v>15642</v>
      </c>
      <c r="B117" s="49" t="s">
        <v>4296</v>
      </c>
      <c r="C117" s="49"/>
      <c r="D117" s="49" t="s">
        <v>1264</v>
      </c>
      <c r="E117" s="49" t="s">
        <v>2785</v>
      </c>
      <c r="F117" s="49" t="s">
        <v>2792</v>
      </c>
      <c r="G117" s="49" t="s">
        <v>2787</v>
      </c>
      <c r="H117" s="49" t="s">
        <v>8</v>
      </c>
      <c r="I117" s="50">
        <v>44294</v>
      </c>
      <c r="J117" s="50">
        <v>44337</v>
      </c>
      <c r="K117" s="50">
        <v>44701</v>
      </c>
      <c r="M117" s="49" t="s">
        <v>4297</v>
      </c>
    </row>
    <row r="118" spans="1:13" x14ac:dyDescent="0.35">
      <c r="A118" s="49" t="s">
        <v>15642</v>
      </c>
      <c r="B118" s="49" t="s">
        <v>4316</v>
      </c>
      <c r="C118" s="49" t="s">
        <v>4317</v>
      </c>
      <c r="D118" s="49" t="s">
        <v>1264</v>
      </c>
      <c r="E118" s="49" t="s">
        <v>2785</v>
      </c>
      <c r="F118" s="49" t="s">
        <v>2792</v>
      </c>
      <c r="G118" s="49" t="s">
        <v>2787</v>
      </c>
      <c r="H118" s="49" t="s">
        <v>8</v>
      </c>
      <c r="I118" s="50">
        <v>44323</v>
      </c>
      <c r="J118" s="50">
        <v>44383</v>
      </c>
      <c r="K118" s="50">
        <v>45428</v>
      </c>
      <c r="M118" s="49" t="s">
        <v>4318</v>
      </c>
    </row>
    <row r="119" spans="1:13" x14ac:dyDescent="0.35">
      <c r="A119" s="49" t="s">
        <v>15642</v>
      </c>
      <c r="B119" s="49" t="s">
        <v>4547</v>
      </c>
      <c r="C119" s="49"/>
      <c r="D119" s="49" t="s">
        <v>1264</v>
      </c>
      <c r="E119" s="49" t="s">
        <v>2785</v>
      </c>
      <c r="F119" s="49" t="s">
        <v>2792</v>
      </c>
      <c r="G119" s="49" t="s">
        <v>2787</v>
      </c>
      <c r="H119" s="49" t="s">
        <v>8</v>
      </c>
      <c r="I119" s="50">
        <v>44375</v>
      </c>
      <c r="J119" s="50">
        <v>44498</v>
      </c>
      <c r="K119" s="50">
        <v>45428</v>
      </c>
      <c r="M119" s="49" t="s">
        <v>4548</v>
      </c>
    </row>
    <row r="120" spans="1:13" x14ac:dyDescent="0.35">
      <c r="A120" s="49" t="s">
        <v>15642</v>
      </c>
      <c r="B120" s="49" t="s">
        <v>4729</v>
      </c>
      <c r="C120" s="49" t="s">
        <v>4718</v>
      </c>
      <c r="D120" s="49" t="s">
        <v>1264</v>
      </c>
      <c r="E120" s="49" t="s">
        <v>2785</v>
      </c>
      <c r="F120" s="49" t="s">
        <v>2792</v>
      </c>
      <c r="G120" s="49" t="s">
        <v>2787</v>
      </c>
      <c r="H120" s="49" t="s">
        <v>980</v>
      </c>
      <c r="I120" s="50">
        <v>44426</v>
      </c>
      <c r="J120" s="50">
        <v>44589</v>
      </c>
      <c r="K120" s="50">
        <v>44953</v>
      </c>
      <c r="M120" s="49" t="s">
        <v>4730</v>
      </c>
    </row>
    <row r="121" spans="1:13" x14ac:dyDescent="0.35">
      <c r="A121" s="49" t="s">
        <v>15642</v>
      </c>
      <c r="B121" s="49" t="s">
        <v>5062</v>
      </c>
      <c r="C121" s="49" t="s">
        <v>5063</v>
      </c>
      <c r="D121" s="49" t="s">
        <v>1264</v>
      </c>
      <c r="E121" s="49" t="s">
        <v>2785</v>
      </c>
      <c r="F121" s="49" t="s">
        <v>2792</v>
      </c>
      <c r="G121" s="49" t="s">
        <v>2787</v>
      </c>
      <c r="H121" s="49" t="s">
        <v>980</v>
      </c>
      <c r="I121" s="50">
        <v>44776</v>
      </c>
      <c r="K121" s="50">
        <v>45511</v>
      </c>
      <c r="M121" s="49" t="s">
        <v>5064</v>
      </c>
    </row>
    <row r="122" spans="1:13" x14ac:dyDescent="0.35">
      <c r="A122" s="49" t="s">
        <v>15642</v>
      </c>
      <c r="B122" s="49" t="s">
        <v>5069</v>
      </c>
      <c r="C122" s="49"/>
      <c r="D122" s="49" t="s">
        <v>1264</v>
      </c>
      <c r="E122" s="49" t="s">
        <v>3443</v>
      </c>
      <c r="F122" s="49" t="s">
        <v>3124</v>
      </c>
      <c r="G122" s="49" t="s">
        <v>2901</v>
      </c>
      <c r="H122" s="49" t="s">
        <v>980</v>
      </c>
      <c r="I122" s="50">
        <v>44447</v>
      </c>
      <c r="J122" s="50">
        <v>44608</v>
      </c>
      <c r="K122" s="50">
        <v>46433</v>
      </c>
    </row>
    <row r="123" spans="1:13" x14ac:dyDescent="0.35">
      <c r="A123" s="49" t="s">
        <v>15642</v>
      </c>
      <c r="B123" s="49" t="s">
        <v>6417</v>
      </c>
      <c r="C123" s="49" t="s">
        <v>6418</v>
      </c>
      <c r="D123" s="49" t="s">
        <v>1264</v>
      </c>
      <c r="E123" s="49" t="s">
        <v>2785</v>
      </c>
      <c r="F123" s="49" t="s">
        <v>2792</v>
      </c>
      <c r="G123" s="49" t="s">
        <v>2787</v>
      </c>
      <c r="H123" s="49" t="s">
        <v>8</v>
      </c>
      <c r="I123" s="50">
        <v>44287</v>
      </c>
      <c r="K123" s="50">
        <v>45510</v>
      </c>
      <c r="M123" s="49" t="s">
        <v>4730</v>
      </c>
    </row>
    <row r="124" spans="1:13" x14ac:dyDescent="0.35">
      <c r="A124" s="49" t="s">
        <v>15642</v>
      </c>
      <c r="B124" s="49" t="s">
        <v>9468</v>
      </c>
      <c r="C124" s="49"/>
      <c r="D124" s="49" t="s">
        <v>1264</v>
      </c>
      <c r="E124" s="49" t="s">
        <v>2785</v>
      </c>
      <c r="F124" s="49" t="s">
        <v>2792</v>
      </c>
      <c r="G124" s="49" t="s">
        <v>2776</v>
      </c>
      <c r="H124" s="49" t="s">
        <v>980</v>
      </c>
      <c r="I124" s="50">
        <v>43319</v>
      </c>
      <c r="M124" s="49" t="s">
        <v>9469</v>
      </c>
    </row>
    <row r="125" spans="1:13" x14ac:dyDescent="0.35">
      <c r="A125" s="49" t="s">
        <v>15642</v>
      </c>
      <c r="B125" s="49" t="s">
        <v>11290</v>
      </c>
      <c r="C125" s="49" t="s">
        <v>7561</v>
      </c>
      <c r="D125" s="49" t="s">
        <v>1264</v>
      </c>
      <c r="E125" s="49" t="s">
        <v>2785</v>
      </c>
      <c r="F125" s="49" t="s">
        <v>2792</v>
      </c>
      <c r="G125" s="49" t="s">
        <v>2776</v>
      </c>
      <c r="H125" s="49" t="s">
        <v>980</v>
      </c>
      <c r="I125" s="50">
        <v>44977</v>
      </c>
      <c r="M125" s="49" t="s">
        <v>11291</v>
      </c>
    </row>
    <row r="126" spans="1:13" x14ac:dyDescent="0.35">
      <c r="A126" s="49" t="s">
        <v>15057</v>
      </c>
      <c r="B126" s="49" t="s">
        <v>4812</v>
      </c>
      <c r="C126" s="49" t="s">
        <v>4813</v>
      </c>
      <c r="D126" s="49" t="s">
        <v>1264</v>
      </c>
      <c r="E126" s="49" t="s">
        <v>2785</v>
      </c>
      <c r="F126" s="49" t="s">
        <v>2792</v>
      </c>
      <c r="G126" s="49" t="s">
        <v>2787</v>
      </c>
      <c r="H126" s="49" t="s">
        <v>980</v>
      </c>
      <c r="I126" s="50">
        <v>44641</v>
      </c>
      <c r="J126" s="50">
        <v>44701</v>
      </c>
      <c r="K126" s="50">
        <v>45065</v>
      </c>
      <c r="M126" s="49" t="s">
        <v>4815</v>
      </c>
    </row>
    <row r="127" spans="1:13" x14ac:dyDescent="0.35">
      <c r="A127" s="49" t="s">
        <v>15057</v>
      </c>
      <c r="B127" s="49" t="s">
        <v>5702</v>
      </c>
      <c r="C127" s="49" t="s">
        <v>2867</v>
      </c>
      <c r="D127" s="49" t="s">
        <v>1264</v>
      </c>
      <c r="E127" s="49" t="s">
        <v>2785</v>
      </c>
      <c r="F127" s="49" t="s">
        <v>2792</v>
      </c>
      <c r="G127" s="49" t="s">
        <v>4330</v>
      </c>
      <c r="H127" s="49" t="s">
        <v>8</v>
      </c>
      <c r="I127" s="50">
        <v>45121</v>
      </c>
      <c r="M127" s="49" t="s">
        <v>5703</v>
      </c>
    </row>
    <row r="128" spans="1:13" x14ac:dyDescent="0.35">
      <c r="A128" s="49" t="s">
        <v>15057</v>
      </c>
      <c r="B128" s="49" t="s">
        <v>11183</v>
      </c>
      <c r="C128" s="49" t="s">
        <v>10932</v>
      </c>
      <c r="D128" s="49" t="s">
        <v>1264</v>
      </c>
      <c r="E128" s="49" t="s">
        <v>2785</v>
      </c>
      <c r="F128" s="49" t="s">
        <v>2792</v>
      </c>
      <c r="G128" s="49" t="s">
        <v>2776</v>
      </c>
      <c r="H128" s="49" t="s">
        <v>980</v>
      </c>
      <c r="I128" s="50">
        <v>44641</v>
      </c>
      <c r="M128" s="49" t="s">
        <v>11184</v>
      </c>
    </row>
    <row r="129" spans="1:13" x14ac:dyDescent="0.35">
      <c r="A129" s="49" t="s">
        <v>14135</v>
      </c>
      <c r="B129" s="49" t="s">
        <v>3867</v>
      </c>
      <c r="C129" s="49" t="s">
        <v>2937</v>
      </c>
      <c r="D129" s="49" t="s">
        <v>1264</v>
      </c>
      <c r="E129" s="49" t="s">
        <v>2908</v>
      </c>
      <c r="F129" s="49" t="s">
        <v>2939</v>
      </c>
      <c r="G129" s="49" t="s">
        <v>2787</v>
      </c>
      <c r="H129" s="49" t="s">
        <v>980</v>
      </c>
      <c r="I129" s="50">
        <v>43444</v>
      </c>
      <c r="J129" s="50">
        <v>43493</v>
      </c>
      <c r="K129" s="50">
        <v>45319</v>
      </c>
      <c r="M129" s="49" t="s">
        <v>3638</v>
      </c>
    </row>
    <row r="130" spans="1:13" x14ac:dyDescent="0.35">
      <c r="A130" s="49" t="s">
        <v>15058</v>
      </c>
      <c r="B130" s="49" t="s">
        <v>9398</v>
      </c>
      <c r="C130" s="49"/>
      <c r="D130" s="49" t="s">
        <v>1264</v>
      </c>
      <c r="E130" s="49" t="s">
        <v>2785</v>
      </c>
      <c r="F130" s="49" t="s">
        <v>2786</v>
      </c>
      <c r="G130" s="49" t="s">
        <v>2776</v>
      </c>
      <c r="H130" s="49" t="s">
        <v>980</v>
      </c>
      <c r="I130" s="50">
        <v>43495</v>
      </c>
      <c r="M130" s="49" t="s">
        <v>9400</v>
      </c>
    </row>
    <row r="131" spans="1:13" x14ac:dyDescent="0.35">
      <c r="A131" s="49" t="s">
        <v>15291</v>
      </c>
      <c r="B131" s="49" t="s">
        <v>6644</v>
      </c>
      <c r="C131" s="49"/>
      <c r="D131" s="49" t="s">
        <v>1264</v>
      </c>
      <c r="E131" s="49" t="s">
        <v>2908</v>
      </c>
      <c r="F131" s="49" t="s">
        <v>4611</v>
      </c>
      <c r="G131" s="49" t="s">
        <v>2901</v>
      </c>
      <c r="H131" s="49" t="s">
        <v>980</v>
      </c>
      <c r="I131" s="50">
        <v>45047</v>
      </c>
      <c r="J131" s="50">
        <v>45090</v>
      </c>
      <c r="K131" s="50">
        <v>46916</v>
      </c>
      <c r="M131" s="49" t="s">
        <v>6646</v>
      </c>
    </row>
    <row r="132" spans="1:13" x14ac:dyDescent="0.35">
      <c r="A132" s="49" t="s">
        <v>15291</v>
      </c>
      <c r="B132" s="49" t="s">
        <v>11814</v>
      </c>
      <c r="C132" s="49" t="s">
        <v>5810</v>
      </c>
      <c r="D132" s="49" t="s">
        <v>1264</v>
      </c>
      <c r="E132" s="49" t="s">
        <v>2785</v>
      </c>
      <c r="F132" s="49" t="s">
        <v>2786</v>
      </c>
      <c r="G132" s="49" t="s">
        <v>4891</v>
      </c>
      <c r="H132" s="49" t="s">
        <v>980</v>
      </c>
      <c r="I132" s="50">
        <v>45229</v>
      </c>
      <c r="M132" s="49" t="s">
        <v>11815</v>
      </c>
    </row>
    <row r="133" spans="1:13" x14ac:dyDescent="0.35">
      <c r="A133" s="49" t="s">
        <v>14486</v>
      </c>
      <c r="B133" s="49" t="s">
        <v>9298</v>
      </c>
      <c r="C133" s="49" t="s">
        <v>9299</v>
      </c>
      <c r="D133" s="49" t="s">
        <v>1264</v>
      </c>
      <c r="E133" s="49" t="s">
        <v>2908</v>
      </c>
      <c r="F133" s="49" t="s">
        <v>2805</v>
      </c>
      <c r="G133" s="49" t="s">
        <v>2975</v>
      </c>
      <c r="H133" s="49" t="s">
        <v>2827</v>
      </c>
      <c r="I133" s="50">
        <v>43406</v>
      </c>
      <c r="M133" s="49" t="s">
        <v>3470</v>
      </c>
    </row>
    <row r="134" spans="1:13" x14ac:dyDescent="0.35">
      <c r="A134" s="49" t="s">
        <v>8341</v>
      </c>
      <c r="B134" s="49" t="s">
        <v>8339</v>
      </c>
      <c r="C134" s="49" t="s">
        <v>8340</v>
      </c>
      <c r="D134" s="49" t="s">
        <v>1264</v>
      </c>
      <c r="E134" s="49" t="s">
        <v>2774</v>
      </c>
      <c r="F134" s="49" t="s">
        <v>2825</v>
      </c>
      <c r="G134" s="49" t="s">
        <v>2787</v>
      </c>
      <c r="H134" s="49" t="s">
        <v>2827</v>
      </c>
      <c r="I134" s="50">
        <v>41327</v>
      </c>
      <c r="J134" s="50">
        <v>41450</v>
      </c>
      <c r="K134" s="50">
        <v>42545</v>
      </c>
      <c r="M134" s="49" t="s">
        <v>8342</v>
      </c>
    </row>
    <row r="135" spans="1:13" x14ac:dyDescent="0.35">
      <c r="A135" s="49" t="s">
        <v>15630</v>
      </c>
      <c r="B135" s="49" t="s">
        <v>3836</v>
      </c>
      <c r="C135" s="49" t="s">
        <v>3205</v>
      </c>
      <c r="D135" s="49" t="s">
        <v>1264</v>
      </c>
      <c r="E135" s="49" t="s">
        <v>2974</v>
      </c>
      <c r="F135" s="49" t="s">
        <v>3005</v>
      </c>
      <c r="G135" s="49" t="s">
        <v>2826</v>
      </c>
      <c r="H135" s="49" t="s">
        <v>3229</v>
      </c>
      <c r="I135" s="50">
        <v>43375</v>
      </c>
      <c r="J135" s="50">
        <v>43474</v>
      </c>
      <c r="K135" s="50">
        <v>45300</v>
      </c>
      <c r="M135" s="49" t="s">
        <v>3838</v>
      </c>
    </row>
    <row r="136" spans="1:13" x14ac:dyDescent="0.35">
      <c r="A136" s="49" t="s">
        <v>15630</v>
      </c>
      <c r="B136" s="49" t="s">
        <v>3994</v>
      </c>
      <c r="C136" s="49" t="s">
        <v>3995</v>
      </c>
      <c r="D136" s="49" t="s">
        <v>1264</v>
      </c>
      <c r="E136" s="49" t="s">
        <v>3996</v>
      </c>
      <c r="F136" s="49" t="s">
        <v>3005</v>
      </c>
      <c r="G136" s="49" t="s">
        <v>3997</v>
      </c>
      <c r="H136" s="49" t="s">
        <v>980</v>
      </c>
      <c r="M136" s="49" t="s">
        <v>3998</v>
      </c>
    </row>
    <row r="137" spans="1:13" x14ac:dyDescent="0.35">
      <c r="A137" s="49" t="s">
        <v>15630</v>
      </c>
      <c r="B137" s="49" t="s">
        <v>7457</v>
      </c>
      <c r="C137" s="49" t="s">
        <v>5830</v>
      </c>
      <c r="D137" s="49" t="s">
        <v>1264</v>
      </c>
      <c r="E137" s="49" t="s">
        <v>2774</v>
      </c>
      <c r="F137" s="49" t="s">
        <v>2775</v>
      </c>
      <c r="G137" s="49" t="s">
        <v>3602</v>
      </c>
      <c r="H137" s="49" t="s">
        <v>980</v>
      </c>
      <c r="I137" s="50">
        <v>40932</v>
      </c>
      <c r="J137" s="50">
        <v>40935</v>
      </c>
      <c r="K137" s="50">
        <v>41880</v>
      </c>
      <c r="M137" s="49" t="s">
        <v>7458</v>
      </c>
    </row>
    <row r="138" spans="1:13" x14ac:dyDescent="0.35">
      <c r="A138" s="49" t="s">
        <v>15630</v>
      </c>
      <c r="B138" s="49" t="s">
        <v>8516</v>
      </c>
      <c r="C138" s="49" t="s">
        <v>2795</v>
      </c>
      <c r="D138" s="49" t="s">
        <v>1264</v>
      </c>
      <c r="E138" s="49" t="s">
        <v>2774</v>
      </c>
      <c r="F138" s="49" t="s">
        <v>4259</v>
      </c>
      <c r="G138" s="49" t="s">
        <v>3602</v>
      </c>
      <c r="H138" s="49" t="s">
        <v>980</v>
      </c>
      <c r="I138" s="50">
        <v>40932</v>
      </c>
      <c r="J138" s="50">
        <v>40935</v>
      </c>
      <c r="K138" s="50">
        <v>41844</v>
      </c>
      <c r="M138" s="49" t="s">
        <v>8517</v>
      </c>
    </row>
    <row r="139" spans="1:13" x14ac:dyDescent="0.35">
      <c r="A139" s="49" t="s">
        <v>15630</v>
      </c>
      <c r="B139" s="49" t="s">
        <v>8562</v>
      </c>
      <c r="C139" s="49" t="s">
        <v>4659</v>
      </c>
      <c r="D139" s="49" t="s">
        <v>1264</v>
      </c>
      <c r="E139" s="49" t="s">
        <v>2974</v>
      </c>
      <c r="F139" s="49" t="s">
        <v>2900</v>
      </c>
      <c r="G139" s="49" t="s">
        <v>2975</v>
      </c>
      <c r="H139" s="49" t="s">
        <v>2827</v>
      </c>
      <c r="I139" s="50">
        <v>41375</v>
      </c>
      <c r="J139" s="50">
        <v>41516</v>
      </c>
      <c r="K139" s="50">
        <v>42611</v>
      </c>
      <c r="M139" s="49" t="s">
        <v>8563</v>
      </c>
    </row>
    <row r="140" spans="1:13" x14ac:dyDescent="0.35">
      <c r="A140" s="49" t="s">
        <v>15630</v>
      </c>
      <c r="B140" s="49" t="s">
        <v>8699</v>
      </c>
      <c r="C140" s="49" t="s">
        <v>8700</v>
      </c>
      <c r="D140" s="49" t="s">
        <v>1264</v>
      </c>
      <c r="E140" s="49" t="s">
        <v>2814</v>
      </c>
      <c r="F140" s="49" t="s">
        <v>2900</v>
      </c>
      <c r="G140" s="49" t="s">
        <v>2826</v>
      </c>
      <c r="H140" s="49" t="s">
        <v>3229</v>
      </c>
      <c r="I140" s="50">
        <v>41243</v>
      </c>
      <c r="M140" s="49" t="s">
        <v>8701</v>
      </c>
    </row>
    <row r="141" spans="1:13" x14ac:dyDescent="0.35">
      <c r="A141" s="49" t="s">
        <v>15630</v>
      </c>
      <c r="B141" s="49" t="s">
        <v>8752</v>
      </c>
      <c r="C141" s="49"/>
      <c r="D141" s="49" t="s">
        <v>1264</v>
      </c>
      <c r="E141" s="49" t="s">
        <v>2814</v>
      </c>
      <c r="F141" s="49" t="s">
        <v>2900</v>
      </c>
      <c r="G141" s="49" t="s">
        <v>2826</v>
      </c>
      <c r="H141" s="49" t="s">
        <v>3229</v>
      </c>
      <c r="I141" s="50">
        <v>41388</v>
      </c>
      <c r="M141" s="49" t="s">
        <v>8753</v>
      </c>
    </row>
    <row r="142" spans="1:13" x14ac:dyDescent="0.35">
      <c r="A142" s="49" t="s">
        <v>15630</v>
      </c>
      <c r="B142" s="49" t="s">
        <v>8761</v>
      </c>
      <c r="C142" s="49" t="s">
        <v>8762</v>
      </c>
      <c r="D142" s="49" t="s">
        <v>1264</v>
      </c>
      <c r="E142" s="49" t="s">
        <v>2774</v>
      </c>
      <c r="F142" s="49" t="s">
        <v>2900</v>
      </c>
      <c r="G142" s="49" t="s">
        <v>2776</v>
      </c>
      <c r="H142" s="49" t="s">
        <v>2827</v>
      </c>
      <c r="I142" s="50">
        <v>41361</v>
      </c>
      <c r="M142" s="49" t="s">
        <v>8763</v>
      </c>
    </row>
    <row r="143" spans="1:13" x14ac:dyDescent="0.35">
      <c r="A143" s="49" t="s">
        <v>15630</v>
      </c>
      <c r="B143" s="49" t="s">
        <v>9109</v>
      </c>
      <c r="C143" s="49" t="s">
        <v>3260</v>
      </c>
      <c r="D143" s="49" t="s">
        <v>1264</v>
      </c>
      <c r="E143" s="49" t="s">
        <v>2814</v>
      </c>
      <c r="F143" s="49" t="s">
        <v>2900</v>
      </c>
      <c r="G143" s="49" t="s">
        <v>2787</v>
      </c>
      <c r="H143" s="49" t="s">
        <v>3229</v>
      </c>
      <c r="I143" s="50">
        <v>41694</v>
      </c>
      <c r="M143" s="49" t="s">
        <v>9110</v>
      </c>
    </row>
    <row r="144" spans="1:13" x14ac:dyDescent="0.35">
      <c r="A144" s="49" t="s">
        <v>15630</v>
      </c>
      <c r="B144" s="49" t="s">
        <v>9608</v>
      </c>
      <c r="C144" s="49"/>
      <c r="D144" s="49" t="s">
        <v>1264</v>
      </c>
      <c r="E144" s="49" t="s">
        <v>2785</v>
      </c>
      <c r="F144" s="49" t="s">
        <v>2792</v>
      </c>
      <c r="G144" s="49" t="s">
        <v>2776</v>
      </c>
      <c r="H144" s="49" t="s">
        <v>980</v>
      </c>
      <c r="I144" s="50">
        <v>43754</v>
      </c>
      <c r="M144" s="49" t="s">
        <v>9609</v>
      </c>
    </row>
    <row r="145" spans="1:13" x14ac:dyDescent="0.35">
      <c r="A145" s="49" t="s">
        <v>15630</v>
      </c>
      <c r="B145" s="49" t="s">
        <v>10685</v>
      </c>
      <c r="C145" s="49" t="s">
        <v>3260</v>
      </c>
      <c r="D145" s="49" t="s">
        <v>1264</v>
      </c>
      <c r="E145" s="49" t="s">
        <v>2899</v>
      </c>
      <c r="F145" s="49" t="s">
        <v>2900</v>
      </c>
      <c r="G145" s="49" t="s">
        <v>2776</v>
      </c>
      <c r="H145" s="49" t="s">
        <v>3229</v>
      </c>
      <c r="I145" s="50">
        <v>42310</v>
      </c>
      <c r="M145" s="49" t="s">
        <v>10687</v>
      </c>
    </row>
    <row r="146" spans="1:13" x14ac:dyDescent="0.35">
      <c r="A146" s="49" t="s">
        <v>15630</v>
      </c>
      <c r="B146" s="49" t="s">
        <v>13802</v>
      </c>
      <c r="C146" s="49" t="s">
        <v>3995</v>
      </c>
      <c r="D146" s="49" t="s">
        <v>1264</v>
      </c>
      <c r="E146" s="49" t="s">
        <v>2774</v>
      </c>
      <c r="F146" s="49" t="s">
        <v>3005</v>
      </c>
      <c r="G146" s="49" t="s">
        <v>2776</v>
      </c>
      <c r="H146" s="49" t="s">
        <v>980</v>
      </c>
      <c r="I146" s="50">
        <v>41771</v>
      </c>
      <c r="M146" s="49" t="s">
        <v>13803</v>
      </c>
    </row>
    <row r="147" spans="1:13" x14ac:dyDescent="0.35">
      <c r="A147" s="49" t="s">
        <v>15630</v>
      </c>
      <c r="B147" s="49" t="s">
        <v>13807</v>
      </c>
      <c r="C147" s="49" t="s">
        <v>7470</v>
      </c>
      <c r="D147" s="49" t="s">
        <v>1264</v>
      </c>
      <c r="E147" s="49" t="s">
        <v>2774</v>
      </c>
      <c r="F147" s="49" t="s">
        <v>2900</v>
      </c>
      <c r="G147" s="49" t="s">
        <v>2776</v>
      </c>
      <c r="H147" s="49" t="s">
        <v>980</v>
      </c>
      <c r="I147" s="50">
        <v>41680</v>
      </c>
      <c r="M147" s="49" t="s">
        <v>13808</v>
      </c>
    </row>
    <row r="148" spans="1:13" x14ac:dyDescent="0.35">
      <c r="A148" s="49" t="s">
        <v>15630</v>
      </c>
      <c r="B148" s="49" t="s">
        <v>13903</v>
      </c>
      <c r="C148" s="49" t="s">
        <v>3995</v>
      </c>
      <c r="D148" s="49" t="s">
        <v>1264</v>
      </c>
      <c r="E148" s="49" t="s">
        <v>2774</v>
      </c>
      <c r="F148" s="49" t="s">
        <v>3005</v>
      </c>
      <c r="G148" s="49" t="s">
        <v>2776</v>
      </c>
      <c r="H148" s="49" t="s">
        <v>8</v>
      </c>
      <c r="I148" s="50">
        <v>41887</v>
      </c>
      <c r="M148" s="49" t="s">
        <v>13904</v>
      </c>
    </row>
    <row r="149" spans="1:13" x14ac:dyDescent="0.35">
      <c r="A149" s="49" t="s">
        <v>15630</v>
      </c>
      <c r="B149" s="49" t="s">
        <v>14022</v>
      </c>
      <c r="C149" s="49"/>
      <c r="D149" s="49" t="s">
        <v>1264</v>
      </c>
      <c r="E149" s="49" t="s">
        <v>2774</v>
      </c>
      <c r="F149" s="49" t="s">
        <v>2900</v>
      </c>
      <c r="G149" s="49" t="s">
        <v>2776</v>
      </c>
      <c r="H149" s="49" t="s">
        <v>3229</v>
      </c>
      <c r="I149" s="50">
        <v>41261</v>
      </c>
      <c r="M149" s="49" t="s">
        <v>14023</v>
      </c>
    </row>
    <row r="150" spans="1:13" x14ac:dyDescent="0.35">
      <c r="A150" s="49" t="s">
        <v>14393</v>
      </c>
      <c r="B150" s="49" t="s">
        <v>7975</v>
      </c>
      <c r="C150" s="49" t="s">
        <v>7976</v>
      </c>
      <c r="D150" s="49" t="s">
        <v>1264</v>
      </c>
      <c r="E150" s="49" t="s">
        <v>2974</v>
      </c>
      <c r="F150" s="49" t="s">
        <v>2775</v>
      </c>
      <c r="G150" s="49" t="s">
        <v>2975</v>
      </c>
      <c r="H150" s="49" t="s">
        <v>980</v>
      </c>
      <c r="I150" s="50">
        <v>39682</v>
      </c>
      <c r="J150" s="50">
        <v>39913</v>
      </c>
      <c r="K150" s="50">
        <v>41008</v>
      </c>
      <c r="M150" s="49" t="s">
        <v>7978</v>
      </c>
    </row>
    <row r="151" spans="1:13" x14ac:dyDescent="0.35">
      <c r="A151" s="49" t="s">
        <v>15632</v>
      </c>
      <c r="B151" s="49" t="s">
        <v>7453</v>
      </c>
      <c r="C151" s="49" t="s">
        <v>7454</v>
      </c>
      <c r="D151" s="49" t="s">
        <v>1264</v>
      </c>
      <c r="E151" s="49" t="s">
        <v>2774</v>
      </c>
      <c r="F151" s="49" t="s">
        <v>2780</v>
      </c>
      <c r="G151" s="49" t="s">
        <v>2787</v>
      </c>
      <c r="H151" s="49" t="s">
        <v>3207</v>
      </c>
      <c r="I151" s="50">
        <v>40910</v>
      </c>
      <c r="J151" s="50">
        <v>40935</v>
      </c>
      <c r="K151" s="50">
        <v>42211</v>
      </c>
      <c r="M151" s="49" t="s">
        <v>7456</v>
      </c>
    </row>
    <row r="152" spans="1:13" x14ac:dyDescent="0.35">
      <c r="A152" s="49" t="s">
        <v>10660</v>
      </c>
      <c r="B152" s="49" t="s">
        <v>10659</v>
      </c>
      <c r="C152" s="49"/>
      <c r="D152" s="49" t="s">
        <v>1264</v>
      </c>
      <c r="E152" s="49" t="s">
        <v>2908</v>
      </c>
      <c r="F152" s="49" t="s">
        <v>2805</v>
      </c>
      <c r="G152" s="49" t="s">
        <v>2776</v>
      </c>
      <c r="H152" s="49" t="s">
        <v>980</v>
      </c>
      <c r="I152" s="50">
        <v>43998</v>
      </c>
      <c r="M152" s="49" t="s">
        <v>10661</v>
      </c>
    </row>
    <row r="153" spans="1:13" x14ac:dyDescent="0.35">
      <c r="A153" s="49" t="s">
        <v>14076</v>
      </c>
      <c r="B153" s="49" t="s">
        <v>3020</v>
      </c>
      <c r="C153" s="49" t="s">
        <v>3021</v>
      </c>
      <c r="D153" s="49" t="s">
        <v>1264</v>
      </c>
      <c r="E153" s="49" t="s">
        <v>2774</v>
      </c>
      <c r="F153" s="49" t="s">
        <v>2900</v>
      </c>
      <c r="G153" s="49" t="s">
        <v>2975</v>
      </c>
      <c r="H153" s="49" t="s">
        <v>2832</v>
      </c>
      <c r="I153" s="50">
        <v>39282</v>
      </c>
      <c r="J153" s="50">
        <v>40940</v>
      </c>
      <c r="K153" s="50">
        <v>42035</v>
      </c>
      <c r="M153" s="49" t="s">
        <v>3023</v>
      </c>
    </row>
    <row r="154" spans="1:13" x14ac:dyDescent="0.35">
      <c r="A154" s="49" t="s">
        <v>14076</v>
      </c>
      <c r="B154" s="49" t="s">
        <v>14024</v>
      </c>
      <c r="C154" s="49" t="s">
        <v>3372</v>
      </c>
      <c r="D154" s="49" t="s">
        <v>1264</v>
      </c>
      <c r="E154" s="49" t="s">
        <v>2774</v>
      </c>
      <c r="F154" s="49" t="s">
        <v>2900</v>
      </c>
      <c r="G154" s="49" t="s">
        <v>2776</v>
      </c>
      <c r="H154" s="49" t="s">
        <v>3229</v>
      </c>
      <c r="I154" s="50">
        <v>40654</v>
      </c>
      <c r="M154" s="49" t="s">
        <v>14025</v>
      </c>
    </row>
    <row r="155" spans="1:13" x14ac:dyDescent="0.35">
      <c r="A155" s="49" t="s">
        <v>14082</v>
      </c>
      <c r="B155" s="49" t="s">
        <v>3130</v>
      </c>
      <c r="C155" s="49" t="s">
        <v>3131</v>
      </c>
      <c r="D155" s="49" t="s">
        <v>1264</v>
      </c>
      <c r="E155" s="49" t="s">
        <v>2774</v>
      </c>
      <c r="F155" s="49" t="s">
        <v>2825</v>
      </c>
      <c r="G155" s="49" t="s">
        <v>2787</v>
      </c>
      <c r="H155" s="49" t="s">
        <v>2827</v>
      </c>
      <c r="I155" s="50">
        <v>40359</v>
      </c>
      <c r="J155" s="50">
        <v>40513</v>
      </c>
      <c r="K155" s="50">
        <v>42704</v>
      </c>
      <c r="M155" s="49" t="s">
        <v>3133</v>
      </c>
    </row>
    <row r="156" spans="1:13" x14ac:dyDescent="0.35">
      <c r="A156" s="49" t="s">
        <v>14082</v>
      </c>
      <c r="B156" s="49" t="s">
        <v>4245</v>
      </c>
      <c r="C156" s="49" t="s">
        <v>4246</v>
      </c>
      <c r="D156" s="49" t="s">
        <v>1264</v>
      </c>
      <c r="E156" s="49" t="s">
        <v>2774</v>
      </c>
      <c r="F156" s="49" t="s">
        <v>2825</v>
      </c>
      <c r="G156" s="49" t="s">
        <v>2787</v>
      </c>
      <c r="H156" s="49" t="s">
        <v>2827</v>
      </c>
      <c r="I156" s="50">
        <v>40359</v>
      </c>
      <c r="J156" s="50">
        <v>43896</v>
      </c>
      <c r="K156" s="50">
        <v>44625</v>
      </c>
      <c r="M156" s="49" t="s">
        <v>4247</v>
      </c>
    </row>
    <row r="157" spans="1:13" x14ac:dyDescent="0.35">
      <c r="A157" s="49" t="s">
        <v>14082</v>
      </c>
      <c r="B157" s="49" t="s">
        <v>13758</v>
      </c>
      <c r="C157" s="49"/>
      <c r="D157" s="49" t="s">
        <v>1264</v>
      </c>
      <c r="E157" s="49" t="s">
        <v>3413</v>
      </c>
      <c r="F157" s="49" t="s">
        <v>2825</v>
      </c>
      <c r="G157" s="49" t="s">
        <v>2776</v>
      </c>
      <c r="H157" s="49" t="s">
        <v>2827</v>
      </c>
      <c r="I157" s="50">
        <v>42370</v>
      </c>
      <c r="M157" s="49" t="s">
        <v>13760</v>
      </c>
    </row>
    <row r="158" spans="1:13" x14ac:dyDescent="0.35">
      <c r="A158" s="49" t="s">
        <v>15643</v>
      </c>
      <c r="B158" s="49" t="s">
        <v>3410</v>
      </c>
      <c r="C158" s="49" t="s">
        <v>3411</v>
      </c>
      <c r="D158" s="49" t="s">
        <v>1264</v>
      </c>
      <c r="E158" s="49" t="s">
        <v>3413</v>
      </c>
      <c r="F158" s="49" t="s">
        <v>2825</v>
      </c>
      <c r="G158" s="49" t="s">
        <v>2901</v>
      </c>
      <c r="H158" s="49" t="s">
        <v>2827</v>
      </c>
      <c r="I158" s="50">
        <v>42097</v>
      </c>
      <c r="J158" s="50">
        <v>44228</v>
      </c>
      <c r="K158" s="50">
        <v>46053</v>
      </c>
      <c r="M158" s="49" t="s">
        <v>3414</v>
      </c>
    </row>
    <row r="159" spans="1:13" x14ac:dyDescent="0.35">
      <c r="A159" s="49" t="s">
        <v>15643</v>
      </c>
      <c r="B159" s="49" t="s">
        <v>4032</v>
      </c>
      <c r="C159" s="49" t="s">
        <v>3411</v>
      </c>
      <c r="D159" s="49" t="s">
        <v>1264</v>
      </c>
      <c r="E159" s="49" t="s">
        <v>2974</v>
      </c>
      <c r="F159" s="49" t="s">
        <v>2825</v>
      </c>
      <c r="G159" s="49" t="s">
        <v>2776</v>
      </c>
      <c r="H159" s="49" t="s">
        <v>2827</v>
      </c>
      <c r="I159" s="50">
        <v>40750</v>
      </c>
      <c r="M159" s="49" t="s">
        <v>4034</v>
      </c>
    </row>
    <row r="160" spans="1:13" x14ac:dyDescent="0.35">
      <c r="A160" s="49" t="s">
        <v>15643</v>
      </c>
      <c r="B160" s="49" t="s">
        <v>6996</v>
      </c>
      <c r="C160" s="49" t="s">
        <v>6997</v>
      </c>
      <c r="D160" s="49" t="s">
        <v>1264</v>
      </c>
      <c r="E160" s="49" t="s">
        <v>2974</v>
      </c>
      <c r="F160" s="49" t="s">
        <v>2825</v>
      </c>
      <c r="G160" s="49" t="s">
        <v>2787</v>
      </c>
      <c r="H160" s="49" t="s">
        <v>2827</v>
      </c>
      <c r="I160" s="50">
        <v>40885</v>
      </c>
      <c r="J160" s="50">
        <v>41099</v>
      </c>
      <c r="K160" s="50">
        <v>42193</v>
      </c>
      <c r="M160" s="49" t="s">
        <v>4034</v>
      </c>
    </row>
    <row r="161" spans="1:13" x14ac:dyDescent="0.35">
      <c r="A161" s="49" t="s">
        <v>15643</v>
      </c>
      <c r="B161" s="49" t="s">
        <v>8871</v>
      </c>
      <c r="C161" s="49"/>
      <c r="D161" s="49" t="s">
        <v>1264</v>
      </c>
      <c r="E161" s="49" t="s">
        <v>2974</v>
      </c>
      <c r="F161" s="49" t="s">
        <v>2825</v>
      </c>
      <c r="G161" s="49" t="s">
        <v>2776</v>
      </c>
      <c r="H161" s="49" t="s">
        <v>2827</v>
      </c>
      <c r="I161" s="50">
        <v>40835</v>
      </c>
      <c r="M161" s="49" t="s">
        <v>8872</v>
      </c>
    </row>
    <row r="162" spans="1:13" x14ac:dyDescent="0.35">
      <c r="A162" s="49" t="s">
        <v>15643</v>
      </c>
      <c r="B162" s="49" t="s">
        <v>10041</v>
      </c>
      <c r="C162" s="49" t="s">
        <v>10042</v>
      </c>
      <c r="D162" s="49" t="s">
        <v>1264</v>
      </c>
      <c r="E162" s="49" t="s">
        <v>2974</v>
      </c>
      <c r="F162" s="49" t="s">
        <v>2825</v>
      </c>
      <c r="G162" s="49" t="s">
        <v>2776</v>
      </c>
      <c r="H162" s="49" t="s">
        <v>2827</v>
      </c>
      <c r="I162" s="50">
        <v>41618</v>
      </c>
      <c r="M162" s="49" t="s">
        <v>10043</v>
      </c>
    </row>
    <row r="163" spans="1:13" x14ac:dyDescent="0.35">
      <c r="A163" s="49" t="s">
        <v>15643</v>
      </c>
      <c r="B163" s="49" t="s">
        <v>10061</v>
      </c>
      <c r="C163" s="49" t="s">
        <v>10062</v>
      </c>
      <c r="D163" s="49" t="s">
        <v>1264</v>
      </c>
      <c r="E163" s="49" t="s">
        <v>2974</v>
      </c>
      <c r="F163" s="49" t="s">
        <v>2825</v>
      </c>
      <c r="G163" s="49" t="s">
        <v>2776</v>
      </c>
      <c r="H163" s="49" t="s">
        <v>2827</v>
      </c>
      <c r="I163" s="50">
        <v>41621</v>
      </c>
      <c r="M163" s="49" t="s">
        <v>10063</v>
      </c>
    </row>
    <row r="164" spans="1:13" x14ac:dyDescent="0.35">
      <c r="A164" s="49" t="s">
        <v>15643</v>
      </c>
      <c r="B164" s="49" t="s">
        <v>13684</v>
      </c>
      <c r="C164" s="49" t="s">
        <v>10495</v>
      </c>
      <c r="D164" s="49" t="s">
        <v>1264</v>
      </c>
      <c r="E164" s="49" t="s">
        <v>2986</v>
      </c>
      <c r="F164" s="49" t="s">
        <v>2825</v>
      </c>
      <c r="G164" s="49" t="s">
        <v>2787</v>
      </c>
      <c r="H164" s="49" t="s">
        <v>2827</v>
      </c>
      <c r="I164" s="50">
        <v>42783</v>
      </c>
      <c r="M164" s="49" t="s">
        <v>3270</v>
      </c>
    </row>
    <row r="165" spans="1:13" x14ac:dyDescent="0.35">
      <c r="A165" s="49" t="s">
        <v>15134</v>
      </c>
      <c r="B165" s="49" t="s">
        <v>5221</v>
      </c>
      <c r="C165" s="49" t="s">
        <v>5222</v>
      </c>
      <c r="D165" s="49" t="s">
        <v>1264</v>
      </c>
      <c r="E165" s="49" t="s">
        <v>2814</v>
      </c>
      <c r="F165" s="49" t="s">
        <v>3188</v>
      </c>
      <c r="G165" s="49" t="s">
        <v>2787</v>
      </c>
      <c r="H165" s="49" t="s">
        <v>973</v>
      </c>
      <c r="I165" s="50">
        <v>44895</v>
      </c>
      <c r="J165" s="50">
        <v>44915</v>
      </c>
      <c r="K165" s="50">
        <v>45096</v>
      </c>
      <c r="M165" s="49" t="s">
        <v>5224</v>
      </c>
    </row>
    <row r="166" spans="1:13" x14ac:dyDescent="0.35">
      <c r="A166" s="49" t="s">
        <v>15134</v>
      </c>
      <c r="B166" s="49" t="s">
        <v>5716</v>
      </c>
      <c r="C166" s="49" t="s">
        <v>5717</v>
      </c>
      <c r="D166" s="49" t="s">
        <v>1264</v>
      </c>
      <c r="E166" s="49" t="s">
        <v>2974</v>
      </c>
      <c r="F166" s="49" t="s">
        <v>2825</v>
      </c>
      <c r="G166" s="49" t="s">
        <v>2901</v>
      </c>
      <c r="H166" s="49" t="s">
        <v>973</v>
      </c>
      <c r="I166" s="50">
        <v>45098</v>
      </c>
      <c r="J166" s="50">
        <v>45145</v>
      </c>
      <c r="K166" s="50">
        <v>46971</v>
      </c>
      <c r="M166" s="49" t="s">
        <v>5718</v>
      </c>
    </row>
    <row r="167" spans="1:13" x14ac:dyDescent="0.35">
      <c r="A167" s="49" t="s">
        <v>15134</v>
      </c>
      <c r="B167" s="49" t="s">
        <v>6174</v>
      </c>
      <c r="C167" s="49"/>
      <c r="D167" s="49" t="s">
        <v>1264</v>
      </c>
      <c r="E167" s="49" t="s">
        <v>2974</v>
      </c>
      <c r="F167" s="49" t="s">
        <v>3188</v>
      </c>
      <c r="G167" s="49" t="s">
        <v>2901</v>
      </c>
      <c r="H167" s="49" t="s">
        <v>973</v>
      </c>
      <c r="I167" s="50">
        <v>45099</v>
      </c>
      <c r="J167" s="50">
        <v>45308</v>
      </c>
      <c r="K167" s="50">
        <v>47134</v>
      </c>
      <c r="M167" s="49" t="s">
        <v>6175</v>
      </c>
    </row>
    <row r="168" spans="1:13" x14ac:dyDescent="0.35">
      <c r="A168" s="49" t="s">
        <v>15134</v>
      </c>
      <c r="B168" s="49" t="s">
        <v>6533</v>
      </c>
      <c r="C168" s="49"/>
      <c r="D168" s="49" t="s">
        <v>1264</v>
      </c>
      <c r="E168" s="49" t="s">
        <v>2814</v>
      </c>
      <c r="F168" s="49" t="s">
        <v>5254</v>
      </c>
      <c r="G168" s="49" t="s">
        <v>2787</v>
      </c>
      <c r="H168" s="49" t="s">
        <v>2827</v>
      </c>
      <c r="I168" s="50">
        <v>45295</v>
      </c>
      <c r="J168" s="50">
        <v>45296</v>
      </c>
      <c r="K168" s="50">
        <v>45477</v>
      </c>
      <c r="M168" s="49" t="s">
        <v>6534</v>
      </c>
    </row>
    <row r="169" spans="1:13" x14ac:dyDescent="0.35">
      <c r="A169" s="49" t="s">
        <v>15134</v>
      </c>
      <c r="B169" s="49" t="s">
        <v>11190</v>
      </c>
      <c r="C169" s="49"/>
      <c r="D169" s="49" t="s">
        <v>1264</v>
      </c>
      <c r="E169" s="49" t="s">
        <v>2814</v>
      </c>
      <c r="F169" s="49" t="s">
        <v>2825</v>
      </c>
      <c r="G169" s="49" t="s">
        <v>2776</v>
      </c>
      <c r="H169" s="49" t="s">
        <v>973</v>
      </c>
      <c r="I169" s="50">
        <v>44895</v>
      </c>
      <c r="M169" s="49" t="s">
        <v>11191</v>
      </c>
    </row>
    <row r="170" spans="1:13" x14ac:dyDescent="0.35">
      <c r="A170" s="49" t="s">
        <v>15135</v>
      </c>
      <c r="B170" s="49" t="s">
        <v>13099</v>
      </c>
      <c r="C170" s="49"/>
      <c r="D170" s="49" t="s">
        <v>1264</v>
      </c>
      <c r="E170" s="49" t="s">
        <v>2785</v>
      </c>
      <c r="F170" s="49" t="s">
        <v>2792</v>
      </c>
      <c r="G170" s="49" t="s">
        <v>4891</v>
      </c>
      <c r="H170" s="49" t="s">
        <v>980</v>
      </c>
      <c r="I170" s="52">
        <v>46042.731527777803</v>
      </c>
      <c r="M170" s="49" t="s">
        <v>13101</v>
      </c>
    </row>
    <row r="171" spans="1:13" x14ac:dyDescent="0.35">
      <c r="A171" s="49" t="s">
        <v>15135</v>
      </c>
      <c r="B171" s="49" t="s">
        <v>13596</v>
      </c>
      <c r="C171" s="49" t="s">
        <v>6133</v>
      </c>
      <c r="D171" s="49" t="s">
        <v>1264</v>
      </c>
      <c r="E171" s="49" t="s">
        <v>2785</v>
      </c>
      <c r="F171" s="49" t="s">
        <v>2792</v>
      </c>
      <c r="G171" s="49" t="s">
        <v>4891</v>
      </c>
      <c r="H171" s="49" t="s">
        <v>980</v>
      </c>
      <c r="I171" s="52">
        <v>46163.493125000001</v>
      </c>
      <c r="M171" s="49" t="s">
        <v>13597</v>
      </c>
    </row>
    <row r="172" spans="1:13" x14ac:dyDescent="0.35">
      <c r="A172" s="49" t="s">
        <v>10238</v>
      </c>
      <c r="B172" s="49" t="s">
        <v>10237</v>
      </c>
      <c r="C172" s="49"/>
      <c r="D172" s="49" t="s">
        <v>1264</v>
      </c>
      <c r="E172" s="49" t="s">
        <v>2814</v>
      </c>
      <c r="F172" s="49" t="s">
        <v>10239</v>
      </c>
      <c r="G172" s="49" t="s">
        <v>2776</v>
      </c>
      <c r="H172" s="49" t="s">
        <v>864</v>
      </c>
      <c r="I172" s="50">
        <v>44257</v>
      </c>
      <c r="M172" s="49" t="s">
        <v>10240</v>
      </c>
    </row>
    <row r="173" spans="1:13" x14ac:dyDescent="0.35">
      <c r="A173" s="49" t="s">
        <v>10238</v>
      </c>
      <c r="B173" s="49" t="s">
        <v>11602</v>
      </c>
      <c r="C173" s="49"/>
      <c r="D173" s="49" t="s">
        <v>1264</v>
      </c>
      <c r="E173" s="49" t="s">
        <v>2974</v>
      </c>
      <c r="F173" s="49" t="s">
        <v>2825</v>
      </c>
      <c r="G173" s="49" t="s">
        <v>2826</v>
      </c>
      <c r="H173" s="49" t="s">
        <v>2827</v>
      </c>
      <c r="I173" s="50">
        <v>45201</v>
      </c>
      <c r="M173" s="49" t="s">
        <v>11604</v>
      </c>
    </row>
    <row r="174" spans="1:13" x14ac:dyDescent="0.35">
      <c r="A174" s="49" t="s">
        <v>14297</v>
      </c>
      <c r="B174" s="49" t="s">
        <v>6604</v>
      </c>
      <c r="C174" s="49" t="s">
        <v>6605</v>
      </c>
      <c r="D174" s="49" t="s">
        <v>1264</v>
      </c>
      <c r="E174" s="49" t="s">
        <v>2986</v>
      </c>
      <c r="F174" s="49" t="s">
        <v>2825</v>
      </c>
      <c r="G174" s="49" t="s">
        <v>2901</v>
      </c>
      <c r="H174" s="49" t="s">
        <v>2827</v>
      </c>
      <c r="I174" s="50">
        <v>44998</v>
      </c>
      <c r="J174" s="50">
        <v>45099</v>
      </c>
      <c r="K174" s="50">
        <v>46194</v>
      </c>
      <c r="M174" s="49" t="s">
        <v>6607</v>
      </c>
    </row>
    <row r="175" spans="1:13" x14ac:dyDescent="0.35">
      <c r="A175" s="49" t="s">
        <v>14866</v>
      </c>
      <c r="B175" s="49" t="s">
        <v>9001</v>
      </c>
      <c r="C175" s="49"/>
      <c r="D175" s="49" t="s">
        <v>1264</v>
      </c>
      <c r="E175" s="49" t="s">
        <v>2814</v>
      </c>
      <c r="F175" s="49" t="s">
        <v>2825</v>
      </c>
      <c r="G175" s="49" t="s">
        <v>2776</v>
      </c>
      <c r="H175" s="49" t="s">
        <v>2827</v>
      </c>
      <c r="I175" s="50">
        <v>42208</v>
      </c>
      <c r="J175" s="50">
        <v>42230</v>
      </c>
      <c r="K175" s="50">
        <v>42413</v>
      </c>
      <c r="M175" s="49" t="s">
        <v>3470</v>
      </c>
    </row>
    <row r="176" spans="1:13" x14ac:dyDescent="0.35">
      <c r="A176" s="49" t="s">
        <v>14866</v>
      </c>
      <c r="B176" s="49" t="s">
        <v>9947</v>
      </c>
      <c r="C176" s="49"/>
      <c r="D176" s="49" t="s">
        <v>1264</v>
      </c>
      <c r="E176" s="49" t="s">
        <v>7057</v>
      </c>
      <c r="F176" s="49" t="s">
        <v>2825</v>
      </c>
      <c r="G176" s="49" t="s">
        <v>2776</v>
      </c>
      <c r="H176" s="49" t="s">
        <v>2827</v>
      </c>
      <c r="I176" s="50">
        <v>42483</v>
      </c>
      <c r="M176" s="49" t="s">
        <v>9948</v>
      </c>
    </row>
    <row r="177" spans="1:13" x14ac:dyDescent="0.35">
      <c r="A177" s="49" t="s">
        <v>14121</v>
      </c>
      <c r="B177" s="49" t="s">
        <v>3650</v>
      </c>
      <c r="C177" s="49" t="s">
        <v>3651</v>
      </c>
      <c r="D177" s="49" t="s">
        <v>1264</v>
      </c>
      <c r="E177" s="49" t="s">
        <v>2774</v>
      </c>
      <c r="F177" s="49" t="s">
        <v>3598</v>
      </c>
      <c r="G177" s="49" t="s">
        <v>2901</v>
      </c>
      <c r="H177" s="49" t="s">
        <v>2827</v>
      </c>
      <c r="I177" s="50">
        <v>43038</v>
      </c>
      <c r="J177" s="50">
        <v>43256</v>
      </c>
      <c r="K177" s="50">
        <v>45813</v>
      </c>
      <c r="M177" s="49" t="s">
        <v>3653</v>
      </c>
    </row>
    <row r="178" spans="1:13" x14ac:dyDescent="0.35">
      <c r="A178" s="49" t="s">
        <v>14121</v>
      </c>
      <c r="B178" s="49" t="s">
        <v>7538</v>
      </c>
      <c r="C178" s="49" t="s">
        <v>7539</v>
      </c>
      <c r="D178" s="49" t="s">
        <v>1264</v>
      </c>
      <c r="E178" s="49" t="s">
        <v>2774</v>
      </c>
      <c r="F178" s="49" t="s">
        <v>3598</v>
      </c>
      <c r="G178" s="49" t="s">
        <v>2787</v>
      </c>
      <c r="H178" s="49" t="s">
        <v>2827</v>
      </c>
      <c r="I178" s="50">
        <v>37658</v>
      </c>
      <c r="J178" s="50">
        <v>38415</v>
      </c>
      <c r="K178" s="50">
        <v>43528</v>
      </c>
      <c r="M178" s="49" t="s">
        <v>7540</v>
      </c>
    </row>
    <row r="179" spans="1:13" x14ac:dyDescent="0.35">
      <c r="A179" s="49" t="s">
        <v>14121</v>
      </c>
      <c r="B179" s="49" t="s">
        <v>8358</v>
      </c>
      <c r="C179" s="49" t="s">
        <v>3670</v>
      </c>
      <c r="D179" s="49" t="s">
        <v>1264</v>
      </c>
      <c r="E179" s="49" t="s">
        <v>2774</v>
      </c>
      <c r="F179" s="49" t="s">
        <v>2825</v>
      </c>
      <c r="G179" s="49" t="s">
        <v>3602</v>
      </c>
      <c r="H179" s="49" t="s">
        <v>2827</v>
      </c>
      <c r="I179" s="50">
        <v>37658</v>
      </c>
      <c r="J179" s="50">
        <v>38415</v>
      </c>
      <c r="K179" s="50">
        <v>42797</v>
      </c>
      <c r="M179" s="49" t="s">
        <v>8359</v>
      </c>
    </row>
    <row r="180" spans="1:13" x14ac:dyDescent="0.35">
      <c r="A180" s="49" t="s">
        <v>14121</v>
      </c>
      <c r="B180" s="49" t="s">
        <v>13878</v>
      </c>
      <c r="C180" s="49" t="s">
        <v>13879</v>
      </c>
      <c r="D180" s="49" t="s">
        <v>1264</v>
      </c>
      <c r="E180" s="49" t="s">
        <v>2774</v>
      </c>
      <c r="F180" s="49" t="s">
        <v>2825</v>
      </c>
      <c r="G180" s="49" t="s">
        <v>2776</v>
      </c>
      <c r="H180" s="49" t="s">
        <v>2827</v>
      </c>
      <c r="I180" s="50">
        <v>43486</v>
      </c>
      <c r="M180" s="49" t="s">
        <v>13880</v>
      </c>
    </row>
    <row r="181" spans="1:13" x14ac:dyDescent="0.35">
      <c r="A181" s="49" t="s">
        <v>14121</v>
      </c>
      <c r="B181" s="49" t="s">
        <v>13881</v>
      </c>
      <c r="C181" s="49" t="s">
        <v>13882</v>
      </c>
      <c r="D181" s="49" t="s">
        <v>1264</v>
      </c>
      <c r="E181" s="49" t="s">
        <v>2774</v>
      </c>
      <c r="F181" s="49" t="s">
        <v>2825</v>
      </c>
      <c r="G181" s="49" t="s">
        <v>2776</v>
      </c>
      <c r="H181" s="49" t="s">
        <v>2827</v>
      </c>
      <c r="I181" s="50">
        <v>43486</v>
      </c>
      <c r="M181" s="49" t="s">
        <v>13883</v>
      </c>
    </row>
    <row r="182" spans="1:13" x14ac:dyDescent="0.35">
      <c r="A182" s="49" t="s">
        <v>14121</v>
      </c>
      <c r="B182" s="49" t="s">
        <v>13912</v>
      </c>
      <c r="C182" s="49" t="s">
        <v>13913</v>
      </c>
      <c r="D182" s="49" t="s">
        <v>1264</v>
      </c>
      <c r="E182" s="49" t="s">
        <v>2774</v>
      </c>
      <c r="F182" s="49" t="s">
        <v>2825</v>
      </c>
      <c r="G182" s="49" t="s">
        <v>2826</v>
      </c>
      <c r="H182" s="49" t="s">
        <v>2827</v>
      </c>
      <c r="I182" s="50">
        <v>43395</v>
      </c>
      <c r="M182" s="49" t="s">
        <v>13914</v>
      </c>
    </row>
    <row r="183" spans="1:13" x14ac:dyDescent="0.35">
      <c r="A183" s="49" t="s">
        <v>14587</v>
      </c>
      <c r="B183" s="49" t="s">
        <v>10852</v>
      </c>
      <c r="C183" s="49" t="s">
        <v>10853</v>
      </c>
      <c r="D183" s="49" t="s">
        <v>1264</v>
      </c>
      <c r="E183" s="49" t="s">
        <v>2774</v>
      </c>
      <c r="F183" s="49" t="s">
        <v>2825</v>
      </c>
      <c r="G183" s="49" t="s">
        <v>2826</v>
      </c>
      <c r="H183" s="49" t="s">
        <v>2827</v>
      </c>
      <c r="I183" s="50">
        <v>44406</v>
      </c>
      <c r="M183" s="49" t="s">
        <v>10855</v>
      </c>
    </row>
    <row r="184" spans="1:13" x14ac:dyDescent="0.35">
      <c r="A184" s="49" t="s">
        <v>14587</v>
      </c>
      <c r="B184" s="49" t="s">
        <v>12640</v>
      </c>
      <c r="C184" s="49" t="s">
        <v>12641</v>
      </c>
      <c r="D184" s="49" t="s">
        <v>1264</v>
      </c>
      <c r="E184" s="49" t="s">
        <v>2774</v>
      </c>
      <c r="F184" s="49" t="s">
        <v>2825</v>
      </c>
      <c r="G184" s="49" t="s">
        <v>4891</v>
      </c>
      <c r="H184" s="49" t="s">
        <v>2827</v>
      </c>
      <c r="I184" s="50">
        <v>45484</v>
      </c>
      <c r="M184" s="49" t="s">
        <v>12642</v>
      </c>
    </row>
    <row r="185" spans="1:13" x14ac:dyDescent="0.35">
      <c r="A185" s="49" t="s">
        <v>14587</v>
      </c>
      <c r="B185" s="49" t="s">
        <v>13928</v>
      </c>
      <c r="C185" s="49" t="s">
        <v>13913</v>
      </c>
      <c r="D185" s="49" t="s">
        <v>1264</v>
      </c>
      <c r="E185" s="49" t="s">
        <v>2774</v>
      </c>
      <c r="F185" s="49" t="s">
        <v>2825</v>
      </c>
      <c r="G185" s="49" t="s">
        <v>2901</v>
      </c>
      <c r="H185" s="49" t="s">
        <v>2827</v>
      </c>
      <c r="I185" s="50">
        <v>44252</v>
      </c>
      <c r="J185" s="50">
        <v>44405</v>
      </c>
      <c r="K185" s="50">
        <v>45865</v>
      </c>
      <c r="M185" s="49" t="s">
        <v>13929</v>
      </c>
    </row>
    <row r="186" spans="1:13" x14ac:dyDescent="0.35">
      <c r="A186" s="49" t="s">
        <v>14371</v>
      </c>
      <c r="B186" s="49" t="s">
        <v>7632</v>
      </c>
      <c r="C186" s="49" t="s">
        <v>7633</v>
      </c>
      <c r="D186" s="49" t="s">
        <v>1264</v>
      </c>
      <c r="E186" s="49" t="s">
        <v>2785</v>
      </c>
      <c r="F186" s="49" t="s">
        <v>2786</v>
      </c>
      <c r="G186" s="49" t="s">
        <v>2787</v>
      </c>
      <c r="H186" s="49" t="s">
        <v>8</v>
      </c>
      <c r="I186" s="50">
        <v>43215</v>
      </c>
      <c r="J186" s="50">
        <v>43342</v>
      </c>
      <c r="K186" s="50">
        <v>43523</v>
      </c>
      <c r="M186" s="49" t="s">
        <v>7635</v>
      </c>
    </row>
    <row r="187" spans="1:13" x14ac:dyDescent="0.35">
      <c r="A187" s="49" t="s">
        <v>14867</v>
      </c>
      <c r="B187" s="49" t="s">
        <v>5435</v>
      </c>
      <c r="C187" s="49" t="s">
        <v>5436</v>
      </c>
      <c r="D187" s="49" t="s">
        <v>1264</v>
      </c>
      <c r="E187" s="49" t="s">
        <v>2986</v>
      </c>
      <c r="F187" s="49" t="s">
        <v>2825</v>
      </c>
      <c r="G187" s="49" t="s">
        <v>2901</v>
      </c>
      <c r="H187" s="49" t="s">
        <v>2827</v>
      </c>
      <c r="I187" s="50">
        <v>45006</v>
      </c>
      <c r="J187" s="50">
        <v>45041</v>
      </c>
      <c r="K187" s="50">
        <v>46136</v>
      </c>
      <c r="M187" s="49" t="s">
        <v>5438</v>
      </c>
    </row>
    <row r="188" spans="1:13" x14ac:dyDescent="0.35">
      <c r="A188" s="49" t="s">
        <v>9107</v>
      </c>
      <c r="B188" s="49" t="s">
        <v>2771</v>
      </c>
      <c r="C188" s="49" t="s">
        <v>2772</v>
      </c>
      <c r="D188" s="49" t="s">
        <v>1264</v>
      </c>
      <c r="E188" s="49" t="s">
        <v>2774</v>
      </c>
      <c r="F188" s="49" t="s">
        <v>2775</v>
      </c>
      <c r="G188" s="49" t="s">
        <v>2776</v>
      </c>
      <c r="H188" s="49" t="s">
        <v>980</v>
      </c>
      <c r="I188" s="50">
        <v>40913</v>
      </c>
      <c r="M188" s="49" t="s">
        <v>2777</v>
      </c>
    </row>
    <row r="189" spans="1:13" x14ac:dyDescent="0.35">
      <c r="A189" s="49" t="s">
        <v>9107</v>
      </c>
      <c r="B189" s="49" t="s">
        <v>3191</v>
      </c>
      <c r="C189" s="49" t="s">
        <v>3192</v>
      </c>
      <c r="D189" s="49" t="s">
        <v>1264</v>
      </c>
      <c r="E189" s="49" t="s">
        <v>2774</v>
      </c>
      <c r="F189" s="49" t="s">
        <v>2775</v>
      </c>
      <c r="G189" s="49" t="s">
        <v>2787</v>
      </c>
      <c r="H189" s="49" t="s">
        <v>980</v>
      </c>
      <c r="I189" s="50">
        <v>40912</v>
      </c>
      <c r="J189" s="50">
        <v>40948</v>
      </c>
      <c r="K189" s="50">
        <v>42043</v>
      </c>
      <c r="M189" s="49" t="s">
        <v>3193</v>
      </c>
    </row>
    <row r="190" spans="1:13" x14ac:dyDescent="0.35">
      <c r="A190" s="49" t="s">
        <v>9107</v>
      </c>
      <c r="B190" s="49" t="s">
        <v>8692</v>
      </c>
      <c r="C190" s="49"/>
      <c r="D190" s="49" t="s">
        <v>1264</v>
      </c>
      <c r="E190" s="49" t="s">
        <v>2814</v>
      </c>
      <c r="F190" s="49" t="s">
        <v>2939</v>
      </c>
      <c r="G190" s="49" t="s">
        <v>2826</v>
      </c>
      <c r="H190" s="49" t="s">
        <v>980</v>
      </c>
      <c r="I190" s="50">
        <v>41408</v>
      </c>
      <c r="M190" s="49" t="s">
        <v>8693</v>
      </c>
    </row>
    <row r="191" spans="1:13" x14ac:dyDescent="0.35">
      <c r="A191" s="49" t="s">
        <v>9107</v>
      </c>
      <c r="B191" s="49" t="s">
        <v>9106</v>
      </c>
      <c r="C191" s="49"/>
      <c r="D191" s="49" t="s">
        <v>1264</v>
      </c>
      <c r="E191" s="49" t="s">
        <v>2899</v>
      </c>
      <c r="F191" s="49" t="s">
        <v>2775</v>
      </c>
      <c r="G191" s="49" t="s">
        <v>2787</v>
      </c>
      <c r="H191" s="49" t="s">
        <v>980</v>
      </c>
      <c r="I191" s="50">
        <v>41407</v>
      </c>
      <c r="M191" s="49" t="s">
        <v>9108</v>
      </c>
    </row>
    <row r="192" spans="1:13" x14ac:dyDescent="0.35">
      <c r="A192" s="49" t="s">
        <v>9107</v>
      </c>
      <c r="B192" s="49" t="s">
        <v>14037</v>
      </c>
      <c r="C192" s="49" t="s">
        <v>14038</v>
      </c>
      <c r="D192" s="49" t="s">
        <v>1264</v>
      </c>
      <c r="E192" s="49" t="s">
        <v>2774</v>
      </c>
      <c r="F192" s="49" t="s">
        <v>2775</v>
      </c>
      <c r="G192" s="49" t="s">
        <v>2776</v>
      </c>
      <c r="H192" s="49" t="s">
        <v>980</v>
      </c>
      <c r="I192" s="50">
        <v>41088</v>
      </c>
      <c r="M192" s="49" t="s">
        <v>14039</v>
      </c>
    </row>
    <row r="193" spans="1:13" x14ac:dyDescent="0.35">
      <c r="A193" s="49" t="s">
        <v>9107</v>
      </c>
      <c r="B193" s="49" t="s">
        <v>14040</v>
      </c>
      <c r="C193" s="49" t="s">
        <v>14041</v>
      </c>
      <c r="D193" s="49" t="s">
        <v>1264</v>
      </c>
      <c r="E193" s="49" t="s">
        <v>2774</v>
      </c>
      <c r="F193" s="49" t="s">
        <v>2775</v>
      </c>
      <c r="G193" s="49" t="s">
        <v>2776</v>
      </c>
      <c r="H193" s="49" t="s">
        <v>980</v>
      </c>
      <c r="I193" s="50">
        <v>40907</v>
      </c>
      <c r="J193" s="50">
        <v>40948</v>
      </c>
      <c r="K193" s="50">
        <v>42044</v>
      </c>
      <c r="M193" s="49" t="s">
        <v>14042</v>
      </c>
    </row>
    <row r="194" spans="1:13" x14ac:dyDescent="0.35">
      <c r="A194" s="49" t="s">
        <v>14868</v>
      </c>
      <c r="B194" s="49" t="s">
        <v>9942</v>
      </c>
      <c r="C194" s="49" t="s">
        <v>8585</v>
      </c>
      <c r="D194" s="49" t="s">
        <v>1264</v>
      </c>
      <c r="E194" s="49" t="s">
        <v>7057</v>
      </c>
      <c r="F194" s="49" t="s">
        <v>2825</v>
      </c>
      <c r="G194" s="49" t="s">
        <v>2776</v>
      </c>
      <c r="H194" s="49" t="s">
        <v>2827</v>
      </c>
      <c r="I194" s="50">
        <v>42444</v>
      </c>
      <c r="M194" s="49" t="s">
        <v>3100</v>
      </c>
    </row>
    <row r="195" spans="1:13" x14ac:dyDescent="0.35">
      <c r="A195" s="49" t="s">
        <v>14868</v>
      </c>
      <c r="B195" s="49" t="s">
        <v>10562</v>
      </c>
      <c r="C195" s="49" t="s">
        <v>10563</v>
      </c>
      <c r="D195" s="49" t="s">
        <v>1264</v>
      </c>
      <c r="E195" s="49" t="s">
        <v>2814</v>
      </c>
      <c r="F195" s="49" t="s">
        <v>2825</v>
      </c>
      <c r="G195" s="49" t="s">
        <v>2776</v>
      </c>
      <c r="H195" s="49" t="s">
        <v>2827</v>
      </c>
      <c r="I195" s="50">
        <v>42321</v>
      </c>
      <c r="M195" s="49" t="s">
        <v>3470</v>
      </c>
    </row>
    <row r="196" spans="1:13" x14ac:dyDescent="0.35">
      <c r="A196" s="49" t="s">
        <v>14868</v>
      </c>
      <c r="B196" s="49" t="s">
        <v>11832</v>
      </c>
      <c r="C196" s="49"/>
      <c r="D196" s="49" t="s">
        <v>1264</v>
      </c>
      <c r="E196" s="49" t="s">
        <v>2986</v>
      </c>
      <c r="F196" s="49" t="s">
        <v>2825</v>
      </c>
      <c r="G196" s="49" t="s">
        <v>4891</v>
      </c>
      <c r="H196" s="49" t="s">
        <v>2827</v>
      </c>
      <c r="I196" s="50">
        <v>45243</v>
      </c>
      <c r="M196" s="49" t="s">
        <v>3270</v>
      </c>
    </row>
    <row r="197" spans="1:13" x14ac:dyDescent="0.35">
      <c r="A197" s="49" t="s">
        <v>60</v>
      </c>
      <c r="B197" s="49" t="s">
        <v>5724</v>
      </c>
      <c r="C197" s="49"/>
      <c r="D197" s="49" t="s">
        <v>1264</v>
      </c>
      <c r="E197" s="49" t="s">
        <v>2986</v>
      </c>
      <c r="F197" s="49" t="s">
        <v>2825</v>
      </c>
      <c r="G197" s="49" t="s">
        <v>4330</v>
      </c>
      <c r="H197" s="49" t="s">
        <v>2827</v>
      </c>
      <c r="I197" s="50">
        <v>45152</v>
      </c>
      <c r="M197" s="49" t="s">
        <v>5726</v>
      </c>
    </row>
    <row r="198" spans="1:13" x14ac:dyDescent="0.35">
      <c r="A198" s="49" t="s">
        <v>60</v>
      </c>
      <c r="B198" s="49" t="s">
        <v>6217</v>
      </c>
      <c r="C198" s="49"/>
      <c r="D198" s="49" t="s">
        <v>1264</v>
      </c>
      <c r="E198" s="49" t="s">
        <v>2986</v>
      </c>
      <c r="F198" s="49" t="s">
        <v>2825</v>
      </c>
      <c r="G198" s="49" t="s">
        <v>4330</v>
      </c>
      <c r="H198" s="49" t="s">
        <v>973</v>
      </c>
      <c r="I198" s="50">
        <v>44929</v>
      </c>
      <c r="M198" s="49" t="s">
        <v>6219</v>
      </c>
    </row>
    <row r="199" spans="1:13" x14ac:dyDescent="0.35">
      <c r="A199" s="49" t="s">
        <v>60</v>
      </c>
      <c r="B199" s="49" t="s">
        <v>6220</v>
      </c>
      <c r="C199" s="49"/>
      <c r="D199" s="49" t="s">
        <v>1264</v>
      </c>
      <c r="E199" s="49" t="s">
        <v>2986</v>
      </c>
      <c r="F199" s="49" t="s">
        <v>2825</v>
      </c>
      <c r="G199" s="49" t="s">
        <v>4330</v>
      </c>
      <c r="H199" s="49" t="s">
        <v>973</v>
      </c>
      <c r="I199" s="50">
        <v>45294</v>
      </c>
      <c r="M199" s="49" t="s">
        <v>6221</v>
      </c>
    </row>
    <row r="200" spans="1:13" x14ac:dyDescent="0.35">
      <c r="A200" s="49" t="s">
        <v>60</v>
      </c>
      <c r="B200" s="49" t="s">
        <v>11474</v>
      </c>
      <c r="C200" s="49"/>
      <c r="D200" s="49" t="s">
        <v>1264</v>
      </c>
      <c r="E200" s="49" t="s">
        <v>2986</v>
      </c>
      <c r="F200" s="49" t="s">
        <v>2825</v>
      </c>
      <c r="G200" s="49" t="s">
        <v>4891</v>
      </c>
      <c r="H200" s="49" t="s">
        <v>2827</v>
      </c>
      <c r="I200" s="50">
        <v>45114</v>
      </c>
      <c r="M200" s="49" t="s">
        <v>11475</v>
      </c>
    </row>
    <row r="201" spans="1:13" x14ac:dyDescent="0.35">
      <c r="A201" s="49" t="s">
        <v>60</v>
      </c>
      <c r="B201" s="49" t="s">
        <v>11550</v>
      </c>
      <c r="C201" s="49"/>
      <c r="D201" s="49" t="s">
        <v>1264</v>
      </c>
      <c r="E201" s="49" t="s">
        <v>2986</v>
      </c>
      <c r="F201" s="49" t="s">
        <v>2825</v>
      </c>
      <c r="G201" s="49" t="s">
        <v>4891</v>
      </c>
      <c r="H201" s="49" t="s">
        <v>973</v>
      </c>
      <c r="I201" s="50">
        <v>45152</v>
      </c>
      <c r="M201" s="49" t="s">
        <v>11551</v>
      </c>
    </row>
    <row r="202" spans="1:13" x14ac:dyDescent="0.35">
      <c r="A202" s="49" t="s">
        <v>60</v>
      </c>
      <c r="B202" s="49" t="s">
        <v>12823</v>
      </c>
      <c r="C202" s="49" t="s">
        <v>4817</v>
      </c>
      <c r="D202" s="49" t="s">
        <v>1264</v>
      </c>
      <c r="E202" s="49" t="s">
        <v>2986</v>
      </c>
      <c r="F202" s="49" t="s">
        <v>2825</v>
      </c>
      <c r="G202" s="49" t="s">
        <v>2776</v>
      </c>
      <c r="H202" s="49" t="s">
        <v>2827</v>
      </c>
      <c r="I202" s="50">
        <v>45483</v>
      </c>
      <c r="M202" s="49" t="s">
        <v>12824</v>
      </c>
    </row>
    <row r="203" spans="1:13" x14ac:dyDescent="0.35">
      <c r="A203" s="49" t="s">
        <v>60</v>
      </c>
      <c r="B203" s="49" t="s">
        <v>12825</v>
      </c>
      <c r="C203" s="49"/>
      <c r="D203" s="49" t="s">
        <v>1264</v>
      </c>
      <c r="E203" s="49" t="s">
        <v>2986</v>
      </c>
      <c r="F203" s="49" t="s">
        <v>2825</v>
      </c>
      <c r="G203" s="49" t="s">
        <v>2776</v>
      </c>
      <c r="H203" s="49" t="s">
        <v>2827</v>
      </c>
      <c r="I203" s="50">
        <v>45483</v>
      </c>
      <c r="M203" s="49" t="s">
        <v>12826</v>
      </c>
    </row>
    <row r="204" spans="1:13" x14ac:dyDescent="0.35">
      <c r="A204" s="49" t="s">
        <v>60</v>
      </c>
      <c r="B204" s="49" t="s">
        <v>12827</v>
      </c>
      <c r="C204" s="49" t="s">
        <v>4809</v>
      </c>
      <c r="D204" s="49" t="s">
        <v>1264</v>
      </c>
      <c r="E204" s="49" t="s">
        <v>2986</v>
      </c>
      <c r="F204" s="49" t="s">
        <v>2825</v>
      </c>
      <c r="G204" s="49" t="s">
        <v>2776</v>
      </c>
      <c r="H204" s="49" t="s">
        <v>2827</v>
      </c>
      <c r="I204" s="50">
        <v>45483</v>
      </c>
      <c r="M204" s="49" t="s">
        <v>12828</v>
      </c>
    </row>
    <row r="205" spans="1:13" x14ac:dyDescent="0.35">
      <c r="A205" s="49" t="s">
        <v>60</v>
      </c>
      <c r="B205" s="49" t="s">
        <v>12829</v>
      </c>
      <c r="C205" s="49"/>
      <c r="D205" s="49" t="s">
        <v>1264</v>
      </c>
      <c r="E205" s="49" t="s">
        <v>2986</v>
      </c>
      <c r="F205" s="49" t="s">
        <v>2825</v>
      </c>
      <c r="G205" s="49" t="s">
        <v>2776</v>
      </c>
      <c r="H205" s="49" t="s">
        <v>2827</v>
      </c>
      <c r="I205" s="50">
        <v>45483</v>
      </c>
      <c r="M205" s="49" t="s">
        <v>12830</v>
      </c>
    </row>
    <row r="206" spans="1:13" x14ac:dyDescent="0.35">
      <c r="A206" s="49" t="s">
        <v>60</v>
      </c>
      <c r="B206" s="49" t="s">
        <v>13396</v>
      </c>
      <c r="C206" s="49"/>
      <c r="D206" s="49" t="s">
        <v>1264</v>
      </c>
      <c r="E206" s="49" t="s">
        <v>2986</v>
      </c>
      <c r="F206" s="49" t="s">
        <v>2825</v>
      </c>
      <c r="G206" s="49" t="s">
        <v>4891</v>
      </c>
      <c r="H206" s="49" t="s">
        <v>2827</v>
      </c>
      <c r="I206" s="52">
        <v>46120.430555555598</v>
      </c>
      <c r="M206" s="49" t="s">
        <v>13397</v>
      </c>
    </row>
    <row r="207" spans="1:13" x14ac:dyDescent="0.35">
      <c r="A207" s="49" t="s">
        <v>60</v>
      </c>
      <c r="B207" s="49" t="s">
        <v>13401</v>
      </c>
      <c r="C207" s="49"/>
      <c r="D207" s="49" t="s">
        <v>1264</v>
      </c>
      <c r="E207" s="49" t="s">
        <v>2986</v>
      </c>
      <c r="F207" s="49" t="s">
        <v>2825</v>
      </c>
      <c r="G207" s="49" t="s">
        <v>4891</v>
      </c>
      <c r="H207" s="49" t="s">
        <v>2827</v>
      </c>
      <c r="I207" s="52">
        <v>46120.562696759298</v>
      </c>
    </row>
    <row r="208" spans="1:13" x14ac:dyDescent="0.35">
      <c r="A208" s="49" t="s">
        <v>15136</v>
      </c>
      <c r="B208" s="49" t="s">
        <v>3482</v>
      </c>
      <c r="C208" s="49" t="s">
        <v>3354</v>
      </c>
      <c r="D208" s="49" t="s">
        <v>1264</v>
      </c>
      <c r="E208" s="49" t="s">
        <v>2908</v>
      </c>
      <c r="F208" s="49" t="s">
        <v>2837</v>
      </c>
      <c r="G208" s="49" t="s">
        <v>2901</v>
      </c>
      <c r="H208" s="49" t="s">
        <v>980</v>
      </c>
      <c r="I208" s="50">
        <v>42422</v>
      </c>
      <c r="J208" s="50">
        <v>43362</v>
      </c>
      <c r="K208" s="50">
        <v>46643</v>
      </c>
      <c r="L208" s="50">
        <v>44818</v>
      </c>
      <c r="M208" s="49" t="s">
        <v>3484</v>
      </c>
    </row>
    <row r="209" spans="1:13" x14ac:dyDescent="0.35">
      <c r="A209" s="49" t="s">
        <v>15136</v>
      </c>
      <c r="B209" s="49" t="s">
        <v>3827</v>
      </c>
      <c r="C209" s="49" t="s">
        <v>3828</v>
      </c>
      <c r="D209" s="49" t="s">
        <v>1264</v>
      </c>
      <c r="E209" s="49" t="s">
        <v>2774</v>
      </c>
      <c r="F209" s="49" t="s">
        <v>2900</v>
      </c>
      <c r="G209" s="49" t="s">
        <v>2921</v>
      </c>
      <c r="H209" s="49" t="s">
        <v>835</v>
      </c>
      <c r="I209" s="50">
        <v>43357</v>
      </c>
      <c r="J209" s="50">
        <v>43496</v>
      </c>
      <c r="K209" s="50">
        <v>46053</v>
      </c>
      <c r="M209" s="49" t="s">
        <v>3829</v>
      </c>
    </row>
    <row r="210" spans="1:13" x14ac:dyDescent="0.35">
      <c r="A210" s="49" t="s">
        <v>15136</v>
      </c>
      <c r="B210" s="49" t="s">
        <v>9290</v>
      </c>
      <c r="C210" s="49"/>
      <c r="D210" s="49" t="s">
        <v>1264</v>
      </c>
      <c r="E210" s="49" t="s">
        <v>2908</v>
      </c>
      <c r="F210" s="49" t="s">
        <v>2837</v>
      </c>
      <c r="G210" s="49" t="s">
        <v>2776</v>
      </c>
      <c r="H210" s="49" t="s">
        <v>2827</v>
      </c>
      <c r="I210" s="50">
        <v>43350</v>
      </c>
      <c r="M210" s="49" t="s">
        <v>9291</v>
      </c>
    </row>
    <row r="211" spans="1:13" x14ac:dyDescent="0.35">
      <c r="A211" s="49" t="s">
        <v>15136</v>
      </c>
      <c r="B211" s="49" t="s">
        <v>9680</v>
      </c>
      <c r="C211" s="49" t="s">
        <v>9681</v>
      </c>
      <c r="D211" s="49" t="s">
        <v>1264</v>
      </c>
      <c r="E211" s="49" t="s">
        <v>2908</v>
      </c>
      <c r="F211" s="49" t="s">
        <v>2939</v>
      </c>
      <c r="G211" s="49" t="s">
        <v>2776</v>
      </c>
      <c r="H211" s="49" t="s">
        <v>980</v>
      </c>
      <c r="I211" s="50">
        <v>42422</v>
      </c>
      <c r="M211" s="49" t="s">
        <v>9682</v>
      </c>
    </row>
    <row r="212" spans="1:13" x14ac:dyDescent="0.35">
      <c r="A212" s="49" t="s">
        <v>15640</v>
      </c>
      <c r="B212" s="49" t="s">
        <v>13901</v>
      </c>
      <c r="C212" s="49"/>
      <c r="D212" s="49" t="s">
        <v>1264</v>
      </c>
      <c r="E212" s="49" t="s">
        <v>2774</v>
      </c>
      <c r="F212" s="49" t="s">
        <v>2900</v>
      </c>
      <c r="G212" s="49" t="s">
        <v>2776</v>
      </c>
      <c r="H212" s="49" t="s">
        <v>980</v>
      </c>
      <c r="I212" s="50">
        <v>42307</v>
      </c>
      <c r="M212" s="49" t="s">
        <v>3470</v>
      </c>
    </row>
    <row r="213" spans="1:13" x14ac:dyDescent="0.35">
      <c r="A213" s="49" t="s">
        <v>15059</v>
      </c>
      <c r="B213" s="49" t="s">
        <v>4013</v>
      </c>
      <c r="C213" s="49" t="s">
        <v>4014</v>
      </c>
      <c r="D213" s="49" t="s">
        <v>1264</v>
      </c>
      <c r="E213" s="49" t="s">
        <v>2785</v>
      </c>
      <c r="F213" s="49" t="s">
        <v>2792</v>
      </c>
      <c r="G213" s="49" t="s">
        <v>2787</v>
      </c>
      <c r="H213" s="49" t="s">
        <v>8</v>
      </c>
      <c r="I213" s="50">
        <v>43895</v>
      </c>
      <c r="J213" s="50">
        <v>44168</v>
      </c>
      <c r="K213" s="50">
        <v>44533</v>
      </c>
      <c r="M213" s="49" t="s">
        <v>4016</v>
      </c>
    </row>
    <row r="214" spans="1:13" ht="58" x14ac:dyDescent="0.35">
      <c r="A214" s="49" t="s">
        <v>15059</v>
      </c>
      <c r="B214" s="49" t="s">
        <v>4769</v>
      </c>
      <c r="C214" s="51" t="s">
        <v>4770</v>
      </c>
      <c r="D214" s="49" t="s">
        <v>1264</v>
      </c>
      <c r="E214" s="49" t="s">
        <v>2785</v>
      </c>
      <c r="F214" s="49" t="s">
        <v>2792</v>
      </c>
      <c r="G214" s="49" t="s">
        <v>2787</v>
      </c>
      <c r="H214" s="49" t="s">
        <v>980</v>
      </c>
      <c r="I214" s="50">
        <v>43873</v>
      </c>
      <c r="K214" s="50">
        <v>45510</v>
      </c>
      <c r="M214" s="49" t="s">
        <v>4771</v>
      </c>
    </row>
    <row r="215" spans="1:13" x14ac:dyDescent="0.35">
      <c r="A215" s="49" t="s">
        <v>15059</v>
      </c>
      <c r="B215" s="49" t="s">
        <v>6393</v>
      </c>
      <c r="C215" s="49" t="s">
        <v>6394</v>
      </c>
      <c r="D215" s="49" t="s">
        <v>1264</v>
      </c>
      <c r="E215" s="49" t="s">
        <v>2785</v>
      </c>
      <c r="F215" s="49" t="s">
        <v>2792</v>
      </c>
      <c r="G215" s="49" t="s">
        <v>2787</v>
      </c>
      <c r="H215" s="49" t="s">
        <v>980</v>
      </c>
      <c r="I215" s="50">
        <v>44987</v>
      </c>
      <c r="J215" s="50">
        <v>45016</v>
      </c>
      <c r="K215" s="50">
        <v>45381</v>
      </c>
      <c r="M215" s="49" t="s">
        <v>6395</v>
      </c>
    </row>
    <row r="216" spans="1:13" x14ac:dyDescent="0.35">
      <c r="A216" s="49" t="s">
        <v>15059</v>
      </c>
      <c r="B216" s="49" t="s">
        <v>6499</v>
      </c>
      <c r="C216" s="49"/>
      <c r="D216" s="49" t="s">
        <v>1264</v>
      </c>
      <c r="E216" s="49" t="s">
        <v>2785</v>
      </c>
      <c r="F216" s="49" t="s">
        <v>2792</v>
      </c>
      <c r="G216" s="49" t="s">
        <v>2901</v>
      </c>
      <c r="H216" s="49" t="s">
        <v>980</v>
      </c>
      <c r="I216" s="50">
        <v>45358</v>
      </c>
      <c r="J216" s="50">
        <v>45372</v>
      </c>
      <c r="K216" s="50">
        <v>45736</v>
      </c>
      <c r="M216" s="49" t="s">
        <v>6500</v>
      </c>
    </row>
    <row r="217" spans="1:13" x14ac:dyDescent="0.35">
      <c r="A217" s="49" t="s">
        <v>15059</v>
      </c>
      <c r="B217" s="49" t="s">
        <v>7045</v>
      </c>
      <c r="C217" s="49" t="s">
        <v>2818</v>
      </c>
      <c r="D217" s="49" t="s">
        <v>1264</v>
      </c>
      <c r="E217" s="49" t="s">
        <v>2785</v>
      </c>
      <c r="F217" s="49" t="s">
        <v>2792</v>
      </c>
      <c r="G217" s="49" t="s">
        <v>2787</v>
      </c>
      <c r="H217" s="49" t="s">
        <v>8</v>
      </c>
      <c r="I217" s="50">
        <v>43368</v>
      </c>
      <c r="J217" s="50">
        <v>43472</v>
      </c>
      <c r="K217" s="50">
        <v>43652</v>
      </c>
      <c r="M217" s="49" t="s">
        <v>7046</v>
      </c>
    </row>
    <row r="218" spans="1:13" x14ac:dyDescent="0.35">
      <c r="A218" s="49" t="s">
        <v>15059</v>
      </c>
      <c r="B218" s="49" t="s">
        <v>7094</v>
      </c>
      <c r="C218" s="49" t="s">
        <v>2795</v>
      </c>
      <c r="D218" s="49" t="s">
        <v>1264</v>
      </c>
      <c r="E218" s="49" t="s">
        <v>2785</v>
      </c>
      <c r="F218" s="49" t="s">
        <v>2792</v>
      </c>
      <c r="G218" s="49" t="s">
        <v>2787</v>
      </c>
      <c r="H218" s="49" t="s">
        <v>8</v>
      </c>
      <c r="I218" s="50">
        <v>43481</v>
      </c>
      <c r="J218" s="50">
        <v>43501</v>
      </c>
      <c r="K218" s="50">
        <v>43681</v>
      </c>
      <c r="M218" s="49" t="s">
        <v>7095</v>
      </c>
    </row>
    <row r="219" spans="1:13" x14ac:dyDescent="0.35">
      <c r="A219" s="49" t="s">
        <v>15059</v>
      </c>
      <c r="B219" s="49" t="s">
        <v>7567</v>
      </c>
      <c r="C219" s="49" t="s">
        <v>2795</v>
      </c>
      <c r="D219" s="49" t="s">
        <v>1264</v>
      </c>
      <c r="E219" s="49" t="s">
        <v>2785</v>
      </c>
      <c r="F219" s="49" t="s">
        <v>2792</v>
      </c>
      <c r="G219" s="49" t="s">
        <v>2787</v>
      </c>
      <c r="H219" s="49" t="s">
        <v>8</v>
      </c>
      <c r="I219" s="50">
        <v>43143</v>
      </c>
      <c r="J219" s="50">
        <v>43293</v>
      </c>
      <c r="K219" s="50">
        <v>43476</v>
      </c>
      <c r="M219" s="49" t="s">
        <v>7568</v>
      </c>
    </row>
    <row r="220" spans="1:13" x14ac:dyDescent="0.35">
      <c r="A220" s="49" t="s">
        <v>15059</v>
      </c>
      <c r="B220" s="49" t="s">
        <v>9403</v>
      </c>
      <c r="C220" s="49"/>
      <c r="D220" s="49" t="s">
        <v>1264</v>
      </c>
      <c r="E220" s="49" t="s">
        <v>2785</v>
      </c>
      <c r="F220" s="49" t="s">
        <v>2792</v>
      </c>
      <c r="G220" s="49" t="s">
        <v>2776</v>
      </c>
      <c r="H220" s="49" t="s">
        <v>8</v>
      </c>
      <c r="I220" s="50">
        <v>43368</v>
      </c>
      <c r="M220" s="49" t="s">
        <v>9404</v>
      </c>
    </row>
    <row r="221" spans="1:13" x14ac:dyDescent="0.35">
      <c r="A221" s="49" t="s">
        <v>15059</v>
      </c>
      <c r="B221" s="49" t="s">
        <v>9579</v>
      </c>
      <c r="C221" s="49" t="s">
        <v>9580</v>
      </c>
      <c r="D221" s="49" t="s">
        <v>1264</v>
      </c>
      <c r="E221" s="49" t="s">
        <v>2785</v>
      </c>
      <c r="F221" s="49" t="s">
        <v>2792</v>
      </c>
      <c r="G221" s="49" t="s">
        <v>2776</v>
      </c>
      <c r="H221" s="49" t="s">
        <v>8</v>
      </c>
      <c r="I221" s="50">
        <v>43614</v>
      </c>
      <c r="M221" s="49" t="s">
        <v>9581</v>
      </c>
    </row>
    <row r="222" spans="1:13" x14ac:dyDescent="0.35">
      <c r="A222" s="49" t="s">
        <v>15059</v>
      </c>
      <c r="B222" s="49" t="s">
        <v>9589</v>
      </c>
      <c r="C222" s="49"/>
      <c r="D222" s="49" t="s">
        <v>1264</v>
      </c>
      <c r="E222" s="49" t="s">
        <v>2785</v>
      </c>
      <c r="F222" s="49" t="s">
        <v>2792</v>
      </c>
      <c r="G222" s="49" t="s">
        <v>2776</v>
      </c>
      <c r="H222" s="49" t="s">
        <v>980</v>
      </c>
      <c r="I222" s="50">
        <v>43571</v>
      </c>
      <c r="M222" s="49" t="s">
        <v>9590</v>
      </c>
    </row>
    <row r="223" spans="1:13" x14ac:dyDescent="0.35">
      <c r="A223" s="49" t="s">
        <v>14152</v>
      </c>
      <c r="B223" s="49" t="s">
        <v>4074</v>
      </c>
      <c r="C223" s="49" t="s">
        <v>2818</v>
      </c>
      <c r="D223" s="49" t="s">
        <v>1264</v>
      </c>
      <c r="E223" s="49" t="s">
        <v>2785</v>
      </c>
      <c r="F223" s="49" t="s">
        <v>2792</v>
      </c>
      <c r="G223" s="49" t="s">
        <v>2787</v>
      </c>
      <c r="H223" s="49" t="s">
        <v>8</v>
      </c>
      <c r="I223" s="50">
        <v>44013</v>
      </c>
      <c r="J223" s="50">
        <v>44015</v>
      </c>
      <c r="K223" s="50">
        <v>44379</v>
      </c>
      <c r="M223" s="49" t="s">
        <v>4076</v>
      </c>
    </row>
    <row r="224" spans="1:13" x14ac:dyDescent="0.35">
      <c r="A224" s="49" t="s">
        <v>14152</v>
      </c>
      <c r="B224" s="49" t="s">
        <v>4220</v>
      </c>
      <c r="C224" s="49"/>
      <c r="D224" s="49" t="s">
        <v>1264</v>
      </c>
      <c r="E224" s="49" t="s">
        <v>2785</v>
      </c>
      <c r="F224" s="49" t="s">
        <v>2792</v>
      </c>
      <c r="G224" s="49" t="s">
        <v>2787</v>
      </c>
      <c r="H224" s="49" t="s">
        <v>8</v>
      </c>
      <c r="I224" s="50">
        <v>44294</v>
      </c>
      <c r="J224" s="50">
        <v>44573</v>
      </c>
      <c r="K224" s="50">
        <v>45428</v>
      </c>
      <c r="M224" s="49" t="s">
        <v>4221</v>
      </c>
    </row>
    <row r="225" spans="1:13" x14ac:dyDescent="0.35">
      <c r="A225" s="49" t="s">
        <v>14152</v>
      </c>
      <c r="B225" s="49" t="s">
        <v>7321</v>
      </c>
      <c r="C225" s="49" t="s">
        <v>2818</v>
      </c>
      <c r="D225" s="49" t="s">
        <v>1264</v>
      </c>
      <c r="E225" s="49" t="s">
        <v>2785</v>
      </c>
      <c r="F225" s="49" t="s">
        <v>2792</v>
      </c>
      <c r="G225" s="49" t="s">
        <v>2787</v>
      </c>
      <c r="H225" s="49" t="s">
        <v>8</v>
      </c>
      <c r="I225" s="50">
        <v>43511</v>
      </c>
      <c r="J225" s="50">
        <v>43563</v>
      </c>
      <c r="K225" s="50">
        <v>43745</v>
      </c>
      <c r="M225" s="49" t="s">
        <v>7322</v>
      </c>
    </row>
    <row r="226" spans="1:13" x14ac:dyDescent="0.35">
      <c r="A226" s="49" t="s">
        <v>14303</v>
      </c>
      <c r="B226" s="49" t="s">
        <v>6647</v>
      </c>
      <c r="C226" s="49" t="s">
        <v>6648</v>
      </c>
      <c r="D226" s="49" t="s">
        <v>1264</v>
      </c>
      <c r="E226" s="49" t="s">
        <v>2774</v>
      </c>
      <c r="F226" s="49" t="s">
        <v>2825</v>
      </c>
      <c r="G226" s="49" t="s">
        <v>2901</v>
      </c>
      <c r="H226" s="49" t="s">
        <v>2827</v>
      </c>
      <c r="I226" s="50">
        <v>45369</v>
      </c>
      <c r="J226" s="50">
        <v>45380</v>
      </c>
      <c r="K226" s="50">
        <v>46840</v>
      </c>
      <c r="M226" s="49" t="s">
        <v>6650</v>
      </c>
    </row>
    <row r="227" spans="1:13" x14ac:dyDescent="0.35">
      <c r="A227" s="49" t="s">
        <v>14084</v>
      </c>
      <c r="B227" s="49" t="s">
        <v>3142</v>
      </c>
      <c r="C227" s="49" t="s">
        <v>3143</v>
      </c>
      <c r="D227" s="49" t="s">
        <v>1264</v>
      </c>
      <c r="E227" s="49" t="s">
        <v>2908</v>
      </c>
      <c r="F227" s="49" t="s">
        <v>3010</v>
      </c>
      <c r="G227" s="49" t="s">
        <v>2787</v>
      </c>
      <c r="H227" s="49" t="s">
        <v>980</v>
      </c>
      <c r="I227" s="50">
        <v>40427</v>
      </c>
      <c r="J227" s="50">
        <v>40430</v>
      </c>
      <c r="K227" s="50">
        <v>44474</v>
      </c>
      <c r="M227" s="49" t="s">
        <v>3145</v>
      </c>
    </row>
    <row r="228" spans="1:13" x14ac:dyDescent="0.35">
      <c r="A228" s="49" t="s">
        <v>14084</v>
      </c>
      <c r="B228" s="49" t="s">
        <v>3154</v>
      </c>
      <c r="C228" s="49" t="s">
        <v>3155</v>
      </c>
      <c r="D228" s="49" t="s">
        <v>1264</v>
      </c>
      <c r="E228" s="49" t="s">
        <v>2908</v>
      </c>
      <c r="F228" s="49" t="s">
        <v>3010</v>
      </c>
      <c r="G228" s="49" t="s">
        <v>2787</v>
      </c>
      <c r="H228" s="49" t="s">
        <v>980</v>
      </c>
      <c r="I228" s="50">
        <v>40542</v>
      </c>
      <c r="J228" s="50">
        <v>41219</v>
      </c>
      <c r="K228" s="50">
        <v>44870</v>
      </c>
      <c r="M228" s="49" t="s">
        <v>3156</v>
      </c>
    </row>
    <row r="229" spans="1:13" x14ac:dyDescent="0.35">
      <c r="A229" s="49" t="s">
        <v>14084</v>
      </c>
      <c r="B229" s="49" t="s">
        <v>8405</v>
      </c>
      <c r="C229" s="49" t="s">
        <v>3155</v>
      </c>
      <c r="D229" s="49" t="s">
        <v>1264</v>
      </c>
      <c r="E229" s="49" t="s">
        <v>2908</v>
      </c>
      <c r="F229" s="49" t="s">
        <v>3010</v>
      </c>
      <c r="G229" s="49" t="s">
        <v>2787</v>
      </c>
      <c r="H229" s="49" t="s">
        <v>980</v>
      </c>
      <c r="I229" s="50">
        <v>40542</v>
      </c>
      <c r="J229" s="50">
        <v>40822</v>
      </c>
      <c r="K229" s="50">
        <v>42648</v>
      </c>
      <c r="M229" s="49" t="s">
        <v>8406</v>
      </c>
    </row>
    <row r="230" spans="1:13" x14ac:dyDescent="0.35">
      <c r="A230" s="49" t="s">
        <v>14084</v>
      </c>
      <c r="B230" s="49" t="s">
        <v>11269</v>
      </c>
      <c r="C230" s="49"/>
      <c r="D230" s="49" t="s">
        <v>1264</v>
      </c>
      <c r="E230" s="49" t="s">
        <v>2908</v>
      </c>
      <c r="F230" s="49" t="s">
        <v>2939</v>
      </c>
      <c r="G230" s="49" t="s">
        <v>4891</v>
      </c>
      <c r="H230" s="49" t="s">
        <v>980</v>
      </c>
      <c r="I230" s="50">
        <v>44977</v>
      </c>
      <c r="M230" s="49" t="s">
        <v>3871</v>
      </c>
    </row>
    <row r="231" spans="1:13" x14ac:dyDescent="0.35">
      <c r="A231" s="49" t="s">
        <v>14084</v>
      </c>
      <c r="B231" s="49" t="s">
        <v>11280</v>
      </c>
      <c r="C231" s="49" t="s">
        <v>3768</v>
      </c>
      <c r="D231" s="49" t="s">
        <v>1264</v>
      </c>
      <c r="E231" s="49" t="s">
        <v>3443</v>
      </c>
      <c r="F231" s="49" t="s">
        <v>3124</v>
      </c>
      <c r="G231" s="49" t="s">
        <v>4891</v>
      </c>
      <c r="H231" s="49" t="s">
        <v>980</v>
      </c>
      <c r="I231" s="50">
        <v>44913</v>
      </c>
    </row>
    <row r="232" spans="1:13" x14ac:dyDescent="0.35">
      <c r="A232" s="49" t="s">
        <v>14235</v>
      </c>
      <c r="B232" s="49" t="s">
        <v>5387</v>
      </c>
      <c r="C232" s="49"/>
      <c r="D232" s="49" t="s">
        <v>1264</v>
      </c>
      <c r="E232" s="49" t="s">
        <v>3443</v>
      </c>
      <c r="F232" s="49" t="s">
        <v>3124</v>
      </c>
      <c r="G232" s="49" t="s">
        <v>2901</v>
      </c>
      <c r="H232" s="49" t="s">
        <v>980</v>
      </c>
      <c r="I232" s="50">
        <v>44834</v>
      </c>
      <c r="J232" s="50">
        <v>44957</v>
      </c>
      <c r="K232" s="50">
        <v>46782</v>
      </c>
    </row>
    <row r="233" spans="1:13" x14ac:dyDescent="0.35">
      <c r="A233" s="49" t="s">
        <v>64</v>
      </c>
      <c r="B233" s="49" t="s">
        <v>5746</v>
      </c>
      <c r="C233" s="49" t="s">
        <v>5747</v>
      </c>
      <c r="D233" s="49" t="s">
        <v>1264</v>
      </c>
      <c r="E233" s="49" t="s">
        <v>2986</v>
      </c>
      <c r="F233" s="49" t="s">
        <v>2825</v>
      </c>
      <c r="G233" s="49" t="s">
        <v>4330</v>
      </c>
      <c r="H233" s="49" t="s">
        <v>2827</v>
      </c>
      <c r="I233" s="50">
        <v>45083</v>
      </c>
      <c r="M233" s="49" t="s">
        <v>5749</v>
      </c>
    </row>
    <row r="234" spans="1:13" x14ac:dyDescent="0.35">
      <c r="A234" s="49" t="s">
        <v>64</v>
      </c>
      <c r="B234" s="49" t="s">
        <v>11461</v>
      </c>
      <c r="C234" s="49"/>
      <c r="D234" s="49" t="s">
        <v>1264</v>
      </c>
      <c r="E234" s="49" t="s">
        <v>2814</v>
      </c>
      <c r="F234" s="49" t="s">
        <v>2837</v>
      </c>
      <c r="G234" s="49" t="s">
        <v>4891</v>
      </c>
      <c r="H234" s="49" t="s">
        <v>980</v>
      </c>
      <c r="I234" s="50">
        <v>45120</v>
      </c>
      <c r="M234" s="49" t="s">
        <v>11463</v>
      </c>
    </row>
    <row r="235" spans="1:13" x14ac:dyDescent="0.35">
      <c r="A235" s="49" t="s">
        <v>14869</v>
      </c>
      <c r="B235" s="49" t="s">
        <v>9922</v>
      </c>
      <c r="C235" s="49" t="s">
        <v>3337</v>
      </c>
      <c r="D235" s="49" t="s">
        <v>1264</v>
      </c>
      <c r="E235" s="49" t="s">
        <v>7057</v>
      </c>
      <c r="F235" s="49" t="s">
        <v>2825</v>
      </c>
      <c r="G235" s="49" t="s">
        <v>2776</v>
      </c>
      <c r="H235" s="49" t="s">
        <v>2827</v>
      </c>
      <c r="I235" s="50">
        <v>42119</v>
      </c>
      <c r="M235" s="49" t="s">
        <v>9924</v>
      </c>
    </row>
    <row r="236" spans="1:13" x14ac:dyDescent="0.35">
      <c r="A236" s="49" t="s">
        <v>14869</v>
      </c>
      <c r="B236" s="49" t="s">
        <v>9928</v>
      </c>
      <c r="C236" s="49" t="s">
        <v>9929</v>
      </c>
      <c r="D236" s="49" t="s">
        <v>1264</v>
      </c>
      <c r="E236" s="49" t="s">
        <v>7057</v>
      </c>
      <c r="F236" s="49" t="s">
        <v>2825</v>
      </c>
      <c r="G236" s="49" t="s">
        <v>2776</v>
      </c>
      <c r="H236" s="49" t="s">
        <v>2827</v>
      </c>
      <c r="I236" s="50">
        <v>42233</v>
      </c>
      <c r="M236" s="49" t="s">
        <v>9930</v>
      </c>
    </row>
    <row r="237" spans="1:13" x14ac:dyDescent="0.35">
      <c r="A237" s="49" t="s">
        <v>14869</v>
      </c>
      <c r="B237" s="49" t="s">
        <v>10108</v>
      </c>
      <c r="C237" s="49"/>
      <c r="D237" s="49" t="s">
        <v>1264</v>
      </c>
      <c r="E237" s="49" t="s">
        <v>2814</v>
      </c>
      <c r="F237" s="49" t="s">
        <v>2825</v>
      </c>
      <c r="G237" s="49" t="s">
        <v>2776</v>
      </c>
      <c r="H237" s="49" t="s">
        <v>2827</v>
      </c>
      <c r="I237" s="50">
        <v>41373</v>
      </c>
      <c r="M237" s="49" t="s">
        <v>10109</v>
      </c>
    </row>
    <row r="238" spans="1:13" x14ac:dyDescent="0.35">
      <c r="A238" s="49" t="s">
        <v>15137</v>
      </c>
      <c r="B238" s="49" t="s">
        <v>4028</v>
      </c>
      <c r="C238" s="49" t="s">
        <v>4029</v>
      </c>
      <c r="D238" s="49" t="s">
        <v>1264</v>
      </c>
      <c r="E238" s="49" t="s">
        <v>2785</v>
      </c>
      <c r="F238" s="49" t="s">
        <v>2805</v>
      </c>
      <c r="G238" s="49" t="s">
        <v>2787</v>
      </c>
      <c r="H238" s="49" t="s">
        <v>864</v>
      </c>
      <c r="I238" s="50">
        <v>43942</v>
      </c>
      <c r="J238" s="50">
        <v>44006</v>
      </c>
      <c r="K238" s="50">
        <v>44370</v>
      </c>
      <c r="M238" s="49" t="s">
        <v>4031</v>
      </c>
    </row>
    <row r="239" spans="1:13" x14ac:dyDescent="0.35">
      <c r="A239" s="49" t="s">
        <v>14828</v>
      </c>
      <c r="B239" s="49" t="s">
        <v>9714</v>
      </c>
      <c r="C239" s="49" t="s">
        <v>9715</v>
      </c>
      <c r="D239" s="49" t="s">
        <v>1264</v>
      </c>
      <c r="E239" s="49" t="s">
        <v>2785</v>
      </c>
      <c r="F239" s="49" t="s">
        <v>2792</v>
      </c>
      <c r="G239" s="49" t="s">
        <v>2776</v>
      </c>
      <c r="H239" s="49" t="s">
        <v>8</v>
      </c>
      <c r="I239" s="50">
        <v>42409</v>
      </c>
      <c r="M239" s="49" t="s">
        <v>9717</v>
      </c>
    </row>
    <row r="240" spans="1:13" x14ac:dyDescent="0.35">
      <c r="A240" s="49" t="s">
        <v>14828</v>
      </c>
      <c r="B240" s="49" t="s">
        <v>10007</v>
      </c>
      <c r="C240" s="49"/>
      <c r="D240" s="49" t="s">
        <v>1264</v>
      </c>
      <c r="E240" s="49" t="s">
        <v>2785</v>
      </c>
      <c r="F240" s="49" t="s">
        <v>2792</v>
      </c>
      <c r="G240" s="49" t="s">
        <v>2776</v>
      </c>
      <c r="H240" s="49" t="s">
        <v>8</v>
      </c>
      <c r="I240" s="50">
        <v>41786</v>
      </c>
      <c r="M240" s="49" t="s">
        <v>10008</v>
      </c>
    </row>
    <row r="241" spans="1:13" x14ac:dyDescent="0.35">
      <c r="A241" s="49" t="s">
        <v>14111</v>
      </c>
      <c r="B241" s="49" t="s">
        <v>3558</v>
      </c>
      <c r="C241" s="49"/>
      <c r="D241" s="49" t="s">
        <v>1264</v>
      </c>
      <c r="E241" s="49" t="s">
        <v>2908</v>
      </c>
      <c r="F241" s="49" t="s">
        <v>2939</v>
      </c>
      <c r="G241" s="49" t="s">
        <v>2901</v>
      </c>
      <c r="H241" s="49" t="s">
        <v>980</v>
      </c>
      <c r="I241" s="50">
        <v>42786</v>
      </c>
      <c r="J241" s="50">
        <v>43304</v>
      </c>
      <c r="K241" s="50">
        <v>46957</v>
      </c>
      <c r="M241" s="49" t="s">
        <v>3560</v>
      </c>
    </row>
    <row r="242" spans="1:13" x14ac:dyDescent="0.35">
      <c r="A242" s="49" t="s">
        <v>4569</v>
      </c>
      <c r="B242" s="49" t="s">
        <v>4448</v>
      </c>
      <c r="C242" s="49" t="s">
        <v>4449</v>
      </c>
      <c r="D242" s="49" t="s">
        <v>1264</v>
      </c>
      <c r="E242" s="49" t="s">
        <v>2814</v>
      </c>
      <c r="F242" s="49" t="s">
        <v>2825</v>
      </c>
      <c r="G242" s="49" t="s">
        <v>2787</v>
      </c>
      <c r="H242" s="49" t="s">
        <v>2827</v>
      </c>
      <c r="I242" s="50">
        <v>44393</v>
      </c>
      <c r="J242" s="50">
        <v>44407</v>
      </c>
      <c r="K242" s="50">
        <v>44590</v>
      </c>
      <c r="M242" s="49" t="s">
        <v>4451</v>
      </c>
    </row>
    <row r="243" spans="1:13" x14ac:dyDescent="0.35">
      <c r="A243" s="49" t="s">
        <v>4569</v>
      </c>
      <c r="B243" s="49" t="s">
        <v>4567</v>
      </c>
      <c r="C243" s="49" t="s">
        <v>4568</v>
      </c>
      <c r="D243" s="49" t="s">
        <v>1264</v>
      </c>
      <c r="E243" s="49" t="s">
        <v>2814</v>
      </c>
      <c r="F243" s="49" t="s">
        <v>2825</v>
      </c>
      <c r="G243" s="49" t="s">
        <v>2787</v>
      </c>
      <c r="H243" s="49" t="s">
        <v>2827</v>
      </c>
      <c r="I243" s="50">
        <v>44407</v>
      </c>
      <c r="J243" s="50">
        <v>44553</v>
      </c>
      <c r="K243" s="50">
        <v>44734</v>
      </c>
      <c r="M243" s="49" t="s">
        <v>4570</v>
      </c>
    </row>
    <row r="244" spans="1:13" x14ac:dyDescent="0.35">
      <c r="A244" s="49" t="s">
        <v>4569</v>
      </c>
      <c r="B244" s="49" t="s">
        <v>4641</v>
      </c>
      <c r="C244" s="49" t="s">
        <v>4642</v>
      </c>
      <c r="D244" s="49" t="s">
        <v>1264</v>
      </c>
      <c r="E244" s="49" t="s">
        <v>2814</v>
      </c>
      <c r="F244" s="49" t="s">
        <v>2825</v>
      </c>
      <c r="G244" s="49" t="s">
        <v>2787</v>
      </c>
      <c r="H244" s="49" t="s">
        <v>2827</v>
      </c>
      <c r="I244" s="50">
        <v>44407</v>
      </c>
      <c r="J244" s="50">
        <v>44553</v>
      </c>
      <c r="K244" s="50">
        <v>44734</v>
      </c>
      <c r="M244" s="49" t="s">
        <v>4643</v>
      </c>
    </row>
    <row r="245" spans="1:13" x14ac:dyDescent="0.35">
      <c r="A245" s="49" t="s">
        <v>4569</v>
      </c>
      <c r="B245" s="49" t="s">
        <v>4689</v>
      </c>
      <c r="C245" s="49" t="s">
        <v>4690</v>
      </c>
      <c r="D245" s="49" t="s">
        <v>1264</v>
      </c>
      <c r="E245" s="49" t="s">
        <v>2814</v>
      </c>
      <c r="F245" s="49" t="s">
        <v>2825</v>
      </c>
      <c r="G245" s="49" t="s">
        <v>2787</v>
      </c>
      <c r="H245" s="49" t="s">
        <v>2827</v>
      </c>
      <c r="I245" s="50">
        <v>44419</v>
      </c>
      <c r="J245" s="50">
        <v>44419</v>
      </c>
      <c r="K245" s="50">
        <v>44602</v>
      </c>
      <c r="M245" s="49" t="s">
        <v>4691</v>
      </c>
    </row>
    <row r="246" spans="1:13" x14ac:dyDescent="0.35">
      <c r="A246" s="49" t="s">
        <v>4569</v>
      </c>
      <c r="B246" s="49" t="s">
        <v>8460</v>
      </c>
      <c r="C246" s="49" t="s">
        <v>8461</v>
      </c>
      <c r="D246" s="49" t="s">
        <v>1264</v>
      </c>
      <c r="E246" s="49" t="s">
        <v>2774</v>
      </c>
      <c r="F246" s="49" t="s">
        <v>2825</v>
      </c>
      <c r="G246" s="49" t="s">
        <v>2826</v>
      </c>
      <c r="H246" s="49" t="s">
        <v>973</v>
      </c>
      <c r="I246" s="50">
        <v>40646</v>
      </c>
      <c r="J246" s="50">
        <v>41479</v>
      </c>
      <c r="K246" s="50">
        <v>42574</v>
      </c>
      <c r="M246" s="49" t="s">
        <v>8462</v>
      </c>
    </row>
    <row r="247" spans="1:13" x14ac:dyDescent="0.35">
      <c r="A247" s="49" t="s">
        <v>4569</v>
      </c>
      <c r="B247" s="49" t="s">
        <v>11075</v>
      </c>
      <c r="C247" s="49" t="s">
        <v>11076</v>
      </c>
      <c r="D247" s="49" t="s">
        <v>1264</v>
      </c>
      <c r="E247" s="49" t="s">
        <v>2986</v>
      </c>
      <c r="F247" s="49" t="s">
        <v>2825</v>
      </c>
      <c r="G247" s="49" t="s">
        <v>2776</v>
      </c>
      <c r="H247" s="49" t="s">
        <v>2827</v>
      </c>
      <c r="I247" s="50">
        <v>44740</v>
      </c>
      <c r="M247" s="49" t="s">
        <v>11077</v>
      </c>
    </row>
    <row r="248" spans="1:13" x14ac:dyDescent="0.35">
      <c r="A248" s="49" t="s">
        <v>4569</v>
      </c>
      <c r="B248" s="49" t="s">
        <v>11078</v>
      </c>
      <c r="C248" s="49" t="s">
        <v>11079</v>
      </c>
      <c r="D248" s="49" t="s">
        <v>1264</v>
      </c>
      <c r="E248" s="49" t="s">
        <v>2986</v>
      </c>
      <c r="F248" s="49" t="s">
        <v>2825</v>
      </c>
      <c r="G248" s="49" t="s">
        <v>2776</v>
      </c>
      <c r="H248" s="49" t="s">
        <v>2827</v>
      </c>
      <c r="I248" s="50">
        <v>44740</v>
      </c>
      <c r="M248" s="49" t="s">
        <v>4570</v>
      </c>
    </row>
    <row r="249" spans="1:13" x14ac:dyDescent="0.35">
      <c r="A249" s="49" t="s">
        <v>4569</v>
      </c>
      <c r="B249" s="49" t="s">
        <v>13630</v>
      </c>
      <c r="C249" s="49"/>
      <c r="D249" s="49" t="s">
        <v>1264</v>
      </c>
      <c r="E249" s="49" t="s">
        <v>2986</v>
      </c>
      <c r="F249" s="49" t="s">
        <v>2825</v>
      </c>
      <c r="G249" s="49" t="s">
        <v>2776</v>
      </c>
      <c r="H249" s="49" t="s">
        <v>2827</v>
      </c>
      <c r="I249" s="50">
        <v>43213</v>
      </c>
      <c r="M249" s="49" t="s">
        <v>13631</v>
      </c>
    </row>
    <row r="250" spans="1:13" x14ac:dyDescent="0.35">
      <c r="A250" s="49" t="s">
        <v>4569</v>
      </c>
      <c r="B250" s="49" t="s">
        <v>14011</v>
      </c>
      <c r="C250" s="49" t="s">
        <v>13813</v>
      </c>
      <c r="D250" s="49" t="s">
        <v>1264</v>
      </c>
      <c r="E250" s="49" t="s">
        <v>2774</v>
      </c>
      <c r="F250" s="49" t="s">
        <v>2825</v>
      </c>
      <c r="G250" s="49" t="s">
        <v>2776</v>
      </c>
      <c r="H250" s="49" t="s">
        <v>973</v>
      </c>
      <c r="I250" s="50">
        <v>40687</v>
      </c>
      <c r="M250" s="49" t="s">
        <v>14012</v>
      </c>
    </row>
    <row r="251" spans="1:13" x14ac:dyDescent="0.35">
      <c r="A251" s="49" t="s">
        <v>14420</v>
      </c>
      <c r="B251" s="49" t="s">
        <v>8322</v>
      </c>
      <c r="C251" s="49" t="s">
        <v>8323</v>
      </c>
      <c r="D251" s="49" t="s">
        <v>1264</v>
      </c>
      <c r="E251" s="49" t="s">
        <v>2908</v>
      </c>
      <c r="F251" s="49" t="s">
        <v>2939</v>
      </c>
      <c r="G251" s="49" t="s">
        <v>2787</v>
      </c>
      <c r="H251" s="49" t="s">
        <v>8</v>
      </c>
      <c r="I251" s="50">
        <v>36397</v>
      </c>
      <c r="J251" s="50">
        <v>36809</v>
      </c>
      <c r="K251" s="50">
        <v>38634</v>
      </c>
      <c r="M251" s="49" t="s">
        <v>7920</v>
      </c>
    </row>
    <row r="252" spans="1:13" x14ac:dyDescent="0.35">
      <c r="A252" s="49" t="s">
        <v>14457</v>
      </c>
      <c r="B252" s="49" t="s">
        <v>8844</v>
      </c>
      <c r="C252" s="49" t="s">
        <v>8845</v>
      </c>
      <c r="D252" s="49" t="s">
        <v>1264</v>
      </c>
      <c r="E252" s="49" t="s">
        <v>2785</v>
      </c>
      <c r="F252" s="49" t="s">
        <v>2792</v>
      </c>
      <c r="G252" s="49" t="s">
        <v>2787</v>
      </c>
      <c r="H252" s="49" t="s">
        <v>8</v>
      </c>
      <c r="I252" s="50">
        <v>41847</v>
      </c>
      <c r="J252" s="50">
        <v>41872</v>
      </c>
      <c r="K252" s="50">
        <v>42235</v>
      </c>
      <c r="M252" s="49" t="s">
        <v>8847</v>
      </c>
    </row>
    <row r="253" spans="1:13" x14ac:dyDescent="0.35">
      <c r="A253" s="49" t="s">
        <v>14728</v>
      </c>
      <c r="B253" s="49" t="s">
        <v>7782</v>
      </c>
      <c r="C253" s="49" t="s">
        <v>7783</v>
      </c>
      <c r="D253" s="49" t="s">
        <v>1264</v>
      </c>
      <c r="E253" s="49" t="s">
        <v>2785</v>
      </c>
      <c r="F253" s="49" t="s">
        <v>2792</v>
      </c>
      <c r="G253" s="49" t="s">
        <v>2826</v>
      </c>
      <c r="H253" s="49" t="s">
        <v>8</v>
      </c>
      <c r="I253" s="50">
        <v>41335</v>
      </c>
      <c r="J253" s="50">
        <v>41617</v>
      </c>
      <c r="K253" s="50">
        <v>41798</v>
      </c>
      <c r="M253" s="49" t="s">
        <v>7785</v>
      </c>
    </row>
    <row r="254" spans="1:13" x14ac:dyDescent="0.35">
      <c r="A254" s="49" t="s">
        <v>15292</v>
      </c>
      <c r="B254" s="49" t="s">
        <v>5734</v>
      </c>
      <c r="C254" s="49" t="s">
        <v>4809</v>
      </c>
      <c r="D254" s="49" t="s">
        <v>1264</v>
      </c>
      <c r="E254" s="49" t="s">
        <v>2986</v>
      </c>
      <c r="F254" s="49" t="s">
        <v>2825</v>
      </c>
      <c r="G254" s="49" t="s">
        <v>2901</v>
      </c>
      <c r="H254" s="49" t="s">
        <v>2827</v>
      </c>
      <c r="I254" s="50">
        <v>45152</v>
      </c>
      <c r="J254" s="50">
        <v>45194</v>
      </c>
      <c r="K254" s="50">
        <v>46289</v>
      </c>
      <c r="M254" s="49" t="s">
        <v>5736</v>
      </c>
    </row>
    <row r="255" spans="1:13" x14ac:dyDescent="0.35">
      <c r="A255" s="49" t="s">
        <v>15292</v>
      </c>
      <c r="B255" s="49" t="s">
        <v>6227</v>
      </c>
      <c r="C255" s="49" t="s">
        <v>4877</v>
      </c>
      <c r="D255" s="49" t="s">
        <v>1264</v>
      </c>
      <c r="E255" s="49" t="s">
        <v>2986</v>
      </c>
      <c r="F255" s="49" t="s">
        <v>2825</v>
      </c>
      <c r="G255" s="49" t="s">
        <v>2901</v>
      </c>
      <c r="H255" s="49" t="s">
        <v>2827</v>
      </c>
      <c r="I255" s="50">
        <v>45306</v>
      </c>
      <c r="J255" s="50">
        <v>45349</v>
      </c>
      <c r="K255" s="50">
        <v>46444</v>
      </c>
      <c r="M255" s="49" t="s">
        <v>6228</v>
      </c>
    </row>
    <row r="256" spans="1:13" x14ac:dyDescent="0.35">
      <c r="A256" s="49" t="s">
        <v>15292</v>
      </c>
      <c r="B256" s="49" t="s">
        <v>11537</v>
      </c>
      <c r="C256" s="49" t="s">
        <v>4817</v>
      </c>
      <c r="D256" s="49" t="s">
        <v>1264</v>
      </c>
      <c r="E256" s="49" t="s">
        <v>2986</v>
      </c>
      <c r="F256" s="49" t="s">
        <v>2825</v>
      </c>
      <c r="G256" s="49" t="s">
        <v>4891</v>
      </c>
      <c r="H256" s="49" t="s">
        <v>2827</v>
      </c>
      <c r="I256" s="50">
        <v>45152</v>
      </c>
      <c r="M256" s="49" t="s">
        <v>11538</v>
      </c>
    </row>
    <row r="257" spans="1:13" x14ac:dyDescent="0.35">
      <c r="A257" s="49" t="s">
        <v>15292</v>
      </c>
      <c r="B257" s="49" t="s">
        <v>11630</v>
      </c>
      <c r="C257" s="49" t="s">
        <v>4817</v>
      </c>
      <c r="D257" s="49" t="s">
        <v>1264</v>
      </c>
      <c r="E257" s="49" t="s">
        <v>2986</v>
      </c>
      <c r="F257" s="49" t="s">
        <v>2825</v>
      </c>
      <c r="G257" s="49" t="s">
        <v>4891</v>
      </c>
      <c r="H257" s="49" t="s">
        <v>973</v>
      </c>
      <c r="I257" s="50">
        <v>45217</v>
      </c>
      <c r="M257" s="49" t="s">
        <v>11631</v>
      </c>
    </row>
    <row r="258" spans="1:13" x14ac:dyDescent="0.35">
      <c r="A258" s="49" t="s">
        <v>15292</v>
      </c>
      <c r="B258" s="49" t="s">
        <v>11632</v>
      </c>
      <c r="C258" s="49" t="s">
        <v>4809</v>
      </c>
      <c r="D258" s="49" t="s">
        <v>1264</v>
      </c>
      <c r="E258" s="49" t="s">
        <v>2986</v>
      </c>
      <c r="F258" s="49" t="s">
        <v>2825</v>
      </c>
      <c r="G258" s="49" t="s">
        <v>4891</v>
      </c>
      <c r="H258" s="49" t="s">
        <v>973</v>
      </c>
      <c r="I258" s="50">
        <v>45217</v>
      </c>
      <c r="M258" s="49" t="s">
        <v>11633</v>
      </c>
    </row>
    <row r="259" spans="1:13" x14ac:dyDescent="0.35">
      <c r="A259" s="49" t="s">
        <v>15292</v>
      </c>
      <c r="B259" s="49" t="s">
        <v>11765</v>
      </c>
      <c r="C259" s="49"/>
      <c r="D259" s="49" t="s">
        <v>1264</v>
      </c>
      <c r="E259" s="49" t="s">
        <v>2986</v>
      </c>
      <c r="F259" s="49" t="s">
        <v>2825</v>
      </c>
      <c r="G259" s="49" t="s">
        <v>2776</v>
      </c>
      <c r="H259" s="49" t="s">
        <v>2827</v>
      </c>
      <c r="I259" s="50">
        <v>45250</v>
      </c>
      <c r="M259" s="49" t="s">
        <v>11767</v>
      </c>
    </row>
    <row r="260" spans="1:13" x14ac:dyDescent="0.35">
      <c r="A260" s="49" t="s">
        <v>14539</v>
      </c>
      <c r="B260" s="49" t="s">
        <v>10009</v>
      </c>
      <c r="C260" s="49"/>
      <c r="D260" s="49" t="s">
        <v>1264</v>
      </c>
      <c r="E260" s="49" t="s">
        <v>2785</v>
      </c>
      <c r="F260" s="49" t="s">
        <v>2792</v>
      </c>
      <c r="G260" s="49" t="s">
        <v>2826</v>
      </c>
      <c r="H260" s="49" t="s">
        <v>8</v>
      </c>
      <c r="I260" s="50">
        <v>41505</v>
      </c>
      <c r="M260" s="49" t="s">
        <v>10008</v>
      </c>
    </row>
    <row r="261" spans="1:13" x14ac:dyDescent="0.35">
      <c r="A261" s="49" t="s">
        <v>14783</v>
      </c>
      <c r="B261" s="49" t="s">
        <v>10727</v>
      </c>
      <c r="C261" s="49"/>
      <c r="D261" s="49" t="s">
        <v>1264</v>
      </c>
      <c r="E261" s="49" t="s">
        <v>2785</v>
      </c>
      <c r="F261" s="49" t="s">
        <v>2792</v>
      </c>
      <c r="G261" s="49" t="s">
        <v>2787</v>
      </c>
      <c r="H261" s="49" t="s">
        <v>8</v>
      </c>
      <c r="I261" s="50">
        <v>41764</v>
      </c>
      <c r="J261" s="50">
        <v>41863</v>
      </c>
      <c r="K261" s="50">
        <v>42046</v>
      </c>
      <c r="M261" s="49" t="s">
        <v>10729</v>
      </c>
    </row>
    <row r="262" spans="1:13" x14ac:dyDescent="0.35">
      <c r="A262" s="49" t="s">
        <v>14769</v>
      </c>
      <c r="B262" s="49" t="s">
        <v>9967</v>
      </c>
      <c r="C262" s="49"/>
      <c r="D262" s="49" t="s">
        <v>1264</v>
      </c>
      <c r="E262" s="49" t="s">
        <v>7057</v>
      </c>
      <c r="F262" s="49" t="s">
        <v>2825</v>
      </c>
      <c r="G262" s="49" t="s">
        <v>2776</v>
      </c>
      <c r="H262" s="49" t="s">
        <v>2827</v>
      </c>
      <c r="I262" s="50">
        <v>42223</v>
      </c>
      <c r="M262" s="49" t="s">
        <v>9969</v>
      </c>
    </row>
    <row r="263" spans="1:13" x14ac:dyDescent="0.35">
      <c r="A263" s="49" t="s">
        <v>14769</v>
      </c>
      <c r="B263" s="49" t="s">
        <v>10550</v>
      </c>
      <c r="C263" s="49"/>
      <c r="D263" s="49" t="s">
        <v>1264</v>
      </c>
      <c r="E263" s="49" t="s">
        <v>2814</v>
      </c>
      <c r="F263" s="49" t="s">
        <v>2825</v>
      </c>
      <c r="G263" s="49" t="s">
        <v>2787</v>
      </c>
      <c r="H263" s="49" t="s">
        <v>2827</v>
      </c>
      <c r="I263" s="50">
        <v>42079</v>
      </c>
      <c r="J263" s="50">
        <v>42094</v>
      </c>
      <c r="K263" s="50">
        <v>42277</v>
      </c>
      <c r="M263" s="49" t="s">
        <v>10551</v>
      </c>
    </row>
    <row r="264" spans="1:13" x14ac:dyDescent="0.35">
      <c r="A264" s="49" t="s">
        <v>15060</v>
      </c>
      <c r="B264" s="49" t="s">
        <v>10937</v>
      </c>
      <c r="C264" s="49" t="s">
        <v>4576</v>
      </c>
      <c r="D264" s="49" t="s">
        <v>1264</v>
      </c>
      <c r="E264" s="49" t="s">
        <v>2785</v>
      </c>
      <c r="F264" s="49" t="s">
        <v>2792</v>
      </c>
      <c r="G264" s="49" t="s">
        <v>2776</v>
      </c>
      <c r="H264" s="49" t="s">
        <v>980</v>
      </c>
      <c r="I264" s="50">
        <v>44567</v>
      </c>
      <c r="M264" s="49" t="s">
        <v>10939</v>
      </c>
    </row>
    <row r="265" spans="1:13" x14ac:dyDescent="0.35">
      <c r="A265" s="49" t="s">
        <v>14752</v>
      </c>
      <c r="B265" s="49" t="s">
        <v>8833</v>
      </c>
      <c r="C265" s="49" t="s">
        <v>6999</v>
      </c>
      <c r="D265" s="49" t="s">
        <v>1264</v>
      </c>
      <c r="E265" s="49" t="s">
        <v>2785</v>
      </c>
      <c r="F265" s="49" t="s">
        <v>2792</v>
      </c>
      <c r="G265" s="49" t="s">
        <v>2826</v>
      </c>
      <c r="H265" s="49" t="s">
        <v>8</v>
      </c>
      <c r="I265" s="50">
        <v>41157</v>
      </c>
      <c r="J265" s="50">
        <v>41159</v>
      </c>
      <c r="K265" s="50">
        <v>41339</v>
      </c>
      <c r="M265" s="49" t="s">
        <v>8835</v>
      </c>
    </row>
    <row r="266" spans="1:13" x14ac:dyDescent="0.35">
      <c r="A266" s="49" t="s">
        <v>15138</v>
      </c>
      <c r="B266" s="49" t="s">
        <v>3775</v>
      </c>
      <c r="C266" s="49" t="s">
        <v>3776</v>
      </c>
      <c r="D266" s="49" t="s">
        <v>1264</v>
      </c>
      <c r="E266" s="49" t="s">
        <v>2908</v>
      </c>
      <c r="F266" s="49" t="s">
        <v>2837</v>
      </c>
      <c r="G266" s="49" t="s">
        <v>2787</v>
      </c>
      <c r="H266" s="49" t="s">
        <v>973</v>
      </c>
      <c r="I266" s="50">
        <v>43280</v>
      </c>
      <c r="J266" s="50">
        <v>43543</v>
      </c>
      <c r="K266" s="50">
        <v>45369</v>
      </c>
      <c r="M266" s="49" t="s">
        <v>3270</v>
      </c>
    </row>
    <row r="267" spans="1:13" x14ac:dyDescent="0.35">
      <c r="A267" s="49" t="s">
        <v>15138</v>
      </c>
      <c r="B267" s="49" t="s">
        <v>3897</v>
      </c>
      <c r="C267" s="49" t="s">
        <v>2823</v>
      </c>
      <c r="D267" s="49" t="s">
        <v>1264</v>
      </c>
      <c r="E267" s="49" t="s">
        <v>2785</v>
      </c>
      <c r="F267" s="49" t="s">
        <v>3898</v>
      </c>
      <c r="G267" s="49" t="s">
        <v>2787</v>
      </c>
      <c r="H267" s="49" t="s">
        <v>2827</v>
      </c>
      <c r="I267" s="50">
        <v>43536</v>
      </c>
      <c r="J267" s="50">
        <v>44127</v>
      </c>
      <c r="K267" s="50">
        <v>44344</v>
      </c>
      <c r="M267" s="49" t="s">
        <v>3899</v>
      </c>
    </row>
    <row r="268" spans="1:13" x14ac:dyDescent="0.35">
      <c r="A268" s="49" t="s">
        <v>15138</v>
      </c>
      <c r="B268" s="49" t="s">
        <v>4372</v>
      </c>
      <c r="C268" s="49"/>
      <c r="D268" s="49" t="s">
        <v>1264</v>
      </c>
      <c r="E268" s="49" t="s">
        <v>2785</v>
      </c>
      <c r="F268" s="49" t="s">
        <v>3253</v>
      </c>
      <c r="G268" s="49" t="s">
        <v>2787</v>
      </c>
      <c r="H268" s="49" t="s">
        <v>973</v>
      </c>
      <c r="I268" s="50">
        <v>44230</v>
      </c>
      <c r="K268" s="50">
        <v>45510</v>
      </c>
      <c r="M268" s="49" t="s">
        <v>4373</v>
      </c>
    </row>
    <row r="269" spans="1:13" x14ac:dyDescent="0.35">
      <c r="A269" s="49" t="s">
        <v>15138</v>
      </c>
      <c r="B269" s="49" t="s">
        <v>4607</v>
      </c>
      <c r="C269" s="49" t="s">
        <v>2823</v>
      </c>
      <c r="D269" s="49" t="s">
        <v>1264</v>
      </c>
      <c r="E269" s="49" t="s">
        <v>2908</v>
      </c>
      <c r="F269" s="49" t="s">
        <v>3898</v>
      </c>
      <c r="G269" s="49" t="s">
        <v>4330</v>
      </c>
      <c r="H269" s="49" t="s">
        <v>2827</v>
      </c>
      <c r="I269" s="50">
        <v>44344</v>
      </c>
      <c r="M269" s="49" t="s">
        <v>4608</v>
      </c>
    </row>
    <row r="270" spans="1:13" x14ac:dyDescent="0.35">
      <c r="A270" s="49" t="s">
        <v>15138</v>
      </c>
      <c r="B270" s="49" t="s">
        <v>9174</v>
      </c>
      <c r="C270" s="49"/>
      <c r="D270" s="49" t="s">
        <v>1264</v>
      </c>
      <c r="E270" s="49" t="s">
        <v>2908</v>
      </c>
      <c r="F270" s="49" t="s">
        <v>3253</v>
      </c>
      <c r="G270" s="49" t="s">
        <v>2776</v>
      </c>
      <c r="H270" s="49" t="s">
        <v>973</v>
      </c>
      <c r="I270" s="50">
        <v>44231</v>
      </c>
      <c r="M270" s="49" t="s">
        <v>9175</v>
      </c>
    </row>
    <row r="271" spans="1:13" x14ac:dyDescent="0.35">
      <c r="A271" s="49" t="s">
        <v>106</v>
      </c>
      <c r="B271" s="49" t="s">
        <v>7773</v>
      </c>
      <c r="C271" s="49"/>
      <c r="D271" s="49" t="s">
        <v>1264</v>
      </c>
      <c r="E271" s="49" t="s">
        <v>2785</v>
      </c>
      <c r="F271" s="49" t="s">
        <v>2786</v>
      </c>
      <c r="G271" s="49" t="s">
        <v>2787</v>
      </c>
      <c r="H271" s="49" t="s">
        <v>980</v>
      </c>
      <c r="I271" s="50">
        <v>42661</v>
      </c>
      <c r="J271" s="50">
        <v>42704</v>
      </c>
      <c r="K271" s="50">
        <v>42884</v>
      </c>
      <c r="M271" s="49" t="s">
        <v>7775</v>
      </c>
    </row>
    <row r="272" spans="1:13" x14ac:dyDescent="0.35">
      <c r="A272" s="49" t="s">
        <v>1019</v>
      </c>
      <c r="B272" s="49" t="s">
        <v>5922</v>
      </c>
      <c r="C272" s="49" t="s">
        <v>5923</v>
      </c>
      <c r="D272" s="49" t="s">
        <v>1264</v>
      </c>
      <c r="E272" s="49" t="s">
        <v>2785</v>
      </c>
      <c r="F272" s="49" t="s">
        <v>2805</v>
      </c>
      <c r="G272" s="49" t="s">
        <v>2787</v>
      </c>
      <c r="H272" s="49" t="s">
        <v>980</v>
      </c>
      <c r="I272" s="50">
        <v>44729</v>
      </c>
      <c r="J272" s="50">
        <v>45226</v>
      </c>
      <c r="K272" s="50">
        <v>45252</v>
      </c>
      <c r="M272" s="49" t="s">
        <v>5925</v>
      </c>
    </row>
    <row r="273" spans="1:13" x14ac:dyDescent="0.35">
      <c r="A273" s="49" t="s">
        <v>1019</v>
      </c>
      <c r="B273" s="49" t="s">
        <v>11858</v>
      </c>
      <c r="C273" s="49" t="s">
        <v>11859</v>
      </c>
      <c r="D273" s="49" t="s">
        <v>1264</v>
      </c>
      <c r="E273" s="49" t="s">
        <v>2785</v>
      </c>
      <c r="F273" s="49" t="s">
        <v>2805</v>
      </c>
      <c r="G273" s="49" t="s">
        <v>4891</v>
      </c>
      <c r="H273" s="49" t="s">
        <v>980</v>
      </c>
      <c r="I273" s="50">
        <v>45252</v>
      </c>
      <c r="M273" s="49" t="s">
        <v>11860</v>
      </c>
    </row>
    <row r="274" spans="1:13" x14ac:dyDescent="0.35">
      <c r="A274" s="49" t="s">
        <v>14450</v>
      </c>
      <c r="B274" s="49" t="s">
        <v>8704</v>
      </c>
      <c r="C274" s="49"/>
      <c r="D274" s="49" t="s">
        <v>1264</v>
      </c>
      <c r="E274" s="49" t="s">
        <v>2774</v>
      </c>
      <c r="F274" s="49" t="s">
        <v>3648</v>
      </c>
      <c r="G274" s="49" t="s">
        <v>2776</v>
      </c>
      <c r="H274" s="49" t="s">
        <v>3229</v>
      </c>
      <c r="I274" s="50">
        <v>41152</v>
      </c>
      <c r="M274" s="49" t="s">
        <v>8706</v>
      </c>
    </row>
    <row r="275" spans="1:13" x14ac:dyDescent="0.35">
      <c r="A275" s="49" t="s">
        <v>14213</v>
      </c>
      <c r="B275" s="49" t="s">
        <v>4946</v>
      </c>
      <c r="C275" s="49" t="s">
        <v>3768</v>
      </c>
      <c r="D275" s="49" t="s">
        <v>1264</v>
      </c>
      <c r="E275" s="49" t="s">
        <v>3443</v>
      </c>
      <c r="F275" s="49" t="s">
        <v>3124</v>
      </c>
      <c r="G275" s="49" t="s">
        <v>2901</v>
      </c>
      <c r="I275" s="50">
        <v>44357</v>
      </c>
      <c r="J275" s="50">
        <v>44614</v>
      </c>
      <c r="K275" s="50">
        <v>46439</v>
      </c>
    </row>
    <row r="276" spans="1:13" x14ac:dyDescent="0.35">
      <c r="A276" s="49" t="s">
        <v>14348</v>
      </c>
      <c r="B276" s="49" t="s">
        <v>7431</v>
      </c>
      <c r="C276" s="49" t="s">
        <v>7432</v>
      </c>
      <c r="D276" s="49" t="s">
        <v>1264</v>
      </c>
      <c r="E276" s="49" t="s">
        <v>2785</v>
      </c>
      <c r="F276" s="49" t="s">
        <v>2792</v>
      </c>
      <c r="G276" s="49" t="s">
        <v>2787</v>
      </c>
      <c r="H276" s="49" t="s">
        <v>8</v>
      </c>
      <c r="I276" s="50">
        <v>42401</v>
      </c>
      <c r="J276" s="50">
        <v>42527</v>
      </c>
      <c r="K276" s="50">
        <v>42709</v>
      </c>
      <c r="M276" s="49" t="s">
        <v>7434</v>
      </c>
    </row>
    <row r="277" spans="1:13" x14ac:dyDescent="0.35">
      <c r="A277" s="49" t="s">
        <v>14563</v>
      </c>
      <c r="B277" s="49" t="s">
        <v>10455</v>
      </c>
      <c r="C277" s="49"/>
      <c r="D277" s="49" t="s">
        <v>1264</v>
      </c>
      <c r="E277" s="49" t="s">
        <v>2814</v>
      </c>
      <c r="F277" s="49" t="s">
        <v>2825</v>
      </c>
      <c r="G277" s="49" t="s">
        <v>2776</v>
      </c>
      <c r="H277" s="49" t="s">
        <v>2827</v>
      </c>
      <c r="I277" s="50">
        <v>42509</v>
      </c>
      <c r="M277" s="49" t="s">
        <v>3470</v>
      </c>
    </row>
    <row r="278" spans="1:13" x14ac:dyDescent="0.35">
      <c r="A278" s="49" t="s">
        <v>14519</v>
      </c>
      <c r="B278" s="49" t="s">
        <v>9663</v>
      </c>
      <c r="C278" s="49"/>
      <c r="D278" s="49" t="s">
        <v>1264</v>
      </c>
      <c r="E278" s="49" t="s">
        <v>2908</v>
      </c>
      <c r="F278" s="49" t="s">
        <v>3108</v>
      </c>
      <c r="G278" s="49" t="s">
        <v>2776</v>
      </c>
      <c r="H278" s="49" t="s">
        <v>2827</v>
      </c>
      <c r="I278" s="50">
        <v>42373</v>
      </c>
      <c r="M278" s="49" t="s">
        <v>3470</v>
      </c>
    </row>
    <row r="279" spans="1:13" x14ac:dyDescent="0.35">
      <c r="A279" s="49" t="s">
        <v>15061</v>
      </c>
      <c r="B279" s="49" t="s">
        <v>9668</v>
      </c>
      <c r="C279" s="49"/>
      <c r="D279" s="49" t="s">
        <v>1264</v>
      </c>
      <c r="E279" s="49" t="s">
        <v>2908</v>
      </c>
      <c r="F279" s="49" t="s">
        <v>3108</v>
      </c>
      <c r="G279" s="49" t="s">
        <v>2776</v>
      </c>
      <c r="H279" s="49" t="s">
        <v>2827</v>
      </c>
      <c r="I279" s="50">
        <v>42447</v>
      </c>
      <c r="M279" s="49" t="s">
        <v>9670</v>
      </c>
    </row>
    <row r="280" spans="1:13" x14ac:dyDescent="0.35">
      <c r="A280" s="49" t="s">
        <v>14700</v>
      </c>
      <c r="B280" s="49" t="s">
        <v>3213</v>
      </c>
      <c r="C280" s="49" t="s">
        <v>3214</v>
      </c>
      <c r="D280" s="49" t="s">
        <v>1264</v>
      </c>
      <c r="E280" s="49" t="s">
        <v>2908</v>
      </c>
      <c r="F280" s="49" t="s">
        <v>2805</v>
      </c>
      <c r="G280" s="49" t="s">
        <v>2820</v>
      </c>
      <c r="H280" s="49" t="s">
        <v>980</v>
      </c>
      <c r="I280" s="50">
        <v>40982</v>
      </c>
      <c r="J280" s="50">
        <v>41143</v>
      </c>
      <c r="K280" s="50">
        <v>42968</v>
      </c>
      <c r="M280" s="49" t="s">
        <v>3216</v>
      </c>
    </row>
    <row r="281" spans="1:13" x14ac:dyDescent="0.35">
      <c r="A281" s="49" t="s">
        <v>14714</v>
      </c>
      <c r="B281" s="49" t="s">
        <v>7103</v>
      </c>
      <c r="C281" s="49" t="s">
        <v>6999</v>
      </c>
      <c r="D281" s="49" t="s">
        <v>1264</v>
      </c>
      <c r="E281" s="49" t="s">
        <v>2785</v>
      </c>
      <c r="F281" s="49" t="s">
        <v>2792</v>
      </c>
      <c r="G281" s="49" t="s">
        <v>2820</v>
      </c>
      <c r="H281" s="49" t="s">
        <v>8</v>
      </c>
      <c r="I281" s="50">
        <v>41216</v>
      </c>
      <c r="J281" s="50">
        <v>41324</v>
      </c>
      <c r="K281" s="50">
        <v>41506</v>
      </c>
      <c r="M281" s="49" t="s">
        <v>7105</v>
      </c>
    </row>
    <row r="282" spans="1:13" x14ac:dyDescent="0.35">
      <c r="A282" s="49" t="s">
        <v>14467</v>
      </c>
      <c r="B282" s="49" t="s">
        <v>9009</v>
      </c>
      <c r="C282" s="49" t="s">
        <v>8733</v>
      </c>
      <c r="D282" s="49" t="s">
        <v>1264</v>
      </c>
      <c r="E282" s="49" t="s">
        <v>2814</v>
      </c>
      <c r="F282" s="49" t="s">
        <v>2825</v>
      </c>
      <c r="G282" s="49" t="s">
        <v>2787</v>
      </c>
      <c r="H282" s="49" t="s">
        <v>2827</v>
      </c>
      <c r="I282" s="50">
        <v>42570</v>
      </c>
      <c r="J282" s="50">
        <v>42600</v>
      </c>
      <c r="K282" s="50">
        <v>42784</v>
      </c>
      <c r="M282" s="49" t="s">
        <v>9011</v>
      </c>
    </row>
    <row r="283" spans="1:13" x14ac:dyDescent="0.35">
      <c r="A283" s="49" t="s">
        <v>14743</v>
      </c>
      <c r="B283" s="49" t="s">
        <v>8303</v>
      </c>
      <c r="C283" s="49" t="s">
        <v>8304</v>
      </c>
      <c r="D283" s="49" t="s">
        <v>1264</v>
      </c>
      <c r="E283" s="49" t="s">
        <v>2908</v>
      </c>
      <c r="F283" s="49" t="s">
        <v>2939</v>
      </c>
      <c r="G283" s="49" t="s">
        <v>2787</v>
      </c>
      <c r="H283" s="49" t="s">
        <v>8</v>
      </c>
      <c r="I283" s="50">
        <v>35087</v>
      </c>
      <c r="J283" s="50">
        <v>35727</v>
      </c>
      <c r="K283" s="50">
        <v>37552</v>
      </c>
      <c r="M283" s="49" t="s">
        <v>7874</v>
      </c>
    </row>
    <row r="284" spans="1:13" x14ac:dyDescent="0.35">
      <c r="A284" s="49" t="s">
        <v>9713</v>
      </c>
      <c r="B284" s="49" t="s">
        <v>4598</v>
      </c>
      <c r="C284" s="49" t="s">
        <v>4599</v>
      </c>
      <c r="D284" s="49" t="s">
        <v>1264</v>
      </c>
      <c r="E284" s="49" t="s">
        <v>2785</v>
      </c>
      <c r="F284" s="49" t="s">
        <v>2786</v>
      </c>
      <c r="G284" s="49" t="s">
        <v>2787</v>
      </c>
      <c r="H284" s="49" t="s">
        <v>980</v>
      </c>
      <c r="I284" s="50">
        <v>44469</v>
      </c>
      <c r="J284" s="50">
        <v>44578</v>
      </c>
      <c r="K284" s="50">
        <v>45428</v>
      </c>
      <c r="M284" s="49" t="s">
        <v>4601</v>
      </c>
    </row>
    <row r="285" spans="1:13" x14ac:dyDescent="0.35">
      <c r="A285" s="49" t="s">
        <v>9713</v>
      </c>
      <c r="B285" s="49" t="s">
        <v>9712</v>
      </c>
      <c r="C285" s="49"/>
      <c r="D285" s="49" t="s">
        <v>1264</v>
      </c>
      <c r="E285" s="49" t="s">
        <v>2785</v>
      </c>
      <c r="F285" s="49" t="s">
        <v>2786</v>
      </c>
      <c r="G285" s="49" t="s">
        <v>2776</v>
      </c>
      <c r="H285" s="49" t="s">
        <v>980</v>
      </c>
      <c r="I285" s="50">
        <v>42354</v>
      </c>
      <c r="M285" s="49" t="s">
        <v>3470</v>
      </c>
    </row>
    <row r="286" spans="1:13" x14ac:dyDescent="0.35">
      <c r="A286" s="49" t="s">
        <v>14097</v>
      </c>
      <c r="B286" s="49" t="s">
        <v>3346</v>
      </c>
      <c r="C286" s="49" t="s">
        <v>3347</v>
      </c>
      <c r="D286" s="49" t="s">
        <v>1264</v>
      </c>
      <c r="E286" s="49" t="s">
        <v>2774</v>
      </c>
      <c r="F286" s="49" t="s">
        <v>2900</v>
      </c>
      <c r="G286" s="49" t="s">
        <v>2787</v>
      </c>
      <c r="H286" s="49" t="s">
        <v>2832</v>
      </c>
      <c r="I286" s="50">
        <v>41862</v>
      </c>
      <c r="J286" s="50">
        <v>42200</v>
      </c>
      <c r="K286" s="50">
        <v>45486</v>
      </c>
      <c r="M286" s="49" t="s">
        <v>3349</v>
      </c>
    </row>
    <row r="287" spans="1:13" x14ac:dyDescent="0.35">
      <c r="A287" s="49" t="s">
        <v>14097</v>
      </c>
      <c r="B287" s="49" t="s">
        <v>6798</v>
      </c>
      <c r="C287" s="49"/>
      <c r="D287" s="49" t="s">
        <v>1264</v>
      </c>
      <c r="E287" s="49" t="s">
        <v>2814</v>
      </c>
      <c r="F287" s="49" t="s">
        <v>2900</v>
      </c>
      <c r="G287" s="49" t="s">
        <v>2901</v>
      </c>
      <c r="H287" s="49" t="s">
        <v>2832</v>
      </c>
      <c r="I287" s="52">
        <v>45973.532002314802</v>
      </c>
      <c r="J287" s="50">
        <v>46113</v>
      </c>
      <c r="K287" s="50">
        <v>46295</v>
      </c>
      <c r="M287" s="49" t="s">
        <v>6799</v>
      </c>
    </row>
    <row r="288" spans="1:13" x14ac:dyDescent="0.35">
      <c r="A288" s="49" t="s">
        <v>14097</v>
      </c>
      <c r="B288" s="49" t="s">
        <v>7024</v>
      </c>
      <c r="C288" s="49"/>
      <c r="D288" s="49" t="s">
        <v>1264</v>
      </c>
      <c r="E288" s="49" t="s">
        <v>2974</v>
      </c>
      <c r="F288" s="49" t="s">
        <v>2775</v>
      </c>
      <c r="G288" s="49" t="s">
        <v>2776</v>
      </c>
      <c r="H288" s="49" t="s">
        <v>980</v>
      </c>
      <c r="I288" s="50">
        <v>41059</v>
      </c>
      <c r="M288" s="49" t="s">
        <v>7025</v>
      </c>
    </row>
    <row r="289" spans="1:13" x14ac:dyDescent="0.35">
      <c r="A289" s="49" t="s">
        <v>14097</v>
      </c>
      <c r="B289" s="49" t="s">
        <v>13789</v>
      </c>
      <c r="C289" s="49"/>
      <c r="D289" s="49" t="s">
        <v>1264</v>
      </c>
      <c r="E289" s="49" t="s">
        <v>2974</v>
      </c>
      <c r="F289" s="49" t="s">
        <v>2900</v>
      </c>
      <c r="G289" s="49" t="s">
        <v>2776</v>
      </c>
      <c r="H289" s="49" t="s">
        <v>2832</v>
      </c>
      <c r="I289" s="50">
        <v>43164</v>
      </c>
      <c r="M289" s="49" t="s">
        <v>13790</v>
      </c>
    </row>
    <row r="290" spans="1:13" x14ac:dyDescent="0.35">
      <c r="A290" s="49" t="s">
        <v>14083</v>
      </c>
      <c r="B290" s="49" t="s">
        <v>3134</v>
      </c>
      <c r="C290" s="49" t="s">
        <v>3135</v>
      </c>
      <c r="D290" s="49" t="s">
        <v>1264</v>
      </c>
      <c r="E290" s="49" t="s">
        <v>2774</v>
      </c>
      <c r="F290" s="49" t="s">
        <v>2825</v>
      </c>
      <c r="G290" s="49" t="s">
        <v>2787</v>
      </c>
      <c r="H290" s="49" t="s">
        <v>2827</v>
      </c>
      <c r="I290" s="50">
        <v>40374</v>
      </c>
      <c r="J290" s="50">
        <v>40414</v>
      </c>
      <c r="K290" s="50">
        <v>44565</v>
      </c>
      <c r="M290" s="49" t="s">
        <v>3137</v>
      </c>
    </row>
    <row r="291" spans="1:13" x14ac:dyDescent="0.35">
      <c r="A291" s="49" t="s">
        <v>14734</v>
      </c>
      <c r="B291" s="49" t="s">
        <v>7900</v>
      </c>
      <c r="C291" s="49" t="s">
        <v>3102</v>
      </c>
      <c r="D291" s="49" t="s">
        <v>1264</v>
      </c>
      <c r="E291" s="49" t="s">
        <v>2908</v>
      </c>
      <c r="F291" s="49" t="s">
        <v>2939</v>
      </c>
      <c r="G291" s="49" t="s">
        <v>2787</v>
      </c>
      <c r="H291" s="49" t="s">
        <v>8</v>
      </c>
      <c r="I291" s="50">
        <v>36261</v>
      </c>
      <c r="J291" s="50">
        <v>36605</v>
      </c>
      <c r="K291" s="50">
        <v>38430</v>
      </c>
      <c r="M291" s="49" t="s">
        <v>7902</v>
      </c>
    </row>
    <row r="292" spans="1:13" x14ac:dyDescent="0.35">
      <c r="A292" s="49" t="s">
        <v>14736</v>
      </c>
      <c r="B292" s="49" t="s">
        <v>7939</v>
      </c>
      <c r="C292" s="49" t="s">
        <v>7940</v>
      </c>
      <c r="D292" s="49" t="s">
        <v>1264</v>
      </c>
      <c r="E292" s="49" t="s">
        <v>2908</v>
      </c>
      <c r="F292" s="49" t="s">
        <v>7942</v>
      </c>
      <c r="G292" s="49" t="s">
        <v>2826</v>
      </c>
      <c r="H292" s="49" t="s">
        <v>8</v>
      </c>
      <c r="I292" s="50">
        <v>36082</v>
      </c>
      <c r="J292" s="50">
        <v>37427</v>
      </c>
      <c r="K292" s="50">
        <v>40368</v>
      </c>
      <c r="M292" s="49" t="s">
        <v>7943</v>
      </c>
    </row>
    <row r="293" spans="1:13" x14ac:dyDescent="0.35">
      <c r="A293" s="49" t="s">
        <v>15139</v>
      </c>
      <c r="B293" s="49" t="s">
        <v>4332</v>
      </c>
      <c r="C293" s="49"/>
      <c r="D293" s="49" t="s">
        <v>1264</v>
      </c>
      <c r="E293" s="49" t="s">
        <v>2814</v>
      </c>
      <c r="F293" s="49" t="s">
        <v>2837</v>
      </c>
      <c r="G293" s="49" t="s">
        <v>2787</v>
      </c>
      <c r="H293" s="49" t="s">
        <v>2827</v>
      </c>
      <c r="I293" s="50">
        <v>44327</v>
      </c>
      <c r="J293" s="50">
        <v>44355</v>
      </c>
      <c r="K293" s="50">
        <v>44719</v>
      </c>
      <c r="M293" s="49" t="s">
        <v>4334</v>
      </c>
    </row>
    <row r="294" spans="1:13" x14ac:dyDescent="0.35">
      <c r="A294" s="49" t="s">
        <v>15139</v>
      </c>
      <c r="B294" s="49" t="s">
        <v>4883</v>
      </c>
      <c r="C294" s="49" t="s">
        <v>3768</v>
      </c>
      <c r="D294" s="49" t="s">
        <v>1264</v>
      </c>
      <c r="E294" s="49" t="s">
        <v>3443</v>
      </c>
      <c r="F294" s="49" t="s">
        <v>3124</v>
      </c>
      <c r="G294" s="49" t="s">
        <v>2901</v>
      </c>
      <c r="H294" s="49" t="s">
        <v>980</v>
      </c>
      <c r="I294" s="50">
        <v>44532</v>
      </c>
      <c r="J294" s="50">
        <v>44594</v>
      </c>
      <c r="K294" s="50">
        <v>46419</v>
      </c>
    </row>
    <row r="295" spans="1:13" x14ac:dyDescent="0.35">
      <c r="A295" s="49" t="s">
        <v>15139</v>
      </c>
      <c r="B295" s="49" t="s">
        <v>5327</v>
      </c>
      <c r="C295" s="49" t="s">
        <v>2823</v>
      </c>
      <c r="D295" s="49" t="s">
        <v>1264</v>
      </c>
      <c r="E295" s="49" t="s">
        <v>2785</v>
      </c>
      <c r="F295" s="49" t="s">
        <v>3898</v>
      </c>
      <c r="G295" s="49" t="s">
        <v>2787</v>
      </c>
      <c r="H295" s="49" t="s">
        <v>2827</v>
      </c>
      <c r="I295" s="50">
        <v>44406</v>
      </c>
      <c r="J295" s="50">
        <v>45057</v>
      </c>
      <c r="K295" s="50">
        <v>45422</v>
      </c>
      <c r="M295" s="49" t="s">
        <v>5328</v>
      </c>
    </row>
    <row r="296" spans="1:13" x14ac:dyDescent="0.35">
      <c r="A296" s="49" t="s">
        <v>15139</v>
      </c>
      <c r="B296" s="49" t="s">
        <v>10628</v>
      </c>
      <c r="C296" s="49" t="s">
        <v>10629</v>
      </c>
      <c r="D296" s="49" t="s">
        <v>1264</v>
      </c>
      <c r="E296" s="49" t="s">
        <v>2814</v>
      </c>
      <c r="F296" s="49" t="s">
        <v>2939</v>
      </c>
      <c r="G296" s="49" t="s">
        <v>2776</v>
      </c>
      <c r="H296" s="49" t="s">
        <v>980</v>
      </c>
      <c r="I296" s="50">
        <v>44093</v>
      </c>
      <c r="M296" s="49" t="s">
        <v>10630</v>
      </c>
    </row>
    <row r="297" spans="1:13" x14ac:dyDescent="0.35">
      <c r="A297" s="49" t="s">
        <v>15293</v>
      </c>
      <c r="B297" s="49" t="s">
        <v>5520</v>
      </c>
      <c r="C297" s="49" t="s">
        <v>4809</v>
      </c>
      <c r="D297" s="49" t="s">
        <v>1264</v>
      </c>
      <c r="E297" s="49" t="s">
        <v>2986</v>
      </c>
      <c r="F297" s="49" t="s">
        <v>2825</v>
      </c>
      <c r="G297" s="49" t="s">
        <v>4330</v>
      </c>
      <c r="H297" s="49" t="s">
        <v>2827</v>
      </c>
      <c r="I297" s="50">
        <v>45029</v>
      </c>
      <c r="M297" s="49" t="s">
        <v>5522</v>
      </c>
    </row>
    <row r="298" spans="1:13" x14ac:dyDescent="0.35">
      <c r="A298" s="49" t="s">
        <v>15293</v>
      </c>
      <c r="B298" s="49" t="s">
        <v>5523</v>
      </c>
      <c r="C298" s="49" t="s">
        <v>4877</v>
      </c>
      <c r="D298" s="49" t="s">
        <v>1264</v>
      </c>
      <c r="E298" s="49" t="s">
        <v>2986</v>
      </c>
      <c r="F298" s="49" t="s">
        <v>2825</v>
      </c>
      <c r="G298" s="49" t="s">
        <v>2901</v>
      </c>
      <c r="H298" s="49" t="s">
        <v>2827</v>
      </c>
      <c r="I298" s="50">
        <v>45029</v>
      </c>
      <c r="J298" s="50">
        <v>45090</v>
      </c>
      <c r="K298" s="50">
        <v>46185</v>
      </c>
      <c r="M298" s="49" t="s">
        <v>5524</v>
      </c>
    </row>
    <row r="299" spans="1:13" x14ac:dyDescent="0.35">
      <c r="A299" s="49" t="s">
        <v>15293</v>
      </c>
      <c r="B299" s="49" t="s">
        <v>5525</v>
      </c>
      <c r="C299" s="49" t="s">
        <v>4817</v>
      </c>
      <c r="D299" s="49" t="s">
        <v>1264</v>
      </c>
      <c r="E299" s="49" t="s">
        <v>2986</v>
      </c>
      <c r="F299" s="49" t="s">
        <v>2825</v>
      </c>
      <c r="G299" s="49" t="s">
        <v>4330</v>
      </c>
      <c r="H299" s="49" t="s">
        <v>2827</v>
      </c>
      <c r="I299" s="50">
        <v>45029</v>
      </c>
      <c r="M299" s="49" t="s">
        <v>5526</v>
      </c>
    </row>
    <row r="300" spans="1:13" x14ac:dyDescent="0.35">
      <c r="A300" s="49" t="s">
        <v>15293</v>
      </c>
      <c r="B300" s="49" t="s">
        <v>5727</v>
      </c>
      <c r="C300" s="49" t="s">
        <v>5728</v>
      </c>
      <c r="D300" s="49" t="s">
        <v>1264</v>
      </c>
      <c r="E300" s="49" t="s">
        <v>2986</v>
      </c>
      <c r="F300" s="49" t="s">
        <v>2825</v>
      </c>
      <c r="G300" s="49" t="s">
        <v>4330</v>
      </c>
      <c r="H300" s="49" t="s">
        <v>973</v>
      </c>
      <c r="I300" s="50">
        <v>45162</v>
      </c>
      <c r="M300" s="49" t="s">
        <v>5730</v>
      </c>
    </row>
    <row r="301" spans="1:13" x14ac:dyDescent="0.35">
      <c r="A301" s="49" t="s">
        <v>15293</v>
      </c>
      <c r="B301" s="49" t="s">
        <v>5731</v>
      </c>
      <c r="C301" s="49" t="s">
        <v>5732</v>
      </c>
      <c r="D301" s="49" t="s">
        <v>1264</v>
      </c>
      <c r="E301" s="49" t="s">
        <v>2986</v>
      </c>
      <c r="F301" s="49" t="s">
        <v>2825</v>
      </c>
      <c r="G301" s="49" t="s">
        <v>4330</v>
      </c>
      <c r="H301" s="49" t="s">
        <v>973</v>
      </c>
      <c r="I301" s="50">
        <v>45162</v>
      </c>
      <c r="M301" s="49" t="s">
        <v>5733</v>
      </c>
    </row>
    <row r="302" spans="1:13" x14ac:dyDescent="0.35">
      <c r="A302" s="49" t="s">
        <v>15293</v>
      </c>
      <c r="B302" s="49" t="s">
        <v>5876</v>
      </c>
      <c r="C302" s="49"/>
      <c r="D302" s="49" t="s">
        <v>1264</v>
      </c>
      <c r="E302" s="49" t="s">
        <v>2986</v>
      </c>
      <c r="F302" s="49" t="s">
        <v>2825</v>
      </c>
      <c r="G302" s="49" t="s">
        <v>2901</v>
      </c>
      <c r="H302" s="49" t="s">
        <v>973</v>
      </c>
      <c r="I302" s="50">
        <v>45117</v>
      </c>
      <c r="J302" s="50">
        <v>45121</v>
      </c>
      <c r="K302" s="50">
        <v>46216</v>
      </c>
      <c r="M302" s="49" t="s">
        <v>5877</v>
      </c>
    </row>
    <row r="303" spans="1:13" x14ac:dyDescent="0.35">
      <c r="A303" s="49" t="s">
        <v>15293</v>
      </c>
      <c r="B303" s="49" t="s">
        <v>5989</v>
      </c>
      <c r="C303" s="49" t="s">
        <v>4809</v>
      </c>
      <c r="D303" s="49" t="s">
        <v>1264</v>
      </c>
      <c r="E303" s="49" t="s">
        <v>2986</v>
      </c>
      <c r="F303" s="49" t="s">
        <v>2825</v>
      </c>
      <c r="G303" s="49" t="s">
        <v>2901</v>
      </c>
      <c r="H303" s="49" t="s">
        <v>973</v>
      </c>
      <c r="I303" s="50">
        <v>45117</v>
      </c>
      <c r="J303" s="50">
        <v>45121</v>
      </c>
      <c r="K303" s="50">
        <v>46216</v>
      </c>
      <c r="M303" s="49" t="s">
        <v>5990</v>
      </c>
    </row>
    <row r="304" spans="1:13" x14ac:dyDescent="0.35">
      <c r="A304" s="49" t="s">
        <v>15293</v>
      </c>
      <c r="B304" s="49" t="s">
        <v>5991</v>
      </c>
      <c r="C304" s="49" t="s">
        <v>4877</v>
      </c>
      <c r="D304" s="49" t="s">
        <v>1264</v>
      </c>
      <c r="E304" s="49" t="s">
        <v>2986</v>
      </c>
      <c r="F304" s="49" t="s">
        <v>2825</v>
      </c>
      <c r="G304" s="49" t="s">
        <v>4330</v>
      </c>
      <c r="H304" s="49" t="s">
        <v>973</v>
      </c>
      <c r="I304" s="50">
        <v>45117</v>
      </c>
      <c r="M304" s="49" t="s">
        <v>5992</v>
      </c>
    </row>
    <row r="305" spans="1:13" x14ac:dyDescent="0.35">
      <c r="A305" s="49" t="s">
        <v>15293</v>
      </c>
      <c r="B305" s="49" t="s">
        <v>5993</v>
      </c>
      <c r="C305" s="49" t="s">
        <v>5865</v>
      </c>
      <c r="D305" s="49" t="s">
        <v>1264</v>
      </c>
      <c r="E305" s="49" t="s">
        <v>2986</v>
      </c>
      <c r="F305" s="49" t="s">
        <v>2825</v>
      </c>
      <c r="G305" s="49" t="s">
        <v>2901</v>
      </c>
      <c r="H305" s="49" t="s">
        <v>973</v>
      </c>
      <c r="I305" s="50">
        <v>45117</v>
      </c>
      <c r="J305" s="50">
        <v>45121</v>
      </c>
      <c r="K305" s="50">
        <v>46216</v>
      </c>
      <c r="M305" s="49" t="s">
        <v>5994</v>
      </c>
    </row>
    <row r="306" spans="1:13" x14ac:dyDescent="0.35">
      <c r="A306" s="49" t="s">
        <v>14829</v>
      </c>
      <c r="B306" s="49" t="s">
        <v>13434</v>
      </c>
      <c r="C306" s="49"/>
      <c r="D306" s="49" t="s">
        <v>1264</v>
      </c>
      <c r="E306" s="49" t="s">
        <v>2774</v>
      </c>
      <c r="F306" s="49" t="s">
        <v>2825</v>
      </c>
      <c r="G306" s="49" t="s">
        <v>4891</v>
      </c>
      <c r="H306" s="49" t="s">
        <v>2827</v>
      </c>
      <c r="I306" s="52">
        <v>46132.517025462999</v>
      </c>
      <c r="M306" s="49" t="s">
        <v>13436</v>
      </c>
    </row>
    <row r="307" spans="1:13" x14ac:dyDescent="0.35">
      <c r="A307" s="49" t="s">
        <v>14829</v>
      </c>
      <c r="B307" s="49" t="s">
        <v>13437</v>
      </c>
      <c r="C307" s="49"/>
      <c r="D307" s="49" t="s">
        <v>1264</v>
      </c>
      <c r="E307" s="49" t="s">
        <v>2774</v>
      </c>
      <c r="F307" s="49" t="s">
        <v>2825</v>
      </c>
      <c r="G307" s="49" t="s">
        <v>4891</v>
      </c>
      <c r="H307" s="49" t="s">
        <v>2827</v>
      </c>
      <c r="I307" s="52">
        <v>46132.531898148103</v>
      </c>
      <c r="M307" s="49" t="s">
        <v>13438</v>
      </c>
    </row>
    <row r="308" spans="1:13" x14ac:dyDescent="0.35">
      <c r="A308" s="49" t="s">
        <v>11578</v>
      </c>
      <c r="B308" s="49" t="s">
        <v>5864</v>
      </c>
      <c r="C308" s="49" t="s">
        <v>5865</v>
      </c>
      <c r="D308" s="49" t="s">
        <v>1264</v>
      </c>
      <c r="E308" s="49" t="s">
        <v>2986</v>
      </c>
      <c r="F308" s="49" t="s">
        <v>2825</v>
      </c>
      <c r="G308" s="49" t="s">
        <v>2901</v>
      </c>
      <c r="H308" s="49" t="s">
        <v>2827</v>
      </c>
      <c r="I308" s="50">
        <v>45190</v>
      </c>
      <c r="J308" s="50">
        <v>45196</v>
      </c>
      <c r="K308" s="50">
        <v>46291</v>
      </c>
      <c r="M308" s="49" t="s">
        <v>5867</v>
      </c>
    </row>
    <row r="309" spans="1:13" x14ac:dyDescent="0.35">
      <c r="A309" s="49" t="s">
        <v>11578</v>
      </c>
      <c r="B309" s="49" t="s">
        <v>5868</v>
      </c>
      <c r="C309" s="49" t="s">
        <v>4877</v>
      </c>
      <c r="D309" s="49" t="s">
        <v>1264</v>
      </c>
      <c r="E309" s="49" t="s">
        <v>2986</v>
      </c>
      <c r="F309" s="49" t="s">
        <v>2825</v>
      </c>
      <c r="G309" s="49" t="s">
        <v>2901</v>
      </c>
      <c r="H309" s="49" t="s">
        <v>2827</v>
      </c>
      <c r="I309" s="50">
        <v>45190</v>
      </c>
      <c r="J309" s="50">
        <v>45196</v>
      </c>
      <c r="K309" s="50">
        <v>46291</v>
      </c>
      <c r="M309" s="49" t="s">
        <v>5869</v>
      </c>
    </row>
    <row r="310" spans="1:13" x14ac:dyDescent="0.35">
      <c r="A310" s="49" t="s">
        <v>11578</v>
      </c>
      <c r="B310" s="49" t="s">
        <v>11570</v>
      </c>
      <c r="C310" s="49" t="s">
        <v>4817</v>
      </c>
      <c r="D310" s="49" t="s">
        <v>1264</v>
      </c>
      <c r="E310" s="49" t="s">
        <v>2986</v>
      </c>
      <c r="F310" s="49" t="s">
        <v>2825</v>
      </c>
      <c r="G310" s="49" t="s">
        <v>2776</v>
      </c>
      <c r="H310" s="49" t="s">
        <v>2827</v>
      </c>
      <c r="I310" s="50">
        <v>45190</v>
      </c>
      <c r="M310" s="49" t="s">
        <v>11571</v>
      </c>
    </row>
    <row r="311" spans="1:13" x14ac:dyDescent="0.35">
      <c r="A311" s="49" t="s">
        <v>11578</v>
      </c>
      <c r="B311" s="49" t="s">
        <v>11572</v>
      </c>
      <c r="C311" s="49" t="s">
        <v>4809</v>
      </c>
      <c r="D311" s="49" t="s">
        <v>1264</v>
      </c>
      <c r="E311" s="49" t="s">
        <v>2986</v>
      </c>
      <c r="F311" s="49" t="s">
        <v>2825</v>
      </c>
      <c r="G311" s="49" t="s">
        <v>2776</v>
      </c>
      <c r="H311" s="49" t="s">
        <v>2827</v>
      </c>
      <c r="I311" s="50">
        <v>45190</v>
      </c>
      <c r="M311" s="49" t="s">
        <v>11573</v>
      </c>
    </row>
    <row r="312" spans="1:13" x14ac:dyDescent="0.35">
      <c r="A312" s="49" t="s">
        <v>11578</v>
      </c>
      <c r="B312" s="49" t="s">
        <v>11574</v>
      </c>
      <c r="C312" s="49" t="s">
        <v>11575</v>
      </c>
      <c r="D312" s="49" t="s">
        <v>1264</v>
      </c>
      <c r="E312" s="49" t="s">
        <v>2986</v>
      </c>
      <c r="F312" s="49" t="s">
        <v>2825</v>
      </c>
      <c r="G312" s="49" t="s">
        <v>2776</v>
      </c>
      <c r="H312" s="49" t="s">
        <v>2827</v>
      </c>
      <c r="I312" s="50">
        <v>45190</v>
      </c>
      <c r="M312" s="49" t="s">
        <v>11576</v>
      </c>
    </row>
    <row r="313" spans="1:13" x14ac:dyDescent="0.35">
      <c r="A313" s="49" t="s">
        <v>11578</v>
      </c>
      <c r="B313" s="49" t="s">
        <v>11577</v>
      </c>
      <c r="C313" s="49" t="s">
        <v>6542</v>
      </c>
      <c r="D313" s="49" t="s">
        <v>1264</v>
      </c>
      <c r="E313" s="49" t="s">
        <v>2986</v>
      </c>
      <c r="F313" s="49" t="s">
        <v>2825</v>
      </c>
      <c r="G313" s="49" t="s">
        <v>2776</v>
      </c>
      <c r="H313" s="49" t="s">
        <v>2827</v>
      </c>
      <c r="I313" s="50">
        <v>45190</v>
      </c>
      <c r="M313" s="49" t="s">
        <v>11579</v>
      </c>
    </row>
    <row r="314" spans="1:13" x14ac:dyDescent="0.35">
      <c r="A314" s="49" t="s">
        <v>11578</v>
      </c>
      <c r="B314" s="49" t="s">
        <v>11580</v>
      </c>
      <c r="C314" s="49" t="s">
        <v>11581</v>
      </c>
      <c r="D314" s="49" t="s">
        <v>1264</v>
      </c>
      <c r="E314" s="49" t="s">
        <v>2986</v>
      </c>
      <c r="F314" s="49" t="s">
        <v>2825</v>
      </c>
      <c r="G314" s="49" t="s">
        <v>2776</v>
      </c>
      <c r="H314" s="49" t="s">
        <v>2827</v>
      </c>
      <c r="I314" s="50">
        <v>45190</v>
      </c>
      <c r="M314" s="49" t="s">
        <v>11582</v>
      </c>
    </row>
    <row r="315" spans="1:13" x14ac:dyDescent="0.35">
      <c r="A315" s="49" t="s">
        <v>11578</v>
      </c>
      <c r="B315" s="49" t="s">
        <v>11583</v>
      </c>
      <c r="C315" s="49" t="s">
        <v>11584</v>
      </c>
      <c r="D315" s="49" t="s">
        <v>1264</v>
      </c>
      <c r="E315" s="49" t="s">
        <v>2986</v>
      </c>
      <c r="F315" s="49" t="s">
        <v>2825</v>
      </c>
      <c r="G315" s="49" t="s">
        <v>2776</v>
      </c>
      <c r="H315" s="49" t="s">
        <v>2827</v>
      </c>
      <c r="I315" s="50">
        <v>45190</v>
      </c>
      <c r="M315" s="49" t="s">
        <v>11585</v>
      </c>
    </row>
    <row r="316" spans="1:13" x14ac:dyDescent="0.35">
      <c r="A316" s="49" t="s">
        <v>1172</v>
      </c>
      <c r="B316" s="49" t="s">
        <v>12899</v>
      </c>
      <c r="C316" s="49" t="s">
        <v>12900</v>
      </c>
      <c r="D316" s="49" t="s">
        <v>1264</v>
      </c>
      <c r="E316" s="49" t="s">
        <v>2986</v>
      </c>
      <c r="F316" s="49" t="s">
        <v>2825</v>
      </c>
      <c r="G316" s="49" t="s">
        <v>4891</v>
      </c>
      <c r="H316" s="49" t="s">
        <v>2827</v>
      </c>
      <c r="I316" s="52">
        <v>45812.531817129602</v>
      </c>
      <c r="M316" s="49" t="s">
        <v>5155</v>
      </c>
    </row>
    <row r="317" spans="1:13" x14ac:dyDescent="0.35">
      <c r="A317" s="49" t="s">
        <v>1172</v>
      </c>
      <c r="B317" s="49" t="s">
        <v>12908</v>
      </c>
      <c r="C317" s="49" t="s">
        <v>12909</v>
      </c>
      <c r="D317" s="49" t="s">
        <v>1264</v>
      </c>
      <c r="E317" s="49" t="s">
        <v>2986</v>
      </c>
      <c r="F317" s="49" t="s">
        <v>2825</v>
      </c>
      <c r="G317" s="49" t="s">
        <v>4891</v>
      </c>
      <c r="H317" s="49" t="s">
        <v>2827</v>
      </c>
      <c r="I317" s="52">
        <v>45876.467430555596</v>
      </c>
      <c r="M317" s="49" t="s">
        <v>5625</v>
      </c>
    </row>
    <row r="318" spans="1:13" x14ac:dyDescent="0.35">
      <c r="A318" s="49" t="s">
        <v>1172</v>
      </c>
      <c r="B318" s="49" t="s">
        <v>12910</v>
      </c>
      <c r="C318" s="49" t="s">
        <v>12911</v>
      </c>
      <c r="D318" s="49" t="s">
        <v>1264</v>
      </c>
      <c r="E318" s="49" t="s">
        <v>2986</v>
      </c>
      <c r="F318" s="49" t="s">
        <v>2825</v>
      </c>
      <c r="G318" s="49" t="s">
        <v>4891</v>
      </c>
      <c r="H318" s="49" t="s">
        <v>2827</v>
      </c>
      <c r="I318" s="52">
        <v>45876.488831018498</v>
      </c>
      <c r="M318" s="49" t="s">
        <v>12912</v>
      </c>
    </row>
    <row r="319" spans="1:13" x14ac:dyDescent="0.35">
      <c r="A319" s="49" t="s">
        <v>15140</v>
      </c>
      <c r="B319" s="49" t="s">
        <v>4533</v>
      </c>
      <c r="C319" s="49" t="s">
        <v>4534</v>
      </c>
      <c r="D319" s="49" t="s">
        <v>1264</v>
      </c>
      <c r="E319" s="49" t="s">
        <v>2908</v>
      </c>
      <c r="F319" s="49" t="s">
        <v>4536</v>
      </c>
      <c r="G319" s="49" t="s">
        <v>2901</v>
      </c>
      <c r="H319" s="49" t="s">
        <v>980</v>
      </c>
      <c r="I319" s="50">
        <v>44379</v>
      </c>
      <c r="J319" s="50">
        <v>44439</v>
      </c>
      <c r="K319" s="50">
        <v>46264</v>
      </c>
      <c r="M319" s="49" t="s">
        <v>4537</v>
      </c>
    </row>
    <row r="320" spans="1:13" x14ac:dyDescent="0.35">
      <c r="A320" s="49" t="s">
        <v>15140</v>
      </c>
      <c r="B320" s="49" t="s">
        <v>4726</v>
      </c>
      <c r="C320" s="49" t="s">
        <v>4724</v>
      </c>
      <c r="D320" s="49" t="s">
        <v>1264</v>
      </c>
      <c r="E320" s="49" t="s">
        <v>3443</v>
      </c>
      <c r="F320" s="49" t="s">
        <v>3124</v>
      </c>
      <c r="G320" s="49" t="s">
        <v>2901</v>
      </c>
      <c r="H320" s="49" t="s">
        <v>980</v>
      </c>
      <c r="I320" s="50">
        <v>44404</v>
      </c>
      <c r="J320" s="50">
        <v>44172</v>
      </c>
      <c r="K320" s="50">
        <v>45997</v>
      </c>
    </row>
    <row r="321" spans="1:13" x14ac:dyDescent="0.35">
      <c r="A321" s="49" t="s">
        <v>11460</v>
      </c>
      <c r="B321" s="49" t="s">
        <v>11458</v>
      </c>
      <c r="C321" s="49" t="s">
        <v>11459</v>
      </c>
      <c r="D321" s="49" t="s">
        <v>1264</v>
      </c>
      <c r="E321" s="49" t="s">
        <v>2986</v>
      </c>
      <c r="F321" s="49" t="s">
        <v>2825</v>
      </c>
      <c r="G321" s="49" t="s">
        <v>2776</v>
      </c>
      <c r="H321" s="49" t="s">
        <v>2827</v>
      </c>
      <c r="I321" s="50">
        <v>45061</v>
      </c>
      <c r="M321" s="49" t="s">
        <v>3270</v>
      </c>
    </row>
    <row r="322" spans="1:13" x14ac:dyDescent="0.35">
      <c r="A322" s="49" t="s">
        <v>14239</v>
      </c>
      <c r="B322" s="49" t="s">
        <v>5465</v>
      </c>
      <c r="C322" s="49" t="s">
        <v>5466</v>
      </c>
      <c r="D322" s="49" t="s">
        <v>1264</v>
      </c>
      <c r="E322" s="49" t="s">
        <v>2774</v>
      </c>
      <c r="F322" s="49" t="s">
        <v>2825</v>
      </c>
      <c r="G322" s="49" t="s">
        <v>4330</v>
      </c>
      <c r="H322" s="49" t="s">
        <v>2827</v>
      </c>
      <c r="I322" s="50">
        <v>44789</v>
      </c>
      <c r="M322" s="49" t="s">
        <v>5468</v>
      </c>
    </row>
    <row r="323" spans="1:13" x14ac:dyDescent="0.35">
      <c r="A323" s="49" t="s">
        <v>14239</v>
      </c>
      <c r="B323" s="49" t="s">
        <v>11136</v>
      </c>
      <c r="C323" s="49"/>
      <c r="D323" s="49" t="s">
        <v>1264</v>
      </c>
      <c r="E323" s="49" t="s">
        <v>2774</v>
      </c>
      <c r="F323" s="49" t="s">
        <v>2825</v>
      </c>
      <c r="G323" s="49" t="s">
        <v>4891</v>
      </c>
      <c r="H323" s="49" t="s">
        <v>973</v>
      </c>
      <c r="I323" s="50">
        <v>44789</v>
      </c>
      <c r="M323" s="49" t="s">
        <v>11137</v>
      </c>
    </row>
    <row r="324" spans="1:13" x14ac:dyDescent="0.35">
      <c r="A324" s="49" t="s">
        <v>15644</v>
      </c>
      <c r="B324" s="49" t="s">
        <v>5987</v>
      </c>
      <c r="C324" s="49" t="s">
        <v>4817</v>
      </c>
      <c r="D324" s="49" t="s">
        <v>1264</v>
      </c>
      <c r="E324" s="49" t="s">
        <v>2986</v>
      </c>
      <c r="F324" s="49" t="s">
        <v>2825</v>
      </c>
      <c r="G324" s="49" t="s">
        <v>2901</v>
      </c>
      <c r="H324" s="49" t="s">
        <v>2827</v>
      </c>
      <c r="I324" s="50">
        <v>45217</v>
      </c>
      <c r="J324" s="50">
        <v>45236</v>
      </c>
      <c r="K324" s="50">
        <v>46331</v>
      </c>
      <c r="M324" s="49" t="s">
        <v>5565</v>
      </c>
    </row>
    <row r="325" spans="1:13" x14ac:dyDescent="0.35">
      <c r="A325" s="49" t="s">
        <v>15644</v>
      </c>
      <c r="B325" s="49" t="s">
        <v>6086</v>
      </c>
      <c r="C325" s="49"/>
      <c r="D325" s="49" t="s">
        <v>1264</v>
      </c>
      <c r="E325" s="49" t="s">
        <v>2986</v>
      </c>
      <c r="F325" s="49" t="s">
        <v>2825</v>
      </c>
      <c r="G325" s="49" t="s">
        <v>2901</v>
      </c>
      <c r="H325" s="49" t="s">
        <v>2827</v>
      </c>
      <c r="I325" s="50">
        <v>45240</v>
      </c>
      <c r="J325" s="50">
        <v>45267</v>
      </c>
      <c r="K325" s="50">
        <v>46362</v>
      </c>
      <c r="M325" s="49" t="s">
        <v>6087</v>
      </c>
    </row>
    <row r="326" spans="1:13" x14ac:dyDescent="0.35">
      <c r="A326" s="49" t="s">
        <v>15644</v>
      </c>
      <c r="B326" s="49" t="s">
        <v>6234</v>
      </c>
      <c r="C326" s="49" t="s">
        <v>5865</v>
      </c>
      <c r="D326" s="49" t="s">
        <v>1264</v>
      </c>
      <c r="E326" s="49" t="s">
        <v>2986</v>
      </c>
      <c r="F326" s="49" t="s">
        <v>2825</v>
      </c>
      <c r="G326" s="49" t="s">
        <v>2901</v>
      </c>
      <c r="H326" s="49" t="s">
        <v>2827</v>
      </c>
      <c r="I326" s="50">
        <v>45217</v>
      </c>
      <c r="J326" s="50">
        <v>45287</v>
      </c>
      <c r="K326" s="50">
        <v>46382</v>
      </c>
      <c r="M326" s="49" t="s">
        <v>6236</v>
      </c>
    </row>
    <row r="327" spans="1:13" x14ac:dyDescent="0.35">
      <c r="A327" s="49" t="s">
        <v>15644</v>
      </c>
      <c r="B327" s="49" t="s">
        <v>11651</v>
      </c>
      <c r="C327" s="49" t="s">
        <v>4809</v>
      </c>
      <c r="D327" s="49" t="s">
        <v>1264</v>
      </c>
      <c r="E327" s="49" t="s">
        <v>2986</v>
      </c>
      <c r="F327" s="49" t="s">
        <v>2825</v>
      </c>
      <c r="G327" s="49" t="s">
        <v>2776</v>
      </c>
      <c r="H327" s="49" t="s">
        <v>2827</v>
      </c>
      <c r="I327" s="50">
        <v>45217</v>
      </c>
      <c r="M327" s="49" t="s">
        <v>11652</v>
      </c>
    </row>
    <row r="328" spans="1:13" x14ac:dyDescent="0.35">
      <c r="A328" s="49" t="s">
        <v>15644</v>
      </c>
      <c r="B328" s="49" t="s">
        <v>11653</v>
      </c>
      <c r="C328" s="49" t="s">
        <v>4877</v>
      </c>
      <c r="D328" s="49" t="s">
        <v>1264</v>
      </c>
      <c r="E328" s="49" t="s">
        <v>2986</v>
      </c>
      <c r="F328" s="49" t="s">
        <v>2825</v>
      </c>
      <c r="G328" s="49" t="s">
        <v>2776</v>
      </c>
      <c r="H328" s="49" t="s">
        <v>2827</v>
      </c>
      <c r="I328" s="50">
        <v>45217</v>
      </c>
      <c r="M328" s="49" t="s">
        <v>11654</v>
      </c>
    </row>
    <row r="329" spans="1:13" x14ac:dyDescent="0.35">
      <c r="A329" s="49" t="s">
        <v>15644</v>
      </c>
      <c r="B329" s="49" t="s">
        <v>11655</v>
      </c>
      <c r="C329" s="49" t="s">
        <v>11575</v>
      </c>
      <c r="D329" s="49" t="s">
        <v>1264</v>
      </c>
      <c r="E329" s="49" t="s">
        <v>2986</v>
      </c>
      <c r="F329" s="49" t="s">
        <v>2825</v>
      </c>
      <c r="G329" s="49" t="s">
        <v>2776</v>
      </c>
      <c r="H329" s="49" t="s">
        <v>2827</v>
      </c>
      <c r="I329" s="50">
        <v>45217</v>
      </c>
      <c r="M329" s="49" t="s">
        <v>11656</v>
      </c>
    </row>
    <row r="330" spans="1:13" x14ac:dyDescent="0.35">
      <c r="A330" s="49" t="s">
        <v>15644</v>
      </c>
      <c r="B330" s="49" t="s">
        <v>11806</v>
      </c>
      <c r="C330" s="49"/>
      <c r="D330" s="49" t="s">
        <v>1264</v>
      </c>
      <c r="E330" s="49" t="s">
        <v>2986</v>
      </c>
      <c r="F330" s="49" t="s">
        <v>2825</v>
      </c>
      <c r="G330" s="49" t="s">
        <v>4891</v>
      </c>
      <c r="H330" s="49" t="s">
        <v>2827</v>
      </c>
      <c r="I330" s="50">
        <v>45279</v>
      </c>
      <c r="M330" s="49" t="s">
        <v>11807</v>
      </c>
    </row>
    <row r="331" spans="1:13" x14ac:dyDescent="0.35">
      <c r="A331" s="49" t="s">
        <v>15644</v>
      </c>
      <c r="B331" s="49" t="s">
        <v>12301</v>
      </c>
      <c r="C331" s="49"/>
      <c r="D331" s="49" t="s">
        <v>1264</v>
      </c>
      <c r="E331" s="49" t="s">
        <v>2986</v>
      </c>
      <c r="F331" s="49" t="s">
        <v>2825</v>
      </c>
      <c r="G331" s="49" t="s">
        <v>4891</v>
      </c>
      <c r="H331" s="49" t="s">
        <v>2827</v>
      </c>
      <c r="I331" s="50">
        <v>45369</v>
      </c>
      <c r="M331" s="49" t="s">
        <v>12302</v>
      </c>
    </row>
    <row r="332" spans="1:13" x14ac:dyDescent="0.35">
      <c r="A332" s="49" t="s">
        <v>15644</v>
      </c>
      <c r="B332" s="49" t="s">
        <v>12303</v>
      </c>
      <c r="C332" s="49"/>
      <c r="D332" s="49" t="s">
        <v>1264</v>
      </c>
      <c r="E332" s="49" t="s">
        <v>2986</v>
      </c>
      <c r="F332" s="49" t="s">
        <v>2825</v>
      </c>
      <c r="G332" s="49" t="s">
        <v>4891</v>
      </c>
      <c r="H332" s="49" t="s">
        <v>2827</v>
      </c>
      <c r="I332" s="50">
        <v>45369</v>
      </c>
      <c r="M332" s="49" t="s">
        <v>12304</v>
      </c>
    </row>
    <row r="333" spans="1:13" x14ac:dyDescent="0.35">
      <c r="A333" s="49" t="s">
        <v>14681</v>
      </c>
      <c r="B333" s="49" t="s">
        <v>13838</v>
      </c>
      <c r="C333" s="49" t="s">
        <v>3764</v>
      </c>
      <c r="D333" s="49" t="s">
        <v>1264</v>
      </c>
      <c r="E333" s="49" t="s">
        <v>2774</v>
      </c>
      <c r="F333" s="49" t="s">
        <v>2825</v>
      </c>
      <c r="G333" s="49" t="s">
        <v>2776</v>
      </c>
      <c r="H333" s="49" t="s">
        <v>2827</v>
      </c>
      <c r="I333" s="50">
        <v>43098</v>
      </c>
      <c r="M333" s="49" t="s">
        <v>3766</v>
      </c>
    </row>
    <row r="334" spans="1:13" x14ac:dyDescent="0.35">
      <c r="A334" s="49" t="s">
        <v>14830</v>
      </c>
      <c r="B334" s="49" t="s">
        <v>10017</v>
      </c>
      <c r="C334" s="49"/>
      <c r="D334" s="49" t="s">
        <v>1264</v>
      </c>
      <c r="E334" s="49" t="s">
        <v>2785</v>
      </c>
      <c r="F334" s="49" t="s">
        <v>2792</v>
      </c>
      <c r="G334" s="49" t="s">
        <v>2826</v>
      </c>
      <c r="H334" s="49" t="s">
        <v>8</v>
      </c>
      <c r="I334" s="50">
        <v>41754</v>
      </c>
      <c r="M334" s="49" t="s">
        <v>10019</v>
      </c>
    </row>
    <row r="335" spans="1:13" x14ac:dyDescent="0.35">
      <c r="A335" s="49" t="s">
        <v>15294</v>
      </c>
      <c r="B335" s="49" t="s">
        <v>13678</v>
      </c>
      <c r="C335" s="49" t="s">
        <v>13679</v>
      </c>
      <c r="D335" s="49" t="s">
        <v>1264</v>
      </c>
      <c r="E335" s="49" t="s">
        <v>2986</v>
      </c>
      <c r="F335" s="49" t="s">
        <v>2825</v>
      </c>
      <c r="G335" s="49" t="s">
        <v>2776</v>
      </c>
      <c r="H335" s="49" t="s">
        <v>2827</v>
      </c>
      <c r="I335" s="50">
        <v>43465</v>
      </c>
      <c r="M335" s="49" t="s">
        <v>3270</v>
      </c>
    </row>
    <row r="336" spans="1:13" x14ac:dyDescent="0.35">
      <c r="A336" s="49" t="s">
        <v>15294</v>
      </c>
      <c r="B336" s="49" t="s">
        <v>13889</v>
      </c>
      <c r="C336" s="49" t="s">
        <v>13890</v>
      </c>
      <c r="D336" s="49" t="s">
        <v>1264</v>
      </c>
      <c r="E336" s="49" t="s">
        <v>2774</v>
      </c>
      <c r="F336" s="49" t="s">
        <v>2825</v>
      </c>
      <c r="G336" s="49" t="s">
        <v>2776</v>
      </c>
      <c r="H336" s="49" t="s">
        <v>2827</v>
      </c>
      <c r="I336" s="50">
        <v>43430</v>
      </c>
      <c r="M336" s="49" t="s">
        <v>13891</v>
      </c>
    </row>
    <row r="337" spans="1:13" x14ac:dyDescent="0.35">
      <c r="A337" s="49" t="s">
        <v>15295</v>
      </c>
      <c r="B337" s="49" t="s">
        <v>7687</v>
      </c>
      <c r="C337" s="49" t="s">
        <v>7688</v>
      </c>
      <c r="D337" s="49" t="s">
        <v>1264</v>
      </c>
      <c r="E337" s="49" t="s">
        <v>2774</v>
      </c>
      <c r="F337" s="49" t="s">
        <v>2825</v>
      </c>
      <c r="G337" s="49" t="s">
        <v>2975</v>
      </c>
      <c r="H337" s="49" t="s">
        <v>2827</v>
      </c>
      <c r="I337" s="50">
        <v>40553</v>
      </c>
      <c r="J337" s="50">
        <v>40581</v>
      </c>
      <c r="K337" s="50">
        <v>41676</v>
      </c>
      <c r="M337" s="49" t="s">
        <v>7690</v>
      </c>
    </row>
    <row r="338" spans="1:13" x14ac:dyDescent="0.35">
      <c r="A338" s="49" t="s">
        <v>15295</v>
      </c>
      <c r="B338" s="49" t="s">
        <v>7691</v>
      </c>
      <c r="C338" s="49" t="s">
        <v>4789</v>
      </c>
      <c r="D338" s="49" t="s">
        <v>1264</v>
      </c>
      <c r="E338" s="49" t="s">
        <v>2774</v>
      </c>
      <c r="F338" s="49" t="s">
        <v>2825</v>
      </c>
      <c r="G338" s="49" t="s">
        <v>2975</v>
      </c>
      <c r="H338" s="49" t="s">
        <v>2827</v>
      </c>
      <c r="I338" s="50">
        <v>40553</v>
      </c>
      <c r="J338" s="50">
        <v>40576</v>
      </c>
      <c r="K338" s="50">
        <v>41929</v>
      </c>
      <c r="M338" s="49" t="s">
        <v>7692</v>
      </c>
    </row>
    <row r="339" spans="1:13" x14ac:dyDescent="0.35">
      <c r="A339" s="49" t="s">
        <v>15296</v>
      </c>
      <c r="B339" s="49" t="s">
        <v>12344</v>
      </c>
      <c r="C339" s="49" t="s">
        <v>12345</v>
      </c>
      <c r="D339" s="49" t="s">
        <v>1264</v>
      </c>
      <c r="E339" s="49" t="s">
        <v>2774</v>
      </c>
      <c r="F339" s="49" t="s">
        <v>4842</v>
      </c>
      <c r="G339" s="49" t="s">
        <v>4891</v>
      </c>
      <c r="H339" s="49" t="s">
        <v>973</v>
      </c>
      <c r="I339" s="50">
        <v>45379</v>
      </c>
      <c r="M339" s="49" t="s">
        <v>11708</v>
      </c>
    </row>
    <row r="340" spans="1:13" x14ac:dyDescent="0.35">
      <c r="A340" s="49" t="s">
        <v>15296</v>
      </c>
      <c r="B340" s="49" t="s">
        <v>12363</v>
      </c>
      <c r="C340" s="49"/>
      <c r="D340" s="49" t="s">
        <v>1264</v>
      </c>
      <c r="E340" s="49" t="s">
        <v>2986</v>
      </c>
      <c r="F340" s="49" t="s">
        <v>2825</v>
      </c>
      <c r="G340" s="49" t="s">
        <v>2776</v>
      </c>
      <c r="H340" s="49" t="s">
        <v>2827</v>
      </c>
      <c r="I340" s="50">
        <v>45380</v>
      </c>
      <c r="M340" s="49" t="s">
        <v>12364</v>
      </c>
    </row>
    <row r="341" spans="1:13" x14ac:dyDescent="0.35">
      <c r="A341" s="49" t="s">
        <v>15296</v>
      </c>
      <c r="B341" s="49" t="s">
        <v>12365</v>
      </c>
      <c r="C341" s="49"/>
      <c r="D341" s="49" t="s">
        <v>1264</v>
      </c>
      <c r="E341" s="49" t="s">
        <v>2986</v>
      </c>
      <c r="F341" s="49" t="s">
        <v>2825</v>
      </c>
      <c r="G341" s="49" t="s">
        <v>2776</v>
      </c>
      <c r="H341" s="49" t="s">
        <v>2827</v>
      </c>
      <c r="I341" s="50">
        <v>45380</v>
      </c>
      <c r="M341" s="49" t="s">
        <v>12366</v>
      </c>
    </row>
    <row r="342" spans="1:13" x14ac:dyDescent="0.35">
      <c r="A342" s="49" t="s">
        <v>15296</v>
      </c>
      <c r="B342" s="49" t="s">
        <v>12683</v>
      </c>
      <c r="C342" s="49" t="s">
        <v>12684</v>
      </c>
      <c r="D342" s="49" t="s">
        <v>1264</v>
      </c>
      <c r="E342" s="49" t="s">
        <v>2986</v>
      </c>
      <c r="F342" s="49" t="s">
        <v>2825</v>
      </c>
      <c r="G342" s="49" t="s">
        <v>2776</v>
      </c>
      <c r="H342" s="49" t="s">
        <v>2827</v>
      </c>
      <c r="I342" s="50">
        <v>45372</v>
      </c>
      <c r="M342" s="49" t="s">
        <v>11646</v>
      </c>
    </row>
    <row r="343" spans="1:13" x14ac:dyDescent="0.35">
      <c r="A343" s="49" t="s">
        <v>15296</v>
      </c>
      <c r="B343" s="49" t="s">
        <v>12699</v>
      </c>
      <c r="C343" s="49"/>
      <c r="D343" s="49" t="s">
        <v>1264</v>
      </c>
      <c r="E343" s="49" t="s">
        <v>2986</v>
      </c>
      <c r="F343" s="49" t="s">
        <v>2825</v>
      </c>
      <c r="G343" s="49" t="s">
        <v>4891</v>
      </c>
      <c r="H343" s="49" t="s">
        <v>2827</v>
      </c>
      <c r="I343" s="50">
        <v>45544</v>
      </c>
      <c r="M343" s="49" t="s">
        <v>11723</v>
      </c>
    </row>
    <row r="344" spans="1:13" x14ac:dyDescent="0.35">
      <c r="A344" s="49" t="s">
        <v>15296</v>
      </c>
      <c r="B344" s="49" t="s">
        <v>12700</v>
      </c>
      <c r="C344" s="49"/>
      <c r="D344" s="49" t="s">
        <v>1264</v>
      </c>
      <c r="E344" s="49" t="s">
        <v>2986</v>
      </c>
      <c r="F344" s="49" t="s">
        <v>2825</v>
      </c>
      <c r="G344" s="49" t="s">
        <v>4891</v>
      </c>
      <c r="H344" s="49" t="s">
        <v>2827</v>
      </c>
      <c r="I344" s="50">
        <v>45544</v>
      </c>
      <c r="M344" s="49" t="s">
        <v>11646</v>
      </c>
    </row>
    <row r="345" spans="1:13" x14ac:dyDescent="0.35">
      <c r="A345" s="49" t="s">
        <v>15296</v>
      </c>
      <c r="B345" s="49" t="s">
        <v>12701</v>
      </c>
      <c r="C345" s="49"/>
      <c r="D345" s="49" t="s">
        <v>1264</v>
      </c>
      <c r="E345" s="49" t="s">
        <v>2986</v>
      </c>
      <c r="F345" s="49" t="s">
        <v>2825</v>
      </c>
      <c r="G345" s="49" t="s">
        <v>4891</v>
      </c>
      <c r="H345" s="49" t="s">
        <v>2827</v>
      </c>
      <c r="I345" s="50">
        <v>45544</v>
      </c>
      <c r="M345" s="49" t="s">
        <v>12364</v>
      </c>
    </row>
    <row r="346" spans="1:13" x14ac:dyDescent="0.35">
      <c r="A346" s="49" t="s">
        <v>15296</v>
      </c>
      <c r="B346" s="49" t="s">
        <v>12702</v>
      </c>
      <c r="C346" s="49"/>
      <c r="D346" s="49" t="s">
        <v>1264</v>
      </c>
      <c r="E346" s="49" t="s">
        <v>2986</v>
      </c>
      <c r="F346" s="49" t="s">
        <v>2825</v>
      </c>
      <c r="G346" s="49" t="s">
        <v>4891</v>
      </c>
      <c r="H346" s="49" t="s">
        <v>2827</v>
      </c>
      <c r="I346" s="50">
        <v>45544</v>
      </c>
    </row>
    <row r="347" spans="1:13" x14ac:dyDescent="0.35">
      <c r="A347" s="49" t="s">
        <v>15296</v>
      </c>
      <c r="B347" s="49" t="s">
        <v>12703</v>
      </c>
      <c r="C347" s="49"/>
      <c r="D347" s="49" t="s">
        <v>1264</v>
      </c>
      <c r="E347" s="49" t="s">
        <v>2986</v>
      </c>
      <c r="F347" s="49" t="s">
        <v>2825</v>
      </c>
      <c r="G347" s="49" t="s">
        <v>4891</v>
      </c>
      <c r="H347" s="49" t="s">
        <v>2827</v>
      </c>
      <c r="I347" s="50">
        <v>45544</v>
      </c>
      <c r="M347" s="49" t="s">
        <v>12366</v>
      </c>
    </row>
    <row r="348" spans="1:13" x14ac:dyDescent="0.35">
      <c r="A348" s="49" t="s">
        <v>14776</v>
      </c>
      <c r="B348" s="49" t="s">
        <v>10462</v>
      </c>
      <c r="C348" s="49" t="s">
        <v>2823</v>
      </c>
      <c r="D348" s="49" t="s">
        <v>1264</v>
      </c>
      <c r="E348" s="49" t="s">
        <v>2814</v>
      </c>
      <c r="F348" s="49" t="s">
        <v>2825</v>
      </c>
      <c r="G348" s="49" t="s">
        <v>2776</v>
      </c>
      <c r="H348" s="49" t="s">
        <v>2827</v>
      </c>
      <c r="I348" s="50">
        <v>43818</v>
      </c>
      <c r="M348" s="49" t="s">
        <v>10464</v>
      </c>
    </row>
    <row r="349" spans="1:13" x14ac:dyDescent="0.35">
      <c r="A349" s="49" t="s">
        <v>15297</v>
      </c>
      <c r="B349" s="49" t="s">
        <v>10370</v>
      </c>
      <c r="C349" s="49"/>
      <c r="D349" s="49" t="s">
        <v>1264</v>
      </c>
      <c r="E349" s="49" t="s">
        <v>2814</v>
      </c>
      <c r="F349" s="49" t="s">
        <v>2825</v>
      </c>
      <c r="G349" s="49" t="s">
        <v>2776</v>
      </c>
      <c r="H349" s="49" t="s">
        <v>2827</v>
      </c>
      <c r="I349" s="50">
        <v>42459</v>
      </c>
      <c r="M349" s="49" t="s">
        <v>3470</v>
      </c>
    </row>
    <row r="350" spans="1:13" x14ac:dyDescent="0.35">
      <c r="A350" s="49" t="s">
        <v>15645</v>
      </c>
      <c r="B350" s="49" t="s">
        <v>5021</v>
      </c>
      <c r="C350" s="49" t="s">
        <v>2937</v>
      </c>
      <c r="D350" s="49" t="s">
        <v>1264</v>
      </c>
      <c r="E350" s="49" t="s">
        <v>2908</v>
      </c>
      <c r="F350" s="49" t="s">
        <v>2939</v>
      </c>
      <c r="G350" s="49" t="s">
        <v>2901</v>
      </c>
      <c r="H350" s="49" t="s">
        <v>980</v>
      </c>
      <c r="I350" s="50">
        <v>40765</v>
      </c>
      <c r="J350" s="50">
        <v>41143</v>
      </c>
      <c r="K350" s="50">
        <v>46619</v>
      </c>
      <c r="L350" s="50">
        <v>44794</v>
      </c>
      <c r="M350" s="49" t="s">
        <v>5023</v>
      </c>
    </row>
    <row r="351" spans="1:13" x14ac:dyDescent="0.35">
      <c r="A351" s="49" t="s">
        <v>74</v>
      </c>
      <c r="B351" s="49" t="s">
        <v>3929</v>
      </c>
      <c r="C351" s="49" t="s">
        <v>3008</v>
      </c>
      <c r="D351" s="49" t="s">
        <v>1264</v>
      </c>
      <c r="E351" s="49" t="s">
        <v>2785</v>
      </c>
      <c r="F351" s="49" t="s">
        <v>2786</v>
      </c>
      <c r="G351" s="49" t="s">
        <v>2787</v>
      </c>
      <c r="H351" s="49" t="s">
        <v>980</v>
      </c>
      <c r="I351" s="50">
        <v>43728</v>
      </c>
      <c r="J351" s="50">
        <v>43959</v>
      </c>
      <c r="K351" s="50">
        <v>44688</v>
      </c>
      <c r="M351" s="49" t="s">
        <v>3931</v>
      </c>
    </row>
    <row r="352" spans="1:13" x14ac:dyDescent="0.35">
      <c r="A352" s="49" t="s">
        <v>74</v>
      </c>
      <c r="B352" s="49" t="s">
        <v>5799</v>
      </c>
      <c r="C352" s="49" t="s">
        <v>5800</v>
      </c>
      <c r="D352" s="49" t="s">
        <v>1264</v>
      </c>
      <c r="E352" s="49" t="s">
        <v>2785</v>
      </c>
      <c r="F352" s="49" t="s">
        <v>2786</v>
      </c>
      <c r="G352" s="49" t="s">
        <v>4330</v>
      </c>
      <c r="H352" s="49" t="s">
        <v>980</v>
      </c>
      <c r="I352" s="50">
        <v>44727</v>
      </c>
      <c r="M352" s="49" t="s">
        <v>5801</v>
      </c>
    </row>
    <row r="353" spans="1:13" x14ac:dyDescent="0.35">
      <c r="A353" s="49" t="s">
        <v>74</v>
      </c>
      <c r="B353" s="49" t="s">
        <v>8651</v>
      </c>
      <c r="C353" s="49" t="s">
        <v>8652</v>
      </c>
      <c r="D353" s="49" t="s">
        <v>1264</v>
      </c>
      <c r="E353" s="49" t="s">
        <v>2908</v>
      </c>
      <c r="F353" s="49" t="s">
        <v>3010</v>
      </c>
      <c r="G353" s="49" t="s">
        <v>2975</v>
      </c>
      <c r="H353" s="49" t="s">
        <v>980</v>
      </c>
      <c r="I353" s="50">
        <v>41920</v>
      </c>
      <c r="J353" s="50">
        <v>43325</v>
      </c>
      <c r="K353" s="50">
        <v>45150</v>
      </c>
      <c r="M353" s="49" t="s">
        <v>8653</v>
      </c>
    </row>
    <row r="354" spans="1:13" x14ac:dyDescent="0.35">
      <c r="A354" s="49" t="s">
        <v>74</v>
      </c>
      <c r="B354" s="49" t="s">
        <v>11275</v>
      </c>
      <c r="C354" s="49" t="s">
        <v>11276</v>
      </c>
      <c r="D354" s="49" t="s">
        <v>1264</v>
      </c>
      <c r="E354" s="49" t="s">
        <v>2785</v>
      </c>
      <c r="F354" s="49" t="s">
        <v>2786</v>
      </c>
      <c r="G354" s="49" t="s">
        <v>2776</v>
      </c>
      <c r="H354" s="49" t="s">
        <v>980</v>
      </c>
      <c r="I354" s="50">
        <v>44727</v>
      </c>
      <c r="M354" s="49" t="s">
        <v>5801</v>
      </c>
    </row>
    <row r="355" spans="1:13" x14ac:dyDescent="0.35">
      <c r="A355" s="49" t="s">
        <v>74</v>
      </c>
      <c r="B355" s="49" t="s">
        <v>13822</v>
      </c>
      <c r="C355" s="49"/>
      <c r="D355" s="49" t="s">
        <v>1264</v>
      </c>
      <c r="E355" s="49" t="s">
        <v>2774</v>
      </c>
      <c r="F355" s="49" t="s">
        <v>2825</v>
      </c>
      <c r="G355" s="49" t="s">
        <v>2776</v>
      </c>
      <c r="H355" s="49" t="s">
        <v>2827</v>
      </c>
      <c r="I355" s="50">
        <v>41928</v>
      </c>
      <c r="M355" s="49" t="s">
        <v>13823</v>
      </c>
    </row>
    <row r="356" spans="1:13" x14ac:dyDescent="0.35">
      <c r="A356" s="49" t="s">
        <v>3765</v>
      </c>
      <c r="B356" s="49" t="s">
        <v>3763</v>
      </c>
      <c r="C356" s="49" t="s">
        <v>3764</v>
      </c>
      <c r="D356" s="49" t="s">
        <v>1264</v>
      </c>
      <c r="E356" s="49" t="s">
        <v>2774</v>
      </c>
      <c r="F356" s="49" t="s">
        <v>2825</v>
      </c>
      <c r="G356" s="49" t="s">
        <v>2787</v>
      </c>
      <c r="H356" s="49" t="s">
        <v>2827</v>
      </c>
      <c r="I356" s="50">
        <v>43264</v>
      </c>
      <c r="J356" s="50">
        <v>43348</v>
      </c>
      <c r="K356" s="50">
        <v>44809</v>
      </c>
      <c r="M356" s="49" t="s">
        <v>3766</v>
      </c>
    </row>
    <row r="357" spans="1:13" x14ac:dyDescent="0.35">
      <c r="A357" s="49" t="s">
        <v>3765</v>
      </c>
      <c r="B357" s="49" t="s">
        <v>3767</v>
      </c>
      <c r="C357" s="49" t="s">
        <v>3768</v>
      </c>
      <c r="D357" s="49" t="s">
        <v>1264</v>
      </c>
      <c r="E357" s="49" t="s">
        <v>3443</v>
      </c>
      <c r="F357" s="49" t="s">
        <v>3124</v>
      </c>
      <c r="G357" s="49" t="s">
        <v>2787</v>
      </c>
      <c r="H357" s="49" t="s">
        <v>980</v>
      </c>
      <c r="I357" s="50">
        <v>43264</v>
      </c>
      <c r="J357" s="50">
        <v>43370</v>
      </c>
      <c r="K357" s="50">
        <v>45195</v>
      </c>
      <c r="M357" s="49" t="s">
        <v>3770</v>
      </c>
    </row>
    <row r="358" spans="1:13" x14ac:dyDescent="0.35">
      <c r="A358" s="49" t="s">
        <v>3765</v>
      </c>
      <c r="B358" s="49" t="s">
        <v>3972</v>
      </c>
      <c r="C358" s="49" t="s">
        <v>3973</v>
      </c>
      <c r="D358" s="49" t="s">
        <v>1264</v>
      </c>
      <c r="E358" s="49" t="s">
        <v>2774</v>
      </c>
      <c r="F358" s="49" t="s">
        <v>2825</v>
      </c>
      <c r="G358" s="49" t="s">
        <v>2901</v>
      </c>
      <c r="H358" s="49" t="s">
        <v>2827</v>
      </c>
      <c r="I358" s="50">
        <v>43833</v>
      </c>
      <c r="J358" s="50">
        <v>43510</v>
      </c>
      <c r="K358" s="50">
        <v>47162</v>
      </c>
      <c r="M358" s="49" t="s">
        <v>3974</v>
      </c>
    </row>
    <row r="359" spans="1:13" x14ac:dyDescent="0.35">
      <c r="A359" s="49" t="s">
        <v>15628</v>
      </c>
      <c r="B359" s="49" t="s">
        <v>3729</v>
      </c>
      <c r="C359" s="49" t="s">
        <v>3730</v>
      </c>
      <c r="D359" s="49" t="s">
        <v>1264</v>
      </c>
      <c r="E359" s="49" t="s">
        <v>2785</v>
      </c>
      <c r="F359" s="49" t="s">
        <v>3253</v>
      </c>
      <c r="G359" s="49" t="s">
        <v>2787</v>
      </c>
      <c r="H359" s="49" t="s">
        <v>973</v>
      </c>
      <c r="I359" s="50">
        <v>43231</v>
      </c>
      <c r="J359" s="50">
        <v>43584</v>
      </c>
      <c r="K359" s="50">
        <v>44404</v>
      </c>
      <c r="M359" s="49" t="s">
        <v>3732</v>
      </c>
    </row>
    <row r="360" spans="1:13" x14ac:dyDescent="0.35">
      <c r="A360" s="49" t="s">
        <v>15628</v>
      </c>
      <c r="B360" s="49" t="s">
        <v>4514</v>
      </c>
      <c r="C360" s="49"/>
      <c r="D360" s="49" t="s">
        <v>1264</v>
      </c>
      <c r="E360" s="49" t="s">
        <v>2785</v>
      </c>
      <c r="F360" s="49" t="s">
        <v>2786</v>
      </c>
      <c r="G360" s="49" t="s">
        <v>2787</v>
      </c>
      <c r="H360" s="49" t="s">
        <v>973</v>
      </c>
      <c r="I360" s="50">
        <v>44439</v>
      </c>
      <c r="K360" s="50">
        <v>45511</v>
      </c>
      <c r="M360" s="49" t="s">
        <v>4515</v>
      </c>
    </row>
    <row r="361" spans="1:13" x14ac:dyDescent="0.35">
      <c r="A361" s="49" t="s">
        <v>15628</v>
      </c>
      <c r="B361" s="49" t="s">
        <v>5212</v>
      </c>
      <c r="C361" s="49" t="s">
        <v>3776</v>
      </c>
      <c r="D361" s="49" t="s">
        <v>1264</v>
      </c>
      <c r="E361" s="49" t="s">
        <v>2908</v>
      </c>
      <c r="F361" s="49" t="s">
        <v>2837</v>
      </c>
      <c r="G361" s="49" t="s">
        <v>2901</v>
      </c>
      <c r="H361" s="49" t="s">
        <v>973</v>
      </c>
      <c r="I361" s="50">
        <v>44284</v>
      </c>
      <c r="J361" s="50">
        <v>44462</v>
      </c>
      <c r="K361" s="50">
        <v>46287</v>
      </c>
      <c r="M361" s="49" t="s">
        <v>5213</v>
      </c>
    </row>
    <row r="362" spans="1:13" x14ac:dyDescent="0.35">
      <c r="A362" s="49" t="s">
        <v>15628</v>
      </c>
      <c r="B362" s="49" t="s">
        <v>5486</v>
      </c>
      <c r="C362" s="49" t="s">
        <v>3730</v>
      </c>
      <c r="D362" s="49" t="s">
        <v>1264</v>
      </c>
      <c r="E362" s="49" t="s">
        <v>2908</v>
      </c>
      <c r="F362" s="49" t="s">
        <v>3253</v>
      </c>
      <c r="G362" s="49" t="s">
        <v>4330</v>
      </c>
      <c r="H362" s="49" t="s">
        <v>973</v>
      </c>
      <c r="I362" s="50">
        <v>44445</v>
      </c>
      <c r="M362" s="49" t="s">
        <v>5487</v>
      </c>
    </row>
    <row r="363" spans="1:13" ht="87" x14ac:dyDescent="0.35">
      <c r="A363" s="49" t="s">
        <v>15628</v>
      </c>
      <c r="B363" s="49" t="s">
        <v>5926</v>
      </c>
      <c r="C363" s="51" t="s">
        <v>5927</v>
      </c>
      <c r="D363" s="49" t="s">
        <v>1264</v>
      </c>
      <c r="E363" s="49" t="s">
        <v>2785</v>
      </c>
      <c r="F363" s="49" t="s">
        <v>2786</v>
      </c>
      <c r="G363" s="49" t="s">
        <v>4330</v>
      </c>
      <c r="H363" s="49" t="s">
        <v>4225</v>
      </c>
      <c r="I363" s="50">
        <v>45156</v>
      </c>
      <c r="M363" s="49" t="s">
        <v>5929</v>
      </c>
    </row>
    <row r="364" spans="1:13" ht="101.5" x14ac:dyDescent="0.35">
      <c r="A364" s="49" t="s">
        <v>15628</v>
      </c>
      <c r="B364" s="49" t="s">
        <v>5930</v>
      </c>
      <c r="C364" s="51" t="s">
        <v>5931</v>
      </c>
      <c r="D364" s="49" t="s">
        <v>1264</v>
      </c>
      <c r="E364" s="49" t="s">
        <v>2785</v>
      </c>
      <c r="F364" s="49" t="s">
        <v>2786</v>
      </c>
      <c r="G364" s="49" t="s">
        <v>4330</v>
      </c>
      <c r="H364" s="49" t="s">
        <v>4225</v>
      </c>
      <c r="I364" s="50">
        <v>45155</v>
      </c>
      <c r="M364" s="49" t="s">
        <v>5932</v>
      </c>
    </row>
    <row r="365" spans="1:13" x14ac:dyDescent="0.35">
      <c r="A365" s="49" t="s">
        <v>15628</v>
      </c>
      <c r="B365" s="49" t="s">
        <v>5933</v>
      </c>
      <c r="C365" s="49" t="s">
        <v>5934</v>
      </c>
      <c r="D365" s="49" t="s">
        <v>1264</v>
      </c>
      <c r="E365" s="49" t="s">
        <v>2785</v>
      </c>
      <c r="F365" s="49" t="s">
        <v>2786</v>
      </c>
      <c r="G365" s="49" t="s">
        <v>4330</v>
      </c>
      <c r="H365" s="49" t="s">
        <v>4225</v>
      </c>
      <c r="I365" s="50">
        <v>45155</v>
      </c>
      <c r="M365" s="49" t="s">
        <v>5935</v>
      </c>
    </row>
    <row r="366" spans="1:13" ht="101.5" x14ac:dyDescent="0.35">
      <c r="A366" s="49" t="s">
        <v>15628</v>
      </c>
      <c r="B366" s="49" t="s">
        <v>5936</v>
      </c>
      <c r="C366" s="51" t="s">
        <v>5937</v>
      </c>
      <c r="D366" s="49" t="s">
        <v>1264</v>
      </c>
      <c r="E366" s="49" t="s">
        <v>2785</v>
      </c>
      <c r="F366" s="49" t="s">
        <v>2786</v>
      </c>
      <c r="G366" s="49" t="s">
        <v>4330</v>
      </c>
      <c r="H366" s="49" t="s">
        <v>4225</v>
      </c>
      <c r="I366" s="50">
        <v>45155</v>
      </c>
      <c r="M366" s="49" t="s">
        <v>5938</v>
      </c>
    </row>
    <row r="367" spans="1:13" x14ac:dyDescent="0.35">
      <c r="A367" s="49" t="s">
        <v>15628</v>
      </c>
      <c r="B367" s="49" t="s">
        <v>6260</v>
      </c>
      <c r="C367" s="49" t="s">
        <v>6261</v>
      </c>
      <c r="D367" s="49" t="s">
        <v>1264</v>
      </c>
      <c r="E367" s="49" t="s">
        <v>2785</v>
      </c>
      <c r="F367" s="49" t="s">
        <v>2786</v>
      </c>
      <c r="G367" s="49" t="s">
        <v>4330</v>
      </c>
      <c r="H367" s="49" t="s">
        <v>4225</v>
      </c>
      <c r="I367" s="50">
        <v>45288</v>
      </c>
      <c r="M367" s="49" t="s">
        <v>6262</v>
      </c>
    </row>
    <row r="368" spans="1:13" x14ac:dyDescent="0.35">
      <c r="A368" s="49" t="s">
        <v>15628</v>
      </c>
      <c r="B368" s="49" t="s">
        <v>6403</v>
      </c>
      <c r="C368" s="49" t="s">
        <v>6404</v>
      </c>
      <c r="D368" s="49" t="s">
        <v>1264</v>
      </c>
      <c r="E368" s="49" t="s">
        <v>2785</v>
      </c>
      <c r="F368" s="49" t="s">
        <v>2786</v>
      </c>
      <c r="G368" s="49" t="s">
        <v>4330</v>
      </c>
      <c r="H368" s="49" t="s">
        <v>980</v>
      </c>
      <c r="I368" s="50">
        <v>45202</v>
      </c>
      <c r="M368" s="49" t="s">
        <v>6405</v>
      </c>
    </row>
    <row r="369" spans="1:13" x14ac:dyDescent="0.35">
      <c r="A369" s="49" t="s">
        <v>15628</v>
      </c>
      <c r="B369" s="49" t="s">
        <v>6419</v>
      </c>
      <c r="C369" s="49" t="s">
        <v>4905</v>
      </c>
      <c r="D369" s="49" t="s">
        <v>1264</v>
      </c>
      <c r="E369" s="49" t="s">
        <v>2785</v>
      </c>
      <c r="F369" s="49" t="s">
        <v>2786</v>
      </c>
      <c r="G369" s="49" t="s">
        <v>2787</v>
      </c>
      <c r="H369" s="49" t="s">
        <v>2827</v>
      </c>
      <c r="I369" s="50">
        <v>45001</v>
      </c>
      <c r="J369" s="50">
        <v>45077</v>
      </c>
      <c r="K369" s="50">
        <v>45442</v>
      </c>
      <c r="M369" s="49" t="s">
        <v>6420</v>
      </c>
    </row>
    <row r="370" spans="1:13" x14ac:dyDescent="0.35">
      <c r="A370" s="49" t="s">
        <v>15628</v>
      </c>
      <c r="B370" s="49" t="s">
        <v>7254</v>
      </c>
      <c r="C370" s="49" t="s">
        <v>7255</v>
      </c>
      <c r="D370" s="49" t="s">
        <v>1264</v>
      </c>
      <c r="E370" s="49" t="s">
        <v>2785</v>
      </c>
      <c r="F370" s="49" t="s">
        <v>3253</v>
      </c>
      <c r="G370" s="49" t="s">
        <v>2787</v>
      </c>
      <c r="H370" s="49" t="s">
        <v>973</v>
      </c>
      <c r="I370" s="50">
        <v>42864</v>
      </c>
      <c r="J370" s="50">
        <v>42879</v>
      </c>
      <c r="K370" s="50">
        <v>43062</v>
      </c>
      <c r="M370" s="49" t="s">
        <v>7256</v>
      </c>
    </row>
    <row r="371" spans="1:13" x14ac:dyDescent="0.35">
      <c r="A371" s="49" t="s">
        <v>15628</v>
      </c>
      <c r="B371" s="49" t="s">
        <v>7301</v>
      </c>
      <c r="C371" s="49"/>
      <c r="D371" s="49" t="s">
        <v>1264</v>
      </c>
      <c r="E371" s="49" t="s">
        <v>2785</v>
      </c>
      <c r="F371" s="49" t="s">
        <v>2837</v>
      </c>
      <c r="G371" s="49" t="s">
        <v>2787</v>
      </c>
      <c r="H371" s="49" t="s">
        <v>973</v>
      </c>
      <c r="I371" s="50">
        <v>43489</v>
      </c>
      <c r="J371" s="50">
        <v>43503</v>
      </c>
      <c r="K371" s="50">
        <v>44315</v>
      </c>
      <c r="M371" s="49" t="s">
        <v>7302</v>
      </c>
    </row>
    <row r="372" spans="1:13" x14ac:dyDescent="0.35">
      <c r="A372" s="49" t="s">
        <v>15628</v>
      </c>
      <c r="B372" s="49" t="s">
        <v>7397</v>
      </c>
      <c r="C372" s="49" t="s">
        <v>3730</v>
      </c>
      <c r="D372" s="49" t="s">
        <v>1264</v>
      </c>
      <c r="E372" s="49" t="s">
        <v>2785</v>
      </c>
      <c r="F372" s="49" t="s">
        <v>3253</v>
      </c>
      <c r="G372" s="49" t="s">
        <v>2787</v>
      </c>
      <c r="H372" s="49" t="s">
        <v>973</v>
      </c>
      <c r="I372" s="50">
        <v>41408</v>
      </c>
      <c r="J372" s="50">
        <v>42555</v>
      </c>
      <c r="K372" s="50">
        <v>42738</v>
      </c>
      <c r="M372" s="49" t="s">
        <v>7256</v>
      </c>
    </row>
    <row r="373" spans="1:13" x14ac:dyDescent="0.35">
      <c r="A373" s="49" t="s">
        <v>15628</v>
      </c>
      <c r="B373" s="49" t="s">
        <v>9316</v>
      </c>
      <c r="C373" s="49" t="s">
        <v>9317</v>
      </c>
      <c r="D373" s="49" t="s">
        <v>1264</v>
      </c>
      <c r="E373" s="49" t="s">
        <v>2908</v>
      </c>
      <c r="F373" s="49" t="s">
        <v>2837</v>
      </c>
      <c r="G373" s="49" t="s">
        <v>2776</v>
      </c>
      <c r="H373" s="49" t="s">
        <v>2827</v>
      </c>
      <c r="I373" s="50">
        <v>43299</v>
      </c>
      <c r="M373" s="49" t="s">
        <v>9318</v>
      </c>
    </row>
    <row r="374" spans="1:13" x14ac:dyDescent="0.35">
      <c r="A374" s="49" t="s">
        <v>15628</v>
      </c>
      <c r="B374" s="49" t="s">
        <v>11249</v>
      </c>
      <c r="C374" s="49" t="s">
        <v>11250</v>
      </c>
      <c r="D374" s="49" t="s">
        <v>1264</v>
      </c>
      <c r="E374" s="49" t="s">
        <v>2785</v>
      </c>
      <c r="F374" s="49" t="s">
        <v>2786</v>
      </c>
      <c r="G374" s="49" t="s">
        <v>2776</v>
      </c>
      <c r="H374" s="49" t="s">
        <v>973</v>
      </c>
      <c r="I374" s="50">
        <v>44886</v>
      </c>
      <c r="M374" s="49" t="s">
        <v>11251</v>
      </c>
    </row>
    <row r="375" spans="1:13" x14ac:dyDescent="0.35">
      <c r="A375" s="49" t="s">
        <v>15628</v>
      </c>
      <c r="B375" s="49" t="s">
        <v>11263</v>
      </c>
      <c r="C375" s="49" t="s">
        <v>11264</v>
      </c>
      <c r="D375" s="49" t="s">
        <v>1264</v>
      </c>
      <c r="E375" s="49" t="s">
        <v>2785</v>
      </c>
      <c r="F375" s="49" t="s">
        <v>2786</v>
      </c>
      <c r="G375" s="49" t="s">
        <v>4891</v>
      </c>
      <c r="H375" s="49" t="s">
        <v>973</v>
      </c>
      <c r="I375" s="50">
        <v>45251</v>
      </c>
      <c r="M375" s="49" t="s">
        <v>11265</v>
      </c>
    </row>
    <row r="376" spans="1:13" x14ac:dyDescent="0.35">
      <c r="A376" s="49" t="s">
        <v>15628</v>
      </c>
      <c r="B376" s="49" t="s">
        <v>11903</v>
      </c>
      <c r="C376" s="49" t="s">
        <v>11904</v>
      </c>
      <c r="D376" s="49" t="s">
        <v>1264</v>
      </c>
      <c r="E376" s="49" t="s">
        <v>2785</v>
      </c>
      <c r="F376" s="49" t="s">
        <v>2786</v>
      </c>
      <c r="G376" s="49" t="s">
        <v>2776</v>
      </c>
      <c r="H376" s="49" t="s">
        <v>4225</v>
      </c>
      <c r="I376" s="50">
        <v>45288</v>
      </c>
      <c r="M376" s="49" t="s">
        <v>11905</v>
      </c>
    </row>
    <row r="377" spans="1:13" x14ac:dyDescent="0.35">
      <c r="A377" s="49" t="s">
        <v>15628</v>
      </c>
      <c r="B377" s="49" t="s">
        <v>12391</v>
      </c>
      <c r="C377" s="49" t="s">
        <v>12392</v>
      </c>
      <c r="D377" s="49" t="s">
        <v>1264</v>
      </c>
      <c r="E377" s="49" t="s">
        <v>2785</v>
      </c>
      <c r="F377" s="49" t="s">
        <v>2786</v>
      </c>
      <c r="G377" s="49" t="s">
        <v>4891</v>
      </c>
      <c r="H377" s="49" t="s">
        <v>4225</v>
      </c>
      <c r="I377" s="50">
        <v>45390</v>
      </c>
      <c r="M377" s="49" t="s">
        <v>12393</v>
      </c>
    </row>
    <row r="378" spans="1:13" x14ac:dyDescent="0.35">
      <c r="A378" s="49" t="s">
        <v>15628</v>
      </c>
      <c r="B378" s="49" t="s">
        <v>12573</v>
      </c>
      <c r="C378" s="49"/>
      <c r="D378" s="49" t="s">
        <v>1264</v>
      </c>
      <c r="E378" s="49" t="s">
        <v>2785</v>
      </c>
      <c r="F378" s="49" t="s">
        <v>2786</v>
      </c>
      <c r="G378" s="49" t="s">
        <v>4891</v>
      </c>
      <c r="H378" s="49" t="s">
        <v>4225</v>
      </c>
      <c r="I378" s="50">
        <v>45439</v>
      </c>
      <c r="M378" s="49" t="s">
        <v>12574</v>
      </c>
    </row>
    <row r="379" spans="1:13" x14ac:dyDescent="0.35">
      <c r="A379" s="49" t="s">
        <v>15628</v>
      </c>
      <c r="B379" s="49" t="s">
        <v>12752</v>
      </c>
      <c r="C379" s="49" t="s">
        <v>12753</v>
      </c>
      <c r="D379" s="49" t="s">
        <v>1264</v>
      </c>
      <c r="E379" s="49" t="s">
        <v>2785</v>
      </c>
      <c r="F379" s="49" t="s">
        <v>2792</v>
      </c>
      <c r="G379" s="49" t="s">
        <v>2776</v>
      </c>
      <c r="H379" s="49" t="s">
        <v>4225</v>
      </c>
      <c r="I379" s="50">
        <v>45505</v>
      </c>
      <c r="M379" s="49" t="s">
        <v>12754</v>
      </c>
    </row>
    <row r="380" spans="1:13" x14ac:dyDescent="0.35">
      <c r="A380" s="49" t="s">
        <v>15628</v>
      </c>
      <c r="B380" s="49" t="s">
        <v>12761</v>
      </c>
      <c r="C380" s="49" t="s">
        <v>12762</v>
      </c>
      <c r="D380" s="49" t="s">
        <v>1264</v>
      </c>
      <c r="E380" s="49" t="s">
        <v>2785</v>
      </c>
      <c r="F380" s="49" t="s">
        <v>2792</v>
      </c>
      <c r="G380" s="49" t="s">
        <v>2776</v>
      </c>
      <c r="H380" s="49" t="s">
        <v>4225</v>
      </c>
      <c r="I380" s="50">
        <v>45475</v>
      </c>
      <c r="M380" s="49" t="s">
        <v>12763</v>
      </c>
    </row>
    <row r="381" spans="1:13" x14ac:dyDescent="0.35">
      <c r="A381" s="49" t="s">
        <v>15628</v>
      </c>
      <c r="B381" s="49" t="s">
        <v>12813</v>
      </c>
      <c r="C381" s="49"/>
      <c r="D381" s="49" t="s">
        <v>1264</v>
      </c>
      <c r="E381" s="49" t="s">
        <v>2908</v>
      </c>
      <c r="F381" s="49" t="s">
        <v>2939</v>
      </c>
      <c r="G381" s="49" t="s">
        <v>4891</v>
      </c>
      <c r="H381" s="49" t="s">
        <v>980</v>
      </c>
      <c r="I381" s="50">
        <v>45567</v>
      </c>
      <c r="M381" s="49" t="s">
        <v>12814</v>
      </c>
    </row>
    <row r="382" spans="1:13" x14ac:dyDescent="0.35">
      <c r="A382" s="49" t="s">
        <v>15628</v>
      </c>
      <c r="B382" s="49" t="s">
        <v>12817</v>
      </c>
      <c r="C382" s="49"/>
      <c r="D382" s="49" t="s">
        <v>1264</v>
      </c>
      <c r="E382" s="49" t="s">
        <v>2785</v>
      </c>
      <c r="F382" s="49" t="s">
        <v>2786</v>
      </c>
      <c r="G382" s="49" t="s">
        <v>2776</v>
      </c>
      <c r="H382" s="49" t="s">
        <v>4225</v>
      </c>
      <c r="I382" s="50">
        <v>45562</v>
      </c>
      <c r="M382" s="49" t="s">
        <v>12818</v>
      </c>
    </row>
    <row r="383" spans="1:13" ht="246.5" x14ac:dyDescent="0.35">
      <c r="A383" s="49" t="s">
        <v>15628</v>
      </c>
      <c r="B383" s="49" t="s">
        <v>12852</v>
      </c>
      <c r="C383" s="51" t="s">
        <v>12853</v>
      </c>
      <c r="D383" s="49" t="s">
        <v>1264</v>
      </c>
      <c r="E383" s="49" t="s">
        <v>2785</v>
      </c>
      <c r="F383" s="49" t="s">
        <v>2792</v>
      </c>
      <c r="G383" s="49" t="s">
        <v>4891</v>
      </c>
      <c r="H383" s="49" t="s">
        <v>4225</v>
      </c>
      <c r="I383" s="50">
        <v>45824</v>
      </c>
      <c r="M383" s="49" t="s">
        <v>12854</v>
      </c>
    </row>
    <row r="384" spans="1:13" x14ac:dyDescent="0.35">
      <c r="A384" s="49" t="s">
        <v>15628</v>
      </c>
      <c r="B384" s="49" t="s">
        <v>12855</v>
      </c>
      <c r="C384" s="49"/>
      <c r="D384" s="49" t="s">
        <v>1264</v>
      </c>
      <c r="E384" s="49" t="s">
        <v>2785</v>
      </c>
      <c r="F384" s="49" t="s">
        <v>2786</v>
      </c>
      <c r="G384" s="49" t="s">
        <v>4891</v>
      </c>
      <c r="H384" s="49" t="s">
        <v>4225</v>
      </c>
      <c r="I384" s="50">
        <v>45824</v>
      </c>
      <c r="M384" s="49" t="s">
        <v>12856</v>
      </c>
    </row>
    <row r="385" spans="1:13" x14ac:dyDescent="0.35">
      <c r="A385" s="49" t="s">
        <v>15628</v>
      </c>
      <c r="B385" s="49" t="s">
        <v>12857</v>
      </c>
      <c r="C385" s="49" t="s">
        <v>12858</v>
      </c>
      <c r="D385" s="49" t="s">
        <v>1264</v>
      </c>
      <c r="E385" s="49" t="s">
        <v>2785</v>
      </c>
      <c r="F385" s="49" t="s">
        <v>2786</v>
      </c>
      <c r="G385" s="49" t="s">
        <v>4891</v>
      </c>
      <c r="H385" s="49" t="s">
        <v>4225</v>
      </c>
      <c r="I385" s="50">
        <v>45824</v>
      </c>
      <c r="M385" s="49" t="s">
        <v>12859</v>
      </c>
    </row>
    <row r="386" spans="1:13" x14ac:dyDescent="0.35">
      <c r="A386" s="49" t="s">
        <v>15628</v>
      </c>
      <c r="B386" s="49" t="s">
        <v>12867</v>
      </c>
      <c r="C386" s="49"/>
      <c r="D386" s="49" t="s">
        <v>1264</v>
      </c>
      <c r="E386" s="49" t="s">
        <v>2785</v>
      </c>
      <c r="F386" s="49" t="s">
        <v>2792</v>
      </c>
      <c r="G386" s="49" t="s">
        <v>4891</v>
      </c>
      <c r="H386" s="49" t="s">
        <v>4225</v>
      </c>
      <c r="I386" s="50">
        <v>45826</v>
      </c>
      <c r="M386" s="49" t="s">
        <v>12868</v>
      </c>
    </row>
    <row r="387" spans="1:13" x14ac:dyDescent="0.35">
      <c r="A387" s="49" t="s">
        <v>15628</v>
      </c>
      <c r="B387" s="49" t="s">
        <v>12869</v>
      </c>
      <c r="C387" s="49"/>
      <c r="D387" s="49" t="s">
        <v>1264</v>
      </c>
      <c r="E387" s="49" t="s">
        <v>2785</v>
      </c>
      <c r="F387" s="49" t="s">
        <v>2786</v>
      </c>
      <c r="G387" s="49" t="s">
        <v>4891</v>
      </c>
      <c r="H387" s="49" t="s">
        <v>4225</v>
      </c>
      <c r="I387" s="50">
        <v>45826</v>
      </c>
      <c r="M387" s="49" t="s">
        <v>12870</v>
      </c>
    </row>
    <row r="388" spans="1:13" x14ac:dyDescent="0.35">
      <c r="A388" s="49" t="s">
        <v>15628</v>
      </c>
      <c r="B388" s="49" t="s">
        <v>12871</v>
      </c>
      <c r="C388" s="49"/>
      <c r="D388" s="49" t="s">
        <v>1264</v>
      </c>
      <c r="E388" s="49" t="s">
        <v>2785</v>
      </c>
      <c r="F388" s="49" t="s">
        <v>2786</v>
      </c>
      <c r="G388" s="49" t="s">
        <v>4891</v>
      </c>
      <c r="H388" s="49" t="s">
        <v>4225</v>
      </c>
      <c r="I388" s="50">
        <v>45826</v>
      </c>
      <c r="M388" s="49" t="s">
        <v>12872</v>
      </c>
    </row>
    <row r="389" spans="1:13" x14ac:dyDescent="0.35">
      <c r="A389" s="49" t="s">
        <v>15628</v>
      </c>
      <c r="B389" s="49" t="s">
        <v>12873</v>
      </c>
      <c r="C389" s="49" t="s">
        <v>12874</v>
      </c>
      <c r="D389" s="49" t="s">
        <v>1264</v>
      </c>
      <c r="E389" s="49" t="s">
        <v>2785</v>
      </c>
      <c r="F389" s="49" t="s">
        <v>2786</v>
      </c>
      <c r="G389" s="49" t="s">
        <v>4891</v>
      </c>
      <c r="H389" s="49" t="s">
        <v>4225</v>
      </c>
      <c r="I389" s="50">
        <v>45826</v>
      </c>
      <c r="M389" s="49" t="s">
        <v>12875</v>
      </c>
    </row>
    <row r="390" spans="1:13" x14ac:dyDescent="0.35">
      <c r="A390" s="49" t="s">
        <v>15628</v>
      </c>
      <c r="B390" s="49" t="s">
        <v>12876</v>
      </c>
      <c r="C390" s="49" t="s">
        <v>12877</v>
      </c>
      <c r="D390" s="49" t="s">
        <v>1264</v>
      </c>
      <c r="E390" s="49" t="s">
        <v>2785</v>
      </c>
      <c r="F390" s="49" t="s">
        <v>12878</v>
      </c>
      <c r="G390" s="49" t="s">
        <v>4891</v>
      </c>
      <c r="H390" s="49" t="s">
        <v>4225</v>
      </c>
      <c r="I390" s="50">
        <v>45826</v>
      </c>
      <c r="M390" s="49" t="s">
        <v>12879</v>
      </c>
    </row>
    <row r="391" spans="1:13" x14ac:dyDescent="0.35">
      <c r="A391" s="49" t="s">
        <v>15628</v>
      </c>
      <c r="B391" s="49" t="s">
        <v>13458</v>
      </c>
      <c r="C391" s="49" t="s">
        <v>6015</v>
      </c>
      <c r="D391" s="49" t="s">
        <v>1264</v>
      </c>
      <c r="E391" s="49" t="s">
        <v>2785</v>
      </c>
      <c r="F391" s="49" t="s">
        <v>2786</v>
      </c>
      <c r="G391" s="49" t="s">
        <v>4891</v>
      </c>
      <c r="H391" s="49" t="s">
        <v>973</v>
      </c>
      <c r="I391" s="52">
        <v>46139.627615740697</v>
      </c>
      <c r="M391" s="49" t="s">
        <v>13459</v>
      </c>
    </row>
    <row r="392" spans="1:13" x14ac:dyDescent="0.35">
      <c r="A392" s="49" t="s">
        <v>15628</v>
      </c>
      <c r="B392" s="49" t="s">
        <v>13460</v>
      </c>
      <c r="C392" s="49" t="s">
        <v>13461</v>
      </c>
      <c r="D392" s="49" t="s">
        <v>1264</v>
      </c>
      <c r="E392" s="49" t="s">
        <v>2785</v>
      </c>
      <c r="F392" s="49" t="s">
        <v>2786</v>
      </c>
      <c r="G392" s="49" t="s">
        <v>4891</v>
      </c>
      <c r="H392" s="49" t="s">
        <v>973</v>
      </c>
      <c r="I392" s="52">
        <v>46139.647245370397</v>
      </c>
      <c r="M392" s="49" t="s">
        <v>13462</v>
      </c>
    </row>
    <row r="393" spans="1:13" x14ac:dyDescent="0.35">
      <c r="A393" s="49" t="s">
        <v>15298</v>
      </c>
      <c r="B393" s="49" t="s">
        <v>13246</v>
      </c>
      <c r="C393" s="49" t="s">
        <v>3586</v>
      </c>
      <c r="D393" s="49" t="s">
        <v>1264</v>
      </c>
      <c r="E393" s="49" t="s">
        <v>2785</v>
      </c>
      <c r="F393" s="49" t="s">
        <v>2786</v>
      </c>
      <c r="G393" s="49" t="s">
        <v>4891</v>
      </c>
      <c r="H393" s="49" t="s">
        <v>8</v>
      </c>
      <c r="I393" s="52">
        <v>46146.515011574098</v>
      </c>
      <c r="M393" s="49" t="s">
        <v>13248</v>
      </c>
    </row>
    <row r="394" spans="1:13" x14ac:dyDescent="0.35">
      <c r="A394" s="49" t="s">
        <v>14572</v>
      </c>
      <c r="B394" s="49" t="s">
        <v>10623</v>
      </c>
      <c r="C394" s="49"/>
      <c r="D394" s="49" t="s">
        <v>1264</v>
      </c>
      <c r="E394" s="49" t="s">
        <v>2814</v>
      </c>
      <c r="F394" s="49" t="s">
        <v>10625</v>
      </c>
      <c r="G394" s="49" t="s">
        <v>2776</v>
      </c>
      <c r="H394" s="49" t="s">
        <v>2827</v>
      </c>
      <c r="I394" s="50">
        <v>42093</v>
      </c>
      <c r="M394" s="49" t="s">
        <v>8909</v>
      </c>
    </row>
    <row r="395" spans="1:13" x14ac:dyDescent="0.35">
      <c r="A395" s="49" t="s">
        <v>15299</v>
      </c>
      <c r="B395" s="49" t="s">
        <v>10139</v>
      </c>
      <c r="C395" s="49" t="s">
        <v>8197</v>
      </c>
      <c r="D395" s="49" t="s">
        <v>1264</v>
      </c>
      <c r="E395" s="49" t="s">
        <v>2814</v>
      </c>
      <c r="F395" s="49" t="s">
        <v>3188</v>
      </c>
      <c r="G395" s="49" t="s">
        <v>2776</v>
      </c>
      <c r="H395" s="49" t="s">
        <v>973</v>
      </c>
      <c r="I395" s="50">
        <v>43271</v>
      </c>
      <c r="M395" s="49" t="s">
        <v>10141</v>
      </c>
    </row>
    <row r="396" spans="1:13" x14ac:dyDescent="0.35">
      <c r="A396" s="49" t="s">
        <v>10481</v>
      </c>
      <c r="B396" s="49" t="s">
        <v>10480</v>
      </c>
      <c r="C396" s="49"/>
      <c r="D396" s="49" t="s">
        <v>1264</v>
      </c>
      <c r="E396" s="49" t="s">
        <v>2814</v>
      </c>
      <c r="F396" s="49" t="s">
        <v>2825</v>
      </c>
      <c r="G396" s="49" t="s">
        <v>2776</v>
      </c>
      <c r="H396" s="49" t="s">
        <v>2827</v>
      </c>
      <c r="I396" s="50">
        <v>42384</v>
      </c>
      <c r="M396" s="49" t="s">
        <v>3470</v>
      </c>
    </row>
    <row r="397" spans="1:13" x14ac:dyDescent="0.35">
      <c r="A397" s="49" t="s">
        <v>10481</v>
      </c>
      <c r="B397" s="49" t="s">
        <v>10568</v>
      </c>
      <c r="C397" s="49"/>
      <c r="D397" s="49" t="s">
        <v>1264</v>
      </c>
      <c r="E397" s="49" t="s">
        <v>2814</v>
      </c>
      <c r="F397" s="49" t="s">
        <v>2825</v>
      </c>
      <c r="G397" s="49" t="s">
        <v>2776</v>
      </c>
      <c r="H397" s="49" t="s">
        <v>2827</v>
      </c>
      <c r="I397" s="50">
        <v>42478</v>
      </c>
      <c r="M397" s="49" t="s">
        <v>10570</v>
      </c>
    </row>
    <row r="398" spans="1:13" x14ac:dyDescent="0.35">
      <c r="A398" s="49" t="s">
        <v>15300</v>
      </c>
      <c r="B398" s="49" t="s">
        <v>8856</v>
      </c>
      <c r="C398" s="49" t="s">
        <v>7241</v>
      </c>
      <c r="D398" s="49" t="s">
        <v>1264</v>
      </c>
      <c r="E398" s="49" t="s">
        <v>2785</v>
      </c>
      <c r="F398" s="49" t="s">
        <v>2792</v>
      </c>
      <c r="G398" s="49" t="s">
        <v>2787</v>
      </c>
      <c r="H398" s="49" t="s">
        <v>8</v>
      </c>
      <c r="I398" s="50">
        <v>41238</v>
      </c>
      <c r="J398" s="50">
        <v>41262</v>
      </c>
      <c r="K398" s="50">
        <v>41443</v>
      </c>
      <c r="M398" s="49" t="s">
        <v>8858</v>
      </c>
    </row>
    <row r="399" spans="1:13" x14ac:dyDescent="0.35">
      <c r="A399" s="49" t="s">
        <v>15062</v>
      </c>
      <c r="B399" s="49" t="s">
        <v>10264</v>
      </c>
      <c r="C399" s="49"/>
      <c r="D399" s="49" t="s">
        <v>1264</v>
      </c>
      <c r="E399" s="49" t="s">
        <v>2814</v>
      </c>
      <c r="F399" s="49" t="s">
        <v>2825</v>
      </c>
      <c r="G399" s="49" t="s">
        <v>2776</v>
      </c>
      <c r="H399" s="49" t="s">
        <v>2827</v>
      </c>
      <c r="I399" s="50">
        <v>43003</v>
      </c>
      <c r="M399" s="49" t="s">
        <v>3270</v>
      </c>
    </row>
    <row r="400" spans="1:13" x14ac:dyDescent="0.35">
      <c r="A400" s="49" t="s">
        <v>14726</v>
      </c>
      <c r="B400" s="49" t="s">
        <v>7755</v>
      </c>
      <c r="C400" s="49" t="s">
        <v>7756</v>
      </c>
      <c r="D400" s="49" t="s">
        <v>1264</v>
      </c>
      <c r="E400" s="49" t="s">
        <v>2785</v>
      </c>
      <c r="F400" s="49" t="s">
        <v>2792</v>
      </c>
      <c r="G400" s="49" t="s">
        <v>2787</v>
      </c>
      <c r="H400" s="49" t="s">
        <v>8</v>
      </c>
      <c r="I400" s="50">
        <v>42272</v>
      </c>
      <c r="J400" s="50">
        <v>42325</v>
      </c>
      <c r="K400" s="50">
        <v>42506</v>
      </c>
      <c r="M400" s="49" t="s">
        <v>7758</v>
      </c>
    </row>
    <row r="401" spans="1:13" x14ac:dyDescent="0.35">
      <c r="A401" s="49" t="s">
        <v>14726</v>
      </c>
      <c r="B401" s="49" t="s">
        <v>9755</v>
      </c>
      <c r="C401" s="49" t="s">
        <v>9756</v>
      </c>
      <c r="D401" s="49" t="s">
        <v>1264</v>
      </c>
      <c r="E401" s="49" t="s">
        <v>2785</v>
      </c>
      <c r="F401" s="49" t="s">
        <v>2792</v>
      </c>
      <c r="G401" s="49" t="s">
        <v>2776</v>
      </c>
      <c r="H401" s="49" t="s">
        <v>8</v>
      </c>
      <c r="I401" s="50">
        <v>42219</v>
      </c>
      <c r="M401" s="49" t="s">
        <v>3470</v>
      </c>
    </row>
    <row r="402" spans="1:13" x14ac:dyDescent="0.35">
      <c r="A402" s="49" t="s">
        <v>15646</v>
      </c>
      <c r="B402" s="49" t="s">
        <v>5109</v>
      </c>
      <c r="C402" s="49"/>
      <c r="D402" s="49" t="s">
        <v>1264</v>
      </c>
      <c r="E402" s="49" t="s">
        <v>3443</v>
      </c>
      <c r="F402" s="49" t="s">
        <v>3124</v>
      </c>
      <c r="G402" s="49" t="s">
        <v>4330</v>
      </c>
      <c r="H402" s="49" t="s">
        <v>980</v>
      </c>
      <c r="I402" s="50">
        <v>44800</v>
      </c>
    </row>
    <row r="403" spans="1:13" x14ac:dyDescent="0.35">
      <c r="A403" s="49" t="s">
        <v>14282</v>
      </c>
      <c r="B403" s="49" t="s">
        <v>6312</v>
      </c>
      <c r="C403" s="49" t="s">
        <v>6313</v>
      </c>
      <c r="D403" s="49" t="s">
        <v>1264</v>
      </c>
      <c r="E403" s="49" t="s">
        <v>2986</v>
      </c>
      <c r="F403" s="49" t="s">
        <v>2825</v>
      </c>
      <c r="G403" s="49" t="s">
        <v>4330</v>
      </c>
      <c r="H403" s="49" t="s">
        <v>2827</v>
      </c>
      <c r="I403" s="50">
        <v>44637</v>
      </c>
      <c r="M403" s="49" t="s">
        <v>6315</v>
      </c>
    </row>
    <row r="404" spans="1:13" x14ac:dyDescent="0.35">
      <c r="A404" s="49" t="s">
        <v>14282</v>
      </c>
      <c r="B404" s="49" t="s">
        <v>6492</v>
      </c>
      <c r="C404" s="49" t="s">
        <v>3586</v>
      </c>
      <c r="D404" s="49" t="s">
        <v>1264</v>
      </c>
      <c r="E404" s="49" t="s">
        <v>2785</v>
      </c>
      <c r="F404" s="49" t="s">
        <v>2786</v>
      </c>
      <c r="G404" s="49" t="s">
        <v>4330</v>
      </c>
      <c r="H404" s="49" t="s">
        <v>980</v>
      </c>
      <c r="I404" s="50">
        <v>45276</v>
      </c>
      <c r="M404" s="49" t="s">
        <v>6493</v>
      </c>
    </row>
    <row r="405" spans="1:13" x14ac:dyDescent="0.35">
      <c r="A405" s="49" t="s">
        <v>14282</v>
      </c>
      <c r="B405" s="49" t="s">
        <v>12403</v>
      </c>
      <c r="C405" s="49" t="s">
        <v>5810</v>
      </c>
      <c r="D405" s="49" t="s">
        <v>1264</v>
      </c>
      <c r="E405" s="49" t="s">
        <v>2785</v>
      </c>
      <c r="F405" s="49" t="s">
        <v>2805</v>
      </c>
      <c r="G405" s="49" t="s">
        <v>2776</v>
      </c>
      <c r="H405" s="49" t="s">
        <v>980</v>
      </c>
      <c r="I405" s="50">
        <v>45397</v>
      </c>
      <c r="M405" s="49" t="s">
        <v>12404</v>
      </c>
    </row>
    <row r="406" spans="1:13" x14ac:dyDescent="0.35">
      <c r="A406" s="49" t="s">
        <v>14510</v>
      </c>
      <c r="B406" s="49" t="s">
        <v>9610</v>
      </c>
      <c r="C406" s="49"/>
      <c r="D406" s="49" t="s">
        <v>1264</v>
      </c>
      <c r="E406" s="49" t="s">
        <v>2908</v>
      </c>
      <c r="F406" s="49" t="s">
        <v>2775</v>
      </c>
      <c r="G406" s="49" t="s">
        <v>2776</v>
      </c>
      <c r="H406" s="49" t="s">
        <v>980</v>
      </c>
      <c r="I406" s="50">
        <v>42384</v>
      </c>
      <c r="M406" s="49" t="s">
        <v>3470</v>
      </c>
    </row>
    <row r="407" spans="1:13" x14ac:dyDescent="0.35">
      <c r="A407" s="49" t="s">
        <v>14515</v>
      </c>
      <c r="B407" s="49" t="s">
        <v>9634</v>
      </c>
      <c r="C407" s="49" t="s">
        <v>3420</v>
      </c>
      <c r="D407" s="49" t="s">
        <v>1264</v>
      </c>
      <c r="E407" s="49" t="s">
        <v>2908</v>
      </c>
      <c r="F407" s="49" t="s">
        <v>2939</v>
      </c>
      <c r="G407" s="49" t="s">
        <v>2776</v>
      </c>
      <c r="H407" s="49" t="s">
        <v>980</v>
      </c>
      <c r="I407" s="50">
        <v>42148</v>
      </c>
      <c r="M407" s="49" t="s">
        <v>3826</v>
      </c>
    </row>
    <row r="408" spans="1:13" x14ac:dyDescent="0.35">
      <c r="A408" s="49" t="s">
        <v>14549</v>
      </c>
      <c r="B408" s="49" t="s">
        <v>10151</v>
      </c>
      <c r="C408" s="49" t="s">
        <v>3251</v>
      </c>
      <c r="D408" s="49" t="s">
        <v>1264</v>
      </c>
      <c r="E408" s="49" t="s">
        <v>2814</v>
      </c>
      <c r="F408" s="49" t="s">
        <v>2825</v>
      </c>
      <c r="G408" s="49" t="s">
        <v>2776</v>
      </c>
      <c r="H408" s="49" t="s">
        <v>2827</v>
      </c>
      <c r="I408" s="50">
        <v>42668</v>
      </c>
      <c r="M408" s="49" t="s">
        <v>10153</v>
      </c>
    </row>
    <row r="409" spans="1:13" x14ac:dyDescent="0.35">
      <c r="A409" s="49" t="s">
        <v>250</v>
      </c>
      <c r="B409" s="49" t="s">
        <v>7248</v>
      </c>
      <c r="C409" s="49" t="s">
        <v>7249</v>
      </c>
      <c r="D409" s="49" t="s">
        <v>1264</v>
      </c>
      <c r="E409" s="49" t="s">
        <v>2785</v>
      </c>
      <c r="F409" s="49" t="s">
        <v>2792</v>
      </c>
      <c r="G409" s="49" t="s">
        <v>2787</v>
      </c>
      <c r="H409" s="49" t="s">
        <v>8</v>
      </c>
      <c r="I409" s="50">
        <v>42641</v>
      </c>
      <c r="J409" s="50">
        <v>43283</v>
      </c>
      <c r="K409" s="50">
        <v>43466</v>
      </c>
      <c r="M409" s="49" t="s">
        <v>7251</v>
      </c>
    </row>
    <row r="410" spans="1:13" x14ac:dyDescent="0.35">
      <c r="A410" s="49" t="s">
        <v>250</v>
      </c>
      <c r="B410" s="49" t="s">
        <v>9808</v>
      </c>
      <c r="C410" s="49"/>
      <c r="D410" s="49" t="s">
        <v>1264</v>
      </c>
      <c r="E410" s="49" t="s">
        <v>2785</v>
      </c>
      <c r="F410" s="49" t="s">
        <v>2792</v>
      </c>
      <c r="G410" s="49" t="s">
        <v>2776</v>
      </c>
      <c r="H410" s="49" t="s">
        <v>8</v>
      </c>
      <c r="I410" s="50">
        <v>42367</v>
      </c>
      <c r="M410" s="49" t="s">
        <v>9809</v>
      </c>
    </row>
    <row r="411" spans="1:13" x14ac:dyDescent="0.35">
      <c r="A411" s="49" t="s">
        <v>14426</v>
      </c>
      <c r="B411" s="49" t="s">
        <v>8394</v>
      </c>
      <c r="C411" s="49" t="s">
        <v>8395</v>
      </c>
      <c r="D411" s="49" t="s">
        <v>1264</v>
      </c>
      <c r="E411" s="49" t="s">
        <v>2774</v>
      </c>
      <c r="F411" s="49" t="s">
        <v>3005</v>
      </c>
      <c r="G411" s="49" t="s">
        <v>2787</v>
      </c>
      <c r="H411" s="49" t="s">
        <v>1062</v>
      </c>
      <c r="I411" s="50">
        <v>37996</v>
      </c>
      <c r="J411" s="50">
        <v>38317</v>
      </c>
      <c r="K411" s="50">
        <v>42750</v>
      </c>
      <c r="M411" s="49" t="s">
        <v>8397</v>
      </c>
    </row>
    <row r="412" spans="1:13" x14ac:dyDescent="0.35">
      <c r="A412" s="49" t="s">
        <v>15279</v>
      </c>
      <c r="B412" s="49" t="s">
        <v>12022</v>
      </c>
      <c r="C412" s="49"/>
      <c r="D412" s="49" t="s">
        <v>1264</v>
      </c>
      <c r="E412" s="49" t="s">
        <v>2986</v>
      </c>
      <c r="F412" s="49" t="s">
        <v>2825</v>
      </c>
      <c r="G412" s="49" t="s">
        <v>4891</v>
      </c>
      <c r="H412" s="49" t="s">
        <v>2827</v>
      </c>
      <c r="I412" s="50">
        <v>45316</v>
      </c>
    </row>
    <row r="413" spans="1:13" x14ac:dyDescent="0.35">
      <c r="A413" s="49" t="s">
        <v>15279</v>
      </c>
      <c r="B413" s="49" t="s">
        <v>12195</v>
      </c>
      <c r="C413" s="49"/>
      <c r="D413" s="49" t="s">
        <v>1264</v>
      </c>
      <c r="E413" s="49" t="s">
        <v>2986</v>
      </c>
      <c r="F413" s="49" t="s">
        <v>2825</v>
      </c>
      <c r="G413" s="49" t="s">
        <v>4891</v>
      </c>
      <c r="H413" s="49" t="s">
        <v>2827</v>
      </c>
      <c r="I413" s="50">
        <v>45316</v>
      </c>
      <c r="M413" s="49" t="s">
        <v>12196</v>
      </c>
    </row>
    <row r="414" spans="1:13" x14ac:dyDescent="0.35">
      <c r="A414" s="49" t="s">
        <v>15279</v>
      </c>
      <c r="B414" s="49" t="s">
        <v>12197</v>
      </c>
      <c r="C414" s="49"/>
      <c r="D414" s="49" t="s">
        <v>1264</v>
      </c>
      <c r="E414" s="49" t="s">
        <v>2986</v>
      </c>
      <c r="F414" s="49" t="s">
        <v>2825</v>
      </c>
      <c r="G414" s="49" t="s">
        <v>4891</v>
      </c>
      <c r="H414" s="49" t="s">
        <v>2827</v>
      </c>
      <c r="I414" s="50">
        <v>45316</v>
      </c>
      <c r="M414" s="49" t="s">
        <v>12198</v>
      </c>
    </row>
    <row r="415" spans="1:13" x14ac:dyDescent="0.35">
      <c r="A415" s="49" t="s">
        <v>15141</v>
      </c>
      <c r="B415" s="49" t="s">
        <v>6628</v>
      </c>
      <c r="C415" s="49" t="s">
        <v>5810</v>
      </c>
      <c r="D415" s="49" t="s">
        <v>1264</v>
      </c>
      <c r="E415" s="49" t="s">
        <v>2785</v>
      </c>
      <c r="F415" s="49" t="s">
        <v>2786</v>
      </c>
      <c r="G415" s="49" t="s">
        <v>4330</v>
      </c>
      <c r="H415" s="49" t="s">
        <v>980</v>
      </c>
      <c r="I415" s="50">
        <v>45418</v>
      </c>
      <c r="M415" s="49" t="s">
        <v>6630</v>
      </c>
    </row>
    <row r="416" spans="1:13" x14ac:dyDescent="0.35">
      <c r="A416" s="49" t="s">
        <v>15301</v>
      </c>
      <c r="B416" s="49" t="s">
        <v>5441</v>
      </c>
      <c r="C416" s="49" t="s">
        <v>5442</v>
      </c>
      <c r="D416" s="49" t="s">
        <v>1264</v>
      </c>
      <c r="E416" s="49" t="s">
        <v>2774</v>
      </c>
      <c r="F416" s="49" t="s">
        <v>4842</v>
      </c>
      <c r="G416" s="49" t="s">
        <v>4330</v>
      </c>
      <c r="H416" s="49" t="s">
        <v>2827</v>
      </c>
      <c r="I416" s="50">
        <v>44970</v>
      </c>
      <c r="M416" s="49" t="s">
        <v>5444</v>
      </c>
    </row>
    <row r="417" spans="1:13" x14ac:dyDescent="0.35">
      <c r="A417" s="49" t="s">
        <v>15301</v>
      </c>
      <c r="B417" s="49" t="s">
        <v>11281</v>
      </c>
      <c r="C417" s="49" t="s">
        <v>11282</v>
      </c>
      <c r="D417" s="49" t="s">
        <v>1264</v>
      </c>
      <c r="E417" s="49" t="s">
        <v>2774</v>
      </c>
      <c r="F417" s="49" t="s">
        <v>4842</v>
      </c>
      <c r="G417" s="49" t="s">
        <v>2776</v>
      </c>
      <c r="H417" s="49" t="s">
        <v>2827</v>
      </c>
      <c r="I417" s="50">
        <v>44998</v>
      </c>
      <c r="M417" s="49" t="s">
        <v>11283</v>
      </c>
    </row>
    <row r="418" spans="1:13" x14ac:dyDescent="0.35">
      <c r="A418" s="49" t="s">
        <v>15301</v>
      </c>
      <c r="B418" s="49" t="s">
        <v>12316</v>
      </c>
      <c r="C418" s="49" t="s">
        <v>12317</v>
      </c>
      <c r="D418" s="49" t="s">
        <v>1264</v>
      </c>
      <c r="E418" s="49" t="s">
        <v>2986</v>
      </c>
      <c r="F418" s="49" t="s">
        <v>2825</v>
      </c>
      <c r="G418" s="49" t="s">
        <v>4891</v>
      </c>
      <c r="H418" s="49" t="s">
        <v>2827</v>
      </c>
      <c r="I418" s="50">
        <v>45373</v>
      </c>
      <c r="M418" s="49" t="s">
        <v>12318</v>
      </c>
    </row>
    <row r="419" spans="1:13" x14ac:dyDescent="0.35">
      <c r="A419" s="49" t="s">
        <v>14738</v>
      </c>
      <c r="B419" s="49" t="s">
        <v>8135</v>
      </c>
      <c r="C419" s="49" t="s">
        <v>8136</v>
      </c>
      <c r="D419" s="49" t="s">
        <v>1264</v>
      </c>
      <c r="E419" s="49" t="s">
        <v>2774</v>
      </c>
      <c r="F419" s="49" t="s">
        <v>2825</v>
      </c>
      <c r="G419" s="49" t="s">
        <v>2826</v>
      </c>
      <c r="H419" s="49" t="s">
        <v>973</v>
      </c>
      <c r="I419" s="50">
        <v>35635</v>
      </c>
      <c r="M419" s="49" t="s">
        <v>8138</v>
      </c>
    </row>
    <row r="420" spans="1:13" x14ac:dyDescent="0.35">
      <c r="A420" s="49" t="s">
        <v>14738</v>
      </c>
      <c r="B420" s="49" t="s">
        <v>9064</v>
      </c>
      <c r="C420" s="49" t="s">
        <v>9065</v>
      </c>
      <c r="D420" s="49" t="s">
        <v>1264</v>
      </c>
      <c r="E420" s="49" t="s">
        <v>2774</v>
      </c>
      <c r="F420" s="49" t="s">
        <v>2825</v>
      </c>
      <c r="G420" s="49" t="s">
        <v>2826</v>
      </c>
      <c r="H420" s="49" t="s">
        <v>973</v>
      </c>
      <c r="I420" s="50">
        <v>35635</v>
      </c>
      <c r="J420" s="50">
        <v>36181</v>
      </c>
      <c r="K420" s="50">
        <v>37642</v>
      </c>
      <c r="M420" s="49" t="s">
        <v>8138</v>
      </c>
    </row>
    <row r="421" spans="1:13" x14ac:dyDescent="0.35">
      <c r="A421" s="49" t="s">
        <v>10390</v>
      </c>
      <c r="B421" s="49" t="s">
        <v>10389</v>
      </c>
      <c r="C421" s="49"/>
      <c r="D421" s="49" t="s">
        <v>1264</v>
      </c>
      <c r="E421" s="49" t="s">
        <v>2814</v>
      </c>
      <c r="F421" s="49" t="s">
        <v>2825</v>
      </c>
      <c r="G421" s="49" t="s">
        <v>2776</v>
      </c>
      <c r="H421" s="49" t="s">
        <v>2827</v>
      </c>
      <c r="I421" s="50">
        <v>42718</v>
      </c>
      <c r="M421" s="49" t="s">
        <v>3470</v>
      </c>
    </row>
    <row r="422" spans="1:13" x14ac:dyDescent="0.35">
      <c r="A422" s="49" t="s">
        <v>91</v>
      </c>
      <c r="B422" s="49" t="s">
        <v>5425</v>
      </c>
      <c r="C422" s="49" t="s">
        <v>3717</v>
      </c>
      <c r="D422" s="49" t="s">
        <v>1264</v>
      </c>
      <c r="E422" s="49" t="s">
        <v>2785</v>
      </c>
      <c r="F422" s="49" t="s">
        <v>2805</v>
      </c>
      <c r="G422" s="49" t="s">
        <v>2787</v>
      </c>
      <c r="H422" s="49" t="s">
        <v>3717</v>
      </c>
      <c r="I422" s="50">
        <v>44984</v>
      </c>
      <c r="J422" s="50">
        <v>45019</v>
      </c>
      <c r="K422" s="50">
        <v>45384</v>
      </c>
      <c r="M422" s="49" t="s">
        <v>5427</v>
      </c>
    </row>
    <row r="423" spans="1:13" x14ac:dyDescent="0.35">
      <c r="A423" s="49" t="s">
        <v>91</v>
      </c>
      <c r="B423" s="49" t="s">
        <v>6590</v>
      </c>
      <c r="C423" s="49" t="s">
        <v>6591</v>
      </c>
      <c r="D423" s="49" t="s">
        <v>1264</v>
      </c>
      <c r="E423" s="49" t="s">
        <v>2785</v>
      </c>
      <c r="F423" s="49" t="s">
        <v>2805</v>
      </c>
      <c r="G423" s="49" t="s">
        <v>4330</v>
      </c>
      <c r="H423" s="49" t="s">
        <v>3717</v>
      </c>
      <c r="I423" s="50">
        <v>45372</v>
      </c>
      <c r="M423" s="49" t="s">
        <v>6592</v>
      </c>
    </row>
    <row r="424" spans="1:13" x14ac:dyDescent="0.35">
      <c r="A424" s="49" t="s">
        <v>91</v>
      </c>
      <c r="B424" s="49" t="s">
        <v>12263</v>
      </c>
      <c r="C424" s="49" t="s">
        <v>4293</v>
      </c>
      <c r="D424" s="49" t="s">
        <v>1264</v>
      </c>
      <c r="E424" s="49" t="s">
        <v>2785</v>
      </c>
      <c r="F424" s="49" t="s">
        <v>2805</v>
      </c>
      <c r="G424" s="49" t="s">
        <v>4891</v>
      </c>
      <c r="H424" s="49" t="s">
        <v>980</v>
      </c>
      <c r="I424" s="50">
        <v>45364</v>
      </c>
      <c r="M424" s="49" t="s">
        <v>12264</v>
      </c>
    </row>
    <row r="425" spans="1:13" x14ac:dyDescent="0.35">
      <c r="A425" s="49" t="s">
        <v>91</v>
      </c>
      <c r="B425" s="49" t="s">
        <v>12265</v>
      </c>
      <c r="C425" s="49" t="s">
        <v>3626</v>
      </c>
      <c r="D425" s="49" t="s">
        <v>1264</v>
      </c>
      <c r="E425" s="49" t="s">
        <v>2785</v>
      </c>
      <c r="F425" s="49" t="s">
        <v>3898</v>
      </c>
      <c r="G425" s="49" t="s">
        <v>4891</v>
      </c>
      <c r="H425" s="49" t="s">
        <v>2827</v>
      </c>
      <c r="I425" s="50">
        <v>45364</v>
      </c>
      <c r="M425" s="49" t="s">
        <v>12266</v>
      </c>
    </row>
    <row r="426" spans="1:13" x14ac:dyDescent="0.35">
      <c r="A426" s="49" t="s">
        <v>91</v>
      </c>
      <c r="B426" s="49" t="s">
        <v>12850</v>
      </c>
      <c r="C426" s="49"/>
      <c r="D426" s="49" t="s">
        <v>1264</v>
      </c>
      <c r="E426" s="49" t="s">
        <v>2785</v>
      </c>
      <c r="G426" s="49" t="s">
        <v>4891</v>
      </c>
      <c r="H426" s="49" t="s">
        <v>2827</v>
      </c>
      <c r="I426" s="50">
        <v>45824</v>
      </c>
      <c r="M426" s="49" t="s">
        <v>12851</v>
      </c>
    </row>
    <row r="427" spans="1:13" x14ac:dyDescent="0.35">
      <c r="A427" s="49" t="s">
        <v>91</v>
      </c>
      <c r="B427" s="49" t="s">
        <v>13109</v>
      </c>
      <c r="C427" s="49"/>
      <c r="D427" s="49" t="s">
        <v>1264</v>
      </c>
      <c r="E427" s="49" t="s">
        <v>2785</v>
      </c>
      <c r="F427" s="49" t="s">
        <v>2805</v>
      </c>
      <c r="G427" s="49" t="s">
        <v>4891</v>
      </c>
      <c r="H427" s="49" t="s">
        <v>2827</v>
      </c>
      <c r="I427" s="52">
        <v>46044.473287036999</v>
      </c>
      <c r="M427" s="49" t="s">
        <v>13110</v>
      </c>
    </row>
    <row r="428" spans="1:13" x14ac:dyDescent="0.35">
      <c r="A428" s="49" t="s">
        <v>91</v>
      </c>
      <c r="B428" s="49" t="s">
        <v>13166</v>
      </c>
      <c r="C428" s="49"/>
      <c r="D428" s="49" t="s">
        <v>1264</v>
      </c>
      <c r="E428" s="49" t="s">
        <v>2785</v>
      </c>
      <c r="F428" s="49" t="s">
        <v>2805</v>
      </c>
      <c r="G428" s="49" t="s">
        <v>4891</v>
      </c>
      <c r="H428" s="49" t="s">
        <v>3717</v>
      </c>
      <c r="I428" s="52">
        <v>46065.5291782407</v>
      </c>
      <c r="M428" s="49" t="s">
        <v>13167</v>
      </c>
    </row>
    <row r="429" spans="1:13" x14ac:dyDescent="0.35">
      <c r="A429" s="49" t="s">
        <v>14550</v>
      </c>
      <c r="B429" s="49" t="s">
        <v>10173</v>
      </c>
      <c r="C429" s="49" t="s">
        <v>3420</v>
      </c>
      <c r="D429" s="49" t="s">
        <v>1264</v>
      </c>
      <c r="E429" s="49" t="s">
        <v>2814</v>
      </c>
      <c r="F429" s="49" t="s">
        <v>2837</v>
      </c>
      <c r="G429" s="49" t="s">
        <v>2776</v>
      </c>
      <c r="H429" s="49" t="s">
        <v>980</v>
      </c>
      <c r="I429" s="50">
        <v>42937</v>
      </c>
      <c r="M429" s="49" t="s">
        <v>10175</v>
      </c>
    </row>
    <row r="430" spans="1:13" x14ac:dyDescent="0.35">
      <c r="A430" s="49" t="s">
        <v>14550</v>
      </c>
      <c r="B430" s="49" t="s">
        <v>10176</v>
      </c>
      <c r="C430" s="49" t="s">
        <v>10177</v>
      </c>
      <c r="D430" s="49" t="s">
        <v>1264</v>
      </c>
      <c r="E430" s="49" t="s">
        <v>2814</v>
      </c>
      <c r="F430" s="49" t="s">
        <v>2837</v>
      </c>
      <c r="G430" s="49" t="s">
        <v>2776</v>
      </c>
      <c r="H430" s="49" t="s">
        <v>973</v>
      </c>
      <c r="I430" s="50">
        <v>42937</v>
      </c>
      <c r="M430" s="49" t="s">
        <v>10178</v>
      </c>
    </row>
    <row r="431" spans="1:13" x14ac:dyDescent="0.35">
      <c r="A431" s="49" t="s">
        <v>14390</v>
      </c>
      <c r="B431" s="49" t="s">
        <v>7944</v>
      </c>
      <c r="C431" s="49" t="s">
        <v>7945</v>
      </c>
      <c r="D431" s="49" t="s">
        <v>1264</v>
      </c>
      <c r="E431" s="49" t="s">
        <v>7057</v>
      </c>
      <c r="F431" s="49" t="s">
        <v>2825</v>
      </c>
      <c r="G431" s="49" t="s">
        <v>2787</v>
      </c>
      <c r="H431" s="49" t="s">
        <v>2827</v>
      </c>
      <c r="I431" s="50">
        <v>42016</v>
      </c>
      <c r="J431" s="50">
        <v>42087</v>
      </c>
      <c r="K431" s="50">
        <v>42817</v>
      </c>
      <c r="M431" s="49" t="s">
        <v>7947</v>
      </c>
    </row>
    <row r="432" spans="1:13" x14ac:dyDescent="0.35">
      <c r="A432" s="49" t="s">
        <v>14390</v>
      </c>
      <c r="B432" s="49" t="s">
        <v>10445</v>
      </c>
      <c r="C432" s="49" t="s">
        <v>3098</v>
      </c>
      <c r="D432" s="49" t="s">
        <v>1264</v>
      </c>
      <c r="E432" s="49" t="s">
        <v>2814</v>
      </c>
      <c r="F432" s="49" t="s">
        <v>2825</v>
      </c>
      <c r="G432" s="49" t="s">
        <v>2787</v>
      </c>
      <c r="H432" s="49" t="s">
        <v>2827</v>
      </c>
      <c r="I432" s="50">
        <v>42171</v>
      </c>
      <c r="J432" s="50">
        <v>42171</v>
      </c>
      <c r="K432" s="50">
        <v>42353</v>
      </c>
      <c r="M432" s="49" t="s">
        <v>5565</v>
      </c>
    </row>
    <row r="433" spans="1:13" x14ac:dyDescent="0.35">
      <c r="A433" s="49" t="s">
        <v>14390</v>
      </c>
      <c r="B433" s="49" t="s">
        <v>10749</v>
      </c>
      <c r="C433" s="49" t="s">
        <v>10750</v>
      </c>
      <c r="D433" s="49" t="s">
        <v>1264</v>
      </c>
      <c r="E433" s="49" t="s">
        <v>2974</v>
      </c>
      <c r="F433" s="49" t="s">
        <v>2825</v>
      </c>
      <c r="G433" s="49" t="s">
        <v>2776</v>
      </c>
      <c r="H433" s="49" t="s">
        <v>2827</v>
      </c>
      <c r="I433" s="50">
        <v>41030</v>
      </c>
      <c r="M433" s="49" t="s">
        <v>10751</v>
      </c>
    </row>
    <row r="434" spans="1:13" x14ac:dyDescent="0.35">
      <c r="A434" s="49" t="s">
        <v>14319</v>
      </c>
      <c r="B434" s="49" t="s">
        <v>6952</v>
      </c>
      <c r="C434" s="49" t="s">
        <v>3962</v>
      </c>
      <c r="D434" s="49" t="s">
        <v>1264</v>
      </c>
      <c r="E434" s="49" t="s">
        <v>2785</v>
      </c>
      <c r="F434" s="49" t="s">
        <v>2792</v>
      </c>
      <c r="G434" s="49" t="s">
        <v>4891</v>
      </c>
      <c r="H434" s="49" t="s">
        <v>980</v>
      </c>
      <c r="I434" s="52">
        <v>46160.494212963</v>
      </c>
      <c r="M434" s="49" t="s">
        <v>6954</v>
      </c>
    </row>
    <row r="435" spans="1:13" x14ac:dyDescent="0.35">
      <c r="A435" s="49" t="s">
        <v>14319</v>
      </c>
      <c r="B435" s="49" t="s">
        <v>12157</v>
      </c>
      <c r="C435" s="49" t="s">
        <v>12158</v>
      </c>
      <c r="D435" s="49" t="s">
        <v>1264</v>
      </c>
      <c r="E435" s="49" t="s">
        <v>2908</v>
      </c>
      <c r="F435" s="49" t="s">
        <v>2837</v>
      </c>
      <c r="G435" s="49" t="s">
        <v>4891</v>
      </c>
      <c r="H435" s="49" t="s">
        <v>2827</v>
      </c>
      <c r="I435" s="50">
        <v>45348</v>
      </c>
      <c r="M435" s="49" t="s">
        <v>12159</v>
      </c>
    </row>
    <row r="436" spans="1:13" ht="43.5" x14ac:dyDescent="0.35">
      <c r="A436" s="49" t="s">
        <v>14402</v>
      </c>
      <c r="B436" s="49" t="s">
        <v>8065</v>
      </c>
      <c r="C436" s="51" t="s">
        <v>8066</v>
      </c>
      <c r="D436" s="49" t="s">
        <v>1264</v>
      </c>
      <c r="E436" s="49" t="s">
        <v>2774</v>
      </c>
      <c r="F436" s="49" t="s">
        <v>3598</v>
      </c>
      <c r="G436" s="49" t="s">
        <v>2826</v>
      </c>
      <c r="H436" s="49" t="s">
        <v>973</v>
      </c>
      <c r="I436" s="50">
        <v>38216</v>
      </c>
      <c r="J436" s="50">
        <v>38650</v>
      </c>
      <c r="K436" s="50">
        <v>42667</v>
      </c>
      <c r="M436" s="49" t="s">
        <v>8068</v>
      </c>
    </row>
    <row r="437" spans="1:13" x14ac:dyDescent="0.35">
      <c r="A437" s="49" t="s">
        <v>14402</v>
      </c>
      <c r="B437" s="49" t="s">
        <v>8077</v>
      </c>
      <c r="C437" s="49" t="s">
        <v>8078</v>
      </c>
      <c r="D437" s="49" t="s">
        <v>1264</v>
      </c>
      <c r="E437" s="49" t="s">
        <v>2774</v>
      </c>
      <c r="F437" s="49" t="s">
        <v>3598</v>
      </c>
      <c r="G437" s="49" t="s">
        <v>2826</v>
      </c>
      <c r="H437" s="49" t="s">
        <v>2827</v>
      </c>
      <c r="I437" s="50">
        <v>38810</v>
      </c>
      <c r="J437" s="50">
        <v>38973</v>
      </c>
      <c r="K437" s="50">
        <v>42991</v>
      </c>
      <c r="M437" s="49" t="s">
        <v>8079</v>
      </c>
    </row>
    <row r="438" spans="1:13" x14ac:dyDescent="0.35">
      <c r="A438" s="49" t="s">
        <v>14402</v>
      </c>
      <c r="B438" s="49" t="s">
        <v>8286</v>
      </c>
      <c r="C438" s="49" t="s">
        <v>8287</v>
      </c>
      <c r="D438" s="49" t="s">
        <v>1264</v>
      </c>
      <c r="E438" s="49" t="s">
        <v>2774</v>
      </c>
      <c r="F438" s="49" t="s">
        <v>2825</v>
      </c>
      <c r="G438" s="49" t="s">
        <v>2826</v>
      </c>
      <c r="H438" s="49" t="s">
        <v>2827</v>
      </c>
      <c r="I438" s="50">
        <v>40009</v>
      </c>
      <c r="J438" s="50">
        <v>40066</v>
      </c>
      <c r="K438" s="50">
        <v>41162</v>
      </c>
      <c r="M438" s="49" t="s">
        <v>8288</v>
      </c>
    </row>
    <row r="439" spans="1:13" x14ac:dyDescent="0.35">
      <c r="A439" s="49" t="s">
        <v>15302</v>
      </c>
      <c r="B439" s="49" t="s">
        <v>4271</v>
      </c>
      <c r="C439" s="49"/>
      <c r="D439" s="49" t="s">
        <v>1264</v>
      </c>
      <c r="E439" s="49" t="s">
        <v>2908</v>
      </c>
      <c r="F439" s="49" t="s">
        <v>2837</v>
      </c>
      <c r="G439" s="49" t="s">
        <v>2901</v>
      </c>
      <c r="H439" s="49" t="s">
        <v>2827</v>
      </c>
      <c r="I439" s="50">
        <v>43816</v>
      </c>
      <c r="J439" s="50">
        <v>44315</v>
      </c>
      <c r="K439" s="50">
        <v>46140</v>
      </c>
      <c r="M439" s="49" t="s">
        <v>4273</v>
      </c>
    </row>
    <row r="440" spans="1:13" x14ac:dyDescent="0.35">
      <c r="A440" s="49" t="s">
        <v>15302</v>
      </c>
      <c r="B440" s="49" t="s">
        <v>9396</v>
      </c>
      <c r="C440" s="49"/>
      <c r="D440" s="49" t="s">
        <v>1264</v>
      </c>
      <c r="E440" s="49" t="s">
        <v>2785</v>
      </c>
      <c r="F440" s="49" t="s">
        <v>2786</v>
      </c>
      <c r="G440" s="49" t="s">
        <v>2776</v>
      </c>
      <c r="H440" s="49" t="s">
        <v>980</v>
      </c>
      <c r="I440" s="50">
        <v>43425</v>
      </c>
      <c r="M440" s="49" t="s">
        <v>9397</v>
      </c>
    </row>
    <row r="441" spans="1:13" x14ac:dyDescent="0.35">
      <c r="A441" s="49" t="s">
        <v>15302</v>
      </c>
      <c r="B441" s="49" t="s">
        <v>9562</v>
      </c>
      <c r="C441" s="49"/>
      <c r="D441" s="49" t="s">
        <v>1264</v>
      </c>
      <c r="E441" s="49" t="s">
        <v>2785</v>
      </c>
      <c r="F441" s="49" t="s">
        <v>4048</v>
      </c>
      <c r="G441" s="49" t="s">
        <v>2776</v>
      </c>
      <c r="H441" s="49" t="s">
        <v>2827</v>
      </c>
      <c r="I441" s="50">
        <v>43825</v>
      </c>
      <c r="M441" s="49" t="s">
        <v>9563</v>
      </c>
    </row>
    <row r="442" spans="1:13" x14ac:dyDescent="0.35">
      <c r="A442" s="49" t="s">
        <v>14245</v>
      </c>
      <c r="B442" s="49" t="s">
        <v>5636</v>
      </c>
      <c r="C442" s="49" t="s">
        <v>4572</v>
      </c>
      <c r="D442" s="49" t="s">
        <v>1264</v>
      </c>
      <c r="E442" s="49" t="s">
        <v>2785</v>
      </c>
      <c r="F442" s="49" t="s">
        <v>2786</v>
      </c>
      <c r="G442" s="49" t="s">
        <v>4330</v>
      </c>
      <c r="H442" s="49" t="s">
        <v>980</v>
      </c>
      <c r="I442" s="50">
        <v>45055</v>
      </c>
      <c r="M442" s="49" t="s">
        <v>5638</v>
      </c>
    </row>
    <row r="443" spans="1:13" x14ac:dyDescent="0.35">
      <c r="A443" s="49" t="s">
        <v>14245</v>
      </c>
      <c r="B443" s="49" t="s">
        <v>6438</v>
      </c>
      <c r="C443" s="49" t="s">
        <v>4572</v>
      </c>
      <c r="D443" s="49" t="s">
        <v>1264</v>
      </c>
      <c r="E443" s="49" t="s">
        <v>2785</v>
      </c>
      <c r="F443" s="49" t="s">
        <v>2786</v>
      </c>
      <c r="G443" s="49" t="s">
        <v>2901</v>
      </c>
      <c r="H443" s="49" t="s">
        <v>980</v>
      </c>
      <c r="I443" s="50">
        <v>45357</v>
      </c>
      <c r="J443" s="50">
        <v>45358</v>
      </c>
      <c r="K443" s="50">
        <v>45722</v>
      </c>
      <c r="M443" s="49" t="s">
        <v>6439</v>
      </c>
    </row>
    <row r="444" spans="1:13" x14ac:dyDescent="0.35">
      <c r="A444" s="49" t="s">
        <v>12695</v>
      </c>
      <c r="B444" s="49" t="s">
        <v>12694</v>
      </c>
      <c r="C444" s="49"/>
      <c r="D444" s="49" t="s">
        <v>1264</v>
      </c>
      <c r="E444" s="49" t="s">
        <v>2986</v>
      </c>
      <c r="F444" s="49" t="s">
        <v>2825</v>
      </c>
      <c r="G444" s="49" t="s">
        <v>4891</v>
      </c>
      <c r="H444" s="49" t="s">
        <v>2827</v>
      </c>
      <c r="I444" s="50">
        <v>45377</v>
      </c>
      <c r="M444" s="49" t="s">
        <v>12696</v>
      </c>
    </row>
    <row r="445" spans="1:13" x14ac:dyDescent="0.35">
      <c r="A445" s="49" t="s">
        <v>13308</v>
      </c>
      <c r="B445" s="49" t="s">
        <v>13300</v>
      </c>
      <c r="C445" s="49" t="s">
        <v>13301</v>
      </c>
      <c r="D445" s="49" t="s">
        <v>1264</v>
      </c>
      <c r="E445" s="49" t="s">
        <v>2785</v>
      </c>
      <c r="F445" s="49" t="s">
        <v>2805</v>
      </c>
      <c r="G445" s="49" t="s">
        <v>4891</v>
      </c>
      <c r="H445" s="49" t="s">
        <v>4225</v>
      </c>
      <c r="I445" s="52">
        <v>46099.493750000001</v>
      </c>
      <c r="M445" s="49" t="s">
        <v>13303</v>
      </c>
    </row>
    <row r="446" spans="1:13" x14ac:dyDescent="0.35">
      <c r="A446" s="49" t="s">
        <v>13308</v>
      </c>
      <c r="B446" s="49" t="s">
        <v>13304</v>
      </c>
      <c r="C446" s="49" t="s">
        <v>13305</v>
      </c>
      <c r="D446" s="49" t="s">
        <v>1264</v>
      </c>
      <c r="E446" s="49" t="s">
        <v>2785</v>
      </c>
      <c r="F446" s="49" t="s">
        <v>2805</v>
      </c>
      <c r="G446" s="49" t="s">
        <v>4891</v>
      </c>
      <c r="H446" s="49" t="s">
        <v>4225</v>
      </c>
      <c r="I446" s="52">
        <v>46099.501944444397</v>
      </c>
      <c r="M446" s="49" t="s">
        <v>13303</v>
      </c>
    </row>
    <row r="447" spans="1:13" x14ac:dyDescent="0.35">
      <c r="A447" s="49" t="s">
        <v>13308</v>
      </c>
      <c r="B447" s="49" t="s">
        <v>13306</v>
      </c>
      <c r="C447" s="49" t="s">
        <v>13307</v>
      </c>
      <c r="D447" s="49" t="s">
        <v>1264</v>
      </c>
      <c r="E447" s="49" t="s">
        <v>2785</v>
      </c>
      <c r="F447" s="49" t="s">
        <v>2805</v>
      </c>
      <c r="G447" s="49" t="s">
        <v>4891</v>
      </c>
      <c r="H447" s="49" t="s">
        <v>4225</v>
      </c>
      <c r="I447" s="52">
        <v>46099.509722222203</v>
      </c>
      <c r="M447" s="49" t="s">
        <v>13303</v>
      </c>
    </row>
    <row r="448" spans="1:13" x14ac:dyDescent="0.35">
      <c r="A448" s="49" t="s">
        <v>13308</v>
      </c>
      <c r="B448" s="49" t="s">
        <v>13309</v>
      </c>
      <c r="C448" s="49" t="s">
        <v>13310</v>
      </c>
      <c r="D448" s="49" t="s">
        <v>1264</v>
      </c>
      <c r="E448" s="49" t="s">
        <v>2785</v>
      </c>
      <c r="F448" s="49" t="s">
        <v>2805</v>
      </c>
      <c r="G448" s="49" t="s">
        <v>4891</v>
      </c>
      <c r="H448" s="49" t="s">
        <v>4225</v>
      </c>
      <c r="I448" s="52">
        <v>46099.511944444399</v>
      </c>
      <c r="M448" s="49" t="s">
        <v>13303</v>
      </c>
    </row>
    <row r="449" spans="1:13" x14ac:dyDescent="0.35">
      <c r="A449" s="49" t="s">
        <v>13308</v>
      </c>
      <c r="B449" s="49" t="s">
        <v>13311</v>
      </c>
      <c r="C449" s="49" t="s">
        <v>13312</v>
      </c>
      <c r="D449" s="49" t="s">
        <v>1264</v>
      </c>
      <c r="E449" s="49" t="s">
        <v>2785</v>
      </c>
      <c r="F449" s="49" t="s">
        <v>2805</v>
      </c>
      <c r="G449" s="49" t="s">
        <v>4891</v>
      </c>
      <c r="H449" s="49" t="s">
        <v>4225</v>
      </c>
      <c r="I449" s="52">
        <v>46099.5144560185</v>
      </c>
      <c r="M449" s="49" t="s">
        <v>13303</v>
      </c>
    </row>
    <row r="450" spans="1:13" x14ac:dyDescent="0.35">
      <c r="A450" s="49" t="s">
        <v>13308</v>
      </c>
      <c r="B450" s="49" t="s">
        <v>13313</v>
      </c>
      <c r="C450" s="49" t="s">
        <v>13314</v>
      </c>
      <c r="D450" s="49" t="s">
        <v>1264</v>
      </c>
      <c r="E450" s="49" t="s">
        <v>2785</v>
      </c>
      <c r="F450" s="49" t="s">
        <v>2805</v>
      </c>
      <c r="G450" s="49" t="s">
        <v>4891</v>
      </c>
      <c r="H450" s="49" t="s">
        <v>4225</v>
      </c>
      <c r="I450" s="52">
        <v>46100.567974537</v>
      </c>
      <c r="M450" s="49" t="s">
        <v>13303</v>
      </c>
    </row>
    <row r="451" spans="1:13" x14ac:dyDescent="0.35">
      <c r="A451" s="49" t="s">
        <v>13308</v>
      </c>
      <c r="B451" s="49" t="s">
        <v>13315</v>
      </c>
      <c r="C451" s="49" t="s">
        <v>13316</v>
      </c>
      <c r="D451" s="49" t="s">
        <v>1264</v>
      </c>
      <c r="E451" s="49" t="s">
        <v>2785</v>
      </c>
      <c r="F451" s="49" t="s">
        <v>2805</v>
      </c>
      <c r="G451" s="49" t="s">
        <v>4891</v>
      </c>
      <c r="H451" s="49" t="s">
        <v>4225</v>
      </c>
      <c r="I451" s="52">
        <v>46100.570636574099</v>
      </c>
      <c r="M451" s="49" t="s">
        <v>13303</v>
      </c>
    </row>
    <row r="452" spans="1:13" x14ac:dyDescent="0.35">
      <c r="A452" s="49" t="s">
        <v>13308</v>
      </c>
      <c r="B452" s="49" t="s">
        <v>13317</v>
      </c>
      <c r="C452" s="49" t="s">
        <v>13318</v>
      </c>
      <c r="D452" s="49" t="s">
        <v>1264</v>
      </c>
      <c r="E452" s="49" t="s">
        <v>2785</v>
      </c>
      <c r="F452" s="49" t="s">
        <v>2805</v>
      </c>
      <c r="G452" s="49" t="s">
        <v>4891</v>
      </c>
      <c r="H452" s="49" t="s">
        <v>4225</v>
      </c>
      <c r="I452" s="52">
        <v>46100.572812500002</v>
      </c>
      <c r="M452" s="49" t="s">
        <v>13303</v>
      </c>
    </row>
    <row r="453" spans="1:13" x14ac:dyDescent="0.35">
      <c r="A453" s="49" t="s">
        <v>13308</v>
      </c>
      <c r="B453" s="49" t="s">
        <v>13319</v>
      </c>
      <c r="C453" s="49" t="s">
        <v>13320</v>
      </c>
      <c r="D453" s="49" t="s">
        <v>1264</v>
      </c>
      <c r="E453" s="49" t="s">
        <v>2785</v>
      </c>
      <c r="F453" s="49" t="s">
        <v>2805</v>
      </c>
      <c r="G453" s="49" t="s">
        <v>4891</v>
      </c>
      <c r="H453" s="49" t="s">
        <v>4225</v>
      </c>
      <c r="I453" s="52">
        <v>46100.574641203697</v>
      </c>
      <c r="M453" s="49" t="s">
        <v>13303</v>
      </c>
    </row>
    <row r="454" spans="1:13" x14ac:dyDescent="0.35">
      <c r="A454" s="49" t="s">
        <v>13308</v>
      </c>
      <c r="B454" s="49" t="s">
        <v>13321</v>
      </c>
      <c r="C454" s="49" t="s">
        <v>13322</v>
      </c>
      <c r="D454" s="49" t="s">
        <v>1264</v>
      </c>
      <c r="E454" s="49" t="s">
        <v>2785</v>
      </c>
      <c r="F454" s="49" t="s">
        <v>2805</v>
      </c>
      <c r="G454" s="49" t="s">
        <v>4891</v>
      </c>
      <c r="H454" s="49" t="s">
        <v>4225</v>
      </c>
      <c r="I454" s="52">
        <v>46100.577164351896</v>
      </c>
      <c r="M454" s="49" t="s">
        <v>13303</v>
      </c>
    </row>
    <row r="455" spans="1:13" x14ac:dyDescent="0.35">
      <c r="A455" s="49" t="s">
        <v>13308</v>
      </c>
      <c r="B455" s="49" t="s">
        <v>13323</v>
      </c>
      <c r="C455" s="49" t="s">
        <v>13324</v>
      </c>
      <c r="D455" s="49" t="s">
        <v>1264</v>
      </c>
      <c r="E455" s="49" t="s">
        <v>2785</v>
      </c>
      <c r="F455" s="49" t="s">
        <v>2805</v>
      </c>
      <c r="G455" s="49" t="s">
        <v>4891</v>
      </c>
      <c r="H455" s="49" t="s">
        <v>4225</v>
      </c>
      <c r="I455" s="52">
        <v>46100.5793865741</v>
      </c>
      <c r="M455" s="49" t="s">
        <v>13303</v>
      </c>
    </row>
    <row r="456" spans="1:13" x14ac:dyDescent="0.35">
      <c r="A456" s="49" t="s">
        <v>13308</v>
      </c>
      <c r="B456" s="49" t="s">
        <v>13325</v>
      </c>
      <c r="C456" s="49" t="s">
        <v>13326</v>
      </c>
      <c r="D456" s="49" t="s">
        <v>1264</v>
      </c>
      <c r="E456" s="49" t="s">
        <v>2785</v>
      </c>
      <c r="F456" s="49" t="s">
        <v>2805</v>
      </c>
      <c r="G456" s="49" t="s">
        <v>4891</v>
      </c>
      <c r="H456" s="49" t="s">
        <v>4225</v>
      </c>
      <c r="I456" s="52">
        <v>46100.581990740699</v>
      </c>
      <c r="M456" s="49" t="s">
        <v>13303</v>
      </c>
    </row>
    <row r="457" spans="1:13" x14ac:dyDescent="0.35">
      <c r="A457" s="49" t="s">
        <v>14715</v>
      </c>
      <c r="B457" s="49" t="s">
        <v>7212</v>
      </c>
      <c r="C457" s="49" t="s">
        <v>2863</v>
      </c>
      <c r="D457" s="49" t="s">
        <v>1264</v>
      </c>
      <c r="E457" s="49" t="s">
        <v>2814</v>
      </c>
      <c r="F457" s="49" t="s">
        <v>2825</v>
      </c>
      <c r="G457" s="49" t="s">
        <v>2787</v>
      </c>
      <c r="H457" s="49" t="s">
        <v>2827</v>
      </c>
      <c r="I457" s="50">
        <v>42047</v>
      </c>
      <c r="J457" s="50">
        <v>42080</v>
      </c>
      <c r="K457" s="50">
        <v>42263</v>
      </c>
      <c r="M457" s="49" t="s">
        <v>7214</v>
      </c>
    </row>
    <row r="458" spans="1:13" x14ac:dyDescent="0.35">
      <c r="A458" s="49" t="s">
        <v>14127</v>
      </c>
      <c r="B458" s="49" t="s">
        <v>3712</v>
      </c>
      <c r="C458" s="49"/>
      <c r="D458" s="49" t="s">
        <v>1264</v>
      </c>
      <c r="E458" s="49" t="s">
        <v>3443</v>
      </c>
      <c r="F458" s="49" t="s">
        <v>3124</v>
      </c>
      <c r="G458" s="49" t="s">
        <v>2901</v>
      </c>
      <c r="H458" s="49" t="s">
        <v>980</v>
      </c>
      <c r="I458" s="50">
        <v>43208</v>
      </c>
      <c r="J458" s="50">
        <v>43256</v>
      </c>
      <c r="K458" s="50">
        <v>46907</v>
      </c>
      <c r="L458" s="50">
        <v>45082</v>
      </c>
      <c r="M458" s="49" t="s">
        <v>3714</v>
      </c>
    </row>
    <row r="459" spans="1:13" x14ac:dyDescent="0.35">
      <c r="A459" s="49" t="s">
        <v>14127</v>
      </c>
      <c r="B459" s="49" t="s">
        <v>10782</v>
      </c>
      <c r="C459" s="49"/>
      <c r="D459" s="49" t="s">
        <v>1264</v>
      </c>
      <c r="E459" s="49" t="s">
        <v>2908</v>
      </c>
      <c r="F459" s="49" t="s">
        <v>2939</v>
      </c>
      <c r="G459" s="49" t="s">
        <v>2776</v>
      </c>
      <c r="H459" s="49" t="s">
        <v>980</v>
      </c>
      <c r="I459" s="50">
        <v>41872</v>
      </c>
      <c r="M459" s="49" t="s">
        <v>10783</v>
      </c>
    </row>
    <row r="460" spans="1:13" x14ac:dyDescent="0.35">
      <c r="A460" s="49" t="s">
        <v>14733</v>
      </c>
      <c r="B460" s="49" t="s">
        <v>7872</v>
      </c>
      <c r="C460" s="49" t="s">
        <v>3102</v>
      </c>
      <c r="D460" s="49" t="s">
        <v>1264</v>
      </c>
      <c r="E460" s="49" t="s">
        <v>2908</v>
      </c>
      <c r="F460" s="49" t="s">
        <v>2939</v>
      </c>
      <c r="G460" s="49" t="s">
        <v>2787</v>
      </c>
      <c r="H460" s="49" t="s">
        <v>8</v>
      </c>
      <c r="I460" s="50">
        <v>35100</v>
      </c>
      <c r="J460" s="50">
        <v>36585</v>
      </c>
      <c r="K460" s="50">
        <v>38411</v>
      </c>
      <c r="M460" s="49" t="s">
        <v>7874</v>
      </c>
    </row>
    <row r="461" spans="1:13" x14ac:dyDescent="0.35">
      <c r="A461" s="49" t="s">
        <v>15303</v>
      </c>
      <c r="B461" s="49" t="s">
        <v>8432</v>
      </c>
      <c r="C461" s="49" t="s">
        <v>3534</v>
      </c>
      <c r="D461" s="49" t="s">
        <v>1264</v>
      </c>
      <c r="E461" s="49" t="s">
        <v>2774</v>
      </c>
      <c r="F461" s="49" t="s">
        <v>5254</v>
      </c>
      <c r="G461" s="49" t="s">
        <v>2975</v>
      </c>
      <c r="H461" s="49" t="s">
        <v>2827</v>
      </c>
      <c r="I461" s="50">
        <v>40486</v>
      </c>
      <c r="J461" s="50">
        <v>40542</v>
      </c>
      <c r="K461" s="50">
        <v>42313</v>
      </c>
      <c r="M461" s="49" t="s">
        <v>8434</v>
      </c>
    </row>
    <row r="462" spans="1:13" x14ac:dyDescent="0.35">
      <c r="A462" s="49" t="s">
        <v>15303</v>
      </c>
      <c r="B462" s="49" t="s">
        <v>10720</v>
      </c>
      <c r="C462" s="49"/>
      <c r="D462" s="49" t="s">
        <v>1264</v>
      </c>
      <c r="E462" s="49" t="s">
        <v>2814</v>
      </c>
      <c r="F462" s="49" t="s">
        <v>10722</v>
      </c>
      <c r="G462" s="49" t="s">
        <v>2776</v>
      </c>
      <c r="H462" s="49" t="s">
        <v>2827</v>
      </c>
      <c r="I462" s="50">
        <v>41556</v>
      </c>
      <c r="M462" s="49" t="s">
        <v>10723</v>
      </c>
    </row>
    <row r="463" spans="1:13" x14ac:dyDescent="0.35">
      <c r="A463" s="49" t="s">
        <v>14249</v>
      </c>
      <c r="B463" s="49" t="s">
        <v>5757</v>
      </c>
      <c r="C463" s="49" t="s">
        <v>5758</v>
      </c>
      <c r="D463" s="49" t="s">
        <v>1264</v>
      </c>
      <c r="E463" s="49" t="s">
        <v>2785</v>
      </c>
      <c r="F463" s="49" t="s">
        <v>2792</v>
      </c>
      <c r="G463" s="49" t="s">
        <v>2787</v>
      </c>
      <c r="H463" s="49" t="s">
        <v>980</v>
      </c>
      <c r="I463" s="50">
        <v>45175</v>
      </c>
      <c r="J463" s="50">
        <v>45183</v>
      </c>
      <c r="K463" s="50">
        <v>45548</v>
      </c>
      <c r="M463" s="49" t="s">
        <v>5760</v>
      </c>
    </row>
    <row r="464" spans="1:13" x14ac:dyDescent="0.35">
      <c r="A464" s="49" t="s">
        <v>1022</v>
      </c>
      <c r="B464" s="49" t="s">
        <v>4236</v>
      </c>
      <c r="C464" s="49"/>
      <c r="D464" s="49" t="s">
        <v>1264</v>
      </c>
      <c r="E464" s="49" t="s">
        <v>2785</v>
      </c>
      <c r="F464" s="49" t="s">
        <v>2792</v>
      </c>
      <c r="G464" s="49" t="s">
        <v>2787</v>
      </c>
      <c r="H464" s="49" t="s">
        <v>980</v>
      </c>
      <c r="I464" s="50">
        <v>44285</v>
      </c>
      <c r="J464" s="50">
        <v>44315</v>
      </c>
      <c r="K464" s="50">
        <v>45428</v>
      </c>
      <c r="M464" s="49" t="s">
        <v>4238</v>
      </c>
    </row>
    <row r="465" spans="1:13" x14ac:dyDescent="0.35">
      <c r="A465" s="49" t="s">
        <v>1022</v>
      </c>
      <c r="B465" s="49" t="s">
        <v>5303</v>
      </c>
      <c r="C465" s="49" t="s">
        <v>5304</v>
      </c>
      <c r="D465" s="49" t="s">
        <v>1264</v>
      </c>
      <c r="E465" s="49" t="s">
        <v>2785</v>
      </c>
      <c r="F465" s="49" t="s">
        <v>2792</v>
      </c>
      <c r="G465" s="49" t="s">
        <v>2787</v>
      </c>
      <c r="H465" s="49" t="s">
        <v>980</v>
      </c>
      <c r="I465" s="50">
        <v>44918</v>
      </c>
      <c r="J465" s="50">
        <v>44957</v>
      </c>
      <c r="K465" s="50">
        <v>45321</v>
      </c>
      <c r="L465" s="50">
        <v>45322</v>
      </c>
      <c r="M465" s="49" t="s">
        <v>5305</v>
      </c>
    </row>
    <row r="466" spans="1:13" x14ac:dyDescent="0.35">
      <c r="A466" s="49" t="s">
        <v>1022</v>
      </c>
      <c r="B466" s="49" t="s">
        <v>7196</v>
      </c>
      <c r="C466" s="49" t="s">
        <v>7197</v>
      </c>
      <c r="D466" s="49" t="s">
        <v>1264</v>
      </c>
      <c r="E466" s="49" t="s">
        <v>2785</v>
      </c>
      <c r="F466" s="49" t="s">
        <v>2792</v>
      </c>
      <c r="G466" s="49" t="s">
        <v>2787</v>
      </c>
      <c r="H466" s="49" t="s">
        <v>980</v>
      </c>
      <c r="I466" s="50">
        <v>42767</v>
      </c>
      <c r="J466" s="50">
        <v>42860</v>
      </c>
      <c r="K466" s="50">
        <v>43043</v>
      </c>
      <c r="L466" s="50">
        <v>44323</v>
      </c>
      <c r="M466" s="49" t="s">
        <v>7198</v>
      </c>
    </row>
    <row r="467" spans="1:13" x14ac:dyDescent="0.35">
      <c r="A467" s="49" t="s">
        <v>1022</v>
      </c>
      <c r="B467" s="49" t="s">
        <v>13089</v>
      </c>
      <c r="C467" s="49"/>
      <c r="D467" s="49" t="s">
        <v>1264</v>
      </c>
      <c r="E467" s="49" t="s">
        <v>2785</v>
      </c>
      <c r="F467" s="49" t="s">
        <v>2792</v>
      </c>
      <c r="G467" s="49" t="s">
        <v>4891</v>
      </c>
      <c r="H467" s="49" t="s">
        <v>980</v>
      </c>
      <c r="I467" s="52">
        <v>46042.6797800926</v>
      </c>
      <c r="M467" s="49" t="s">
        <v>13090</v>
      </c>
    </row>
    <row r="468" spans="1:13" x14ac:dyDescent="0.35">
      <c r="A468" s="49" t="s">
        <v>14870</v>
      </c>
      <c r="B468" s="49" t="s">
        <v>5985</v>
      </c>
      <c r="C468" s="49"/>
      <c r="D468" s="49" t="s">
        <v>1264</v>
      </c>
      <c r="E468" s="49" t="s">
        <v>2986</v>
      </c>
      <c r="F468" s="49" t="s">
        <v>2825</v>
      </c>
      <c r="G468" s="49" t="s">
        <v>2901</v>
      </c>
      <c r="H468" s="49" t="s">
        <v>973</v>
      </c>
      <c r="I468" s="50">
        <v>45233</v>
      </c>
      <c r="J468" s="50">
        <v>45366</v>
      </c>
      <c r="K468" s="50">
        <v>46460</v>
      </c>
      <c r="M468" s="49" t="s">
        <v>5051</v>
      </c>
    </row>
    <row r="469" spans="1:13" x14ac:dyDescent="0.35">
      <c r="A469" s="49" t="s">
        <v>9794</v>
      </c>
      <c r="B469" s="49" t="s">
        <v>9793</v>
      </c>
      <c r="C469" s="49"/>
      <c r="D469" s="49" t="s">
        <v>1264</v>
      </c>
      <c r="E469" s="49" t="s">
        <v>2785</v>
      </c>
      <c r="F469" s="49" t="s">
        <v>2792</v>
      </c>
      <c r="G469" s="49" t="s">
        <v>2776</v>
      </c>
      <c r="H469" s="49" t="s">
        <v>8</v>
      </c>
      <c r="I469" s="50">
        <v>42317</v>
      </c>
      <c r="M469" s="49" t="s">
        <v>9795</v>
      </c>
    </row>
    <row r="470" spans="1:13" x14ac:dyDescent="0.35">
      <c r="A470" s="49" t="s">
        <v>9794</v>
      </c>
      <c r="B470" s="49" t="s">
        <v>10730</v>
      </c>
      <c r="C470" s="49"/>
      <c r="D470" s="49" t="s">
        <v>1264</v>
      </c>
      <c r="E470" s="49" t="s">
        <v>2785</v>
      </c>
      <c r="F470" s="49" t="s">
        <v>2792</v>
      </c>
      <c r="G470" s="49" t="s">
        <v>2776</v>
      </c>
      <c r="H470" s="49" t="s">
        <v>8</v>
      </c>
      <c r="I470" s="50">
        <v>41869</v>
      </c>
      <c r="M470" s="49" t="s">
        <v>10732</v>
      </c>
    </row>
    <row r="471" spans="1:13" x14ac:dyDescent="0.35">
      <c r="A471" s="49" t="s">
        <v>14784</v>
      </c>
      <c r="B471" s="49" t="s">
        <v>10735</v>
      </c>
      <c r="C471" s="49"/>
      <c r="D471" s="49" t="s">
        <v>1264</v>
      </c>
      <c r="E471" s="49" t="s">
        <v>2785</v>
      </c>
      <c r="F471" s="49" t="s">
        <v>2792</v>
      </c>
      <c r="G471" s="49" t="s">
        <v>2787</v>
      </c>
      <c r="H471" s="49" t="s">
        <v>8</v>
      </c>
      <c r="I471" s="50">
        <v>41743</v>
      </c>
      <c r="J471" s="50">
        <v>41863</v>
      </c>
      <c r="K471" s="50">
        <v>42046</v>
      </c>
      <c r="M471" s="49" t="s">
        <v>8165</v>
      </c>
    </row>
    <row r="472" spans="1:13" x14ac:dyDescent="0.35">
      <c r="A472" s="49" t="s">
        <v>15304</v>
      </c>
      <c r="B472" s="49" t="s">
        <v>10492</v>
      </c>
      <c r="C472" s="49"/>
      <c r="D472" s="49" t="s">
        <v>1264</v>
      </c>
      <c r="E472" s="49" t="s">
        <v>2814</v>
      </c>
      <c r="F472" s="49" t="s">
        <v>2825</v>
      </c>
      <c r="G472" s="49" t="s">
        <v>2776</v>
      </c>
      <c r="H472" s="49" t="s">
        <v>2827</v>
      </c>
      <c r="I472" s="50">
        <v>43440</v>
      </c>
      <c r="M472" s="49" t="s">
        <v>3876</v>
      </c>
    </row>
    <row r="473" spans="1:13" x14ac:dyDescent="0.35">
      <c r="A473" s="49" t="s">
        <v>13635</v>
      </c>
      <c r="B473" s="49" t="s">
        <v>3669</v>
      </c>
      <c r="C473" s="49" t="s">
        <v>3670</v>
      </c>
      <c r="D473" s="49" t="s">
        <v>1264</v>
      </c>
      <c r="E473" s="49" t="s">
        <v>2774</v>
      </c>
      <c r="F473" s="49" t="s">
        <v>3363</v>
      </c>
      <c r="G473" s="49" t="s">
        <v>2901</v>
      </c>
      <c r="H473" s="49" t="s">
        <v>2827</v>
      </c>
      <c r="I473" s="50">
        <v>43102</v>
      </c>
      <c r="J473" s="50">
        <v>43256</v>
      </c>
      <c r="K473" s="50">
        <v>46908</v>
      </c>
      <c r="M473" s="49" t="s">
        <v>3672</v>
      </c>
    </row>
    <row r="474" spans="1:13" x14ac:dyDescent="0.35">
      <c r="A474" s="49" t="s">
        <v>15246</v>
      </c>
      <c r="B474" s="49" t="s">
        <v>6305</v>
      </c>
      <c r="C474" s="49" t="s">
        <v>6306</v>
      </c>
      <c r="D474" s="49" t="s">
        <v>1264</v>
      </c>
      <c r="E474" s="49" t="s">
        <v>2774</v>
      </c>
      <c r="F474" s="49" t="s">
        <v>2825</v>
      </c>
      <c r="G474" s="49" t="s">
        <v>2901</v>
      </c>
      <c r="H474" s="49" t="s">
        <v>2827</v>
      </c>
      <c r="I474" s="50">
        <v>45048</v>
      </c>
      <c r="J474" s="50">
        <v>45324</v>
      </c>
      <c r="K474" s="50">
        <v>46784</v>
      </c>
      <c r="M474" s="49" t="s">
        <v>6308</v>
      </c>
    </row>
    <row r="475" spans="1:13" x14ac:dyDescent="0.35">
      <c r="A475" s="49" t="s">
        <v>14105</v>
      </c>
      <c r="B475" s="49" t="s">
        <v>3516</v>
      </c>
      <c r="C475" s="49" t="s">
        <v>3517</v>
      </c>
      <c r="D475" s="49" t="s">
        <v>1264</v>
      </c>
      <c r="E475" s="49" t="s">
        <v>2774</v>
      </c>
      <c r="F475" s="49" t="s">
        <v>2825</v>
      </c>
      <c r="G475" s="49" t="s">
        <v>2787</v>
      </c>
      <c r="H475" s="49" t="s">
        <v>2827</v>
      </c>
      <c r="I475" s="50">
        <v>42583</v>
      </c>
      <c r="J475" s="50">
        <v>43410</v>
      </c>
      <c r="K475" s="50">
        <v>45967</v>
      </c>
      <c r="M475" s="49" t="s">
        <v>3519</v>
      </c>
    </row>
    <row r="476" spans="1:13" x14ac:dyDescent="0.35">
      <c r="A476" s="49" t="s">
        <v>14105</v>
      </c>
      <c r="B476" s="49" t="s">
        <v>3872</v>
      </c>
      <c r="C476" s="49" t="s">
        <v>3873</v>
      </c>
      <c r="D476" s="49" t="s">
        <v>1264</v>
      </c>
      <c r="E476" s="49" t="s">
        <v>2774</v>
      </c>
      <c r="F476" s="49" t="s">
        <v>2825</v>
      </c>
      <c r="G476" s="49" t="s">
        <v>2901</v>
      </c>
      <c r="H476" s="49" t="s">
        <v>2827</v>
      </c>
      <c r="I476" s="50">
        <v>43455</v>
      </c>
      <c r="J476" s="50">
        <v>43623</v>
      </c>
      <c r="K476" s="50">
        <v>46180</v>
      </c>
      <c r="M476" s="49" t="s">
        <v>3874</v>
      </c>
    </row>
    <row r="477" spans="1:13" x14ac:dyDescent="0.35">
      <c r="A477" s="49" t="s">
        <v>14105</v>
      </c>
      <c r="B477" s="49" t="s">
        <v>13915</v>
      </c>
      <c r="C477" s="49" t="s">
        <v>13916</v>
      </c>
      <c r="D477" s="49" t="s">
        <v>1264</v>
      </c>
      <c r="E477" s="49" t="s">
        <v>2774</v>
      </c>
      <c r="F477" s="49" t="s">
        <v>2825</v>
      </c>
      <c r="G477" s="49" t="s">
        <v>2776</v>
      </c>
      <c r="H477" s="49" t="s">
        <v>2827</v>
      </c>
      <c r="I477" s="50">
        <v>42583</v>
      </c>
      <c r="M477" s="49" t="s">
        <v>13917</v>
      </c>
    </row>
    <row r="478" spans="1:13" x14ac:dyDescent="0.35">
      <c r="A478" s="49" t="s">
        <v>105</v>
      </c>
      <c r="B478" s="49" t="s">
        <v>4628</v>
      </c>
      <c r="C478" s="49" t="s">
        <v>4629</v>
      </c>
      <c r="D478" s="49" t="s">
        <v>1264</v>
      </c>
      <c r="E478" s="49" t="s">
        <v>2908</v>
      </c>
      <c r="F478" s="49" t="s">
        <v>2837</v>
      </c>
      <c r="G478" s="49" t="s">
        <v>4330</v>
      </c>
      <c r="H478" s="49" t="s">
        <v>980</v>
      </c>
      <c r="I478" s="50">
        <v>44522</v>
      </c>
      <c r="M478" s="49" t="s">
        <v>4631</v>
      </c>
    </row>
    <row r="479" spans="1:13" x14ac:dyDescent="0.35">
      <c r="A479" s="49" t="s">
        <v>14871</v>
      </c>
      <c r="B479" s="49" t="s">
        <v>9818</v>
      </c>
      <c r="C479" s="49"/>
      <c r="D479" s="49" t="s">
        <v>1264</v>
      </c>
      <c r="E479" s="49" t="s">
        <v>2785</v>
      </c>
      <c r="F479" s="49" t="s">
        <v>2786</v>
      </c>
      <c r="G479" s="49" t="s">
        <v>2776</v>
      </c>
      <c r="H479" s="49" t="s">
        <v>980</v>
      </c>
      <c r="I479" s="50">
        <v>42576</v>
      </c>
      <c r="M479" s="49" t="s">
        <v>8852</v>
      </c>
    </row>
    <row r="480" spans="1:13" x14ac:dyDescent="0.35">
      <c r="A480" s="49" t="s">
        <v>14221</v>
      </c>
      <c r="B480" s="49" t="s">
        <v>5059</v>
      </c>
      <c r="C480" s="49" t="s">
        <v>5060</v>
      </c>
      <c r="D480" s="49" t="s">
        <v>1264</v>
      </c>
      <c r="E480" s="49" t="s">
        <v>2785</v>
      </c>
      <c r="F480" s="49" t="s">
        <v>2786</v>
      </c>
      <c r="G480" s="49" t="s">
        <v>2787</v>
      </c>
      <c r="H480" s="49" t="s">
        <v>980</v>
      </c>
      <c r="I480" s="50">
        <v>44721</v>
      </c>
      <c r="K480" s="50">
        <v>45511</v>
      </c>
      <c r="M480" s="49" t="s">
        <v>4495</v>
      </c>
    </row>
    <row r="481" spans="1:13" x14ac:dyDescent="0.35">
      <c r="A481" s="49" t="s">
        <v>14872</v>
      </c>
      <c r="B481" s="49" t="s">
        <v>11906</v>
      </c>
      <c r="C481" s="49"/>
      <c r="D481" s="49" t="s">
        <v>1264</v>
      </c>
      <c r="E481" s="49" t="s">
        <v>2986</v>
      </c>
      <c r="F481" s="49" t="s">
        <v>2825</v>
      </c>
      <c r="G481" s="49" t="s">
        <v>4891</v>
      </c>
      <c r="H481" s="49" t="s">
        <v>973</v>
      </c>
      <c r="I481" s="50">
        <v>45267</v>
      </c>
      <c r="M481" s="49" t="s">
        <v>5051</v>
      </c>
    </row>
    <row r="482" spans="1:13" x14ac:dyDescent="0.35">
      <c r="A482" s="49" t="s">
        <v>3251</v>
      </c>
      <c r="B482" s="49" t="s">
        <v>8513</v>
      </c>
      <c r="C482" s="49" t="s">
        <v>8514</v>
      </c>
      <c r="D482" s="49" t="s">
        <v>1264</v>
      </c>
      <c r="E482" s="49" t="s">
        <v>7057</v>
      </c>
      <c r="F482" s="49" t="s">
        <v>2825</v>
      </c>
      <c r="G482" s="49" t="s">
        <v>2787</v>
      </c>
      <c r="H482" s="49" t="s">
        <v>2827</v>
      </c>
      <c r="I482" s="50">
        <v>41809</v>
      </c>
      <c r="J482" s="50">
        <v>41879</v>
      </c>
      <c r="K482" s="50">
        <v>42609</v>
      </c>
      <c r="M482" s="49" t="s">
        <v>3100</v>
      </c>
    </row>
    <row r="483" spans="1:13" x14ac:dyDescent="0.35">
      <c r="A483" s="49" t="s">
        <v>3251</v>
      </c>
      <c r="B483" s="49" t="s">
        <v>13896</v>
      </c>
      <c r="C483" s="49" t="s">
        <v>13897</v>
      </c>
      <c r="D483" s="49" t="s">
        <v>1264</v>
      </c>
      <c r="E483" s="49" t="s">
        <v>2774</v>
      </c>
      <c r="F483" s="49" t="s">
        <v>3253</v>
      </c>
      <c r="G483" s="49" t="s">
        <v>2787</v>
      </c>
      <c r="H483" s="49" t="s">
        <v>2827</v>
      </c>
      <c r="I483" s="50">
        <v>42676</v>
      </c>
      <c r="M483" s="49" t="s">
        <v>13898</v>
      </c>
    </row>
    <row r="484" spans="1:13" x14ac:dyDescent="0.35">
      <c r="A484" s="49" t="s">
        <v>14185</v>
      </c>
      <c r="B484" s="49" t="s">
        <v>4432</v>
      </c>
      <c r="C484" s="49"/>
      <c r="D484" s="49" t="s">
        <v>1264</v>
      </c>
      <c r="E484" s="49" t="s">
        <v>2908</v>
      </c>
      <c r="F484" s="49" t="s">
        <v>3010</v>
      </c>
      <c r="G484" s="49" t="s">
        <v>2901</v>
      </c>
      <c r="H484" s="49" t="s">
        <v>2827</v>
      </c>
      <c r="I484" s="50">
        <v>44070</v>
      </c>
      <c r="J484" s="50">
        <v>44357</v>
      </c>
      <c r="K484" s="50">
        <v>46182</v>
      </c>
      <c r="M484" s="49" t="s">
        <v>4434</v>
      </c>
    </row>
    <row r="485" spans="1:13" x14ac:dyDescent="0.35">
      <c r="A485" s="49" t="s">
        <v>874</v>
      </c>
      <c r="B485" s="49" t="s">
        <v>11685</v>
      </c>
      <c r="C485" s="49"/>
      <c r="D485" s="49" t="s">
        <v>1264</v>
      </c>
      <c r="E485" s="49" t="s">
        <v>2986</v>
      </c>
      <c r="F485" s="49" t="s">
        <v>2825</v>
      </c>
      <c r="G485" s="49" t="s">
        <v>4891</v>
      </c>
      <c r="H485" s="49" t="s">
        <v>2827</v>
      </c>
      <c r="I485" s="50">
        <v>45224</v>
      </c>
      <c r="M485" s="49" t="s">
        <v>3270</v>
      </c>
    </row>
    <row r="486" spans="1:13" x14ac:dyDescent="0.35">
      <c r="A486" s="49" t="s">
        <v>15305</v>
      </c>
      <c r="B486" s="49" t="s">
        <v>11287</v>
      </c>
      <c r="C486" s="49"/>
      <c r="D486" s="49" t="s">
        <v>1264</v>
      </c>
      <c r="E486" s="49" t="s">
        <v>2814</v>
      </c>
      <c r="F486" s="49" t="s">
        <v>2825</v>
      </c>
      <c r="G486" s="49" t="s">
        <v>2776</v>
      </c>
      <c r="H486" s="49" t="s">
        <v>2827</v>
      </c>
      <c r="I486" s="50">
        <v>44998</v>
      </c>
      <c r="M486" s="49" t="s">
        <v>11289</v>
      </c>
    </row>
    <row r="487" spans="1:13" x14ac:dyDescent="0.35">
      <c r="A487" s="49" t="s">
        <v>15108</v>
      </c>
      <c r="B487" s="49" t="s">
        <v>12819</v>
      </c>
      <c r="C487" s="49" t="s">
        <v>12820</v>
      </c>
      <c r="D487" s="49" t="s">
        <v>1264</v>
      </c>
      <c r="E487" s="49" t="s">
        <v>2774</v>
      </c>
      <c r="F487" s="49" t="s">
        <v>2825</v>
      </c>
      <c r="G487" s="49" t="s">
        <v>4891</v>
      </c>
      <c r="H487" s="49" t="s">
        <v>2827</v>
      </c>
      <c r="I487" s="50">
        <v>45495</v>
      </c>
      <c r="M487" s="49" t="s">
        <v>12822</v>
      </c>
    </row>
    <row r="488" spans="1:13" x14ac:dyDescent="0.35">
      <c r="A488" s="49" t="s">
        <v>15306</v>
      </c>
      <c r="B488" s="49" t="s">
        <v>5013</v>
      </c>
      <c r="C488" s="49"/>
      <c r="D488" s="49" t="s">
        <v>1264</v>
      </c>
      <c r="E488" s="49" t="s">
        <v>2814</v>
      </c>
      <c r="F488" s="49" t="s">
        <v>4966</v>
      </c>
      <c r="G488" s="49" t="s">
        <v>2787</v>
      </c>
      <c r="H488" s="49" t="s">
        <v>2832</v>
      </c>
      <c r="I488" s="50">
        <v>44615</v>
      </c>
      <c r="J488" s="50">
        <v>44616</v>
      </c>
      <c r="K488" s="50">
        <v>44796</v>
      </c>
      <c r="M488" s="49" t="s">
        <v>5015</v>
      </c>
    </row>
    <row r="489" spans="1:13" x14ac:dyDescent="0.35">
      <c r="A489" s="49" t="s">
        <v>15306</v>
      </c>
      <c r="B489" s="49" t="s">
        <v>5478</v>
      </c>
      <c r="C489" s="49"/>
      <c r="D489" s="49" t="s">
        <v>1264</v>
      </c>
      <c r="E489" s="49" t="s">
        <v>2814</v>
      </c>
      <c r="F489" s="49" t="s">
        <v>5479</v>
      </c>
      <c r="G489" s="49" t="s">
        <v>2787</v>
      </c>
      <c r="H489" s="49" t="s">
        <v>2832</v>
      </c>
      <c r="I489" s="50">
        <v>45022</v>
      </c>
      <c r="J489" s="50">
        <v>45022</v>
      </c>
      <c r="K489" s="50">
        <v>45204</v>
      </c>
      <c r="M489" s="49" t="s">
        <v>5480</v>
      </c>
    </row>
    <row r="490" spans="1:13" x14ac:dyDescent="0.35">
      <c r="A490" s="49" t="s">
        <v>15306</v>
      </c>
      <c r="B490" s="49" t="s">
        <v>6689</v>
      </c>
      <c r="C490" s="49"/>
      <c r="D490" s="49" t="s">
        <v>1264</v>
      </c>
      <c r="E490" s="49" t="s">
        <v>2974</v>
      </c>
      <c r="F490" s="49" t="s">
        <v>2900</v>
      </c>
      <c r="G490" s="49" t="s">
        <v>2901</v>
      </c>
      <c r="H490" s="49" t="s">
        <v>2832</v>
      </c>
      <c r="I490" s="50">
        <v>45377</v>
      </c>
      <c r="J490" s="50">
        <v>45378</v>
      </c>
      <c r="K490" s="50">
        <v>47203</v>
      </c>
      <c r="M490" s="49" t="s">
        <v>6690</v>
      </c>
    </row>
    <row r="491" spans="1:13" x14ac:dyDescent="0.35">
      <c r="A491" s="49" t="s">
        <v>15306</v>
      </c>
      <c r="B491" s="49" t="s">
        <v>8490</v>
      </c>
      <c r="C491" s="49" t="s">
        <v>8491</v>
      </c>
      <c r="D491" s="49" t="s">
        <v>1264</v>
      </c>
      <c r="E491" s="49" t="s">
        <v>2774</v>
      </c>
      <c r="F491" s="49" t="s">
        <v>2900</v>
      </c>
      <c r="G491" s="49" t="s">
        <v>2975</v>
      </c>
      <c r="H491" s="49" t="s">
        <v>973</v>
      </c>
      <c r="I491" s="50">
        <v>40798</v>
      </c>
      <c r="J491" s="50">
        <v>40865</v>
      </c>
      <c r="K491" s="50">
        <v>41940</v>
      </c>
      <c r="M491" s="49" t="s">
        <v>8492</v>
      </c>
    </row>
    <row r="492" spans="1:13" x14ac:dyDescent="0.35">
      <c r="A492" s="49" t="s">
        <v>15306</v>
      </c>
      <c r="B492" s="49" t="s">
        <v>9647</v>
      </c>
      <c r="C492" s="49" t="s">
        <v>3642</v>
      </c>
      <c r="D492" s="49" t="s">
        <v>1264</v>
      </c>
      <c r="E492" s="49" t="s">
        <v>2908</v>
      </c>
      <c r="F492" s="49" t="s">
        <v>2939</v>
      </c>
      <c r="G492" s="49" t="s">
        <v>2776</v>
      </c>
      <c r="H492" s="49" t="s">
        <v>8</v>
      </c>
      <c r="I492" s="50">
        <v>42528</v>
      </c>
      <c r="M492" s="49" t="s">
        <v>9648</v>
      </c>
    </row>
    <row r="493" spans="1:13" x14ac:dyDescent="0.35">
      <c r="A493" s="49" t="s">
        <v>15306</v>
      </c>
      <c r="B493" s="49" t="s">
        <v>10955</v>
      </c>
      <c r="C493" s="49"/>
      <c r="D493" s="49" t="s">
        <v>1264</v>
      </c>
      <c r="E493" s="49" t="s">
        <v>2974</v>
      </c>
      <c r="F493" s="49" t="s">
        <v>10956</v>
      </c>
      <c r="G493" s="49" t="s">
        <v>2826</v>
      </c>
      <c r="H493" s="49" t="s">
        <v>2832</v>
      </c>
      <c r="I493" s="50">
        <v>44553</v>
      </c>
      <c r="M493" s="49" t="s">
        <v>5480</v>
      </c>
    </row>
    <row r="494" spans="1:13" x14ac:dyDescent="0.35">
      <c r="A494" s="49" t="s">
        <v>111</v>
      </c>
      <c r="B494" s="49" t="s">
        <v>3423</v>
      </c>
      <c r="C494" s="49" t="s">
        <v>3424</v>
      </c>
      <c r="D494" s="49" t="s">
        <v>1264</v>
      </c>
      <c r="E494" s="49" t="s">
        <v>3413</v>
      </c>
      <c r="F494" s="49" t="s">
        <v>2900</v>
      </c>
      <c r="G494" s="49" t="s">
        <v>2901</v>
      </c>
      <c r="H494" s="49" t="s">
        <v>835</v>
      </c>
      <c r="I494" s="50">
        <v>42116</v>
      </c>
      <c r="J494" s="50">
        <v>43370</v>
      </c>
      <c r="K494" s="50">
        <v>50674</v>
      </c>
      <c r="M494" s="49" t="s">
        <v>3426</v>
      </c>
    </row>
    <row r="495" spans="1:13" x14ac:dyDescent="0.35">
      <c r="A495" s="49" t="s">
        <v>111</v>
      </c>
      <c r="B495" s="49" t="s">
        <v>8188</v>
      </c>
      <c r="C495" s="49" t="s">
        <v>8189</v>
      </c>
      <c r="D495" s="49" t="s">
        <v>1264</v>
      </c>
      <c r="E495" s="49" t="s">
        <v>2774</v>
      </c>
      <c r="F495" s="49" t="s">
        <v>2900</v>
      </c>
      <c r="G495" s="49" t="s">
        <v>2787</v>
      </c>
      <c r="H495" s="49" t="s">
        <v>980</v>
      </c>
      <c r="I495" s="50">
        <v>40743</v>
      </c>
      <c r="J495" s="50">
        <v>40752</v>
      </c>
      <c r="K495" s="50">
        <v>44038</v>
      </c>
      <c r="M495" s="49" t="s">
        <v>8190</v>
      </c>
    </row>
    <row r="496" spans="1:13" x14ac:dyDescent="0.35">
      <c r="A496" s="49" t="s">
        <v>14394</v>
      </c>
      <c r="B496" s="49" t="s">
        <v>7981</v>
      </c>
      <c r="C496" s="49" t="s">
        <v>7982</v>
      </c>
      <c r="D496" s="49" t="s">
        <v>1264</v>
      </c>
      <c r="E496" s="49" t="s">
        <v>2908</v>
      </c>
      <c r="F496" s="49" t="s">
        <v>2939</v>
      </c>
      <c r="G496" s="49" t="s">
        <v>2826</v>
      </c>
      <c r="H496" s="49" t="s">
        <v>8</v>
      </c>
      <c r="I496" s="50">
        <v>28126</v>
      </c>
      <c r="J496" s="50">
        <v>28257</v>
      </c>
      <c r="K496" s="50">
        <v>38243</v>
      </c>
      <c r="M496" s="49" t="s">
        <v>7984</v>
      </c>
    </row>
    <row r="497" spans="1:13" x14ac:dyDescent="0.35">
      <c r="A497" s="49" t="s">
        <v>15633</v>
      </c>
      <c r="B497" s="49" t="s">
        <v>4827</v>
      </c>
      <c r="C497" s="49" t="s">
        <v>4828</v>
      </c>
      <c r="D497" s="49" t="s">
        <v>1264</v>
      </c>
      <c r="E497" s="49" t="s">
        <v>2774</v>
      </c>
      <c r="F497" s="49" t="s">
        <v>2825</v>
      </c>
      <c r="G497" s="49" t="s">
        <v>2901</v>
      </c>
      <c r="H497" s="49" t="s">
        <v>2827</v>
      </c>
      <c r="I497" s="50">
        <v>44692</v>
      </c>
      <c r="J497" s="50">
        <v>44789</v>
      </c>
      <c r="K497" s="50">
        <v>46249</v>
      </c>
      <c r="M497" s="49" t="s">
        <v>4830</v>
      </c>
    </row>
    <row r="498" spans="1:13" x14ac:dyDescent="0.35">
      <c r="A498" s="49" t="s">
        <v>15142</v>
      </c>
      <c r="B498" s="49" t="s">
        <v>12425</v>
      </c>
      <c r="C498" s="49"/>
      <c r="D498" s="49" t="s">
        <v>1264</v>
      </c>
      <c r="E498" s="49" t="s">
        <v>2814</v>
      </c>
      <c r="F498" s="49" t="s">
        <v>2837</v>
      </c>
      <c r="G498" s="49" t="s">
        <v>2776</v>
      </c>
      <c r="H498" s="49" t="s">
        <v>980</v>
      </c>
      <c r="I498" s="50">
        <v>45415</v>
      </c>
      <c r="M498" s="49" t="s">
        <v>12427</v>
      </c>
    </row>
    <row r="499" spans="1:13" x14ac:dyDescent="0.35">
      <c r="A499" s="49" t="s">
        <v>15307</v>
      </c>
      <c r="B499" s="49" t="s">
        <v>3415</v>
      </c>
      <c r="C499" s="49" t="s">
        <v>3416</v>
      </c>
      <c r="D499" s="49" t="s">
        <v>1264</v>
      </c>
      <c r="E499" s="49" t="s">
        <v>2986</v>
      </c>
      <c r="F499" s="49" t="s">
        <v>2825</v>
      </c>
      <c r="G499" s="49" t="s">
        <v>2820</v>
      </c>
      <c r="H499" s="49" t="s">
        <v>2827</v>
      </c>
      <c r="I499" s="50">
        <v>42104</v>
      </c>
      <c r="J499" s="50">
        <v>42885</v>
      </c>
      <c r="K499" s="50">
        <v>45416</v>
      </c>
      <c r="L499" s="50">
        <v>43982</v>
      </c>
      <c r="M499" s="49" t="s">
        <v>3418</v>
      </c>
    </row>
    <row r="500" spans="1:13" x14ac:dyDescent="0.35">
      <c r="A500" s="49" t="s">
        <v>15307</v>
      </c>
      <c r="B500" s="49" t="s">
        <v>6832</v>
      </c>
      <c r="C500" s="49"/>
      <c r="D500" s="49" t="s">
        <v>1264</v>
      </c>
      <c r="E500" s="49" t="s">
        <v>2814</v>
      </c>
      <c r="F500" s="49" t="s">
        <v>2825</v>
      </c>
      <c r="G500" s="49" t="s">
        <v>2901</v>
      </c>
      <c r="H500" s="49" t="s">
        <v>2827</v>
      </c>
      <c r="I500" s="52">
        <v>45834.778321759302</v>
      </c>
      <c r="J500" s="50">
        <v>45999</v>
      </c>
      <c r="K500" s="50">
        <v>46180</v>
      </c>
      <c r="M500" s="49" t="s">
        <v>6833</v>
      </c>
    </row>
    <row r="501" spans="1:13" x14ac:dyDescent="0.35">
      <c r="A501" s="49" t="s">
        <v>15307</v>
      </c>
      <c r="B501" s="49" t="s">
        <v>8927</v>
      </c>
      <c r="C501" s="49"/>
      <c r="D501" s="49" t="s">
        <v>1264</v>
      </c>
      <c r="E501" s="49" t="s">
        <v>2814</v>
      </c>
      <c r="F501" s="49" t="s">
        <v>2825</v>
      </c>
      <c r="G501" s="49" t="s">
        <v>2787</v>
      </c>
      <c r="H501" s="49" t="s">
        <v>2827</v>
      </c>
      <c r="I501" s="50">
        <v>42083</v>
      </c>
      <c r="J501" s="50">
        <v>42109</v>
      </c>
      <c r="K501" s="50">
        <v>42291</v>
      </c>
      <c r="M501" s="49" t="s">
        <v>8928</v>
      </c>
    </row>
    <row r="502" spans="1:13" x14ac:dyDescent="0.35">
      <c r="A502" s="49" t="s">
        <v>15307</v>
      </c>
      <c r="B502" s="49" t="s">
        <v>9035</v>
      </c>
      <c r="C502" s="49" t="s">
        <v>9036</v>
      </c>
      <c r="D502" s="49" t="s">
        <v>1264</v>
      </c>
      <c r="E502" s="49" t="s">
        <v>2814</v>
      </c>
      <c r="F502" s="49" t="s">
        <v>2825</v>
      </c>
      <c r="G502" s="49" t="s">
        <v>2787</v>
      </c>
      <c r="H502" s="49" t="s">
        <v>2827</v>
      </c>
      <c r="I502" s="50">
        <v>41996</v>
      </c>
      <c r="J502" s="50">
        <v>41992</v>
      </c>
      <c r="K502" s="50">
        <v>42173</v>
      </c>
      <c r="M502" s="49" t="s">
        <v>9038</v>
      </c>
    </row>
    <row r="503" spans="1:13" x14ac:dyDescent="0.35">
      <c r="A503" s="49" t="s">
        <v>14329</v>
      </c>
      <c r="B503" s="49" t="s">
        <v>7156</v>
      </c>
      <c r="C503" s="49" t="s">
        <v>7157</v>
      </c>
      <c r="D503" s="49" t="s">
        <v>1264</v>
      </c>
      <c r="E503" s="49" t="s">
        <v>2785</v>
      </c>
      <c r="F503" s="49" t="s">
        <v>2792</v>
      </c>
      <c r="G503" s="49" t="s">
        <v>2787</v>
      </c>
      <c r="H503" s="49" t="s">
        <v>980</v>
      </c>
      <c r="I503" s="50">
        <v>42822</v>
      </c>
      <c r="J503" s="50">
        <v>42845</v>
      </c>
      <c r="K503" s="50">
        <v>43027</v>
      </c>
      <c r="M503" s="49" t="s">
        <v>7159</v>
      </c>
    </row>
    <row r="504" spans="1:13" x14ac:dyDescent="0.35">
      <c r="A504" s="49" t="s">
        <v>14329</v>
      </c>
      <c r="B504" s="49" t="s">
        <v>7202</v>
      </c>
      <c r="C504" s="49" t="s">
        <v>7203</v>
      </c>
      <c r="D504" s="49" t="s">
        <v>1264</v>
      </c>
      <c r="E504" s="49" t="s">
        <v>2785</v>
      </c>
      <c r="F504" s="49" t="s">
        <v>2792</v>
      </c>
      <c r="G504" s="49" t="s">
        <v>2787</v>
      </c>
      <c r="H504" s="49" t="s">
        <v>980</v>
      </c>
      <c r="I504" s="50">
        <v>42822</v>
      </c>
      <c r="J504" s="50">
        <v>42860</v>
      </c>
      <c r="K504" s="50">
        <v>43043</v>
      </c>
      <c r="M504" s="49" t="s">
        <v>7204</v>
      </c>
    </row>
    <row r="505" spans="1:13" x14ac:dyDescent="0.35">
      <c r="A505" s="49" t="s">
        <v>14329</v>
      </c>
      <c r="B505" s="49" t="s">
        <v>9411</v>
      </c>
      <c r="C505" s="49"/>
      <c r="D505" s="49" t="s">
        <v>1264</v>
      </c>
      <c r="E505" s="49" t="s">
        <v>2785</v>
      </c>
      <c r="F505" s="49" t="s">
        <v>2786</v>
      </c>
      <c r="G505" s="49" t="s">
        <v>2776</v>
      </c>
      <c r="H505" s="49" t="s">
        <v>8</v>
      </c>
      <c r="I505" s="50">
        <v>43080</v>
      </c>
      <c r="M505" s="49" t="s">
        <v>9412</v>
      </c>
    </row>
    <row r="506" spans="1:13" x14ac:dyDescent="0.35">
      <c r="A506" s="49" t="s">
        <v>14329</v>
      </c>
      <c r="B506" s="49" t="s">
        <v>9413</v>
      </c>
      <c r="C506" s="49"/>
      <c r="D506" s="49" t="s">
        <v>1264</v>
      </c>
      <c r="E506" s="49" t="s">
        <v>2785</v>
      </c>
      <c r="F506" s="49" t="s">
        <v>2792</v>
      </c>
      <c r="G506" s="49" t="s">
        <v>2776</v>
      </c>
      <c r="H506" s="49" t="s">
        <v>980</v>
      </c>
      <c r="I506" s="50">
        <v>43080</v>
      </c>
      <c r="M506" s="49" t="s">
        <v>9414</v>
      </c>
    </row>
    <row r="507" spans="1:13" x14ac:dyDescent="0.35">
      <c r="A507" s="49" t="s">
        <v>14345</v>
      </c>
      <c r="B507" s="49" t="s">
        <v>7393</v>
      </c>
      <c r="C507" s="49" t="s">
        <v>3586</v>
      </c>
      <c r="D507" s="49" t="s">
        <v>1264</v>
      </c>
      <c r="E507" s="49" t="s">
        <v>2785</v>
      </c>
      <c r="F507" s="49" t="s">
        <v>2786</v>
      </c>
      <c r="G507" s="49" t="s">
        <v>2787</v>
      </c>
      <c r="H507" s="49" t="s">
        <v>980</v>
      </c>
      <c r="I507" s="50">
        <v>43588</v>
      </c>
      <c r="J507" s="50">
        <v>43594</v>
      </c>
      <c r="K507" s="50">
        <v>43777</v>
      </c>
      <c r="M507" s="49" t="s">
        <v>7395</v>
      </c>
    </row>
    <row r="508" spans="1:13" x14ac:dyDescent="0.35">
      <c r="A508" s="49" t="s">
        <v>15063</v>
      </c>
      <c r="B508" s="49" t="s">
        <v>11256</v>
      </c>
      <c r="C508" s="49" t="s">
        <v>11257</v>
      </c>
      <c r="D508" s="49" t="s">
        <v>1264</v>
      </c>
      <c r="E508" s="49" t="s">
        <v>2785</v>
      </c>
      <c r="F508" s="49" t="s">
        <v>2786</v>
      </c>
      <c r="G508" s="49" t="s">
        <v>2776</v>
      </c>
      <c r="H508" s="49" t="s">
        <v>980</v>
      </c>
      <c r="I508" s="50">
        <v>44845</v>
      </c>
      <c r="M508" s="49" t="s">
        <v>8126</v>
      </c>
    </row>
    <row r="509" spans="1:13" x14ac:dyDescent="0.35">
      <c r="A509" s="49" t="s">
        <v>15064</v>
      </c>
      <c r="B509" s="49" t="s">
        <v>5884</v>
      </c>
      <c r="C509" s="49" t="s">
        <v>5885</v>
      </c>
      <c r="D509" s="49" t="s">
        <v>1264</v>
      </c>
      <c r="E509" s="49" t="s">
        <v>2785</v>
      </c>
      <c r="F509" s="49" t="s">
        <v>2805</v>
      </c>
      <c r="G509" s="49" t="s">
        <v>4330</v>
      </c>
      <c r="H509" s="49" t="s">
        <v>3717</v>
      </c>
      <c r="I509" s="50">
        <v>45008</v>
      </c>
      <c r="M509" s="49" t="s">
        <v>5887</v>
      </c>
    </row>
    <row r="510" spans="1:13" x14ac:dyDescent="0.35">
      <c r="A510" s="49" t="s">
        <v>118</v>
      </c>
      <c r="B510" s="49" t="s">
        <v>4602</v>
      </c>
      <c r="C510" s="49"/>
      <c r="D510" s="49" t="s">
        <v>1264</v>
      </c>
      <c r="E510" s="49" t="s">
        <v>2814</v>
      </c>
      <c r="F510" s="49" t="s">
        <v>2837</v>
      </c>
      <c r="G510" s="49" t="s">
        <v>2787</v>
      </c>
      <c r="H510" s="49" t="s">
        <v>980</v>
      </c>
      <c r="I510" s="50">
        <v>44455</v>
      </c>
      <c r="J510" s="50">
        <v>44529</v>
      </c>
      <c r="K510" s="50">
        <v>44709</v>
      </c>
      <c r="M510" s="49" t="s">
        <v>4604</v>
      </c>
    </row>
    <row r="511" spans="1:13" x14ac:dyDescent="0.35">
      <c r="A511" s="49" t="s">
        <v>118</v>
      </c>
      <c r="B511" s="49" t="s">
        <v>4605</v>
      </c>
      <c r="C511" s="49"/>
      <c r="D511" s="49" t="s">
        <v>1264</v>
      </c>
      <c r="E511" s="49" t="s">
        <v>2814</v>
      </c>
      <c r="F511" s="49" t="s">
        <v>2837</v>
      </c>
      <c r="G511" s="49" t="s">
        <v>2787</v>
      </c>
      <c r="H511" s="49" t="s">
        <v>980</v>
      </c>
      <c r="I511" s="50">
        <v>44455</v>
      </c>
      <c r="J511" s="50">
        <v>44529</v>
      </c>
      <c r="K511" s="50">
        <v>44709</v>
      </c>
      <c r="M511" s="49" t="s">
        <v>4606</v>
      </c>
    </row>
    <row r="512" spans="1:13" x14ac:dyDescent="0.35">
      <c r="A512" s="49" t="s">
        <v>118</v>
      </c>
      <c r="B512" s="49" t="s">
        <v>4903</v>
      </c>
      <c r="C512" s="49" t="s">
        <v>4724</v>
      </c>
      <c r="D512" s="49" t="s">
        <v>1264</v>
      </c>
      <c r="E512" s="49" t="s">
        <v>3443</v>
      </c>
      <c r="F512" s="49" t="s">
        <v>3124</v>
      </c>
      <c r="G512" s="49" t="s">
        <v>2901</v>
      </c>
      <c r="H512" s="49" t="s">
        <v>980</v>
      </c>
      <c r="I512" s="50">
        <v>44537</v>
      </c>
      <c r="J512" s="50">
        <v>44594</v>
      </c>
      <c r="K512" s="50">
        <v>46419</v>
      </c>
    </row>
    <row r="513" spans="1:13" x14ac:dyDescent="0.35">
      <c r="A513" s="49" t="s">
        <v>14263</v>
      </c>
      <c r="B513" s="49" t="s">
        <v>5973</v>
      </c>
      <c r="C513" s="49" t="s">
        <v>5974</v>
      </c>
      <c r="D513" s="49" t="s">
        <v>1264</v>
      </c>
      <c r="E513" s="49" t="s">
        <v>2785</v>
      </c>
      <c r="F513" s="49" t="s">
        <v>2786</v>
      </c>
      <c r="G513" s="49" t="s">
        <v>4330</v>
      </c>
      <c r="H513" s="49" t="s">
        <v>980</v>
      </c>
      <c r="I513" s="50">
        <v>45226</v>
      </c>
      <c r="M513" s="49" t="s">
        <v>5976</v>
      </c>
    </row>
    <row r="514" spans="1:13" x14ac:dyDescent="0.35">
      <c r="A514" s="49" t="s">
        <v>122</v>
      </c>
      <c r="B514" s="49" t="s">
        <v>3592</v>
      </c>
      <c r="C514" s="49" t="s">
        <v>3593</v>
      </c>
      <c r="D514" s="49" t="s">
        <v>1264</v>
      </c>
      <c r="E514" s="49" t="s">
        <v>2774</v>
      </c>
      <c r="F514" s="49" t="s">
        <v>2825</v>
      </c>
      <c r="G514" s="49" t="s">
        <v>2901</v>
      </c>
      <c r="H514" s="49" t="s">
        <v>973</v>
      </c>
      <c r="I514" s="50">
        <v>42921</v>
      </c>
      <c r="J514" s="50">
        <v>43115</v>
      </c>
      <c r="K514" s="50">
        <v>45671</v>
      </c>
      <c r="M514" s="49" t="s">
        <v>3594</v>
      </c>
    </row>
    <row r="515" spans="1:13" x14ac:dyDescent="0.35">
      <c r="A515" s="49" t="s">
        <v>14873</v>
      </c>
      <c r="B515" s="49" t="s">
        <v>10229</v>
      </c>
      <c r="C515" s="49"/>
      <c r="D515" s="49" t="s">
        <v>1264</v>
      </c>
      <c r="E515" s="49" t="s">
        <v>2814</v>
      </c>
      <c r="F515" s="49" t="s">
        <v>2825</v>
      </c>
      <c r="G515" s="49" t="s">
        <v>2776</v>
      </c>
      <c r="H515" s="49" t="s">
        <v>2827</v>
      </c>
      <c r="I515" s="50">
        <v>42230</v>
      </c>
      <c r="M515" s="49" t="s">
        <v>3470</v>
      </c>
    </row>
    <row r="516" spans="1:13" x14ac:dyDescent="0.35">
      <c r="A516" s="49" t="s">
        <v>15308</v>
      </c>
      <c r="B516" s="49" t="s">
        <v>3851</v>
      </c>
      <c r="C516" s="49" t="s">
        <v>3582</v>
      </c>
      <c r="D516" s="49" t="s">
        <v>1264</v>
      </c>
      <c r="E516" s="49" t="s">
        <v>3443</v>
      </c>
      <c r="F516" s="49" t="s">
        <v>3124</v>
      </c>
      <c r="G516" s="49" t="s">
        <v>2787</v>
      </c>
      <c r="H516" s="49" t="s">
        <v>980</v>
      </c>
      <c r="I516" s="50">
        <v>43398</v>
      </c>
      <c r="J516" s="50">
        <v>43488</v>
      </c>
      <c r="K516" s="50">
        <v>45313</v>
      </c>
      <c r="M516" s="49" t="s">
        <v>3853</v>
      </c>
    </row>
    <row r="517" spans="1:13" x14ac:dyDescent="0.35">
      <c r="A517" s="49" t="s">
        <v>15065</v>
      </c>
      <c r="B517" s="49" t="s">
        <v>8932</v>
      </c>
      <c r="C517" s="49"/>
      <c r="D517" s="49" t="s">
        <v>1264</v>
      </c>
      <c r="E517" s="49" t="s">
        <v>2814</v>
      </c>
      <c r="F517" s="49" t="s">
        <v>8934</v>
      </c>
      <c r="G517" s="49" t="s">
        <v>2776</v>
      </c>
      <c r="H517" s="49" t="s">
        <v>2827</v>
      </c>
      <c r="I517" s="50">
        <v>42033</v>
      </c>
      <c r="J517" s="50">
        <v>42115</v>
      </c>
      <c r="K517" s="50">
        <v>42297</v>
      </c>
      <c r="M517" s="49" t="s">
        <v>8935</v>
      </c>
    </row>
    <row r="518" spans="1:13" x14ac:dyDescent="0.35">
      <c r="A518" s="49" t="s">
        <v>15065</v>
      </c>
      <c r="B518" s="49" t="s">
        <v>9691</v>
      </c>
      <c r="C518" s="49"/>
      <c r="D518" s="49" t="s">
        <v>1264</v>
      </c>
      <c r="E518" s="49" t="s">
        <v>2908</v>
      </c>
      <c r="F518" s="49" t="s">
        <v>3898</v>
      </c>
      <c r="G518" s="49" t="s">
        <v>2776</v>
      </c>
      <c r="H518" s="49" t="s">
        <v>2827</v>
      </c>
      <c r="I518" s="50">
        <v>42222</v>
      </c>
      <c r="M518" s="49" t="s">
        <v>9692</v>
      </c>
    </row>
    <row r="519" spans="1:13" x14ac:dyDescent="0.35">
      <c r="A519" s="49" t="s">
        <v>14874</v>
      </c>
      <c r="B519" s="49" t="s">
        <v>7620</v>
      </c>
      <c r="C519" s="49" t="s">
        <v>7621</v>
      </c>
      <c r="D519" s="49" t="s">
        <v>1264</v>
      </c>
      <c r="E519" s="49" t="s">
        <v>2986</v>
      </c>
      <c r="F519" s="49" t="s">
        <v>2825</v>
      </c>
      <c r="G519" s="49" t="s">
        <v>2787</v>
      </c>
      <c r="H519" s="49" t="s">
        <v>2827</v>
      </c>
      <c r="I519" s="50">
        <v>40390</v>
      </c>
      <c r="J519" s="50">
        <v>40575</v>
      </c>
      <c r="K519" s="50">
        <v>45055</v>
      </c>
      <c r="L519" s="50">
        <v>43336</v>
      </c>
      <c r="M519" s="49" t="s">
        <v>3100</v>
      </c>
    </row>
    <row r="520" spans="1:13" x14ac:dyDescent="0.35">
      <c r="A520" s="49" t="s">
        <v>14618</v>
      </c>
      <c r="B520" s="49" t="s">
        <v>11811</v>
      </c>
      <c r="C520" s="49" t="s">
        <v>10206</v>
      </c>
      <c r="D520" s="49" t="s">
        <v>1264</v>
      </c>
      <c r="E520" s="49" t="s">
        <v>2908</v>
      </c>
      <c r="F520" s="49" t="s">
        <v>2837</v>
      </c>
      <c r="G520" s="49" t="s">
        <v>4891</v>
      </c>
      <c r="H520" s="49" t="s">
        <v>2827</v>
      </c>
      <c r="I520" s="50">
        <v>45282</v>
      </c>
      <c r="M520" s="49" t="s">
        <v>11813</v>
      </c>
    </row>
    <row r="521" spans="1:13" x14ac:dyDescent="0.35">
      <c r="A521" s="49" t="s">
        <v>14875</v>
      </c>
      <c r="B521" s="49" t="s">
        <v>11015</v>
      </c>
      <c r="C521" s="49"/>
      <c r="D521" s="49" t="s">
        <v>1264</v>
      </c>
      <c r="E521" s="49" t="s">
        <v>2814</v>
      </c>
      <c r="F521" s="49" t="s">
        <v>2825</v>
      </c>
      <c r="G521" s="49" t="s">
        <v>2776</v>
      </c>
      <c r="H521" s="49" t="s">
        <v>2827</v>
      </c>
      <c r="I521" s="50">
        <v>44657</v>
      </c>
      <c r="M521" s="49" t="s">
        <v>11017</v>
      </c>
    </row>
    <row r="522" spans="1:13" x14ac:dyDescent="0.35">
      <c r="A522" s="49" t="s">
        <v>14875</v>
      </c>
      <c r="B522" s="49" t="s">
        <v>13686</v>
      </c>
      <c r="C522" s="49" t="s">
        <v>13687</v>
      </c>
      <c r="D522" s="49" t="s">
        <v>1264</v>
      </c>
      <c r="E522" s="49" t="s">
        <v>2986</v>
      </c>
      <c r="F522" s="49" t="s">
        <v>2825</v>
      </c>
      <c r="G522" s="49" t="s">
        <v>2776</v>
      </c>
      <c r="H522" s="49" t="s">
        <v>2827</v>
      </c>
      <c r="I522" s="50">
        <v>42748</v>
      </c>
      <c r="M522" s="49" t="s">
        <v>3270</v>
      </c>
    </row>
    <row r="523" spans="1:13" x14ac:dyDescent="0.35">
      <c r="A523" s="49" t="s">
        <v>14876</v>
      </c>
      <c r="B523" s="49" t="s">
        <v>3082</v>
      </c>
      <c r="C523" s="49" t="s">
        <v>3083</v>
      </c>
      <c r="D523" s="49" t="s">
        <v>1264</v>
      </c>
      <c r="E523" s="49" t="s">
        <v>2986</v>
      </c>
      <c r="F523" s="49" t="s">
        <v>2825</v>
      </c>
      <c r="G523" s="49" t="s">
        <v>2787</v>
      </c>
      <c r="H523" s="49" t="s">
        <v>2827</v>
      </c>
      <c r="I523" s="50">
        <v>40009</v>
      </c>
      <c r="J523" s="50">
        <v>40920</v>
      </c>
      <c r="K523" s="50">
        <v>45353</v>
      </c>
      <c r="M523" s="49" t="s">
        <v>3085</v>
      </c>
    </row>
    <row r="524" spans="1:13" x14ac:dyDescent="0.35">
      <c r="A524" s="49" t="s">
        <v>879</v>
      </c>
      <c r="B524" s="49" t="s">
        <v>3078</v>
      </c>
      <c r="C524" s="49" t="s">
        <v>3079</v>
      </c>
      <c r="D524" s="49" t="s">
        <v>1264</v>
      </c>
      <c r="E524" s="49" t="s">
        <v>2986</v>
      </c>
      <c r="F524" s="49" t="s">
        <v>2825</v>
      </c>
      <c r="G524" s="49" t="s">
        <v>2787</v>
      </c>
      <c r="H524" s="49" t="s">
        <v>2827</v>
      </c>
      <c r="I524" s="50">
        <v>40009</v>
      </c>
      <c r="J524" s="50">
        <v>40190</v>
      </c>
      <c r="K524" s="50">
        <v>44411</v>
      </c>
      <c r="M524" s="49" t="s">
        <v>3081</v>
      </c>
    </row>
    <row r="525" spans="1:13" x14ac:dyDescent="0.35">
      <c r="A525" s="49" t="s">
        <v>14877</v>
      </c>
      <c r="B525" s="49" t="s">
        <v>5309</v>
      </c>
      <c r="C525" s="49" t="s">
        <v>5310</v>
      </c>
      <c r="D525" s="49" t="s">
        <v>1264</v>
      </c>
      <c r="E525" s="49" t="s">
        <v>2986</v>
      </c>
      <c r="F525" s="49" t="s">
        <v>2825</v>
      </c>
      <c r="G525" s="49" t="s">
        <v>4330</v>
      </c>
      <c r="H525" s="49" t="s">
        <v>2827</v>
      </c>
      <c r="I525" s="50">
        <v>44728</v>
      </c>
      <c r="M525" s="49" t="s">
        <v>5312</v>
      </c>
    </row>
    <row r="526" spans="1:13" x14ac:dyDescent="0.35">
      <c r="A526" s="49" t="s">
        <v>14878</v>
      </c>
      <c r="B526" s="49" t="s">
        <v>13647</v>
      </c>
      <c r="C526" s="49"/>
      <c r="D526" s="49" t="s">
        <v>1264</v>
      </c>
      <c r="E526" s="49" t="s">
        <v>2986</v>
      </c>
      <c r="F526" s="49" t="s">
        <v>2825</v>
      </c>
      <c r="G526" s="49" t="s">
        <v>2776</v>
      </c>
      <c r="H526" s="49" t="s">
        <v>2827</v>
      </c>
      <c r="I526" s="50">
        <v>42717</v>
      </c>
      <c r="M526" s="49" t="s">
        <v>3270</v>
      </c>
    </row>
    <row r="527" spans="1:13" x14ac:dyDescent="0.35">
      <c r="A527" s="49" t="s">
        <v>974</v>
      </c>
      <c r="B527" s="49" t="s">
        <v>11703</v>
      </c>
      <c r="C527" s="49"/>
      <c r="D527" s="49" t="s">
        <v>1264</v>
      </c>
      <c r="E527" s="49" t="s">
        <v>2986</v>
      </c>
      <c r="F527" s="49" t="s">
        <v>2825</v>
      </c>
      <c r="G527" s="49" t="s">
        <v>4891</v>
      </c>
      <c r="H527" s="49" t="s">
        <v>973</v>
      </c>
      <c r="I527" s="50">
        <v>45237</v>
      </c>
      <c r="M527" s="49" t="s">
        <v>11705</v>
      </c>
    </row>
    <row r="528" spans="1:13" x14ac:dyDescent="0.35">
      <c r="A528" s="49" t="s">
        <v>15309</v>
      </c>
      <c r="B528" s="49" t="s">
        <v>10326</v>
      </c>
      <c r="C528" s="49"/>
      <c r="D528" s="49" t="s">
        <v>1264</v>
      </c>
      <c r="E528" s="49" t="s">
        <v>2814</v>
      </c>
      <c r="F528" s="49" t="s">
        <v>2837</v>
      </c>
      <c r="G528" s="49" t="s">
        <v>2776</v>
      </c>
      <c r="H528" s="49" t="s">
        <v>2827</v>
      </c>
      <c r="I528" s="50">
        <v>43525</v>
      </c>
      <c r="M528" s="49" t="s">
        <v>3470</v>
      </c>
    </row>
    <row r="529" spans="1:13" x14ac:dyDescent="0.35">
      <c r="A529" s="49" t="s">
        <v>15143</v>
      </c>
      <c r="B529" s="49" t="s">
        <v>13383</v>
      </c>
      <c r="C529" s="49"/>
      <c r="D529" s="49" t="s">
        <v>1264</v>
      </c>
      <c r="E529" s="49" t="s">
        <v>2785</v>
      </c>
      <c r="F529" s="49" t="s">
        <v>2786</v>
      </c>
      <c r="G529" s="49" t="s">
        <v>4891</v>
      </c>
      <c r="H529" s="49" t="s">
        <v>980</v>
      </c>
      <c r="I529" s="52">
        <v>46115.431851851798</v>
      </c>
      <c r="M529" s="49" t="s">
        <v>13385</v>
      </c>
    </row>
    <row r="530" spans="1:13" x14ac:dyDescent="0.35">
      <c r="A530" s="49" t="s">
        <v>15634</v>
      </c>
      <c r="B530" s="49" t="s">
        <v>4456</v>
      </c>
      <c r="C530" s="49"/>
      <c r="D530" s="49" t="s">
        <v>1264</v>
      </c>
      <c r="E530" s="49" t="s">
        <v>2774</v>
      </c>
      <c r="F530" s="49" t="s">
        <v>4458</v>
      </c>
      <c r="G530" s="49" t="s">
        <v>2901</v>
      </c>
      <c r="H530" s="49" t="s">
        <v>835</v>
      </c>
      <c r="I530" s="50">
        <v>43833</v>
      </c>
      <c r="J530" s="50">
        <v>44476</v>
      </c>
      <c r="K530" s="50">
        <v>45936</v>
      </c>
      <c r="M530" s="49" t="s">
        <v>4459</v>
      </c>
    </row>
    <row r="531" spans="1:13" x14ac:dyDescent="0.35">
      <c r="A531" s="49" t="s">
        <v>14831</v>
      </c>
      <c r="B531" s="49" t="s">
        <v>3511</v>
      </c>
      <c r="C531" s="49"/>
      <c r="D531" s="49" t="s">
        <v>1264</v>
      </c>
      <c r="E531" s="49" t="s">
        <v>3443</v>
      </c>
      <c r="F531" s="49" t="s">
        <v>3124</v>
      </c>
      <c r="G531" s="49" t="s">
        <v>2787</v>
      </c>
      <c r="H531" s="49" t="s">
        <v>980</v>
      </c>
      <c r="I531" s="50">
        <v>42548</v>
      </c>
      <c r="J531" s="50">
        <v>43283</v>
      </c>
      <c r="K531" s="50">
        <v>45108</v>
      </c>
      <c r="M531" s="49" t="s">
        <v>3270</v>
      </c>
    </row>
    <row r="532" spans="1:13" x14ac:dyDescent="0.35">
      <c r="A532" s="49" t="s">
        <v>15310</v>
      </c>
      <c r="B532" s="49" t="s">
        <v>4038</v>
      </c>
      <c r="C532" s="49" t="s">
        <v>4039</v>
      </c>
      <c r="D532" s="49" t="s">
        <v>1264</v>
      </c>
      <c r="E532" s="49" t="s">
        <v>2774</v>
      </c>
      <c r="F532" s="49" t="s">
        <v>2825</v>
      </c>
      <c r="G532" s="49" t="s">
        <v>2901</v>
      </c>
      <c r="H532" s="49" t="s">
        <v>973</v>
      </c>
      <c r="I532" s="50">
        <v>43969</v>
      </c>
      <c r="J532" s="50">
        <v>44292</v>
      </c>
      <c r="K532" s="50">
        <v>45752</v>
      </c>
      <c r="M532" s="49" t="s">
        <v>4041</v>
      </c>
    </row>
    <row r="533" spans="1:13" x14ac:dyDescent="0.35">
      <c r="A533" s="49" t="s">
        <v>15310</v>
      </c>
      <c r="B533" s="49" t="s">
        <v>5516</v>
      </c>
      <c r="C533" s="49" t="s">
        <v>3636</v>
      </c>
      <c r="D533" s="49" t="s">
        <v>1264</v>
      </c>
      <c r="E533" s="49" t="s">
        <v>2974</v>
      </c>
      <c r="F533" s="49" t="s">
        <v>2825</v>
      </c>
      <c r="G533" s="49" t="s">
        <v>2901</v>
      </c>
      <c r="H533" s="49" t="s">
        <v>973</v>
      </c>
      <c r="I533" s="50">
        <v>44795</v>
      </c>
      <c r="J533" s="50">
        <v>45028</v>
      </c>
      <c r="K533" s="50">
        <v>46854</v>
      </c>
      <c r="M533" s="49" t="s">
        <v>3910</v>
      </c>
    </row>
    <row r="534" spans="1:13" x14ac:dyDescent="0.35">
      <c r="A534" s="49" t="s">
        <v>907</v>
      </c>
      <c r="B534" s="49" t="s">
        <v>5413</v>
      </c>
      <c r="C534" s="49" t="s">
        <v>5414</v>
      </c>
      <c r="D534" s="49" t="s">
        <v>1264</v>
      </c>
      <c r="E534" s="49" t="s">
        <v>2986</v>
      </c>
      <c r="F534" s="49" t="s">
        <v>2825</v>
      </c>
      <c r="G534" s="49" t="s">
        <v>2901</v>
      </c>
      <c r="H534" s="49" t="s">
        <v>2827</v>
      </c>
      <c r="I534" s="50">
        <v>44019</v>
      </c>
      <c r="J534" s="50">
        <v>45103</v>
      </c>
      <c r="K534" s="50">
        <v>46198</v>
      </c>
      <c r="M534" s="49" t="s">
        <v>5416</v>
      </c>
    </row>
    <row r="535" spans="1:13" x14ac:dyDescent="0.35">
      <c r="A535" s="49" t="s">
        <v>907</v>
      </c>
      <c r="B535" s="49" t="s">
        <v>10189</v>
      </c>
      <c r="C535" s="49"/>
      <c r="D535" s="49" t="s">
        <v>1264</v>
      </c>
      <c r="E535" s="49" t="s">
        <v>2814</v>
      </c>
      <c r="F535" s="49" t="s">
        <v>2825</v>
      </c>
      <c r="G535" s="49" t="s">
        <v>2776</v>
      </c>
      <c r="H535" s="49" t="s">
        <v>2827</v>
      </c>
      <c r="I535" s="50">
        <v>43416</v>
      </c>
      <c r="M535" s="49" t="s">
        <v>3876</v>
      </c>
    </row>
    <row r="536" spans="1:13" x14ac:dyDescent="0.35">
      <c r="A536" s="49" t="s">
        <v>907</v>
      </c>
      <c r="B536" s="49" t="s">
        <v>10252</v>
      </c>
      <c r="C536" s="49"/>
      <c r="D536" s="49" t="s">
        <v>1264</v>
      </c>
      <c r="E536" s="49" t="s">
        <v>2814</v>
      </c>
      <c r="F536" s="49" t="s">
        <v>2825</v>
      </c>
      <c r="G536" s="49" t="s">
        <v>2776</v>
      </c>
      <c r="H536" s="49" t="s">
        <v>2827</v>
      </c>
      <c r="I536" s="50">
        <v>43556</v>
      </c>
      <c r="M536" s="49" t="s">
        <v>10253</v>
      </c>
    </row>
    <row r="537" spans="1:13" x14ac:dyDescent="0.35">
      <c r="A537" s="49" t="s">
        <v>907</v>
      </c>
      <c r="B537" s="49" t="s">
        <v>10293</v>
      </c>
      <c r="C537" s="49" t="s">
        <v>10294</v>
      </c>
      <c r="D537" s="49" t="s">
        <v>1264</v>
      </c>
      <c r="E537" s="49" t="s">
        <v>2814</v>
      </c>
      <c r="F537" s="49" t="s">
        <v>2825</v>
      </c>
      <c r="G537" s="49" t="s">
        <v>2776</v>
      </c>
      <c r="H537" s="49" t="s">
        <v>2827</v>
      </c>
      <c r="I537" s="50">
        <v>43556</v>
      </c>
      <c r="M537" s="49" t="s">
        <v>10253</v>
      </c>
    </row>
    <row r="538" spans="1:13" x14ac:dyDescent="0.35">
      <c r="A538" s="49" t="s">
        <v>14879</v>
      </c>
      <c r="B538" s="49" t="s">
        <v>8959</v>
      </c>
      <c r="C538" s="49"/>
      <c r="D538" s="49" t="s">
        <v>1264</v>
      </c>
      <c r="E538" s="49" t="s">
        <v>2814</v>
      </c>
      <c r="F538" s="49" t="s">
        <v>2825</v>
      </c>
      <c r="G538" s="49" t="s">
        <v>2787</v>
      </c>
      <c r="H538" s="49" t="s">
        <v>2827</v>
      </c>
      <c r="I538" s="50">
        <v>43442</v>
      </c>
      <c r="J538" s="50">
        <v>43587</v>
      </c>
      <c r="K538" s="50">
        <v>43952</v>
      </c>
      <c r="M538" s="49" t="s">
        <v>8961</v>
      </c>
    </row>
    <row r="539" spans="1:13" x14ac:dyDescent="0.35">
      <c r="A539" s="49" t="s">
        <v>14879</v>
      </c>
      <c r="B539" s="49" t="s">
        <v>10086</v>
      </c>
      <c r="C539" s="49"/>
      <c r="D539" s="49" t="s">
        <v>1264</v>
      </c>
      <c r="E539" s="49" t="s">
        <v>2986</v>
      </c>
      <c r="F539" s="49" t="s">
        <v>2825</v>
      </c>
      <c r="G539" s="49" t="s">
        <v>2921</v>
      </c>
      <c r="H539" s="49" t="s">
        <v>2827</v>
      </c>
      <c r="I539" s="50">
        <v>44193</v>
      </c>
      <c r="J539" s="50">
        <v>44404</v>
      </c>
      <c r="K539" s="50">
        <v>45499</v>
      </c>
      <c r="M539" s="49" t="s">
        <v>10087</v>
      </c>
    </row>
    <row r="540" spans="1:13" x14ac:dyDescent="0.35">
      <c r="A540" s="49" t="s">
        <v>14283</v>
      </c>
      <c r="B540" s="49" t="s">
        <v>6324</v>
      </c>
      <c r="C540" s="49"/>
      <c r="D540" s="49" t="s">
        <v>1264</v>
      </c>
      <c r="E540" s="49" t="s">
        <v>2986</v>
      </c>
      <c r="F540" s="49" t="s">
        <v>2825</v>
      </c>
      <c r="G540" s="49" t="s">
        <v>2901</v>
      </c>
      <c r="H540" s="49" t="s">
        <v>2827</v>
      </c>
      <c r="I540" s="50">
        <v>45316</v>
      </c>
      <c r="J540" s="50">
        <v>45324</v>
      </c>
      <c r="K540" s="50">
        <v>46419</v>
      </c>
      <c r="M540" s="49" t="s">
        <v>6326</v>
      </c>
    </row>
    <row r="541" spans="1:13" x14ac:dyDescent="0.35">
      <c r="A541" s="49" t="s">
        <v>15311</v>
      </c>
      <c r="B541" s="49" t="s">
        <v>8472</v>
      </c>
      <c r="C541" s="49" t="s">
        <v>8473</v>
      </c>
      <c r="D541" s="49" t="s">
        <v>1264</v>
      </c>
      <c r="E541" s="49" t="s">
        <v>2774</v>
      </c>
      <c r="F541" s="49" t="s">
        <v>8475</v>
      </c>
      <c r="G541" s="49" t="s">
        <v>2975</v>
      </c>
      <c r="H541" s="49" t="s">
        <v>2827</v>
      </c>
      <c r="I541" s="50">
        <v>40486</v>
      </c>
      <c r="J541" s="50">
        <v>41638</v>
      </c>
      <c r="K541" s="50">
        <v>42276</v>
      </c>
      <c r="M541" s="49" t="s">
        <v>8476</v>
      </c>
    </row>
    <row r="542" spans="1:13" x14ac:dyDescent="0.35">
      <c r="A542" s="49" t="s">
        <v>14880</v>
      </c>
      <c r="B542" s="49" t="s">
        <v>10403</v>
      </c>
      <c r="C542" s="49"/>
      <c r="D542" s="49" t="s">
        <v>1264</v>
      </c>
      <c r="E542" s="49" t="s">
        <v>2814</v>
      </c>
      <c r="F542" s="49" t="s">
        <v>2825</v>
      </c>
      <c r="G542" s="49" t="s">
        <v>2776</v>
      </c>
      <c r="H542" s="49" t="s">
        <v>2827</v>
      </c>
      <c r="I542" s="50">
        <v>42052</v>
      </c>
      <c r="M542" s="49" t="s">
        <v>3470</v>
      </c>
    </row>
    <row r="543" spans="1:13" x14ac:dyDescent="0.35">
      <c r="A543" s="49" t="s">
        <v>14880</v>
      </c>
      <c r="B543" s="49" t="s">
        <v>10542</v>
      </c>
      <c r="C543" s="49"/>
      <c r="D543" s="49" t="s">
        <v>1264</v>
      </c>
      <c r="E543" s="49" t="s">
        <v>2814</v>
      </c>
      <c r="F543" s="49" t="s">
        <v>2825</v>
      </c>
      <c r="G543" s="49" t="s">
        <v>2776</v>
      </c>
      <c r="H543" s="49" t="s">
        <v>2827</v>
      </c>
      <c r="I543" s="50">
        <v>42052</v>
      </c>
      <c r="M543" s="49" t="s">
        <v>10543</v>
      </c>
    </row>
    <row r="544" spans="1:13" x14ac:dyDescent="0.35">
      <c r="A544" s="49" t="s">
        <v>911</v>
      </c>
      <c r="B544" s="49" t="s">
        <v>5721</v>
      </c>
      <c r="C544" s="49"/>
      <c r="D544" s="49" t="s">
        <v>1264</v>
      </c>
      <c r="E544" s="49" t="s">
        <v>2986</v>
      </c>
      <c r="F544" s="49" t="s">
        <v>2825</v>
      </c>
      <c r="G544" s="49" t="s">
        <v>2901</v>
      </c>
      <c r="H544" s="49" t="s">
        <v>2827</v>
      </c>
      <c r="I544" s="50">
        <v>45126</v>
      </c>
      <c r="J544" s="50">
        <v>45329</v>
      </c>
      <c r="K544" s="50">
        <v>46424</v>
      </c>
      <c r="M544" s="49" t="s">
        <v>5723</v>
      </c>
    </row>
    <row r="545" spans="1:13" x14ac:dyDescent="0.35">
      <c r="A545" s="49" t="s">
        <v>15312</v>
      </c>
      <c r="B545" s="49" t="s">
        <v>5821</v>
      </c>
      <c r="C545" s="49"/>
      <c r="D545" s="49" t="s">
        <v>1264</v>
      </c>
      <c r="E545" s="49" t="s">
        <v>2785</v>
      </c>
      <c r="F545" s="49" t="s">
        <v>2805</v>
      </c>
      <c r="G545" s="49" t="s">
        <v>4330</v>
      </c>
      <c r="H545" s="49" t="s">
        <v>2832</v>
      </c>
      <c r="I545" s="50">
        <v>44917</v>
      </c>
      <c r="M545" s="49" t="s">
        <v>5823</v>
      </c>
    </row>
    <row r="546" spans="1:13" x14ac:dyDescent="0.35">
      <c r="A546" s="49" t="s">
        <v>15312</v>
      </c>
      <c r="B546" s="49" t="s">
        <v>6079</v>
      </c>
      <c r="C546" s="49" t="s">
        <v>6080</v>
      </c>
      <c r="D546" s="49" t="s">
        <v>1264</v>
      </c>
      <c r="E546" s="49" t="s">
        <v>2785</v>
      </c>
      <c r="F546" s="49" t="s">
        <v>2805</v>
      </c>
      <c r="G546" s="49" t="s">
        <v>4891</v>
      </c>
      <c r="H546" s="49" t="s">
        <v>3717</v>
      </c>
      <c r="I546" s="50">
        <v>45280</v>
      </c>
      <c r="M546" s="49" t="s">
        <v>6081</v>
      </c>
    </row>
    <row r="547" spans="1:13" x14ac:dyDescent="0.35">
      <c r="A547" s="49" t="s">
        <v>15312</v>
      </c>
      <c r="B547" s="49" t="s">
        <v>6117</v>
      </c>
      <c r="C547" s="49" t="s">
        <v>6118</v>
      </c>
      <c r="D547" s="49" t="s">
        <v>1264</v>
      </c>
      <c r="E547" s="49" t="s">
        <v>2785</v>
      </c>
      <c r="F547" s="49" t="s">
        <v>2805</v>
      </c>
      <c r="G547" s="49" t="s">
        <v>4330</v>
      </c>
      <c r="H547" s="49" t="s">
        <v>2832</v>
      </c>
      <c r="I547" s="50">
        <v>45295</v>
      </c>
      <c r="M547" s="49" t="s">
        <v>6119</v>
      </c>
    </row>
    <row r="548" spans="1:13" x14ac:dyDescent="0.35">
      <c r="A548" s="49" t="s">
        <v>15312</v>
      </c>
      <c r="B548" s="49" t="s">
        <v>11891</v>
      </c>
      <c r="C548" s="49"/>
      <c r="D548" s="49" t="s">
        <v>1264</v>
      </c>
      <c r="E548" s="49" t="s">
        <v>2908</v>
      </c>
      <c r="F548" s="49" t="s">
        <v>2837</v>
      </c>
      <c r="G548" s="49" t="s">
        <v>4891</v>
      </c>
      <c r="H548" s="49" t="s">
        <v>2827</v>
      </c>
      <c r="I548" s="50">
        <v>45295</v>
      </c>
      <c r="M548" s="49" t="s">
        <v>11892</v>
      </c>
    </row>
    <row r="549" spans="1:13" x14ac:dyDescent="0.35">
      <c r="A549" s="49" t="s">
        <v>15312</v>
      </c>
      <c r="B549" s="49" t="s">
        <v>11971</v>
      </c>
      <c r="C549" s="49" t="s">
        <v>11874</v>
      </c>
      <c r="D549" s="49" t="s">
        <v>1264</v>
      </c>
      <c r="E549" s="49" t="s">
        <v>2785</v>
      </c>
      <c r="F549" s="49" t="s">
        <v>2805</v>
      </c>
      <c r="G549" s="49" t="s">
        <v>4891</v>
      </c>
      <c r="H549" s="49" t="s">
        <v>973</v>
      </c>
      <c r="I549" s="50">
        <v>45279</v>
      </c>
      <c r="M549" s="49" t="s">
        <v>11972</v>
      </c>
    </row>
    <row r="550" spans="1:13" x14ac:dyDescent="0.35">
      <c r="A550" s="49" t="s">
        <v>15312</v>
      </c>
      <c r="B550" s="49" t="s">
        <v>12580</v>
      </c>
      <c r="C550" s="49"/>
      <c r="D550" s="49" t="s">
        <v>1264</v>
      </c>
      <c r="E550" s="49" t="s">
        <v>2908</v>
      </c>
      <c r="F550" s="49" t="s">
        <v>4048</v>
      </c>
      <c r="G550" s="49" t="s">
        <v>4891</v>
      </c>
      <c r="H550" s="49" t="s">
        <v>973</v>
      </c>
      <c r="I550" s="50">
        <v>45426</v>
      </c>
      <c r="M550" s="49" t="s">
        <v>12581</v>
      </c>
    </row>
    <row r="551" spans="1:13" x14ac:dyDescent="0.35">
      <c r="A551" s="49" t="s">
        <v>15312</v>
      </c>
      <c r="B551" s="49" t="s">
        <v>12582</v>
      </c>
      <c r="C551" s="49"/>
      <c r="D551" s="49" t="s">
        <v>1264</v>
      </c>
      <c r="E551" s="49" t="s">
        <v>2908</v>
      </c>
      <c r="F551" s="49" t="s">
        <v>2837</v>
      </c>
      <c r="G551" s="49" t="s">
        <v>4891</v>
      </c>
      <c r="H551" s="49" t="s">
        <v>973</v>
      </c>
      <c r="I551" s="50">
        <v>45419</v>
      </c>
      <c r="M551" s="49" t="s">
        <v>12583</v>
      </c>
    </row>
    <row r="552" spans="1:13" x14ac:dyDescent="0.35">
      <c r="A552" s="49" t="s">
        <v>15312</v>
      </c>
      <c r="B552" s="49" t="s">
        <v>12906</v>
      </c>
      <c r="C552" s="49" t="s">
        <v>5800</v>
      </c>
      <c r="D552" s="49" t="s">
        <v>1264</v>
      </c>
      <c r="E552" s="49" t="s">
        <v>2785</v>
      </c>
      <c r="F552" s="49" t="s">
        <v>2805</v>
      </c>
      <c r="G552" s="49" t="s">
        <v>4891</v>
      </c>
      <c r="H552" s="49" t="s">
        <v>980</v>
      </c>
      <c r="I552" s="52">
        <v>45876.416666666701</v>
      </c>
      <c r="M552" s="49" t="s">
        <v>12907</v>
      </c>
    </row>
    <row r="553" spans="1:13" x14ac:dyDescent="0.35">
      <c r="A553" s="49" t="s">
        <v>15312</v>
      </c>
      <c r="B553" s="49" t="s">
        <v>12913</v>
      </c>
      <c r="C553" s="49" t="s">
        <v>12914</v>
      </c>
      <c r="D553" s="49" t="s">
        <v>1264</v>
      </c>
      <c r="E553" s="49" t="s">
        <v>2908</v>
      </c>
      <c r="F553" s="49" t="s">
        <v>2805</v>
      </c>
      <c r="G553" s="49" t="s">
        <v>4891</v>
      </c>
      <c r="H553" s="49" t="s">
        <v>980</v>
      </c>
      <c r="I553" s="52">
        <v>45876.529201388897</v>
      </c>
      <c r="M553" s="49" t="s">
        <v>12915</v>
      </c>
    </row>
    <row r="554" spans="1:13" x14ac:dyDescent="0.35">
      <c r="A554" s="49" t="s">
        <v>14758</v>
      </c>
      <c r="B554" s="49" t="s">
        <v>9596</v>
      </c>
      <c r="C554" s="49"/>
      <c r="D554" s="49" t="s">
        <v>1264</v>
      </c>
      <c r="E554" s="49" t="s">
        <v>2785</v>
      </c>
      <c r="F554" s="49" t="s">
        <v>2792</v>
      </c>
      <c r="G554" s="49" t="s">
        <v>2776</v>
      </c>
      <c r="H554" s="49" t="s">
        <v>2827</v>
      </c>
      <c r="I554" s="50">
        <v>43767</v>
      </c>
      <c r="M554" s="49" t="s">
        <v>3859</v>
      </c>
    </row>
    <row r="555" spans="1:13" x14ac:dyDescent="0.35">
      <c r="A555" s="49" t="s">
        <v>15144</v>
      </c>
      <c r="B555" s="49" t="s">
        <v>9750</v>
      </c>
      <c r="C555" s="49"/>
      <c r="D555" s="49" t="s">
        <v>1264</v>
      </c>
      <c r="E555" s="49" t="s">
        <v>2785</v>
      </c>
      <c r="F555" s="49" t="s">
        <v>2786</v>
      </c>
      <c r="G555" s="49" t="s">
        <v>2776</v>
      </c>
      <c r="H555" s="49" t="s">
        <v>980</v>
      </c>
      <c r="I555" s="50">
        <v>43810</v>
      </c>
      <c r="M555" s="49" t="s">
        <v>9752</v>
      </c>
    </row>
    <row r="556" spans="1:13" x14ac:dyDescent="0.35">
      <c r="A556" s="49" t="s">
        <v>2120</v>
      </c>
      <c r="B556" s="49" t="s">
        <v>5461</v>
      </c>
      <c r="C556" s="49" t="s">
        <v>5462</v>
      </c>
      <c r="D556" s="49" t="s">
        <v>1264</v>
      </c>
      <c r="E556" s="49" t="s">
        <v>2774</v>
      </c>
      <c r="F556" s="49" t="s">
        <v>2825</v>
      </c>
      <c r="G556" s="49" t="s">
        <v>2901</v>
      </c>
      <c r="H556" s="49" t="s">
        <v>2827</v>
      </c>
      <c r="I556" s="50">
        <v>44648</v>
      </c>
      <c r="J556" s="50">
        <v>44977</v>
      </c>
      <c r="K556" s="50">
        <v>46437</v>
      </c>
      <c r="M556" s="49" t="s">
        <v>5464</v>
      </c>
    </row>
    <row r="557" spans="1:13" x14ac:dyDescent="0.35">
      <c r="A557" s="49" t="s">
        <v>2120</v>
      </c>
      <c r="B557" s="49" t="s">
        <v>10911</v>
      </c>
      <c r="C557" s="49"/>
      <c r="D557" s="49" t="s">
        <v>1264</v>
      </c>
      <c r="E557" s="49" t="s">
        <v>2774</v>
      </c>
      <c r="F557" s="49" t="s">
        <v>2825</v>
      </c>
      <c r="G557" s="49" t="s">
        <v>2826</v>
      </c>
      <c r="H557" s="49" t="s">
        <v>2827</v>
      </c>
      <c r="I557" s="50">
        <v>44525</v>
      </c>
      <c r="M557" s="49" t="s">
        <v>10912</v>
      </c>
    </row>
    <row r="558" spans="1:13" x14ac:dyDescent="0.35">
      <c r="A558" s="49" t="s">
        <v>2120</v>
      </c>
      <c r="B558" s="49" t="s">
        <v>11557</v>
      </c>
      <c r="C558" s="49" t="s">
        <v>11558</v>
      </c>
      <c r="D558" s="49" t="s">
        <v>1264</v>
      </c>
      <c r="E558" s="49" t="s">
        <v>2974</v>
      </c>
      <c r="F558" s="49" t="s">
        <v>2825</v>
      </c>
      <c r="G558" s="49" t="s">
        <v>2826</v>
      </c>
      <c r="H558" s="49" t="s">
        <v>8</v>
      </c>
      <c r="I558" s="50">
        <v>45183</v>
      </c>
      <c r="M558" s="49" t="s">
        <v>11559</v>
      </c>
    </row>
    <row r="559" spans="1:13" x14ac:dyDescent="0.35">
      <c r="A559" s="49" t="s">
        <v>2120</v>
      </c>
      <c r="B559" s="49" t="s">
        <v>12175</v>
      </c>
      <c r="C559" s="49" t="s">
        <v>12176</v>
      </c>
      <c r="D559" s="49" t="s">
        <v>1264</v>
      </c>
      <c r="E559" s="49" t="s">
        <v>2986</v>
      </c>
      <c r="F559" s="49" t="s">
        <v>2825</v>
      </c>
      <c r="G559" s="49" t="s">
        <v>4891</v>
      </c>
      <c r="H559" s="49" t="s">
        <v>2827</v>
      </c>
      <c r="I559" s="50">
        <v>45310</v>
      </c>
      <c r="M559" s="49" t="s">
        <v>12177</v>
      </c>
    </row>
    <row r="560" spans="1:13" x14ac:dyDescent="0.35">
      <c r="A560" s="49" t="s">
        <v>2120</v>
      </c>
      <c r="B560" s="49" t="s">
        <v>13252</v>
      </c>
      <c r="C560" s="49" t="s">
        <v>13253</v>
      </c>
      <c r="D560" s="49" t="s">
        <v>1264</v>
      </c>
      <c r="E560" s="49" t="s">
        <v>2986</v>
      </c>
      <c r="F560" s="49" t="s">
        <v>2825</v>
      </c>
      <c r="G560" s="49" t="s">
        <v>4891</v>
      </c>
      <c r="H560" s="49" t="s">
        <v>2827</v>
      </c>
      <c r="I560" s="52">
        <v>45981.066400463002</v>
      </c>
      <c r="M560" s="49" t="s">
        <v>13254</v>
      </c>
    </row>
    <row r="561" spans="1:13" x14ac:dyDescent="0.35">
      <c r="A561" s="49" t="s">
        <v>15313</v>
      </c>
      <c r="B561" s="49" t="s">
        <v>4248</v>
      </c>
      <c r="C561" s="49" t="s">
        <v>4249</v>
      </c>
      <c r="D561" s="49" t="s">
        <v>1264</v>
      </c>
      <c r="E561" s="49" t="s">
        <v>2774</v>
      </c>
      <c r="F561" s="49" t="s">
        <v>2825</v>
      </c>
      <c r="G561" s="49" t="s">
        <v>2826</v>
      </c>
      <c r="H561" s="49" t="s">
        <v>2827</v>
      </c>
      <c r="I561" s="50">
        <v>43434</v>
      </c>
      <c r="M561" s="49" t="s">
        <v>4251</v>
      </c>
    </row>
    <row r="562" spans="1:13" x14ac:dyDescent="0.35">
      <c r="A562" s="49" t="s">
        <v>15313</v>
      </c>
      <c r="B562" s="49" t="s">
        <v>13942</v>
      </c>
      <c r="C562" s="49" t="s">
        <v>13943</v>
      </c>
      <c r="D562" s="49" t="s">
        <v>1264</v>
      </c>
      <c r="E562" s="49" t="s">
        <v>2774</v>
      </c>
      <c r="F562" s="49" t="s">
        <v>2825</v>
      </c>
      <c r="G562" s="49" t="s">
        <v>3602</v>
      </c>
      <c r="H562" s="49" t="s">
        <v>2827</v>
      </c>
      <c r="I562" s="50">
        <v>43434</v>
      </c>
      <c r="M562" s="49" t="s">
        <v>13944</v>
      </c>
    </row>
    <row r="563" spans="1:13" x14ac:dyDescent="0.35">
      <c r="A563" s="49" t="s">
        <v>13895</v>
      </c>
      <c r="B563" s="49" t="s">
        <v>13894</v>
      </c>
      <c r="C563" s="49"/>
      <c r="D563" s="49" t="s">
        <v>1264</v>
      </c>
      <c r="E563" s="49" t="s">
        <v>2774</v>
      </c>
      <c r="F563" s="49" t="s">
        <v>3124</v>
      </c>
      <c r="G563" s="49" t="s">
        <v>2776</v>
      </c>
      <c r="H563" s="49" t="s">
        <v>980</v>
      </c>
      <c r="I563" s="50">
        <v>42745</v>
      </c>
      <c r="M563" s="49" t="s">
        <v>3470</v>
      </c>
    </row>
    <row r="564" spans="1:13" x14ac:dyDescent="0.35">
      <c r="A564" s="49" t="s">
        <v>13895</v>
      </c>
      <c r="B564" s="49" t="s">
        <v>13905</v>
      </c>
      <c r="C564" s="49"/>
      <c r="D564" s="49" t="s">
        <v>1264</v>
      </c>
      <c r="E564" s="49" t="s">
        <v>2774</v>
      </c>
      <c r="F564" s="49" t="s">
        <v>2939</v>
      </c>
      <c r="G564" s="49" t="s">
        <v>2776</v>
      </c>
      <c r="H564" s="49" t="s">
        <v>980</v>
      </c>
      <c r="I564" s="50">
        <v>42683</v>
      </c>
      <c r="M564" s="49" t="s">
        <v>3470</v>
      </c>
    </row>
    <row r="565" spans="1:13" x14ac:dyDescent="0.35">
      <c r="A565" s="49" t="s">
        <v>13895</v>
      </c>
      <c r="B565" s="49" t="s">
        <v>13907</v>
      </c>
      <c r="C565" s="49"/>
      <c r="D565" s="49" t="s">
        <v>1264</v>
      </c>
      <c r="E565" s="49" t="s">
        <v>2774</v>
      </c>
      <c r="F565" s="49" t="s">
        <v>2837</v>
      </c>
      <c r="G565" s="49" t="s">
        <v>2776</v>
      </c>
      <c r="H565" s="49" t="s">
        <v>980</v>
      </c>
      <c r="I565" s="50">
        <v>42683</v>
      </c>
      <c r="M565" s="49" t="s">
        <v>3470</v>
      </c>
    </row>
    <row r="566" spans="1:13" x14ac:dyDescent="0.35">
      <c r="A566" s="49" t="s">
        <v>15145</v>
      </c>
      <c r="B566" s="49" t="s">
        <v>6541</v>
      </c>
      <c r="C566" s="49" t="s">
        <v>6542</v>
      </c>
      <c r="D566" s="49" t="s">
        <v>1264</v>
      </c>
      <c r="E566" s="49" t="s">
        <v>2986</v>
      </c>
      <c r="F566" s="49" t="s">
        <v>2825</v>
      </c>
      <c r="G566" s="49" t="s">
        <v>4330</v>
      </c>
      <c r="H566" s="49" t="s">
        <v>2827</v>
      </c>
      <c r="I566" s="50">
        <v>45324</v>
      </c>
      <c r="M566" s="49" t="s">
        <v>6544</v>
      </c>
    </row>
    <row r="567" spans="1:13" x14ac:dyDescent="0.35">
      <c r="A567" s="49" t="s">
        <v>15145</v>
      </c>
      <c r="B567" s="49" t="s">
        <v>6545</v>
      </c>
      <c r="C567" s="49" t="s">
        <v>4877</v>
      </c>
      <c r="D567" s="49" t="s">
        <v>1264</v>
      </c>
      <c r="E567" s="49" t="s">
        <v>2986</v>
      </c>
      <c r="F567" s="49" t="s">
        <v>2825</v>
      </c>
      <c r="G567" s="49" t="s">
        <v>4330</v>
      </c>
      <c r="H567" s="49" t="s">
        <v>2827</v>
      </c>
      <c r="I567" s="50">
        <v>45324</v>
      </c>
      <c r="M567" s="49" t="s">
        <v>6546</v>
      </c>
    </row>
    <row r="568" spans="1:13" x14ac:dyDescent="0.35">
      <c r="A568" s="49" t="s">
        <v>15145</v>
      </c>
      <c r="B568" s="49" t="s">
        <v>12094</v>
      </c>
      <c r="C568" s="49" t="s">
        <v>4817</v>
      </c>
      <c r="D568" s="49" t="s">
        <v>1264</v>
      </c>
      <c r="E568" s="49" t="s">
        <v>2986</v>
      </c>
      <c r="F568" s="49" t="s">
        <v>2825</v>
      </c>
      <c r="G568" s="49" t="s">
        <v>2776</v>
      </c>
      <c r="H568" s="49" t="s">
        <v>2827</v>
      </c>
      <c r="I568" s="50">
        <v>45324</v>
      </c>
      <c r="M568" s="49" t="s">
        <v>12095</v>
      </c>
    </row>
    <row r="569" spans="1:13" x14ac:dyDescent="0.35">
      <c r="A569" s="49" t="s">
        <v>15145</v>
      </c>
      <c r="B569" s="49" t="s">
        <v>12096</v>
      </c>
      <c r="C569" s="49" t="s">
        <v>12097</v>
      </c>
      <c r="D569" s="49" t="s">
        <v>1264</v>
      </c>
      <c r="E569" s="49" t="s">
        <v>2986</v>
      </c>
      <c r="F569" s="49" t="s">
        <v>2825</v>
      </c>
      <c r="G569" s="49" t="s">
        <v>2776</v>
      </c>
      <c r="H569" s="49" t="s">
        <v>2827</v>
      </c>
      <c r="I569" s="50">
        <v>45324</v>
      </c>
      <c r="M569" s="49" t="s">
        <v>12098</v>
      </c>
    </row>
    <row r="570" spans="1:13" x14ac:dyDescent="0.35">
      <c r="A570" s="49" t="s">
        <v>15145</v>
      </c>
      <c r="B570" s="49" t="s">
        <v>12099</v>
      </c>
      <c r="C570" s="49" t="s">
        <v>12100</v>
      </c>
      <c r="D570" s="49" t="s">
        <v>1264</v>
      </c>
      <c r="E570" s="49" t="s">
        <v>2986</v>
      </c>
      <c r="F570" s="49" t="s">
        <v>2825</v>
      </c>
      <c r="G570" s="49" t="s">
        <v>2776</v>
      </c>
      <c r="H570" s="49" t="s">
        <v>2827</v>
      </c>
      <c r="I570" s="50">
        <v>45324</v>
      </c>
      <c r="M570" s="49" t="s">
        <v>12101</v>
      </c>
    </row>
    <row r="571" spans="1:13" x14ac:dyDescent="0.35">
      <c r="A571" s="49" t="s">
        <v>15145</v>
      </c>
      <c r="B571" s="49" t="s">
        <v>12193</v>
      </c>
      <c r="C571" s="49" t="s">
        <v>4809</v>
      </c>
      <c r="D571" s="49" t="s">
        <v>1264</v>
      </c>
      <c r="E571" s="49" t="s">
        <v>2986</v>
      </c>
      <c r="F571" s="49" t="s">
        <v>2825</v>
      </c>
      <c r="G571" s="49" t="s">
        <v>2776</v>
      </c>
      <c r="H571" s="49" t="s">
        <v>2827</v>
      </c>
      <c r="I571" s="50">
        <v>45324</v>
      </c>
      <c r="M571" s="49" t="s">
        <v>12194</v>
      </c>
    </row>
    <row r="572" spans="1:13" x14ac:dyDescent="0.35">
      <c r="A572" s="49" t="s">
        <v>15145</v>
      </c>
      <c r="B572" s="49" t="s">
        <v>12219</v>
      </c>
      <c r="C572" s="49"/>
      <c r="D572" s="49" t="s">
        <v>1264</v>
      </c>
      <c r="E572" s="49" t="s">
        <v>2986</v>
      </c>
      <c r="F572" s="49" t="s">
        <v>2825</v>
      </c>
      <c r="G572" s="49" t="s">
        <v>2776</v>
      </c>
      <c r="H572" s="49" t="s">
        <v>2827</v>
      </c>
      <c r="I572" s="50">
        <v>45324</v>
      </c>
      <c r="M572" s="49" t="s">
        <v>3270</v>
      </c>
    </row>
    <row r="573" spans="1:13" x14ac:dyDescent="0.35">
      <c r="A573" s="49" t="s">
        <v>14881</v>
      </c>
      <c r="B573" s="49" t="s">
        <v>9048</v>
      </c>
      <c r="C573" s="49" t="s">
        <v>4579</v>
      </c>
      <c r="D573" s="49" t="s">
        <v>1264</v>
      </c>
      <c r="E573" s="49" t="s">
        <v>2814</v>
      </c>
      <c r="F573" s="49" t="s">
        <v>2825</v>
      </c>
      <c r="G573" s="49" t="s">
        <v>2776</v>
      </c>
      <c r="H573" s="49" t="s">
        <v>2827</v>
      </c>
      <c r="I573" s="50">
        <v>43062</v>
      </c>
      <c r="M573" s="49" t="s">
        <v>3270</v>
      </c>
    </row>
    <row r="574" spans="1:13" x14ac:dyDescent="0.35">
      <c r="A574" s="49" t="s">
        <v>140</v>
      </c>
      <c r="B574" s="49" t="s">
        <v>4024</v>
      </c>
      <c r="C574" s="49" t="s">
        <v>4025</v>
      </c>
      <c r="D574" s="49" t="s">
        <v>1264</v>
      </c>
      <c r="E574" s="49" t="s">
        <v>2785</v>
      </c>
      <c r="F574" s="49" t="s">
        <v>2792</v>
      </c>
      <c r="G574" s="49" t="s">
        <v>2787</v>
      </c>
      <c r="H574" s="49" t="s">
        <v>8</v>
      </c>
      <c r="I574" s="50">
        <v>43931</v>
      </c>
      <c r="J574" s="50">
        <v>44186</v>
      </c>
      <c r="K574" s="50">
        <v>44551</v>
      </c>
      <c r="M574" s="49" t="s">
        <v>4027</v>
      </c>
    </row>
    <row r="575" spans="1:13" x14ac:dyDescent="0.35">
      <c r="A575" s="49" t="s">
        <v>140</v>
      </c>
      <c r="B575" s="49" t="s">
        <v>4472</v>
      </c>
      <c r="C575" s="49"/>
      <c r="D575" s="49" t="s">
        <v>1264</v>
      </c>
      <c r="E575" s="49" t="s">
        <v>2785</v>
      </c>
      <c r="F575" s="49" t="s">
        <v>2792</v>
      </c>
      <c r="G575" s="49" t="s">
        <v>2787</v>
      </c>
      <c r="H575" s="49" t="s">
        <v>8</v>
      </c>
      <c r="I575" s="50">
        <v>44356</v>
      </c>
      <c r="K575" s="50">
        <v>45510</v>
      </c>
      <c r="M575" s="49" t="s">
        <v>4473</v>
      </c>
    </row>
    <row r="576" spans="1:13" x14ac:dyDescent="0.35">
      <c r="A576" s="49" t="s">
        <v>140</v>
      </c>
      <c r="B576" s="49" t="s">
        <v>7303</v>
      </c>
      <c r="C576" s="49"/>
      <c r="D576" s="49" t="s">
        <v>1264</v>
      </c>
      <c r="E576" s="49" t="s">
        <v>2785</v>
      </c>
      <c r="F576" s="49" t="s">
        <v>2792</v>
      </c>
      <c r="G576" s="49" t="s">
        <v>3602</v>
      </c>
      <c r="H576" s="49" t="s">
        <v>8</v>
      </c>
      <c r="I576" s="50">
        <v>43867</v>
      </c>
      <c r="J576" s="50">
        <v>43951</v>
      </c>
      <c r="K576" s="50">
        <v>44315</v>
      </c>
      <c r="M576" s="49" t="s">
        <v>7304</v>
      </c>
    </row>
    <row r="577" spans="1:13" x14ac:dyDescent="0.35">
      <c r="A577" s="49" t="s">
        <v>140</v>
      </c>
      <c r="B577" s="49" t="s">
        <v>8421</v>
      </c>
      <c r="C577" s="49" t="s">
        <v>8422</v>
      </c>
      <c r="D577" s="49" t="s">
        <v>1264</v>
      </c>
      <c r="E577" s="49" t="s">
        <v>2986</v>
      </c>
      <c r="F577" s="49" t="s">
        <v>2825</v>
      </c>
      <c r="G577" s="49" t="s">
        <v>2787</v>
      </c>
      <c r="H577" s="49" t="s">
        <v>2827</v>
      </c>
      <c r="I577" s="50">
        <v>42851</v>
      </c>
      <c r="J577" s="50">
        <v>42908</v>
      </c>
      <c r="K577" s="50">
        <v>44004</v>
      </c>
      <c r="M577" s="49" t="s">
        <v>3270</v>
      </c>
    </row>
    <row r="578" spans="1:13" x14ac:dyDescent="0.35">
      <c r="A578" s="49" t="s">
        <v>140</v>
      </c>
      <c r="B578" s="49" t="s">
        <v>12714</v>
      </c>
      <c r="C578" s="49" t="s">
        <v>2818</v>
      </c>
      <c r="D578" s="49" t="s">
        <v>1264</v>
      </c>
      <c r="E578" s="49" t="s">
        <v>2785</v>
      </c>
      <c r="F578" s="49" t="s">
        <v>2792</v>
      </c>
      <c r="G578" s="49" t="s">
        <v>4891</v>
      </c>
      <c r="H578" s="49" t="s">
        <v>8</v>
      </c>
      <c r="I578" s="50">
        <v>45546</v>
      </c>
      <c r="M578" s="49" t="s">
        <v>12715</v>
      </c>
    </row>
    <row r="579" spans="1:13" x14ac:dyDescent="0.35">
      <c r="A579" s="49" t="s">
        <v>140</v>
      </c>
      <c r="B579" s="49" t="s">
        <v>13849</v>
      </c>
      <c r="C579" s="49"/>
      <c r="D579" s="49" t="s">
        <v>1264</v>
      </c>
      <c r="E579" s="49" t="s">
        <v>2774</v>
      </c>
      <c r="F579" s="49" t="s">
        <v>2825</v>
      </c>
      <c r="G579" s="49" t="s">
        <v>2776</v>
      </c>
      <c r="H579" s="49" t="s">
        <v>2827</v>
      </c>
      <c r="I579" s="50">
        <v>43578</v>
      </c>
      <c r="M579" s="49" t="s">
        <v>13850</v>
      </c>
    </row>
    <row r="580" spans="1:13" x14ac:dyDescent="0.35">
      <c r="A580" s="49" t="s">
        <v>15146</v>
      </c>
      <c r="B580" s="49" t="s">
        <v>12164</v>
      </c>
      <c r="C580" s="49"/>
      <c r="D580" s="49" t="s">
        <v>1264</v>
      </c>
      <c r="E580" s="49" t="s">
        <v>2986</v>
      </c>
      <c r="F580" s="49" t="s">
        <v>2825</v>
      </c>
      <c r="G580" s="49" t="s">
        <v>4891</v>
      </c>
      <c r="H580" s="49" t="s">
        <v>2827</v>
      </c>
      <c r="I580" s="50">
        <v>45343</v>
      </c>
      <c r="M580" s="49" t="s">
        <v>12166</v>
      </c>
    </row>
    <row r="581" spans="1:13" x14ac:dyDescent="0.35">
      <c r="A581" s="49" t="s">
        <v>14682</v>
      </c>
      <c r="B581" s="49" t="s">
        <v>13840</v>
      </c>
      <c r="C581" s="49" t="s">
        <v>7451</v>
      </c>
      <c r="D581" s="49" t="s">
        <v>1264</v>
      </c>
      <c r="E581" s="49" t="s">
        <v>2774</v>
      </c>
      <c r="F581" s="49" t="s">
        <v>2825</v>
      </c>
      <c r="G581" s="49" t="s">
        <v>2776</v>
      </c>
      <c r="H581" s="49" t="s">
        <v>2827</v>
      </c>
      <c r="I581" s="50">
        <v>43357</v>
      </c>
      <c r="M581" s="49" t="s">
        <v>13842</v>
      </c>
    </row>
    <row r="582" spans="1:13" x14ac:dyDescent="0.35">
      <c r="A582" s="49" t="s">
        <v>1231</v>
      </c>
      <c r="B582" s="49" t="s">
        <v>5086</v>
      </c>
      <c r="C582" s="49" t="s">
        <v>4442</v>
      </c>
      <c r="D582" s="49" t="s">
        <v>1264</v>
      </c>
      <c r="E582" s="49" t="s">
        <v>2785</v>
      </c>
      <c r="F582" s="49" t="s">
        <v>2792</v>
      </c>
      <c r="G582" s="49" t="s">
        <v>2787</v>
      </c>
      <c r="H582" s="49" t="s">
        <v>980</v>
      </c>
      <c r="I582" s="50">
        <v>44854</v>
      </c>
      <c r="J582" s="50">
        <v>45251</v>
      </c>
      <c r="K582" s="50">
        <v>45195</v>
      </c>
      <c r="M582" s="49" t="s">
        <v>5088</v>
      </c>
    </row>
    <row r="583" spans="1:13" x14ac:dyDescent="0.35">
      <c r="A583" s="49" t="s">
        <v>14882</v>
      </c>
      <c r="B583" s="49" t="s">
        <v>13085</v>
      </c>
      <c r="C583" s="49"/>
      <c r="D583" s="49" t="s">
        <v>1264</v>
      </c>
      <c r="E583" s="49" t="s">
        <v>2785</v>
      </c>
      <c r="F583" s="49" t="s">
        <v>2792</v>
      </c>
      <c r="G583" s="49" t="s">
        <v>4891</v>
      </c>
      <c r="H583" s="49" t="s">
        <v>980</v>
      </c>
      <c r="I583" s="52">
        <v>46042.659259259301</v>
      </c>
      <c r="M583" s="49" t="s">
        <v>13086</v>
      </c>
    </row>
    <row r="584" spans="1:13" x14ac:dyDescent="0.35">
      <c r="A584" s="49" t="s">
        <v>15314</v>
      </c>
      <c r="B584" s="49" t="s">
        <v>5214</v>
      </c>
      <c r="C584" s="49"/>
      <c r="D584" s="49" t="s">
        <v>1264</v>
      </c>
      <c r="E584" s="49" t="s">
        <v>2814</v>
      </c>
      <c r="F584" s="49" t="s">
        <v>2837</v>
      </c>
      <c r="G584" s="49" t="s">
        <v>2826</v>
      </c>
      <c r="H584" s="49" t="s">
        <v>980</v>
      </c>
      <c r="I584" s="50">
        <v>44791</v>
      </c>
      <c r="M584" s="49" t="s">
        <v>5216</v>
      </c>
    </row>
    <row r="585" spans="1:13" x14ac:dyDescent="0.35">
      <c r="A585" s="49" t="s">
        <v>15314</v>
      </c>
      <c r="B585" s="49" t="s">
        <v>5217</v>
      </c>
      <c r="C585" s="49"/>
      <c r="D585" s="49" t="s">
        <v>1264</v>
      </c>
      <c r="E585" s="49" t="s">
        <v>2814</v>
      </c>
      <c r="F585" s="49" t="s">
        <v>2939</v>
      </c>
      <c r="G585" s="49" t="s">
        <v>2826</v>
      </c>
      <c r="H585" s="49" t="s">
        <v>8</v>
      </c>
      <c r="I585" s="50">
        <v>44791</v>
      </c>
      <c r="M585" s="49" t="s">
        <v>5218</v>
      </c>
    </row>
    <row r="586" spans="1:13" x14ac:dyDescent="0.35">
      <c r="A586" s="49" t="s">
        <v>14883</v>
      </c>
      <c r="B586" s="49" t="s">
        <v>10297</v>
      </c>
      <c r="C586" s="49"/>
      <c r="D586" s="49" t="s">
        <v>1264</v>
      </c>
      <c r="E586" s="49" t="s">
        <v>2814</v>
      </c>
      <c r="F586" s="49" t="s">
        <v>2825</v>
      </c>
      <c r="G586" s="49" t="s">
        <v>2776</v>
      </c>
      <c r="H586" s="49" t="s">
        <v>2827</v>
      </c>
      <c r="I586" s="50">
        <v>42802</v>
      </c>
      <c r="M586" s="49" t="s">
        <v>3470</v>
      </c>
    </row>
    <row r="587" spans="1:13" x14ac:dyDescent="0.35">
      <c r="A587" s="49" t="s">
        <v>14801</v>
      </c>
      <c r="B587" s="49" t="s">
        <v>3843</v>
      </c>
      <c r="C587" s="49" t="s">
        <v>3844</v>
      </c>
      <c r="D587" s="49" t="s">
        <v>1264</v>
      </c>
      <c r="E587" s="49" t="s">
        <v>3413</v>
      </c>
      <c r="F587" s="49" t="s">
        <v>2825</v>
      </c>
      <c r="G587" s="49" t="s">
        <v>2901</v>
      </c>
      <c r="H587" s="49" t="s">
        <v>2827</v>
      </c>
      <c r="I587" s="50">
        <v>43395</v>
      </c>
      <c r="J587" s="50">
        <v>43815</v>
      </c>
      <c r="K587" s="50">
        <v>51119</v>
      </c>
      <c r="M587" s="49" t="s">
        <v>3846</v>
      </c>
    </row>
    <row r="588" spans="1:13" x14ac:dyDescent="0.35">
      <c r="A588" s="49" t="s">
        <v>14353</v>
      </c>
      <c r="B588" s="49" t="s">
        <v>7469</v>
      </c>
      <c r="C588" s="49" t="s">
        <v>7470</v>
      </c>
      <c r="D588" s="49" t="s">
        <v>1264</v>
      </c>
      <c r="E588" s="49" t="s">
        <v>2785</v>
      </c>
      <c r="F588" s="49" t="s">
        <v>2792</v>
      </c>
      <c r="G588" s="49" t="s">
        <v>2787</v>
      </c>
      <c r="H588" s="49" t="s">
        <v>980</v>
      </c>
      <c r="I588" s="50">
        <v>42199</v>
      </c>
      <c r="J588" s="50">
        <v>42537</v>
      </c>
      <c r="K588" s="50">
        <v>42719</v>
      </c>
      <c r="M588" s="49" t="s">
        <v>7472</v>
      </c>
    </row>
    <row r="589" spans="1:13" x14ac:dyDescent="0.35">
      <c r="A589" s="49" t="s">
        <v>15147</v>
      </c>
      <c r="B589" s="49" t="s">
        <v>10186</v>
      </c>
      <c r="C589" s="49"/>
      <c r="D589" s="49" t="s">
        <v>1264</v>
      </c>
      <c r="E589" s="49" t="s">
        <v>2814</v>
      </c>
      <c r="F589" s="49" t="s">
        <v>2825</v>
      </c>
      <c r="G589" s="49" t="s">
        <v>2776</v>
      </c>
      <c r="H589" s="49" t="s">
        <v>2827</v>
      </c>
      <c r="I589" s="50">
        <v>43417</v>
      </c>
      <c r="M589" s="49" t="s">
        <v>10188</v>
      </c>
    </row>
    <row r="590" spans="1:13" x14ac:dyDescent="0.35">
      <c r="A590" s="49" t="s">
        <v>859</v>
      </c>
      <c r="B590" s="49" t="s">
        <v>2789</v>
      </c>
      <c r="C590" s="49" t="s">
        <v>2790</v>
      </c>
      <c r="D590" s="49" t="s">
        <v>1264</v>
      </c>
      <c r="E590" s="49" t="s">
        <v>2785</v>
      </c>
      <c r="F590" s="49" t="s">
        <v>2792</v>
      </c>
      <c r="G590" s="49" t="s">
        <v>2787</v>
      </c>
      <c r="H590" s="49" t="s">
        <v>980</v>
      </c>
      <c r="I590" s="50">
        <v>43815</v>
      </c>
      <c r="J590" s="50">
        <v>43859</v>
      </c>
      <c r="K590" s="50">
        <v>44224</v>
      </c>
      <c r="M590" s="49" t="s">
        <v>2793</v>
      </c>
    </row>
    <row r="591" spans="1:13" x14ac:dyDescent="0.35">
      <c r="A591" s="49" t="s">
        <v>859</v>
      </c>
      <c r="B591" s="49" t="s">
        <v>4301</v>
      </c>
      <c r="C591" s="49" t="s">
        <v>4302</v>
      </c>
      <c r="D591" s="49" t="s">
        <v>1264</v>
      </c>
      <c r="E591" s="49" t="s">
        <v>2785</v>
      </c>
      <c r="F591" s="49" t="s">
        <v>2792</v>
      </c>
      <c r="G591" s="49" t="s">
        <v>2787</v>
      </c>
      <c r="H591" s="49" t="s">
        <v>857</v>
      </c>
      <c r="I591" s="50">
        <v>44250</v>
      </c>
      <c r="J591" s="50">
        <v>44305</v>
      </c>
      <c r="K591" s="50">
        <v>45510</v>
      </c>
      <c r="M591" s="49" t="s">
        <v>4303</v>
      </c>
    </row>
    <row r="592" spans="1:13" x14ac:dyDescent="0.35">
      <c r="A592" s="49" t="s">
        <v>859</v>
      </c>
      <c r="B592" s="49" t="s">
        <v>4592</v>
      </c>
      <c r="C592" s="49" t="s">
        <v>4593</v>
      </c>
      <c r="D592" s="49" t="s">
        <v>1264</v>
      </c>
      <c r="E592" s="49" t="s">
        <v>2785</v>
      </c>
      <c r="F592" s="49" t="s">
        <v>2792</v>
      </c>
      <c r="G592" s="49" t="s">
        <v>2787</v>
      </c>
      <c r="H592" s="49" t="s">
        <v>857</v>
      </c>
      <c r="I592" s="50">
        <v>44524</v>
      </c>
      <c r="J592" s="50">
        <v>44540</v>
      </c>
      <c r="K592" s="50">
        <v>45428</v>
      </c>
      <c r="M592" s="49" t="s">
        <v>4594</v>
      </c>
    </row>
    <row r="593" spans="1:13" x14ac:dyDescent="0.35">
      <c r="A593" s="49" t="s">
        <v>859</v>
      </c>
      <c r="B593" s="49" t="s">
        <v>5156</v>
      </c>
      <c r="C593" s="49" t="s">
        <v>4593</v>
      </c>
      <c r="D593" s="49" t="s">
        <v>1264</v>
      </c>
      <c r="E593" s="49" t="s">
        <v>2785</v>
      </c>
      <c r="F593" s="49" t="s">
        <v>2792</v>
      </c>
      <c r="G593" s="49" t="s">
        <v>2901</v>
      </c>
      <c r="H593" s="49" t="s">
        <v>857</v>
      </c>
      <c r="I593" s="50">
        <v>44882</v>
      </c>
      <c r="J593" s="50">
        <v>44908</v>
      </c>
      <c r="K593" s="50">
        <v>45638</v>
      </c>
      <c r="L593" s="50">
        <v>45273</v>
      </c>
      <c r="M593" s="49" t="s">
        <v>5157</v>
      </c>
    </row>
    <row r="594" spans="1:13" x14ac:dyDescent="0.35">
      <c r="A594" s="49" t="s">
        <v>859</v>
      </c>
      <c r="B594" s="49" t="s">
        <v>6516</v>
      </c>
      <c r="C594" s="49" t="s">
        <v>6517</v>
      </c>
      <c r="D594" s="49" t="s">
        <v>1264</v>
      </c>
      <c r="E594" s="49" t="s">
        <v>2785</v>
      </c>
      <c r="F594" s="49" t="s">
        <v>2792</v>
      </c>
      <c r="G594" s="49" t="s">
        <v>2901</v>
      </c>
      <c r="H594" s="49" t="s">
        <v>857</v>
      </c>
      <c r="I594" s="50">
        <v>45379</v>
      </c>
      <c r="J594" s="50">
        <v>45385</v>
      </c>
      <c r="K594" s="50">
        <v>45749</v>
      </c>
      <c r="M594" s="49" t="s">
        <v>6519</v>
      </c>
    </row>
    <row r="595" spans="1:13" x14ac:dyDescent="0.35">
      <c r="A595" s="49" t="s">
        <v>859</v>
      </c>
      <c r="B595" s="49" t="s">
        <v>7062</v>
      </c>
      <c r="C595" s="49" t="s">
        <v>7063</v>
      </c>
      <c r="D595" s="49" t="s">
        <v>1264</v>
      </c>
      <c r="E595" s="49" t="s">
        <v>2785</v>
      </c>
      <c r="F595" s="49" t="s">
        <v>2792</v>
      </c>
      <c r="G595" s="49" t="s">
        <v>2787</v>
      </c>
      <c r="H595" s="49" t="s">
        <v>857</v>
      </c>
      <c r="I595" s="50">
        <v>43837</v>
      </c>
      <c r="J595" s="50">
        <v>43859</v>
      </c>
      <c r="K595" s="50">
        <v>44255</v>
      </c>
      <c r="M595" s="49" t="s">
        <v>7064</v>
      </c>
    </row>
    <row r="596" spans="1:13" x14ac:dyDescent="0.35">
      <c r="A596" s="49" t="s">
        <v>859</v>
      </c>
      <c r="B596" s="49" t="s">
        <v>7223</v>
      </c>
      <c r="C596" s="49" t="s">
        <v>7224</v>
      </c>
      <c r="D596" s="49" t="s">
        <v>1264</v>
      </c>
      <c r="E596" s="49" t="s">
        <v>2785</v>
      </c>
      <c r="F596" s="49" t="s">
        <v>2792</v>
      </c>
      <c r="G596" s="49" t="s">
        <v>2787</v>
      </c>
      <c r="H596" s="49" t="s">
        <v>857</v>
      </c>
      <c r="I596" s="50">
        <v>43147</v>
      </c>
      <c r="J596" s="50">
        <v>43182</v>
      </c>
      <c r="K596" s="50">
        <v>43365</v>
      </c>
      <c r="M596" s="49" t="s">
        <v>7225</v>
      </c>
    </row>
    <row r="597" spans="1:13" x14ac:dyDescent="0.35">
      <c r="A597" s="49" t="s">
        <v>859</v>
      </c>
      <c r="B597" s="49" t="s">
        <v>7294</v>
      </c>
      <c r="C597" s="49" t="s">
        <v>7295</v>
      </c>
      <c r="D597" s="49" t="s">
        <v>1264</v>
      </c>
      <c r="E597" s="49" t="s">
        <v>2785</v>
      </c>
      <c r="F597" s="49" t="s">
        <v>2792</v>
      </c>
      <c r="G597" s="49" t="s">
        <v>2787</v>
      </c>
      <c r="H597" s="49" t="s">
        <v>857</v>
      </c>
      <c r="I597" s="50">
        <v>43166</v>
      </c>
      <c r="J597" s="50">
        <v>43201</v>
      </c>
      <c r="K597" s="50">
        <v>43383</v>
      </c>
      <c r="M597" s="49" t="s">
        <v>7296</v>
      </c>
    </row>
    <row r="598" spans="1:13" x14ac:dyDescent="0.35">
      <c r="A598" s="49" t="s">
        <v>859</v>
      </c>
      <c r="B598" s="49" t="s">
        <v>7796</v>
      </c>
      <c r="C598" s="49" t="s">
        <v>7797</v>
      </c>
      <c r="D598" s="49" t="s">
        <v>1264</v>
      </c>
      <c r="E598" s="49" t="s">
        <v>2785</v>
      </c>
      <c r="F598" s="49" t="s">
        <v>2792</v>
      </c>
      <c r="G598" s="49" t="s">
        <v>2787</v>
      </c>
      <c r="H598" s="49" t="s">
        <v>857</v>
      </c>
      <c r="I598" s="50">
        <v>43384</v>
      </c>
      <c r="J598" s="50">
        <v>43438</v>
      </c>
      <c r="K598" s="50">
        <v>43619</v>
      </c>
      <c r="M598" s="49" t="s">
        <v>7798</v>
      </c>
    </row>
    <row r="599" spans="1:13" x14ac:dyDescent="0.35">
      <c r="A599" s="49" t="s">
        <v>859</v>
      </c>
      <c r="B599" s="49" t="s">
        <v>9393</v>
      </c>
      <c r="C599" s="49"/>
      <c r="D599" s="49" t="s">
        <v>1264</v>
      </c>
      <c r="E599" s="49" t="s">
        <v>2785</v>
      </c>
      <c r="F599" s="49" t="s">
        <v>2792</v>
      </c>
      <c r="G599" s="49" t="s">
        <v>2776</v>
      </c>
      <c r="H599" s="49" t="s">
        <v>980</v>
      </c>
      <c r="I599" s="50">
        <v>44175</v>
      </c>
      <c r="M599" s="49" t="s">
        <v>9394</v>
      </c>
    </row>
    <row r="600" spans="1:13" x14ac:dyDescent="0.35">
      <c r="A600" s="49" t="s">
        <v>14884</v>
      </c>
      <c r="B600" s="49" t="s">
        <v>3490</v>
      </c>
      <c r="C600" s="49" t="s">
        <v>3491</v>
      </c>
      <c r="D600" s="49" t="s">
        <v>1264</v>
      </c>
      <c r="E600" s="49" t="s">
        <v>2986</v>
      </c>
      <c r="F600" s="49" t="s">
        <v>2825</v>
      </c>
      <c r="G600" s="49" t="s">
        <v>2820</v>
      </c>
      <c r="H600" s="49" t="s">
        <v>2827</v>
      </c>
      <c r="I600" s="50">
        <v>42471</v>
      </c>
      <c r="J600" s="50">
        <v>43195</v>
      </c>
      <c r="K600" s="50">
        <v>45387</v>
      </c>
      <c r="L600" s="50">
        <v>44292</v>
      </c>
      <c r="M600" s="49" t="s">
        <v>3270</v>
      </c>
    </row>
    <row r="601" spans="1:13" x14ac:dyDescent="0.35">
      <c r="A601" s="49" t="s">
        <v>14884</v>
      </c>
      <c r="B601" s="49" t="s">
        <v>12417</v>
      </c>
      <c r="C601" s="49"/>
      <c r="D601" s="49" t="s">
        <v>1264</v>
      </c>
      <c r="E601" s="49" t="s">
        <v>2986</v>
      </c>
      <c r="F601" s="49" t="s">
        <v>2825</v>
      </c>
      <c r="G601" s="49" t="s">
        <v>4891</v>
      </c>
      <c r="H601" s="49" t="s">
        <v>2827</v>
      </c>
      <c r="I601" s="50">
        <v>45349</v>
      </c>
      <c r="M601" s="49" t="s">
        <v>12418</v>
      </c>
    </row>
    <row r="602" spans="1:13" x14ac:dyDescent="0.35">
      <c r="A602" s="49" t="s">
        <v>14884</v>
      </c>
      <c r="B602" s="49" t="s">
        <v>12657</v>
      </c>
      <c r="C602" s="49"/>
      <c r="D602" s="49" t="s">
        <v>1264</v>
      </c>
      <c r="E602" s="49" t="s">
        <v>2986</v>
      </c>
      <c r="F602" s="49" t="s">
        <v>2825</v>
      </c>
      <c r="G602" s="49" t="s">
        <v>4891</v>
      </c>
      <c r="H602" s="49" t="s">
        <v>2827</v>
      </c>
      <c r="I602" s="50">
        <v>45349</v>
      </c>
      <c r="M602" s="49" t="s">
        <v>12659</v>
      </c>
    </row>
    <row r="603" spans="1:13" x14ac:dyDescent="0.35">
      <c r="A603" s="49" t="s">
        <v>14223</v>
      </c>
      <c r="B603" s="49" t="s">
        <v>5070</v>
      </c>
      <c r="C603" s="49"/>
      <c r="D603" s="49" t="s">
        <v>1264</v>
      </c>
      <c r="E603" s="49" t="s">
        <v>3443</v>
      </c>
      <c r="F603" s="49" t="s">
        <v>3124</v>
      </c>
      <c r="G603" s="49" t="s">
        <v>2901</v>
      </c>
      <c r="H603" s="49" t="s">
        <v>980</v>
      </c>
      <c r="I603" s="50">
        <v>44666</v>
      </c>
      <c r="J603" s="50">
        <v>44763</v>
      </c>
      <c r="K603" s="50">
        <v>46588</v>
      </c>
    </row>
    <row r="604" spans="1:13" x14ac:dyDescent="0.35">
      <c r="A604" s="49" t="s">
        <v>148</v>
      </c>
      <c r="B604" s="49" t="s">
        <v>3357</v>
      </c>
      <c r="C604" s="49" t="s">
        <v>3358</v>
      </c>
      <c r="D604" s="49" t="s">
        <v>1264</v>
      </c>
      <c r="E604" s="49" t="s">
        <v>2774</v>
      </c>
      <c r="F604" s="49" t="s">
        <v>2825</v>
      </c>
      <c r="G604" s="49" t="s">
        <v>2901</v>
      </c>
      <c r="H604" s="49" t="s">
        <v>2827</v>
      </c>
      <c r="I604" s="50">
        <v>41990</v>
      </c>
      <c r="J604" s="50">
        <v>42165</v>
      </c>
      <c r="K604" s="50">
        <v>46194</v>
      </c>
      <c r="M604" s="49" t="s">
        <v>3360</v>
      </c>
    </row>
    <row r="605" spans="1:13" x14ac:dyDescent="0.35">
      <c r="A605" s="49" t="s">
        <v>148</v>
      </c>
      <c r="B605" s="49" t="s">
        <v>3361</v>
      </c>
      <c r="C605" s="49" t="s">
        <v>3362</v>
      </c>
      <c r="D605" s="49" t="s">
        <v>1264</v>
      </c>
      <c r="E605" s="49" t="s">
        <v>2774</v>
      </c>
      <c r="F605" s="49" t="s">
        <v>3363</v>
      </c>
      <c r="G605" s="49" t="s">
        <v>2787</v>
      </c>
      <c r="H605" s="49" t="s">
        <v>973</v>
      </c>
      <c r="I605" s="50">
        <v>41997</v>
      </c>
      <c r="J605" s="50">
        <v>42165</v>
      </c>
      <c r="K605" s="50">
        <v>45450</v>
      </c>
      <c r="M605" s="49" t="s">
        <v>3364</v>
      </c>
    </row>
    <row r="606" spans="1:13" x14ac:dyDescent="0.35">
      <c r="A606" s="49" t="s">
        <v>148</v>
      </c>
      <c r="B606" s="49" t="s">
        <v>10050</v>
      </c>
      <c r="C606" s="49"/>
      <c r="D606" s="49" t="s">
        <v>1264</v>
      </c>
      <c r="E606" s="49" t="s">
        <v>2974</v>
      </c>
      <c r="F606" s="49" t="s">
        <v>2825</v>
      </c>
      <c r="G606" s="49" t="s">
        <v>2776</v>
      </c>
      <c r="H606" s="49" t="s">
        <v>2827</v>
      </c>
      <c r="I606" s="50">
        <v>42583</v>
      </c>
      <c r="M606" s="49" t="s">
        <v>10052</v>
      </c>
    </row>
    <row r="607" spans="1:13" x14ac:dyDescent="0.35">
      <c r="A607" s="49" t="s">
        <v>148</v>
      </c>
      <c r="B607" s="49" t="s">
        <v>13539</v>
      </c>
      <c r="C607" s="49"/>
      <c r="D607" s="49" t="s">
        <v>1264</v>
      </c>
      <c r="E607" s="49" t="s">
        <v>3413</v>
      </c>
      <c r="F607" s="49" t="s">
        <v>2825</v>
      </c>
      <c r="G607" s="49" t="s">
        <v>4891</v>
      </c>
      <c r="H607" s="49" t="s">
        <v>2827</v>
      </c>
      <c r="I607" s="52">
        <v>46154.356747685197</v>
      </c>
      <c r="M607" s="49" t="s">
        <v>13540</v>
      </c>
    </row>
    <row r="608" spans="1:13" x14ac:dyDescent="0.35">
      <c r="A608" s="49" t="s">
        <v>148</v>
      </c>
      <c r="B608" s="49" t="s">
        <v>13583</v>
      </c>
      <c r="C608" s="49" t="s">
        <v>13584</v>
      </c>
      <c r="D608" s="49" t="s">
        <v>1264</v>
      </c>
      <c r="E608" s="49" t="s">
        <v>2785</v>
      </c>
      <c r="F608" s="49" t="s">
        <v>2786</v>
      </c>
      <c r="G608" s="49" t="s">
        <v>4891</v>
      </c>
      <c r="H608" s="49" t="s">
        <v>2827</v>
      </c>
      <c r="I608" s="52">
        <v>46162.653715277796</v>
      </c>
      <c r="M608" s="49" t="s">
        <v>13585</v>
      </c>
    </row>
    <row r="609" spans="1:13" x14ac:dyDescent="0.35">
      <c r="A609" s="49" t="s">
        <v>148</v>
      </c>
      <c r="B609" s="49" t="s">
        <v>13586</v>
      </c>
      <c r="C609" s="49" t="s">
        <v>13587</v>
      </c>
      <c r="D609" s="49" t="s">
        <v>1264</v>
      </c>
      <c r="E609" s="49" t="s">
        <v>2785</v>
      </c>
      <c r="F609" s="49" t="s">
        <v>2786</v>
      </c>
      <c r="G609" s="49" t="s">
        <v>4891</v>
      </c>
      <c r="H609" s="49" t="s">
        <v>2827</v>
      </c>
      <c r="I609" s="52">
        <v>46162.660509259302</v>
      </c>
      <c r="M609" s="49" t="s">
        <v>4437</v>
      </c>
    </row>
    <row r="610" spans="1:13" x14ac:dyDescent="0.35">
      <c r="A610" s="49" t="s">
        <v>148</v>
      </c>
      <c r="B610" s="49" t="s">
        <v>13621</v>
      </c>
      <c r="C610" s="49" t="s">
        <v>2984</v>
      </c>
      <c r="D610" s="49" t="s">
        <v>1264</v>
      </c>
      <c r="E610" s="49" t="s">
        <v>2974</v>
      </c>
      <c r="F610" s="49" t="s">
        <v>2825</v>
      </c>
      <c r="G610" s="49" t="s">
        <v>2776</v>
      </c>
      <c r="H610" s="49" t="s">
        <v>2827</v>
      </c>
      <c r="I610" s="50">
        <v>41962</v>
      </c>
      <c r="M610" s="49" t="s">
        <v>13622</v>
      </c>
    </row>
    <row r="611" spans="1:13" x14ac:dyDescent="0.35">
      <c r="A611" s="49" t="s">
        <v>15315</v>
      </c>
      <c r="B611" s="49" t="s">
        <v>9631</v>
      </c>
      <c r="C611" s="49"/>
      <c r="D611" s="49" t="s">
        <v>1264</v>
      </c>
      <c r="E611" s="49" t="s">
        <v>2908</v>
      </c>
      <c r="F611" s="49" t="s">
        <v>9633</v>
      </c>
      <c r="G611" s="49" t="s">
        <v>2776</v>
      </c>
      <c r="H611" s="49" t="s">
        <v>2827</v>
      </c>
      <c r="I611" s="50">
        <v>42316</v>
      </c>
      <c r="M611" s="49" t="s">
        <v>3470</v>
      </c>
    </row>
    <row r="612" spans="1:13" x14ac:dyDescent="0.35">
      <c r="A612" s="49" t="s">
        <v>15316</v>
      </c>
      <c r="B612" s="49" t="s">
        <v>9223</v>
      </c>
      <c r="C612" s="49"/>
      <c r="D612" s="49" t="s">
        <v>1264</v>
      </c>
      <c r="E612" s="49" t="s">
        <v>2908</v>
      </c>
      <c r="F612" s="49" t="s">
        <v>2837</v>
      </c>
      <c r="G612" s="49" t="s">
        <v>2776</v>
      </c>
      <c r="H612" s="49" t="s">
        <v>2827</v>
      </c>
      <c r="I612" s="50">
        <v>43483</v>
      </c>
      <c r="M612" s="49" t="s">
        <v>9225</v>
      </c>
    </row>
    <row r="613" spans="1:13" x14ac:dyDescent="0.35">
      <c r="A613" s="49" t="s">
        <v>14336</v>
      </c>
      <c r="B613" s="49" t="s">
        <v>7237</v>
      </c>
      <c r="C613" s="49" t="s">
        <v>7238</v>
      </c>
      <c r="D613" s="49" t="s">
        <v>1264</v>
      </c>
      <c r="E613" s="49" t="s">
        <v>2974</v>
      </c>
      <c r="F613" s="49" t="s">
        <v>2825</v>
      </c>
      <c r="G613" s="49" t="s">
        <v>2787</v>
      </c>
      <c r="H613" s="49" t="s">
        <v>2827</v>
      </c>
      <c r="I613" s="50">
        <v>39432</v>
      </c>
      <c r="J613" s="50">
        <v>39458</v>
      </c>
      <c r="K613" s="50">
        <v>40553</v>
      </c>
      <c r="M613" s="49" t="s">
        <v>3470</v>
      </c>
    </row>
    <row r="614" spans="1:13" x14ac:dyDescent="0.35">
      <c r="A614" s="49" t="s">
        <v>14336</v>
      </c>
      <c r="B614" s="49" t="s">
        <v>8424</v>
      </c>
      <c r="C614" s="49" t="s">
        <v>8425</v>
      </c>
      <c r="D614" s="49" t="s">
        <v>1264</v>
      </c>
      <c r="E614" s="49" t="s">
        <v>2974</v>
      </c>
      <c r="F614" s="49" t="s">
        <v>2825</v>
      </c>
      <c r="G614" s="49" t="s">
        <v>2787</v>
      </c>
      <c r="H614" s="49" t="s">
        <v>2827</v>
      </c>
      <c r="I614" s="50">
        <v>40081</v>
      </c>
      <c r="J614" s="50">
        <v>40147</v>
      </c>
      <c r="K614" s="50">
        <v>41242</v>
      </c>
      <c r="M614" s="49" t="s">
        <v>7208</v>
      </c>
    </row>
    <row r="615" spans="1:13" x14ac:dyDescent="0.35">
      <c r="A615" s="49" t="s">
        <v>9974</v>
      </c>
      <c r="B615" s="49" t="s">
        <v>3487</v>
      </c>
      <c r="C615" s="49" t="s">
        <v>3468</v>
      </c>
      <c r="D615" s="49" t="s">
        <v>1264</v>
      </c>
      <c r="E615" s="49" t="s">
        <v>3443</v>
      </c>
      <c r="F615" s="49" t="s">
        <v>3124</v>
      </c>
      <c r="G615" s="49" t="s">
        <v>2921</v>
      </c>
      <c r="H615" s="49" t="s">
        <v>980</v>
      </c>
      <c r="I615" s="50">
        <v>42461</v>
      </c>
      <c r="J615" s="50">
        <v>43115</v>
      </c>
      <c r="K615" s="50">
        <v>44940</v>
      </c>
      <c r="M615" s="49" t="s">
        <v>3489</v>
      </c>
    </row>
    <row r="616" spans="1:13" x14ac:dyDescent="0.35">
      <c r="A616" s="49" t="s">
        <v>9974</v>
      </c>
      <c r="B616" s="49" t="s">
        <v>9973</v>
      </c>
      <c r="C616" s="49"/>
      <c r="D616" s="49" t="s">
        <v>1264</v>
      </c>
      <c r="E616" s="49" t="s">
        <v>7057</v>
      </c>
      <c r="F616" s="49" t="s">
        <v>2825</v>
      </c>
      <c r="G616" s="49" t="s">
        <v>2776</v>
      </c>
      <c r="H616" s="49" t="s">
        <v>2827</v>
      </c>
      <c r="I616" s="50">
        <v>42326</v>
      </c>
      <c r="M616" s="49" t="s">
        <v>3270</v>
      </c>
    </row>
    <row r="617" spans="1:13" x14ac:dyDescent="0.35">
      <c r="A617" s="49" t="s">
        <v>14339</v>
      </c>
      <c r="B617" s="49" t="s">
        <v>7284</v>
      </c>
      <c r="C617" s="49"/>
      <c r="D617" s="49" t="s">
        <v>1264</v>
      </c>
      <c r="E617" s="49" t="s">
        <v>2785</v>
      </c>
      <c r="F617" s="49" t="s">
        <v>2792</v>
      </c>
      <c r="G617" s="49" t="s">
        <v>2820</v>
      </c>
      <c r="H617" s="49" t="s">
        <v>8</v>
      </c>
      <c r="I617" s="50">
        <v>42872</v>
      </c>
      <c r="J617" s="50">
        <v>42885</v>
      </c>
      <c r="K617" s="50">
        <v>43068</v>
      </c>
      <c r="M617" s="49" t="s">
        <v>7286</v>
      </c>
    </row>
    <row r="618" spans="1:13" x14ac:dyDescent="0.35">
      <c r="A618" s="49" t="s">
        <v>14421</v>
      </c>
      <c r="B618" s="49" t="s">
        <v>8327</v>
      </c>
      <c r="C618" s="49" t="s">
        <v>2937</v>
      </c>
      <c r="D618" s="49" t="s">
        <v>1264</v>
      </c>
      <c r="E618" s="49" t="s">
        <v>2908</v>
      </c>
      <c r="F618" s="49" t="s">
        <v>2939</v>
      </c>
      <c r="G618" s="49" t="s">
        <v>2975</v>
      </c>
      <c r="H618" s="49" t="s">
        <v>980</v>
      </c>
      <c r="I618" s="50">
        <v>42426</v>
      </c>
      <c r="J618" s="50">
        <v>42555</v>
      </c>
      <c r="K618" s="50">
        <v>44380</v>
      </c>
      <c r="M618" s="49" t="s">
        <v>8329</v>
      </c>
    </row>
    <row r="619" spans="1:13" x14ac:dyDescent="0.35">
      <c r="A619" s="49" t="s">
        <v>15317</v>
      </c>
      <c r="B619" s="49" t="s">
        <v>11180</v>
      </c>
      <c r="C619" s="49"/>
      <c r="D619" s="49" t="s">
        <v>1264</v>
      </c>
      <c r="E619" s="49" t="s">
        <v>2974</v>
      </c>
      <c r="F619" s="49" t="s">
        <v>2825</v>
      </c>
      <c r="G619" s="49" t="s">
        <v>2826</v>
      </c>
      <c r="H619" s="49" t="s">
        <v>2827</v>
      </c>
      <c r="I619" s="50">
        <v>44881</v>
      </c>
      <c r="M619" s="49" t="s">
        <v>11182</v>
      </c>
    </row>
    <row r="620" spans="1:13" x14ac:dyDescent="0.35">
      <c r="A620" s="49" t="s">
        <v>14541</v>
      </c>
      <c r="B620" s="49" t="s">
        <v>10056</v>
      </c>
      <c r="C620" s="49"/>
      <c r="D620" s="49" t="s">
        <v>1264</v>
      </c>
      <c r="E620" s="49" t="s">
        <v>2974</v>
      </c>
      <c r="F620" s="49" t="s">
        <v>2825</v>
      </c>
      <c r="G620" s="49" t="s">
        <v>2776</v>
      </c>
      <c r="H620" s="49" t="s">
        <v>2827</v>
      </c>
      <c r="I620" s="50">
        <v>44050</v>
      </c>
      <c r="M620" s="49" t="s">
        <v>10058</v>
      </c>
    </row>
    <row r="621" spans="1:13" x14ac:dyDescent="0.35">
      <c r="A621" s="49" t="s">
        <v>14186</v>
      </c>
      <c r="B621" s="49" t="s">
        <v>4438</v>
      </c>
      <c r="C621" s="49"/>
      <c r="D621" s="49" t="s">
        <v>1264</v>
      </c>
      <c r="E621" s="49" t="s">
        <v>2785</v>
      </c>
      <c r="F621" s="49" t="s">
        <v>2786</v>
      </c>
      <c r="G621" s="49" t="s">
        <v>2787</v>
      </c>
      <c r="H621" s="49" t="s">
        <v>980</v>
      </c>
      <c r="I621" s="50">
        <v>44277</v>
      </c>
      <c r="K621" s="50">
        <v>45510</v>
      </c>
      <c r="M621" s="49" t="s">
        <v>4440</v>
      </c>
    </row>
    <row r="622" spans="1:13" x14ac:dyDescent="0.35">
      <c r="A622" s="49" t="s">
        <v>14186</v>
      </c>
      <c r="B622" s="49" t="s">
        <v>7310</v>
      </c>
      <c r="C622" s="49"/>
      <c r="D622" s="49" t="s">
        <v>1264</v>
      </c>
      <c r="E622" s="49" t="s">
        <v>2785</v>
      </c>
      <c r="F622" s="49" t="s">
        <v>2786</v>
      </c>
      <c r="G622" s="49" t="s">
        <v>2787</v>
      </c>
      <c r="H622" s="49" t="s">
        <v>980</v>
      </c>
      <c r="I622" s="50">
        <v>43090</v>
      </c>
      <c r="J622" s="50">
        <v>43201</v>
      </c>
      <c r="K622" s="50">
        <v>43932</v>
      </c>
      <c r="M622" s="49" t="s">
        <v>4440</v>
      </c>
    </row>
    <row r="623" spans="1:13" x14ac:dyDescent="0.35">
      <c r="A623" s="49" t="s">
        <v>15318</v>
      </c>
      <c r="B623" s="49" t="s">
        <v>4180</v>
      </c>
      <c r="C623" s="49" t="s">
        <v>857</v>
      </c>
      <c r="D623" s="49" t="s">
        <v>1264</v>
      </c>
      <c r="E623" s="49" t="s">
        <v>2785</v>
      </c>
      <c r="F623" s="49" t="s">
        <v>2792</v>
      </c>
      <c r="G623" s="49" t="s">
        <v>2787</v>
      </c>
      <c r="H623" s="49" t="s">
        <v>857</v>
      </c>
      <c r="I623" s="50">
        <v>44224</v>
      </c>
      <c r="J623" s="50">
        <v>44305</v>
      </c>
      <c r="K623" s="50">
        <v>45428</v>
      </c>
      <c r="M623" s="49" t="s">
        <v>4182</v>
      </c>
    </row>
    <row r="624" spans="1:13" x14ac:dyDescent="0.35">
      <c r="A624" s="49" t="s">
        <v>14574</v>
      </c>
      <c r="B624" s="49" t="s">
        <v>10656</v>
      </c>
      <c r="C624" s="49"/>
      <c r="D624" s="49" t="s">
        <v>1264</v>
      </c>
      <c r="E624" s="49" t="s">
        <v>3443</v>
      </c>
      <c r="F624" s="49" t="s">
        <v>3124</v>
      </c>
      <c r="G624" s="49" t="s">
        <v>4891</v>
      </c>
      <c r="H624" s="49" t="s">
        <v>980</v>
      </c>
      <c r="I624" s="50">
        <v>44174</v>
      </c>
      <c r="M624" s="49" t="s">
        <v>10658</v>
      </c>
    </row>
    <row r="625" spans="1:13" x14ac:dyDescent="0.35">
      <c r="A625" s="49" t="s">
        <v>15635</v>
      </c>
      <c r="B625" s="49" t="s">
        <v>2844</v>
      </c>
      <c r="C625" s="49" t="s">
        <v>2845</v>
      </c>
      <c r="D625" s="49" t="s">
        <v>1264</v>
      </c>
      <c r="E625" s="49" t="s">
        <v>2785</v>
      </c>
      <c r="F625" s="49" t="s">
        <v>2805</v>
      </c>
      <c r="G625" s="49" t="s">
        <v>2787</v>
      </c>
      <c r="H625" s="49" t="s">
        <v>2806</v>
      </c>
      <c r="I625" s="50">
        <v>43867</v>
      </c>
      <c r="J625" s="50">
        <v>43903</v>
      </c>
      <c r="K625" s="50">
        <v>44268</v>
      </c>
      <c r="M625" s="49" t="s">
        <v>2847</v>
      </c>
    </row>
    <row r="626" spans="1:13" x14ac:dyDescent="0.35">
      <c r="A626" s="49" t="s">
        <v>15635</v>
      </c>
      <c r="B626" s="49" t="s">
        <v>4423</v>
      </c>
      <c r="C626" s="49"/>
      <c r="D626" s="49" t="s">
        <v>1264</v>
      </c>
      <c r="E626" s="49" t="s">
        <v>2908</v>
      </c>
      <c r="F626" s="49" t="s">
        <v>2837</v>
      </c>
      <c r="G626" s="49" t="s">
        <v>4330</v>
      </c>
      <c r="H626" s="49" t="s">
        <v>2827</v>
      </c>
      <c r="I626" s="50">
        <v>43446</v>
      </c>
      <c r="M626" s="49" t="s">
        <v>4424</v>
      </c>
    </row>
    <row r="627" spans="1:13" x14ac:dyDescent="0.35">
      <c r="A627" s="49" t="s">
        <v>15635</v>
      </c>
      <c r="B627" s="49" t="s">
        <v>11013</v>
      </c>
      <c r="C627" s="49" t="s">
        <v>5917</v>
      </c>
      <c r="D627" s="49" t="s">
        <v>1264</v>
      </c>
      <c r="E627" s="49" t="s">
        <v>2785</v>
      </c>
      <c r="F627" s="49" t="s">
        <v>3898</v>
      </c>
      <c r="G627" s="49" t="s">
        <v>2776</v>
      </c>
      <c r="H627" s="49" t="s">
        <v>2827</v>
      </c>
      <c r="I627" s="50">
        <v>44621</v>
      </c>
      <c r="M627" s="49" t="s">
        <v>11014</v>
      </c>
    </row>
    <row r="628" spans="1:13" x14ac:dyDescent="0.35">
      <c r="A628" s="49" t="s">
        <v>15635</v>
      </c>
      <c r="B628" s="49" t="s">
        <v>11018</v>
      </c>
      <c r="C628" s="49" t="s">
        <v>5917</v>
      </c>
      <c r="D628" s="49" t="s">
        <v>1264</v>
      </c>
      <c r="E628" s="49" t="s">
        <v>2785</v>
      </c>
      <c r="F628" s="49" t="s">
        <v>3898</v>
      </c>
      <c r="G628" s="49" t="s">
        <v>2776</v>
      </c>
      <c r="H628" s="49" t="s">
        <v>2827</v>
      </c>
      <c r="I628" s="50">
        <v>44621</v>
      </c>
      <c r="M628" s="49" t="s">
        <v>11019</v>
      </c>
    </row>
    <row r="629" spans="1:13" x14ac:dyDescent="0.35">
      <c r="A629" s="49" t="s">
        <v>15319</v>
      </c>
      <c r="B629" s="49" t="s">
        <v>4624</v>
      </c>
      <c r="C629" s="49" t="s">
        <v>4625</v>
      </c>
      <c r="D629" s="49" t="s">
        <v>1264</v>
      </c>
      <c r="E629" s="49" t="s">
        <v>2785</v>
      </c>
      <c r="F629" s="49" t="s">
        <v>4048</v>
      </c>
      <c r="G629" s="49" t="s">
        <v>2787</v>
      </c>
      <c r="H629" s="49" t="s">
        <v>2832</v>
      </c>
      <c r="I629" s="50">
        <v>44526</v>
      </c>
      <c r="K629" s="50">
        <v>45510</v>
      </c>
      <c r="M629" s="49" t="s">
        <v>4627</v>
      </c>
    </row>
    <row r="630" spans="1:13" x14ac:dyDescent="0.35">
      <c r="A630" s="49" t="s">
        <v>15319</v>
      </c>
      <c r="B630" s="49" t="s">
        <v>8580</v>
      </c>
      <c r="C630" s="49" t="s">
        <v>8581</v>
      </c>
      <c r="D630" s="49" t="s">
        <v>1264</v>
      </c>
      <c r="E630" s="49" t="s">
        <v>2908</v>
      </c>
      <c r="F630" s="49" t="s">
        <v>2837</v>
      </c>
      <c r="G630" s="49" t="s">
        <v>2975</v>
      </c>
      <c r="H630" s="49" t="s">
        <v>980</v>
      </c>
      <c r="I630" s="50">
        <v>43279</v>
      </c>
      <c r="J630" s="50">
        <v>43616</v>
      </c>
      <c r="K630" s="50">
        <v>45316</v>
      </c>
      <c r="M630" s="49" t="s">
        <v>4020</v>
      </c>
    </row>
    <row r="631" spans="1:13" x14ac:dyDescent="0.35">
      <c r="A631" s="49" t="s">
        <v>15320</v>
      </c>
      <c r="B631" s="49" t="s">
        <v>13010</v>
      </c>
      <c r="C631" s="49"/>
      <c r="D631" s="49" t="s">
        <v>1264</v>
      </c>
      <c r="E631" s="49" t="s">
        <v>2986</v>
      </c>
      <c r="F631" s="49" t="s">
        <v>2825</v>
      </c>
      <c r="G631" s="49" t="s">
        <v>4891</v>
      </c>
      <c r="H631" s="49" t="s">
        <v>973</v>
      </c>
      <c r="I631" s="52">
        <v>46017.467210648101</v>
      </c>
      <c r="M631" s="49" t="s">
        <v>13012</v>
      </c>
    </row>
    <row r="632" spans="1:13" x14ac:dyDescent="0.35">
      <c r="A632" s="49" t="s">
        <v>15320</v>
      </c>
      <c r="B632" s="49" t="s">
        <v>13013</v>
      </c>
      <c r="C632" s="49"/>
      <c r="D632" s="49" t="s">
        <v>1264</v>
      </c>
      <c r="E632" s="49" t="s">
        <v>2986</v>
      </c>
      <c r="F632" s="49" t="s">
        <v>2825</v>
      </c>
      <c r="G632" s="49" t="s">
        <v>4891</v>
      </c>
      <c r="H632" s="49" t="s">
        <v>973</v>
      </c>
      <c r="I632" s="52">
        <v>46017.493275462999</v>
      </c>
      <c r="M632" s="49" t="s">
        <v>13014</v>
      </c>
    </row>
    <row r="633" spans="1:13" x14ac:dyDescent="0.35">
      <c r="A633" s="49" t="s">
        <v>15320</v>
      </c>
      <c r="B633" s="49" t="s">
        <v>13257</v>
      </c>
      <c r="C633" s="49"/>
      <c r="D633" s="49" t="s">
        <v>1264</v>
      </c>
      <c r="E633" s="49" t="s">
        <v>2986</v>
      </c>
      <c r="F633" s="49" t="s">
        <v>2825</v>
      </c>
      <c r="G633" s="49" t="s">
        <v>4891</v>
      </c>
      <c r="H633" s="49" t="s">
        <v>973</v>
      </c>
      <c r="I633" s="52">
        <v>45940.075208333299</v>
      </c>
      <c r="M633" s="49" t="s">
        <v>13258</v>
      </c>
    </row>
    <row r="634" spans="1:13" x14ac:dyDescent="0.35">
      <c r="A634" s="49" t="s">
        <v>14411</v>
      </c>
      <c r="B634" s="49" t="s">
        <v>8199</v>
      </c>
      <c r="C634" s="49" t="s">
        <v>8200</v>
      </c>
      <c r="D634" s="49" t="s">
        <v>1264</v>
      </c>
      <c r="E634" s="49" t="s">
        <v>2908</v>
      </c>
      <c r="F634" s="49" t="s">
        <v>3010</v>
      </c>
      <c r="G634" s="49" t="s">
        <v>2787</v>
      </c>
      <c r="H634" s="49" t="s">
        <v>980</v>
      </c>
      <c r="I634" s="50">
        <v>40248</v>
      </c>
      <c r="J634" s="50">
        <v>40430</v>
      </c>
      <c r="K634" s="50">
        <v>42255</v>
      </c>
      <c r="M634" s="49" t="s">
        <v>8202</v>
      </c>
    </row>
    <row r="635" spans="1:13" x14ac:dyDescent="0.35">
      <c r="A635" s="49" t="s">
        <v>4132</v>
      </c>
      <c r="B635" s="49" t="s">
        <v>4130</v>
      </c>
      <c r="C635" s="49" t="s">
        <v>4131</v>
      </c>
      <c r="D635" s="49" t="s">
        <v>1264</v>
      </c>
      <c r="E635" s="49" t="s">
        <v>2774</v>
      </c>
      <c r="F635" s="49" t="s">
        <v>2825</v>
      </c>
      <c r="G635" s="49" t="s">
        <v>2921</v>
      </c>
      <c r="H635" s="49" t="s">
        <v>2827</v>
      </c>
      <c r="I635" s="50">
        <v>44104</v>
      </c>
      <c r="J635" s="50">
        <v>44119</v>
      </c>
      <c r="K635" s="50">
        <v>45579</v>
      </c>
      <c r="M635" s="49" t="s">
        <v>4133</v>
      </c>
    </row>
    <row r="636" spans="1:13" x14ac:dyDescent="0.35">
      <c r="A636" s="49" t="s">
        <v>14885</v>
      </c>
      <c r="B636" s="49" t="s">
        <v>5276</v>
      </c>
      <c r="C636" s="49"/>
      <c r="D636" s="49" t="s">
        <v>1264</v>
      </c>
      <c r="E636" s="49" t="s">
        <v>2974</v>
      </c>
      <c r="F636" s="49" t="s">
        <v>2825</v>
      </c>
      <c r="G636" s="49" t="s">
        <v>4330</v>
      </c>
      <c r="H636" s="49" t="s">
        <v>2827</v>
      </c>
      <c r="I636" s="50">
        <v>44278</v>
      </c>
      <c r="M636" s="49" t="s">
        <v>5278</v>
      </c>
    </row>
    <row r="637" spans="1:13" x14ac:dyDescent="0.35">
      <c r="A637" s="49" t="s">
        <v>14885</v>
      </c>
      <c r="B637" s="49" t="s">
        <v>3097</v>
      </c>
      <c r="C637" s="49" t="s">
        <v>3098</v>
      </c>
      <c r="D637" s="49" t="s">
        <v>1264</v>
      </c>
      <c r="E637" s="49" t="s">
        <v>2986</v>
      </c>
      <c r="F637" s="49" t="s">
        <v>2825</v>
      </c>
      <c r="G637" s="49" t="s">
        <v>2787</v>
      </c>
      <c r="H637" s="49" t="s">
        <v>2827</v>
      </c>
      <c r="I637" s="50">
        <v>40060</v>
      </c>
      <c r="J637" s="50">
        <v>40190</v>
      </c>
      <c r="K637" s="50">
        <v>44424</v>
      </c>
      <c r="M637" s="49" t="s">
        <v>3100</v>
      </c>
    </row>
    <row r="638" spans="1:13" x14ac:dyDescent="0.35">
      <c r="A638" s="49" t="s">
        <v>14885</v>
      </c>
      <c r="B638" s="49" t="s">
        <v>7867</v>
      </c>
      <c r="C638" s="49"/>
      <c r="D638" s="49" t="s">
        <v>1264</v>
      </c>
      <c r="E638" s="49" t="s">
        <v>7057</v>
      </c>
      <c r="F638" s="49" t="s">
        <v>2825</v>
      </c>
      <c r="G638" s="49" t="s">
        <v>2826</v>
      </c>
      <c r="H638" s="49" t="s">
        <v>2827</v>
      </c>
      <c r="I638" s="50">
        <v>41243</v>
      </c>
      <c r="J638" s="50">
        <v>41330</v>
      </c>
      <c r="K638" s="50">
        <v>42059</v>
      </c>
      <c r="M638" s="49" t="s">
        <v>3100</v>
      </c>
    </row>
    <row r="639" spans="1:13" x14ac:dyDescent="0.35">
      <c r="A639" s="49" t="s">
        <v>14579</v>
      </c>
      <c r="B639" s="49" t="s">
        <v>10724</v>
      </c>
      <c r="C639" s="49"/>
      <c r="D639" s="49" t="s">
        <v>1264</v>
      </c>
      <c r="E639" s="49" t="s">
        <v>2908</v>
      </c>
      <c r="F639" s="49" t="s">
        <v>2939</v>
      </c>
      <c r="G639" s="49" t="s">
        <v>2776</v>
      </c>
      <c r="H639" s="49" t="s">
        <v>980</v>
      </c>
      <c r="I639" s="50">
        <v>41775</v>
      </c>
      <c r="M639" s="49" t="s">
        <v>10726</v>
      </c>
    </row>
    <row r="640" spans="1:13" x14ac:dyDescent="0.35">
      <c r="A640" s="49" t="s">
        <v>14581</v>
      </c>
      <c r="B640" s="49" t="s">
        <v>10753</v>
      </c>
      <c r="C640" s="49"/>
      <c r="D640" s="49" t="s">
        <v>1264</v>
      </c>
      <c r="E640" s="49" t="s">
        <v>2974</v>
      </c>
      <c r="F640" s="49" t="s">
        <v>3005</v>
      </c>
      <c r="G640" s="49" t="s">
        <v>2776</v>
      </c>
      <c r="H640" s="49" t="s">
        <v>1062</v>
      </c>
      <c r="I640" s="50">
        <v>41558</v>
      </c>
      <c r="M640" s="49" t="s">
        <v>10755</v>
      </c>
    </row>
    <row r="641" spans="1:13" x14ac:dyDescent="0.35">
      <c r="A641" s="49" t="s">
        <v>14886</v>
      </c>
      <c r="B641" s="49" t="s">
        <v>7948</v>
      </c>
      <c r="C641" s="49" t="s">
        <v>7949</v>
      </c>
      <c r="D641" s="49" t="s">
        <v>1264</v>
      </c>
      <c r="E641" s="49" t="s">
        <v>7057</v>
      </c>
      <c r="F641" s="49" t="s">
        <v>2825</v>
      </c>
      <c r="G641" s="49" t="s">
        <v>2787</v>
      </c>
      <c r="H641" s="49" t="s">
        <v>2827</v>
      </c>
      <c r="I641" s="50">
        <v>41887</v>
      </c>
      <c r="J641" s="50">
        <v>42089</v>
      </c>
      <c r="K641" s="50">
        <v>42819</v>
      </c>
      <c r="M641" s="49" t="s">
        <v>3270</v>
      </c>
    </row>
    <row r="642" spans="1:13" x14ac:dyDescent="0.35">
      <c r="A642" s="49" t="s">
        <v>14886</v>
      </c>
      <c r="B642" s="49" t="s">
        <v>8621</v>
      </c>
      <c r="C642" s="49" t="s">
        <v>3411</v>
      </c>
      <c r="D642" s="49" t="s">
        <v>1264</v>
      </c>
      <c r="E642" s="49" t="s">
        <v>7057</v>
      </c>
      <c r="F642" s="49" t="s">
        <v>2825</v>
      </c>
      <c r="G642" s="49" t="s">
        <v>2787</v>
      </c>
      <c r="H642" s="49" t="s">
        <v>2827</v>
      </c>
      <c r="I642" s="50">
        <v>42657</v>
      </c>
      <c r="J642" s="50">
        <v>42688</v>
      </c>
      <c r="K642" s="50">
        <v>43418</v>
      </c>
      <c r="M642" s="49" t="s">
        <v>3270</v>
      </c>
    </row>
    <row r="643" spans="1:13" x14ac:dyDescent="0.35">
      <c r="A643" s="49" t="s">
        <v>15159</v>
      </c>
      <c r="B643" s="49" t="s">
        <v>2883</v>
      </c>
      <c r="C643" s="49" t="s">
        <v>2884</v>
      </c>
      <c r="D643" s="49" t="s">
        <v>1264</v>
      </c>
      <c r="E643" s="49" t="s">
        <v>2785</v>
      </c>
      <c r="F643" s="49" t="s">
        <v>2792</v>
      </c>
      <c r="G643" s="49" t="s">
        <v>2787</v>
      </c>
      <c r="H643" s="49" t="s">
        <v>8</v>
      </c>
      <c r="I643" s="50">
        <v>43634</v>
      </c>
      <c r="J643" s="50">
        <v>43766</v>
      </c>
      <c r="K643" s="50">
        <v>44131</v>
      </c>
      <c r="M643" s="49" t="s">
        <v>2886</v>
      </c>
    </row>
    <row r="644" spans="1:13" x14ac:dyDescent="0.35">
      <c r="A644" s="49" t="s">
        <v>15159</v>
      </c>
      <c r="B644" s="49" t="s">
        <v>3659</v>
      </c>
      <c r="C644" s="49" t="s">
        <v>2818</v>
      </c>
      <c r="D644" s="49" t="s">
        <v>1264</v>
      </c>
      <c r="E644" s="49" t="s">
        <v>2785</v>
      </c>
      <c r="F644" s="49" t="s">
        <v>2792</v>
      </c>
      <c r="G644" s="49" t="s">
        <v>2787</v>
      </c>
      <c r="H644" s="49" t="s">
        <v>8</v>
      </c>
      <c r="I644" s="50">
        <v>43068</v>
      </c>
      <c r="J644" s="50">
        <v>44229</v>
      </c>
      <c r="K644" s="50">
        <v>45428</v>
      </c>
      <c r="M644" s="49" t="s">
        <v>3661</v>
      </c>
    </row>
    <row r="645" spans="1:13" x14ac:dyDescent="0.35">
      <c r="A645" s="49" t="s">
        <v>15159</v>
      </c>
      <c r="B645" s="49" t="s">
        <v>4676</v>
      </c>
      <c r="C645" s="49" t="s">
        <v>4677</v>
      </c>
      <c r="D645" s="49" t="s">
        <v>1264</v>
      </c>
      <c r="E645" s="49" t="s">
        <v>2785</v>
      </c>
      <c r="F645" s="49" t="s">
        <v>2792</v>
      </c>
      <c r="G645" s="49" t="s">
        <v>2787</v>
      </c>
      <c r="H645" s="49" t="s">
        <v>8</v>
      </c>
      <c r="I645" s="50">
        <v>44557</v>
      </c>
      <c r="K645" s="50">
        <v>45512</v>
      </c>
      <c r="M645" s="49" t="s">
        <v>4678</v>
      </c>
    </row>
    <row r="646" spans="1:13" x14ac:dyDescent="0.35">
      <c r="A646" s="49" t="s">
        <v>15159</v>
      </c>
      <c r="B646" s="49" t="s">
        <v>7221</v>
      </c>
      <c r="C646" s="49" t="s">
        <v>2818</v>
      </c>
      <c r="D646" s="49" t="s">
        <v>1264</v>
      </c>
      <c r="E646" s="49" t="s">
        <v>2785</v>
      </c>
      <c r="F646" s="49" t="s">
        <v>2792</v>
      </c>
      <c r="G646" s="49" t="s">
        <v>2787</v>
      </c>
      <c r="H646" s="49" t="s">
        <v>8</v>
      </c>
      <c r="I646" s="50">
        <v>42410</v>
      </c>
      <c r="J646" s="50">
        <v>42866</v>
      </c>
      <c r="K646" s="50">
        <v>43049</v>
      </c>
      <c r="M646" s="49" t="s">
        <v>7222</v>
      </c>
    </row>
    <row r="647" spans="1:13" x14ac:dyDescent="0.35">
      <c r="A647" s="49" t="s">
        <v>15159</v>
      </c>
      <c r="B647" s="49" t="s">
        <v>7348</v>
      </c>
      <c r="C647" s="49" t="s">
        <v>2818</v>
      </c>
      <c r="D647" s="49" t="s">
        <v>1264</v>
      </c>
      <c r="E647" s="49" t="s">
        <v>2785</v>
      </c>
      <c r="F647" s="49" t="s">
        <v>2792</v>
      </c>
      <c r="G647" s="49" t="s">
        <v>2787</v>
      </c>
      <c r="H647" s="49" t="s">
        <v>8</v>
      </c>
      <c r="I647" s="50">
        <v>43104</v>
      </c>
      <c r="J647" s="50">
        <v>43216</v>
      </c>
      <c r="K647" s="50">
        <v>43398</v>
      </c>
      <c r="M647" s="49" t="s">
        <v>7349</v>
      </c>
    </row>
    <row r="648" spans="1:13" x14ac:dyDescent="0.35">
      <c r="A648" s="49" t="s">
        <v>15159</v>
      </c>
      <c r="B648" s="49" t="s">
        <v>7382</v>
      </c>
      <c r="C648" s="49" t="s">
        <v>3962</v>
      </c>
      <c r="D648" s="49" t="s">
        <v>1264</v>
      </c>
      <c r="E648" s="49" t="s">
        <v>2785</v>
      </c>
      <c r="F648" s="49" t="s">
        <v>2792</v>
      </c>
      <c r="G648" s="49" t="s">
        <v>2787</v>
      </c>
      <c r="H648" s="49" t="s">
        <v>8</v>
      </c>
      <c r="I648" s="50">
        <v>43545</v>
      </c>
      <c r="J648" s="50">
        <v>43584</v>
      </c>
      <c r="K648" s="50">
        <v>43949</v>
      </c>
      <c r="M648" s="49" t="s">
        <v>7383</v>
      </c>
    </row>
    <row r="649" spans="1:13" x14ac:dyDescent="0.35">
      <c r="A649" s="49" t="s">
        <v>15159</v>
      </c>
      <c r="B649" s="49" t="s">
        <v>7578</v>
      </c>
      <c r="C649" s="49" t="s">
        <v>2818</v>
      </c>
      <c r="D649" s="49" t="s">
        <v>1264</v>
      </c>
      <c r="E649" s="49" t="s">
        <v>2785</v>
      </c>
      <c r="F649" s="49" t="s">
        <v>2792</v>
      </c>
      <c r="G649" s="49" t="s">
        <v>2787</v>
      </c>
      <c r="H649" s="49" t="s">
        <v>8</v>
      </c>
      <c r="I649" s="50">
        <v>42888</v>
      </c>
      <c r="J649" s="50">
        <v>43014</v>
      </c>
      <c r="K649" s="50">
        <v>43195</v>
      </c>
      <c r="M649" s="49" t="s">
        <v>7383</v>
      </c>
    </row>
    <row r="650" spans="1:13" x14ac:dyDescent="0.35">
      <c r="A650" s="49" t="s">
        <v>15159</v>
      </c>
      <c r="B650" s="49" t="s">
        <v>7776</v>
      </c>
      <c r="C650" s="49" t="s">
        <v>2818</v>
      </c>
      <c r="D650" s="49" t="s">
        <v>1264</v>
      </c>
      <c r="E650" s="49" t="s">
        <v>2785</v>
      </c>
      <c r="F650" s="49" t="s">
        <v>2792</v>
      </c>
      <c r="G650" s="49" t="s">
        <v>2787</v>
      </c>
      <c r="H650" s="49" t="s">
        <v>8</v>
      </c>
      <c r="I650" s="50">
        <v>43242</v>
      </c>
      <c r="J650" s="50">
        <v>43416</v>
      </c>
      <c r="K650" s="50">
        <v>43596</v>
      </c>
      <c r="M650" s="49" t="s">
        <v>7777</v>
      </c>
    </row>
    <row r="651" spans="1:13" x14ac:dyDescent="0.35">
      <c r="A651" s="49" t="s">
        <v>15159</v>
      </c>
      <c r="B651" s="49" t="s">
        <v>9350</v>
      </c>
      <c r="C651" s="49"/>
      <c r="D651" s="49" t="s">
        <v>1264</v>
      </c>
      <c r="E651" s="49" t="s">
        <v>2785</v>
      </c>
      <c r="F651" s="49" t="s">
        <v>2792</v>
      </c>
      <c r="G651" s="49" t="s">
        <v>2776</v>
      </c>
      <c r="H651" s="49" t="s">
        <v>8</v>
      </c>
      <c r="I651" s="50">
        <v>42410</v>
      </c>
      <c r="M651" s="49" t="s">
        <v>9351</v>
      </c>
    </row>
    <row r="652" spans="1:13" x14ac:dyDescent="0.35">
      <c r="A652" s="49" t="s">
        <v>15159</v>
      </c>
      <c r="B652" s="49" t="s">
        <v>9372</v>
      </c>
      <c r="C652" s="49"/>
      <c r="D652" s="49" t="s">
        <v>1264</v>
      </c>
      <c r="E652" s="49" t="s">
        <v>2785</v>
      </c>
      <c r="F652" s="49" t="s">
        <v>2792</v>
      </c>
      <c r="G652" s="49" t="s">
        <v>2776</v>
      </c>
      <c r="H652" s="49" t="s">
        <v>8</v>
      </c>
      <c r="I652" s="50">
        <v>43634</v>
      </c>
      <c r="M652" s="49" t="s">
        <v>9373</v>
      </c>
    </row>
    <row r="653" spans="1:13" x14ac:dyDescent="0.35">
      <c r="A653" s="49" t="s">
        <v>15159</v>
      </c>
      <c r="B653" s="49" t="s">
        <v>9422</v>
      </c>
      <c r="C653" s="49"/>
      <c r="D653" s="49" t="s">
        <v>1264</v>
      </c>
      <c r="E653" s="49" t="s">
        <v>2785</v>
      </c>
      <c r="F653" s="49" t="s">
        <v>2792</v>
      </c>
      <c r="G653" s="49" t="s">
        <v>2776</v>
      </c>
      <c r="H653" s="49" t="s">
        <v>8</v>
      </c>
      <c r="I653" s="50">
        <v>43902</v>
      </c>
      <c r="M653" s="49" t="s">
        <v>9423</v>
      </c>
    </row>
    <row r="654" spans="1:13" x14ac:dyDescent="0.35">
      <c r="A654" s="49" t="s">
        <v>15159</v>
      </c>
      <c r="B654" s="49" t="s">
        <v>9545</v>
      </c>
      <c r="C654" s="49"/>
      <c r="D654" s="49" t="s">
        <v>1264</v>
      </c>
      <c r="E654" s="49" t="s">
        <v>2785</v>
      </c>
      <c r="F654" s="49" t="s">
        <v>2792</v>
      </c>
      <c r="G654" s="49" t="s">
        <v>2776</v>
      </c>
      <c r="H654" s="49" t="s">
        <v>2827</v>
      </c>
      <c r="I654" s="50">
        <v>43671</v>
      </c>
      <c r="M654" s="49" t="s">
        <v>9546</v>
      </c>
    </row>
    <row r="655" spans="1:13" x14ac:dyDescent="0.35">
      <c r="A655" s="49" t="s">
        <v>15159</v>
      </c>
      <c r="B655" s="49" t="s">
        <v>9604</v>
      </c>
      <c r="C655" s="49"/>
      <c r="D655" s="49" t="s">
        <v>1264</v>
      </c>
      <c r="E655" s="49" t="s">
        <v>2785</v>
      </c>
      <c r="F655" s="49" t="s">
        <v>2792</v>
      </c>
      <c r="G655" s="49" t="s">
        <v>2776</v>
      </c>
      <c r="H655" s="49" t="s">
        <v>8</v>
      </c>
      <c r="I655" s="50">
        <v>43104</v>
      </c>
      <c r="M655" s="49" t="s">
        <v>9605</v>
      </c>
    </row>
    <row r="656" spans="1:13" x14ac:dyDescent="0.35">
      <c r="A656" s="49" t="s">
        <v>14406</v>
      </c>
      <c r="B656" s="49" t="s">
        <v>8111</v>
      </c>
      <c r="C656" s="49" t="s">
        <v>8112</v>
      </c>
      <c r="D656" s="49" t="s">
        <v>1264</v>
      </c>
      <c r="E656" s="49" t="s">
        <v>2908</v>
      </c>
      <c r="F656" s="49" t="s">
        <v>2939</v>
      </c>
      <c r="G656" s="49" t="s">
        <v>2787</v>
      </c>
      <c r="H656" s="49" t="s">
        <v>3229</v>
      </c>
      <c r="I656" s="50">
        <v>38432</v>
      </c>
      <c r="J656" s="50">
        <v>39001</v>
      </c>
      <c r="K656" s="50">
        <v>40826</v>
      </c>
      <c r="M656" s="49" t="s">
        <v>8114</v>
      </c>
    </row>
    <row r="657" spans="1:13" x14ac:dyDescent="0.35">
      <c r="A657" s="49" t="s">
        <v>15636</v>
      </c>
      <c r="B657" s="49" t="s">
        <v>3035</v>
      </c>
      <c r="C657" s="49" t="s">
        <v>2937</v>
      </c>
      <c r="D657" s="49" t="s">
        <v>1264</v>
      </c>
      <c r="E657" s="49" t="s">
        <v>2908</v>
      </c>
      <c r="F657" s="49" t="s">
        <v>2939</v>
      </c>
      <c r="G657" s="49" t="s">
        <v>2901</v>
      </c>
      <c r="H657" s="49" t="s">
        <v>980</v>
      </c>
      <c r="I657" s="50">
        <v>38679</v>
      </c>
      <c r="J657" s="50">
        <v>39044</v>
      </c>
      <c r="K657" s="50">
        <v>45928</v>
      </c>
      <c r="M657" s="49" t="s">
        <v>3037</v>
      </c>
    </row>
    <row r="658" spans="1:13" x14ac:dyDescent="0.35">
      <c r="A658" s="49" t="s">
        <v>14075</v>
      </c>
      <c r="B658" s="49" t="s">
        <v>3016</v>
      </c>
      <c r="C658" s="49" t="s">
        <v>3017</v>
      </c>
      <c r="D658" s="49" t="s">
        <v>1264</v>
      </c>
      <c r="E658" s="49" t="s">
        <v>2908</v>
      </c>
      <c r="F658" s="49" t="s">
        <v>2939</v>
      </c>
      <c r="G658" s="49" t="s">
        <v>2787</v>
      </c>
      <c r="H658" s="49" t="s">
        <v>980</v>
      </c>
      <c r="I658" s="50">
        <v>39206</v>
      </c>
      <c r="J658" s="50">
        <v>43325</v>
      </c>
      <c r="K658" s="50">
        <v>45150</v>
      </c>
      <c r="M658" s="49" t="s">
        <v>3019</v>
      </c>
    </row>
    <row r="659" spans="1:13" x14ac:dyDescent="0.35">
      <c r="A659" s="49" t="s">
        <v>14573</v>
      </c>
      <c r="B659" s="49" t="s">
        <v>10631</v>
      </c>
      <c r="C659" s="49"/>
      <c r="D659" s="49" t="s">
        <v>1264</v>
      </c>
      <c r="E659" s="49" t="s">
        <v>2814</v>
      </c>
      <c r="F659" s="49" t="s">
        <v>2939</v>
      </c>
      <c r="G659" s="49" t="s">
        <v>2776</v>
      </c>
      <c r="H659" s="49" t="s">
        <v>980</v>
      </c>
      <c r="I659" s="50">
        <v>44153</v>
      </c>
      <c r="M659" s="49" t="s">
        <v>10633</v>
      </c>
    </row>
    <row r="660" spans="1:13" x14ac:dyDescent="0.35">
      <c r="A660" s="49" t="s">
        <v>14275</v>
      </c>
      <c r="B660" s="49" t="s">
        <v>6241</v>
      </c>
      <c r="C660" s="49" t="s">
        <v>6242</v>
      </c>
      <c r="D660" s="49" t="s">
        <v>1264</v>
      </c>
      <c r="E660" s="49" t="s">
        <v>2785</v>
      </c>
      <c r="F660" s="49" t="s">
        <v>2805</v>
      </c>
      <c r="G660" s="49" t="s">
        <v>4330</v>
      </c>
      <c r="H660" s="49" t="s">
        <v>3717</v>
      </c>
      <c r="I660" s="50">
        <v>45200</v>
      </c>
      <c r="M660" s="49" t="s">
        <v>6244</v>
      </c>
    </row>
    <row r="661" spans="1:13" x14ac:dyDescent="0.35">
      <c r="A661" s="49" t="s">
        <v>14275</v>
      </c>
      <c r="B661" s="49" t="s">
        <v>11615</v>
      </c>
      <c r="C661" s="49"/>
      <c r="D661" s="49" t="s">
        <v>1264</v>
      </c>
      <c r="E661" s="49" t="s">
        <v>2814</v>
      </c>
      <c r="F661" s="49" t="s">
        <v>2837</v>
      </c>
      <c r="G661" s="49" t="s">
        <v>2776</v>
      </c>
      <c r="H661" s="49" t="s">
        <v>980</v>
      </c>
      <c r="I661" s="50">
        <v>45217</v>
      </c>
      <c r="M661" s="49" t="s">
        <v>11616</v>
      </c>
    </row>
    <row r="662" spans="1:13" x14ac:dyDescent="0.35">
      <c r="A662" s="49" t="s">
        <v>15321</v>
      </c>
      <c r="B662" s="49" t="s">
        <v>10906</v>
      </c>
      <c r="C662" s="49" t="s">
        <v>5917</v>
      </c>
      <c r="D662" s="49" t="s">
        <v>1264</v>
      </c>
      <c r="E662" s="49" t="s">
        <v>2785</v>
      </c>
      <c r="F662" s="49" t="s">
        <v>3898</v>
      </c>
      <c r="G662" s="49" t="s">
        <v>2787</v>
      </c>
      <c r="H662" s="49" t="s">
        <v>2827</v>
      </c>
      <c r="I662" s="50">
        <v>44506</v>
      </c>
      <c r="J662" s="50">
        <v>44837</v>
      </c>
      <c r="K662" s="50">
        <v>45429</v>
      </c>
      <c r="M662" s="49" t="s">
        <v>10908</v>
      </c>
    </row>
    <row r="663" spans="1:13" x14ac:dyDescent="0.35">
      <c r="A663" s="49" t="s">
        <v>14832</v>
      </c>
      <c r="B663" s="49" t="s">
        <v>2862</v>
      </c>
      <c r="C663" s="49" t="s">
        <v>2863</v>
      </c>
      <c r="D663" s="49" t="s">
        <v>1264</v>
      </c>
      <c r="E663" s="49" t="s">
        <v>2814</v>
      </c>
      <c r="F663" s="49" t="s">
        <v>2825</v>
      </c>
      <c r="G663" s="49" t="s">
        <v>2787</v>
      </c>
      <c r="H663" s="49" t="s">
        <v>2827</v>
      </c>
      <c r="I663" s="50">
        <v>42151</v>
      </c>
      <c r="J663" s="50">
        <v>42157</v>
      </c>
      <c r="K663" s="50">
        <v>42340</v>
      </c>
      <c r="M663" s="49" t="s">
        <v>2865</v>
      </c>
    </row>
    <row r="664" spans="1:13" x14ac:dyDescent="0.35">
      <c r="A664" s="49" t="s">
        <v>14832</v>
      </c>
      <c r="B664" s="49" t="s">
        <v>3330</v>
      </c>
      <c r="C664" s="49" t="s">
        <v>3331</v>
      </c>
      <c r="D664" s="49" t="s">
        <v>1264</v>
      </c>
      <c r="E664" s="49" t="s">
        <v>2986</v>
      </c>
      <c r="F664" s="49" t="s">
        <v>2825</v>
      </c>
      <c r="G664" s="49" t="s">
        <v>2820</v>
      </c>
      <c r="H664" s="49" t="s">
        <v>2827</v>
      </c>
      <c r="I664" s="50">
        <v>41439</v>
      </c>
      <c r="J664" s="50">
        <v>41576</v>
      </c>
      <c r="K664" s="50">
        <v>45227</v>
      </c>
      <c r="L664" s="50">
        <v>44133</v>
      </c>
      <c r="M664" s="49" t="s">
        <v>3270</v>
      </c>
    </row>
    <row r="665" spans="1:13" x14ac:dyDescent="0.35">
      <c r="A665" s="49" t="s">
        <v>14832</v>
      </c>
      <c r="B665" s="49" t="s">
        <v>4882</v>
      </c>
      <c r="C665" s="49" t="s">
        <v>3768</v>
      </c>
      <c r="D665" s="49" t="s">
        <v>1264</v>
      </c>
      <c r="E665" s="49" t="s">
        <v>3443</v>
      </c>
      <c r="F665" s="49" t="s">
        <v>3124</v>
      </c>
      <c r="G665" s="49" t="s">
        <v>2901</v>
      </c>
      <c r="H665" s="49" t="s">
        <v>980</v>
      </c>
      <c r="I665" s="50">
        <v>44538</v>
      </c>
      <c r="J665" s="50">
        <v>44642</v>
      </c>
      <c r="K665" s="50">
        <v>46467</v>
      </c>
    </row>
    <row r="666" spans="1:13" x14ac:dyDescent="0.35">
      <c r="A666" s="49" t="s">
        <v>14832</v>
      </c>
      <c r="B666" s="49" t="s">
        <v>10909</v>
      </c>
      <c r="C666" s="49"/>
      <c r="D666" s="49" t="s">
        <v>1264</v>
      </c>
      <c r="E666" s="49" t="s">
        <v>2814</v>
      </c>
      <c r="F666" s="49" t="s">
        <v>3005</v>
      </c>
      <c r="G666" s="49" t="s">
        <v>2776</v>
      </c>
      <c r="H666" s="49" t="s">
        <v>3229</v>
      </c>
      <c r="I666" s="50">
        <v>44526</v>
      </c>
      <c r="M666" s="49" t="s">
        <v>10910</v>
      </c>
    </row>
    <row r="667" spans="1:13" x14ac:dyDescent="0.35">
      <c r="A667" s="49" t="s">
        <v>8119</v>
      </c>
      <c r="B667" s="49" t="s">
        <v>8117</v>
      </c>
      <c r="C667" s="49" t="s">
        <v>8118</v>
      </c>
      <c r="D667" s="49" t="s">
        <v>1264</v>
      </c>
      <c r="E667" s="49" t="s">
        <v>7057</v>
      </c>
      <c r="F667" s="49" t="s">
        <v>2825</v>
      </c>
      <c r="G667" s="49" t="s">
        <v>2787</v>
      </c>
      <c r="H667" s="49" t="s">
        <v>2827</v>
      </c>
      <c r="I667" s="50">
        <v>39927</v>
      </c>
      <c r="J667" s="50">
        <v>40007</v>
      </c>
      <c r="K667" s="50">
        <v>42569</v>
      </c>
      <c r="M667" s="49" t="s">
        <v>8120</v>
      </c>
    </row>
    <row r="668" spans="1:13" x14ac:dyDescent="0.35">
      <c r="A668" s="49" t="s">
        <v>8119</v>
      </c>
      <c r="B668" s="49" t="s">
        <v>8614</v>
      </c>
      <c r="C668" s="49" t="s">
        <v>8615</v>
      </c>
      <c r="D668" s="49" t="s">
        <v>1264</v>
      </c>
      <c r="E668" s="49" t="s">
        <v>2986</v>
      </c>
      <c r="F668" s="49" t="s">
        <v>2825</v>
      </c>
      <c r="G668" s="49" t="s">
        <v>2787</v>
      </c>
      <c r="H668" s="49" t="s">
        <v>2827</v>
      </c>
      <c r="I668" s="50">
        <v>42621</v>
      </c>
      <c r="J668" s="50">
        <v>42983</v>
      </c>
      <c r="K668" s="50">
        <v>44079</v>
      </c>
      <c r="M668" s="49" t="s">
        <v>8617</v>
      </c>
    </row>
    <row r="669" spans="1:13" x14ac:dyDescent="0.35">
      <c r="A669" s="49" t="s">
        <v>14629</v>
      </c>
      <c r="B669" s="49" t="s">
        <v>12337</v>
      </c>
      <c r="C669" s="49" t="s">
        <v>3586</v>
      </c>
      <c r="D669" s="49" t="s">
        <v>1264</v>
      </c>
      <c r="E669" s="49" t="s">
        <v>2785</v>
      </c>
      <c r="F669" s="49" t="s">
        <v>2786</v>
      </c>
      <c r="G669" s="49" t="s">
        <v>2776</v>
      </c>
      <c r="H669" s="49" t="s">
        <v>980</v>
      </c>
      <c r="I669" s="50">
        <v>45378</v>
      </c>
      <c r="M669" s="49" t="s">
        <v>12339</v>
      </c>
    </row>
    <row r="670" spans="1:13" x14ac:dyDescent="0.35">
      <c r="A670" s="49" t="s">
        <v>15637</v>
      </c>
      <c r="B670" s="49" t="s">
        <v>3259</v>
      </c>
      <c r="C670" s="49" t="s">
        <v>3260</v>
      </c>
      <c r="D670" s="49" t="s">
        <v>1264</v>
      </c>
      <c r="E670" s="49" t="s">
        <v>2774</v>
      </c>
      <c r="F670" s="49" t="s">
        <v>2900</v>
      </c>
      <c r="G670" s="49" t="s">
        <v>2901</v>
      </c>
      <c r="H670" s="49" t="s">
        <v>3229</v>
      </c>
      <c r="I670" s="50">
        <v>41327</v>
      </c>
      <c r="J670" s="50">
        <v>41465</v>
      </c>
      <c r="K670" s="50">
        <v>45837</v>
      </c>
      <c r="M670" s="49" t="s">
        <v>3262</v>
      </c>
    </row>
    <row r="671" spans="1:13" x14ac:dyDescent="0.35">
      <c r="A671" s="49" t="s">
        <v>14887</v>
      </c>
      <c r="B671" s="49" t="s">
        <v>5026</v>
      </c>
      <c r="C671" s="49" t="s">
        <v>3768</v>
      </c>
      <c r="D671" s="49" t="s">
        <v>1264</v>
      </c>
      <c r="E671" s="49" t="s">
        <v>3443</v>
      </c>
      <c r="F671" s="49" t="s">
        <v>3124</v>
      </c>
      <c r="G671" s="49" t="s">
        <v>2901</v>
      </c>
      <c r="H671" s="49" t="s">
        <v>980</v>
      </c>
      <c r="I671" s="50">
        <v>44799</v>
      </c>
      <c r="J671" s="50">
        <v>44817</v>
      </c>
      <c r="K671" s="50">
        <v>46642</v>
      </c>
    </row>
    <row r="672" spans="1:13" x14ac:dyDescent="0.35">
      <c r="A672" s="49" t="s">
        <v>15148</v>
      </c>
      <c r="B672" s="49" t="s">
        <v>9377</v>
      </c>
      <c r="C672" s="49" t="s">
        <v>9378</v>
      </c>
      <c r="D672" s="49" t="s">
        <v>1264</v>
      </c>
      <c r="E672" s="49" t="s">
        <v>2785</v>
      </c>
      <c r="F672" s="49" t="s">
        <v>2792</v>
      </c>
      <c r="G672" s="49" t="s">
        <v>2776</v>
      </c>
      <c r="H672" s="49" t="s">
        <v>8</v>
      </c>
      <c r="I672" s="50">
        <v>44112</v>
      </c>
      <c r="M672" s="49" t="s">
        <v>9380</v>
      </c>
    </row>
    <row r="673" spans="1:13" x14ac:dyDescent="0.35">
      <c r="A673" s="49" t="s">
        <v>14401</v>
      </c>
      <c r="B673" s="49" t="s">
        <v>8056</v>
      </c>
      <c r="C673" s="49" t="s">
        <v>8057</v>
      </c>
      <c r="D673" s="49" t="s">
        <v>1264</v>
      </c>
      <c r="E673" s="49" t="s">
        <v>2908</v>
      </c>
      <c r="F673" s="49" t="s">
        <v>3010</v>
      </c>
      <c r="G673" s="49" t="s">
        <v>2787</v>
      </c>
      <c r="H673" s="49" t="s">
        <v>980</v>
      </c>
      <c r="I673" s="50">
        <v>37847</v>
      </c>
      <c r="J673" s="50">
        <v>38183</v>
      </c>
      <c r="K673" s="50">
        <v>40008</v>
      </c>
      <c r="M673" s="49" t="s">
        <v>3100</v>
      </c>
    </row>
    <row r="674" spans="1:13" x14ac:dyDescent="0.35">
      <c r="A674" s="49" t="s">
        <v>14401</v>
      </c>
      <c r="B674" s="49" t="s">
        <v>8191</v>
      </c>
      <c r="C674" s="49" t="s">
        <v>3894</v>
      </c>
      <c r="D674" s="49" t="s">
        <v>1264</v>
      </c>
      <c r="E674" s="49" t="s">
        <v>2908</v>
      </c>
      <c r="F674" s="49" t="s">
        <v>3010</v>
      </c>
      <c r="G674" s="49" t="s">
        <v>2901</v>
      </c>
      <c r="H674" s="49" t="s">
        <v>980</v>
      </c>
      <c r="I674" s="50">
        <v>38531</v>
      </c>
      <c r="J674" s="50">
        <v>39303</v>
      </c>
      <c r="K674" s="50">
        <v>46202</v>
      </c>
      <c r="M674" s="49" t="s">
        <v>8192</v>
      </c>
    </row>
    <row r="675" spans="1:13" x14ac:dyDescent="0.35">
      <c r="A675" s="49" t="s">
        <v>15638</v>
      </c>
      <c r="B675" s="49" t="s">
        <v>10335</v>
      </c>
      <c r="C675" s="49"/>
      <c r="D675" s="49" t="s">
        <v>1264</v>
      </c>
      <c r="E675" s="49" t="s">
        <v>2814</v>
      </c>
      <c r="F675" s="49" t="s">
        <v>2837</v>
      </c>
      <c r="G675" s="49" t="s">
        <v>2776</v>
      </c>
      <c r="H675" s="49" t="s">
        <v>980</v>
      </c>
      <c r="I675" s="50">
        <v>43339</v>
      </c>
      <c r="M675" s="49" t="s">
        <v>10337</v>
      </c>
    </row>
    <row r="676" spans="1:13" x14ac:dyDescent="0.35">
      <c r="A676" s="49" t="s">
        <v>14389</v>
      </c>
      <c r="B676" s="49" t="s">
        <v>7936</v>
      </c>
      <c r="C676" s="49"/>
      <c r="D676" s="49" t="s">
        <v>1264</v>
      </c>
      <c r="E676" s="49" t="s">
        <v>2974</v>
      </c>
      <c r="F676" s="49" t="s">
        <v>2825</v>
      </c>
      <c r="G676" s="49" t="s">
        <v>2787</v>
      </c>
      <c r="H676" s="49" t="s">
        <v>2827</v>
      </c>
      <c r="I676" s="50">
        <v>37092</v>
      </c>
      <c r="J676" s="50">
        <v>37418</v>
      </c>
      <c r="K676" s="50">
        <v>38513</v>
      </c>
      <c r="M676" s="49" t="s">
        <v>7938</v>
      </c>
    </row>
    <row r="677" spans="1:13" x14ac:dyDescent="0.35">
      <c r="A677" s="49" t="s">
        <v>14775</v>
      </c>
      <c r="B677" s="49" t="s">
        <v>10347</v>
      </c>
      <c r="C677" s="49"/>
      <c r="D677" s="49" t="s">
        <v>1264</v>
      </c>
      <c r="E677" s="49" t="s">
        <v>2814</v>
      </c>
      <c r="F677" s="49" t="s">
        <v>2825</v>
      </c>
      <c r="G677" s="49" t="s">
        <v>2776</v>
      </c>
      <c r="H677" s="49" t="s">
        <v>2827</v>
      </c>
      <c r="I677" s="50">
        <v>42461</v>
      </c>
      <c r="M677" s="49" t="s">
        <v>10349</v>
      </c>
    </row>
    <row r="678" spans="1:13" x14ac:dyDescent="0.35">
      <c r="A678" s="49" t="s">
        <v>14299</v>
      </c>
      <c r="B678" s="49" t="s">
        <v>6618</v>
      </c>
      <c r="C678" s="49"/>
      <c r="D678" s="49" t="s">
        <v>1264</v>
      </c>
      <c r="E678" s="49" t="s">
        <v>2774</v>
      </c>
      <c r="F678" s="49" t="s">
        <v>2805</v>
      </c>
      <c r="G678" s="49" t="s">
        <v>2826</v>
      </c>
      <c r="H678" s="49" t="s">
        <v>8</v>
      </c>
      <c r="I678" s="50">
        <v>45425</v>
      </c>
      <c r="J678" s="50">
        <v>45425</v>
      </c>
      <c r="K678" s="50">
        <v>46885</v>
      </c>
      <c r="M678" s="49" t="s">
        <v>6620</v>
      </c>
    </row>
    <row r="679" spans="1:13" x14ac:dyDescent="0.35">
      <c r="A679" s="49" t="s">
        <v>15278</v>
      </c>
      <c r="B679" s="49" t="s">
        <v>9622</v>
      </c>
      <c r="C679" s="49"/>
      <c r="D679" s="49" t="s">
        <v>1264</v>
      </c>
      <c r="E679" s="49" t="s">
        <v>3443</v>
      </c>
      <c r="F679" s="49" t="s">
        <v>3124</v>
      </c>
      <c r="G679" s="49" t="s">
        <v>2776</v>
      </c>
      <c r="H679" s="49" t="s">
        <v>980</v>
      </c>
      <c r="I679" s="50">
        <v>42305</v>
      </c>
      <c r="M679" s="49" t="s">
        <v>9624</v>
      </c>
    </row>
    <row r="680" spans="1:13" x14ac:dyDescent="0.35">
      <c r="A680" s="49" t="s">
        <v>15322</v>
      </c>
      <c r="B680" s="49" t="s">
        <v>6478</v>
      </c>
      <c r="C680" s="49" t="s">
        <v>3582</v>
      </c>
      <c r="D680" s="49" t="s">
        <v>1264</v>
      </c>
      <c r="E680" s="49" t="s">
        <v>3443</v>
      </c>
      <c r="F680" s="49" t="s">
        <v>2792</v>
      </c>
      <c r="G680" s="49" t="s">
        <v>2901</v>
      </c>
      <c r="H680" s="49" t="s">
        <v>980</v>
      </c>
      <c r="I680" s="50">
        <v>43129</v>
      </c>
      <c r="J680" s="50">
        <v>45287</v>
      </c>
      <c r="K680" s="50">
        <v>47113</v>
      </c>
      <c r="M680" s="49" t="s">
        <v>3826</v>
      </c>
    </row>
    <row r="681" spans="1:13" x14ac:dyDescent="0.35">
      <c r="A681" s="49" t="s">
        <v>15322</v>
      </c>
      <c r="B681" s="49" t="s">
        <v>9226</v>
      </c>
      <c r="C681" s="49"/>
      <c r="D681" s="49" t="s">
        <v>1264</v>
      </c>
      <c r="E681" s="49" t="s">
        <v>3443</v>
      </c>
      <c r="F681" s="49" t="s">
        <v>3124</v>
      </c>
      <c r="G681" s="49" t="s">
        <v>4891</v>
      </c>
      <c r="H681" s="49" t="s">
        <v>980</v>
      </c>
      <c r="I681" s="50">
        <v>43129</v>
      </c>
      <c r="M681" s="49" t="s">
        <v>3505</v>
      </c>
    </row>
    <row r="682" spans="1:13" x14ac:dyDescent="0.35">
      <c r="A682" s="49" t="s">
        <v>14431</v>
      </c>
      <c r="B682" s="49" t="s">
        <v>8443</v>
      </c>
      <c r="C682" s="49" t="s">
        <v>8444</v>
      </c>
      <c r="D682" s="49" t="s">
        <v>1264</v>
      </c>
      <c r="E682" s="49" t="s">
        <v>2774</v>
      </c>
      <c r="F682" s="49" t="s">
        <v>2900</v>
      </c>
      <c r="G682" s="49" t="s">
        <v>2787</v>
      </c>
      <c r="H682" s="49" t="s">
        <v>973</v>
      </c>
      <c r="I682" s="50">
        <v>41675</v>
      </c>
      <c r="J682" s="50">
        <v>41824</v>
      </c>
      <c r="K682" s="50">
        <v>44015</v>
      </c>
      <c r="M682" s="49" t="s">
        <v>8446</v>
      </c>
    </row>
    <row r="683" spans="1:13" x14ac:dyDescent="0.35">
      <c r="A683" s="49" t="s">
        <v>14395</v>
      </c>
      <c r="B683" s="49" t="s">
        <v>8020</v>
      </c>
      <c r="C683" s="49" t="s">
        <v>8021</v>
      </c>
      <c r="D683" s="49" t="s">
        <v>1264</v>
      </c>
      <c r="E683" s="49" t="s">
        <v>2814</v>
      </c>
      <c r="F683" s="49" t="s">
        <v>2805</v>
      </c>
      <c r="G683" s="49" t="s">
        <v>2787</v>
      </c>
      <c r="H683" s="49" t="s">
        <v>980</v>
      </c>
      <c r="I683" s="50">
        <v>38007</v>
      </c>
      <c r="J683" s="50">
        <v>38153</v>
      </c>
      <c r="K683" s="50">
        <v>39979</v>
      </c>
      <c r="M683" s="49" t="s">
        <v>3100</v>
      </c>
    </row>
    <row r="684" spans="1:13" x14ac:dyDescent="0.35">
      <c r="A684" s="49" t="s">
        <v>15323</v>
      </c>
      <c r="B684" s="49" t="s">
        <v>9437</v>
      </c>
      <c r="C684" s="49"/>
      <c r="D684" s="49" t="s">
        <v>1264</v>
      </c>
      <c r="E684" s="49" t="s">
        <v>2785</v>
      </c>
      <c r="F684" s="49" t="s">
        <v>2792</v>
      </c>
      <c r="G684" s="49" t="s">
        <v>2776</v>
      </c>
      <c r="H684" s="49" t="s">
        <v>980</v>
      </c>
      <c r="I684" s="50">
        <v>44242</v>
      </c>
      <c r="M684" s="49" t="s">
        <v>9439</v>
      </c>
    </row>
    <row r="685" spans="1:13" x14ac:dyDescent="0.35">
      <c r="A685" s="49" t="s">
        <v>14686</v>
      </c>
      <c r="B685" s="49" t="s">
        <v>13920</v>
      </c>
      <c r="C685" s="49"/>
      <c r="D685" s="49" t="s">
        <v>1264</v>
      </c>
      <c r="E685" s="49" t="s">
        <v>2774</v>
      </c>
      <c r="F685" s="49" t="s">
        <v>2825</v>
      </c>
      <c r="G685" s="49" t="s">
        <v>2787</v>
      </c>
      <c r="H685" s="49" t="s">
        <v>2827</v>
      </c>
      <c r="I685" s="50">
        <v>42177</v>
      </c>
      <c r="M685" s="49" t="s">
        <v>3470</v>
      </c>
    </row>
    <row r="686" spans="1:13" x14ac:dyDescent="0.35">
      <c r="A686" s="49" t="s">
        <v>3450</v>
      </c>
      <c r="B686" s="49" t="s">
        <v>3448</v>
      </c>
      <c r="C686" s="49" t="s">
        <v>3449</v>
      </c>
      <c r="D686" s="49" t="s">
        <v>1264</v>
      </c>
      <c r="E686" s="49" t="s">
        <v>2774</v>
      </c>
      <c r="F686" s="49" t="s">
        <v>2900</v>
      </c>
      <c r="G686" s="49" t="s">
        <v>2787</v>
      </c>
      <c r="H686" s="49" t="s">
        <v>3229</v>
      </c>
      <c r="I686" s="50">
        <v>42299</v>
      </c>
      <c r="J686" s="50">
        <v>42502</v>
      </c>
      <c r="K686" s="50">
        <v>44692</v>
      </c>
      <c r="M686" s="49" t="s">
        <v>3451</v>
      </c>
    </row>
    <row r="687" spans="1:13" x14ac:dyDescent="0.35">
      <c r="A687" s="49" t="s">
        <v>3450</v>
      </c>
      <c r="B687" s="49" t="s">
        <v>4126</v>
      </c>
      <c r="C687" s="49" t="s">
        <v>4127</v>
      </c>
      <c r="D687" s="49" t="s">
        <v>1264</v>
      </c>
      <c r="E687" s="49" t="s">
        <v>2774</v>
      </c>
      <c r="F687" s="49" t="s">
        <v>2900</v>
      </c>
      <c r="G687" s="49" t="s">
        <v>2787</v>
      </c>
      <c r="H687" s="49" t="s">
        <v>980</v>
      </c>
      <c r="I687" s="50">
        <v>44098</v>
      </c>
      <c r="J687" s="50">
        <v>44132</v>
      </c>
      <c r="K687" s="50">
        <v>45592</v>
      </c>
      <c r="M687" s="49" t="s">
        <v>4129</v>
      </c>
    </row>
    <row r="688" spans="1:13" x14ac:dyDescent="0.35">
      <c r="A688" s="49" t="s">
        <v>3450</v>
      </c>
      <c r="B688" s="49" t="s">
        <v>13908</v>
      </c>
      <c r="C688" s="49"/>
      <c r="D688" s="49" t="s">
        <v>1264</v>
      </c>
      <c r="E688" s="49" t="s">
        <v>2774</v>
      </c>
      <c r="F688" s="49" t="s">
        <v>5254</v>
      </c>
      <c r="G688" s="49" t="s">
        <v>2776</v>
      </c>
      <c r="H688" s="49" t="s">
        <v>973</v>
      </c>
      <c r="I688" s="50">
        <v>42299</v>
      </c>
      <c r="M688" s="49" t="s">
        <v>13909</v>
      </c>
    </row>
    <row r="689" spans="1:13" x14ac:dyDescent="0.35">
      <c r="A689" s="49" t="s">
        <v>15324</v>
      </c>
      <c r="B689" s="49" t="s">
        <v>3786</v>
      </c>
      <c r="C689" s="49" t="s">
        <v>3582</v>
      </c>
      <c r="D689" s="49" t="s">
        <v>1264</v>
      </c>
      <c r="E689" s="49" t="s">
        <v>3443</v>
      </c>
      <c r="F689" s="49" t="s">
        <v>3124</v>
      </c>
      <c r="G689" s="49" t="s">
        <v>2787</v>
      </c>
      <c r="H689" s="49" t="s">
        <v>980</v>
      </c>
      <c r="I689" s="50">
        <v>43292</v>
      </c>
      <c r="J689" s="50">
        <v>43362</v>
      </c>
      <c r="K689" s="50">
        <v>45187</v>
      </c>
      <c r="M689" s="49" t="s">
        <v>3788</v>
      </c>
    </row>
    <row r="690" spans="1:13" x14ac:dyDescent="0.35">
      <c r="A690" s="49" t="s">
        <v>170</v>
      </c>
      <c r="B690" s="49" t="s">
        <v>6634</v>
      </c>
      <c r="C690" s="49" t="s">
        <v>6635</v>
      </c>
      <c r="D690" s="49" t="s">
        <v>1264</v>
      </c>
      <c r="E690" s="49" t="s">
        <v>2774</v>
      </c>
      <c r="F690" s="49" t="s">
        <v>4842</v>
      </c>
      <c r="G690" s="49" t="s">
        <v>4330</v>
      </c>
      <c r="H690" s="49" t="s">
        <v>2827</v>
      </c>
      <c r="I690" s="50">
        <v>45271</v>
      </c>
      <c r="M690" s="49" t="s">
        <v>6637</v>
      </c>
    </row>
    <row r="691" spans="1:13" x14ac:dyDescent="0.35">
      <c r="A691" s="49" t="s">
        <v>170</v>
      </c>
      <c r="B691" s="49" t="s">
        <v>11789</v>
      </c>
      <c r="C691" s="49" t="s">
        <v>11790</v>
      </c>
      <c r="D691" s="49" t="s">
        <v>1264</v>
      </c>
      <c r="E691" s="49" t="s">
        <v>2774</v>
      </c>
      <c r="F691" s="49" t="s">
        <v>3005</v>
      </c>
      <c r="G691" s="49" t="s">
        <v>2776</v>
      </c>
      <c r="H691" s="49" t="s">
        <v>1062</v>
      </c>
      <c r="I691" s="50">
        <v>45271</v>
      </c>
      <c r="M691" s="49" t="s">
        <v>11791</v>
      </c>
    </row>
    <row r="692" spans="1:13" x14ac:dyDescent="0.35">
      <c r="A692" s="49" t="s">
        <v>170</v>
      </c>
      <c r="B692" s="49" t="s">
        <v>11843</v>
      </c>
      <c r="C692" s="49" t="s">
        <v>11844</v>
      </c>
      <c r="D692" s="49" t="s">
        <v>1264</v>
      </c>
      <c r="E692" s="49" t="s">
        <v>2774</v>
      </c>
      <c r="F692" s="49" t="s">
        <v>4842</v>
      </c>
      <c r="G692" s="49" t="s">
        <v>2776</v>
      </c>
      <c r="H692" s="49" t="s">
        <v>3207</v>
      </c>
      <c r="I692" s="50">
        <v>45288</v>
      </c>
      <c r="M692" s="49" t="s">
        <v>11845</v>
      </c>
    </row>
    <row r="693" spans="1:13" x14ac:dyDescent="0.35">
      <c r="A693" s="49" t="s">
        <v>170</v>
      </c>
      <c r="B693" s="49" t="s">
        <v>12087</v>
      </c>
      <c r="C693" s="49"/>
      <c r="D693" s="49" t="s">
        <v>1264</v>
      </c>
      <c r="E693" s="49" t="s">
        <v>2814</v>
      </c>
      <c r="F693" s="49" t="s">
        <v>5254</v>
      </c>
      <c r="G693" s="49" t="s">
        <v>4891</v>
      </c>
      <c r="H693" s="49" t="s">
        <v>2827</v>
      </c>
      <c r="I693" s="50">
        <v>45334</v>
      </c>
      <c r="M693" s="49" t="s">
        <v>12088</v>
      </c>
    </row>
    <row r="694" spans="1:13" x14ac:dyDescent="0.35">
      <c r="A694" s="49" t="s">
        <v>14468</v>
      </c>
      <c r="B694" s="49" t="s">
        <v>9012</v>
      </c>
      <c r="C694" s="49"/>
      <c r="D694" s="49" t="s">
        <v>1264</v>
      </c>
      <c r="E694" s="49" t="s">
        <v>2814</v>
      </c>
      <c r="F694" s="49" t="s">
        <v>2825</v>
      </c>
      <c r="G694" s="49" t="s">
        <v>2787</v>
      </c>
      <c r="H694" s="49" t="s">
        <v>2827</v>
      </c>
      <c r="I694" s="50">
        <v>42482</v>
      </c>
      <c r="J694" s="50">
        <v>42600</v>
      </c>
      <c r="K694" s="50">
        <v>42784</v>
      </c>
      <c r="M694" s="49" t="s">
        <v>9014</v>
      </c>
    </row>
    <row r="695" spans="1:13" x14ac:dyDescent="0.35">
      <c r="A695" s="49" t="s">
        <v>11933</v>
      </c>
      <c r="B695" s="49" t="s">
        <v>10029</v>
      </c>
      <c r="C695" s="49" t="s">
        <v>6999</v>
      </c>
      <c r="D695" s="49" t="s">
        <v>1264</v>
      </c>
      <c r="E695" s="49" t="s">
        <v>2785</v>
      </c>
      <c r="F695" s="49" t="s">
        <v>2792</v>
      </c>
      <c r="G695" s="49" t="s">
        <v>2776</v>
      </c>
      <c r="H695" s="49" t="s">
        <v>8</v>
      </c>
      <c r="I695" s="50">
        <v>41610</v>
      </c>
      <c r="M695" s="49" t="s">
        <v>10031</v>
      </c>
    </row>
    <row r="696" spans="1:13" x14ac:dyDescent="0.35">
      <c r="A696" s="49" t="s">
        <v>11933</v>
      </c>
      <c r="B696" s="49" t="s">
        <v>11932</v>
      </c>
      <c r="C696" s="49"/>
      <c r="D696" s="49" t="s">
        <v>1264</v>
      </c>
      <c r="E696" s="49" t="s">
        <v>2986</v>
      </c>
      <c r="F696" s="49" t="s">
        <v>2825</v>
      </c>
      <c r="G696" s="49" t="s">
        <v>4891</v>
      </c>
      <c r="H696" s="49" t="s">
        <v>2827</v>
      </c>
      <c r="I696" s="50">
        <v>45299</v>
      </c>
      <c r="M696" s="49" t="s">
        <v>11934</v>
      </c>
    </row>
    <row r="697" spans="1:13" x14ac:dyDescent="0.35">
      <c r="A697" s="49" t="s">
        <v>765</v>
      </c>
      <c r="B697" s="49" t="s">
        <v>10509</v>
      </c>
      <c r="C697" s="49" t="s">
        <v>3541</v>
      </c>
      <c r="D697" s="49" t="s">
        <v>1264</v>
      </c>
      <c r="E697" s="49" t="s">
        <v>2814</v>
      </c>
      <c r="F697" s="49" t="s">
        <v>2825</v>
      </c>
      <c r="G697" s="49" t="s">
        <v>2776</v>
      </c>
      <c r="H697" s="49" t="s">
        <v>2827</v>
      </c>
      <c r="I697" s="50">
        <v>42696</v>
      </c>
      <c r="M697" s="49" t="s">
        <v>10511</v>
      </c>
    </row>
    <row r="698" spans="1:13" x14ac:dyDescent="0.35">
      <c r="A698" s="49" t="s">
        <v>765</v>
      </c>
      <c r="B698" s="49" t="s">
        <v>10584</v>
      </c>
      <c r="C698" s="49" t="s">
        <v>2863</v>
      </c>
      <c r="D698" s="49" t="s">
        <v>1264</v>
      </c>
      <c r="E698" s="49" t="s">
        <v>2814</v>
      </c>
      <c r="F698" s="49" t="s">
        <v>2825</v>
      </c>
      <c r="G698" s="49" t="s">
        <v>2776</v>
      </c>
      <c r="H698" s="49" t="s">
        <v>2827</v>
      </c>
      <c r="I698" s="50">
        <v>42324</v>
      </c>
      <c r="M698" s="49" t="s">
        <v>3470</v>
      </c>
    </row>
    <row r="699" spans="1:13" x14ac:dyDescent="0.35">
      <c r="A699" s="49" t="s">
        <v>14833</v>
      </c>
      <c r="B699" s="49" t="s">
        <v>8788</v>
      </c>
      <c r="C699" s="49" t="s">
        <v>5940</v>
      </c>
      <c r="D699" s="49" t="s">
        <v>1264</v>
      </c>
      <c r="E699" s="49" t="s">
        <v>2785</v>
      </c>
      <c r="F699" s="49" t="s">
        <v>2786</v>
      </c>
      <c r="G699" s="49" t="s">
        <v>2787</v>
      </c>
      <c r="H699" s="49" t="s">
        <v>980</v>
      </c>
      <c r="I699" s="50">
        <v>42136</v>
      </c>
      <c r="J699" s="50">
        <v>42186</v>
      </c>
      <c r="K699" s="50">
        <v>42369</v>
      </c>
      <c r="M699" s="49" t="s">
        <v>7534</v>
      </c>
    </row>
    <row r="700" spans="1:13" x14ac:dyDescent="0.35">
      <c r="A700" s="49" t="s">
        <v>14746</v>
      </c>
      <c r="B700" s="49" t="s">
        <v>8486</v>
      </c>
      <c r="C700" s="49" t="s">
        <v>8487</v>
      </c>
      <c r="D700" s="49" t="s">
        <v>1264</v>
      </c>
      <c r="E700" s="49" t="s">
        <v>2908</v>
      </c>
      <c r="F700" s="49" t="s">
        <v>3010</v>
      </c>
      <c r="G700" s="49" t="s">
        <v>2787</v>
      </c>
      <c r="H700" s="49" t="s">
        <v>980</v>
      </c>
      <c r="I700" s="50">
        <v>29125</v>
      </c>
      <c r="J700" s="50">
        <v>29918</v>
      </c>
      <c r="K700" s="50">
        <v>39967</v>
      </c>
      <c r="M700" s="49" t="s">
        <v>8489</v>
      </c>
    </row>
    <row r="701" spans="1:13" x14ac:dyDescent="0.35">
      <c r="A701" s="49" t="s">
        <v>14753</v>
      </c>
      <c r="B701" s="49" t="s">
        <v>8859</v>
      </c>
      <c r="C701" s="49" t="s">
        <v>7241</v>
      </c>
      <c r="D701" s="49" t="s">
        <v>1264</v>
      </c>
      <c r="E701" s="49" t="s">
        <v>2785</v>
      </c>
      <c r="F701" s="49" t="s">
        <v>2792</v>
      </c>
      <c r="G701" s="49" t="s">
        <v>2787</v>
      </c>
      <c r="H701" s="49" t="s">
        <v>8</v>
      </c>
      <c r="I701" s="50">
        <v>41514</v>
      </c>
      <c r="J701" s="50">
        <v>41542</v>
      </c>
      <c r="K701" s="50">
        <v>41722</v>
      </c>
      <c r="M701" s="49" t="s">
        <v>8861</v>
      </c>
    </row>
    <row r="702" spans="1:13" x14ac:dyDescent="0.35">
      <c r="A702" s="49" t="s">
        <v>14753</v>
      </c>
      <c r="B702" s="49" t="s">
        <v>9729</v>
      </c>
      <c r="C702" s="49" t="s">
        <v>2818</v>
      </c>
      <c r="D702" s="49" t="s">
        <v>1264</v>
      </c>
      <c r="E702" s="49" t="s">
        <v>2785</v>
      </c>
      <c r="F702" s="49" t="s">
        <v>2792</v>
      </c>
      <c r="G702" s="49" t="s">
        <v>2776</v>
      </c>
      <c r="H702" s="49" t="s">
        <v>8</v>
      </c>
      <c r="I702" s="50">
        <v>42235</v>
      </c>
      <c r="M702" s="49" t="s">
        <v>9731</v>
      </c>
    </row>
    <row r="703" spans="1:13" x14ac:dyDescent="0.35">
      <c r="A703" s="49" t="s">
        <v>14730</v>
      </c>
      <c r="B703" s="49" t="s">
        <v>7843</v>
      </c>
      <c r="C703" s="49" t="s">
        <v>2937</v>
      </c>
      <c r="D703" s="49" t="s">
        <v>1264</v>
      </c>
      <c r="E703" s="49" t="s">
        <v>2908</v>
      </c>
      <c r="F703" s="49" t="s">
        <v>2939</v>
      </c>
      <c r="G703" s="49" t="s">
        <v>2921</v>
      </c>
      <c r="H703" s="49" t="s">
        <v>980</v>
      </c>
      <c r="I703" s="50">
        <v>42004</v>
      </c>
      <c r="J703" s="50">
        <v>42054</v>
      </c>
      <c r="K703" s="50">
        <v>45706</v>
      </c>
      <c r="L703" s="50">
        <v>43880</v>
      </c>
      <c r="M703" s="49" t="s">
        <v>7845</v>
      </c>
    </row>
    <row r="704" spans="1:13" x14ac:dyDescent="0.35">
      <c r="A704" s="49" t="s">
        <v>14730</v>
      </c>
      <c r="B704" s="49" t="s">
        <v>8123</v>
      </c>
      <c r="C704" s="49" t="s">
        <v>8124</v>
      </c>
      <c r="D704" s="49" t="s">
        <v>1264</v>
      </c>
      <c r="E704" s="49" t="s">
        <v>2908</v>
      </c>
      <c r="F704" s="49" t="s">
        <v>2837</v>
      </c>
      <c r="G704" s="49" t="s">
        <v>2787</v>
      </c>
      <c r="H704" s="49" t="s">
        <v>980</v>
      </c>
      <c r="I704" s="50">
        <v>38702</v>
      </c>
      <c r="J704" s="50">
        <v>39003</v>
      </c>
      <c r="K704" s="50">
        <v>40828</v>
      </c>
      <c r="M704" s="49" t="s">
        <v>8126</v>
      </c>
    </row>
    <row r="705" spans="1:13" x14ac:dyDescent="0.35">
      <c r="A705" s="49" t="s">
        <v>14478</v>
      </c>
      <c r="B705" s="49" t="s">
        <v>9190</v>
      </c>
      <c r="C705" s="49"/>
      <c r="D705" s="49" t="s">
        <v>1264</v>
      </c>
      <c r="E705" s="49" t="s">
        <v>2908</v>
      </c>
      <c r="F705" s="49" t="s">
        <v>2837</v>
      </c>
      <c r="G705" s="49" t="s">
        <v>2776</v>
      </c>
      <c r="H705" s="49" t="s">
        <v>980</v>
      </c>
      <c r="I705" s="50">
        <v>42985</v>
      </c>
      <c r="M705" s="49" t="s">
        <v>6677</v>
      </c>
    </row>
    <row r="706" spans="1:13" x14ac:dyDescent="0.35">
      <c r="A706" s="49" t="s">
        <v>7165</v>
      </c>
      <c r="B706" s="49" t="s">
        <v>7163</v>
      </c>
      <c r="C706" s="49" t="s">
        <v>7164</v>
      </c>
      <c r="D706" s="49" t="s">
        <v>1264</v>
      </c>
      <c r="E706" s="49" t="s">
        <v>2785</v>
      </c>
      <c r="F706" s="49" t="s">
        <v>2792</v>
      </c>
      <c r="G706" s="49" t="s">
        <v>2787</v>
      </c>
      <c r="H706" s="49" t="s">
        <v>8</v>
      </c>
      <c r="I706" s="50">
        <v>42311</v>
      </c>
      <c r="J706" s="50">
        <v>42425</v>
      </c>
      <c r="K706" s="50">
        <v>42606</v>
      </c>
      <c r="M706" s="49" t="s">
        <v>7166</v>
      </c>
    </row>
    <row r="707" spans="1:13" x14ac:dyDescent="0.35">
      <c r="A707" s="49" t="s">
        <v>14781</v>
      </c>
      <c r="B707" s="49" t="s">
        <v>10552</v>
      </c>
      <c r="C707" s="49"/>
      <c r="D707" s="49" t="s">
        <v>1264</v>
      </c>
      <c r="E707" s="49" t="s">
        <v>2814</v>
      </c>
      <c r="F707" s="49" t="s">
        <v>2825</v>
      </c>
      <c r="G707" s="49" t="s">
        <v>2787</v>
      </c>
      <c r="H707" s="49" t="s">
        <v>2827</v>
      </c>
      <c r="I707" s="50">
        <v>42080</v>
      </c>
      <c r="J707" s="50">
        <v>42090</v>
      </c>
      <c r="K707" s="50">
        <v>42274</v>
      </c>
      <c r="M707" s="49" t="s">
        <v>3505</v>
      </c>
    </row>
    <row r="708" spans="1:13" x14ac:dyDescent="0.35">
      <c r="A708" s="49" t="s">
        <v>14724</v>
      </c>
      <c r="B708" s="49" t="s">
        <v>7626</v>
      </c>
      <c r="C708" s="49" t="s">
        <v>4379</v>
      </c>
      <c r="D708" s="49" t="s">
        <v>1264</v>
      </c>
      <c r="E708" s="49" t="s">
        <v>2785</v>
      </c>
      <c r="F708" s="49" t="s">
        <v>2792</v>
      </c>
      <c r="G708" s="49" t="s">
        <v>2787</v>
      </c>
      <c r="H708" s="49" t="s">
        <v>8</v>
      </c>
      <c r="I708" s="50">
        <v>42502</v>
      </c>
      <c r="J708" s="50">
        <v>42611</v>
      </c>
      <c r="K708" s="50">
        <v>42793</v>
      </c>
      <c r="M708" s="49" t="s">
        <v>7286</v>
      </c>
    </row>
    <row r="709" spans="1:13" x14ac:dyDescent="0.35">
      <c r="A709" s="49" t="s">
        <v>14233</v>
      </c>
      <c r="B709" s="49" t="s">
        <v>5367</v>
      </c>
      <c r="C709" s="49"/>
      <c r="D709" s="49" t="s">
        <v>1264</v>
      </c>
      <c r="E709" s="49" t="s">
        <v>2785</v>
      </c>
      <c r="F709" s="49" t="s">
        <v>2792</v>
      </c>
      <c r="G709" s="49" t="s">
        <v>2787</v>
      </c>
      <c r="H709" s="49" t="s">
        <v>8</v>
      </c>
      <c r="I709" s="50">
        <v>44335</v>
      </c>
      <c r="J709" s="50">
        <v>44980</v>
      </c>
      <c r="K709" s="50">
        <v>45344</v>
      </c>
      <c r="M709" s="49" t="s">
        <v>5369</v>
      </c>
    </row>
    <row r="710" spans="1:13" x14ac:dyDescent="0.35">
      <c r="A710" s="49" t="s">
        <v>14233</v>
      </c>
      <c r="B710" s="49" t="s">
        <v>9510</v>
      </c>
      <c r="C710" s="49"/>
      <c r="D710" s="49" t="s">
        <v>1264</v>
      </c>
      <c r="E710" s="49" t="s">
        <v>2785</v>
      </c>
      <c r="F710" s="49" t="s">
        <v>2792</v>
      </c>
      <c r="G710" s="49" t="s">
        <v>2776</v>
      </c>
      <c r="H710" s="49" t="s">
        <v>980</v>
      </c>
      <c r="I710" s="50">
        <v>42787</v>
      </c>
      <c r="M710" s="49" t="s">
        <v>9511</v>
      </c>
    </row>
    <row r="711" spans="1:13" x14ac:dyDescent="0.35">
      <c r="A711" s="49" t="s">
        <v>10646</v>
      </c>
      <c r="B711" s="49" t="s">
        <v>10645</v>
      </c>
      <c r="C711" s="49" t="s">
        <v>3063</v>
      </c>
      <c r="D711" s="49" t="s">
        <v>1264</v>
      </c>
      <c r="E711" s="49" t="s">
        <v>2814</v>
      </c>
      <c r="F711" s="49" t="s">
        <v>2837</v>
      </c>
      <c r="G711" s="49" t="s">
        <v>2776</v>
      </c>
      <c r="H711" s="49" t="s">
        <v>980</v>
      </c>
      <c r="I711" s="50">
        <v>42351</v>
      </c>
      <c r="M711" s="49" t="s">
        <v>3470</v>
      </c>
    </row>
    <row r="712" spans="1:13" x14ac:dyDescent="0.35">
      <c r="A712" s="49" t="s">
        <v>14352</v>
      </c>
      <c r="B712" s="49" t="s">
        <v>7465</v>
      </c>
      <c r="C712" s="49" t="s">
        <v>7466</v>
      </c>
      <c r="D712" s="49" t="s">
        <v>1264</v>
      </c>
      <c r="E712" s="49" t="s">
        <v>2785</v>
      </c>
      <c r="F712" s="49" t="s">
        <v>2792</v>
      </c>
      <c r="G712" s="49" t="s">
        <v>2787</v>
      </c>
      <c r="H712" s="49" t="s">
        <v>8</v>
      </c>
      <c r="I712" s="50">
        <v>41761</v>
      </c>
      <c r="J712" s="50">
        <v>41863</v>
      </c>
      <c r="K712" s="50">
        <v>42227</v>
      </c>
      <c r="M712" s="49" t="s">
        <v>7468</v>
      </c>
    </row>
    <row r="713" spans="1:13" x14ac:dyDescent="0.35">
      <c r="A713" s="49" t="s">
        <v>14834</v>
      </c>
      <c r="B713" s="49" t="s">
        <v>7770</v>
      </c>
      <c r="C713" s="49" t="s">
        <v>5705</v>
      </c>
      <c r="D713" s="49" t="s">
        <v>1264</v>
      </c>
      <c r="E713" s="49" t="s">
        <v>2785</v>
      </c>
      <c r="F713" s="49" t="s">
        <v>2792</v>
      </c>
      <c r="G713" s="49" t="s">
        <v>2787</v>
      </c>
      <c r="H713" s="49" t="s">
        <v>980</v>
      </c>
      <c r="I713" s="50">
        <v>41927</v>
      </c>
      <c r="J713" s="50">
        <v>42235</v>
      </c>
      <c r="K713" s="50">
        <v>42418</v>
      </c>
      <c r="M713" s="49" t="s">
        <v>7772</v>
      </c>
    </row>
    <row r="714" spans="1:13" ht="43.5" x14ac:dyDescent="0.35">
      <c r="A714" s="49" t="s">
        <v>14834</v>
      </c>
      <c r="B714" s="49" t="s">
        <v>9858</v>
      </c>
      <c r="C714" s="51" t="s">
        <v>9859</v>
      </c>
      <c r="D714" s="49" t="s">
        <v>1264</v>
      </c>
      <c r="E714" s="49" t="s">
        <v>2785</v>
      </c>
      <c r="F714" s="49" t="s">
        <v>2792</v>
      </c>
      <c r="G714" s="49" t="s">
        <v>2776</v>
      </c>
      <c r="H714" s="49" t="s">
        <v>980</v>
      </c>
      <c r="I714" s="50">
        <v>42368</v>
      </c>
      <c r="M714" s="49" t="s">
        <v>9861</v>
      </c>
    </row>
    <row r="715" spans="1:13" x14ac:dyDescent="0.35">
      <c r="A715" s="49" t="s">
        <v>14199</v>
      </c>
      <c r="B715" s="49" t="s">
        <v>4738</v>
      </c>
      <c r="C715" s="49" t="s">
        <v>4739</v>
      </c>
      <c r="D715" s="49" t="s">
        <v>1264</v>
      </c>
      <c r="E715" s="49" t="s">
        <v>2774</v>
      </c>
      <c r="F715" s="49" t="s">
        <v>2825</v>
      </c>
      <c r="G715" s="49" t="s">
        <v>2901</v>
      </c>
      <c r="H715" s="49" t="s">
        <v>2827</v>
      </c>
      <c r="I715" s="50">
        <v>43269</v>
      </c>
      <c r="J715" s="50">
        <v>44623</v>
      </c>
      <c r="K715" s="50">
        <v>46083</v>
      </c>
      <c r="M715" s="49" t="s">
        <v>4741</v>
      </c>
    </row>
    <row r="716" spans="1:13" x14ac:dyDescent="0.35">
      <c r="A716" s="49" t="s">
        <v>14199</v>
      </c>
      <c r="B716" s="49" t="s">
        <v>4742</v>
      </c>
      <c r="C716" s="49" t="s">
        <v>4743</v>
      </c>
      <c r="D716" s="49" t="s">
        <v>1264</v>
      </c>
      <c r="E716" s="49" t="s">
        <v>2774</v>
      </c>
      <c r="F716" s="49" t="s">
        <v>2825</v>
      </c>
      <c r="G716" s="49" t="s">
        <v>2901</v>
      </c>
      <c r="H716" s="49" t="s">
        <v>973</v>
      </c>
      <c r="I716" s="50">
        <v>44431</v>
      </c>
      <c r="J716" s="50">
        <v>44623</v>
      </c>
      <c r="K716" s="50">
        <v>46083</v>
      </c>
      <c r="M716" s="49" t="s">
        <v>4744</v>
      </c>
    </row>
    <row r="717" spans="1:13" x14ac:dyDescent="0.35">
      <c r="A717" s="49" t="s">
        <v>14546</v>
      </c>
      <c r="B717" s="49" t="s">
        <v>10142</v>
      </c>
      <c r="C717" s="49"/>
      <c r="D717" s="49" t="s">
        <v>1264</v>
      </c>
      <c r="E717" s="49" t="s">
        <v>2814</v>
      </c>
      <c r="F717" s="49" t="s">
        <v>2837</v>
      </c>
      <c r="G717" s="49" t="s">
        <v>2776</v>
      </c>
      <c r="H717" s="49" t="s">
        <v>2827</v>
      </c>
      <c r="I717" s="50">
        <v>42940</v>
      </c>
      <c r="M717" s="49" t="s">
        <v>3470</v>
      </c>
    </row>
    <row r="718" spans="1:13" x14ac:dyDescent="0.35">
      <c r="A718" s="49" t="s">
        <v>14326</v>
      </c>
      <c r="B718" s="49" t="s">
        <v>7098</v>
      </c>
      <c r="C718" s="49" t="s">
        <v>5944</v>
      </c>
      <c r="D718" s="49" t="s">
        <v>1264</v>
      </c>
      <c r="E718" s="49" t="s">
        <v>2785</v>
      </c>
      <c r="F718" s="49" t="s">
        <v>2786</v>
      </c>
      <c r="G718" s="49" t="s">
        <v>2787</v>
      </c>
      <c r="H718" s="49" t="s">
        <v>980</v>
      </c>
      <c r="I718" s="50">
        <v>43460</v>
      </c>
      <c r="J718" s="50">
        <v>43503</v>
      </c>
      <c r="K718" s="50">
        <v>43683</v>
      </c>
      <c r="M718" s="49" t="s">
        <v>7100</v>
      </c>
    </row>
    <row r="719" spans="1:13" x14ac:dyDescent="0.35">
      <c r="A719" s="49" t="s">
        <v>15149</v>
      </c>
      <c r="B719" s="49" t="s">
        <v>6800</v>
      </c>
      <c r="C719" s="49"/>
      <c r="D719" s="49" t="s">
        <v>1264</v>
      </c>
      <c r="E719" s="49" t="s">
        <v>2785</v>
      </c>
      <c r="F719" s="49" t="s">
        <v>2786</v>
      </c>
      <c r="G719" s="49" t="s">
        <v>2901</v>
      </c>
      <c r="H719" s="49" t="s">
        <v>3717</v>
      </c>
      <c r="I719" s="52">
        <v>45974.450717592597</v>
      </c>
      <c r="J719" s="50">
        <v>46013</v>
      </c>
      <c r="K719" s="50">
        <v>46377</v>
      </c>
      <c r="M719" s="49" t="s">
        <v>6802</v>
      </c>
    </row>
    <row r="720" spans="1:13" x14ac:dyDescent="0.35">
      <c r="A720" s="49" t="s">
        <v>15149</v>
      </c>
      <c r="B720" s="49" t="s">
        <v>13269</v>
      </c>
      <c r="C720" s="49" t="s">
        <v>13270</v>
      </c>
      <c r="D720" s="49" t="s">
        <v>1264</v>
      </c>
      <c r="E720" s="49" t="s">
        <v>2785</v>
      </c>
      <c r="F720" s="49" t="s">
        <v>2786</v>
      </c>
      <c r="G720" s="49" t="s">
        <v>4891</v>
      </c>
      <c r="H720" s="49" t="s">
        <v>3717</v>
      </c>
      <c r="I720" s="52">
        <v>46093.437118055597</v>
      </c>
      <c r="M720" s="49" t="s">
        <v>6623</v>
      </c>
    </row>
    <row r="721" spans="1:13" x14ac:dyDescent="0.35">
      <c r="A721" s="49" t="s">
        <v>15149</v>
      </c>
      <c r="B721" s="49" t="s">
        <v>13271</v>
      </c>
      <c r="C721" s="49" t="s">
        <v>13272</v>
      </c>
      <c r="D721" s="49" t="s">
        <v>1264</v>
      </c>
      <c r="E721" s="49" t="s">
        <v>2785</v>
      </c>
      <c r="F721" s="49" t="s">
        <v>2786</v>
      </c>
      <c r="G721" s="49" t="s">
        <v>4891</v>
      </c>
      <c r="H721" s="49" t="s">
        <v>3717</v>
      </c>
      <c r="I721" s="52">
        <v>46093.443321759303</v>
      </c>
      <c r="M721" s="49" t="s">
        <v>13273</v>
      </c>
    </row>
    <row r="722" spans="1:13" x14ac:dyDescent="0.35">
      <c r="A722" s="49" t="s">
        <v>15149</v>
      </c>
      <c r="B722" s="49" t="s">
        <v>13274</v>
      </c>
      <c r="C722" s="49" t="s">
        <v>13275</v>
      </c>
      <c r="D722" s="49" t="s">
        <v>1264</v>
      </c>
      <c r="E722" s="49" t="s">
        <v>2785</v>
      </c>
      <c r="F722" s="49" t="s">
        <v>2786</v>
      </c>
      <c r="G722" s="49" t="s">
        <v>4891</v>
      </c>
      <c r="H722" s="49" t="s">
        <v>3717</v>
      </c>
      <c r="I722" s="52">
        <v>46093.449363425898</v>
      </c>
      <c r="M722" s="49" t="s">
        <v>13276</v>
      </c>
    </row>
    <row r="723" spans="1:13" x14ac:dyDescent="0.35">
      <c r="A723" s="49" t="s">
        <v>9387</v>
      </c>
      <c r="B723" s="49" t="s">
        <v>9386</v>
      </c>
      <c r="C723" s="49"/>
      <c r="D723" s="49" t="s">
        <v>1264</v>
      </c>
      <c r="E723" s="49" t="s">
        <v>2785</v>
      </c>
      <c r="F723" s="49" t="s">
        <v>2786</v>
      </c>
      <c r="G723" s="49" t="s">
        <v>2776</v>
      </c>
      <c r="H723" s="49" t="s">
        <v>980</v>
      </c>
      <c r="I723" s="50">
        <v>44144</v>
      </c>
      <c r="M723" s="49" t="s">
        <v>9388</v>
      </c>
    </row>
    <row r="724" spans="1:13" x14ac:dyDescent="0.35">
      <c r="A724" s="49" t="s">
        <v>9033</v>
      </c>
      <c r="B724" s="49" t="s">
        <v>5238</v>
      </c>
      <c r="C724" s="49" t="s">
        <v>5239</v>
      </c>
      <c r="D724" s="49" t="s">
        <v>1264</v>
      </c>
      <c r="E724" s="49" t="s">
        <v>2785</v>
      </c>
      <c r="F724" s="49" t="s">
        <v>2786</v>
      </c>
      <c r="G724" s="49" t="s">
        <v>2787</v>
      </c>
      <c r="H724" s="49" t="s">
        <v>864</v>
      </c>
      <c r="I724" s="50">
        <v>44743</v>
      </c>
      <c r="K724" s="50">
        <v>45511</v>
      </c>
      <c r="M724" s="49" t="s">
        <v>5241</v>
      </c>
    </row>
    <row r="725" spans="1:13" x14ac:dyDescent="0.35">
      <c r="A725" s="49" t="s">
        <v>9033</v>
      </c>
      <c r="B725" s="49" t="s">
        <v>5244</v>
      </c>
      <c r="C725" s="49" t="s">
        <v>5245</v>
      </c>
      <c r="D725" s="49" t="s">
        <v>1264</v>
      </c>
      <c r="E725" s="49" t="s">
        <v>2785</v>
      </c>
      <c r="F725" s="49" t="s">
        <v>2786</v>
      </c>
      <c r="G725" s="49" t="s">
        <v>2787</v>
      </c>
      <c r="H725" s="49" t="s">
        <v>864</v>
      </c>
      <c r="I725" s="50">
        <v>44731</v>
      </c>
      <c r="K725" s="50">
        <v>45511</v>
      </c>
      <c r="M725" s="49" t="s">
        <v>5246</v>
      </c>
    </row>
    <row r="726" spans="1:13" x14ac:dyDescent="0.35">
      <c r="A726" s="49" t="s">
        <v>9033</v>
      </c>
      <c r="B726" s="49" t="s">
        <v>5370</v>
      </c>
      <c r="C726" s="49"/>
      <c r="D726" s="49" t="s">
        <v>1264</v>
      </c>
      <c r="E726" s="49" t="s">
        <v>2785</v>
      </c>
      <c r="F726" s="49" t="s">
        <v>2792</v>
      </c>
      <c r="G726" s="49" t="s">
        <v>2787</v>
      </c>
      <c r="H726" s="49" t="s">
        <v>980</v>
      </c>
      <c r="I726" s="50">
        <v>44896</v>
      </c>
      <c r="J726" s="50">
        <v>44911</v>
      </c>
      <c r="K726" s="50">
        <v>45428</v>
      </c>
      <c r="M726" s="49" t="s">
        <v>5371</v>
      </c>
    </row>
    <row r="727" spans="1:13" x14ac:dyDescent="0.35">
      <c r="A727" s="49" t="s">
        <v>9033</v>
      </c>
      <c r="B727" s="49" t="s">
        <v>5372</v>
      </c>
      <c r="C727" s="49"/>
      <c r="D727" s="49" t="s">
        <v>1264</v>
      </c>
      <c r="E727" s="49" t="s">
        <v>2785</v>
      </c>
      <c r="F727" s="49" t="s">
        <v>2792</v>
      </c>
      <c r="G727" s="49" t="s">
        <v>2787</v>
      </c>
      <c r="H727" s="49" t="s">
        <v>980</v>
      </c>
      <c r="I727" s="50">
        <v>44896</v>
      </c>
      <c r="J727" s="50">
        <v>44911</v>
      </c>
      <c r="K727" s="50">
        <v>45428</v>
      </c>
      <c r="M727" s="49" t="s">
        <v>5373</v>
      </c>
    </row>
    <row r="728" spans="1:13" x14ac:dyDescent="0.35">
      <c r="A728" s="49" t="s">
        <v>9033</v>
      </c>
      <c r="B728" s="49" t="s">
        <v>5400</v>
      </c>
      <c r="C728" s="49" t="s">
        <v>5401</v>
      </c>
      <c r="D728" s="49" t="s">
        <v>1264</v>
      </c>
      <c r="E728" s="49" t="s">
        <v>2785</v>
      </c>
      <c r="F728" s="49" t="s">
        <v>2792</v>
      </c>
      <c r="G728" s="49" t="s">
        <v>2787</v>
      </c>
      <c r="H728" s="49" t="s">
        <v>857</v>
      </c>
      <c r="I728" s="50">
        <v>44985</v>
      </c>
      <c r="J728" s="50">
        <v>44994</v>
      </c>
      <c r="K728" s="50">
        <v>45359</v>
      </c>
      <c r="M728" s="49" t="s">
        <v>5402</v>
      </c>
    </row>
    <row r="729" spans="1:13" x14ac:dyDescent="0.35">
      <c r="A729" s="49" t="s">
        <v>9033</v>
      </c>
      <c r="B729" s="49" t="s">
        <v>5704</v>
      </c>
      <c r="C729" s="49" t="s">
        <v>5705</v>
      </c>
      <c r="D729" s="49" t="s">
        <v>1264</v>
      </c>
      <c r="E729" s="49" t="s">
        <v>2785</v>
      </c>
      <c r="F729" s="49" t="s">
        <v>2792</v>
      </c>
      <c r="G729" s="49" t="s">
        <v>4330</v>
      </c>
      <c r="H729" s="49" t="s">
        <v>980</v>
      </c>
      <c r="I729" s="50">
        <v>45092</v>
      </c>
      <c r="M729" s="49" t="s">
        <v>5706</v>
      </c>
    </row>
    <row r="730" spans="1:13" x14ac:dyDescent="0.35">
      <c r="A730" s="49" t="s">
        <v>9033</v>
      </c>
      <c r="B730" s="49" t="s">
        <v>5707</v>
      </c>
      <c r="C730" s="49" t="s">
        <v>5708</v>
      </c>
      <c r="D730" s="49" t="s">
        <v>1264</v>
      </c>
      <c r="E730" s="49" t="s">
        <v>2785</v>
      </c>
      <c r="F730" s="49" t="s">
        <v>2786</v>
      </c>
      <c r="G730" s="49" t="s">
        <v>4330</v>
      </c>
      <c r="H730" s="49" t="s">
        <v>4225</v>
      </c>
      <c r="I730" s="50">
        <v>45068</v>
      </c>
      <c r="M730" s="49" t="s">
        <v>5709</v>
      </c>
    </row>
    <row r="731" spans="1:13" x14ac:dyDescent="0.35">
      <c r="A731" s="49" t="s">
        <v>9033</v>
      </c>
      <c r="B731" s="49" t="s">
        <v>5710</v>
      </c>
      <c r="C731" s="49" t="s">
        <v>5711</v>
      </c>
      <c r="D731" s="49" t="s">
        <v>1264</v>
      </c>
      <c r="E731" s="49" t="s">
        <v>2785</v>
      </c>
      <c r="F731" s="49" t="s">
        <v>2792</v>
      </c>
      <c r="G731" s="49" t="s">
        <v>4330</v>
      </c>
      <c r="H731" s="49" t="s">
        <v>857</v>
      </c>
      <c r="I731" s="50">
        <v>45092</v>
      </c>
      <c r="M731" s="49" t="s">
        <v>5712</v>
      </c>
    </row>
    <row r="732" spans="1:13" x14ac:dyDescent="0.35">
      <c r="A732" s="49" t="s">
        <v>9033</v>
      </c>
      <c r="B732" s="49" t="s">
        <v>5713</v>
      </c>
      <c r="C732" s="49" t="s">
        <v>5714</v>
      </c>
      <c r="D732" s="49" t="s">
        <v>1264</v>
      </c>
      <c r="E732" s="49" t="s">
        <v>2785</v>
      </c>
      <c r="F732" s="49" t="s">
        <v>2792</v>
      </c>
      <c r="G732" s="49" t="s">
        <v>4330</v>
      </c>
      <c r="H732" s="49" t="s">
        <v>857</v>
      </c>
      <c r="I732" s="50">
        <v>45092</v>
      </c>
      <c r="M732" s="49" t="s">
        <v>5715</v>
      </c>
    </row>
    <row r="733" spans="1:13" x14ac:dyDescent="0.35">
      <c r="A733" s="49" t="s">
        <v>9033</v>
      </c>
      <c r="B733" s="49" t="s">
        <v>5719</v>
      </c>
      <c r="C733" s="49" t="s">
        <v>5705</v>
      </c>
      <c r="D733" s="49" t="s">
        <v>1264</v>
      </c>
      <c r="E733" s="49" t="s">
        <v>2785</v>
      </c>
      <c r="F733" s="49" t="s">
        <v>2792</v>
      </c>
      <c r="G733" s="49" t="s">
        <v>4330</v>
      </c>
      <c r="H733" s="49" t="s">
        <v>980</v>
      </c>
      <c r="I733" s="50">
        <v>45117</v>
      </c>
      <c r="M733" s="49" t="s">
        <v>5720</v>
      </c>
    </row>
    <row r="734" spans="1:13" x14ac:dyDescent="0.35">
      <c r="A734" s="49" t="s">
        <v>9033</v>
      </c>
      <c r="B734" s="49" t="s">
        <v>5788</v>
      </c>
      <c r="C734" s="49" t="s">
        <v>5789</v>
      </c>
      <c r="D734" s="49" t="s">
        <v>1264</v>
      </c>
      <c r="E734" s="49" t="s">
        <v>2785</v>
      </c>
      <c r="F734" s="49" t="s">
        <v>2792</v>
      </c>
      <c r="G734" s="49" t="s">
        <v>4330</v>
      </c>
      <c r="H734" s="49" t="s">
        <v>980</v>
      </c>
      <c r="I734" s="50">
        <v>45055</v>
      </c>
      <c r="M734" s="49" t="s">
        <v>5790</v>
      </c>
    </row>
    <row r="735" spans="1:13" x14ac:dyDescent="0.35">
      <c r="A735" s="49" t="s">
        <v>9033</v>
      </c>
      <c r="B735" s="49" t="s">
        <v>5794</v>
      </c>
      <c r="C735" s="49" t="s">
        <v>5789</v>
      </c>
      <c r="D735" s="49" t="s">
        <v>1264</v>
      </c>
      <c r="E735" s="49" t="s">
        <v>2785</v>
      </c>
      <c r="F735" s="49" t="s">
        <v>2792</v>
      </c>
      <c r="G735" s="49" t="s">
        <v>4330</v>
      </c>
      <c r="H735" s="49" t="s">
        <v>980</v>
      </c>
      <c r="I735" s="50">
        <v>45055</v>
      </c>
      <c r="M735" s="49" t="s">
        <v>5795</v>
      </c>
    </row>
    <row r="736" spans="1:13" x14ac:dyDescent="0.35">
      <c r="A736" s="49" t="s">
        <v>9033</v>
      </c>
      <c r="B736" s="49" t="s">
        <v>5796</v>
      </c>
      <c r="C736" s="49" t="s">
        <v>5797</v>
      </c>
      <c r="D736" s="49" t="s">
        <v>1264</v>
      </c>
      <c r="E736" s="49" t="s">
        <v>2785</v>
      </c>
      <c r="F736" s="49" t="s">
        <v>2792</v>
      </c>
      <c r="G736" s="49" t="s">
        <v>4330</v>
      </c>
      <c r="H736" s="49" t="s">
        <v>857</v>
      </c>
      <c r="I736" s="50">
        <v>45028</v>
      </c>
      <c r="M736" s="49" t="s">
        <v>5798</v>
      </c>
    </row>
    <row r="737" spans="1:13" x14ac:dyDescent="0.35">
      <c r="A737" s="49" t="s">
        <v>9033</v>
      </c>
      <c r="B737" s="49" t="s">
        <v>5819</v>
      </c>
      <c r="C737" s="49" t="s">
        <v>5797</v>
      </c>
      <c r="D737" s="49" t="s">
        <v>1264</v>
      </c>
      <c r="E737" s="49" t="s">
        <v>2785</v>
      </c>
      <c r="F737" s="49" t="s">
        <v>2792</v>
      </c>
      <c r="G737" s="49" t="s">
        <v>4330</v>
      </c>
      <c r="H737" s="49" t="s">
        <v>857</v>
      </c>
      <c r="I737" s="50">
        <v>45134</v>
      </c>
      <c r="M737" s="49" t="s">
        <v>5820</v>
      </c>
    </row>
    <row r="738" spans="1:13" x14ac:dyDescent="0.35">
      <c r="A738" s="49" t="s">
        <v>9033</v>
      </c>
      <c r="B738" s="49" t="s">
        <v>5873</v>
      </c>
      <c r="C738" s="49" t="s">
        <v>5874</v>
      </c>
      <c r="D738" s="49" t="s">
        <v>1264</v>
      </c>
      <c r="E738" s="49" t="s">
        <v>2785</v>
      </c>
      <c r="F738" s="49" t="s">
        <v>2786</v>
      </c>
      <c r="G738" s="49" t="s">
        <v>4330</v>
      </c>
      <c r="H738" s="49" t="s">
        <v>4225</v>
      </c>
      <c r="I738" s="50">
        <v>45152</v>
      </c>
      <c r="M738" s="49" t="s">
        <v>5875</v>
      </c>
    </row>
    <row r="739" spans="1:13" x14ac:dyDescent="0.35">
      <c r="A739" s="49" t="s">
        <v>9033</v>
      </c>
      <c r="B739" s="49" t="s">
        <v>6263</v>
      </c>
      <c r="C739" s="49" t="s">
        <v>6264</v>
      </c>
      <c r="D739" s="49" t="s">
        <v>1264</v>
      </c>
      <c r="E739" s="49" t="s">
        <v>2785</v>
      </c>
      <c r="F739" s="49" t="s">
        <v>2786</v>
      </c>
      <c r="G739" s="49" t="s">
        <v>4330</v>
      </c>
      <c r="H739" s="49" t="s">
        <v>835</v>
      </c>
      <c r="I739" s="50">
        <v>45317</v>
      </c>
      <c r="M739" s="49" t="s">
        <v>6265</v>
      </c>
    </row>
    <row r="740" spans="1:13" x14ac:dyDescent="0.35">
      <c r="A740" s="49" t="s">
        <v>9033</v>
      </c>
      <c r="B740" s="49" t="s">
        <v>6396</v>
      </c>
      <c r="C740" s="49" t="s">
        <v>6397</v>
      </c>
      <c r="D740" s="49" t="s">
        <v>1264</v>
      </c>
      <c r="E740" s="49" t="s">
        <v>2785</v>
      </c>
      <c r="F740" s="49" t="s">
        <v>2792</v>
      </c>
      <c r="G740" s="49" t="s">
        <v>4330</v>
      </c>
      <c r="H740" s="49" t="s">
        <v>864</v>
      </c>
      <c r="I740" s="50">
        <v>44788</v>
      </c>
      <c r="M740" s="49" t="s">
        <v>6398</v>
      </c>
    </row>
    <row r="741" spans="1:13" x14ac:dyDescent="0.35">
      <c r="A741" s="49" t="s">
        <v>9033</v>
      </c>
      <c r="B741" s="49" t="s">
        <v>6408</v>
      </c>
      <c r="C741" s="49" t="s">
        <v>6409</v>
      </c>
      <c r="D741" s="49" t="s">
        <v>1264</v>
      </c>
      <c r="E741" s="49" t="s">
        <v>2785</v>
      </c>
      <c r="F741" s="49" t="s">
        <v>2792</v>
      </c>
      <c r="G741" s="49" t="s">
        <v>2787</v>
      </c>
      <c r="H741" s="49" t="s">
        <v>857</v>
      </c>
      <c r="I741" s="50">
        <v>44985</v>
      </c>
      <c r="J741" s="50">
        <v>44994</v>
      </c>
      <c r="K741" s="50">
        <v>45359</v>
      </c>
      <c r="M741" s="49" t="s">
        <v>6410</v>
      </c>
    </row>
    <row r="742" spans="1:13" x14ac:dyDescent="0.35">
      <c r="A742" s="49" t="s">
        <v>9033</v>
      </c>
      <c r="B742" s="49" t="s">
        <v>6411</v>
      </c>
      <c r="C742" s="49" t="s">
        <v>6412</v>
      </c>
      <c r="D742" s="49" t="s">
        <v>1264</v>
      </c>
      <c r="E742" s="49" t="s">
        <v>2785</v>
      </c>
      <c r="F742" s="49" t="s">
        <v>2792</v>
      </c>
      <c r="G742" s="49" t="s">
        <v>2787</v>
      </c>
      <c r="H742" s="49" t="s">
        <v>857</v>
      </c>
      <c r="I742" s="50">
        <v>44985</v>
      </c>
      <c r="J742" s="50">
        <v>44994</v>
      </c>
      <c r="K742" s="50">
        <v>45359</v>
      </c>
      <c r="M742" s="49" t="s">
        <v>6413</v>
      </c>
    </row>
    <row r="743" spans="1:13" x14ac:dyDescent="0.35">
      <c r="A743" s="49" t="s">
        <v>9033</v>
      </c>
      <c r="B743" s="49" t="s">
        <v>6414</v>
      </c>
      <c r="C743" s="49" t="s">
        <v>6415</v>
      </c>
      <c r="D743" s="49" t="s">
        <v>1264</v>
      </c>
      <c r="E743" s="49" t="s">
        <v>2785</v>
      </c>
      <c r="F743" s="49" t="s">
        <v>2792</v>
      </c>
      <c r="G743" s="49" t="s">
        <v>2787</v>
      </c>
      <c r="H743" s="49" t="s">
        <v>857</v>
      </c>
      <c r="I743" s="50">
        <v>44985</v>
      </c>
      <c r="J743" s="50">
        <v>45009</v>
      </c>
      <c r="K743" s="50">
        <v>45374</v>
      </c>
      <c r="M743" s="49" t="s">
        <v>6416</v>
      </c>
    </row>
    <row r="744" spans="1:13" x14ac:dyDescent="0.35">
      <c r="A744" s="49" t="s">
        <v>9033</v>
      </c>
      <c r="B744" s="49" t="s">
        <v>6429</v>
      </c>
      <c r="C744" s="49" t="s">
        <v>6430</v>
      </c>
      <c r="D744" s="49" t="s">
        <v>1264</v>
      </c>
      <c r="E744" s="49" t="s">
        <v>2785</v>
      </c>
      <c r="F744" s="49" t="s">
        <v>2792</v>
      </c>
      <c r="G744" s="49" t="s">
        <v>4330</v>
      </c>
      <c r="H744" s="49" t="s">
        <v>864</v>
      </c>
      <c r="I744" s="50">
        <v>45405</v>
      </c>
      <c r="M744" s="49" t="s">
        <v>6431</v>
      </c>
    </row>
    <row r="745" spans="1:13" x14ac:dyDescent="0.35">
      <c r="A745" s="49" t="s">
        <v>9033</v>
      </c>
      <c r="B745" s="49" t="s">
        <v>6432</v>
      </c>
      <c r="C745" s="49" t="s">
        <v>6433</v>
      </c>
      <c r="D745" s="49" t="s">
        <v>1264</v>
      </c>
      <c r="E745" s="49" t="s">
        <v>2785</v>
      </c>
      <c r="F745" s="49" t="s">
        <v>2792</v>
      </c>
      <c r="G745" s="49" t="s">
        <v>4330</v>
      </c>
      <c r="H745" s="49" t="s">
        <v>857</v>
      </c>
      <c r="I745" s="50">
        <v>45013</v>
      </c>
      <c r="M745" s="49" t="s">
        <v>6434</v>
      </c>
    </row>
    <row r="746" spans="1:13" x14ac:dyDescent="0.35">
      <c r="A746" s="49" t="s">
        <v>9033</v>
      </c>
      <c r="B746" s="49" t="s">
        <v>6470</v>
      </c>
      <c r="C746" s="49" t="s">
        <v>6471</v>
      </c>
      <c r="D746" s="49" t="s">
        <v>1264</v>
      </c>
      <c r="E746" s="49" t="s">
        <v>2785</v>
      </c>
      <c r="F746" s="49" t="s">
        <v>2786</v>
      </c>
      <c r="G746" s="49" t="s">
        <v>4330</v>
      </c>
      <c r="H746" s="49" t="s">
        <v>4225</v>
      </c>
      <c r="I746" s="50">
        <v>45365</v>
      </c>
      <c r="M746" s="49" t="s">
        <v>6472</v>
      </c>
    </row>
    <row r="747" spans="1:13" x14ac:dyDescent="0.35">
      <c r="A747" s="49" t="s">
        <v>9033</v>
      </c>
      <c r="B747" s="49" t="s">
        <v>6584</v>
      </c>
      <c r="C747" s="49" t="s">
        <v>5714</v>
      </c>
      <c r="D747" s="49" t="s">
        <v>1264</v>
      </c>
      <c r="E747" s="49" t="s">
        <v>2785</v>
      </c>
      <c r="F747" s="49" t="s">
        <v>2792</v>
      </c>
      <c r="G747" s="49" t="s">
        <v>4330</v>
      </c>
      <c r="H747" s="49" t="s">
        <v>857</v>
      </c>
      <c r="I747" s="50">
        <v>45372</v>
      </c>
      <c r="M747" s="49" t="s">
        <v>6585</v>
      </c>
    </row>
    <row r="748" spans="1:13" x14ac:dyDescent="0.35">
      <c r="A748" s="49" t="s">
        <v>9033</v>
      </c>
      <c r="B748" s="49" t="s">
        <v>6662</v>
      </c>
      <c r="C748" s="49" t="s">
        <v>6663</v>
      </c>
      <c r="D748" s="49" t="s">
        <v>1264</v>
      </c>
      <c r="E748" s="49" t="s">
        <v>2785</v>
      </c>
      <c r="F748" s="49" t="s">
        <v>2786</v>
      </c>
      <c r="G748" s="49" t="s">
        <v>2901</v>
      </c>
      <c r="H748" s="49" t="s">
        <v>3207</v>
      </c>
      <c r="I748" s="50">
        <v>45433</v>
      </c>
      <c r="J748" s="50">
        <v>45431</v>
      </c>
      <c r="K748" s="50">
        <v>46293</v>
      </c>
      <c r="L748" s="50">
        <v>45796</v>
      </c>
      <c r="M748" s="49" t="s">
        <v>6664</v>
      </c>
    </row>
    <row r="749" spans="1:13" x14ac:dyDescent="0.35">
      <c r="A749" s="49" t="s">
        <v>9033</v>
      </c>
      <c r="B749" s="49" t="s">
        <v>6665</v>
      </c>
      <c r="C749" s="49" t="s">
        <v>6663</v>
      </c>
      <c r="D749" s="49" t="s">
        <v>1264</v>
      </c>
      <c r="E749" s="49" t="s">
        <v>2785</v>
      </c>
      <c r="F749" s="49" t="s">
        <v>2786</v>
      </c>
      <c r="G749" s="49" t="s">
        <v>4330</v>
      </c>
      <c r="H749" s="49" t="s">
        <v>3207</v>
      </c>
      <c r="I749" s="50">
        <v>45434</v>
      </c>
      <c r="M749" s="49" t="s">
        <v>6666</v>
      </c>
    </row>
    <row r="750" spans="1:13" x14ac:dyDescent="0.35">
      <c r="A750" s="49" t="s">
        <v>9033</v>
      </c>
      <c r="B750" s="49" t="s">
        <v>6667</v>
      </c>
      <c r="C750" s="49" t="s">
        <v>6663</v>
      </c>
      <c r="D750" s="49" t="s">
        <v>1264</v>
      </c>
      <c r="E750" s="49" t="s">
        <v>2785</v>
      </c>
      <c r="F750" s="49" t="s">
        <v>2786</v>
      </c>
      <c r="G750" s="49" t="s">
        <v>2901</v>
      </c>
      <c r="H750" s="49" t="s">
        <v>3207</v>
      </c>
      <c r="I750" s="50">
        <v>45456</v>
      </c>
      <c r="J750" s="50">
        <v>45431</v>
      </c>
      <c r="K750" s="50">
        <v>46293</v>
      </c>
      <c r="L750" s="50">
        <v>45796</v>
      </c>
      <c r="M750" s="49" t="s">
        <v>6668</v>
      </c>
    </row>
    <row r="751" spans="1:13" x14ac:dyDescent="0.35">
      <c r="A751" s="49" t="s">
        <v>9033</v>
      </c>
      <c r="B751" s="49" t="s">
        <v>6739</v>
      </c>
      <c r="C751" s="49"/>
      <c r="D751" s="49" t="s">
        <v>1264</v>
      </c>
      <c r="E751" s="49" t="s">
        <v>2785</v>
      </c>
      <c r="F751" s="49" t="s">
        <v>2792</v>
      </c>
      <c r="G751" s="49" t="s">
        <v>4330</v>
      </c>
      <c r="H751" s="49" t="s">
        <v>4225</v>
      </c>
      <c r="I751" s="50">
        <v>45812</v>
      </c>
      <c r="M751" s="49" t="s">
        <v>6740</v>
      </c>
    </row>
    <row r="752" spans="1:13" x14ac:dyDescent="0.35">
      <c r="A752" s="49" t="s">
        <v>9033</v>
      </c>
      <c r="B752" s="49" t="s">
        <v>6741</v>
      </c>
      <c r="C752" s="49" t="s">
        <v>6742</v>
      </c>
      <c r="D752" s="49" t="s">
        <v>1264</v>
      </c>
      <c r="E752" s="49" t="s">
        <v>2785</v>
      </c>
      <c r="F752" s="49" t="s">
        <v>2792</v>
      </c>
      <c r="G752" s="49" t="s">
        <v>4330</v>
      </c>
      <c r="H752" s="49" t="s">
        <v>4225</v>
      </c>
      <c r="I752" s="50">
        <v>45812</v>
      </c>
      <c r="M752" s="49" t="s">
        <v>6743</v>
      </c>
    </row>
    <row r="753" spans="1:13" x14ac:dyDescent="0.35">
      <c r="A753" s="49" t="s">
        <v>9033</v>
      </c>
      <c r="B753" s="49" t="s">
        <v>6744</v>
      </c>
      <c r="C753" s="49"/>
      <c r="D753" s="49" t="s">
        <v>1264</v>
      </c>
      <c r="E753" s="49" t="s">
        <v>2785</v>
      </c>
      <c r="F753" s="49" t="s">
        <v>2792</v>
      </c>
      <c r="G753" s="49" t="s">
        <v>4330</v>
      </c>
      <c r="H753" s="49" t="s">
        <v>4225</v>
      </c>
      <c r="I753" s="50">
        <v>45812</v>
      </c>
      <c r="M753" s="49" t="s">
        <v>6745</v>
      </c>
    </row>
    <row r="754" spans="1:13" x14ac:dyDescent="0.35">
      <c r="A754" s="49" t="s">
        <v>9033</v>
      </c>
      <c r="B754" s="49" t="s">
        <v>6746</v>
      </c>
      <c r="C754" s="49"/>
      <c r="D754" s="49" t="s">
        <v>1264</v>
      </c>
      <c r="E754" s="49" t="s">
        <v>2785</v>
      </c>
      <c r="F754" s="49" t="s">
        <v>2792</v>
      </c>
      <c r="G754" s="49" t="s">
        <v>4330</v>
      </c>
      <c r="H754" s="49" t="s">
        <v>4225</v>
      </c>
      <c r="I754" s="50">
        <v>45812</v>
      </c>
      <c r="M754" s="49" t="s">
        <v>6747</v>
      </c>
    </row>
    <row r="755" spans="1:13" x14ac:dyDescent="0.35">
      <c r="A755" s="49" t="s">
        <v>9033</v>
      </c>
      <c r="B755" s="49" t="s">
        <v>6913</v>
      </c>
      <c r="C755" s="49" t="s">
        <v>6914</v>
      </c>
      <c r="D755" s="49" t="s">
        <v>1264</v>
      </c>
      <c r="E755" s="49" t="s">
        <v>2785</v>
      </c>
      <c r="F755" s="49" t="s">
        <v>2792</v>
      </c>
      <c r="G755" s="49" t="s">
        <v>4891</v>
      </c>
      <c r="H755" s="49" t="s">
        <v>857</v>
      </c>
      <c r="I755" s="52">
        <v>46141.471828703703</v>
      </c>
      <c r="M755" s="49" t="s">
        <v>6915</v>
      </c>
    </row>
    <row r="756" spans="1:13" x14ac:dyDescent="0.35">
      <c r="A756" s="49" t="s">
        <v>9033</v>
      </c>
      <c r="B756" s="49" t="s">
        <v>7695</v>
      </c>
      <c r="C756" s="49" t="s">
        <v>7696</v>
      </c>
      <c r="D756" s="49" t="s">
        <v>1264</v>
      </c>
      <c r="E756" s="49" t="s">
        <v>2785</v>
      </c>
      <c r="F756" s="49" t="s">
        <v>2792</v>
      </c>
      <c r="G756" s="49" t="s">
        <v>2787</v>
      </c>
      <c r="H756" s="49" t="s">
        <v>835</v>
      </c>
      <c r="I756" s="50">
        <v>42249</v>
      </c>
      <c r="J756" s="50">
        <v>42650</v>
      </c>
      <c r="K756" s="50">
        <v>42831</v>
      </c>
      <c r="M756" s="49" t="s">
        <v>7697</v>
      </c>
    </row>
    <row r="757" spans="1:13" x14ac:dyDescent="0.35">
      <c r="A757" s="49" t="s">
        <v>9033</v>
      </c>
      <c r="B757" s="49" t="s">
        <v>7698</v>
      </c>
      <c r="C757" s="49" t="s">
        <v>7699</v>
      </c>
      <c r="D757" s="49" t="s">
        <v>1264</v>
      </c>
      <c r="E757" s="49" t="s">
        <v>2785</v>
      </c>
      <c r="F757" s="49" t="s">
        <v>2792</v>
      </c>
      <c r="G757" s="49" t="s">
        <v>2787</v>
      </c>
      <c r="H757" s="49" t="s">
        <v>835</v>
      </c>
      <c r="I757" s="50">
        <v>42249</v>
      </c>
      <c r="J757" s="50">
        <v>42653</v>
      </c>
      <c r="K757" s="50">
        <v>42834</v>
      </c>
      <c r="M757" s="49" t="s">
        <v>7700</v>
      </c>
    </row>
    <row r="758" spans="1:13" x14ac:dyDescent="0.35">
      <c r="A758" s="49" t="s">
        <v>9033</v>
      </c>
      <c r="B758" s="49" t="s">
        <v>7701</v>
      </c>
      <c r="C758" s="49" t="s">
        <v>7702</v>
      </c>
      <c r="D758" s="49" t="s">
        <v>1264</v>
      </c>
      <c r="E758" s="49" t="s">
        <v>2785</v>
      </c>
      <c r="F758" s="49" t="s">
        <v>2792</v>
      </c>
      <c r="G758" s="49" t="s">
        <v>2787</v>
      </c>
      <c r="H758" s="49" t="s">
        <v>835</v>
      </c>
      <c r="I758" s="50">
        <v>42249</v>
      </c>
      <c r="J758" s="50">
        <v>42653</v>
      </c>
      <c r="K758" s="50">
        <v>42834</v>
      </c>
      <c r="M758" s="49" t="s">
        <v>7703</v>
      </c>
    </row>
    <row r="759" spans="1:13" x14ac:dyDescent="0.35">
      <c r="A759" s="49" t="s">
        <v>9033</v>
      </c>
      <c r="B759" s="49" t="s">
        <v>7704</v>
      </c>
      <c r="C759" s="49" t="s">
        <v>4599</v>
      </c>
      <c r="D759" s="49" t="s">
        <v>1264</v>
      </c>
      <c r="E759" s="49" t="s">
        <v>2785</v>
      </c>
      <c r="F759" s="49" t="s">
        <v>2786</v>
      </c>
      <c r="G759" s="49" t="s">
        <v>2787</v>
      </c>
      <c r="H759" s="49" t="s">
        <v>835</v>
      </c>
      <c r="I759" s="50">
        <v>42249</v>
      </c>
      <c r="J759" s="50">
        <v>42653</v>
      </c>
      <c r="K759" s="50">
        <v>42834</v>
      </c>
      <c r="M759" s="49" t="s">
        <v>7705</v>
      </c>
    </row>
    <row r="760" spans="1:13" x14ac:dyDescent="0.35">
      <c r="A760" s="49" t="s">
        <v>9033</v>
      </c>
      <c r="B760" s="49" t="s">
        <v>7706</v>
      </c>
      <c r="C760" s="49" t="s">
        <v>7707</v>
      </c>
      <c r="D760" s="49" t="s">
        <v>1264</v>
      </c>
      <c r="E760" s="49" t="s">
        <v>2785</v>
      </c>
      <c r="F760" s="49" t="s">
        <v>2792</v>
      </c>
      <c r="G760" s="49" t="s">
        <v>2787</v>
      </c>
      <c r="H760" s="49" t="s">
        <v>835</v>
      </c>
      <c r="I760" s="50">
        <v>42249</v>
      </c>
      <c r="J760" s="50">
        <v>42653</v>
      </c>
      <c r="K760" s="50">
        <v>42834</v>
      </c>
      <c r="M760" s="49" t="s">
        <v>7708</v>
      </c>
    </row>
    <row r="761" spans="1:13" x14ac:dyDescent="0.35">
      <c r="A761" s="49" t="s">
        <v>9033</v>
      </c>
      <c r="B761" s="49" t="s">
        <v>7709</v>
      </c>
      <c r="C761" s="49" t="s">
        <v>7710</v>
      </c>
      <c r="D761" s="49" t="s">
        <v>1264</v>
      </c>
      <c r="E761" s="49" t="s">
        <v>2785</v>
      </c>
      <c r="F761" s="49" t="s">
        <v>2792</v>
      </c>
      <c r="G761" s="49" t="s">
        <v>2787</v>
      </c>
      <c r="H761" s="49" t="s">
        <v>835</v>
      </c>
      <c r="I761" s="50">
        <v>42249</v>
      </c>
      <c r="J761" s="50">
        <v>42653</v>
      </c>
      <c r="K761" s="50">
        <v>42834</v>
      </c>
      <c r="M761" s="49" t="s">
        <v>7711</v>
      </c>
    </row>
    <row r="762" spans="1:13" x14ac:dyDescent="0.35">
      <c r="A762" s="49" t="s">
        <v>9033</v>
      </c>
      <c r="B762" s="49" t="s">
        <v>7712</v>
      </c>
      <c r="C762" s="49" t="s">
        <v>7713</v>
      </c>
      <c r="D762" s="49" t="s">
        <v>1264</v>
      </c>
      <c r="E762" s="49" t="s">
        <v>2785</v>
      </c>
      <c r="F762" s="49" t="s">
        <v>2792</v>
      </c>
      <c r="G762" s="49" t="s">
        <v>2787</v>
      </c>
      <c r="H762" s="49" t="s">
        <v>980</v>
      </c>
      <c r="I762" s="50">
        <v>42249</v>
      </c>
      <c r="J762" s="50">
        <v>42653</v>
      </c>
      <c r="K762" s="50">
        <v>42834</v>
      </c>
      <c r="M762" s="49" t="s">
        <v>7714</v>
      </c>
    </row>
    <row r="763" spans="1:13" x14ac:dyDescent="0.35">
      <c r="A763" s="49" t="s">
        <v>9033</v>
      </c>
      <c r="B763" s="49" t="s">
        <v>7715</v>
      </c>
      <c r="C763" s="49" t="s">
        <v>7716</v>
      </c>
      <c r="D763" s="49" t="s">
        <v>1264</v>
      </c>
      <c r="E763" s="49" t="s">
        <v>2785</v>
      </c>
      <c r="F763" s="49" t="s">
        <v>2792</v>
      </c>
      <c r="G763" s="49" t="s">
        <v>2787</v>
      </c>
      <c r="H763" s="49" t="s">
        <v>980</v>
      </c>
      <c r="I763" s="50">
        <v>42249</v>
      </c>
      <c r="J763" s="50">
        <v>42653</v>
      </c>
      <c r="K763" s="50">
        <v>42834</v>
      </c>
      <c r="M763" s="49" t="s">
        <v>7717</v>
      </c>
    </row>
    <row r="764" spans="1:13" x14ac:dyDescent="0.35">
      <c r="A764" s="49" t="s">
        <v>9033</v>
      </c>
      <c r="B764" s="49" t="s">
        <v>7718</v>
      </c>
      <c r="C764" s="49" t="s">
        <v>7719</v>
      </c>
      <c r="D764" s="49" t="s">
        <v>1264</v>
      </c>
      <c r="E764" s="49" t="s">
        <v>2785</v>
      </c>
      <c r="F764" s="49" t="s">
        <v>2792</v>
      </c>
      <c r="G764" s="49" t="s">
        <v>2787</v>
      </c>
      <c r="H764" s="49" t="s">
        <v>980</v>
      </c>
      <c r="I764" s="50">
        <v>42249</v>
      </c>
      <c r="J764" s="50">
        <v>42653</v>
      </c>
      <c r="K764" s="50">
        <v>42834</v>
      </c>
      <c r="M764" s="49" t="s">
        <v>7720</v>
      </c>
    </row>
    <row r="765" spans="1:13" x14ac:dyDescent="0.35">
      <c r="A765" s="49" t="s">
        <v>9033</v>
      </c>
      <c r="B765" s="49" t="s">
        <v>7721</v>
      </c>
      <c r="C765" s="49" t="s">
        <v>7722</v>
      </c>
      <c r="D765" s="49" t="s">
        <v>1264</v>
      </c>
      <c r="E765" s="49" t="s">
        <v>2785</v>
      </c>
      <c r="F765" s="49" t="s">
        <v>2792</v>
      </c>
      <c r="G765" s="49" t="s">
        <v>2787</v>
      </c>
      <c r="H765" s="49" t="s">
        <v>980</v>
      </c>
      <c r="I765" s="50">
        <v>42249</v>
      </c>
      <c r="J765" s="50">
        <v>42653</v>
      </c>
      <c r="K765" s="50">
        <v>42834</v>
      </c>
      <c r="M765" s="49" t="s">
        <v>7723</v>
      </c>
    </row>
    <row r="766" spans="1:13" x14ac:dyDescent="0.35">
      <c r="A766" s="49" t="s">
        <v>9033</v>
      </c>
      <c r="B766" s="49" t="s">
        <v>7724</v>
      </c>
      <c r="C766" s="49" t="s">
        <v>7725</v>
      </c>
      <c r="D766" s="49" t="s">
        <v>1264</v>
      </c>
      <c r="E766" s="49" t="s">
        <v>2785</v>
      </c>
      <c r="F766" s="49" t="s">
        <v>2792</v>
      </c>
      <c r="G766" s="49" t="s">
        <v>2787</v>
      </c>
      <c r="H766" s="49" t="s">
        <v>980</v>
      </c>
      <c r="I766" s="50">
        <v>42249</v>
      </c>
      <c r="J766" s="50">
        <v>42653</v>
      </c>
      <c r="K766" s="50">
        <v>42834</v>
      </c>
      <c r="M766" s="49" t="s">
        <v>7726</v>
      </c>
    </row>
    <row r="767" spans="1:13" x14ac:dyDescent="0.35">
      <c r="A767" s="49" t="s">
        <v>9033</v>
      </c>
      <c r="B767" s="49" t="s">
        <v>7727</v>
      </c>
      <c r="C767" s="49" t="s">
        <v>7728</v>
      </c>
      <c r="D767" s="49" t="s">
        <v>1264</v>
      </c>
      <c r="E767" s="49" t="s">
        <v>2785</v>
      </c>
      <c r="F767" s="49" t="s">
        <v>2792</v>
      </c>
      <c r="G767" s="49" t="s">
        <v>2787</v>
      </c>
      <c r="H767" s="49" t="s">
        <v>835</v>
      </c>
      <c r="I767" s="50">
        <v>42249</v>
      </c>
      <c r="J767" s="50">
        <v>42653</v>
      </c>
      <c r="K767" s="50">
        <v>42834</v>
      </c>
      <c r="M767" s="49" t="s">
        <v>7729</v>
      </c>
    </row>
    <row r="768" spans="1:13" x14ac:dyDescent="0.35">
      <c r="A768" s="49" t="s">
        <v>9033</v>
      </c>
      <c r="B768" s="49" t="s">
        <v>7730</v>
      </c>
      <c r="C768" s="49" t="s">
        <v>7731</v>
      </c>
      <c r="D768" s="49" t="s">
        <v>1264</v>
      </c>
      <c r="E768" s="49" t="s">
        <v>2785</v>
      </c>
      <c r="F768" s="49" t="s">
        <v>2792</v>
      </c>
      <c r="G768" s="49" t="s">
        <v>2787</v>
      </c>
      <c r="H768" s="49" t="s">
        <v>980</v>
      </c>
      <c r="I768" s="50">
        <v>42249</v>
      </c>
      <c r="J768" s="50">
        <v>42653</v>
      </c>
      <c r="K768" s="50">
        <v>42834</v>
      </c>
      <c r="M768" s="49" t="s">
        <v>7732</v>
      </c>
    </row>
    <row r="769" spans="1:13" x14ac:dyDescent="0.35">
      <c r="A769" s="49" t="s">
        <v>9033</v>
      </c>
      <c r="B769" s="49" t="s">
        <v>7733</v>
      </c>
      <c r="C769" s="49" t="s">
        <v>7734</v>
      </c>
      <c r="D769" s="49" t="s">
        <v>1264</v>
      </c>
      <c r="E769" s="49" t="s">
        <v>2785</v>
      </c>
      <c r="F769" s="49" t="s">
        <v>2792</v>
      </c>
      <c r="G769" s="49" t="s">
        <v>2787</v>
      </c>
      <c r="H769" s="49" t="s">
        <v>835</v>
      </c>
      <c r="I769" s="50">
        <v>42249</v>
      </c>
      <c r="J769" s="50">
        <v>42653</v>
      </c>
      <c r="K769" s="50">
        <v>42834</v>
      </c>
      <c r="M769" s="49" t="s">
        <v>7735</v>
      </c>
    </row>
    <row r="770" spans="1:13" x14ac:dyDescent="0.35">
      <c r="A770" s="49" t="s">
        <v>9033</v>
      </c>
      <c r="B770" s="49" t="s">
        <v>7736</v>
      </c>
      <c r="C770" s="49" t="s">
        <v>7737</v>
      </c>
      <c r="D770" s="49" t="s">
        <v>1264</v>
      </c>
      <c r="E770" s="49" t="s">
        <v>2785</v>
      </c>
      <c r="F770" s="49" t="s">
        <v>2792</v>
      </c>
      <c r="G770" s="49" t="s">
        <v>2787</v>
      </c>
      <c r="H770" s="49" t="s">
        <v>835</v>
      </c>
      <c r="I770" s="50">
        <v>42249</v>
      </c>
      <c r="J770" s="50">
        <v>42653</v>
      </c>
      <c r="K770" s="50">
        <v>42834</v>
      </c>
      <c r="M770" s="49" t="s">
        <v>7738</v>
      </c>
    </row>
    <row r="771" spans="1:13" x14ac:dyDescent="0.35">
      <c r="A771" s="49" t="s">
        <v>9033</v>
      </c>
      <c r="B771" s="49" t="s">
        <v>9032</v>
      </c>
      <c r="C771" s="49" t="s">
        <v>3063</v>
      </c>
      <c r="D771" s="49" t="s">
        <v>1264</v>
      </c>
      <c r="E771" s="49" t="s">
        <v>2814</v>
      </c>
      <c r="F771" s="49" t="s">
        <v>2837</v>
      </c>
      <c r="G771" s="49" t="s">
        <v>2787</v>
      </c>
      <c r="H771" s="49" t="s">
        <v>980</v>
      </c>
      <c r="I771" s="50">
        <v>41996</v>
      </c>
      <c r="J771" s="50">
        <v>41991</v>
      </c>
      <c r="K771" s="50">
        <v>42172</v>
      </c>
      <c r="M771" s="49" t="s">
        <v>9034</v>
      </c>
    </row>
    <row r="772" spans="1:13" x14ac:dyDescent="0.35">
      <c r="A772" s="49" t="s">
        <v>9033</v>
      </c>
      <c r="B772" s="49" t="s">
        <v>9726</v>
      </c>
      <c r="C772" s="49" t="s">
        <v>9727</v>
      </c>
      <c r="D772" s="49" t="s">
        <v>1264</v>
      </c>
      <c r="E772" s="49" t="s">
        <v>2785</v>
      </c>
      <c r="F772" s="49" t="s">
        <v>2786</v>
      </c>
      <c r="G772" s="49" t="s">
        <v>2787</v>
      </c>
      <c r="H772" s="49" t="s">
        <v>835</v>
      </c>
      <c r="I772" s="50">
        <v>42249</v>
      </c>
      <c r="M772" s="49" t="s">
        <v>9728</v>
      </c>
    </row>
    <row r="773" spans="1:13" x14ac:dyDescent="0.35">
      <c r="A773" s="49" t="s">
        <v>9033</v>
      </c>
      <c r="B773" s="49" t="s">
        <v>9732</v>
      </c>
      <c r="C773" s="49"/>
      <c r="D773" s="49" t="s">
        <v>1264</v>
      </c>
      <c r="E773" s="49" t="s">
        <v>2785</v>
      </c>
      <c r="F773" s="49" t="s">
        <v>2786</v>
      </c>
      <c r="G773" s="49" t="s">
        <v>2776</v>
      </c>
      <c r="H773" s="49" t="s">
        <v>980</v>
      </c>
      <c r="I773" s="50">
        <v>42236</v>
      </c>
      <c r="M773" s="49" t="s">
        <v>9733</v>
      </c>
    </row>
    <row r="774" spans="1:13" x14ac:dyDescent="0.35">
      <c r="A774" s="49" t="s">
        <v>9033</v>
      </c>
      <c r="B774" s="49" t="s">
        <v>11989</v>
      </c>
      <c r="C774" s="49" t="s">
        <v>11990</v>
      </c>
      <c r="D774" s="49" t="s">
        <v>1264</v>
      </c>
      <c r="E774" s="49" t="s">
        <v>2785</v>
      </c>
      <c r="F774" s="49" t="s">
        <v>2786</v>
      </c>
      <c r="G774" s="49" t="s">
        <v>2776</v>
      </c>
      <c r="H774" s="49" t="s">
        <v>4225</v>
      </c>
      <c r="I774" s="50">
        <v>45278</v>
      </c>
      <c r="M774" s="49" t="s">
        <v>11991</v>
      </c>
    </row>
    <row r="775" spans="1:13" x14ac:dyDescent="0.35">
      <c r="A775" s="49" t="s">
        <v>9033</v>
      </c>
      <c r="B775" s="49" t="s">
        <v>12017</v>
      </c>
      <c r="C775" s="49" t="s">
        <v>12018</v>
      </c>
      <c r="D775" s="49" t="s">
        <v>1264</v>
      </c>
      <c r="E775" s="49" t="s">
        <v>2785</v>
      </c>
      <c r="F775" s="49" t="s">
        <v>2792</v>
      </c>
      <c r="G775" s="49" t="s">
        <v>4891</v>
      </c>
      <c r="H775" s="49" t="s">
        <v>4225</v>
      </c>
      <c r="I775" s="50">
        <v>45308</v>
      </c>
      <c r="M775" s="49" t="s">
        <v>12019</v>
      </c>
    </row>
    <row r="776" spans="1:13" x14ac:dyDescent="0.35">
      <c r="A776" s="49" t="s">
        <v>9033</v>
      </c>
      <c r="B776" s="49" t="s">
        <v>12115</v>
      </c>
      <c r="C776" s="49" t="s">
        <v>8116</v>
      </c>
      <c r="D776" s="49" t="s">
        <v>1264</v>
      </c>
      <c r="E776" s="49" t="s">
        <v>2785</v>
      </c>
      <c r="F776" s="49" t="s">
        <v>2786</v>
      </c>
      <c r="G776" s="49" t="s">
        <v>4891</v>
      </c>
      <c r="H776" s="49" t="s">
        <v>980</v>
      </c>
      <c r="I776" s="50">
        <v>45336</v>
      </c>
      <c r="M776" s="49" t="s">
        <v>12116</v>
      </c>
    </row>
    <row r="777" spans="1:13" x14ac:dyDescent="0.35">
      <c r="A777" s="49" t="s">
        <v>9033</v>
      </c>
      <c r="B777" s="49" t="s">
        <v>12245</v>
      </c>
      <c r="C777" s="49" t="s">
        <v>12246</v>
      </c>
      <c r="D777" s="49" t="s">
        <v>1264</v>
      </c>
      <c r="E777" s="49" t="s">
        <v>2785</v>
      </c>
      <c r="F777" s="49" t="s">
        <v>2792</v>
      </c>
      <c r="G777" s="49" t="s">
        <v>2776</v>
      </c>
      <c r="H777" s="49" t="s">
        <v>857</v>
      </c>
      <c r="I777" s="50">
        <v>45362</v>
      </c>
      <c r="M777" s="49" t="s">
        <v>12247</v>
      </c>
    </row>
    <row r="778" spans="1:13" x14ac:dyDescent="0.35">
      <c r="A778" s="49" t="s">
        <v>9033</v>
      </c>
      <c r="B778" s="49" t="s">
        <v>12565</v>
      </c>
      <c r="C778" s="49"/>
      <c r="D778" s="49" t="s">
        <v>1264</v>
      </c>
      <c r="E778" s="49" t="s">
        <v>2785</v>
      </c>
      <c r="F778" s="49" t="s">
        <v>2792</v>
      </c>
      <c r="G778" s="49" t="s">
        <v>4891</v>
      </c>
      <c r="H778" s="49" t="s">
        <v>857</v>
      </c>
      <c r="I778" s="50">
        <v>45448</v>
      </c>
      <c r="M778" s="49" t="s">
        <v>12566</v>
      </c>
    </row>
    <row r="779" spans="1:13" x14ac:dyDescent="0.35">
      <c r="A779" s="49" t="s">
        <v>9033</v>
      </c>
      <c r="B779" s="49" t="s">
        <v>12567</v>
      </c>
      <c r="C779" s="49"/>
      <c r="D779" s="49" t="s">
        <v>1264</v>
      </c>
      <c r="E779" s="49" t="s">
        <v>2785</v>
      </c>
      <c r="F779" s="49" t="s">
        <v>2786</v>
      </c>
      <c r="G779" s="49" t="s">
        <v>4891</v>
      </c>
      <c r="H779" s="49" t="s">
        <v>835</v>
      </c>
      <c r="I779" s="50">
        <v>45448</v>
      </c>
      <c r="M779" s="49" t="s">
        <v>12568</v>
      </c>
    </row>
    <row r="780" spans="1:13" x14ac:dyDescent="0.35">
      <c r="A780" s="49" t="s">
        <v>9033</v>
      </c>
      <c r="B780" s="49" t="s">
        <v>12848</v>
      </c>
      <c r="C780" s="49"/>
      <c r="D780" s="49" t="s">
        <v>1264</v>
      </c>
      <c r="E780" s="49" t="s">
        <v>2785</v>
      </c>
      <c r="F780" s="49" t="s">
        <v>2792</v>
      </c>
      <c r="G780" s="49" t="s">
        <v>4891</v>
      </c>
      <c r="H780" s="49" t="s">
        <v>4225</v>
      </c>
      <c r="I780" s="50">
        <v>45812</v>
      </c>
      <c r="M780" s="49" t="s">
        <v>12849</v>
      </c>
    </row>
    <row r="781" spans="1:13" x14ac:dyDescent="0.35">
      <c r="A781" s="49" t="s">
        <v>9033</v>
      </c>
      <c r="B781" s="49" t="s">
        <v>12926</v>
      </c>
      <c r="C781" s="49"/>
      <c r="D781" s="49" t="s">
        <v>1264</v>
      </c>
      <c r="E781" s="49" t="s">
        <v>2785</v>
      </c>
      <c r="F781" s="49" t="s">
        <v>2792</v>
      </c>
      <c r="G781" s="49" t="s">
        <v>4891</v>
      </c>
      <c r="H781" s="49" t="s">
        <v>3207</v>
      </c>
      <c r="I781" s="52">
        <v>45909.385300925896</v>
      </c>
      <c r="M781" s="49" t="s">
        <v>12927</v>
      </c>
    </row>
    <row r="782" spans="1:13" x14ac:dyDescent="0.35">
      <c r="A782" s="49" t="s">
        <v>9033</v>
      </c>
      <c r="B782" s="49" t="s">
        <v>12928</v>
      </c>
      <c r="C782" s="49"/>
      <c r="D782" s="49" t="s">
        <v>1264</v>
      </c>
      <c r="E782" s="49" t="s">
        <v>2785</v>
      </c>
      <c r="F782" s="49" t="s">
        <v>2792</v>
      </c>
      <c r="G782" s="49" t="s">
        <v>4891</v>
      </c>
      <c r="H782" s="49" t="s">
        <v>3207</v>
      </c>
      <c r="I782" s="52">
        <v>45909.395428240699</v>
      </c>
      <c r="M782" s="49" t="s">
        <v>12929</v>
      </c>
    </row>
    <row r="783" spans="1:13" x14ac:dyDescent="0.35">
      <c r="A783" s="49" t="s">
        <v>9033</v>
      </c>
      <c r="B783" s="49" t="s">
        <v>13265</v>
      </c>
      <c r="C783" s="49"/>
      <c r="D783" s="49" t="s">
        <v>1264</v>
      </c>
      <c r="E783" s="49" t="s">
        <v>2785</v>
      </c>
      <c r="F783" s="49" t="s">
        <v>2792</v>
      </c>
      <c r="G783" s="49" t="s">
        <v>4891</v>
      </c>
      <c r="H783" s="49" t="s">
        <v>3229</v>
      </c>
      <c r="I783" s="52">
        <v>46092.547870370399</v>
      </c>
      <c r="M783" s="49" t="s">
        <v>13266</v>
      </c>
    </row>
    <row r="784" spans="1:13" x14ac:dyDescent="0.35">
      <c r="A784" s="49" t="s">
        <v>9033</v>
      </c>
      <c r="B784" s="49" t="s">
        <v>13267</v>
      </c>
      <c r="C784" s="49"/>
      <c r="D784" s="49" t="s">
        <v>1264</v>
      </c>
      <c r="E784" s="49" t="s">
        <v>2785</v>
      </c>
      <c r="F784" s="49" t="s">
        <v>2792</v>
      </c>
      <c r="G784" s="49" t="s">
        <v>4891</v>
      </c>
      <c r="H784" s="49" t="s">
        <v>3229</v>
      </c>
      <c r="I784" s="52">
        <v>46092.558321759301</v>
      </c>
      <c r="M784" s="49" t="s">
        <v>13268</v>
      </c>
    </row>
    <row r="785" spans="1:13" x14ac:dyDescent="0.35">
      <c r="A785" s="49" t="s">
        <v>9033</v>
      </c>
      <c r="B785" s="49" t="s">
        <v>13284</v>
      </c>
      <c r="C785" s="49"/>
      <c r="D785" s="49" t="s">
        <v>1264</v>
      </c>
      <c r="E785" s="49" t="s">
        <v>2785</v>
      </c>
      <c r="F785" s="49" t="s">
        <v>2792</v>
      </c>
      <c r="G785" s="49" t="s">
        <v>4891</v>
      </c>
      <c r="H785" s="49" t="s">
        <v>3207</v>
      </c>
      <c r="I785" s="52">
        <v>46097.363946759302</v>
      </c>
      <c r="M785" s="49" t="s">
        <v>13285</v>
      </c>
    </row>
    <row r="786" spans="1:13" x14ac:dyDescent="0.35">
      <c r="A786" s="49" t="s">
        <v>9033</v>
      </c>
      <c r="B786" s="49" t="s">
        <v>13286</v>
      </c>
      <c r="C786" s="49"/>
      <c r="D786" s="49" t="s">
        <v>1264</v>
      </c>
      <c r="E786" s="49" t="s">
        <v>2785</v>
      </c>
      <c r="F786" s="49" t="s">
        <v>2792</v>
      </c>
      <c r="G786" s="49" t="s">
        <v>4891</v>
      </c>
      <c r="H786" s="49" t="s">
        <v>3207</v>
      </c>
      <c r="I786" s="52">
        <v>46097.369652777801</v>
      </c>
      <c r="M786" s="49" t="s">
        <v>13287</v>
      </c>
    </row>
    <row r="787" spans="1:13" x14ac:dyDescent="0.35">
      <c r="A787" s="49" t="s">
        <v>9033</v>
      </c>
      <c r="B787" s="49" t="s">
        <v>13329</v>
      </c>
      <c r="C787" s="49" t="s">
        <v>13330</v>
      </c>
      <c r="D787" s="49" t="s">
        <v>1264</v>
      </c>
      <c r="E787" s="49" t="s">
        <v>2785</v>
      </c>
      <c r="F787" s="49" t="s">
        <v>2792</v>
      </c>
      <c r="G787" s="49" t="s">
        <v>4891</v>
      </c>
      <c r="H787" s="49" t="s">
        <v>864</v>
      </c>
      <c r="I787" s="52">
        <v>46108.482685185198</v>
      </c>
      <c r="M787" s="49" t="s">
        <v>13331</v>
      </c>
    </row>
    <row r="788" spans="1:13" x14ac:dyDescent="0.35">
      <c r="A788" s="49" t="s">
        <v>9033</v>
      </c>
      <c r="B788" s="49" t="s">
        <v>13332</v>
      </c>
      <c r="C788" s="49" t="s">
        <v>13333</v>
      </c>
      <c r="D788" s="49" t="s">
        <v>1264</v>
      </c>
      <c r="E788" s="49" t="s">
        <v>2785</v>
      </c>
      <c r="F788" s="49" t="s">
        <v>2792</v>
      </c>
      <c r="G788" s="49" t="s">
        <v>4891</v>
      </c>
      <c r="H788" s="49" t="s">
        <v>864</v>
      </c>
      <c r="I788" s="52">
        <v>46108.488576388903</v>
      </c>
      <c r="M788" s="49" t="s">
        <v>12978</v>
      </c>
    </row>
    <row r="789" spans="1:13" x14ac:dyDescent="0.35">
      <c r="A789" s="49" t="s">
        <v>9033</v>
      </c>
      <c r="B789" s="49" t="s">
        <v>13334</v>
      </c>
      <c r="C789" s="49" t="s">
        <v>13335</v>
      </c>
      <c r="D789" s="49" t="s">
        <v>1264</v>
      </c>
      <c r="E789" s="49" t="s">
        <v>2785</v>
      </c>
      <c r="F789" s="49" t="s">
        <v>2792</v>
      </c>
      <c r="G789" s="49" t="s">
        <v>4891</v>
      </c>
      <c r="H789" s="49" t="s">
        <v>864</v>
      </c>
      <c r="I789" s="52">
        <v>46108.494791666701</v>
      </c>
      <c r="M789" s="49" t="s">
        <v>13336</v>
      </c>
    </row>
    <row r="790" spans="1:13" x14ac:dyDescent="0.35">
      <c r="A790" s="49" t="s">
        <v>9033</v>
      </c>
      <c r="B790" s="49" t="s">
        <v>13337</v>
      </c>
      <c r="C790" s="49" t="s">
        <v>13338</v>
      </c>
      <c r="D790" s="49" t="s">
        <v>1264</v>
      </c>
      <c r="E790" s="49" t="s">
        <v>2785</v>
      </c>
      <c r="F790" s="49" t="s">
        <v>2792</v>
      </c>
      <c r="G790" s="49" t="s">
        <v>4891</v>
      </c>
      <c r="H790" s="49" t="s">
        <v>864</v>
      </c>
      <c r="I790" s="52">
        <v>46108.501898148097</v>
      </c>
      <c r="M790" s="49" t="s">
        <v>13339</v>
      </c>
    </row>
    <row r="791" spans="1:13" x14ac:dyDescent="0.35">
      <c r="A791" s="49" t="s">
        <v>9033</v>
      </c>
      <c r="B791" s="49" t="s">
        <v>13463</v>
      </c>
      <c r="C791" s="49" t="s">
        <v>13464</v>
      </c>
      <c r="D791" s="49" t="s">
        <v>1264</v>
      </c>
      <c r="E791" s="49" t="s">
        <v>2785</v>
      </c>
      <c r="F791" s="49" t="s">
        <v>2792</v>
      </c>
      <c r="G791" s="49" t="s">
        <v>4891</v>
      </c>
      <c r="H791" s="49" t="s">
        <v>3229</v>
      </c>
      <c r="I791" s="52">
        <v>46140.482141203698</v>
      </c>
      <c r="M791" s="49" t="s">
        <v>13465</v>
      </c>
    </row>
    <row r="792" spans="1:13" x14ac:dyDescent="0.35">
      <c r="A792" s="49" t="s">
        <v>9033</v>
      </c>
      <c r="B792" s="49" t="s">
        <v>13466</v>
      </c>
      <c r="C792" s="49" t="s">
        <v>13467</v>
      </c>
      <c r="D792" s="49" t="s">
        <v>1264</v>
      </c>
      <c r="E792" s="49" t="s">
        <v>2785</v>
      </c>
      <c r="F792" s="49" t="s">
        <v>2792</v>
      </c>
      <c r="G792" s="49" t="s">
        <v>4891</v>
      </c>
      <c r="H792" s="49" t="s">
        <v>3229</v>
      </c>
      <c r="I792" s="52">
        <v>46140.524537037003</v>
      </c>
      <c r="M792" s="49" t="s">
        <v>13468</v>
      </c>
    </row>
    <row r="793" spans="1:13" x14ac:dyDescent="0.35">
      <c r="A793" s="49" t="s">
        <v>9033</v>
      </c>
      <c r="B793" s="49" t="s">
        <v>13469</v>
      </c>
      <c r="C793" s="49" t="s">
        <v>13470</v>
      </c>
      <c r="D793" s="49" t="s">
        <v>1264</v>
      </c>
      <c r="E793" s="49" t="s">
        <v>2785</v>
      </c>
      <c r="F793" s="49" t="s">
        <v>2792</v>
      </c>
      <c r="G793" s="49" t="s">
        <v>4891</v>
      </c>
      <c r="H793" s="49" t="s">
        <v>857</v>
      </c>
      <c r="I793" s="52">
        <v>46141.401527777802</v>
      </c>
      <c r="M793" s="49" t="s">
        <v>13471</v>
      </c>
    </row>
    <row r="794" spans="1:13" x14ac:dyDescent="0.35">
      <c r="A794" s="49" t="s">
        <v>9033</v>
      </c>
      <c r="B794" s="49" t="s">
        <v>13472</v>
      </c>
      <c r="C794" s="49" t="s">
        <v>13473</v>
      </c>
      <c r="D794" s="49" t="s">
        <v>1264</v>
      </c>
      <c r="E794" s="49" t="s">
        <v>2785</v>
      </c>
      <c r="F794" s="49" t="s">
        <v>2792</v>
      </c>
      <c r="G794" s="49" t="s">
        <v>4891</v>
      </c>
      <c r="H794" s="49" t="s">
        <v>857</v>
      </c>
      <c r="I794" s="52">
        <v>46141.422349537002</v>
      </c>
      <c r="M794" s="49" t="s">
        <v>13474</v>
      </c>
    </row>
    <row r="795" spans="1:13" ht="130.5" x14ac:dyDescent="0.35">
      <c r="A795" s="49" t="s">
        <v>9033</v>
      </c>
      <c r="B795" s="49" t="s">
        <v>13475</v>
      </c>
      <c r="C795" s="51" t="s">
        <v>13476</v>
      </c>
      <c r="D795" s="49" t="s">
        <v>1264</v>
      </c>
      <c r="E795" s="49" t="s">
        <v>2785</v>
      </c>
      <c r="F795" s="49" t="s">
        <v>2792</v>
      </c>
      <c r="G795" s="49" t="s">
        <v>4891</v>
      </c>
      <c r="H795" s="49" t="s">
        <v>857</v>
      </c>
      <c r="I795" s="52">
        <v>46141.4292361111</v>
      </c>
      <c r="M795" s="49" t="s">
        <v>13477</v>
      </c>
    </row>
    <row r="796" spans="1:13" x14ac:dyDescent="0.35">
      <c r="A796" s="49" t="s">
        <v>9033</v>
      </c>
      <c r="B796" s="49" t="s">
        <v>13478</v>
      </c>
      <c r="C796" s="49" t="s">
        <v>13479</v>
      </c>
      <c r="D796" s="49" t="s">
        <v>1264</v>
      </c>
      <c r="E796" s="49" t="s">
        <v>2785</v>
      </c>
      <c r="F796" s="49" t="s">
        <v>2792</v>
      </c>
      <c r="G796" s="49" t="s">
        <v>4891</v>
      </c>
      <c r="H796" s="49" t="s">
        <v>857</v>
      </c>
      <c r="I796" s="52">
        <v>46141.437210648102</v>
      </c>
      <c r="M796" s="49" t="s">
        <v>13480</v>
      </c>
    </row>
    <row r="797" spans="1:13" x14ac:dyDescent="0.35">
      <c r="A797" s="49" t="s">
        <v>9033</v>
      </c>
      <c r="B797" s="49" t="s">
        <v>13481</v>
      </c>
      <c r="C797" s="49" t="s">
        <v>13482</v>
      </c>
      <c r="D797" s="49" t="s">
        <v>1264</v>
      </c>
      <c r="E797" s="49" t="s">
        <v>2785</v>
      </c>
      <c r="F797" s="49" t="s">
        <v>2792</v>
      </c>
      <c r="G797" s="49" t="s">
        <v>4891</v>
      </c>
      <c r="H797" s="49" t="s">
        <v>857</v>
      </c>
      <c r="I797" s="52">
        <v>46141.443854166697</v>
      </c>
      <c r="M797" s="49" t="s">
        <v>13483</v>
      </c>
    </row>
    <row r="798" spans="1:13" x14ac:dyDescent="0.35">
      <c r="A798" s="49" t="s">
        <v>9033</v>
      </c>
      <c r="B798" s="49" t="s">
        <v>13484</v>
      </c>
      <c r="C798" s="49" t="s">
        <v>13485</v>
      </c>
      <c r="D798" s="49" t="s">
        <v>1264</v>
      </c>
      <c r="E798" s="49" t="s">
        <v>2785</v>
      </c>
      <c r="F798" s="49" t="s">
        <v>2792</v>
      </c>
      <c r="G798" s="49" t="s">
        <v>4891</v>
      </c>
      <c r="H798" s="49" t="s">
        <v>857</v>
      </c>
      <c r="I798" s="52">
        <v>46141.450717592597</v>
      </c>
      <c r="M798" s="49" t="s">
        <v>13486</v>
      </c>
    </row>
    <row r="799" spans="1:13" x14ac:dyDescent="0.35">
      <c r="A799" s="49" t="s">
        <v>9033</v>
      </c>
      <c r="B799" s="49" t="s">
        <v>13487</v>
      </c>
      <c r="C799" s="49" t="s">
        <v>13488</v>
      </c>
      <c r="D799" s="49" t="s">
        <v>1264</v>
      </c>
      <c r="E799" s="49" t="s">
        <v>2785</v>
      </c>
      <c r="F799" s="49" t="s">
        <v>2792</v>
      </c>
      <c r="G799" s="49" t="s">
        <v>4891</v>
      </c>
      <c r="H799" s="49" t="s">
        <v>857</v>
      </c>
      <c r="I799" s="52">
        <v>46141.457222222198</v>
      </c>
      <c r="M799" s="49" t="s">
        <v>13489</v>
      </c>
    </row>
    <row r="800" spans="1:13" x14ac:dyDescent="0.35">
      <c r="A800" s="49" t="s">
        <v>9033</v>
      </c>
      <c r="B800" s="49" t="s">
        <v>13490</v>
      </c>
      <c r="C800" s="49" t="s">
        <v>13491</v>
      </c>
      <c r="D800" s="49" t="s">
        <v>1264</v>
      </c>
      <c r="E800" s="49" t="s">
        <v>2785</v>
      </c>
      <c r="F800" s="49" t="s">
        <v>2792</v>
      </c>
      <c r="G800" s="49" t="s">
        <v>4891</v>
      </c>
      <c r="H800" s="49" t="s">
        <v>857</v>
      </c>
      <c r="I800" s="52">
        <v>46141.5804166667</v>
      </c>
      <c r="M800" s="49" t="s">
        <v>13492</v>
      </c>
    </row>
    <row r="801" spans="1:13" x14ac:dyDescent="0.35">
      <c r="A801" s="49" t="s">
        <v>9033</v>
      </c>
      <c r="B801" s="49" t="s">
        <v>13579</v>
      </c>
      <c r="C801" s="49"/>
      <c r="D801" s="49" t="s">
        <v>1264</v>
      </c>
      <c r="E801" s="49" t="s">
        <v>2785</v>
      </c>
      <c r="F801" s="49" t="s">
        <v>2792</v>
      </c>
      <c r="G801" s="49" t="s">
        <v>4891</v>
      </c>
      <c r="H801" s="49" t="s">
        <v>3207</v>
      </c>
      <c r="I801" s="52">
        <v>46161.634907407402</v>
      </c>
      <c r="M801" s="49" t="s">
        <v>13580</v>
      </c>
    </row>
    <row r="802" spans="1:13" x14ac:dyDescent="0.35">
      <c r="A802" s="49" t="s">
        <v>15325</v>
      </c>
      <c r="B802" s="49" t="s">
        <v>5623</v>
      </c>
      <c r="C802" s="49"/>
      <c r="D802" s="49" t="s">
        <v>1264</v>
      </c>
      <c r="E802" s="49" t="s">
        <v>2986</v>
      </c>
      <c r="F802" s="49" t="s">
        <v>2825</v>
      </c>
      <c r="G802" s="49" t="s">
        <v>4330</v>
      </c>
      <c r="H802" s="49" t="s">
        <v>2827</v>
      </c>
      <c r="I802" s="50">
        <v>45042</v>
      </c>
      <c r="M802" s="49" t="s">
        <v>5625</v>
      </c>
    </row>
    <row r="803" spans="1:13" x14ac:dyDescent="0.35">
      <c r="A803" s="49" t="s">
        <v>15325</v>
      </c>
      <c r="B803" s="49" t="s">
        <v>6256</v>
      </c>
      <c r="C803" s="49"/>
      <c r="D803" s="49" t="s">
        <v>1264</v>
      </c>
      <c r="E803" s="49" t="s">
        <v>2986</v>
      </c>
      <c r="F803" s="49" t="s">
        <v>2825</v>
      </c>
      <c r="G803" s="49" t="s">
        <v>4330</v>
      </c>
      <c r="H803" s="49" t="s">
        <v>2827</v>
      </c>
      <c r="I803" s="50">
        <v>45042</v>
      </c>
      <c r="M803" s="49" t="s">
        <v>6257</v>
      </c>
    </row>
    <row r="804" spans="1:13" x14ac:dyDescent="0.35">
      <c r="A804" s="49" t="s">
        <v>15325</v>
      </c>
      <c r="B804" s="49" t="s">
        <v>11834</v>
      </c>
      <c r="C804" s="49" t="s">
        <v>11835</v>
      </c>
      <c r="D804" s="49" t="s">
        <v>1264</v>
      </c>
      <c r="E804" s="49" t="s">
        <v>2986</v>
      </c>
      <c r="F804" s="49" t="s">
        <v>2825</v>
      </c>
      <c r="G804" s="49" t="s">
        <v>2776</v>
      </c>
      <c r="H804" s="49" t="s">
        <v>2827</v>
      </c>
      <c r="I804" s="50">
        <v>45236</v>
      </c>
      <c r="M804" s="49" t="s">
        <v>11837</v>
      </c>
    </row>
    <row r="805" spans="1:13" x14ac:dyDescent="0.35">
      <c r="A805" s="49" t="s">
        <v>15325</v>
      </c>
      <c r="B805" s="49" t="s">
        <v>11870</v>
      </c>
      <c r="C805" s="49" t="s">
        <v>11871</v>
      </c>
      <c r="D805" s="49" t="s">
        <v>1264</v>
      </c>
      <c r="E805" s="49" t="s">
        <v>2785</v>
      </c>
      <c r="F805" s="49" t="s">
        <v>2805</v>
      </c>
      <c r="G805" s="49" t="s">
        <v>2776</v>
      </c>
      <c r="H805" s="49" t="s">
        <v>1062</v>
      </c>
      <c r="I805" s="50">
        <v>44994</v>
      </c>
      <c r="M805" s="49" t="s">
        <v>11872</v>
      </c>
    </row>
    <row r="806" spans="1:13" x14ac:dyDescent="0.35">
      <c r="A806" s="49" t="s">
        <v>15150</v>
      </c>
      <c r="B806" s="49" t="s">
        <v>6520</v>
      </c>
      <c r="C806" s="49" t="s">
        <v>3768</v>
      </c>
      <c r="D806" s="49" t="s">
        <v>1264</v>
      </c>
      <c r="E806" s="49" t="s">
        <v>3443</v>
      </c>
      <c r="F806" s="49" t="s">
        <v>3124</v>
      </c>
      <c r="G806" s="49" t="s">
        <v>2901</v>
      </c>
      <c r="H806" s="49" t="s">
        <v>980</v>
      </c>
      <c r="I806" s="50">
        <v>45306</v>
      </c>
      <c r="J806" s="50">
        <v>45366</v>
      </c>
      <c r="K806" s="50">
        <v>46095</v>
      </c>
    </row>
    <row r="807" spans="1:13" x14ac:dyDescent="0.35">
      <c r="A807" s="49" t="s">
        <v>15150</v>
      </c>
      <c r="B807" s="49" t="s">
        <v>6554</v>
      </c>
      <c r="C807" s="49" t="s">
        <v>3586</v>
      </c>
      <c r="D807" s="49" t="s">
        <v>1264</v>
      </c>
      <c r="E807" s="49" t="s">
        <v>2908</v>
      </c>
      <c r="F807" s="49" t="s">
        <v>3010</v>
      </c>
      <c r="G807" s="49" t="s">
        <v>2901</v>
      </c>
      <c r="H807" s="49" t="s">
        <v>980</v>
      </c>
      <c r="I807" s="50">
        <v>45315</v>
      </c>
      <c r="J807" s="50">
        <v>45373</v>
      </c>
      <c r="K807" s="50">
        <v>47198</v>
      </c>
      <c r="M807" s="49" t="s">
        <v>6555</v>
      </c>
    </row>
    <row r="808" spans="1:13" x14ac:dyDescent="0.35">
      <c r="A808" s="49" t="s">
        <v>14888</v>
      </c>
      <c r="B808" s="49" t="s">
        <v>10518</v>
      </c>
      <c r="C808" s="49"/>
      <c r="D808" s="49" t="s">
        <v>1264</v>
      </c>
      <c r="E808" s="49" t="s">
        <v>2814</v>
      </c>
      <c r="F808" s="49" t="s">
        <v>2825</v>
      </c>
      <c r="G808" s="49" t="s">
        <v>2776</v>
      </c>
      <c r="H808" s="49" t="s">
        <v>2827</v>
      </c>
      <c r="I808" s="50">
        <v>42401</v>
      </c>
      <c r="M808" s="49" t="s">
        <v>3470</v>
      </c>
    </row>
    <row r="809" spans="1:13" x14ac:dyDescent="0.35">
      <c r="A809" s="49" t="s">
        <v>14201</v>
      </c>
      <c r="B809" s="49" t="s">
        <v>4748</v>
      </c>
      <c r="C809" s="49"/>
      <c r="D809" s="49" t="s">
        <v>1264</v>
      </c>
      <c r="E809" s="49" t="s">
        <v>2986</v>
      </c>
      <c r="F809" s="49" t="s">
        <v>2825</v>
      </c>
      <c r="G809" s="49" t="s">
        <v>2901</v>
      </c>
      <c r="H809" s="49" t="s">
        <v>2827</v>
      </c>
      <c r="I809" s="50">
        <v>44609</v>
      </c>
      <c r="J809" s="50">
        <v>44614</v>
      </c>
      <c r="K809" s="50">
        <v>45709</v>
      </c>
      <c r="M809" s="49" t="s">
        <v>4750</v>
      </c>
    </row>
    <row r="810" spans="1:13" x14ac:dyDescent="0.35">
      <c r="A810" s="49" t="s">
        <v>14201</v>
      </c>
      <c r="B810" s="49" t="s">
        <v>4757</v>
      </c>
      <c r="C810" s="49" t="s">
        <v>4758</v>
      </c>
      <c r="D810" s="49" t="s">
        <v>1264</v>
      </c>
      <c r="E810" s="49" t="s">
        <v>2986</v>
      </c>
      <c r="F810" s="49" t="s">
        <v>2825</v>
      </c>
      <c r="G810" s="49" t="s">
        <v>4330</v>
      </c>
      <c r="H810" s="49" t="s">
        <v>973</v>
      </c>
      <c r="I810" s="50">
        <v>44610</v>
      </c>
      <c r="M810" s="49" t="s">
        <v>4759</v>
      </c>
    </row>
    <row r="811" spans="1:13" x14ac:dyDescent="0.35">
      <c r="A811" s="49" t="s">
        <v>14201</v>
      </c>
      <c r="B811" s="49" t="s">
        <v>4760</v>
      </c>
      <c r="C811" s="49" t="s">
        <v>4761</v>
      </c>
      <c r="D811" s="49" t="s">
        <v>1264</v>
      </c>
      <c r="E811" s="49" t="s">
        <v>2986</v>
      </c>
      <c r="F811" s="49" t="s">
        <v>2825</v>
      </c>
      <c r="G811" s="49" t="s">
        <v>4330</v>
      </c>
      <c r="H811" s="49" t="s">
        <v>973</v>
      </c>
      <c r="I811" s="50">
        <v>44610</v>
      </c>
      <c r="M811" s="49" t="s">
        <v>4762</v>
      </c>
    </row>
    <row r="812" spans="1:13" x14ac:dyDescent="0.35">
      <c r="A812" s="49" t="s">
        <v>14201</v>
      </c>
      <c r="B812" s="49" t="s">
        <v>5203</v>
      </c>
      <c r="C812" s="49"/>
      <c r="D812" s="49" t="s">
        <v>1264</v>
      </c>
      <c r="E812" s="49" t="s">
        <v>2986</v>
      </c>
      <c r="F812" s="49" t="s">
        <v>2825</v>
      </c>
      <c r="G812" s="49" t="s">
        <v>2901</v>
      </c>
      <c r="H812" s="49" t="s">
        <v>2827</v>
      </c>
      <c r="I812" s="50">
        <v>44902</v>
      </c>
      <c r="J812" s="50">
        <v>44922</v>
      </c>
      <c r="K812" s="50">
        <v>46017</v>
      </c>
      <c r="M812" s="49" t="s">
        <v>5204</v>
      </c>
    </row>
    <row r="813" spans="1:13" x14ac:dyDescent="0.35">
      <c r="A813" s="49" t="s">
        <v>14201</v>
      </c>
      <c r="B813" s="49" t="s">
        <v>5205</v>
      </c>
      <c r="C813" s="49"/>
      <c r="D813" s="49" t="s">
        <v>1264</v>
      </c>
      <c r="E813" s="49" t="s">
        <v>2986</v>
      </c>
      <c r="F813" s="49" t="s">
        <v>2825</v>
      </c>
      <c r="G813" s="49" t="s">
        <v>2901</v>
      </c>
      <c r="H813" s="49" t="s">
        <v>2827</v>
      </c>
      <c r="I813" s="50">
        <v>44902</v>
      </c>
      <c r="J813" s="50">
        <v>44908</v>
      </c>
      <c r="K813" s="50">
        <v>46003</v>
      </c>
      <c r="M813" s="49" t="s">
        <v>5206</v>
      </c>
    </row>
    <row r="814" spans="1:13" x14ac:dyDescent="0.35">
      <c r="A814" s="49" t="s">
        <v>14201</v>
      </c>
      <c r="B814" s="49" t="s">
        <v>5273</v>
      </c>
      <c r="C814" s="49"/>
      <c r="D814" s="49" t="s">
        <v>1264</v>
      </c>
      <c r="E814" s="49" t="s">
        <v>2986</v>
      </c>
      <c r="F814" s="49" t="s">
        <v>2825</v>
      </c>
      <c r="G814" s="49" t="s">
        <v>2901</v>
      </c>
      <c r="H814" s="49" t="s">
        <v>2827</v>
      </c>
      <c r="I814" s="50">
        <v>44902</v>
      </c>
      <c r="J814" s="50">
        <v>44908</v>
      </c>
      <c r="K814" s="50">
        <v>46003</v>
      </c>
      <c r="M814" s="49" t="s">
        <v>3270</v>
      </c>
    </row>
    <row r="815" spans="1:13" x14ac:dyDescent="0.35">
      <c r="A815" s="49" t="s">
        <v>14201</v>
      </c>
      <c r="B815" s="49" t="s">
        <v>5358</v>
      </c>
      <c r="C815" s="49" t="s">
        <v>5359</v>
      </c>
      <c r="D815" s="49" t="s">
        <v>1264</v>
      </c>
      <c r="E815" s="49" t="s">
        <v>2986</v>
      </c>
      <c r="F815" s="49" t="s">
        <v>2825</v>
      </c>
      <c r="G815" s="49" t="s">
        <v>2901</v>
      </c>
      <c r="H815" s="49" t="s">
        <v>2827</v>
      </c>
      <c r="I815" s="50">
        <v>44972</v>
      </c>
      <c r="J815" s="50">
        <v>45028</v>
      </c>
      <c r="K815" s="50">
        <v>46123</v>
      </c>
      <c r="M815" s="49" t="s">
        <v>5360</v>
      </c>
    </row>
    <row r="816" spans="1:13" x14ac:dyDescent="0.35">
      <c r="A816" s="49" t="s">
        <v>14201</v>
      </c>
      <c r="B816" s="49" t="s">
        <v>5361</v>
      </c>
      <c r="C816" s="49" t="s">
        <v>5362</v>
      </c>
      <c r="D816" s="49" t="s">
        <v>1264</v>
      </c>
      <c r="E816" s="49" t="s">
        <v>2986</v>
      </c>
      <c r="F816" s="49" t="s">
        <v>2825</v>
      </c>
      <c r="G816" s="49" t="s">
        <v>2901</v>
      </c>
      <c r="H816" s="49" t="s">
        <v>2827</v>
      </c>
      <c r="I816" s="50">
        <v>44972</v>
      </c>
      <c r="J816" s="50">
        <v>45028</v>
      </c>
      <c r="K816" s="50">
        <v>46123</v>
      </c>
      <c r="M816" s="49" t="s">
        <v>5363</v>
      </c>
    </row>
    <row r="817" spans="1:13" x14ac:dyDescent="0.35">
      <c r="A817" s="49" t="s">
        <v>14201</v>
      </c>
      <c r="B817" s="49" t="s">
        <v>5382</v>
      </c>
      <c r="C817" s="49" t="s">
        <v>4817</v>
      </c>
      <c r="D817" s="49" t="s">
        <v>1264</v>
      </c>
      <c r="E817" s="49" t="s">
        <v>2986</v>
      </c>
      <c r="F817" s="49" t="s">
        <v>2825</v>
      </c>
      <c r="G817" s="49" t="s">
        <v>2901</v>
      </c>
      <c r="H817" s="49" t="s">
        <v>2827</v>
      </c>
      <c r="I817" s="50">
        <v>44972</v>
      </c>
      <c r="J817" s="50">
        <v>45028</v>
      </c>
      <c r="K817" s="50">
        <v>46123</v>
      </c>
      <c r="M817" s="49" t="s">
        <v>5383</v>
      </c>
    </row>
    <row r="818" spans="1:13" x14ac:dyDescent="0.35">
      <c r="A818" s="49" t="s">
        <v>14201</v>
      </c>
      <c r="B818" s="49" t="s">
        <v>10982</v>
      </c>
      <c r="C818" s="49" t="s">
        <v>2823</v>
      </c>
      <c r="D818" s="49" t="s">
        <v>1264</v>
      </c>
      <c r="E818" s="49" t="s">
        <v>2986</v>
      </c>
      <c r="F818" s="49" t="s">
        <v>2825</v>
      </c>
      <c r="G818" s="49" t="s">
        <v>2776</v>
      </c>
      <c r="H818" s="49" t="s">
        <v>8</v>
      </c>
      <c r="I818" s="50">
        <v>44609</v>
      </c>
      <c r="M818" s="49" t="s">
        <v>10983</v>
      </c>
    </row>
    <row r="819" spans="1:13" x14ac:dyDescent="0.35">
      <c r="A819" s="49" t="s">
        <v>14201</v>
      </c>
      <c r="B819" s="49" t="s">
        <v>10984</v>
      </c>
      <c r="C819" s="49" t="s">
        <v>2823</v>
      </c>
      <c r="D819" s="49" t="s">
        <v>1264</v>
      </c>
      <c r="E819" s="49" t="s">
        <v>2986</v>
      </c>
      <c r="F819" s="49" t="s">
        <v>2825</v>
      </c>
      <c r="G819" s="49" t="s">
        <v>2776</v>
      </c>
      <c r="H819" s="49" t="s">
        <v>8</v>
      </c>
      <c r="I819" s="50">
        <v>44609</v>
      </c>
      <c r="M819" s="49" t="s">
        <v>10985</v>
      </c>
    </row>
    <row r="820" spans="1:13" x14ac:dyDescent="0.35">
      <c r="A820" s="49" t="s">
        <v>14201</v>
      </c>
      <c r="B820" s="49" t="s">
        <v>10986</v>
      </c>
      <c r="C820" s="49" t="s">
        <v>2823</v>
      </c>
      <c r="D820" s="49" t="s">
        <v>1264</v>
      </c>
      <c r="E820" s="49" t="s">
        <v>2986</v>
      </c>
      <c r="F820" s="49" t="s">
        <v>2825</v>
      </c>
      <c r="G820" s="49" t="s">
        <v>2776</v>
      </c>
      <c r="H820" s="49" t="s">
        <v>2827</v>
      </c>
      <c r="I820" s="50">
        <v>44609</v>
      </c>
      <c r="M820" s="49" t="s">
        <v>10987</v>
      </c>
    </row>
    <row r="821" spans="1:13" x14ac:dyDescent="0.35">
      <c r="A821" s="49" t="s">
        <v>14201</v>
      </c>
      <c r="B821" s="49" t="s">
        <v>11213</v>
      </c>
      <c r="C821" s="49"/>
      <c r="D821" s="49" t="s">
        <v>1264</v>
      </c>
      <c r="E821" s="49" t="s">
        <v>2774</v>
      </c>
      <c r="F821" s="49" t="s">
        <v>2825</v>
      </c>
      <c r="G821" s="49" t="s">
        <v>4891</v>
      </c>
      <c r="H821" s="49" t="s">
        <v>2827</v>
      </c>
      <c r="I821" s="50">
        <v>44914</v>
      </c>
      <c r="M821" s="49" t="s">
        <v>3173</v>
      </c>
    </row>
    <row r="822" spans="1:13" x14ac:dyDescent="0.35">
      <c r="A822" s="49" t="s">
        <v>14201</v>
      </c>
      <c r="B822" s="49" t="s">
        <v>4808</v>
      </c>
      <c r="C822" s="49" t="s">
        <v>4809</v>
      </c>
      <c r="D822" s="49" t="s">
        <v>1264</v>
      </c>
      <c r="E822" s="49" t="s">
        <v>2986</v>
      </c>
      <c r="F822" s="49" t="s">
        <v>2825</v>
      </c>
      <c r="G822" s="49" t="s">
        <v>2901</v>
      </c>
      <c r="H822" s="49" t="s">
        <v>2827</v>
      </c>
      <c r="I822" s="50">
        <v>44662</v>
      </c>
      <c r="J822" s="50">
        <v>44736</v>
      </c>
      <c r="K822" s="50">
        <v>45831</v>
      </c>
      <c r="M822" s="49" t="s">
        <v>4811</v>
      </c>
    </row>
    <row r="823" spans="1:13" x14ac:dyDescent="0.35">
      <c r="A823" s="49" t="s">
        <v>14201</v>
      </c>
      <c r="B823" s="49" t="s">
        <v>4816</v>
      </c>
      <c r="C823" s="49" t="s">
        <v>4817</v>
      </c>
      <c r="D823" s="49" t="s">
        <v>1264</v>
      </c>
      <c r="E823" s="49" t="s">
        <v>2986</v>
      </c>
      <c r="F823" s="49" t="s">
        <v>2825</v>
      </c>
      <c r="G823" s="49" t="s">
        <v>2901</v>
      </c>
      <c r="H823" s="49" t="s">
        <v>2827</v>
      </c>
      <c r="I823" s="50">
        <v>44662</v>
      </c>
      <c r="J823" s="50">
        <v>44736</v>
      </c>
      <c r="K823" s="50">
        <v>45831</v>
      </c>
      <c r="M823" s="49" t="s">
        <v>4818</v>
      </c>
    </row>
    <row r="824" spans="1:13" x14ac:dyDescent="0.35">
      <c r="A824" s="49" t="s">
        <v>14201</v>
      </c>
      <c r="B824" s="49" t="s">
        <v>4876</v>
      </c>
      <c r="C824" s="49" t="s">
        <v>4877</v>
      </c>
      <c r="D824" s="49" t="s">
        <v>1264</v>
      </c>
      <c r="E824" s="49" t="s">
        <v>2986</v>
      </c>
      <c r="F824" s="49" t="s">
        <v>2825</v>
      </c>
      <c r="G824" s="49" t="s">
        <v>2901</v>
      </c>
      <c r="H824" s="49" t="s">
        <v>2827</v>
      </c>
      <c r="I824" s="50">
        <v>44662</v>
      </c>
      <c r="J824" s="50">
        <v>44736</v>
      </c>
      <c r="K824" s="50">
        <v>45831</v>
      </c>
      <c r="M824" s="49" t="s">
        <v>4878</v>
      </c>
    </row>
    <row r="825" spans="1:13" x14ac:dyDescent="0.35">
      <c r="A825" s="49" t="s">
        <v>14201</v>
      </c>
      <c r="B825" s="49" t="s">
        <v>11020</v>
      </c>
      <c r="C825" s="49"/>
      <c r="D825" s="49" t="s">
        <v>1264</v>
      </c>
      <c r="E825" s="49" t="s">
        <v>2774</v>
      </c>
      <c r="F825" s="49" t="s">
        <v>2825</v>
      </c>
      <c r="G825" s="49" t="s">
        <v>2776</v>
      </c>
      <c r="H825" s="49" t="s">
        <v>2827</v>
      </c>
      <c r="I825" s="50">
        <v>44662</v>
      </c>
      <c r="M825" s="49" t="s">
        <v>11021</v>
      </c>
    </row>
    <row r="826" spans="1:13" x14ac:dyDescent="0.35">
      <c r="A826" s="49" t="s">
        <v>14513</v>
      </c>
      <c r="B826" s="49" t="s">
        <v>9625</v>
      </c>
      <c r="C826" s="49"/>
      <c r="D826" s="49" t="s">
        <v>1264</v>
      </c>
      <c r="E826" s="49" t="s">
        <v>2908</v>
      </c>
      <c r="F826" s="49" t="s">
        <v>2939</v>
      </c>
      <c r="G826" s="49" t="s">
        <v>2776</v>
      </c>
      <c r="H826" s="49" t="s">
        <v>8</v>
      </c>
      <c r="I826" s="50">
        <v>42202</v>
      </c>
      <c r="M826" s="49" t="s">
        <v>9627</v>
      </c>
    </row>
    <row r="827" spans="1:13" x14ac:dyDescent="0.35">
      <c r="A827" s="49" t="s">
        <v>14513</v>
      </c>
      <c r="B827" s="49" t="s">
        <v>9643</v>
      </c>
      <c r="C827" s="49"/>
      <c r="D827" s="49" t="s">
        <v>1264</v>
      </c>
      <c r="E827" s="49" t="s">
        <v>2908</v>
      </c>
      <c r="F827" s="49" t="s">
        <v>2939</v>
      </c>
      <c r="G827" s="49" t="s">
        <v>2776</v>
      </c>
      <c r="H827" s="49" t="s">
        <v>980</v>
      </c>
      <c r="I827" s="50">
        <v>42457</v>
      </c>
      <c r="M827" s="49" t="s">
        <v>9644</v>
      </c>
    </row>
    <row r="828" spans="1:13" x14ac:dyDescent="0.35">
      <c r="A828" s="49" t="s">
        <v>13854</v>
      </c>
      <c r="B828" s="49" t="s">
        <v>13853</v>
      </c>
      <c r="C828" s="49"/>
      <c r="D828" s="49" t="s">
        <v>1264</v>
      </c>
      <c r="E828" s="49" t="s">
        <v>2774</v>
      </c>
      <c r="F828" s="49" t="s">
        <v>2939</v>
      </c>
      <c r="G828" s="49" t="s">
        <v>2776</v>
      </c>
      <c r="H828" s="49" t="s">
        <v>980</v>
      </c>
      <c r="I828" s="50">
        <v>43593</v>
      </c>
      <c r="M828" s="49" t="s">
        <v>13855</v>
      </c>
    </row>
    <row r="829" spans="1:13" x14ac:dyDescent="0.35">
      <c r="A829" s="49" t="s">
        <v>14835</v>
      </c>
      <c r="B829" s="49" t="s">
        <v>3493</v>
      </c>
      <c r="C829" s="49" t="s">
        <v>2937</v>
      </c>
      <c r="D829" s="49" t="s">
        <v>1264</v>
      </c>
      <c r="E829" s="49" t="s">
        <v>2774</v>
      </c>
      <c r="F829" s="49" t="s">
        <v>2939</v>
      </c>
      <c r="G829" s="49" t="s">
        <v>2787</v>
      </c>
      <c r="H829" s="49" t="s">
        <v>980</v>
      </c>
      <c r="I829" s="50">
        <v>42478</v>
      </c>
      <c r="J829" s="50">
        <v>42480</v>
      </c>
      <c r="K829" s="50">
        <v>43574</v>
      </c>
      <c r="M829" s="49" t="s">
        <v>3495</v>
      </c>
    </row>
    <row r="830" spans="1:13" x14ac:dyDescent="0.35">
      <c r="A830" s="49" t="s">
        <v>14835</v>
      </c>
      <c r="B830" s="49" t="s">
        <v>3496</v>
      </c>
      <c r="C830" s="49" t="s">
        <v>3354</v>
      </c>
      <c r="D830" s="49" t="s">
        <v>1264</v>
      </c>
      <c r="E830" s="49" t="s">
        <v>2774</v>
      </c>
      <c r="F830" s="49" t="s">
        <v>2939</v>
      </c>
      <c r="G830" s="49" t="s">
        <v>2787</v>
      </c>
      <c r="H830" s="49" t="s">
        <v>980</v>
      </c>
      <c r="I830" s="50">
        <v>42478</v>
      </c>
      <c r="J830" s="50">
        <v>43575</v>
      </c>
      <c r="K830" s="50">
        <v>44640</v>
      </c>
      <c r="M830" s="49" t="s">
        <v>3497</v>
      </c>
    </row>
    <row r="831" spans="1:13" x14ac:dyDescent="0.35">
      <c r="A831" s="49" t="s">
        <v>14835</v>
      </c>
      <c r="B831" s="49" t="s">
        <v>4137</v>
      </c>
      <c r="C831" s="49" t="s">
        <v>3420</v>
      </c>
      <c r="D831" s="49" t="s">
        <v>1264</v>
      </c>
      <c r="E831" s="49" t="s">
        <v>2908</v>
      </c>
      <c r="F831" s="49" t="s">
        <v>2939</v>
      </c>
      <c r="G831" s="49" t="s">
        <v>2901</v>
      </c>
      <c r="H831" s="49" t="s">
        <v>980</v>
      </c>
      <c r="I831" s="50">
        <v>44106</v>
      </c>
      <c r="J831" s="50">
        <v>44279</v>
      </c>
      <c r="K831" s="50">
        <v>46104</v>
      </c>
      <c r="M831" s="49" t="s">
        <v>4138</v>
      </c>
    </row>
    <row r="832" spans="1:13" x14ac:dyDescent="0.35">
      <c r="A832" s="49" t="s">
        <v>14835</v>
      </c>
      <c r="B832" s="49" t="s">
        <v>4343</v>
      </c>
      <c r="C832" s="49"/>
      <c r="D832" s="49" t="s">
        <v>1264</v>
      </c>
      <c r="E832" s="49" t="s">
        <v>2908</v>
      </c>
      <c r="F832" s="49" t="s">
        <v>2939</v>
      </c>
      <c r="G832" s="49" t="s">
        <v>2776</v>
      </c>
      <c r="H832" s="49" t="s">
        <v>980</v>
      </c>
      <c r="I832" s="50">
        <v>43458</v>
      </c>
      <c r="M832" s="49" t="s">
        <v>3497</v>
      </c>
    </row>
    <row r="833" spans="1:13" x14ac:dyDescent="0.35">
      <c r="A833" s="49" t="s">
        <v>14835</v>
      </c>
      <c r="B833" s="49" t="s">
        <v>5670</v>
      </c>
      <c r="C833" s="49" t="s">
        <v>3420</v>
      </c>
      <c r="D833" s="49" t="s">
        <v>1264</v>
      </c>
      <c r="E833" s="49" t="s">
        <v>3413</v>
      </c>
      <c r="F833" s="49" t="s">
        <v>5672</v>
      </c>
      <c r="G833" s="49" t="s">
        <v>2901</v>
      </c>
      <c r="H833" s="49" t="s">
        <v>980</v>
      </c>
      <c r="I833" s="50">
        <v>44640</v>
      </c>
      <c r="J833" s="50">
        <v>44712</v>
      </c>
      <c r="K833" s="50">
        <v>52016</v>
      </c>
      <c r="M833" s="49" t="s">
        <v>5673</v>
      </c>
    </row>
    <row r="834" spans="1:13" x14ac:dyDescent="0.35">
      <c r="A834" s="49" t="s">
        <v>14835</v>
      </c>
      <c r="B834" s="49" t="s">
        <v>9671</v>
      </c>
      <c r="C834" s="49" t="s">
        <v>3420</v>
      </c>
      <c r="D834" s="49" t="s">
        <v>1264</v>
      </c>
      <c r="E834" s="49" t="s">
        <v>2908</v>
      </c>
      <c r="F834" s="49" t="s">
        <v>2939</v>
      </c>
      <c r="G834" s="49" t="s">
        <v>2776</v>
      </c>
      <c r="H834" s="49" t="s">
        <v>980</v>
      </c>
      <c r="I834" s="50">
        <v>42850</v>
      </c>
      <c r="M834" s="49" t="s">
        <v>9673</v>
      </c>
    </row>
    <row r="835" spans="1:13" x14ac:dyDescent="0.35">
      <c r="A835" s="49" t="s">
        <v>14835</v>
      </c>
      <c r="B835" s="49" t="s">
        <v>9687</v>
      </c>
      <c r="C835" s="49"/>
      <c r="D835" s="49" t="s">
        <v>1264</v>
      </c>
      <c r="E835" s="49" t="s">
        <v>2908</v>
      </c>
      <c r="F835" s="49" t="s">
        <v>2939</v>
      </c>
      <c r="G835" s="49" t="s">
        <v>2776</v>
      </c>
      <c r="H835" s="49" t="s">
        <v>980</v>
      </c>
      <c r="I835" s="50">
        <v>42863</v>
      </c>
      <c r="M835" s="49" t="s">
        <v>9688</v>
      </c>
    </row>
    <row r="836" spans="1:13" x14ac:dyDescent="0.35">
      <c r="A836" s="49" t="s">
        <v>14835</v>
      </c>
      <c r="B836" s="49" t="s">
        <v>13764</v>
      </c>
      <c r="C836" s="49" t="s">
        <v>3420</v>
      </c>
      <c r="D836" s="49" t="s">
        <v>1264</v>
      </c>
      <c r="E836" s="49" t="s">
        <v>3413</v>
      </c>
      <c r="F836" s="49" t="s">
        <v>2939</v>
      </c>
      <c r="G836" s="49" t="s">
        <v>2776</v>
      </c>
      <c r="H836" s="49" t="s">
        <v>980</v>
      </c>
      <c r="I836" s="50">
        <v>42984</v>
      </c>
      <c r="M836" s="49" t="s">
        <v>13765</v>
      </c>
    </row>
    <row r="837" spans="1:13" x14ac:dyDescent="0.35">
      <c r="A837" s="49" t="s">
        <v>15639</v>
      </c>
      <c r="B837" s="49" t="s">
        <v>12542</v>
      </c>
      <c r="C837" s="49"/>
      <c r="D837" s="49" t="s">
        <v>1264</v>
      </c>
      <c r="E837" s="49" t="s">
        <v>2908</v>
      </c>
      <c r="F837" s="49" t="s">
        <v>2805</v>
      </c>
      <c r="G837" s="49" t="s">
        <v>4891</v>
      </c>
      <c r="H837" s="49" t="s">
        <v>980</v>
      </c>
      <c r="I837" s="50">
        <v>45426</v>
      </c>
      <c r="M837" s="49" t="s">
        <v>12544</v>
      </c>
    </row>
    <row r="838" spans="1:13" x14ac:dyDescent="0.35">
      <c r="A838" s="49" t="s">
        <v>15639</v>
      </c>
      <c r="B838" s="49" t="s">
        <v>12578</v>
      </c>
      <c r="C838" s="49"/>
      <c r="D838" s="49" t="s">
        <v>1264</v>
      </c>
      <c r="E838" s="49" t="s">
        <v>2785</v>
      </c>
      <c r="F838" s="49" t="s">
        <v>2805</v>
      </c>
      <c r="G838" s="49" t="s">
        <v>4891</v>
      </c>
      <c r="H838" s="49" t="s">
        <v>980</v>
      </c>
      <c r="I838" s="50">
        <v>45439</v>
      </c>
      <c r="M838" s="49" t="s">
        <v>12579</v>
      </c>
    </row>
    <row r="839" spans="1:13" x14ac:dyDescent="0.35">
      <c r="A839" s="49" t="s">
        <v>2961</v>
      </c>
      <c r="B839" s="49" t="s">
        <v>2959</v>
      </c>
      <c r="C839" s="49" t="s">
        <v>2960</v>
      </c>
      <c r="D839" s="49" t="s">
        <v>1264</v>
      </c>
      <c r="E839" s="49" t="s">
        <v>2899</v>
      </c>
      <c r="F839" s="49" t="s">
        <v>2939</v>
      </c>
      <c r="G839" s="49" t="s">
        <v>2901</v>
      </c>
      <c r="H839" s="49" t="s">
        <v>980</v>
      </c>
      <c r="I839" s="50">
        <v>36285</v>
      </c>
      <c r="J839" s="50">
        <v>36578</v>
      </c>
      <c r="K839" s="50">
        <v>45709</v>
      </c>
      <c r="M839" s="49" t="s">
        <v>2962</v>
      </c>
    </row>
    <row r="840" spans="1:13" x14ac:dyDescent="0.35">
      <c r="A840" s="49" t="s">
        <v>2961</v>
      </c>
      <c r="B840" s="49" t="s">
        <v>2963</v>
      </c>
      <c r="C840" s="49" t="s">
        <v>2964</v>
      </c>
      <c r="D840" s="49" t="s">
        <v>1264</v>
      </c>
      <c r="E840" s="49" t="s">
        <v>2899</v>
      </c>
      <c r="F840" s="49" t="s">
        <v>2805</v>
      </c>
      <c r="G840" s="49" t="s">
        <v>2901</v>
      </c>
      <c r="H840" s="49" t="s">
        <v>980</v>
      </c>
      <c r="I840" s="50">
        <v>36285</v>
      </c>
      <c r="J840" s="50">
        <v>40102</v>
      </c>
      <c r="K840" s="50">
        <v>45710</v>
      </c>
      <c r="M840" s="49" t="s">
        <v>2965</v>
      </c>
    </row>
    <row r="841" spans="1:13" x14ac:dyDescent="0.35">
      <c r="A841" s="49" t="s">
        <v>2961</v>
      </c>
      <c r="B841" s="49" t="s">
        <v>12272</v>
      </c>
      <c r="C841" s="49"/>
      <c r="D841" s="49" t="s">
        <v>1264</v>
      </c>
      <c r="E841" s="49" t="s">
        <v>2814</v>
      </c>
      <c r="F841" s="49" t="s">
        <v>2939</v>
      </c>
      <c r="G841" s="49" t="s">
        <v>4891</v>
      </c>
      <c r="H841" s="49" t="s">
        <v>980</v>
      </c>
      <c r="I841" s="50">
        <v>45365</v>
      </c>
      <c r="M841" s="49" t="s">
        <v>12274</v>
      </c>
    </row>
    <row r="842" spans="1:13" x14ac:dyDescent="0.35">
      <c r="A842" s="49" t="s">
        <v>2961</v>
      </c>
      <c r="B842" s="49" t="s">
        <v>12278</v>
      </c>
      <c r="C842" s="49" t="s">
        <v>12279</v>
      </c>
      <c r="D842" s="49" t="s">
        <v>1264</v>
      </c>
      <c r="E842" s="49" t="s">
        <v>2908</v>
      </c>
      <c r="F842" s="49" t="s">
        <v>4048</v>
      </c>
      <c r="G842" s="49" t="s">
        <v>4891</v>
      </c>
      <c r="H842" s="49" t="s">
        <v>973</v>
      </c>
      <c r="I842" s="50">
        <v>45365</v>
      </c>
      <c r="M842" s="49" t="s">
        <v>12280</v>
      </c>
    </row>
    <row r="843" spans="1:13" x14ac:dyDescent="0.35">
      <c r="A843" s="49" t="s">
        <v>2961</v>
      </c>
      <c r="B843" s="49" t="s">
        <v>12281</v>
      </c>
      <c r="C843" s="49" t="s">
        <v>12243</v>
      </c>
      <c r="D843" s="49" t="s">
        <v>1264</v>
      </c>
      <c r="E843" s="49" t="s">
        <v>2908</v>
      </c>
      <c r="F843" s="49" t="s">
        <v>4048</v>
      </c>
      <c r="G843" s="49" t="s">
        <v>4891</v>
      </c>
      <c r="H843" s="49" t="s">
        <v>2832</v>
      </c>
      <c r="I843" s="50">
        <v>45365</v>
      </c>
      <c r="M843" s="49" t="s">
        <v>12282</v>
      </c>
    </row>
    <row r="844" spans="1:13" x14ac:dyDescent="0.35">
      <c r="A844" s="49" t="s">
        <v>2961</v>
      </c>
      <c r="B844" s="49" t="s">
        <v>12286</v>
      </c>
      <c r="C844" s="49" t="s">
        <v>12287</v>
      </c>
      <c r="D844" s="49" t="s">
        <v>1264</v>
      </c>
      <c r="E844" s="49" t="s">
        <v>2908</v>
      </c>
      <c r="F844" s="49" t="s">
        <v>2939</v>
      </c>
      <c r="G844" s="49" t="s">
        <v>4891</v>
      </c>
      <c r="H844" s="49" t="s">
        <v>980</v>
      </c>
      <c r="I844" s="50">
        <v>45365</v>
      </c>
      <c r="M844" s="49" t="s">
        <v>12288</v>
      </c>
    </row>
    <row r="845" spans="1:13" x14ac:dyDescent="0.35">
      <c r="A845" s="49" t="s">
        <v>2961</v>
      </c>
      <c r="B845" s="49" t="s">
        <v>14035</v>
      </c>
      <c r="C845" s="49"/>
      <c r="D845" s="49" t="s">
        <v>1264</v>
      </c>
      <c r="E845" s="49" t="s">
        <v>2899</v>
      </c>
      <c r="F845" s="49" t="s">
        <v>2939</v>
      </c>
      <c r="G845" s="49" t="s">
        <v>2776</v>
      </c>
      <c r="H845" s="49" t="s">
        <v>980</v>
      </c>
      <c r="I845" s="50">
        <v>40479</v>
      </c>
      <c r="M845" s="49" t="s">
        <v>14036</v>
      </c>
    </row>
    <row r="846" spans="1:13" x14ac:dyDescent="0.35">
      <c r="A846" s="49" t="s">
        <v>15326</v>
      </c>
      <c r="B846" s="49" t="s">
        <v>3860</v>
      </c>
      <c r="C846" s="49" t="s">
        <v>3861</v>
      </c>
      <c r="D846" s="49" t="s">
        <v>1264</v>
      </c>
      <c r="E846" s="49" t="s">
        <v>2774</v>
      </c>
      <c r="F846" s="49" t="s">
        <v>2939</v>
      </c>
      <c r="G846" s="49" t="s">
        <v>2787</v>
      </c>
      <c r="H846" s="49" t="s">
        <v>980</v>
      </c>
      <c r="I846" s="50">
        <v>43425</v>
      </c>
      <c r="J846" s="50">
        <v>43454</v>
      </c>
      <c r="K846" s="50">
        <v>44915</v>
      </c>
      <c r="M846" s="49" t="s">
        <v>3863</v>
      </c>
    </row>
    <row r="847" spans="1:13" x14ac:dyDescent="0.35">
      <c r="A847" s="49" t="s">
        <v>14604</v>
      </c>
      <c r="B847" s="49" t="s">
        <v>11380</v>
      </c>
      <c r="C847" s="49" t="s">
        <v>2849</v>
      </c>
      <c r="D847" s="49" t="s">
        <v>1264</v>
      </c>
      <c r="E847" s="49" t="s">
        <v>2785</v>
      </c>
      <c r="F847" s="49" t="s">
        <v>2792</v>
      </c>
      <c r="G847" s="49" t="s">
        <v>2776</v>
      </c>
      <c r="H847" s="49" t="s">
        <v>980</v>
      </c>
      <c r="I847" s="50">
        <v>45048</v>
      </c>
      <c r="M847" s="49" t="s">
        <v>11382</v>
      </c>
    </row>
    <row r="848" spans="1:13" x14ac:dyDescent="0.35">
      <c r="A848" s="49" t="s">
        <v>15151</v>
      </c>
      <c r="B848" s="49" t="s">
        <v>13207</v>
      </c>
      <c r="C848" s="49"/>
      <c r="D848" s="49" t="s">
        <v>1264</v>
      </c>
      <c r="E848" s="49" t="s">
        <v>2986</v>
      </c>
      <c r="F848" s="49" t="s">
        <v>2825</v>
      </c>
      <c r="G848" s="49" t="s">
        <v>4891</v>
      </c>
      <c r="H848" s="49" t="s">
        <v>2827</v>
      </c>
      <c r="I848" s="52">
        <v>46077.579594907402</v>
      </c>
      <c r="M848" s="49" t="s">
        <v>13209</v>
      </c>
    </row>
    <row r="849" spans="1:13" x14ac:dyDescent="0.35">
      <c r="A849" s="49" t="s">
        <v>14836</v>
      </c>
      <c r="B849" s="49" t="s">
        <v>6675</v>
      </c>
      <c r="C849" s="49" t="s">
        <v>5640</v>
      </c>
      <c r="D849" s="49" t="s">
        <v>1264</v>
      </c>
      <c r="E849" s="49" t="s">
        <v>2908</v>
      </c>
      <c r="F849" s="49" t="s">
        <v>2837</v>
      </c>
      <c r="G849" s="49" t="s">
        <v>2901</v>
      </c>
      <c r="H849" s="49" t="s">
        <v>980</v>
      </c>
      <c r="I849" s="50">
        <v>44636</v>
      </c>
      <c r="J849" s="50">
        <v>45334</v>
      </c>
      <c r="K849" s="50">
        <v>47160</v>
      </c>
      <c r="M849" s="49" t="s">
        <v>6677</v>
      </c>
    </row>
    <row r="850" spans="1:13" x14ac:dyDescent="0.35">
      <c r="A850" s="49" t="s">
        <v>14447</v>
      </c>
      <c r="B850" s="49" t="s">
        <v>8649</v>
      </c>
      <c r="C850" s="49" t="s">
        <v>3123</v>
      </c>
      <c r="D850" s="49" t="s">
        <v>1264</v>
      </c>
      <c r="E850" s="49" t="s">
        <v>3443</v>
      </c>
      <c r="F850" s="49" t="s">
        <v>3124</v>
      </c>
      <c r="G850" s="49" t="s">
        <v>2901</v>
      </c>
      <c r="H850" s="49" t="s">
        <v>980</v>
      </c>
      <c r="I850" s="50">
        <v>42368</v>
      </c>
      <c r="J850" s="50">
        <v>44762</v>
      </c>
      <c r="K850" s="50">
        <v>46587</v>
      </c>
      <c r="M850" s="49" t="s">
        <v>3526</v>
      </c>
    </row>
    <row r="851" spans="1:13" x14ac:dyDescent="0.35">
      <c r="A851" s="49" t="s">
        <v>14278</v>
      </c>
      <c r="B851" s="49" t="s">
        <v>6275</v>
      </c>
      <c r="C851" s="49" t="s">
        <v>3615</v>
      </c>
      <c r="D851" s="49" t="s">
        <v>1264</v>
      </c>
      <c r="E851" s="49" t="s">
        <v>2908</v>
      </c>
      <c r="F851" s="49" t="s">
        <v>3010</v>
      </c>
      <c r="G851" s="49" t="s">
        <v>2787</v>
      </c>
      <c r="H851" s="49" t="s">
        <v>980</v>
      </c>
      <c r="I851" s="50">
        <v>41704</v>
      </c>
      <c r="J851" s="50">
        <v>41808</v>
      </c>
      <c r="K851" s="50">
        <v>45459</v>
      </c>
      <c r="M851" s="49" t="s">
        <v>6277</v>
      </c>
    </row>
    <row r="852" spans="1:13" x14ac:dyDescent="0.35">
      <c r="A852" s="49" t="s">
        <v>14437</v>
      </c>
      <c r="B852" s="49" t="s">
        <v>8499</v>
      </c>
      <c r="C852" s="49" t="s">
        <v>8500</v>
      </c>
      <c r="D852" s="49" t="s">
        <v>1264</v>
      </c>
      <c r="E852" s="49" t="s">
        <v>2908</v>
      </c>
      <c r="F852" s="49" t="s">
        <v>3010</v>
      </c>
      <c r="G852" s="49" t="s">
        <v>2787</v>
      </c>
      <c r="H852" s="49" t="s">
        <v>980</v>
      </c>
      <c r="I852" s="50">
        <v>33799</v>
      </c>
      <c r="J852" s="50">
        <v>33891</v>
      </c>
      <c r="K852" s="50">
        <v>38102</v>
      </c>
      <c r="M852" s="49" t="s">
        <v>8502</v>
      </c>
    </row>
    <row r="853" spans="1:13" x14ac:dyDescent="0.35">
      <c r="A853" s="49" t="s">
        <v>14227</v>
      </c>
      <c r="B853" s="49" t="s">
        <v>5133</v>
      </c>
      <c r="C853" s="49"/>
      <c r="D853" s="49" t="s">
        <v>1264</v>
      </c>
      <c r="E853" s="49" t="s">
        <v>2908</v>
      </c>
      <c r="F853" s="49" t="s">
        <v>2786</v>
      </c>
      <c r="G853" s="49" t="s">
        <v>4330</v>
      </c>
      <c r="H853" s="49" t="s">
        <v>973</v>
      </c>
      <c r="I853" s="50">
        <v>44533</v>
      </c>
      <c r="M853" s="49" t="s">
        <v>5135</v>
      </c>
    </row>
    <row r="854" spans="1:13" x14ac:dyDescent="0.35">
      <c r="A854" s="49" t="s">
        <v>14227</v>
      </c>
      <c r="B854" s="49" t="s">
        <v>6014</v>
      </c>
      <c r="C854" s="49" t="s">
        <v>6015</v>
      </c>
      <c r="D854" s="49" t="s">
        <v>1264</v>
      </c>
      <c r="E854" s="49" t="s">
        <v>2785</v>
      </c>
      <c r="F854" s="49" t="s">
        <v>2786</v>
      </c>
      <c r="G854" s="49" t="s">
        <v>2787</v>
      </c>
      <c r="H854" s="49" t="s">
        <v>973</v>
      </c>
      <c r="I854" s="50">
        <v>45229</v>
      </c>
      <c r="J854" s="50">
        <v>45259</v>
      </c>
      <c r="K854" s="50">
        <v>45624</v>
      </c>
      <c r="M854" s="49" t="s">
        <v>6016</v>
      </c>
    </row>
    <row r="855" spans="1:13" x14ac:dyDescent="0.35">
      <c r="A855" s="49" t="s">
        <v>14837</v>
      </c>
      <c r="B855" s="49" t="s">
        <v>11977</v>
      </c>
      <c r="C855" s="49" t="s">
        <v>11978</v>
      </c>
      <c r="D855" s="49" t="s">
        <v>1264</v>
      </c>
      <c r="E855" s="49" t="s">
        <v>2986</v>
      </c>
      <c r="F855" s="49" t="s">
        <v>2825</v>
      </c>
      <c r="G855" s="49" t="s">
        <v>4891</v>
      </c>
      <c r="H855" s="49" t="s">
        <v>2827</v>
      </c>
      <c r="I855" s="50">
        <v>45299</v>
      </c>
      <c r="M855" s="49" t="s">
        <v>11980</v>
      </c>
    </row>
    <row r="856" spans="1:13" x14ac:dyDescent="0.35">
      <c r="A856" s="49" t="s">
        <v>10452</v>
      </c>
      <c r="B856" s="49" t="s">
        <v>10450</v>
      </c>
      <c r="C856" s="49" t="s">
        <v>10451</v>
      </c>
      <c r="D856" s="49" t="s">
        <v>1264</v>
      </c>
      <c r="E856" s="49" t="s">
        <v>2814</v>
      </c>
      <c r="F856" s="49" t="s">
        <v>2825</v>
      </c>
      <c r="G856" s="49" t="s">
        <v>2776</v>
      </c>
      <c r="H856" s="49" t="s">
        <v>2827</v>
      </c>
      <c r="I856" s="50">
        <v>42850</v>
      </c>
      <c r="M856" s="49" t="s">
        <v>3270</v>
      </c>
    </row>
    <row r="857" spans="1:13" x14ac:dyDescent="0.35">
      <c r="A857" s="49" t="s">
        <v>10452</v>
      </c>
      <c r="B857" s="49" t="s">
        <v>10604</v>
      </c>
      <c r="C857" s="49"/>
      <c r="D857" s="49" t="s">
        <v>1264</v>
      </c>
      <c r="E857" s="49" t="s">
        <v>2814</v>
      </c>
      <c r="F857" s="49" t="s">
        <v>2825</v>
      </c>
      <c r="G857" s="49" t="s">
        <v>2776</v>
      </c>
      <c r="H857" s="49" t="s">
        <v>2827</v>
      </c>
      <c r="I857" s="50">
        <v>42668</v>
      </c>
      <c r="M857" s="49" t="s">
        <v>10153</v>
      </c>
    </row>
    <row r="858" spans="1:13" x14ac:dyDescent="0.35">
      <c r="A858" s="49" t="s">
        <v>13672</v>
      </c>
      <c r="B858" s="49" t="s">
        <v>13670</v>
      </c>
      <c r="C858" s="49" t="s">
        <v>13671</v>
      </c>
      <c r="D858" s="49" t="s">
        <v>1264</v>
      </c>
      <c r="E858" s="49" t="s">
        <v>2986</v>
      </c>
      <c r="F858" s="49" t="s">
        <v>2825</v>
      </c>
      <c r="G858" s="49" t="s">
        <v>2776</v>
      </c>
      <c r="H858" s="49" t="s">
        <v>2827</v>
      </c>
      <c r="I858" s="50">
        <v>42862</v>
      </c>
      <c r="M858" s="49" t="s">
        <v>3270</v>
      </c>
    </row>
    <row r="859" spans="1:13" x14ac:dyDescent="0.35">
      <c r="A859" s="49" t="s">
        <v>14397</v>
      </c>
      <c r="B859" s="49" t="s">
        <v>8027</v>
      </c>
      <c r="C859" s="49" t="s">
        <v>8028</v>
      </c>
      <c r="D859" s="49" t="s">
        <v>1264</v>
      </c>
      <c r="E859" s="49" t="s">
        <v>2908</v>
      </c>
      <c r="F859" s="49" t="s">
        <v>2837</v>
      </c>
      <c r="G859" s="49" t="s">
        <v>2787</v>
      </c>
      <c r="H859" s="49" t="s">
        <v>980</v>
      </c>
      <c r="I859" s="50">
        <v>34906</v>
      </c>
      <c r="J859" s="50">
        <v>36371</v>
      </c>
      <c r="K859" s="50">
        <v>38197</v>
      </c>
      <c r="M859" s="49" t="s">
        <v>8030</v>
      </c>
    </row>
    <row r="860" spans="1:13" x14ac:dyDescent="0.35">
      <c r="A860" s="49" t="s">
        <v>15327</v>
      </c>
      <c r="B860" s="49" t="s">
        <v>10829</v>
      </c>
      <c r="C860" s="49" t="s">
        <v>7361</v>
      </c>
      <c r="D860" s="49" t="s">
        <v>1264</v>
      </c>
      <c r="E860" s="49" t="s">
        <v>2814</v>
      </c>
      <c r="F860" s="49" t="s">
        <v>2837</v>
      </c>
      <c r="G860" s="49" t="s">
        <v>2776</v>
      </c>
      <c r="H860" s="49" t="s">
        <v>980</v>
      </c>
      <c r="I860" s="50">
        <v>44383</v>
      </c>
      <c r="M860" s="49" t="s">
        <v>10831</v>
      </c>
    </row>
    <row r="861" spans="1:13" x14ac:dyDescent="0.35">
      <c r="A861" s="49" t="s">
        <v>14492</v>
      </c>
      <c r="B861" s="49" t="s">
        <v>9358</v>
      </c>
      <c r="C861" s="49" t="s">
        <v>9359</v>
      </c>
      <c r="D861" s="49" t="s">
        <v>1264</v>
      </c>
      <c r="E861" s="49" t="s">
        <v>2785</v>
      </c>
      <c r="F861" s="49" t="s">
        <v>2792</v>
      </c>
      <c r="G861" s="49" t="s">
        <v>2776</v>
      </c>
      <c r="H861" s="49" t="s">
        <v>8</v>
      </c>
      <c r="I861" s="50">
        <v>43191</v>
      </c>
      <c r="M861" s="49" t="s">
        <v>9361</v>
      </c>
    </row>
    <row r="862" spans="1:13" x14ac:dyDescent="0.35">
      <c r="A862" s="49" t="s">
        <v>14653</v>
      </c>
      <c r="B862" s="49" t="s">
        <v>13140</v>
      </c>
      <c r="C862" s="49"/>
      <c r="D862" s="49" t="s">
        <v>1264</v>
      </c>
      <c r="E862" s="49" t="s">
        <v>2873</v>
      </c>
      <c r="F862" s="49" t="s">
        <v>2786</v>
      </c>
      <c r="G862" s="49" t="s">
        <v>4891</v>
      </c>
      <c r="H862" s="49" t="s">
        <v>1062</v>
      </c>
      <c r="I862" s="52">
        <v>46058.940868055601</v>
      </c>
      <c r="M862" s="49" t="s">
        <v>13142</v>
      </c>
    </row>
    <row r="863" spans="1:13" x14ac:dyDescent="0.35">
      <c r="A863" s="49" t="s">
        <v>14653</v>
      </c>
      <c r="B863" s="49" t="s">
        <v>13143</v>
      </c>
      <c r="C863" s="49"/>
      <c r="D863" s="49" t="s">
        <v>1264</v>
      </c>
      <c r="E863" s="49" t="s">
        <v>2873</v>
      </c>
      <c r="F863" s="49" t="s">
        <v>12878</v>
      </c>
      <c r="G863" s="49" t="s">
        <v>4891</v>
      </c>
      <c r="H863" s="49" t="s">
        <v>1062</v>
      </c>
      <c r="I863" s="52">
        <v>46059.583831018499</v>
      </c>
      <c r="M863" s="49" t="s">
        <v>13144</v>
      </c>
    </row>
    <row r="864" spans="1:13" x14ac:dyDescent="0.35">
      <c r="A864" s="49" t="s">
        <v>14066</v>
      </c>
      <c r="B864" s="49" t="s">
        <v>2870</v>
      </c>
      <c r="C864" s="49" t="s">
        <v>2871</v>
      </c>
      <c r="D864" s="49" t="s">
        <v>1264</v>
      </c>
      <c r="E864" s="49" t="s">
        <v>2873</v>
      </c>
      <c r="F864" s="49" t="s">
        <v>2792</v>
      </c>
      <c r="G864" s="49" t="s">
        <v>2787</v>
      </c>
      <c r="H864" s="49" t="s">
        <v>835</v>
      </c>
      <c r="I864" s="50">
        <v>45250</v>
      </c>
      <c r="J864" s="50">
        <v>45286</v>
      </c>
      <c r="K864" s="50">
        <v>45651</v>
      </c>
      <c r="M864" s="49" t="s">
        <v>2874</v>
      </c>
    </row>
    <row r="865" spans="1:13" x14ac:dyDescent="0.35">
      <c r="A865" s="49" t="s">
        <v>14309</v>
      </c>
      <c r="B865" s="49" t="s">
        <v>6736</v>
      </c>
      <c r="C865" s="49"/>
      <c r="D865" s="49" t="s">
        <v>1264</v>
      </c>
      <c r="E865" s="49" t="s">
        <v>2873</v>
      </c>
      <c r="G865" s="49" t="s">
        <v>2901</v>
      </c>
      <c r="H865" s="49" t="s">
        <v>3207</v>
      </c>
      <c r="I865" s="50">
        <v>45688</v>
      </c>
      <c r="J865" s="50">
        <v>45737</v>
      </c>
      <c r="K865" s="50">
        <v>46101</v>
      </c>
      <c r="M865" s="49" t="s">
        <v>6738</v>
      </c>
    </row>
    <row r="866" spans="1:13" x14ac:dyDescent="0.35">
      <c r="A866" s="49" t="s">
        <v>14309</v>
      </c>
      <c r="B866" s="49" t="s">
        <v>13348</v>
      </c>
      <c r="C866" s="49"/>
      <c r="D866" s="49" t="s">
        <v>1264</v>
      </c>
      <c r="E866" s="49" t="s">
        <v>2873</v>
      </c>
      <c r="F866" s="49" t="s">
        <v>2786</v>
      </c>
      <c r="G866" s="49" t="s">
        <v>4891</v>
      </c>
      <c r="H866" s="49" t="s">
        <v>3207</v>
      </c>
      <c r="I866" s="52">
        <v>46112.631874999999</v>
      </c>
      <c r="M866" s="49" t="s">
        <v>13349</v>
      </c>
    </row>
    <row r="867" spans="1:13" x14ac:dyDescent="0.35">
      <c r="A867" s="49" t="s">
        <v>14667</v>
      </c>
      <c r="B867" s="49" t="s">
        <v>13432</v>
      </c>
      <c r="C867" s="49"/>
      <c r="D867" s="49" t="s">
        <v>1264</v>
      </c>
      <c r="E867" s="49" t="s">
        <v>2873</v>
      </c>
      <c r="F867" s="49" t="s">
        <v>2792</v>
      </c>
      <c r="G867" s="49" t="s">
        <v>4891</v>
      </c>
      <c r="H867" s="49" t="s">
        <v>1062</v>
      </c>
      <c r="I867" s="52">
        <v>46129.634780092601</v>
      </c>
      <c r="M867" s="49" t="s">
        <v>6081</v>
      </c>
    </row>
    <row r="868" spans="1:13" x14ac:dyDescent="0.35">
      <c r="A868" s="49" t="s">
        <v>14708</v>
      </c>
      <c r="B868" s="49" t="s">
        <v>6968</v>
      </c>
      <c r="C868" s="49" t="s">
        <v>6969</v>
      </c>
      <c r="D868" s="49" t="s">
        <v>1264</v>
      </c>
      <c r="E868" s="49" t="s">
        <v>2873</v>
      </c>
      <c r="F868" s="49" t="s">
        <v>2792</v>
      </c>
      <c r="G868" s="49" t="s">
        <v>4891</v>
      </c>
      <c r="H868" s="49" t="s">
        <v>2806</v>
      </c>
      <c r="I868" s="52">
        <v>46162.431990740697</v>
      </c>
      <c r="M868" s="49" t="s">
        <v>6971</v>
      </c>
    </row>
    <row r="869" spans="1:13" x14ac:dyDescent="0.35">
      <c r="A869" s="49" t="s">
        <v>14708</v>
      </c>
      <c r="B869" s="49" t="s">
        <v>6972</v>
      </c>
      <c r="C869" s="49" t="s">
        <v>6969</v>
      </c>
      <c r="D869" s="49" t="s">
        <v>1264</v>
      </c>
      <c r="E869" s="49" t="s">
        <v>2873</v>
      </c>
      <c r="F869" s="49" t="s">
        <v>2792</v>
      </c>
      <c r="G869" s="49" t="s">
        <v>4891</v>
      </c>
      <c r="H869" s="49" t="s">
        <v>2806</v>
      </c>
      <c r="I869" s="52">
        <v>46162.471990740698</v>
      </c>
      <c r="M869" s="49" t="s">
        <v>6973</v>
      </c>
    </row>
    <row r="870" spans="1:13" x14ac:dyDescent="0.35">
      <c r="A870" s="49" t="s">
        <v>14669</v>
      </c>
      <c r="B870" s="49" t="s">
        <v>13589</v>
      </c>
      <c r="C870" s="49" t="s">
        <v>6400</v>
      </c>
      <c r="D870" s="49" t="s">
        <v>1264</v>
      </c>
      <c r="E870" s="49" t="s">
        <v>2873</v>
      </c>
      <c r="F870" s="49" t="s">
        <v>2792</v>
      </c>
      <c r="G870" s="49" t="s">
        <v>4891</v>
      </c>
      <c r="H870" s="49" t="s">
        <v>864</v>
      </c>
      <c r="I870" s="52">
        <v>46163.439699074101</v>
      </c>
      <c r="M870" s="49" t="s">
        <v>13591</v>
      </c>
    </row>
    <row r="871" spans="1:13" x14ac:dyDescent="0.35">
      <c r="A871" s="49" t="s">
        <v>14169</v>
      </c>
      <c r="B871" s="49" t="s">
        <v>4222</v>
      </c>
      <c r="C871" s="49" t="s">
        <v>4223</v>
      </c>
      <c r="D871" s="49" t="s">
        <v>1264</v>
      </c>
      <c r="E871" s="49" t="s">
        <v>2873</v>
      </c>
      <c r="F871" s="49" t="s">
        <v>2792</v>
      </c>
      <c r="G871" s="49" t="s">
        <v>2787</v>
      </c>
      <c r="H871" s="49" t="s">
        <v>4225</v>
      </c>
      <c r="I871" s="50">
        <v>44145</v>
      </c>
      <c r="J871" s="50">
        <v>44217</v>
      </c>
      <c r="K871" s="50">
        <v>44581</v>
      </c>
      <c r="M871" s="49" t="s">
        <v>4226</v>
      </c>
    </row>
    <row r="872" spans="1:13" x14ac:dyDescent="0.35">
      <c r="A872" s="49" t="s">
        <v>14665</v>
      </c>
      <c r="B872" s="49" t="s">
        <v>13426</v>
      </c>
      <c r="C872" s="49"/>
      <c r="D872" s="49" t="s">
        <v>1264</v>
      </c>
      <c r="E872" s="49" t="s">
        <v>2873</v>
      </c>
      <c r="F872" s="49" t="s">
        <v>2792</v>
      </c>
      <c r="G872" s="49" t="s">
        <v>4891</v>
      </c>
      <c r="H872" s="49" t="s">
        <v>1062</v>
      </c>
      <c r="I872" s="52">
        <v>46128.645601851902</v>
      </c>
      <c r="M872" s="49" t="s">
        <v>13428</v>
      </c>
    </row>
    <row r="873" spans="1:13" x14ac:dyDescent="0.35">
      <c r="A873" s="49" t="s">
        <v>14657</v>
      </c>
      <c r="B873" s="49" t="s">
        <v>13235</v>
      </c>
      <c r="C873" s="49"/>
      <c r="D873" s="49" t="s">
        <v>1264</v>
      </c>
      <c r="E873" s="49" t="s">
        <v>2873</v>
      </c>
      <c r="F873" s="49" t="s">
        <v>2792</v>
      </c>
      <c r="G873" s="49" t="s">
        <v>4891</v>
      </c>
      <c r="H873" s="49" t="s">
        <v>2806</v>
      </c>
      <c r="I873" s="52">
        <v>46085.690219907403</v>
      </c>
      <c r="M873" s="49" t="s">
        <v>13237</v>
      </c>
    </row>
    <row r="874" spans="1:13" x14ac:dyDescent="0.35">
      <c r="A874" s="49" t="s">
        <v>14657</v>
      </c>
      <c r="B874" s="49" t="s">
        <v>13238</v>
      </c>
      <c r="C874" s="49"/>
      <c r="D874" s="49" t="s">
        <v>1264</v>
      </c>
      <c r="E874" s="49" t="s">
        <v>2873</v>
      </c>
      <c r="G874" s="49" t="s">
        <v>4891</v>
      </c>
      <c r="H874" s="49" t="s">
        <v>2806</v>
      </c>
      <c r="I874" s="52">
        <v>46085.699548611097</v>
      </c>
      <c r="M874" s="49" t="s">
        <v>13239</v>
      </c>
    </row>
    <row r="875" spans="1:13" ht="58" x14ac:dyDescent="0.35">
      <c r="A875" s="49" t="s">
        <v>14796</v>
      </c>
      <c r="B875" s="49" t="s">
        <v>13592</v>
      </c>
      <c r="C875" s="51" t="s">
        <v>13593</v>
      </c>
      <c r="D875" s="49" t="s">
        <v>1264</v>
      </c>
      <c r="E875" s="49" t="s">
        <v>2873</v>
      </c>
      <c r="F875" s="49" t="s">
        <v>2792</v>
      </c>
      <c r="G875" s="49" t="s">
        <v>4891</v>
      </c>
      <c r="H875" s="49" t="s">
        <v>4225</v>
      </c>
      <c r="I875" s="52">
        <v>46163.455185185201</v>
      </c>
      <c r="M875" s="49" t="s">
        <v>13595</v>
      </c>
    </row>
    <row r="876" spans="1:13" x14ac:dyDescent="0.35">
      <c r="A876" s="49" t="s">
        <v>14660</v>
      </c>
      <c r="B876" s="49" t="s">
        <v>13342</v>
      </c>
      <c r="C876" s="49"/>
      <c r="D876" s="49" t="s">
        <v>1264</v>
      </c>
      <c r="E876" s="49" t="s">
        <v>2873</v>
      </c>
      <c r="F876" s="49" t="s">
        <v>2786</v>
      </c>
      <c r="G876" s="49" t="s">
        <v>4891</v>
      </c>
      <c r="H876" s="49" t="s">
        <v>3207</v>
      </c>
      <c r="I876" s="52">
        <v>46111.727546296301</v>
      </c>
      <c r="M876" s="49" t="s">
        <v>13344</v>
      </c>
    </row>
    <row r="877" spans="1:13" x14ac:dyDescent="0.35">
      <c r="A877" s="49" t="s">
        <v>14529</v>
      </c>
      <c r="B877" s="49" t="s">
        <v>9840</v>
      </c>
      <c r="C877" s="49"/>
      <c r="D877" s="49" t="s">
        <v>1264</v>
      </c>
      <c r="E877" s="49" t="s">
        <v>2785</v>
      </c>
      <c r="F877" s="49" t="s">
        <v>2792</v>
      </c>
      <c r="G877" s="49" t="s">
        <v>2776</v>
      </c>
      <c r="H877" s="49" t="s">
        <v>980</v>
      </c>
      <c r="I877" s="50">
        <v>42095</v>
      </c>
      <c r="M877" s="49" t="s">
        <v>3470</v>
      </c>
    </row>
    <row r="878" spans="1:13" x14ac:dyDescent="0.35">
      <c r="A878" s="49" t="s">
        <v>14651</v>
      </c>
      <c r="B878" s="49" t="s">
        <v>13132</v>
      </c>
      <c r="C878" s="49"/>
      <c r="D878" s="49" t="s">
        <v>1264</v>
      </c>
      <c r="E878" s="49" t="s">
        <v>2873</v>
      </c>
      <c r="F878" s="49" t="s">
        <v>2792</v>
      </c>
      <c r="G878" s="49" t="s">
        <v>4891</v>
      </c>
      <c r="H878" s="49" t="s">
        <v>4225</v>
      </c>
      <c r="I878" s="52">
        <v>46052.770046296297</v>
      </c>
      <c r="M878" s="49" t="s">
        <v>13134</v>
      </c>
    </row>
    <row r="879" spans="1:13" x14ac:dyDescent="0.35">
      <c r="A879" s="49" t="s">
        <v>14709</v>
      </c>
      <c r="B879" s="49" t="s">
        <v>6974</v>
      </c>
      <c r="C879" s="49" t="s">
        <v>6975</v>
      </c>
      <c r="D879" s="49" t="s">
        <v>1264</v>
      </c>
      <c r="E879" s="49" t="s">
        <v>2873</v>
      </c>
      <c r="F879" s="49" t="s">
        <v>2792</v>
      </c>
      <c r="G879" s="49" t="s">
        <v>4891</v>
      </c>
      <c r="H879" s="49" t="s">
        <v>2806</v>
      </c>
      <c r="I879" s="52">
        <v>46162.5065972222</v>
      </c>
      <c r="M879" s="49" t="s">
        <v>6977</v>
      </c>
    </row>
    <row r="880" spans="1:13" x14ac:dyDescent="0.35">
      <c r="A880" s="49" t="s">
        <v>14666</v>
      </c>
      <c r="B880" s="49" t="s">
        <v>13429</v>
      </c>
      <c r="C880" s="49"/>
      <c r="D880" s="49" t="s">
        <v>1264</v>
      </c>
      <c r="E880" s="49" t="s">
        <v>2873</v>
      </c>
      <c r="G880" s="49" t="s">
        <v>4891</v>
      </c>
      <c r="H880" s="49" t="s">
        <v>1062</v>
      </c>
      <c r="I880" s="52">
        <v>46129.551747685196</v>
      </c>
      <c r="M880" s="49" t="s">
        <v>13431</v>
      </c>
    </row>
    <row r="881" spans="1:13" x14ac:dyDescent="0.35">
      <c r="A881" s="49" t="s">
        <v>14666</v>
      </c>
      <c r="B881" s="49" t="s">
        <v>13524</v>
      </c>
      <c r="C881" s="49"/>
      <c r="D881" s="49" t="s">
        <v>1264</v>
      </c>
      <c r="E881" s="49" t="s">
        <v>2873</v>
      </c>
      <c r="F881" s="49" t="s">
        <v>2786</v>
      </c>
      <c r="G881" s="49" t="s">
        <v>4891</v>
      </c>
      <c r="H881" s="49" t="s">
        <v>1062</v>
      </c>
      <c r="I881" s="52">
        <v>46147.640335648102</v>
      </c>
      <c r="M881" s="49" t="s">
        <v>6961</v>
      </c>
    </row>
    <row r="882" spans="1:13" x14ac:dyDescent="0.35">
      <c r="A882" s="49" t="s">
        <v>14666</v>
      </c>
      <c r="B882" s="49" t="s">
        <v>13525</v>
      </c>
      <c r="C882" s="49"/>
      <c r="D882" s="49" t="s">
        <v>1264</v>
      </c>
      <c r="E882" s="49" t="s">
        <v>2873</v>
      </c>
      <c r="F882" s="49" t="s">
        <v>2825</v>
      </c>
      <c r="G882" s="49" t="s">
        <v>4891</v>
      </c>
      <c r="H882" s="49" t="s">
        <v>1062</v>
      </c>
      <c r="I882" s="52">
        <v>46147.714814814797</v>
      </c>
      <c r="M882" s="49" t="s">
        <v>13526</v>
      </c>
    </row>
    <row r="883" spans="1:13" x14ac:dyDescent="0.35">
      <c r="A883" s="49" t="s">
        <v>14313</v>
      </c>
      <c r="B883" s="49" t="s">
        <v>6895</v>
      </c>
      <c r="C883" s="49"/>
      <c r="D883" s="49" t="s">
        <v>1264</v>
      </c>
      <c r="E883" s="49" t="s">
        <v>2873</v>
      </c>
      <c r="F883" s="49" t="s">
        <v>2792</v>
      </c>
      <c r="G883" s="49" t="s">
        <v>2901</v>
      </c>
      <c r="H883" s="49" t="s">
        <v>864</v>
      </c>
      <c r="I883" s="52">
        <v>46122.7331597222</v>
      </c>
      <c r="J883" s="50">
        <v>45908</v>
      </c>
      <c r="K883" s="50">
        <v>46272</v>
      </c>
      <c r="M883" s="49" t="s">
        <v>6897</v>
      </c>
    </row>
    <row r="884" spans="1:13" x14ac:dyDescent="0.35">
      <c r="A884" s="49" t="s">
        <v>14313</v>
      </c>
      <c r="B884" s="49" t="s">
        <v>6959</v>
      </c>
      <c r="C884" s="49" t="s">
        <v>6960</v>
      </c>
      <c r="D884" s="49" t="s">
        <v>1264</v>
      </c>
      <c r="E884" s="49" t="s">
        <v>2873</v>
      </c>
      <c r="F884" s="49" t="s">
        <v>2792</v>
      </c>
      <c r="G884" s="49" t="s">
        <v>4891</v>
      </c>
      <c r="H884" s="49" t="s">
        <v>864</v>
      </c>
      <c r="I884" s="52">
        <v>46161.395358796297</v>
      </c>
      <c r="M884" s="49" t="s">
        <v>6961</v>
      </c>
    </row>
    <row r="885" spans="1:13" x14ac:dyDescent="0.35">
      <c r="A885" s="49" t="s">
        <v>14313</v>
      </c>
      <c r="B885" s="49" t="s">
        <v>6962</v>
      </c>
      <c r="C885" s="49"/>
      <c r="D885" s="49" t="s">
        <v>1264</v>
      </c>
      <c r="E885" s="49" t="s">
        <v>2873</v>
      </c>
      <c r="F885" s="49" t="s">
        <v>2792</v>
      </c>
      <c r="G885" s="49" t="s">
        <v>2901</v>
      </c>
      <c r="H885" s="49" t="s">
        <v>864</v>
      </c>
      <c r="I885" s="52">
        <v>46128.616770833301</v>
      </c>
      <c r="J885" s="50">
        <v>46132</v>
      </c>
      <c r="K885" s="50">
        <v>46496</v>
      </c>
      <c r="M885" s="49" t="s">
        <v>6963</v>
      </c>
    </row>
    <row r="886" spans="1:13" x14ac:dyDescent="0.35">
      <c r="A886" s="49" t="s">
        <v>14182</v>
      </c>
      <c r="B886" s="49" t="s">
        <v>4393</v>
      </c>
      <c r="C886" s="49" t="s">
        <v>4394</v>
      </c>
      <c r="D886" s="49" t="s">
        <v>1264</v>
      </c>
      <c r="E886" s="49" t="s">
        <v>2873</v>
      </c>
      <c r="F886" s="49" t="s">
        <v>2792</v>
      </c>
      <c r="G886" s="49" t="s">
        <v>2787</v>
      </c>
      <c r="H886" s="49" t="s">
        <v>4225</v>
      </c>
      <c r="I886" s="50">
        <v>44358</v>
      </c>
      <c r="J886" s="50">
        <v>44417</v>
      </c>
      <c r="K886" s="50">
        <v>44781</v>
      </c>
      <c r="M886" s="49" t="s">
        <v>4396</v>
      </c>
    </row>
    <row r="887" spans="1:13" x14ac:dyDescent="0.35">
      <c r="A887" s="49" t="s">
        <v>14159</v>
      </c>
      <c r="B887" s="49" t="s">
        <v>4139</v>
      </c>
      <c r="C887" s="49" t="s">
        <v>4140</v>
      </c>
      <c r="D887" s="49" t="s">
        <v>1264</v>
      </c>
      <c r="E887" s="49" t="s">
        <v>3748</v>
      </c>
      <c r="F887" s="49" t="s">
        <v>2792</v>
      </c>
      <c r="G887" s="49" t="s">
        <v>2787</v>
      </c>
      <c r="H887" s="49" t="s">
        <v>3229</v>
      </c>
      <c r="I887" s="50">
        <v>44125</v>
      </c>
      <c r="J887" s="50">
        <v>44211</v>
      </c>
      <c r="K887" s="50">
        <v>44576</v>
      </c>
      <c r="M887" s="49" t="s">
        <v>4142</v>
      </c>
    </row>
    <row r="888" spans="1:13" x14ac:dyDescent="0.35">
      <c r="A888" s="49" t="s">
        <v>14159</v>
      </c>
      <c r="B888" s="49" t="s">
        <v>9143</v>
      </c>
      <c r="C888" s="49" t="s">
        <v>9144</v>
      </c>
      <c r="D888" s="49" t="s">
        <v>1264</v>
      </c>
      <c r="E888" s="49" t="s">
        <v>3748</v>
      </c>
      <c r="F888" s="49" t="s">
        <v>2792</v>
      </c>
      <c r="G888" s="49" t="s">
        <v>2776</v>
      </c>
      <c r="H888" s="49" t="s">
        <v>3229</v>
      </c>
      <c r="I888" s="50">
        <v>44125</v>
      </c>
      <c r="M888" s="49" t="s">
        <v>8277</v>
      </c>
    </row>
    <row r="889" spans="1:13" x14ac:dyDescent="0.35">
      <c r="A889" s="49" t="s">
        <v>14308</v>
      </c>
      <c r="B889" s="49" t="s">
        <v>6700</v>
      </c>
      <c r="C889" s="49" t="s">
        <v>6701</v>
      </c>
      <c r="D889" s="49" t="s">
        <v>1264</v>
      </c>
      <c r="E889" s="49" t="s">
        <v>3748</v>
      </c>
      <c r="F889" s="49" t="s">
        <v>2792</v>
      </c>
      <c r="G889" s="49" t="s">
        <v>2776</v>
      </c>
      <c r="H889" s="49" t="s">
        <v>3207</v>
      </c>
      <c r="I889" s="50">
        <v>44686</v>
      </c>
      <c r="M889" s="49" t="s">
        <v>6703</v>
      </c>
    </row>
    <row r="890" spans="1:13" x14ac:dyDescent="0.35">
      <c r="A890" s="49" t="s">
        <v>14308</v>
      </c>
      <c r="B890" s="49" t="s">
        <v>13340</v>
      </c>
      <c r="C890" s="49"/>
      <c r="D890" s="49" t="s">
        <v>1264</v>
      </c>
      <c r="E890" s="49" t="s">
        <v>2873</v>
      </c>
      <c r="G890" s="49" t="s">
        <v>4891</v>
      </c>
      <c r="H890" s="49" t="s">
        <v>3207</v>
      </c>
      <c r="I890" s="52">
        <v>46111.584606481498</v>
      </c>
      <c r="M890" s="49" t="s">
        <v>13341</v>
      </c>
    </row>
    <row r="891" spans="1:13" x14ac:dyDescent="0.35">
      <c r="A891" s="49" t="s">
        <v>14592</v>
      </c>
      <c r="B891" s="49" t="s">
        <v>11126</v>
      </c>
      <c r="C891" s="49" t="s">
        <v>11127</v>
      </c>
      <c r="D891" s="49" t="s">
        <v>1264</v>
      </c>
      <c r="E891" s="49" t="s">
        <v>2873</v>
      </c>
      <c r="F891" s="49" t="s">
        <v>2792</v>
      </c>
      <c r="G891" s="49" t="s">
        <v>4891</v>
      </c>
      <c r="H891" s="49" t="s">
        <v>980</v>
      </c>
      <c r="I891" s="50">
        <v>44762</v>
      </c>
      <c r="M891" s="49" t="s">
        <v>11129</v>
      </c>
    </row>
    <row r="892" spans="1:13" x14ac:dyDescent="0.35">
      <c r="A892" s="49" t="s">
        <v>14794</v>
      </c>
      <c r="B892" s="49" t="s">
        <v>13565</v>
      </c>
      <c r="C892" s="49" t="s">
        <v>13566</v>
      </c>
      <c r="D892" s="49" t="s">
        <v>1264</v>
      </c>
      <c r="E892" s="49" t="s">
        <v>2873</v>
      </c>
      <c r="F892" s="49" t="s">
        <v>2786</v>
      </c>
      <c r="G892" s="49" t="s">
        <v>4891</v>
      </c>
      <c r="H892" s="49" t="s">
        <v>4225</v>
      </c>
      <c r="I892" s="52">
        <v>46161.512291666702</v>
      </c>
      <c r="M892" s="49" t="s">
        <v>13568</v>
      </c>
    </row>
    <row r="893" spans="1:13" x14ac:dyDescent="0.35">
      <c r="A893" s="49" t="s">
        <v>14795</v>
      </c>
      <c r="B893" s="49" t="s">
        <v>13575</v>
      </c>
      <c r="C893" s="49" t="s">
        <v>13576</v>
      </c>
      <c r="D893" s="49" t="s">
        <v>1264</v>
      </c>
      <c r="E893" s="49" t="s">
        <v>2873</v>
      </c>
      <c r="F893" s="49" t="s">
        <v>2792</v>
      </c>
      <c r="G893" s="49" t="s">
        <v>4891</v>
      </c>
      <c r="H893" s="49" t="s">
        <v>835</v>
      </c>
      <c r="I893" s="52">
        <v>46161.545775462997</v>
      </c>
      <c r="M893" s="49" t="s">
        <v>13578</v>
      </c>
    </row>
    <row r="894" spans="1:13" x14ac:dyDescent="0.35">
      <c r="A894" s="49" t="s">
        <v>14838</v>
      </c>
      <c r="B894" s="49" t="s">
        <v>6846</v>
      </c>
      <c r="C894" s="49"/>
      <c r="D894" s="49" t="s">
        <v>1264</v>
      </c>
      <c r="E894" s="49" t="s">
        <v>2873</v>
      </c>
      <c r="F894" s="49" t="s">
        <v>2792</v>
      </c>
      <c r="G894" s="49" t="s">
        <v>2901</v>
      </c>
      <c r="H894" s="49" t="s">
        <v>3229</v>
      </c>
      <c r="I894" s="52">
        <v>46069.381053240701</v>
      </c>
      <c r="J894" s="50">
        <v>45929</v>
      </c>
      <c r="K894" s="50">
        <v>46293</v>
      </c>
      <c r="M894" s="49" t="s">
        <v>6848</v>
      </c>
    </row>
    <row r="895" spans="1:13" x14ac:dyDescent="0.35">
      <c r="A895" s="49" t="s">
        <v>13566</v>
      </c>
      <c r="B895" s="49" t="s">
        <v>13227</v>
      </c>
      <c r="C895" s="49"/>
      <c r="D895" s="49" t="s">
        <v>1264</v>
      </c>
      <c r="E895" s="49" t="s">
        <v>2873</v>
      </c>
      <c r="G895" s="49" t="s">
        <v>4891</v>
      </c>
      <c r="H895" s="49" t="s">
        <v>857</v>
      </c>
      <c r="I895" s="52">
        <v>46084.656238425901</v>
      </c>
      <c r="M895" s="49" t="s">
        <v>13229</v>
      </c>
    </row>
    <row r="896" spans="1:13" x14ac:dyDescent="0.35">
      <c r="A896" s="49" t="s">
        <v>13566</v>
      </c>
      <c r="B896" s="49" t="s">
        <v>13230</v>
      </c>
      <c r="C896" s="49"/>
      <c r="D896" s="49" t="s">
        <v>1264</v>
      </c>
      <c r="E896" s="49" t="s">
        <v>2873</v>
      </c>
      <c r="F896" s="49" t="s">
        <v>2792</v>
      </c>
      <c r="G896" s="49" t="s">
        <v>4891</v>
      </c>
      <c r="H896" s="49" t="s">
        <v>857</v>
      </c>
      <c r="I896" s="52">
        <v>46084.6655439815</v>
      </c>
      <c r="M896" s="49" t="s">
        <v>13231</v>
      </c>
    </row>
    <row r="897" spans="1:13" x14ac:dyDescent="0.35">
      <c r="A897" s="49" t="s">
        <v>13566</v>
      </c>
      <c r="B897" s="49" t="s">
        <v>13232</v>
      </c>
      <c r="C897" s="49"/>
      <c r="D897" s="49" t="s">
        <v>1264</v>
      </c>
      <c r="E897" s="49" t="s">
        <v>2873</v>
      </c>
      <c r="G897" s="49" t="s">
        <v>4891</v>
      </c>
      <c r="H897" s="49" t="s">
        <v>857</v>
      </c>
      <c r="I897" s="52">
        <v>46084.677893518499</v>
      </c>
      <c r="M897" s="49" t="s">
        <v>13234</v>
      </c>
    </row>
    <row r="898" spans="1:13" x14ac:dyDescent="0.35">
      <c r="A898" s="49" t="s">
        <v>14647</v>
      </c>
      <c r="B898" s="49" t="s">
        <v>12951</v>
      </c>
      <c r="C898" s="49"/>
      <c r="D898" s="49" t="s">
        <v>1264</v>
      </c>
      <c r="E898" s="49" t="s">
        <v>2873</v>
      </c>
      <c r="G898" s="49" t="s">
        <v>4891</v>
      </c>
      <c r="H898" s="49" t="s">
        <v>1062</v>
      </c>
      <c r="I898" s="52">
        <v>45971.506423611099</v>
      </c>
      <c r="M898" s="49" t="s">
        <v>12953</v>
      </c>
    </row>
    <row r="899" spans="1:13" x14ac:dyDescent="0.35">
      <c r="A899" s="49" t="s">
        <v>14647</v>
      </c>
      <c r="B899" s="49" t="s">
        <v>13145</v>
      </c>
      <c r="C899" s="49"/>
      <c r="D899" s="49" t="s">
        <v>1264</v>
      </c>
      <c r="E899" s="49" t="s">
        <v>2873</v>
      </c>
      <c r="F899" s="49" t="s">
        <v>2792</v>
      </c>
      <c r="G899" s="49" t="s">
        <v>4891</v>
      </c>
      <c r="H899" s="49" t="s">
        <v>1062</v>
      </c>
      <c r="I899" s="52">
        <v>46059.684236111098</v>
      </c>
      <c r="M899" s="49" t="s">
        <v>13146</v>
      </c>
    </row>
    <row r="900" spans="1:13" x14ac:dyDescent="0.35">
      <c r="A900" s="49" t="s">
        <v>14664</v>
      </c>
      <c r="B900" s="49" t="s">
        <v>13415</v>
      </c>
      <c r="C900" s="49"/>
      <c r="D900" s="49" t="s">
        <v>1264</v>
      </c>
      <c r="E900" s="49" t="s">
        <v>2873</v>
      </c>
      <c r="F900" s="49" t="s">
        <v>2786</v>
      </c>
      <c r="G900" s="49" t="s">
        <v>4891</v>
      </c>
      <c r="H900" s="49" t="s">
        <v>1062</v>
      </c>
      <c r="I900" s="52">
        <v>46127.407685185201</v>
      </c>
      <c r="M900" s="49" t="s">
        <v>13417</v>
      </c>
    </row>
    <row r="901" spans="1:13" x14ac:dyDescent="0.35">
      <c r="A901" s="49" t="s">
        <v>14839</v>
      </c>
      <c r="B901" s="49" t="s">
        <v>6754</v>
      </c>
      <c r="C901" s="49"/>
      <c r="D901" s="49" t="s">
        <v>1264</v>
      </c>
      <c r="E901" s="49" t="s">
        <v>2873</v>
      </c>
      <c r="F901" s="49" t="s">
        <v>2792</v>
      </c>
      <c r="G901" s="49" t="s">
        <v>2901</v>
      </c>
      <c r="H901" s="49" t="s">
        <v>980</v>
      </c>
      <c r="I901" s="52">
        <v>45859.711261574099</v>
      </c>
      <c r="J901" s="50">
        <v>45957</v>
      </c>
      <c r="K901" s="50">
        <v>46321</v>
      </c>
      <c r="M901" s="49" t="s">
        <v>6756</v>
      </c>
    </row>
    <row r="902" spans="1:13" x14ac:dyDescent="0.35">
      <c r="A902" s="49" t="s">
        <v>14601</v>
      </c>
      <c r="B902" s="49" t="s">
        <v>11315</v>
      </c>
      <c r="C902" s="49" t="s">
        <v>11316</v>
      </c>
      <c r="D902" s="49" t="s">
        <v>1264</v>
      </c>
      <c r="E902" s="49" t="s">
        <v>2873</v>
      </c>
      <c r="F902" s="49" t="s">
        <v>2792</v>
      </c>
      <c r="G902" s="49" t="s">
        <v>4891</v>
      </c>
      <c r="H902" s="49" t="s">
        <v>864</v>
      </c>
      <c r="I902" s="50">
        <v>44944</v>
      </c>
      <c r="M902" s="49" t="s">
        <v>11318</v>
      </c>
    </row>
    <row r="903" spans="1:13" x14ac:dyDescent="0.35">
      <c r="A903" s="49" t="s">
        <v>14601</v>
      </c>
      <c r="B903" s="49" t="s">
        <v>13065</v>
      </c>
      <c r="C903" s="49"/>
      <c r="D903" s="49" t="s">
        <v>1264</v>
      </c>
      <c r="E903" s="49" t="s">
        <v>2873</v>
      </c>
      <c r="F903" s="49" t="s">
        <v>2792</v>
      </c>
      <c r="G903" s="49" t="s">
        <v>4891</v>
      </c>
      <c r="H903" s="49" t="s">
        <v>864</v>
      </c>
      <c r="I903" s="52">
        <v>46031.722800925898</v>
      </c>
      <c r="M903" s="49" t="s">
        <v>13066</v>
      </c>
    </row>
    <row r="904" spans="1:13" x14ac:dyDescent="0.35">
      <c r="A904" s="49" t="s">
        <v>14601</v>
      </c>
      <c r="B904" s="49" t="s">
        <v>13067</v>
      </c>
      <c r="C904" s="49"/>
      <c r="D904" s="49" t="s">
        <v>1264</v>
      </c>
      <c r="E904" s="49" t="s">
        <v>2873</v>
      </c>
      <c r="F904" s="49" t="s">
        <v>2792</v>
      </c>
      <c r="G904" s="49" t="s">
        <v>4891</v>
      </c>
      <c r="H904" s="49" t="s">
        <v>864</v>
      </c>
      <c r="I904" s="52">
        <v>46031.7640509259</v>
      </c>
      <c r="M904" s="49" t="s">
        <v>13068</v>
      </c>
    </row>
    <row r="905" spans="1:13" x14ac:dyDescent="0.35">
      <c r="A905" s="49" t="s">
        <v>14650</v>
      </c>
      <c r="B905" s="49" t="s">
        <v>13129</v>
      </c>
      <c r="C905" s="49"/>
      <c r="D905" s="49" t="s">
        <v>1264</v>
      </c>
      <c r="E905" s="49" t="s">
        <v>2873</v>
      </c>
      <c r="G905" s="49" t="s">
        <v>4891</v>
      </c>
      <c r="H905" s="49" t="s">
        <v>4225</v>
      </c>
      <c r="I905" s="52">
        <v>46052.648854166699</v>
      </c>
      <c r="M905" s="49" t="s">
        <v>13131</v>
      </c>
    </row>
    <row r="906" spans="1:13" x14ac:dyDescent="0.35">
      <c r="A906" s="49" t="s">
        <v>14276</v>
      </c>
      <c r="B906" s="49" t="s">
        <v>6245</v>
      </c>
      <c r="C906" s="49" t="s">
        <v>6246</v>
      </c>
      <c r="D906" s="49" t="s">
        <v>1264</v>
      </c>
      <c r="E906" s="49" t="s">
        <v>2873</v>
      </c>
      <c r="F906" s="49" t="s">
        <v>2792</v>
      </c>
      <c r="G906" s="49" t="s">
        <v>2901</v>
      </c>
      <c r="H906" s="49" t="s">
        <v>3207</v>
      </c>
      <c r="I906" s="50">
        <v>45183</v>
      </c>
      <c r="J906" s="50">
        <v>45336</v>
      </c>
      <c r="K906" s="50">
        <v>45701</v>
      </c>
      <c r="M906" s="49" t="s">
        <v>6248</v>
      </c>
    </row>
    <row r="907" spans="1:13" x14ac:dyDescent="0.35">
      <c r="A907" s="49" t="s">
        <v>14662</v>
      </c>
      <c r="B907" s="49" t="s">
        <v>13350</v>
      </c>
      <c r="C907" s="49"/>
      <c r="D907" s="49" t="s">
        <v>1264</v>
      </c>
      <c r="E907" s="49" t="s">
        <v>2873</v>
      </c>
      <c r="F907" s="49" t="s">
        <v>2792</v>
      </c>
      <c r="G907" s="49" t="s">
        <v>4891</v>
      </c>
      <c r="H907" s="49" t="s">
        <v>2806</v>
      </c>
      <c r="I907" s="52">
        <v>46112.648217592599</v>
      </c>
      <c r="M907" s="49" t="s">
        <v>13352</v>
      </c>
    </row>
    <row r="908" spans="1:13" x14ac:dyDescent="0.35">
      <c r="A908" s="49" t="s">
        <v>14840</v>
      </c>
      <c r="B908" s="49" t="s">
        <v>13572</v>
      </c>
      <c r="C908" s="49" t="s">
        <v>6956</v>
      </c>
      <c r="D908" s="49" t="s">
        <v>1264</v>
      </c>
      <c r="E908" s="49" t="s">
        <v>2873</v>
      </c>
      <c r="F908" s="49" t="s">
        <v>2792</v>
      </c>
      <c r="G908" s="49" t="s">
        <v>4891</v>
      </c>
      <c r="H908" s="49" t="s">
        <v>980</v>
      </c>
      <c r="I908" s="52">
        <v>46161.531840277799</v>
      </c>
      <c r="M908" s="49" t="s">
        <v>13574</v>
      </c>
    </row>
    <row r="909" spans="1:13" x14ac:dyDescent="0.35">
      <c r="A909" s="49" t="s">
        <v>6731</v>
      </c>
      <c r="B909" s="49" t="s">
        <v>6730</v>
      </c>
      <c r="C909" s="49"/>
      <c r="D909" s="49" t="s">
        <v>1264</v>
      </c>
      <c r="E909" s="49" t="s">
        <v>2873</v>
      </c>
      <c r="G909" s="49" t="s">
        <v>2901</v>
      </c>
      <c r="H909" s="49" t="s">
        <v>3207</v>
      </c>
      <c r="I909" s="50">
        <v>45800</v>
      </c>
      <c r="J909" s="50">
        <v>45803</v>
      </c>
      <c r="K909" s="50">
        <v>46167</v>
      </c>
      <c r="M909" s="49" t="s">
        <v>6732</v>
      </c>
    </row>
    <row r="910" spans="1:13" x14ac:dyDescent="0.35">
      <c r="A910" s="49" t="s">
        <v>14220</v>
      </c>
      <c r="B910" s="49" t="s">
        <v>5052</v>
      </c>
      <c r="C910" s="49" t="s">
        <v>5053</v>
      </c>
      <c r="D910" s="49" t="s">
        <v>1264</v>
      </c>
      <c r="E910" s="49" t="s">
        <v>2873</v>
      </c>
      <c r="F910" s="49" t="s">
        <v>2792</v>
      </c>
      <c r="G910" s="49" t="s">
        <v>2787</v>
      </c>
      <c r="H910" s="49" t="s">
        <v>3207</v>
      </c>
      <c r="I910" s="50">
        <v>45068</v>
      </c>
      <c r="J910" s="50">
        <v>45145</v>
      </c>
      <c r="K910" s="50">
        <v>45510</v>
      </c>
      <c r="M910" s="49" t="s">
        <v>5055</v>
      </c>
    </row>
    <row r="911" spans="1:13" x14ac:dyDescent="0.35">
      <c r="A911" s="49" t="s">
        <v>15328</v>
      </c>
      <c r="B911" s="49" t="s">
        <v>9283</v>
      </c>
      <c r="C911" s="49"/>
      <c r="D911" s="49" t="s">
        <v>1264</v>
      </c>
      <c r="E911" s="49" t="s">
        <v>2908</v>
      </c>
      <c r="F911" s="49" t="s">
        <v>2837</v>
      </c>
      <c r="G911" s="49" t="s">
        <v>2776</v>
      </c>
      <c r="H911" s="49" t="s">
        <v>980</v>
      </c>
      <c r="I911" s="50">
        <v>43543</v>
      </c>
      <c r="M911" s="49" t="s">
        <v>9285</v>
      </c>
    </row>
    <row r="912" spans="1:13" x14ac:dyDescent="0.35">
      <c r="A912" s="49" t="s">
        <v>14380</v>
      </c>
      <c r="B912" s="49" t="s">
        <v>7829</v>
      </c>
      <c r="C912" s="49" t="s">
        <v>7830</v>
      </c>
      <c r="D912" s="49" t="s">
        <v>1264</v>
      </c>
      <c r="E912" s="49" t="s">
        <v>2908</v>
      </c>
      <c r="F912" s="49" t="s">
        <v>2805</v>
      </c>
      <c r="G912" s="49" t="s">
        <v>2787</v>
      </c>
      <c r="H912" s="49" t="s">
        <v>980</v>
      </c>
      <c r="I912" s="50">
        <v>39021</v>
      </c>
      <c r="J912" s="50">
        <v>39521</v>
      </c>
      <c r="K912" s="50">
        <v>41346</v>
      </c>
      <c r="M912" s="49" t="s">
        <v>7832</v>
      </c>
    </row>
    <row r="913" spans="1:13" x14ac:dyDescent="0.35">
      <c r="A913" s="49" t="s">
        <v>14842</v>
      </c>
      <c r="B913" s="49" t="s">
        <v>3688</v>
      </c>
      <c r="C913" s="49" t="s">
        <v>3468</v>
      </c>
      <c r="D913" s="49" t="s">
        <v>1264</v>
      </c>
      <c r="E913" s="49" t="s">
        <v>3443</v>
      </c>
      <c r="F913" s="49" t="s">
        <v>3124</v>
      </c>
      <c r="G913" s="49" t="s">
        <v>2921</v>
      </c>
      <c r="H913" s="49" t="s">
        <v>980</v>
      </c>
      <c r="I913" s="50">
        <v>43151</v>
      </c>
      <c r="J913" s="50">
        <v>43210</v>
      </c>
      <c r="K913" s="50">
        <v>45035</v>
      </c>
      <c r="M913" s="49" t="s">
        <v>3675</v>
      </c>
    </row>
    <row r="914" spans="1:13" x14ac:dyDescent="0.35">
      <c r="A914" s="49" t="s">
        <v>14842</v>
      </c>
      <c r="B914" s="49" t="s">
        <v>3690</v>
      </c>
      <c r="C914" s="49" t="s">
        <v>3582</v>
      </c>
      <c r="D914" s="49" t="s">
        <v>1264</v>
      </c>
      <c r="E914" s="49" t="s">
        <v>3443</v>
      </c>
      <c r="F914" s="49" t="s">
        <v>2792</v>
      </c>
      <c r="G914" s="49" t="s">
        <v>2921</v>
      </c>
      <c r="H914" s="49" t="s">
        <v>980</v>
      </c>
      <c r="I914" s="50">
        <v>43151</v>
      </c>
      <c r="J914" s="50">
        <v>43210</v>
      </c>
      <c r="K914" s="50">
        <v>45035</v>
      </c>
      <c r="M914" s="49" t="s">
        <v>3691</v>
      </c>
    </row>
    <row r="915" spans="1:13" x14ac:dyDescent="0.35">
      <c r="A915" s="49" t="s">
        <v>15329</v>
      </c>
      <c r="B915" s="49" t="s">
        <v>4374</v>
      </c>
      <c r="C915" s="49" t="s">
        <v>4375</v>
      </c>
      <c r="D915" s="49" t="s">
        <v>1264</v>
      </c>
      <c r="E915" s="49" t="s">
        <v>2785</v>
      </c>
      <c r="F915" s="49" t="s">
        <v>2792</v>
      </c>
      <c r="G915" s="49" t="s">
        <v>2787</v>
      </c>
      <c r="H915" s="49" t="s">
        <v>8</v>
      </c>
      <c r="I915" s="50">
        <v>44364</v>
      </c>
      <c r="K915" s="50">
        <v>45510</v>
      </c>
      <c r="M915" s="49" t="s">
        <v>4377</v>
      </c>
    </row>
    <row r="916" spans="1:13" x14ac:dyDescent="0.35">
      <c r="A916" s="49" t="s">
        <v>15329</v>
      </c>
      <c r="B916" s="49" t="s">
        <v>4474</v>
      </c>
      <c r="C916" s="49" t="s">
        <v>2867</v>
      </c>
      <c r="D916" s="49" t="s">
        <v>1264</v>
      </c>
      <c r="E916" s="49" t="s">
        <v>2785</v>
      </c>
      <c r="F916" s="49" t="s">
        <v>2792</v>
      </c>
      <c r="G916" s="49" t="s">
        <v>2787</v>
      </c>
      <c r="H916" s="49" t="s">
        <v>8</v>
      </c>
      <c r="I916" s="50">
        <v>44405</v>
      </c>
      <c r="J916" s="50">
        <v>44463</v>
      </c>
      <c r="K916" s="50">
        <v>45428</v>
      </c>
      <c r="M916" s="49" t="s">
        <v>4475</v>
      </c>
    </row>
    <row r="917" spans="1:13" x14ac:dyDescent="0.35">
      <c r="A917" s="49" t="s">
        <v>15329</v>
      </c>
      <c r="B917" s="49" t="s">
        <v>4683</v>
      </c>
      <c r="C917" s="49" t="s">
        <v>4684</v>
      </c>
      <c r="D917" s="49" t="s">
        <v>1264</v>
      </c>
      <c r="E917" s="49" t="s">
        <v>2785</v>
      </c>
      <c r="F917" s="49" t="s">
        <v>2792</v>
      </c>
      <c r="G917" s="49" t="s">
        <v>2787</v>
      </c>
      <c r="H917" s="49" t="s">
        <v>8</v>
      </c>
      <c r="I917" s="50">
        <v>44566</v>
      </c>
      <c r="K917" s="50">
        <v>45510</v>
      </c>
      <c r="M917" s="49" t="s">
        <v>4685</v>
      </c>
    </row>
    <row r="918" spans="1:13" x14ac:dyDescent="0.35">
      <c r="A918" s="49" t="s">
        <v>15329</v>
      </c>
      <c r="B918" s="49" t="s">
        <v>4692</v>
      </c>
      <c r="C918" s="49" t="s">
        <v>4693</v>
      </c>
      <c r="D918" s="49" t="s">
        <v>1264</v>
      </c>
      <c r="E918" s="49" t="s">
        <v>2785</v>
      </c>
      <c r="F918" s="49" t="s">
        <v>2792</v>
      </c>
      <c r="G918" s="49" t="s">
        <v>2787</v>
      </c>
      <c r="H918" s="49" t="s">
        <v>980</v>
      </c>
      <c r="I918" s="50">
        <v>44915</v>
      </c>
      <c r="J918" s="50">
        <v>44679</v>
      </c>
      <c r="K918" s="50">
        <v>45428</v>
      </c>
      <c r="M918" s="49" t="s">
        <v>4694</v>
      </c>
    </row>
    <row r="919" spans="1:13" x14ac:dyDescent="0.35">
      <c r="A919" s="49" t="s">
        <v>15329</v>
      </c>
      <c r="B919" s="49" t="s">
        <v>4864</v>
      </c>
      <c r="C919" s="49" t="s">
        <v>2849</v>
      </c>
      <c r="D919" s="49" t="s">
        <v>1264</v>
      </c>
      <c r="E919" s="49" t="s">
        <v>2785</v>
      </c>
      <c r="F919" s="49" t="s">
        <v>2792</v>
      </c>
      <c r="G919" s="49" t="s">
        <v>2787</v>
      </c>
      <c r="H919" s="49" t="s">
        <v>980</v>
      </c>
      <c r="I919" s="50">
        <v>44679</v>
      </c>
      <c r="J919" s="50">
        <v>44732</v>
      </c>
      <c r="K919" s="50">
        <v>45428</v>
      </c>
      <c r="M919" s="49" t="s">
        <v>4865</v>
      </c>
    </row>
    <row r="920" spans="1:13" x14ac:dyDescent="0.35">
      <c r="A920" s="49" t="s">
        <v>15329</v>
      </c>
      <c r="B920" s="49" t="s">
        <v>5056</v>
      </c>
      <c r="C920" s="49" t="s">
        <v>5057</v>
      </c>
      <c r="D920" s="49" t="s">
        <v>1264</v>
      </c>
      <c r="E920" s="49" t="s">
        <v>2785</v>
      </c>
      <c r="F920" s="49" t="s">
        <v>2792</v>
      </c>
      <c r="G920" s="49" t="s">
        <v>4330</v>
      </c>
      <c r="H920" s="49" t="s">
        <v>8</v>
      </c>
      <c r="I920" s="50">
        <v>44792</v>
      </c>
      <c r="M920" s="49" t="s">
        <v>5058</v>
      </c>
    </row>
    <row r="921" spans="1:13" x14ac:dyDescent="0.35">
      <c r="A921" s="49" t="s">
        <v>15329</v>
      </c>
      <c r="B921" s="49" t="s">
        <v>5182</v>
      </c>
      <c r="C921" s="49" t="s">
        <v>4684</v>
      </c>
      <c r="D921" s="49" t="s">
        <v>1264</v>
      </c>
      <c r="E921" s="49" t="s">
        <v>2785</v>
      </c>
      <c r="F921" s="49" t="s">
        <v>2792</v>
      </c>
      <c r="G921" s="49" t="s">
        <v>4330</v>
      </c>
      <c r="H921" s="49" t="s">
        <v>8</v>
      </c>
      <c r="I921" s="50">
        <v>44886</v>
      </c>
      <c r="M921" s="49" t="s">
        <v>5183</v>
      </c>
    </row>
    <row r="922" spans="1:13" x14ac:dyDescent="0.35">
      <c r="A922" s="49" t="s">
        <v>15329</v>
      </c>
      <c r="B922" s="49" t="s">
        <v>5579</v>
      </c>
      <c r="C922" s="49" t="s">
        <v>2818</v>
      </c>
      <c r="D922" s="49" t="s">
        <v>1264</v>
      </c>
      <c r="E922" s="49" t="s">
        <v>2785</v>
      </c>
      <c r="F922" s="49" t="s">
        <v>2792</v>
      </c>
      <c r="G922" s="49" t="s">
        <v>4330</v>
      </c>
      <c r="H922" s="49" t="s">
        <v>8</v>
      </c>
      <c r="I922" s="50">
        <v>45043</v>
      </c>
      <c r="M922" s="49" t="s">
        <v>5580</v>
      </c>
    </row>
    <row r="923" spans="1:13" x14ac:dyDescent="0.35">
      <c r="A923" s="49" t="s">
        <v>15329</v>
      </c>
      <c r="B923" s="49" t="s">
        <v>5597</v>
      </c>
      <c r="C923" s="49" t="s">
        <v>5598</v>
      </c>
      <c r="D923" s="49" t="s">
        <v>1264</v>
      </c>
      <c r="E923" s="49" t="s">
        <v>2785</v>
      </c>
      <c r="F923" s="49" t="s">
        <v>2792</v>
      </c>
      <c r="G923" s="49" t="s">
        <v>4330</v>
      </c>
      <c r="H923" s="49" t="s">
        <v>8</v>
      </c>
      <c r="I923" s="50">
        <v>44929</v>
      </c>
      <c r="M923" s="49" t="s">
        <v>5599</v>
      </c>
    </row>
    <row r="924" spans="1:13" x14ac:dyDescent="0.35">
      <c r="A924" s="49" t="s">
        <v>15329</v>
      </c>
      <c r="B924" s="49" t="s">
        <v>12521</v>
      </c>
      <c r="C924" s="49" t="s">
        <v>12522</v>
      </c>
      <c r="D924" s="49" t="s">
        <v>1264</v>
      </c>
      <c r="E924" s="49" t="s">
        <v>2785</v>
      </c>
      <c r="F924" s="49" t="s">
        <v>2792</v>
      </c>
      <c r="G924" s="49" t="s">
        <v>2776</v>
      </c>
      <c r="H924" s="49" t="s">
        <v>8</v>
      </c>
      <c r="I924" s="50">
        <v>45428</v>
      </c>
      <c r="M924" s="49" t="s">
        <v>12523</v>
      </c>
    </row>
    <row r="925" spans="1:13" x14ac:dyDescent="0.35">
      <c r="A925" s="49" t="s">
        <v>8226</v>
      </c>
      <c r="B925" s="49" t="s">
        <v>8225</v>
      </c>
      <c r="C925" s="49" t="s">
        <v>8225</v>
      </c>
      <c r="D925" s="49" t="s">
        <v>1264</v>
      </c>
      <c r="E925" s="49" t="s">
        <v>2908</v>
      </c>
      <c r="F925" s="49" t="s">
        <v>3010</v>
      </c>
      <c r="G925" s="49" t="s">
        <v>2787</v>
      </c>
      <c r="H925" s="49" t="s">
        <v>980</v>
      </c>
      <c r="I925" s="50">
        <v>32675</v>
      </c>
      <c r="J925" s="50">
        <v>33085</v>
      </c>
      <c r="K925" s="50">
        <v>39907</v>
      </c>
      <c r="M925" s="49" t="s">
        <v>4270</v>
      </c>
    </row>
    <row r="926" spans="1:13" x14ac:dyDescent="0.35">
      <c r="A926" s="49" t="s">
        <v>15152</v>
      </c>
      <c r="B926" s="49" t="s">
        <v>10891</v>
      </c>
      <c r="C926" s="49" t="s">
        <v>10889</v>
      </c>
      <c r="D926" s="49" t="s">
        <v>1264</v>
      </c>
      <c r="E926" s="49" t="s">
        <v>2986</v>
      </c>
      <c r="F926" s="49" t="s">
        <v>2825</v>
      </c>
      <c r="G926" s="49" t="s">
        <v>2776</v>
      </c>
      <c r="H926" s="49" t="s">
        <v>2827</v>
      </c>
      <c r="I926" s="50">
        <v>44518</v>
      </c>
      <c r="M926" s="49" t="s">
        <v>10893</v>
      </c>
    </row>
    <row r="927" spans="1:13" x14ac:dyDescent="0.35">
      <c r="A927" s="49" t="s">
        <v>14071</v>
      </c>
      <c r="B927" s="49" t="s">
        <v>2926</v>
      </c>
      <c r="C927" s="49"/>
      <c r="D927" s="49" t="s">
        <v>1264</v>
      </c>
      <c r="E927" s="49" t="s">
        <v>2908</v>
      </c>
      <c r="F927" s="49" t="s">
        <v>2837</v>
      </c>
      <c r="G927" s="49" t="s">
        <v>2901</v>
      </c>
      <c r="H927" s="49" t="s">
        <v>980</v>
      </c>
      <c r="I927" s="50">
        <v>30365</v>
      </c>
      <c r="J927" s="50">
        <v>30466</v>
      </c>
      <c r="K927" s="50">
        <v>46285</v>
      </c>
      <c r="M927" s="49" t="s">
        <v>2928</v>
      </c>
    </row>
    <row r="928" spans="1:13" x14ac:dyDescent="0.35">
      <c r="A928" s="49" t="s">
        <v>14071</v>
      </c>
      <c r="B928" s="49" t="s">
        <v>2945</v>
      </c>
      <c r="C928" s="49" t="s">
        <v>2937</v>
      </c>
      <c r="D928" s="49" t="s">
        <v>1264</v>
      </c>
      <c r="E928" s="49" t="s">
        <v>2908</v>
      </c>
      <c r="F928" s="49" t="s">
        <v>2939</v>
      </c>
      <c r="G928" s="49" t="s">
        <v>2901</v>
      </c>
      <c r="H928" s="49" t="s">
        <v>980</v>
      </c>
      <c r="I928" s="50">
        <v>35192</v>
      </c>
      <c r="J928" s="50">
        <v>35384</v>
      </c>
      <c r="K928" s="50">
        <v>46121</v>
      </c>
      <c r="M928" s="49" t="s">
        <v>2946</v>
      </c>
    </row>
    <row r="929" spans="1:13" x14ac:dyDescent="0.35">
      <c r="A929" s="49" t="s">
        <v>14071</v>
      </c>
      <c r="B929" s="49" t="s">
        <v>3032</v>
      </c>
      <c r="C929" s="49" t="s">
        <v>3033</v>
      </c>
      <c r="D929" s="49" t="s">
        <v>1264</v>
      </c>
      <c r="E929" s="49" t="s">
        <v>2908</v>
      </c>
      <c r="F929" s="49" t="s">
        <v>2837</v>
      </c>
      <c r="G929" s="49" t="s">
        <v>2901</v>
      </c>
      <c r="H929" s="49" t="s">
        <v>980</v>
      </c>
      <c r="I929" s="50">
        <v>39384</v>
      </c>
      <c r="J929" s="50">
        <v>39629</v>
      </c>
      <c r="K929" s="50">
        <v>46128</v>
      </c>
      <c r="M929" s="49" t="s">
        <v>3034</v>
      </c>
    </row>
    <row r="930" spans="1:13" x14ac:dyDescent="0.35">
      <c r="A930" s="49" t="s">
        <v>14071</v>
      </c>
      <c r="B930" s="49" t="s">
        <v>3038</v>
      </c>
      <c r="C930" s="49" t="s">
        <v>3039</v>
      </c>
      <c r="D930" s="49" t="s">
        <v>1264</v>
      </c>
      <c r="E930" s="49" t="s">
        <v>2908</v>
      </c>
      <c r="F930" s="49" t="s">
        <v>2837</v>
      </c>
      <c r="G930" s="49" t="s">
        <v>2901</v>
      </c>
      <c r="H930" s="49" t="s">
        <v>980</v>
      </c>
      <c r="I930" s="50">
        <v>39496</v>
      </c>
      <c r="J930" s="50">
        <v>40032</v>
      </c>
      <c r="K930" s="50">
        <v>46339</v>
      </c>
      <c r="M930" s="49" t="s">
        <v>3040</v>
      </c>
    </row>
    <row r="931" spans="1:13" x14ac:dyDescent="0.35">
      <c r="A931" s="49" t="s">
        <v>14071</v>
      </c>
      <c r="B931" s="49" t="s">
        <v>3053</v>
      </c>
      <c r="C931" s="49" t="s">
        <v>2937</v>
      </c>
      <c r="D931" s="49" t="s">
        <v>1264</v>
      </c>
      <c r="E931" s="49" t="s">
        <v>2908</v>
      </c>
      <c r="F931" s="49" t="s">
        <v>2939</v>
      </c>
      <c r="G931" s="49" t="s">
        <v>2901</v>
      </c>
      <c r="H931" s="49" t="s">
        <v>980</v>
      </c>
      <c r="I931" s="50">
        <v>39694</v>
      </c>
      <c r="J931" s="50">
        <v>40032</v>
      </c>
      <c r="K931" s="50">
        <v>46119</v>
      </c>
      <c r="M931" s="49" t="s">
        <v>3054</v>
      </c>
    </row>
    <row r="932" spans="1:13" x14ac:dyDescent="0.35">
      <c r="A932" s="49" t="s">
        <v>14071</v>
      </c>
      <c r="B932" s="49" t="s">
        <v>3224</v>
      </c>
      <c r="C932" s="49" t="s">
        <v>2891</v>
      </c>
      <c r="D932" s="49" t="s">
        <v>1264</v>
      </c>
      <c r="E932" s="49" t="s">
        <v>2908</v>
      </c>
      <c r="F932" s="49" t="s">
        <v>2837</v>
      </c>
      <c r="G932" s="49" t="s">
        <v>2787</v>
      </c>
      <c r="H932" s="49" t="s">
        <v>980</v>
      </c>
      <c r="I932" s="50">
        <v>41074</v>
      </c>
      <c r="J932" s="50">
        <v>41499</v>
      </c>
      <c r="K932" s="50">
        <v>45515</v>
      </c>
      <c r="M932" s="49" t="s">
        <v>3225</v>
      </c>
    </row>
    <row r="933" spans="1:13" x14ac:dyDescent="0.35">
      <c r="A933" s="49" t="s">
        <v>14071</v>
      </c>
      <c r="B933" s="49" t="s">
        <v>3343</v>
      </c>
      <c r="C933" s="49" t="s">
        <v>3344</v>
      </c>
      <c r="D933" s="49" t="s">
        <v>1264</v>
      </c>
      <c r="E933" s="49" t="s">
        <v>2908</v>
      </c>
      <c r="F933" s="49" t="s">
        <v>2837</v>
      </c>
      <c r="G933" s="49" t="s">
        <v>2901</v>
      </c>
      <c r="H933" s="49" t="s">
        <v>980</v>
      </c>
      <c r="I933" s="50">
        <v>41729</v>
      </c>
      <c r="J933" s="50">
        <v>42688</v>
      </c>
      <c r="K933" s="50">
        <v>46339</v>
      </c>
      <c r="M933" s="49" t="s">
        <v>3345</v>
      </c>
    </row>
    <row r="934" spans="1:13" x14ac:dyDescent="0.35">
      <c r="A934" s="49" t="s">
        <v>14071</v>
      </c>
      <c r="B934" s="49" t="s">
        <v>3698</v>
      </c>
      <c r="C934" s="49"/>
      <c r="D934" s="49" t="s">
        <v>1264</v>
      </c>
      <c r="E934" s="49" t="s">
        <v>2908</v>
      </c>
      <c r="F934" s="49" t="s">
        <v>2837</v>
      </c>
      <c r="G934" s="49" t="s">
        <v>2901</v>
      </c>
      <c r="H934" s="49" t="s">
        <v>980</v>
      </c>
      <c r="I934" s="50">
        <v>43178</v>
      </c>
      <c r="J934" s="50">
        <v>43493</v>
      </c>
      <c r="K934" s="50">
        <v>46779</v>
      </c>
      <c r="M934" s="49" t="s">
        <v>3699</v>
      </c>
    </row>
    <row r="935" spans="1:13" x14ac:dyDescent="0.35">
      <c r="A935" s="49" t="s">
        <v>14071</v>
      </c>
      <c r="B935" s="49" t="s">
        <v>3783</v>
      </c>
      <c r="C935" s="49" t="s">
        <v>3784</v>
      </c>
      <c r="D935" s="49" t="s">
        <v>1264</v>
      </c>
      <c r="E935" s="49" t="s">
        <v>2908</v>
      </c>
      <c r="F935" s="49" t="s">
        <v>2837</v>
      </c>
      <c r="G935" s="49" t="s">
        <v>2901</v>
      </c>
      <c r="H935" s="49" t="s">
        <v>2827</v>
      </c>
      <c r="I935" s="50">
        <v>43291</v>
      </c>
      <c r="J935" s="50">
        <v>43510</v>
      </c>
      <c r="K935" s="50">
        <v>47162</v>
      </c>
      <c r="M935" s="49" t="s">
        <v>3785</v>
      </c>
    </row>
    <row r="936" spans="1:13" x14ac:dyDescent="0.35">
      <c r="A936" s="49" t="s">
        <v>14071</v>
      </c>
      <c r="B936" s="49" t="s">
        <v>6154</v>
      </c>
      <c r="C936" s="49"/>
      <c r="D936" s="49" t="s">
        <v>1264</v>
      </c>
      <c r="E936" s="49" t="s">
        <v>2908</v>
      </c>
      <c r="F936" s="49" t="s">
        <v>2837</v>
      </c>
      <c r="G936" s="49" t="s">
        <v>2901</v>
      </c>
      <c r="H936" s="49" t="s">
        <v>980</v>
      </c>
      <c r="I936" s="50">
        <v>39629</v>
      </c>
      <c r="J936" s="50">
        <v>43280</v>
      </c>
      <c r="K936" s="50">
        <v>46931</v>
      </c>
      <c r="M936" s="49" t="s">
        <v>6155</v>
      </c>
    </row>
    <row r="937" spans="1:13" x14ac:dyDescent="0.35">
      <c r="A937" s="49" t="s">
        <v>14071</v>
      </c>
      <c r="B937" s="49" t="s">
        <v>7799</v>
      </c>
      <c r="C937" s="49" t="s">
        <v>7800</v>
      </c>
      <c r="D937" s="49" t="s">
        <v>1264</v>
      </c>
      <c r="E937" s="49" t="s">
        <v>2908</v>
      </c>
      <c r="F937" s="49" t="s">
        <v>2837</v>
      </c>
      <c r="G937" s="49" t="s">
        <v>2826</v>
      </c>
      <c r="H937" s="49" t="s">
        <v>980</v>
      </c>
      <c r="I937" s="50">
        <v>36879</v>
      </c>
      <c r="J937" s="50">
        <v>36969</v>
      </c>
      <c r="K937" s="50">
        <v>40829</v>
      </c>
      <c r="M937" s="49" t="s">
        <v>7801</v>
      </c>
    </row>
    <row r="938" spans="1:13" x14ac:dyDescent="0.35">
      <c r="A938" s="49" t="s">
        <v>14071</v>
      </c>
      <c r="B938" s="49" t="s">
        <v>9053</v>
      </c>
      <c r="C938" s="49"/>
      <c r="D938" s="49" t="s">
        <v>1264</v>
      </c>
      <c r="E938" s="49" t="s">
        <v>2814</v>
      </c>
      <c r="F938" s="49" t="s">
        <v>2837</v>
      </c>
      <c r="G938" s="49" t="s">
        <v>2776</v>
      </c>
      <c r="H938" s="49" t="s">
        <v>8</v>
      </c>
      <c r="I938" s="50">
        <v>43055</v>
      </c>
      <c r="M938" s="49" t="s">
        <v>9054</v>
      </c>
    </row>
    <row r="939" spans="1:13" x14ac:dyDescent="0.35">
      <c r="A939" s="49" t="s">
        <v>14071</v>
      </c>
      <c r="B939" s="49" t="s">
        <v>9211</v>
      </c>
      <c r="C939" s="49"/>
      <c r="D939" s="49" t="s">
        <v>1264</v>
      </c>
      <c r="E939" s="49" t="s">
        <v>2908</v>
      </c>
      <c r="F939" s="49" t="s">
        <v>2939</v>
      </c>
      <c r="G939" s="49" t="s">
        <v>2776</v>
      </c>
      <c r="H939" s="49" t="s">
        <v>980</v>
      </c>
      <c r="I939" s="50">
        <v>43249</v>
      </c>
      <c r="M939" s="49" t="s">
        <v>9212</v>
      </c>
    </row>
    <row r="940" spans="1:13" x14ac:dyDescent="0.35">
      <c r="A940" s="49" t="s">
        <v>3060</v>
      </c>
      <c r="B940" s="49" t="s">
        <v>3058</v>
      </c>
      <c r="C940" s="49" t="s">
        <v>3059</v>
      </c>
      <c r="D940" s="49" t="s">
        <v>1264</v>
      </c>
      <c r="E940" s="49" t="s">
        <v>2986</v>
      </c>
      <c r="F940" s="49" t="s">
        <v>2825</v>
      </c>
      <c r="G940" s="49" t="s">
        <v>2820</v>
      </c>
      <c r="H940" s="49" t="s">
        <v>2827</v>
      </c>
      <c r="I940" s="50">
        <v>39776</v>
      </c>
      <c r="J940" s="50">
        <v>39861</v>
      </c>
      <c r="K940" s="50">
        <v>45353</v>
      </c>
      <c r="M940" s="49" t="s">
        <v>3061</v>
      </c>
    </row>
    <row r="941" spans="1:13" x14ac:dyDescent="0.35">
      <c r="A941" s="49" t="s">
        <v>3060</v>
      </c>
      <c r="B941" s="49" t="s">
        <v>179</v>
      </c>
      <c r="C941" s="49"/>
      <c r="D941" s="49" t="s">
        <v>1264</v>
      </c>
      <c r="E941" s="49" t="s">
        <v>2974</v>
      </c>
      <c r="F941" s="49" t="s">
        <v>2825</v>
      </c>
      <c r="G941" s="49" t="s">
        <v>2826</v>
      </c>
      <c r="H941" s="49" t="s">
        <v>2827</v>
      </c>
      <c r="I941" s="50">
        <v>43598</v>
      </c>
      <c r="M941" s="49" t="s">
        <v>9057</v>
      </c>
    </row>
    <row r="942" spans="1:13" x14ac:dyDescent="0.35">
      <c r="A942" s="49" t="s">
        <v>3060</v>
      </c>
      <c r="B942" s="49" t="s">
        <v>11541</v>
      </c>
      <c r="C942" s="49"/>
      <c r="D942" s="49" t="s">
        <v>1264</v>
      </c>
      <c r="E942" s="49" t="s">
        <v>2974</v>
      </c>
      <c r="F942" s="49" t="s">
        <v>2825</v>
      </c>
      <c r="G942" s="49" t="s">
        <v>2776</v>
      </c>
      <c r="H942" s="49" t="s">
        <v>2827</v>
      </c>
      <c r="I942" s="50">
        <v>45169</v>
      </c>
      <c r="M942" s="49" t="s">
        <v>11542</v>
      </c>
    </row>
    <row r="943" spans="1:13" x14ac:dyDescent="0.35">
      <c r="A943" s="49" t="s">
        <v>15330</v>
      </c>
      <c r="B943" s="49" t="s">
        <v>13495</v>
      </c>
      <c r="C943" s="49" t="s">
        <v>13496</v>
      </c>
      <c r="D943" s="49" t="s">
        <v>1264</v>
      </c>
      <c r="E943" s="49" t="s">
        <v>2785</v>
      </c>
      <c r="F943" s="49" t="s">
        <v>2786</v>
      </c>
      <c r="G943" s="49" t="s">
        <v>4891</v>
      </c>
      <c r="H943" s="49" t="s">
        <v>980</v>
      </c>
      <c r="I943" s="52">
        <v>46146.560706018499</v>
      </c>
      <c r="M943" s="49" t="s">
        <v>13498</v>
      </c>
    </row>
    <row r="944" spans="1:13" x14ac:dyDescent="0.35">
      <c r="A944" s="49" t="s">
        <v>15330</v>
      </c>
      <c r="B944" s="49" t="s">
        <v>13598</v>
      </c>
      <c r="C944" s="49" t="s">
        <v>4522</v>
      </c>
      <c r="D944" s="49" t="s">
        <v>1264</v>
      </c>
      <c r="E944" s="49" t="s">
        <v>2785</v>
      </c>
      <c r="F944" s="49" t="s">
        <v>2792</v>
      </c>
      <c r="G944" s="49" t="s">
        <v>4891</v>
      </c>
      <c r="H944" s="49" t="s">
        <v>980</v>
      </c>
      <c r="I944" s="52">
        <v>46163.509768518503</v>
      </c>
      <c r="M944" s="49" t="s">
        <v>13599</v>
      </c>
    </row>
    <row r="945" spans="1:13" x14ac:dyDescent="0.35">
      <c r="A945" s="49" t="s">
        <v>8310</v>
      </c>
      <c r="B945" s="49" t="s">
        <v>4198</v>
      </c>
      <c r="C945" s="49" t="s">
        <v>4199</v>
      </c>
      <c r="D945" s="49" t="s">
        <v>1264</v>
      </c>
      <c r="E945" s="49" t="s">
        <v>2785</v>
      </c>
      <c r="F945" s="49" t="s">
        <v>2786</v>
      </c>
      <c r="G945" s="49" t="s">
        <v>2787</v>
      </c>
      <c r="H945" s="49" t="s">
        <v>3229</v>
      </c>
      <c r="I945" s="50">
        <v>44271</v>
      </c>
      <c r="K945" s="50">
        <v>45510</v>
      </c>
      <c r="M945" s="49" t="s">
        <v>4201</v>
      </c>
    </row>
    <row r="946" spans="1:13" x14ac:dyDescent="0.35">
      <c r="A946" s="49" t="s">
        <v>8310</v>
      </c>
      <c r="B946" s="49" t="s">
        <v>7924</v>
      </c>
      <c r="C946" s="49" t="s">
        <v>7925</v>
      </c>
      <c r="D946" s="49" t="s">
        <v>1264</v>
      </c>
      <c r="E946" s="49" t="s">
        <v>2908</v>
      </c>
      <c r="F946" s="49" t="s">
        <v>3010</v>
      </c>
      <c r="G946" s="49" t="s">
        <v>2787</v>
      </c>
      <c r="H946" s="49" t="s">
        <v>980</v>
      </c>
      <c r="I946" s="50">
        <v>38524</v>
      </c>
      <c r="J946" s="50">
        <v>38082</v>
      </c>
      <c r="K946" s="50">
        <v>39907</v>
      </c>
      <c r="M946" s="49" t="s">
        <v>3477</v>
      </c>
    </row>
    <row r="947" spans="1:13" x14ac:dyDescent="0.35">
      <c r="A947" s="49" t="s">
        <v>8310</v>
      </c>
      <c r="B947" s="49" t="s">
        <v>7926</v>
      </c>
      <c r="C947" s="49" t="s">
        <v>7927</v>
      </c>
      <c r="D947" s="49" t="s">
        <v>1264</v>
      </c>
      <c r="E947" s="49" t="s">
        <v>2908</v>
      </c>
      <c r="F947" s="49" t="s">
        <v>3010</v>
      </c>
      <c r="G947" s="49" t="s">
        <v>2787</v>
      </c>
      <c r="H947" s="49" t="s">
        <v>980</v>
      </c>
      <c r="I947" s="50">
        <v>39223</v>
      </c>
      <c r="J947" s="50">
        <v>38082</v>
      </c>
      <c r="K947" s="50">
        <v>39907</v>
      </c>
      <c r="M947" s="49" t="s">
        <v>7928</v>
      </c>
    </row>
    <row r="948" spans="1:13" x14ac:dyDescent="0.35">
      <c r="A948" s="49" t="s">
        <v>8310</v>
      </c>
      <c r="B948" s="49" t="s">
        <v>8309</v>
      </c>
      <c r="C948" s="49" t="s">
        <v>8116</v>
      </c>
      <c r="D948" s="49" t="s">
        <v>1264</v>
      </c>
      <c r="E948" s="49" t="s">
        <v>2908</v>
      </c>
      <c r="F948" s="49" t="s">
        <v>2939</v>
      </c>
      <c r="G948" s="49" t="s">
        <v>2826</v>
      </c>
      <c r="H948" s="49" t="s">
        <v>980</v>
      </c>
      <c r="I948" s="50">
        <v>35284</v>
      </c>
      <c r="J948" s="50">
        <v>35727</v>
      </c>
      <c r="K948" s="50">
        <v>38082</v>
      </c>
      <c r="M948" s="49" t="s">
        <v>8311</v>
      </c>
    </row>
    <row r="949" spans="1:13" x14ac:dyDescent="0.35">
      <c r="A949" s="49" t="s">
        <v>8310</v>
      </c>
      <c r="B949" s="49" t="s">
        <v>8312</v>
      </c>
      <c r="C949" s="49" t="s">
        <v>8313</v>
      </c>
      <c r="D949" s="49" t="s">
        <v>1264</v>
      </c>
      <c r="E949" s="49" t="s">
        <v>2908</v>
      </c>
      <c r="F949" s="49" t="s">
        <v>3010</v>
      </c>
      <c r="G949" s="49" t="s">
        <v>2826</v>
      </c>
      <c r="H949" s="49" t="s">
        <v>980</v>
      </c>
      <c r="I949" s="50">
        <v>37925</v>
      </c>
      <c r="J949" s="50">
        <v>35727</v>
      </c>
      <c r="K949" s="50">
        <v>38082</v>
      </c>
      <c r="M949" s="49" t="s">
        <v>8314</v>
      </c>
    </row>
    <row r="950" spans="1:13" x14ac:dyDescent="0.35">
      <c r="A950" s="49" t="s">
        <v>8310</v>
      </c>
      <c r="B950" s="49" t="s">
        <v>12104</v>
      </c>
      <c r="C950" s="49" t="s">
        <v>12105</v>
      </c>
      <c r="D950" s="49" t="s">
        <v>1264</v>
      </c>
      <c r="E950" s="49" t="s">
        <v>2785</v>
      </c>
      <c r="F950" s="49" t="s">
        <v>2786</v>
      </c>
      <c r="G950" s="49" t="s">
        <v>4891</v>
      </c>
      <c r="H950" s="49" t="s">
        <v>3229</v>
      </c>
      <c r="I950" s="50">
        <v>45313</v>
      </c>
      <c r="M950" s="49" t="s">
        <v>12106</v>
      </c>
    </row>
    <row r="951" spans="1:13" x14ac:dyDescent="0.35">
      <c r="A951" s="49" t="s">
        <v>8310</v>
      </c>
      <c r="B951" s="49" t="s">
        <v>12708</v>
      </c>
      <c r="C951" s="49" t="s">
        <v>12709</v>
      </c>
      <c r="D951" s="49" t="s">
        <v>1264</v>
      </c>
      <c r="E951" s="49" t="s">
        <v>2785</v>
      </c>
      <c r="F951" s="49" t="s">
        <v>5423</v>
      </c>
      <c r="G951" s="49" t="s">
        <v>4891</v>
      </c>
      <c r="H951" s="49" t="s">
        <v>2832</v>
      </c>
      <c r="I951" s="50">
        <v>45546</v>
      </c>
      <c r="M951" s="49" t="s">
        <v>12710</v>
      </c>
    </row>
    <row r="952" spans="1:13" x14ac:dyDescent="0.35">
      <c r="A952" s="49" t="s">
        <v>8310</v>
      </c>
      <c r="B952" s="49" t="s">
        <v>12973</v>
      </c>
      <c r="C952" s="49" t="s">
        <v>12974</v>
      </c>
      <c r="D952" s="49" t="s">
        <v>1264</v>
      </c>
      <c r="E952" s="49" t="s">
        <v>2785</v>
      </c>
      <c r="F952" s="49" t="s">
        <v>2792</v>
      </c>
      <c r="G952" s="49" t="s">
        <v>4891</v>
      </c>
      <c r="H952" s="49" t="s">
        <v>3229</v>
      </c>
      <c r="I952" s="52">
        <v>46000.434340277803</v>
      </c>
      <c r="M952" s="49" t="s">
        <v>12975</v>
      </c>
    </row>
    <row r="953" spans="1:13" x14ac:dyDescent="0.35">
      <c r="A953" s="49" t="s">
        <v>8310</v>
      </c>
      <c r="B953" s="49" t="s">
        <v>12976</v>
      </c>
      <c r="C953" s="49" t="s">
        <v>12977</v>
      </c>
      <c r="D953" s="49" t="s">
        <v>1264</v>
      </c>
      <c r="E953" s="49" t="s">
        <v>2785</v>
      </c>
      <c r="F953" s="49" t="s">
        <v>2792</v>
      </c>
      <c r="G953" s="49" t="s">
        <v>4891</v>
      </c>
      <c r="H953" s="49" t="s">
        <v>3229</v>
      </c>
      <c r="I953" s="52">
        <v>46000.443611111099</v>
      </c>
      <c r="M953" s="49" t="s">
        <v>12978</v>
      </c>
    </row>
    <row r="954" spans="1:13" x14ac:dyDescent="0.35">
      <c r="A954" s="49" t="s">
        <v>8310</v>
      </c>
      <c r="B954" s="49" t="s">
        <v>12979</v>
      </c>
      <c r="C954" s="49" t="s">
        <v>12980</v>
      </c>
      <c r="D954" s="49" t="s">
        <v>1264</v>
      </c>
      <c r="E954" s="49" t="s">
        <v>2785</v>
      </c>
      <c r="F954" s="49" t="s">
        <v>2792</v>
      </c>
      <c r="G954" s="49" t="s">
        <v>4891</v>
      </c>
      <c r="H954" s="49" t="s">
        <v>3229</v>
      </c>
      <c r="I954" s="52">
        <v>46000.451736111099</v>
      </c>
      <c r="M954" s="49" t="s">
        <v>5838</v>
      </c>
    </row>
    <row r="955" spans="1:13" x14ac:dyDescent="0.35">
      <c r="A955" s="49" t="s">
        <v>8310</v>
      </c>
      <c r="B955" s="49" t="s">
        <v>12981</v>
      </c>
      <c r="C955" s="49" t="s">
        <v>12982</v>
      </c>
      <c r="D955" s="49" t="s">
        <v>1264</v>
      </c>
      <c r="E955" s="49" t="s">
        <v>2785</v>
      </c>
      <c r="F955" s="49" t="s">
        <v>2792</v>
      </c>
      <c r="G955" s="49" t="s">
        <v>4891</v>
      </c>
      <c r="H955" s="49" t="s">
        <v>3229</v>
      </c>
      <c r="I955" s="52">
        <v>46000.4628703704</v>
      </c>
      <c r="M955" s="49" t="s">
        <v>12978</v>
      </c>
    </row>
    <row r="956" spans="1:13" x14ac:dyDescent="0.35">
      <c r="A956" s="49" t="s">
        <v>8310</v>
      </c>
      <c r="B956" s="49" t="s">
        <v>12983</v>
      </c>
      <c r="C956" s="49" t="s">
        <v>12984</v>
      </c>
      <c r="D956" s="49" t="s">
        <v>1264</v>
      </c>
      <c r="E956" s="49" t="s">
        <v>2785</v>
      </c>
      <c r="F956" s="49" t="s">
        <v>2786</v>
      </c>
      <c r="G956" s="49" t="s">
        <v>4891</v>
      </c>
      <c r="H956" s="49" t="s">
        <v>3229</v>
      </c>
      <c r="I956" s="52">
        <v>46000.471064814803</v>
      </c>
      <c r="M956" s="49" t="s">
        <v>12985</v>
      </c>
    </row>
    <row r="957" spans="1:13" x14ac:dyDescent="0.35">
      <c r="A957" s="49" t="s">
        <v>8310</v>
      </c>
      <c r="B957" s="49" t="s">
        <v>12986</v>
      </c>
      <c r="C957" s="49" t="s">
        <v>12987</v>
      </c>
      <c r="D957" s="49" t="s">
        <v>1264</v>
      </c>
      <c r="E957" s="49" t="s">
        <v>2785</v>
      </c>
      <c r="F957" s="49" t="s">
        <v>2786</v>
      </c>
      <c r="G957" s="49" t="s">
        <v>4891</v>
      </c>
      <c r="H957" s="49" t="s">
        <v>3229</v>
      </c>
      <c r="I957" s="52">
        <v>46000.477800925903</v>
      </c>
      <c r="M957" s="49" t="s">
        <v>12988</v>
      </c>
    </row>
    <row r="958" spans="1:13" x14ac:dyDescent="0.35">
      <c r="A958" s="49" t="s">
        <v>8310</v>
      </c>
      <c r="B958" s="49" t="s">
        <v>12989</v>
      </c>
      <c r="C958" s="49" t="s">
        <v>12990</v>
      </c>
      <c r="D958" s="49" t="s">
        <v>1264</v>
      </c>
      <c r="E958" s="49" t="s">
        <v>2785</v>
      </c>
      <c r="F958" s="49" t="s">
        <v>2792</v>
      </c>
      <c r="G958" s="49" t="s">
        <v>4891</v>
      </c>
      <c r="H958" s="49" t="s">
        <v>3229</v>
      </c>
      <c r="I958" s="52">
        <v>46000.484814814801</v>
      </c>
      <c r="M958" s="49" t="s">
        <v>2788</v>
      </c>
    </row>
    <row r="959" spans="1:13" x14ac:dyDescent="0.35">
      <c r="A959" s="49" t="s">
        <v>8310</v>
      </c>
      <c r="B959" s="49" t="s">
        <v>12991</v>
      </c>
      <c r="C959" s="49" t="s">
        <v>12992</v>
      </c>
      <c r="D959" s="49" t="s">
        <v>1264</v>
      </c>
      <c r="E959" s="49" t="s">
        <v>2785</v>
      </c>
      <c r="F959" s="49" t="s">
        <v>2792</v>
      </c>
      <c r="G959" s="49" t="s">
        <v>4891</v>
      </c>
      <c r="H959" s="49" t="s">
        <v>3229</v>
      </c>
      <c r="I959" s="52">
        <v>46000.532025462999</v>
      </c>
      <c r="M959" s="49" t="s">
        <v>2788</v>
      </c>
    </row>
    <row r="960" spans="1:13" x14ac:dyDescent="0.35">
      <c r="A960" s="49" t="s">
        <v>8310</v>
      </c>
      <c r="B960" s="49" t="s">
        <v>12993</v>
      </c>
      <c r="C960" s="49" t="s">
        <v>12994</v>
      </c>
      <c r="D960" s="49" t="s">
        <v>1264</v>
      </c>
      <c r="E960" s="49" t="s">
        <v>2785</v>
      </c>
      <c r="F960" s="49" t="s">
        <v>2792</v>
      </c>
      <c r="G960" s="49" t="s">
        <v>4891</v>
      </c>
      <c r="H960" s="49" t="s">
        <v>3229</v>
      </c>
      <c r="I960" s="52">
        <v>46000.541828703703</v>
      </c>
      <c r="M960" s="49" t="s">
        <v>12995</v>
      </c>
    </row>
    <row r="961" spans="1:13" x14ac:dyDescent="0.35">
      <c r="A961" s="49" t="s">
        <v>8310</v>
      </c>
      <c r="B961" s="49" t="s">
        <v>12996</v>
      </c>
      <c r="C961" s="49" t="s">
        <v>12997</v>
      </c>
      <c r="D961" s="49" t="s">
        <v>1264</v>
      </c>
      <c r="E961" s="49" t="s">
        <v>2785</v>
      </c>
      <c r="F961" s="49" t="s">
        <v>2786</v>
      </c>
      <c r="G961" s="49" t="s">
        <v>4891</v>
      </c>
      <c r="H961" s="49" t="s">
        <v>3229</v>
      </c>
      <c r="I961" s="52">
        <v>46000.715763888897</v>
      </c>
      <c r="M961" s="49" t="s">
        <v>12998</v>
      </c>
    </row>
    <row r="962" spans="1:13" x14ac:dyDescent="0.35">
      <c r="A962" s="49" t="s">
        <v>8310</v>
      </c>
      <c r="B962" s="49" t="s">
        <v>12999</v>
      </c>
      <c r="C962" s="49" t="s">
        <v>13000</v>
      </c>
      <c r="D962" s="49" t="s">
        <v>1264</v>
      </c>
      <c r="E962" s="49" t="s">
        <v>2785</v>
      </c>
      <c r="F962" s="49" t="s">
        <v>2792</v>
      </c>
      <c r="G962" s="49" t="s">
        <v>4891</v>
      </c>
      <c r="H962" s="49" t="s">
        <v>3229</v>
      </c>
      <c r="I962" s="52">
        <v>46000.730648148201</v>
      </c>
      <c r="M962" s="49" t="s">
        <v>12447</v>
      </c>
    </row>
    <row r="963" spans="1:13" x14ac:dyDescent="0.35">
      <c r="A963" s="49" t="s">
        <v>8310</v>
      </c>
      <c r="B963" s="49" t="s">
        <v>12962</v>
      </c>
      <c r="C963" s="49" t="s">
        <v>12963</v>
      </c>
      <c r="D963" s="49" t="s">
        <v>1264</v>
      </c>
      <c r="E963" s="49" t="s">
        <v>2785</v>
      </c>
      <c r="F963" s="49" t="s">
        <v>2792</v>
      </c>
      <c r="G963" s="49" t="s">
        <v>4891</v>
      </c>
      <c r="H963" s="49" t="s">
        <v>3229</v>
      </c>
      <c r="I963" s="52">
        <v>45988.459386574097</v>
      </c>
      <c r="M963" s="49" t="s">
        <v>4437</v>
      </c>
    </row>
    <row r="964" spans="1:13" x14ac:dyDescent="0.35">
      <c r="A964" s="49" t="s">
        <v>8310</v>
      </c>
      <c r="B964" s="49" t="s">
        <v>12967</v>
      </c>
      <c r="C964" s="49" t="s">
        <v>12968</v>
      </c>
      <c r="D964" s="49" t="s">
        <v>1264</v>
      </c>
      <c r="E964" s="49" t="s">
        <v>2785</v>
      </c>
      <c r="F964" s="49" t="s">
        <v>2792</v>
      </c>
      <c r="G964" s="49" t="s">
        <v>4891</v>
      </c>
      <c r="H964" s="49" t="s">
        <v>3229</v>
      </c>
      <c r="I964" s="52">
        <v>45999.552094907398</v>
      </c>
      <c r="M964" s="49" t="s">
        <v>2788</v>
      </c>
    </row>
    <row r="965" spans="1:13" x14ac:dyDescent="0.35">
      <c r="A965" s="49" t="s">
        <v>8310</v>
      </c>
      <c r="B965" s="49" t="s">
        <v>12969</v>
      </c>
      <c r="C965" s="49" t="s">
        <v>12970</v>
      </c>
      <c r="D965" s="49" t="s">
        <v>1264</v>
      </c>
      <c r="E965" s="49" t="s">
        <v>2785</v>
      </c>
      <c r="F965" s="49" t="s">
        <v>2792</v>
      </c>
      <c r="G965" s="49" t="s">
        <v>4891</v>
      </c>
      <c r="H965" s="49" t="s">
        <v>3229</v>
      </c>
      <c r="I965" s="52">
        <v>45999.566863425898</v>
      </c>
      <c r="M965" s="49" t="s">
        <v>2788</v>
      </c>
    </row>
    <row r="966" spans="1:13" x14ac:dyDescent="0.35">
      <c r="A966" s="49" t="s">
        <v>8310</v>
      </c>
      <c r="B966" s="49" t="s">
        <v>13023</v>
      </c>
      <c r="C966" s="49" t="s">
        <v>13024</v>
      </c>
      <c r="D966" s="49" t="s">
        <v>1264</v>
      </c>
      <c r="E966" s="49" t="s">
        <v>2785</v>
      </c>
      <c r="F966" s="49" t="s">
        <v>2786</v>
      </c>
      <c r="G966" s="49" t="s">
        <v>4891</v>
      </c>
      <c r="H966" s="49" t="s">
        <v>2832</v>
      </c>
      <c r="I966" s="52">
        <v>46029.491365740701</v>
      </c>
      <c r="M966" s="49" t="s">
        <v>13025</v>
      </c>
    </row>
    <row r="967" spans="1:13" x14ac:dyDescent="0.35">
      <c r="A967" s="49" t="s">
        <v>8310</v>
      </c>
      <c r="B967" s="49" t="s">
        <v>13026</v>
      </c>
      <c r="C967" s="49" t="s">
        <v>13027</v>
      </c>
      <c r="D967" s="49" t="s">
        <v>1264</v>
      </c>
      <c r="E967" s="49" t="s">
        <v>2785</v>
      </c>
      <c r="F967" s="49" t="s">
        <v>2786</v>
      </c>
      <c r="G967" s="49" t="s">
        <v>4891</v>
      </c>
      <c r="H967" s="49" t="s">
        <v>2832</v>
      </c>
      <c r="I967" s="52">
        <v>46029.514571759297</v>
      </c>
      <c r="M967" s="49" t="s">
        <v>13028</v>
      </c>
    </row>
    <row r="968" spans="1:13" x14ac:dyDescent="0.35">
      <c r="A968" s="49" t="s">
        <v>8310</v>
      </c>
      <c r="B968" s="49" t="s">
        <v>13029</v>
      </c>
      <c r="C968" s="49" t="s">
        <v>13030</v>
      </c>
      <c r="D968" s="49" t="s">
        <v>1264</v>
      </c>
      <c r="E968" s="49" t="s">
        <v>2785</v>
      </c>
      <c r="F968" s="49" t="s">
        <v>2792</v>
      </c>
      <c r="G968" s="49" t="s">
        <v>4891</v>
      </c>
      <c r="H968" s="49" t="s">
        <v>2832</v>
      </c>
      <c r="I968" s="52">
        <v>46029.521747685198</v>
      </c>
      <c r="M968" s="49" t="s">
        <v>13031</v>
      </c>
    </row>
    <row r="969" spans="1:13" x14ac:dyDescent="0.35">
      <c r="A969" s="49" t="s">
        <v>8310</v>
      </c>
      <c r="B969" s="49" t="s">
        <v>13032</v>
      </c>
      <c r="C969" s="49" t="s">
        <v>13033</v>
      </c>
      <c r="D969" s="49" t="s">
        <v>1264</v>
      </c>
      <c r="E969" s="49" t="s">
        <v>2785</v>
      </c>
      <c r="F969" s="49" t="s">
        <v>2786</v>
      </c>
      <c r="G969" s="49" t="s">
        <v>4891</v>
      </c>
      <c r="H969" s="49" t="s">
        <v>2832</v>
      </c>
      <c r="I969" s="52">
        <v>46029.5381597222</v>
      </c>
      <c r="M969" s="49" t="s">
        <v>13035</v>
      </c>
    </row>
    <row r="970" spans="1:13" x14ac:dyDescent="0.35">
      <c r="A970" s="49" t="s">
        <v>8310</v>
      </c>
      <c r="B970" s="49" t="s">
        <v>13036</v>
      </c>
      <c r="C970" s="49" t="s">
        <v>11695</v>
      </c>
      <c r="D970" s="49" t="s">
        <v>1264</v>
      </c>
      <c r="E970" s="49" t="s">
        <v>2785</v>
      </c>
      <c r="F970" s="49" t="s">
        <v>2786</v>
      </c>
      <c r="G970" s="49" t="s">
        <v>4891</v>
      </c>
      <c r="H970" s="49" t="s">
        <v>2832</v>
      </c>
      <c r="I970" s="52">
        <v>46029.543749999997</v>
      </c>
      <c r="M970" s="49" t="s">
        <v>13037</v>
      </c>
    </row>
    <row r="971" spans="1:13" x14ac:dyDescent="0.35">
      <c r="A971" s="49" t="s">
        <v>8310</v>
      </c>
      <c r="B971" s="49" t="s">
        <v>13038</v>
      </c>
      <c r="C971" s="49" t="s">
        <v>13039</v>
      </c>
      <c r="D971" s="49" t="s">
        <v>1264</v>
      </c>
      <c r="E971" s="49" t="s">
        <v>2785</v>
      </c>
      <c r="F971" s="49" t="s">
        <v>2786</v>
      </c>
      <c r="G971" s="49" t="s">
        <v>4891</v>
      </c>
      <c r="H971" s="49" t="s">
        <v>2832</v>
      </c>
      <c r="I971" s="52">
        <v>46029.550694444399</v>
      </c>
      <c r="M971" s="49" t="s">
        <v>13040</v>
      </c>
    </row>
    <row r="972" spans="1:13" x14ac:dyDescent="0.35">
      <c r="A972" s="49" t="s">
        <v>8310</v>
      </c>
      <c r="B972" s="49" t="s">
        <v>13041</v>
      </c>
      <c r="C972" s="49" t="s">
        <v>13042</v>
      </c>
      <c r="D972" s="49" t="s">
        <v>1264</v>
      </c>
      <c r="E972" s="49" t="s">
        <v>2785</v>
      </c>
      <c r="F972" s="49" t="s">
        <v>2786</v>
      </c>
      <c r="G972" s="49" t="s">
        <v>4891</v>
      </c>
      <c r="H972" s="49" t="s">
        <v>2832</v>
      </c>
      <c r="I972" s="52">
        <v>46029.555648148104</v>
      </c>
      <c r="M972" s="49" t="s">
        <v>13043</v>
      </c>
    </row>
    <row r="973" spans="1:13" x14ac:dyDescent="0.35">
      <c r="A973" s="49" t="s">
        <v>8310</v>
      </c>
      <c r="B973" s="49" t="s">
        <v>13044</v>
      </c>
      <c r="C973" s="49" t="s">
        <v>13045</v>
      </c>
      <c r="D973" s="49" t="s">
        <v>1264</v>
      </c>
      <c r="E973" s="49" t="s">
        <v>2785</v>
      </c>
      <c r="F973" s="49" t="s">
        <v>2786</v>
      </c>
      <c r="G973" s="49" t="s">
        <v>4891</v>
      </c>
      <c r="H973" s="49" t="s">
        <v>2832</v>
      </c>
      <c r="I973" s="52">
        <v>46029.583020833299</v>
      </c>
      <c r="M973" s="49" t="s">
        <v>13046</v>
      </c>
    </row>
    <row r="974" spans="1:13" x14ac:dyDescent="0.35">
      <c r="A974" s="49" t="s">
        <v>8310</v>
      </c>
      <c r="B974" s="49" t="s">
        <v>13047</v>
      </c>
      <c r="C974" s="49" t="s">
        <v>13048</v>
      </c>
      <c r="D974" s="49" t="s">
        <v>1264</v>
      </c>
      <c r="E974" s="49" t="s">
        <v>2785</v>
      </c>
      <c r="F974" s="49" t="s">
        <v>2786</v>
      </c>
      <c r="G974" s="49" t="s">
        <v>4891</v>
      </c>
      <c r="H974" s="49" t="s">
        <v>2832</v>
      </c>
      <c r="I974" s="52">
        <v>46029.6010185185</v>
      </c>
      <c r="M974" s="49" t="s">
        <v>13049</v>
      </c>
    </row>
    <row r="975" spans="1:13" x14ac:dyDescent="0.35">
      <c r="A975" s="49" t="s">
        <v>8310</v>
      </c>
      <c r="B975" s="49" t="s">
        <v>13050</v>
      </c>
      <c r="C975" s="49" t="s">
        <v>13051</v>
      </c>
      <c r="D975" s="49" t="s">
        <v>1264</v>
      </c>
      <c r="E975" s="49" t="s">
        <v>2785</v>
      </c>
      <c r="F975" s="49" t="s">
        <v>2786</v>
      </c>
      <c r="G975" s="49" t="s">
        <v>4891</v>
      </c>
      <c r="H975" s="49" t="s">
        <v>2832</v>
      </c>
      <c r="I975" s="52">
        <v>46029.606423611098</v>
      </c>
      <c r="M975" s="49" t="s">
        <v>13052</v>
      </c>
    </row>
    <row r="976" spans="1:13" x14ac:dyDescent="0.35">
      <c r="A976" s="49" t="s">
        <v>8310</v>
      </c>
      <c r="B976" s="49" t="s">
        <v>13053</v>
      </c>
      <c r="C976" s="49" t="s">
        <v>13054</v>
      </c>
      <c r="D976" s="49" t="s">
        <v>1264</v>
      </c>
      <c r="E976" s="49" t="s">
        <v>2785</v>
      </c>
      <c r="F976" s="49" t="s">
        <v>2786</v>
      </c>
      <c r="G976" s="49" t="s">
        <v>4891</v>
      </c>
      <c r="H976" s="49" t="s">
        <v>2832</v>
      </c>
      <c r="I976" s="52">
        <v>46029.6156597222</v>
      </c>
      <c r="M976" s="49" t="s">
        <v>13055</v>
      </c>
    </row>
    <row r="977" spans="1:13" x14ac:dyDescent="0.35">
      <c r="A977" s="49" t="s">
        <v>8310</v>
      </c>
      <c r="B977" s="49" t="s">
        <v>13056</v>
      </c>
      <c r="C977" s="49" t="s">
        <v>13057</v>
      </c>
      <c r="D977" s="49" t="s">
        <v>1264</v>
      </c>
      <c r="E977" s="49" t="s">
        <v>2785</v>
      </c>
      <c r="F977" s="49" t="s">
        <v>2786</v>
      </c>
      <c r="G977" s="49" t="s">
        <v>4891</v>
      </c>
      <c r="H977" s="49" t="s">
        <v>2832</v>
      </c>
      <c r="I977" s="52">
        <v>46029.621712963002</v>
      </c>
      <c r="M977" s="49" t="s">
        <v>13058</v>
      </c>
    </row>
    <row r="978" spans="1:13" x14ac:dyDescent="0.35">
      <c r="A978" s="49" t="s">
        <v>8310</v>
      </c>
      <c r="B978" s="49" t="s">
        <v>13059</v>
      </c>
      <c r="C978" s="49" t="s">
        <v>13060</v>
      </c>
      <c r="D978" s="49" t="s">
        <v>1264</v>
      </c>
      <c r="E978" s="49" t="s">
        <v>2785</v>
      </c>
      <c r="F978" s="49" t="s">
        <v>2786</v>
      </c>
      <c r="G978" s="49" t="s">
        <v>4891</v>
      </c>
      <c r="H978" s="49" t="s">
        <v>2832</v>
      </c>
      <c r="I978" s="52">
        <v>46029.627048611103</v>
      </c>
      <c r="M978" s="49" t="s">
        <v>13061</v>
      </c>
    </row>
    <row r="979" spans="1:13" x14ac:dyDescent="0.35">
      <c r="A979" s="49" t="s">
        <v>8310</v>
      </c>
      <c r="B979" s="49" t="s">
        <v>13087</v>
      </c>
      <c r="C979" s="49"/>
      <c r="D979" s="49" t="s">
        <v>1264</v>
      </c>
      <c r="E979" s="49" t="s">
        <v>2785</v>
      </c>
      <c r="F979" s="49" t="s">
        <v>2786</v>
      </c>
      <c r="G979" s="49" t="s">
        <v>4891</v>
      </c>
      <c r="H979" s="49" t="s">
        <v>980</v>
      </c>
      <c r="I979" s="52">
        <v>46042.668148148201</v>
      </c>
      <c r="M979" s="49" t="s">
        <v>13088</v>
      </c>
    </row>
    <row r="980" spans="1:13" x14ac:dyDescent="0.35">
      <c r="A980" s="49" t="s">
        <v>8310</v>
      </c>
      <c r="B980" s="49" t="s">
        <v>13444</v>
      </c>
      <c r="C980" s="49" t="s">
        <v>13445</v>
      </c>
      <c r="D980" s="49" t="s">
        <v>1264</v>
      </c>
      <c r="E980" s="49" t="s">
        <v>2785</v>
      </c>
      <c r="F980" s="49" t="s">
        <v>2786</v>
      </c>
      <c r="G980" s="49" t="s">
        <v>4891</v>
      </c>
      <c r="H980" s="49" t="s">
        <v>2832</v>
      </c>
      <c r="I980" s="52">
        <v>46134.595613425903</v>
      </c>
      <c r="M980" s="49" t="s">
        <v>13446</v>
      </c>
    </row>
    <row r="981" spans="1:13" x14ac:dyDescent="0.35">
      <c r="A981" s="49" t="s">
        <v>14527</v>
      </c>
      <c r="B981" s="49" t="s">
        <v>9772</v>
      </c>
      <c r="C981" s="49" t="s">
        <v>9773</v>
      </c>
      <c r="D981" s="49" t="s">
        <v>1264</v>
      </c>
      <c r="E981" s="49" t="s">
        <v>2785</v>
      </c>
      <c r="F981" s="49" t="s">
        <v>2792</v>
      </c>
      <c r="G981" s="49" t="s">
        <v>2776</v>
      </c>
      <c r="H981" s="49" t="s">
        <v>8</v>
      </c>
      <c r="I981" s="50">
        <v>42377</v>
      </c>
      <c r="M981" s="49" t="s">
        <v>9775</v>
      </c>
    </row>
    <row r="982" spans="1:13" x14ac:dyDescent="0.35">
      <c r="A982" s="49" t="s">
        <v>14843</v>
      </c>
      <c r="B982" s="49" t="s">
        <v>5130</v>
      </c>
      <c r="C982" s="49"/>
      <c r="D982" s="49" t="s">
        <v>1264</v>
      </c>
      <c r="E982" s="49" t="s">
        <v>2785</v>
      </c>
      <c r="F982" s="49" t="s">
        <v>2805</v>
      </c>
      <c r="G982" s="49" t="s">
        <v>2787</v>
      </c>
      <c r="H982" s="49" t="s">
        <v>8</v>
      </c>
      <c r="I982" s="50">
        <v>44764</v>
      </c>
      <c r="J982" s="50">
        <v>44777</v>
      </c>
      <c r="K982" s="50">
        <v>45428</v>
      </c>
      <c r="M982" s="49" t="s">
        <v>5132</v>
      </c>
    </row>
    <row r="983" spans="1:13" x14ac:dyDescent="0.35">
      <c r="A983" s="49" t="s">
        <v>15153</v>
      </c>
      <c r="B983" s="49" t="s">
        <v>9344</v>
      </c>
      <c r="C983" s="49"/>
      <c r="D983" s="49" t="s">
        <v>1264</v>
      </c>
      <c r="E983" s="49" t="s">
        <v>2785</v>
      </c>
      <c r="F983" s="49" t="s">
        <v>2786</v>
      </c>
      <c r="G983" s="49" t="s">
        <v>2776</v>
      </c>
      <c r="H983" s="49" t="s">
        <v>980</v>
      </c>
      <c r="I983" s="50">
        <v>44298</v>
      </c>
      <c r="M983" s="49" t="s">
        <v>9346</v>
      </c>
    </row>
    <row r="984" spans="1:13" x14ac:dyDescent="0.35">
      <c r="A984" s="49" t="s">
        <v>15153</v>
      </c>
      <c r="B984" s="49" t="s">
        <v>11419</v>
      </c>
      <c r="C984" s="49"/>
      <c r="D984" s="49" t="s">
        <v>1264</v>
      </c>
      <c r="E984" s="49" t="s">
        <v>2785</v>
      </c>
      <c r="F984" s="49" t="s">
        <v>2792</v>
      </c>
      <c r="G984" s="49" t="s">
        <v>2776</v>
      </c>
      <c r="H984" s="49" t="s">
        <v>8</v>
      </c>
      <c r="I984" s="50">
        <v>45099</v>
      </c>
      <c r="M984" s="49" t="s">
        <v>11420</v>
      </c>
    </row>
    <row r="985" spans="1:13" x14ac:dyDescent="0.35">
      <c r="A985" s="49" t="s">
        <v>14524</v>
      </c>
      <c r="B985" s="49" t="s">
        <v>9747</v>
      </c>
      <c r="C985" s="49"/>
      <c r="D985" s="49" t="s">
        <v>1264</v>
      </c>
      <c r="E985" s="49" t="s">
        <v>2785</v>
      </c>
      <c r="F985" s="49" t="s">
        <v>2792</v>
      </c>
      <c r="G985" s="49" t="s">
        <v>2776</v>
      </c>
      <c r="H985" s="49" t="s">
        <v>3207</v>
      </c>
      <c r="I985" s="50">
        <v>42306</v>
      </c>
      <c r="M985" s="49" t="s">
        <v>9749</v>
      </c>
    </row>
    <row r="986" spans="1:13" x14ac:dyDescent="0.35">
      <c r="A986" s="49" t="s">
        <v>3257</v>
      </c>
      <c r="B986" s="49" t="s">
        <v>3255</v>
      </c>
      <c r="C986" s="49" t="s">
        <v>3256</v>
      </c>
      <c r="D986" s="49" t="s">
        <v>1264</v>
      </c>
      <c r="E986" s="49" t="s">
        <v>2986</v>
      </c>
      <c r="F986" s="49" t="s">
        <v>2825</v>
      </c>
      <c r="G986" s="49" t="s">
        <v>2787</v>
      </c>
      <c r="H986" s="49" t="s">
        <v>2827</v>
      </c>
      <c r="I986" s="50">
        <v>41250</v>
      </c>
      <c r="J986" s="50">
        <v>41439</v>
      </c>
      <c r="K986" s="50">
        <v>44379</v>
      </c>
      <c r="M986" s="49" t="s">
        <v>3258</v>
      </c>
    </row>
    <row r="987" spans="1:13" x14ac:dyDescent="0.35">
      <c r="A987" s="49" t="s">
        <v>3257</v>
      </c>
      <c r="B987" s="49" t="s">
        <v>7008</v>
      </c>
      <c r="C987" s="49"/>
      <c r="D987" s="49" t="s">
        <v>1264</v>
      </c>
      <c r="E987" s="49" t="s">
        <v>2974</v>
      </c>
      <c r="F987" s="49" t="s">
        <v>2825</v>
      </c>
      <c r="G987" s="49" t="s">
        <v>2776</v>
      </c>
      <c r="H987" s="49" t="s">
        <v>980</v>
      </c>
      <c r="I987" s="50">
        <v>41116</v>
      </c>
      <c r="M987" s="49" t="s">
        <v>7010</v>
      </c>
    </row>
    <row r="988" spans="1:13" x14ac:dyDescent="0.35">
      <c r="A988" s="49" t="s">
        <v>14841</v>
      </c>
      <c r="B988" s="49" t="s">
        <v>2897</v>
      </c>
      <c r="C988" s="49"/>
      <c r="D988" s="49" t="s">
        <v>1264</v>
      </c>
      <c r="E988" s="49" t="s">
        <v>2899</v>
      </c>
      <c r="F988" s="49" t="s">
        <v>2900</v>
      </c>
      <c r="G988" s="49" t="s">
        <v>2901</v>
      </c>
      <c r="H988" s="49" t="s">
        <v>980</v>
      </c>
      <c r="I988" s="50">
        <v>21177</v>
      </c>
      <c r="J988" s="50">
        <v>21551</v>
      </c>
      <c r="K988" s="50">
        <v>48945</v>
      </c>
      <c r="M988" s="49" t="s">
        <v>2902</v>
      </c>
    </row>
    <row r="989" spans="1:13" x14ac:dyDescent="0.35">
      <c r="A989" s="49" t="s">
        <v>14502</v>
      </c>
      <c r="B989" s="49" t="s">
        <v>9512</v>
      </c>
      <c r="C989" s="49"/>
      <c r="D989" s="49" t="s">
        <v>1264</v>
      </c>
      <c r="E989" s="49" t="s">
        <v>2785</v>
      </c>
      <c r="F989" s="49" t="s">
        <v>2786</v>
      </c>
      <c r="G989" s="49" t="s">
        <v>2776</v>
      </c>
      <c r="H989" s="49" t="s">
        <v>980</v>
      </c>
      <c r="I989" s="50">
        <v>43605</v>
      </c>
      <c r="M989" s="49" t="s">
        <v>9514</v>
      </c>
    </row>
    <row r="990" spans="1:13" x14ac:dyDescent="0.35">
      <c r="A990" s="49" t="s">
        <v>14311</v>
      </c>
      <c r="B990" s="49" t="s">
        <v>6829</v>
      </c>
      <c r="C990" s="49"/>
      <c r="D990" s="49" t="s">
        <v>1264</v>
      </c>
      <c r="E990" s="49" t="s">
        <v>2785</v>
      </c>
      <c r="F990" s="49" t="s">
        <v>2792</v>
      </c>
      <c r="G990" s="49" t="s">
        <v>2901</v>
      </c>
      <c r="H990" s="49" t="s">
        <v>980</v>
      </c>
      <c r="I990" s="52">
        <v>45821.470891203702</v>
      </c>
      <c r="J990" s="50">
        <v>45957</v>
      </c>
      <c r="K990" s="50">
        <v>46321</v>
      </c>
      <c r="M990" s="49" t="s">
        <v>6831</v>
      </c>
    </row>
    <row r="991" spans="1:13" x14ac:dyDescent="0.35">
      <c r="A991" s="49" t="s">
        <v>14311</v>
      </c>
      <c r="B991" s="49" t="s">
        <v>12605</v>
      </c>
      <c r="C991" s="49" t="s">
        <v>3962</v>
      </c>
      <c r="D991" s="49" t="s">
        <v>1264</v>
      </c>
      <c r="E991" s="49" t="s">
        <v>2785</v>
      </c>
      <c r="F991" s="49" t="s">
        <v>2792</v>
      </c>
      <c r="G991" s="49" t="s">
        <v>4891</v>
      </c>
      <c r="H991" s="49" t="s">
        <v>980</v>
      </c>
      <c r="I991" s="50">
        <v>45468</v>
      </c>
      <c r="M991" s="49" t="s">
        <v>12606</v>
      </c>
    </row>
    <row r="992" spans="1:13" x14ac:dyDescent="0.35">
      <c r="A992" s="49" t="s">
        <v>14311</v>
      </c>
      <c r="B992" s="49" t="s">
        <v>12936</v>
      </c>
      <c r="C992" s="49"/>
      <c r="D992" s="49" t="s">
        <v>1264</v>
      </c>
      <c r="E992" s="49" t="s">
        <v>2785</v>
      </c>
      <c r="F992" s="49" t="s">
        <v>2792</v>
      </c>
      <c r="G992" s="49" t="s">
        <v>4891</v>
      </c>
      <c r="H992" s="49" t="s">
        <v>980</v>
      </c>
      <c r="I992" s="52">
        <v>45950.480543981503</v>
      </c>
      <c r="M992" s="49" t="s">
        <v>6831</v>
      </c>
    </row>
    <row r="993" spans="1:13" x14ac:dyDescent="0.35">
      <c r="A993" s="49" t="s">
        <v>14311</v>
      </c>
      <c r="B993" s="49" t="s">
        <v>13508</v>
      </c>
      <c r="C993" s="49"/>
      <c r="D993" s="49" t="s">
        <v>1264</v>
      </c>
      <c r="E993" s="49" t="s">
        <v>2785</v>
      </c>
      <c r="F993" s="49" t="s">
        <v>2792</v>
      </c>
      <c r="G993" s="49" t="s">
        <v>4891</v>
      </c>
      <c r="H993" s="49" t="s">
        <v>980</v>
      </c>
      <c r="I993" s="52">
        <v>46146.656585648103</v>
      </c>
      <c r="M993" s="49" t="s">
        <v>13509</v>
      </c>
    </row>
    <row r="994" spans="1:13" x14ac:dyDescent="0.35">
      <c r="A994" s="49" t="s">
        <v>14418</v>
      </c>
      <c r="B994" s="49" t="s">
        <v>8315</v>
      </c>
      <c r="C994" s="49" t="s">
        <v>8316</v>
      </c>
      <c r="D994" s="49" t="s">
        <v>1264</v>
      </c>
      <c r="E994" s="49" t="s">
        <v>2908</v>
      </c>
      <c r="F994" s="49" t="s">
        <v>3010</v>
      </c>
      <c r="G994" s="49" t="s">
        <v>2826</v>
      </c>
      <c r="H994" s="49" t="s">
        <v>980</v>
      </c>
      <c r="I994" s="50">
        <v>36642</v>
      </c>
      <c r="J994" s="50">
        <v>36802</v>
      </c>
      <c r="K994" s="50">
        <v>38638</v>
      </c>
      <c r="M994" s="49" t="s">
        <v>8318</v>
      </c>
    </row>
    <row r="995" spans="1:13" x14ac:dyDescent="0.35">
      <c r="A995" s="49" t="s">
        <v>14140</v>
      </c>
      <c r="B995" s="49" t="s">
        <v>3903</v>
      </c>
      <c r="C995" s="49" t="s">
        <v>3904</v>
      </c>
      <c r="D995" s="49" t="s">
        <v>1264</v>
      </c>
      <c r="E995" s="49" t="s">
        <v>2774</v>
      </c>
      <c r="F995" s="49" t="s">
        <v>2825</v>
      </c>
      <c r="G995" s="49" t="s">
        <v>2787</v>
      </c>
      <c r="H995" s="49" t="s">
        <v>2827</v>
      </c>
      <c r="I995" s="50">
        <v>43549</v>
      </c>
      <c r="J995" s="50">
        <v>43756</v>
      </c>
      <c r="K995" s="50">
        <v>45216</v>
      </c>
      <c r="M995" s="49" t="s">
        <v>3906</v>
      </c>
    </row>
    <row r="996" spans="1:13" x14ac:dyDescent="0.35">
      <c r="A996" s="49" t="s">
        <v>14140</v>
      </c>
      <c r="B996" s="49" t="s">
        <v>10650</v>
      </c>
      <c r="C996" s="49"/>
      <c r="D996" s="49" t="s">
        <v>1264</v>
      </c>
      <c r="E996" s="49" t="s">
        <v>2814</v>
      </c>
      <c r="F996" s="49" t="s">
        <v>2825</v>
      </c>
      <c r="G996" s="49" t="s">
        <v>2776</v>
      </c>
      <c r="H996" s="49" t="s">
        <v>2827</v>
      </c>
      <c r="I996" s="50">
        <v>43915</v>
      </c>
      <c r="M996" s="49" t="s">
        <v>10651</v>
      </c>
    </row>
    <row r="997" spans="1:13" x14ac:dyDescent="0.35">
      <c r="A997" s="49" t="s">
        <v>15647</v>
      </c>
      <c r="B997" s="49" t="s">
        <v>9334</v>
      </c>
      <c r="C997" s="49" t="s">
        <v>9335</v>
      </c>
      <c r="D997" s="49" t="s">
        <v>1264</v>
      </c>
      <c r="E997" s="49" t="s">
        <v>2785</v>
      </c>
      <c r="F997" s="49" t="s">
        <v>2792</v>
      </c>
      <c r="G997" s="49" t="s">
        <v>2776</v>
      </c>
      <c r="H997" s="49" t="s">
        <v>8</v>
      </c>
      <c r="I997" s="50">
        <v>43208</v>
      </c>
      <c r="M997" s="49" t="s">
        <v>9337</v>
      </c>
    </row>
    <row r="998" spans="1:13" x14ac:dyDescent="0.35">
      <c r="A998" s="49" t="s">
        <v>15647</v>
      </c>
      <c r="B998" s="49" t="s">
        <v>9435</v>
      </c>
      <c r="C998" s="49"/>
      <c r="D998" s="49" t="s">
        <v>1264</v>
      </c>
      <c r="E998" s="49" t="s">
        <v>2785</v>
      </c>
      <c r="F998" s="49" t="s">
        <v>2792</v>
      </c>
      <c r="G998" s="49" t="s">
        <v>2776</v>
      </c>
      <c r="H998" s="49" t="s">
        <v>8</v>
      </c>
      <c r="I998" s="50">
        <v>43496</v>
      </c>
      <c r="M998" s="49" t="s">
        <v>9436</v>
      </c>
    </row>
    <row r="999" spans="1:13" x14ac:dyDescent="0.35">
      <c r="A999" s="49" t="s">
        <v>15647</v>
      </c>
      <c r="B999" s="49" t="s">
        <v>9456</v>
      </c>
      <c r="C999" s="49"/>
      <c r="D999" s="49" t="s">
        <v>1264</v>
      </c>
      <c r="E999" s="49" t="s">
        <v>2785</v>
      </c>
      <c r="F999" s="49" t="s">
        <v>2792</v>
      </c>
      <c r="G999" s="49" t="s">
        <v>2776</v>
      </c>
      <c r="H999" s="49" t="s">
        <v>8</v>
      </c>
      <c r="I999" s="50">
        <v>43033</v>
      </c>
      <c r="M999" s="49" t="s">
        <v>9436</v>
      </c>
    </row>
    <row r="1000" spans="1:13" x14ac:dyDescent="0.35">
      <c r="A1000" s="49" t="s">
        <v>15154</v>
      </c>
      <c r="B1000" s="49" t="s">
        <v>4046</v>
      </c>
      <c r="C1000" s="49"/>
      <c r="D1000" s="49" t="s">
        <v>1264</v>
      </c>
      <c r="E1000" s="49" t="s">
        <v>2785</v>
      </c>
      <c r="F1000" s="49" t="s">
        <v>4048</v>
      </c>
      <c r="G1000" s="49" t="s">
        <v>2787</v>
      </c>
      <c r="H1000" s="49" t="s">
        <v>2827</v>
      </c>
      <c r="I1000" s="50">
        <v>43984</v>
      </c>
      <c r="J1000" s="50">
        <v>44211</v>
      </c>
      <c r="K1000" s="50">
        <v>45428</v>
      </c>
      <c r="M1000" s="49" t="s">
        <v>4049</v>
      </c>
    </row>
    <row r="1001" spans="1:13" x14ac:dyDescent="0.35">
      <c r="A1001" s="49" t="s">
        <v>15154</v>
      </c>
      <c r="B1001" s="49" t="s">
        <v>5145</v>
      </c>
      <c r="C1001" s="49"/>
      <c r="D1001" s="49" t="s">
        <v>1264</v>
      </c>
      <c r="E1001" s="49" t="s">
        <v>2814</v>
      </c>
      <c r="F1001" s="49" t="s">
        <v>3188</v>
      </c>
      <c r="G1001" s="49" t="s">
        <v>2787</v>
      </c>
      <c r="H1001" s="49" t="s">
        <v>973</v>
      </c>
      <c r="I1001" s="50">
        <v>44851</v>
      </c>
      <c r="J1001" s="50">
        <v>44873</v>
      </c>
      <c r="K1001" s="50">
        <v>45237</v>
      </c>
      <c r="M1001" s="49" t="s">
        <v>5147</v>
      </c>
    </row>
    <row r="1002" spans="1:13" x14ac:dyDescent="0.35">
      <c r="A1002" s="49" t="s">
        <v>15154</v>
      </c>
      <c r="B1002" s="49" t="s">
        <v>5166</v>
      </c>
      <c r="C1002" s="49"/>
      <c r="D1002" s="49" t="s">
        <v>1264</v>
      </c>
      <c r="E1002" s="49" t="s">
        <v>3443</v>
      </c>
      <c r="F1002" s="49" t="s">
        <v>3124</v>
      </c>
      <c r="G1002" s="49" t="s">
        <v>2901</v>
      </c>
      <c r="H1002" s="49" t="s">
        <v>980</v>
      </c>
      <c r="I1002" s="50">
        <v>44814</v>
      </c>
      <c r="J1002" s="50">
        <v>44873</v>
      </c>
      <c r="K1002" s="50">
        <v>46698</v>
      </c>
    </row>
    <row r="1003" spans="1:13" x14ac:dyDescent="0.35">
      <c r="A1003" s="49" t="s">
        <v>15154</v>
      </c>
      <c r="B1003" s="49" t="s">
        <v>5628</v>
      </c>
      <c r="C1003" s="49"/>
      <c r="D1003" s="49" t="s">
        <v>1264</v>
      </c>
      <c r="E1003" s="49" t="s">
        <v>2986</v>
      </c>
      <c r="F1003" s="49" t="s">
        <v>2825</v>
      </c>
      <c r="G1003" s="49" t="s">
        <v>4330</v>
      </c>
      <c r="H1003" s="49" t="s">
        <v>2827</v>
      </c>
      <c r="I1003" s="50">
        <v>44977</v>
      </c>
      <c r="M1003" s="49" t="s">
        <v>5629</v>
      </c>
    </row>
    <row r="1004" spans="1:13" x14ac:dyDescent="0.35">
      <c r="A1004" s="49" t="s">
        <v>14136</v>
      </c>
      <c r="B1004" s="49" t="s">
        <v>3877</v>
      </c>
      <c r="C1004" s="49"/>
      <c r="D1004" s="49" t="s">
        <v>1264</v>
      </c>
      <c r="E1004" s="49" t="s">
        <v>2785</v>
      </c>
      <c r="F1004" s="49" t="s">
        <v>2792</v>
      </c>
      <c r="G1004" s="49" t="s">
        <v>2787</v>
      </c>
      <c r="H1004" s="49" t="s">
        <v>835</v>
      </c>
      <c r="I1004" s="50">
        <v>43460</v>
      </c>
      <c r="J1004" s="50">
        <v>44090</v>
      </c>
      <c r="K1004" s="50">
        <v>44454</v>
      </c>
      <c r="M1004" s="49" t="s">
        <v>3879</v>
      </c>
    </row>
    <row r="1005" spans="1:13" x14ac:dyDescent="0.35">
      <c r="A1005" s="49" t="s">
        <v>14136</v>
      </c>
      <c r="B1005" s="49" t="s">
        <v>4822</v>
      </c>
      <c r="C1005" s="49"/>
      <c r="D1005" s="49" t="s">
        <v>1264</v>
      </c>
      <c r="E1005" s="49" t="s">
        <v>2785</v>
      </c>
      <c r="F1005" s="49" t="s">
        <v>2792</v>
      </c>
      <c r="G1005" s="49" t="s">
        <v>2787</v>
      </c>
      <c r="H1005" s="49" t="s">
        <v>980</v>
      </c>
      <c r="I1005" s="50">
        <v>44305</v>
      </c>
      <c r="J1005" s="50">
        <v>45142</v>
      </c>
      <c r="K1005" s="50">
        <v>45509</v>
      </c>
      <c r="M1005" s="49" t="s">
        <v>4823</v>
      </c>
    </row>
    <row r="1006" spans="1:13" x14ac:dyDescent="0.35">
      <c r="A1006" s="49" t="s">
        <v>14136</v>
      </c>
      <c r="B1006" s="49" t="s">
        <v>5142</v>
      </c>
      <c r="C1006" s="49" t="s">
        <v>5143</v>
      </c>
      <c r="D1006" s="49" t="s">
        <v>1264</v>
      </c>
      <c r="E1006" s="49" t="s">
        <v>2785</v>
      </c>
      <c r="F1006" s="49" t="s">
        <v>2792</v>
      </c>
      <c r="G1006" s="49" t="s">
        <v>2787</v>
      </c>
      <c r="H1006" s="49" t="s">
        <v>835</v>
      </c>
      <c r="I1006" s="50">
        <v>44599</v>
      </c>
      <c r="J1006" s="50">
        <v>44300</v>
      </c>
      <c r="K1006" s="50">
        <v>45510</v>
      </c>
      <c r="M1006" s="49" t="s">
        <v>5144</v>
      </c>
    </row>
    <row r="1007" spans="1:13" x14ac:dyDescent="0.35">
      <c r="A1007" s="49" t="s">
        <v>15155</v>
      </c>
      <c r="B1007" s="49" t="s">
        <v>9638</v>
      </c>
      <c r="C1007" s="49"/>
      <c r="D1007" s="49" t="s">
        <v>1264</v>
      </c>
      <c r="E1007" s="49" t="s">
        <v>3443</v>
      </c>
      <c r="F1007" s="49" t="s">
        <v>3124</v>
      </c>
      <c r="G1007" s="49" t="s">
        <v>2776</v>
      </c>
      <c r="H1007" s="49" t="s">
        <v>980</v>
      </c>
      <c r="I1007" s="50">
        <v>42318</v>
      </c>
      <c r="M1007" s="49" t="s">
        <v>3470</v>
      </c>
    </row>
    <row r="1008" spans="1:13" x14ac:dyDescent="0.35">
      <c r="A1008" s="49" t="s">
        <v>15331</v>
      </c>
      <c r="B1008" s="49" t="s">
        <v>6955</v>
      </c>
      <c r="C1008" s="49" t="s">
        <v>6956</v>
      </c>
      <c r="D1008" s="49" t="s">
        <v>1264</v>
      </c>
      <c r="E1008" s="49" t="s">
        <v>2785</v>
      </c>
      <c r="F1008" s="49" t="s">
        <v>2792</v>
      </c>
      <c r="G1008" s="49" t="s">
        <v>4891</v>
      </c>
      <c r="H1008" s="49" t="s">
        <v>980</v>
      </c>
      <c r="I1008" s="52">
        <v>46160.5083564815</v>
      </c>
      <c r="M1008" s="49" t="s">
        <v>6958</v>
      </c>
    </row>
    <row r="1009" spans="1:13" x14ac:dyDescent="0.35">
      <c r="A1009" s="49" t="s">
        <v>15156</v>
      </c>
      <c r="B1009" s="49" t="s">
        <v>12779</v>
      </c>
      <c r="C1009" s="49" t="s">
        <v>12780</v>
      </c>
      <c r="D1009" s="49" t="s">
        <v>1264</v>
      </c>
      <c r="E1009" s="49" t="s">
        <v>2986</v>
      </c>
      <c r="F1009" s="49" t="s">
        <v>2825</v>
      </c>
      <c r="G1009" s="49" t="s">
        <v>4891</v>
      </c>
      <c r="H1009" s="49" t="s">
        <v>2827</v>
      </c>
      <c r="I1009" s="50">
        <v>45378</v>
      </c>
      <c r="M1009" s="49" t="s">
        <v>5565</v>
      </c>
    </row>
    <row r="1010" spans="1:13" x14ac:dyDescent="0.35">
      <c r="A1010" s="49" t="s">
        <v>15110</v>
      </c>
      <c r="B1010" s="49" t="s">
        <v>5457</v>
      </c>
      <c r="C1010" s="49" t="s">
        <v>5458</v>
      </c>
      <c r="D1010" s="49" t="s">
        <v>1264</v>
      </c>
      <c r="E1010" s="49" t="s">
        <v>2986</v>
      </c>
      <c r="F1010" s="49" t="s">
        <v>2825</v>
      </c>
      <c r="G1010" s="49" t="s">
        <v>2901</v>
      </c>
      <c r="H1010" s="49" t="s">
        <v>2827</v>
      </c>
      <c r="I1010" s="50">
        <v>44999</v>
      </c>
      <c r="J1010" s="50">
        <v>45070</v>
      </c>
      <c r="K1010" s="50">
        <v>46165</v>
      </c>
      <c r="M1010" s="49" t="s">
        <v>5460</v>
      </c>
    </row>
    <row r="1011" spans="1:13" x14ac:dyDescent="0.35">
      <c r="A1011" s="49" t="s">
        <v>15110</v>
      </c>
      <c r="B1011" s="49" t="s">
        <v>11220</v>
      </c>
      <c r="C1011" s="49" t="s">
        <v>11221</v>
      </c>
      <c r="D1011" s="49" t="s">
        <v>1264</v>
      </c>
      <c r="E1011" s="49" t="s">
        <v>2814</v>
      </c>
      <c r="F1011" s="49" t="s">
        <v>2825</v>
      </c>
      <c r="G1011" s="49" t="s">
        <v>2826</v>
      </c>
      <c r="H1011" s="49" t="s">
        <v>2827</v>
      </c>
      <c r="I1011" s="50">
        <v>44917</v>
      </c>
      <c r="M1011" s="49" t="s">
        <v>11222</v>
      </c>
    </row>
    <row r="1012" spans="1:13" x14ac:dyDescent="0.35">
      <c r="A1012" s="49" t="s">
        <v>15110</v>
      </c>
      <c r="B1012" s="49" t="s">
        <v>11223</v>
      </c>
      <c r="C1012" s="49" t="s">
        <v>4036</v>
      </c>
      <c r="D1012" s="49" t="s">
        <v>1264</v>
      </c>
      <c r="E1012" s="49" t="s">
        <v>2814</v>
      </c>
      <c r="F1012" s="49" t="s">
        <v>2825</v>
      </c>
      <c r="G1012" s="49" t="s">
        <v>2776</v>
      </c>
      <c r="H1012" s="49" t="s">
        <v>2827</v>
      </c>
      <c r="I1012" s="50">
        <v>44917</v>
      </c>
      <c r="M1012" s="49" t="s">
        <v>8222</v>
      </c>
    </row>
    <row r="1013" spans="1:13" x14ac:dyDescent="0.35">
      <c r="A1013" s="49" t="s">
        <v>15332</v>
      </c>
      <c r="B1013" s="49" t="s">
        <v>5266</v>
      </c>
      <c r="C1013" s="49" t="s">
        <v>3420</v>
      </c>
      <c r="D1013" s="49" t="s">
        <v>1264</v>
      </c>
      <c r="E1013" s="49" t="s">
        <v>2908</v>
      </c>
      <c r="F1013" s="49" t="s">
        <v>2837</v>
      </c>
      <c r="G1013" s="49" t="s">
        <v>4330</v>
      </c>
      <c r="H1013" s="49" t="s">
        <v>980</v>
      </c>
      <c r="I1013" s="50">
        <v>44582</v>
      </c>
      <c r="M1013" s="49" t="s">
        <v>5268</v>
      </c>
    </row>
    <row r="1014" spans="1:13" x14ac:dyDescent="0.35">
      <c r="A1014" s="49" t="s">
        <v>15332</v>
      </c>
      <c r="B1014" s="49" t="s">
        <v>5322</v>
      </c>
      <c r="C1014" s="49"/>
      <c r="D1014" s="49" t="s">
        <v>1264</v>
      </c>
      <c r="E1014" s="49" t="s">
        <v>2908</v>
      </c>
      <c r="F1014" s="49" t="s">
        <v>2939</v>
      </c>
      <c r="G1014" s="49" t="s">
        <v>4330</v>
      </c>
      <c r="H1014" s="49" t="s">
        <v>980</v>
      </c>
      <c r="I1014" s="50">
        <v>44595</v>
      </c>
      <c r="M1014" s="49" t="s">
        <v>5323</v>
      </c>
    </row>
    <row r="1015" spans="1:13" x14ac:dyDescent="0.35">
      <c r="A1015" s="49" t="s">
        <v>15332</v>
      </c>
      <c r="B1015" s="49" t="s">
        <v>6278</v>
      </c>
      <c r="C1015" s="49" t="s">
        <v>3768</v>
      </c>
      <c r="D1015" s="49" t="s">
        <v>1264</v>
      </c>
      <c r="E1015" s="49" t="s">
        <v>3443</v>
      </c>
      <c r="F1015" s="49" t="s">
        <v>3124</v>
      </c>
      <c r="G1015" s="49" t="s">
        <v>4330</v>
      </c>
      <c r="H1015" s="49" t="s">
        <v>980</v>
      </c>
      <c r="I1015" s="50">
        <v>45070</v>
      </c>
    </row>
    <row r="1016" spans="1:13" x14ac:dyDescent="0.35">
      <c r="A1016" s="49" t="s">
        <v>3152</v>
      </c>
      <c r="B1016" s="49" t="s">
        <v>3150</v>
      </c>
      <c r="C1016" s="49" t="s">
        <v>3151</v>
      </c>
      <c r="D1016" s="49" t="s">
        <v>1264</v>
      </c>
      <c r="E1016" s="49" t="s">
        <v>2986</v>
      </c>
      <c r="F1016" s="49" t="s">
        <v>2825</v>
      </c>
      <c r="G1016" s="49" t="s">
        <v>2787</v>
      </c>
      <c r="H1016" s="49" t="s">
        <v>2827</v>
      </c>
      <c r="I1016" s="50">
        <v>40519</v>
      </c>
      <c r="J1016" s="50">
        <v>40667</v>
      </c>
      <c r="K1016" s="50">
        <v>41397</v>
      </c>
      <c r="M1016" s="49" t="s">
        <v>3153</v>
      </c>
    </row>
    <row r="1017" spans="1:13" x14ac:dyDescent="0.35">
      <c r="A1017" s="49" t="s">
        <v>3152</v>
      </c>
      <c r="B1017" s="49" t="s">
        <v>7972</v>
      </c>
      <c r="C1017" s="49" t="s">
        <v>7973</v>
      </c>
      <c r="D1017" s="49" t="s">
        <v>1264</v>
      </c>
      <c r="E1017" s="49" t="s">
        <v>7057</v>
      </c>
      <c r="F1017" s="49" t="s">
        <v>2825</v>
      </c>
      <c r="G1017" s="49" t="s">
        <v>2787</v>
      </c>
      <c r="H1017" s="49" t="s">
        <v>2827</v>
      </c>
      <c r="I1017" s="50">
        <v>40519</v>
      </c>
      <c r="J1017" s="50">
        <v>40667</v>
      </c>
      <c r="K1017" s="50">
        <v>41397</v>
      </c>
      <c r="M1017" s="49" t="s">
        <v>7974</v>
      </c>
    </row>
    <row r="1018" spans="1:13" x14ac:dyDescent="0.35">
      <c r="A1018" s="49" t="s">
        <v>3152</v>
      </c>
      <c r="B1018" s="49" t="s">
        <v>8737</v>
      </c>
      <c r="C1018" s="49"/>
      <c r="D1018" s="49" t="s">
        <v>1264</v>
      </c>
      <c r="E1018" s="49" t="s">
        <v>2974</v>
      </c>
      <c r="F1018" s="49" t="s">
        <v>2825</v>
      </c>
      <c r="G1018" s="49" t="s">
        <v>2776</v>
      </c>
      <c r="H1018" s="49" t="s">
        <v>2827</v>
      </c>
      <c r="I1018" s="50">
        <v>41155</v>
      </c>
      <c r="M1018" s="49" t="s">
        <v>8739</v>
      </c>
    </row>
    <row r="1019" spans="1:13" x14ac:dyDescent="0.35">
      <c r="A1019" s="49" t="s">
        <v>15157</v>
      </c>
      <c r="B1019" s="49" t="s">
        <v>3226</v>
      </c>
      <c r="C1019" s="49" t="s">
        <v>3227</v>
      </c>
      <c r="D1019" s="49" t="s">
        <v>1264</v>
      </c>
      <c r="E1019" s="49" t="s">
        <v>2908</v>
      </c>
      <c r="F1019" s="49" t="s">
        <v>2939</v>
      </c>
      <c r="G1019" s="49" t="s">
        <v>2921</v>
      </c>
      <c r="H1019" s="49" t="s">
        <v>3229</v>
      </c>
      <c r="I1019" s="50">
        <v>41085</v>
      </c>
      <c r="J1019" s="50">
        <v>43139</v>
      </c>
      <c r="K1019" s="50">
        <v>44964</v>
      </c>
      <c r="M1019" s="49" t="s">
        <v>3230</v>
      </c>
    </row>
    <row r="1020" spans="1:13" x14ac:dyDescent="0.35">
      <c r="A1020" s="49" t="s">
        <v>15157</v>
      </c>
      <c r="B1020" s="49" t="s">
        <v>3231</v>
      </c>
      <c r="C1020" s="49" t="s">
        <v>3232</v>
      </c>
      <c r="D1020" s="49" t="s">
        <v>1264</v>
      </c>
      <c r="E1020" s="49" t="s">
        <v>2774</v>
      </c>
      <c r="F1020" s="49" t="s">
        <v>2825</v>
      </c>
      <c r="G1020" s="49" t="s">
        <v>2787</v>
      </c>
      <c r="H1020" s="49" t="s">
        <v>973</v>
      </c>
      <c r="I1020" s="50">
        <v>41085</v>
      </c>
      <c r="J1020" s="50">
        <v>41446</v>
      </c>
      <c r="K1020" s="50">
        <v>44506</v>
      </c>
      <c r="M1020" s="49" t="s">
        <v>3233</v>
      </c>
    </row>
    <row r="1021" spans="1:13" x14ac:dyDescent="0.35">
      <c r="A1021" s="49" t="s">
        <v>15157</v>
      </c>
      <c r="B1021" s="49" t="s">
        <v>9260</v>
      </c>
      <c r="C1021" s="49"/>
      <c r="D1021" s="49" t="s">
        <v>1264</v>
      </c>
      <c r="E1021" s="49" t="s">
        <v>2908</v>
      </c>
      <c r="F1021" s="49" t="s">
        <v>2939</v>
      </c>
      <c r="G1021" s="49" t="s">
        <v>2776</v>
      </c>
      <c r="H1021" s="49" t="s">
        <v>980</v>
      </c>
      <c r="I1021" s="50">
        <v>42905</v>
      </c>
      <c r="M1021" s="49" t="s">
        <v>9261</v>
      </c>
    </row>
    <row r="1022" spans="1:13" x14ac:dyDescent="0.35">
      <c r="A1022" s="49" t="s">
        <v>14327</v>
      </c>
      <c r="B1022" s="49" t="s">
        <v>7109</v>
      </c>
      <c r="C1022" s="49" t="s">
        <v>7110</v>
      </c>
      <c r="D1022" s="49" t="s">
        <v>1264</v>
      </c>
      <c r="E1022" s="49" t="s">
        <v>2785</v>
      </c>
      <c r="F1022" s="49" t="s">
        <v>2792</v>
      </c>
      <c r="G1022" s="49" t="s">
        <v>2787</v>
      </c>
      <c r="H1022" s="49" t="s">
        <v>3207</v>
      </c>
      <c r="I1022" s="50">
        <v>42038</v>
      </c>
      <c r="J1022" s="50">
        <v>42061</v>
      </c>
      <c r="K1022" s="50">
        <v>42241</v>
      </c>
      <c r="M1022" s="49" t="s">
        <v>7112</v>
      </c>
    </row>
    <row r="1023" spans="1:13" x14ac:dyDescent="0.35">
      <c r="A1023" s="49" t="s">
        <v>14327</v>
      </c>
      <c r="B1023" s="49" t="s">
        <v>7113</v>
      </c>
      <c r="C1023" s="49" t="s">
        <v>7114</v>
      </c>
      <c r="D1023" s="49" t="s">
        <v>1264</v>
      </c>
      <c r="E1023" s="49" t="s">
        <v>2785</v>
      </c>
      <c r="F1023" s="49" t="s">
        <v>2792</v>
      </c>
      <c r="G1023" s="49" t="s">
        <v>2787</v>
      </c>
      <c r="H1023" s="49" t="s">
        <v>3207</v>
      </c>
      <c r="I1023" s="50">
        <v>42044</v>
      </c>
      <c r="J1023" s="50">
        <v>42061</v>
      </c>
      <c r="K1023" s="50">
        <v>42241</v>
      </c>
      <c r="M1023" s="49" t="s">
        <v>7115</v>
      </c>
    </row>
    <row r="1024" spans="1:13" x14ac:dyDescent="0.35">
      <c r="A1024" s="49" t="s">
        <v>14327</v>
      </c>
      <c r="B1024" s="49" t="s">
        <v>7338</v>
      </c>
      <c r="C1024" s="49" t="s">
        <v>7339</v>
      </c>
      <c r="D1024" s="49" t="s">
        <v>1264</v>
      </c>
      <c r="E1024" s="49" t="s">
        <v>2785</v>
      </c>
      <c r="F1024" s="49" t="s">
        <v>2792</v>
      </c>
      <c r="G1024" s="49" t="s">
        <v>2787</v>
      </c>
      <c r="H1024" s="49" t="s">
        <v>3207</v>
      </c>
      <c r="I1024" s="50">
        <v>42079</v>
      </c>
      <c r="J1024" s="50">
        <v>42124</v>
      </c>
      <c r="K1024" s="50">
        <v>42306</v>
      </c>
      <c r="M1024" s="49" t="s">
        <v>7340</v>
      </c>
    </row>
    <row r="1025" spans="1:13" x14ac:dyDescent="0.35">
      <c r="A1025" s="49" t="s">
        <v>14327</v>
      </c>
      <c r="B1025" s="49" t="s">
        <v>7343</v>
      </c>
      <c r="C1025" s="49" t="s">
        <v>7344</v>
      </c>
      <c r="D1025" s="49" t="s">
        <v>1264</v>
      </c>
      <c r="E1025" s="49" t="s">
        <v>2785</v>
      </c>
      <c r="F1025" s="49" t="s">
        <v>2792</v>
      </c>
      <c r="G1025" s="49" t="s">
        <v>2787</v>
      </c>
      <c r="H1025" s="49" t="s">
        <v>3207</v>
      </c>
      <c r="I1025" s="50">
        <v>42109</v>
      </c>
      <c r="M1025" s="49" t="s">
        <v>7345</v>
      </c>
    </row>
    <row r="1026" spans="1:13" x14ac:dyDescent="0.35">
      <c r="A1026" s="49" t="s">
        <v>14327</v>
      </c>
      <c r="B1026" s="49" t="s">
        <v>7346</v>
      </c>
      <c r="C1026" s="49" t="s">
        <v>7347</v>
      </c>
      <c r="D1026" s="49" t="s">
        <v>1264</v>
      </c>
      <c r="E1026" s="49" t="s">
        <v>2785</v>
      </c>
      <c r="F1026" s="49" t="s">
        <v>2792</v>
      </c>
      <c r="G1026" s="49" t="s">
        <v>2787</v>
      </c>
      <c r="H1026" s="49" t="s">
        <v>3207</v>
      </c>
      <c r="I1026" s="50">
        <v>42082</v>
      </c>
      <c r="J1026" s="50">
        <v>42124</v>
      </c>
      <c r="K1026" s="50">
        <v>42306</v>
      </c>
      <c r="M1026" s="49" t="s">
        <v>7340</v>
      </c>
    </row>
    <row r="1027" spans="1:13" x14ac:dyDescent="0.35">
      <c r="A1027" s="49" t="s">
        <v>14327</v>
      </c>
      <c r="B1027" s="49" t="s">
        <v>7569</v>
      </c>
      <c r="C1027" s="49" t="s">
        <v>7570</v>
      </c>
      <c r="D1027" s="49" t="s">
        <v>1264</v>
      </c>
      <c r="E1027" s="49" t="s">
        <v>2785</v>
      </c>
      <c r="F1027" s="49" t="s">
        <v>2792</v>
      </c>
      <c r="G1027" s="49" t="s">
        <v>2787</v>
      </c>
      <c r="H1027" s="49" t="s">
        <v>3207</v>
      </c>
      <c r="I1027" s="50">
        <v>42171</v>
      </c>
      <c r="J1027" s="50">
        <v>42213</v>
      </c>
      <c r="K1027" s="50">
        <v>42396</v>
      </c>
      <c r="M1027" s="49" t="s">
        <v>7571</v>
      </c>
    </row>
    <row r="1028" spans="1:13" x14ac:dyDescent="0.35">
      <c r="A1028" s="49" t="s">
        <v>14327</v>
      </c>
      <c r="B1028" s="49" t="s">
        <v>7572</v>
      </c>
      <c r="C1028" s="49" t="s">
        <v>7573</v>
      </c>
      <c r="D1028" s="49" t="s">
        <v>1264</v>
      </c>
      <c r="E1028" s="49" t="s">
        <v>2785</v>
      </c>
      <c r="F1028" s="49" t="s">
        <v>2792</v>
      </c>
      <c r="G1028" s="49" t="s">
        <v>2787</v>
      </c>
      <c r="H1028" s="49" t="s">
        <v>3207</v>
      </c>
      <c r="I1028" s="50">
        <v>42157</v>
      </c>
      <c r="J1028" s="50">
        <v>42213</v>
      </c>
      <c r="K1028" s="50">
        <v>42396</v>
      </c>
      <c r="M1028" s="49" t="s">
        <v>7574</v>
      </c>
    </row>
    <row r="1029" spans="1:13" x14ac:dyDescent="0.35">
      <c r="A1029" s="49" t="s">
        <v>14327</v>
      </c>
      <c r="B1029" s="49" t="s">
        <v>8785</v>
      </c>
      <c r="C1029" s="49" t="s">
        <v>8786</v>
      </c>
      <c r="D1029" s="49" t="s">
        <v>1264</v>
      </c>
      <c r="E1029" s="49" t="s">
        <v>2785</v>
      </c>
      <c r="F1029" s="49" t="s">
        <v>2792</v>
      </c>
      <c r="G1029" s="49" t="s">
        <v>2787</v>
      </c>
      <c r="H1029" s="49" t="s">
        <v>3207</v>
      </c>
      <c r="I1029" s="50">
        <v>42142</v>
      </c>
      <c r="J1029" s="50">
        <v>42181</v>
      </c>
      <c r="K1029" s="50">
        <v>42363</v>
      </c>
      <c r="M1029" s="49" t="s">
        <v>8787</v>
      </c>
    </row>
    <row r="1030" spans="1:13" x14ac:dyDescent="0.35">
      <c r="A1030" s="49" t="s">
        <v>14327</v>
      </c>
      <c r="B1030" s="49" t="s">
        <v>8808</v>
      </c>
      <c r="C1030" s="49" t="s">
        <v>8809</v>
      </c>
      <c r="D1030" s="49" t="s">
        <v>1264</v>
      </c>
      <c r="E1030" s="49" t="s">
        <v>2785</v>
      </c>
      <c r="F1030" s="49" t="s">
        <v>2792</v>
      </c>
      <c r="G1030" s="49" t="s">
        <v>2787</v>
      </c>
      <c r="H1030" s="49" t="s">
        <v>3207</v>
      </c>
      <c r="I1030" s="50">
        <v>41649</v>
      </c>
      <c r="J1030" s="50">
        <v>41663</v>
      </c>
      <c r="K1030" s="50">
        <v>41843</v>
      </c>
      <c r="M1030" s="49" t="s">
        <v>8810</v>
      </c>
    </row>
    <row r="1031" spans="1:13" x14ac:dyDescent="0.35">
      <c r="A1031" s="49" t="s">
        <v>14327</v>
      </c>
      <c r="B1031" s="49" t="s">
        <v>8811</v>
      </c>
      <c r="C1031" s="49" t="s">
        <v>8812</v>
      </c>
      <c r="D1031" s="49" t="s">
        <v>1264</v>
      </c>
      <c r="E1031" s="49" t="s">
        <v>2785</v>
      </c>
      <c r="F1031" s="49" t="s">
        <v>2792</v>
      </c>
      <c r="G1031" s="49" t="s">
        <v>2787</v>
      </c>
      <c r="H1031" s="49" t="s">
        <v>3207</v>
      </c>
      <c r="I1031" s="50">
        <v>41673</v>
      </c>
      <c r="J1031" s="50">
        <v>41697</v>
      </c>
      <c r="K1031" s="50">
        <v>41877</v>
      </c>
      <c r="M1031" s="49" t="s">
        <v>8813</v>
      </c>
    </row>
    <row r="1032" spans="1:13" x14ac:dyDescent="0.35">
      <c r="A1032" s="49" t="s">
        <v>14327</v>
      </c>
      <c r="B1032" s="49" t="s">
        <v>9740</v>
      </c>
      <c r="C1032" s="49" t="s">
        <v>9741</v>
      </c>
      <c r="D1032" s="49" t="s">
        <v>1264</v>
      </c>
      <c r="E1032" s="49" t="s">
        <v>2785</v>
      </c>
      <c r="F1032" s="49" t="s">
        <v>2792</v>
      </c>
      <c r="G1032" s="49" t="s">
        <v>2776</v>
      </c>
      <c r="H1032" s="49" t="s">
        <v>3207</v>
      </c>
      <c r="I1032" s="50">
        <v>42079</v>
      </c>
      <c r="M1032" s="49" t="s">
        <v>9742</v>
      </c>
    </row>
    <row r="1033" spans="1:13" x14ac:dyDescent="0.35">
      <c r="A1033" s="49" t="s">
        <v>14327</v>
      </c>
      <c r="B1033" s="49" t="s">
        <v>9778</v>
      </c>
      <c r="C1033" s="49" t="s">
        <v>9779</v>
      </c>
      <c r="D1033" s="49" t="s">
        <v>1264</v>
      </c>
      <c r="E1033" s="49" t="s">
        <v>2785</v>
      </c>
      <c r="F1033" s="49" t="s">
        <v>2792</v>
      </c>
      <c r="G1033" s="49" t="s">
        <v>2776</v>
      </c>
      <c r="H1033" s="49" t="s">
        <v>3207</v>
      </c>
      <c r="I1033" s="50">
        <v>42034</v>
      </c>
      <c r="M1033" s="49" t="s">
        <v>9780</v>
      </c>
    </row>
    <row r="1034" spans="1:13" x14ac:dyDescent="0.35">
      <c r="A1034" s="49" t="s">
        <v>14327</v>
      </c>
      <c r="B1034" s="49" t="s">
        <v>9815</v>
      </c>
      <c r="C1034" s="49" t="s">
        <v>9816</v>
      </c>
      <c r="D1034" s="49" t="s">
        <v>1264</v>
      </c>
      <c r="E1034" s="49" t="s">
        <v>2785</v>
      </c>
      <c r="F1034" s="49" t="s">
        <v>2792</v>
      </c>
      <c r="G1034" s="49" t="s">
        <v>2776</v>
      </c>
      <c r="H1034" s="49" t="s">
        <v>3207</v>
      </c>
      <c r="I1034" s="50">
        <v>42118</v>
      </c>
      <c r="M1034" s="49" t="s">
        <v>9817</v>
      </c>
    </row>
    <row r="1035" spans="1:13" x14ac:dyDescent="0.35">
      <c r="A1035" s="49" t="s">
        <v>14327</v>
      </c>
      <c r="B1035" s="49" t="s">
        <v>9824</v>
      </c>
      <c r="C1035" s="49" t="s">
        <v>9825</v>
      </c>
      <c r="D1035" s="49" t="s">
        <v>1264</v>
      </c>
      <c r="E1035" s="49" t="s">
        <v>2785</v>
      </c>
      <c r="F1035" s="49" t="s">
        <v>2792</v>
      </c>
      <c r="G1035" s="49" t="s">
        <v>2787</v>
      </c>
      <c r="H1035" s="49" t="s">
        <v>3207</v>
      </c>
      <c r="I1035" s="50">
        <v>41991</v>
      </c>
      <c r="M1035" s="49" t="s">
        <v>9826</v>
      </c>
    </row>
    <row r="1036" spans="1:13" x14ac:dyDescent="0.35">
      <c r="A1036" s="49" t="s">
        <v>14327</v>
      </c>
      <c r="B1036" s="49" t="s">
        <v>10742</v>
      </c>
      <c r="C1036" s="49" t="s">
        <v>8809</v>
      </c>
      <c r="D1036" s="49" t="s">
        <v>1264</v>
      </c>
      <c r="E1036" s="49" t="s">
        <v>2785</v>
      </c>
      <c r="F1036" s="49" t="s">
        <v>2792</v>
      </c>
      <c r="G1036" s="49" t="s">
        <v>2826</v>
      </c>
      <c r="H1036" s="49" t="s">
        <v>3207</v>
      </c>
      <c r="I1036" s="50">
        <v>41667</v>
      </c>
      <c r="J1036" s="50">
        <v>41389</v>
      </c>
      <c r="K1036" s="50">
        <v>41571</v>
      </c>
      <c r="M1036" s="49" t="s">
        <v>10743</v>
      </c>
    </row>
    <row r="1037" spans="1:13" x14ac:dyDescent="0.35">
      <c r="A1037" s="49" t="s">
        <v>14802</v>
      </c>
      <c r="B1037" s="49" t="s">
        <v>3932</v>
      </c>
      <c r="C1037" s="49" t="s">
        <v>3933</v>
      </c>
      <c r="D1037" s="49" t="s">
        <v>1264</v>
      </c>
      <c r="E1037" s="49" t="s">
        <v>2785</v>
      </c>
      <c r="F1037" s="49" t="s">
        <v>3253</v>
      </c>
      <c r="G1037" s="49" t="s">
        <v>2787</v>
      </c>
      <c r="H1037" s="49" t="s">
        <v>2827</v>
      </c>
      <c r="I1037" s="50">
        <v>43733</v>
      </c>
      <c r="J1037" s="50">
        <v>43999</v>
      </c>
      <c r="K1037" s="50">
        <v>44728</v>
      </c>
      <c r="M1037" s="49" t="s">
        <v>3935</v>
      </c>
    </row>
    <row r="1038" spans="1:13" x14ac:dyDescent="0.35">
      <c r="A1038" s="49" t="s">
        <v>14802</v>
      </c>
      <c r="B1038" s="49" t="s">
        <v>4435</v>
      </c>
      <c r="C1038" s="49" t="s">
        <v>4436</v>
      </c>
      <c r="D1038" s="49" t="s">
        <v>1264</v>
      </c>
      <c r="E1038" s="49" t="s">
        <v>2785</v>
      </c>
      <c r="F1038" s="49" t="s">
        <v>2786</v>
      </c>
      <c r="G1038" s="49" t="s">
        <v>2787</v>
      </c>
      <c r="H1038" s="49" t="s">
        <v>857</v>
      </c>
      <c r="I1038" s="50">
        <v>44375</v>
      </c>
      <c r="J1038" s="50">
        <v>44411</v>
      </c>
      <c r="K1038" s="50">
        <v>44775</v>
      </c>
      <c r="M1038" s="49" t="s">
        <v>4437</v>
      </c>
    </row>
    <row r="1039" spans="1:13" x14ac:dyDescent="0.35">
      <c r="A1039" s="49" t="s">
        <v>14802</v>
      </c>
      <c r="B1039" s="49" t="s">
        <v>9720</v>
      </c>
      <c r="C1039" s="49"/>
      <c r="D1039" s="49" t="s">
        <v>1264</v>
      </c>
      <c r="E1039" s="49" t="s">
        <v>2785</v>
      </c>
      <c r="F1039" s="49" t="s">
        <v>2786</v>
      </c>
      <c r="G1039" s="49" t="s">
        <v>2776</v>
      </c>
      <c r="H1039" s="49" t="s">
        <v>980</v>
      </c>
      <c r="I1039" s="50">
        <v>42457</v>
      </c>
      <c r="M1039" s="49" t="s">
        <v>6129</v>
      </c>
    </row>
    <row r="1040" spans="1:13" x14ac:dyDescent="0.35">
      <c r="A1040" s="49" t="s">
        <v>14802</v>
      </c>
      <c r="B1040" s="49" t="s">
        <v>9864</v>
      </c>
      <c r="C1040" s="49"/>
      <c r="D1040" s="49" t="s">
        <v>1264</v>
      </c>
      <c r="E1040" s="49" t="s">
        <v>2785</v>
      </c>
      <c r="F1040" s="49" t="s">
        <v>2786</v>
      </c>
      <c r="G1040" s="49" t="s">
        <v>2776</v>
      </c>
      <c r="H1040" s="49" t="s">
        <v>980</v>
      </c>
      <c r="I1040" s="50">
        <v>42324</v>
      </c>
      <c r="M1040" s="49" t="s">
        <v>3470</v>
      </c>
    </row>
    <row r="1041" spans="1:13" x14ac:dyDescent="0.35">
      <c r="A1041" s="49" t="s">
        <v>8568</v>
      </c>
      <c r="B1041" s="49" t="s">
        <v>8566</v>
      </c>
      <c r="C1041" s="49" t="s">
        <v>8567</v>
      </c>
      <c r="D1041" s="49" t="s">
        <v>1264</v>
      </c>
      <c r="E1041" s="49" t="s">
        <v>2986</v>
      </c>
      <c r="F1041" s="49" t="s">
        <v>2825</v>
      </c>
      <c r="G1041" s="49" t="s">
        <v>2901</v>
      </c>
      <c r="H1041" s="49" t="s">
        <v>2827</v>
      </c>
      <c r="I1041" s="50">
        <v>41270</v>
      </c>
      <c r="J1041" s="50">
        <v>41516</v>
      </c>
      <c r="K1041" s="50">
        <v>45479</v>
      </c>
      <c r="L1041" s="50">
        <v>42977</v>
      </c>
      <c r="M1041" s="49" t="s">
        <v>3270</v>
      </c>
    </row>
    <row r="1042" spans="1:13" x14ac:dyDescent="0.35">
      <c r="A1042" s="49" t="s">
        <v>3400</v>
      </c>
      <c r="B1042" s="49" t="s">
        <v>3398</v>
      </c>
      <c r="C1042" s="49" t="s">
        <v>3399</v>
      </c>
      <c r="D1042" s="49" t="s">
        <v>1264</v>
      </c>
      <c r="E1042" s="49" t="s">
        <v>2908</v>
      </c>
      <c r="F1042" s="49" t="s">
        <v>2837</v>
      </c>
      <c r="G1042" s="49" t="s">
        <v>2901</v>
      </c>
      <c r="H1042" s="49" t="s">
        <v>2827</v>
      </c>
      <c r="I1042" s="50">
        <v>42048</v>
      </c>
      <c r="J1042" s="50">
        <v>42479</v>
      </c>
      <c r="K1042" s="50">
        <v>46130</v>
      </c>
      <c r="L1042" s="50">
        <v>44305</v>
      </c>
      <c r="M1042" s="49" t="s">
        <v>3401</v>
      </c>
    </row>
    <row r="1043" spans="1:13" x14ac:dyDescent="0.35">
      <c r="A1043" s="49" t="s">
        <v>3400</v>
      </c>
      <c r="B1043" s="49" t="s">
        <v>10707</v>
      </c>
      <c r="C1043" s="49" t="s">
        <v>3399</v>
      </c>
      <c r="D1043" s="49" t="s">
        <v>1264</v>
      </c>
      <c r="E1043" s="49" t="s">
        <v>2908</v>
      </c>
      <c r="F1043" s="49" t="s">
        <v>2837</v>
      </c>
      <c r="G1043" s="49" t="s">
        <v>2776</v>
      </c>
      <c r="H1043" s="49" t="s">
        <v>2827</v>
      </c>
      <c r="I1043" s="50">
        <v>42048</v>
      </c>
      <c r="M1043" s="49" t="s">
        <v>10708</v>
      </c>
    </row>
    <row r="1044" spans="1:13" x14ac:dyDescent="0.35">
      <c r="A1044" s="49" t="s">
        <v>15333</v>
      </c>
      <c r="B1044" s="49" t="s">
        <v>7016</v>
      </c>
      <c r="C1044" s="49"/>
      <c r="D1044" s="49" t="s">
        <v>1264</v>
      </c>
      <c r="E1044" s="49" t="s">
        <v>2814</v>
      </c>
      <c r="F1044" s="49" t="s">
        <v>2780</v>
      </c>
      <c r="G1044" s="49" t="s">
        <v>2826</v>
      </c>
      <c r="H1044" s="49" t="s">
        <v>857</v>
      </c>
      <c r="I1044" s="50">
        <v>41278</v>
      </c>
      <c r="M1044" s="49" t="s">
        <v>7018</v>
      </c>
    </row>
    <row r="1045" spans="1:13" x14ac:dyDescent="0.35">
      <c r="A1045" s="49" t="s">
        <v>15333</v>
      </c>
      <c r="B1045" s="49" t="s">
        <v>8582</v>
      </c>
      <c r="C1045" s="49" t="s">
        <v>8258</v>
      </c>
      <c r="D1045" s="49" t="s">
        <v>1264</v>
      </c>
      <c r="E1045" s="49" t="s">
        <v>2774</v>
      </c>
      <c r="F1045" s="49" t="s">
        <v>2900</v>
      </c>
      <c r="G1045" s="49" t="s">
        <v>2787</v>
      </c>
      <c r="H1045" s="49" t="s">
        <v>980</v>
      </c>
      <c r="I1045" s="50">
        <v>40714</v>
      </c>
      <c r="J1045" s="50">
        <v>40745</v>
      </c>
      <c r="K1045" s="50">
        <v>42936</v>
      </c>
      <c r="M1045" s="49" t="s">
        <v>8583</v>
      </c>
    </row>
    <row r="1046" spans="1:13" x14ac:dyDescent="0.35">
      <c r="A1046" s="49" t="s">
        <v>15333</v>
      </c>
      <c r="B1046" s="49" t="s">
        <v>8728</v>
      </c>
      <c r="C1046" s="49"/>
      <c r="D1046" s="49" t="s">
        <v>1264</v>
      </c>
      <c r="E1046" s="49" t="s">
        <v>2814</v>
      </c>
      <c r="F1046" s="49" t="s">
        <v>2780</v>
      </c>
      <c r="G1046" s="49" t="s">
        <v>2826</v>
      </c>
      <c r="H1046" s="49" t="s">
        <v>857</v>
      </c>
      <c r="I1046" s="50">
        <v>41218</v>
      </c>
      <c r="M1046" s="49" t="s">
        <v>8729</v>
      </c>
    </row>
    <row r="1047" spans="1:13" x14ac:dyDescent="0.35">
      <c r="A1047" s="49" t="s">
        <v>14242</v>
      </c>
      <c r="B1047" s="49" t="s">
        <v>5574</v>
      </c>
      <c r="C1047" s="49"/>
      <c r="D1047" s="49" t="s">
        <v>1264</v>
      </c>
      <c r="E1047" s="49" t="s">
        <v>2814</v>
      </c>
      <c r="F1047" s="49" t="s">
        <v>2825</v>
      </c>
      <c r="G1047" s="49" t="s">
        <v>2787</v>
      </c>
      <c r="H1047" s="49" t="s">
        <v>2827</v>
      </c>
      <c r="I1047" s="50">
        <v>45029</v>
      </c>
      <c r="J1047" s="50">
        <v>45048</v>
      </c>
      <c r="K1047" s="50">
        <v>45231</v>
      </c>
      <c r="M1047" s="49" t="s">
        <v>5576</v>
      </c>
    </row>
    <row r="1048" spans="1:13" x14ac:dyDescent="0.35">
      <c r="A1048" s="49" t="s">
        <v>14257</v>
      </c>
      <c r="B1048" s="49" t="s">
        <v>5813</v>
      </c>
      <c r="C1048" s="49"/>
      <c r="D1048" s="49" t="s">
        <v>1264</v>
      </c>
      <c r="E1048" s="49" t="s">
        <v>3443</v>
      </c>
      <c r="F1048" s="49" t="s">
        <v>3124</v>
      </c>
      <c r="G1048" s="49" t="s">
        <v>2901</v>
      </c>
      <c r="H1048" s="49" t="s">
        <v>980</v>
      </c>
      <c r="I1048" s="50">
        <v>45124</v>
      </c>
      <c r="J1048" s="50">
        <v>45169</v>
      </c>
      <c r="K1048" s="50">
        <v>46995</v>
      </c>
    </row>
    <row r="1049" spans="1:13" x14ac:dyDescent="0.35">
      <c r="A1049" s="49" t="s">
        <v>115</v>
      </c>
      <c r="B1049" s="49" t="s">
        <v>12372</v>
      </c>
      <c r="C1049" s="49" t="s">
        <v>6040</v>
      </c>
      <c r="D1049" s="49" t="s">
        <v>1264</v>
      </c>
      <c r="E1049" s="49" t="s">
        <v>3443</v>
      </c>
      <c r="F1049" s="49" t="s">
        <v>3124</v>
      </c>
      <c r="G1049" s="49" t="s">
        <v>4891</v>
      </c>
      <c r="H1049" s="49" t="s">
        <v>980</v>
      </c>
      <c r="I1049" s="50">
        <v>45385</v>
      </c>
    </row>
    <row r="1050" spans="1:13" x14ac:dyDescent="0.35">
      <c r="A1050" s="49" t="s">
        <v>195</v>
      </c>
      <c r="B1050" s="49" t="s">
        <v>11951</v>
      </c>
      <c r="C1050" s="49"/>
      <c r="D1050" s="49" t="s">
        <v>1264</v>
      </c>
      <c r="E1050" s="49" t="s">
        <v>2814</v>
      </c>
      <c r="F1050" s="49" t="s">
        <v>4842</v>
      </c>
      <c r="G1050" s="49" t="s">
        <v>2776</v>
      </c>
      <c r="H1050" s="49" t="s">
        <v>2827</v>
      </c>
      <c r="I1050" s="50">
        <v>45306</v>
      </c>
      <c r="M1050" s="49" t="s">
        <v>11953</v>
      </c>
    </row>
    <row r="1051" spans="1:13" x14ac:dyDescent="0.35">
      <c r="A1051" s="49" t="s">
        <v>195</v>
      </c>
      <c r="B1051" s="49" t="s">
        <v>12034</v>
      </c>
      <c r="C1051" s="49"/>
      <c r="D1051" s="49" t="s">
        <v>1264</v>
      </c>
      <c r="E1051" s="49" t="s">
        <v>2986</v>
      </c>
      <c r="F1051" s="49" t="s">
        <v>2825</v>
      </c>
      <c r="G1051" s="49" t="s">
        <v>4891</v>
      </c>
      <c r="H1051" s="49" t="s">
        <v>2827</v>
      </c>
      <c r="I1051" s="50">
        <v>45302</v>
      </c>
      <c r="M1051" s="49" t="s">
        <v>12035</v>
      </c>
    </row>
    <row r="1052" spans="1:13" x14ac:dyDescent="0.35">
      <c r="A1052" s="49" t="s">
        <v>195</v>
      </c>
      <c r="B1052" s="49" t="s">
        <v>3847</v>
      </c>
      <c r="C1052" s="49" t="s">
        <v>3848</v>
      </c>
      <c r="D1052" s="49" t="s">
        <v>1264</v>
      </c>
      <c r="E1052" s="49" t="s">
        <v>2774</v>
      </c>
      <c r="F1052" s="49" t="s">
        <v>2825</v>
      </c>
      <c r="G1052" s="49" t="s">
        <v>2820</v>
      </c>
      <c r="H1052" s="49" t="s">
        <v>2827</v>
      </c>
      <c r="I1052" s="50">
        <v>43397</v>
      </c>
      <c r="J1052" s="50">
        <v>43780</v>
      </c>
      <c r="K1052" s="50">
        <v>44875</v>
      </c>
      <c r="M1052" s="49" t="s">
        <v>3850</v>
      </c>
    </row>
    <row r="1053" spans="1:13" x14ac:dyDescent="0.35">
      <c r="A1053" s="49" t="s">
        <v>195</v>
      </c>
      <c r="B1053" s="49" t="s">
        <v>13887</v>
      </c>
      <c r="C1053" s="49" t="s">
        <v>949</v>
      </c>
      <c r="D1053" s="49" t="s">
        <v>1264</v>
      </c>
      <c r="E1053" s="49" t="s">
        <v>2774</v>
      </c>
      <c r="F1053" s="49" t="s">
        <v>4842</v>
      </c>
      <c r="G1053" s="49" t="s">
        <v>2787</v>
      </c>
      <c r="H1053" s="49" t="s">
        <v>2827</v>
      </c>
      <c r="I1053" s="50">
        <v>43342</v>
      </c>
      <c r="M1053" s="49" t="s">
        <v>13888</v>
      </c>
    </row>
    <row r="1054" spans="1:13" x14ac:dyDescent="0.35">
      <c r="A1054" s="49" t="s">
        <v>14889</v>
      </c>
      <c r="B1054" s="49" t="s">
        <v>12378</v>
      </c>
      <c r="C1054" s="49" t="s">
        <v>5066</v>
      </c>
      <c r="D1054" s="49" t="s">
        <v>1264</v>
      </c>
      <c r="E1054" s="49" t="s">
        <v>2785</v>
      </c>
      <c r="F1054" s="49" t="s">
        <v>2792</v>
      </c>
      <c r="G1054" s="49" t="s">
        <v>4330</v>
      </c>
      <c r="H1054" s="49" t="s">
        <v>8</v>
      </c>
      <c r="I1054" s="50">
        <v>45385</v>
      </c>
      <c r="M1054" s="49" t="s">
        <v>12380</v>
      </c>
    </row>
    <row r="1055" spans="1:13" x14ac:dyDescent="0.35">
      <c r="A1055" s="49" t="s">
        <v>14637</v>
      </c>
      <c r="B1055" s="49" t="s">
        <v>12588</v>
      </c>
      <c r="C1055" s="49" t="s">
        <v>12589</v>
      </c>
      <c r="D1055" s="49" t="s">
        <v>1264</v>
      </c>
      <c r="E1055" s="49" t="s">
        <v>2785</v>
      </c>
      <c r="F1055" s="49" t="s">
        <v>2792</v>
      </c>
      <c r="G1055" s="49" t="s">
        <v>4891</v>
      </c>
      <c r="H1055" s="49" t="s">
        <v>8</v>
      </c>
      <c r="I1055" s="50">
        <v>45455</v>
      </c>
      <c r="M1055" s="49" t="s">
        <v>12591</v>
      </c>
    </row>
    <row r="1056" spans="1:13" x14ac:dyDescent="0.35">
      <c r="A1056" s="49" t="s">
        <v>14501</v>
      </c>
      <c r="B1056" s="49" t="s">
        <v>9499</v>
      </c>
      <c r="C1056" s="49"/>
      <c r="D1056" s="49" t="s">
        <v>1264</v>
      </c>
      <c r="E1056" s="49" t="s">
        <v>2785</v>
      </c>
      <c r="F1056" s="49" t="s">
        <v>2792</v>
      </c>
      <c r="G1056" s="49" t="s">
        <v>2776</v>
      </c>
      <c r="H1056" s="49" t="s">
        <v>8</v>
      </c>
      <c r="I1056" s="50">
        <v>43396</v>
      </c>
      <c r="M1056" s="49" t="s">
        <v>9501</v>
      </c>
    </row>
    <row r="1057" spans="1:13" x14ac:dyDescent="0.35">
      <c r="A1057" s="49" t="s">
        <v>14375</v>
      </c>
      <c r="B1057" s="49" t="s">
        <v>7682</v>
      </c>
      <c r="C1057" s="49" t="s">
        <v>7683</v>
      </c>
      <c r="D1057" s="49" t="s">
        <v>1264</v>
      </c>
      <c r="E1057" s="49" t="s">
        <v>2774</v>
      </c>
      <c r="F1057" s="49" t="s">
        <v>7685</v>
      </c>
      <c r="G1057" s="49" t="s">
        <v>2787</v>
      </c>
      <c r="H1057" s="49" t="s">
        <v>2827</v>
      </c>
      <c r="I1057" s="50">
        <v>40912</v>
      </c>
      <c r="J1057" s="50">
        <v>40948</v>
      </c>
      <c r="K1057" s="50">
        <v>43138</v>
      </c>
      <c r="M1057" s="49" t="s">
        <v>7686</v>
      </c>
    </row>
    <row r="1058" spans="1:13" x14ac:dyDescent="0.35">
      <c r="A1058" s="49" t="s">
        <v>14290</v>
      </c>
      <c r="B1058" s="49" t="s">
        <v>6489</v>
      </c>
      <c r="C1058" s="49" t="s">
        <v>5503</v>
      </c>
      <c r="D1058" s="49" t="s">
        <v>1264</v>
      </c>
      <c r="E1058" s="49" t="s">
        <v>2785</v>
      </c>
      <c r="F1058" s="49" t="s">
        <v>4048</v>
      </c>
      <c r="G1058" s="49" t="s">
        <v>4330</v>
      </c>
      <c r="H1058" s="49" t="s">
        <v>8</v>
      </c>
      <c r="I1058" s="50">
        <v>45035</v>
      </c>
      <c r="M1058" s="49" t="s">
        <v>6491</v>
      </c>
    </row>
    <row r="1059" spans="1:13" x14ac:dyDescent="0.35">
      <c r="A1059" s="49" t="s">
        <v>14290</v>
      </c>
      <c r="B1059" s="49" t="s">
        <v>12210</v>
      </c>
      <c r="C1059" s="49" t="s">
        <v>4583</v>
      </c>
      <c r="D1059" s="49" t="s">
        <v>1264</v>
      </c>
      <c r="E1059" s="49" t="s">
        <v>2785</v>
      </c>
      <c r="F1059" s="49" t="s">
        <v>2805</v>
      </c>
      <c r="G1059" s="49" t="s">
        <v>4891</v>
      </c>
      <c r="H1059" s="49" t="s">
        <v>980</v>
      </c>
      <c r="I1059" s="50">
        <v>45357</v>
      </c>
      <c r="M1059" s="49" t="s">
        <v>3104</v>
      </c>
    </row>
    <row r="1060" spans="1:13" x14ac:dyDescent="0.35">
      <c r="A1060" s="49" t="s">
        <v>15648</v>
      </c>
      <c r="B1060" s="49" t="s">
        <v>13373</v>
      </c>
      <c r="C1060" s="49"/>
      <c r="D1060" s="49" t="s">
        <v>1264</v>
      </c>
      <c r="E1060" s="49" t="s">
        <v>2986</v>
      </c>
      <c r="F1060" s="49" t="s">
        <v>2825</v>
      </c>
      <c r="G1060" s="49" t="s">
        <v>4891</v>
      </c>
      <c r="H1060" s="49" t="s">
        <v>2827</v>
      </c>
      <c r="I1060" s="52">
        <v>46114.842557870397</v>
      </c>
      <c r="M1060" s="49" t="s">
        <v>13375</v>
      </c>
    </row>
    <row r="1061" spans="1:13" x14ac:dyDescent="0.35">
      <c r="A1061" s="49" t="s">
        <v>15648</v>
      </c>
      <c r="B1061" s="49" t="s">
        <v>13376</v>
      </c>
      <c r="C1061" s="49"/>
      <c r="D1061" s="49" t="s">
        <v>1264</v>
      </c>
      <c r="E1061" s="49" t="s">
        <v>2986</v>
      </c>
      <c r="F1061" s="49" t="s">
        <v>2825</v>
      </c>
      <c r="G1061" s="49" t="s">
        <v>4891</v>
      </c>
      <c r="H1061" s="49" t="s">
        <v>2827</v>
      </c>
      <c r="I1061" s="52">
        <v>46114.851550925901</v>
      </c>
      <c r="M1061" s="49" t="s">
        <v>13377</v>
      </c>
    </row>
    <row r="1062" spans="1:13" x14ac:dyDescent="0.35">
      <c r="A1062" s="49" t="s">
        <v>14890</v>
      </c>
      <c r="B1062" s="49" t="s">
        <v>12039</v>
      </c>
      <c r="C1062" s="49" t="s">
        <v>12040</v>
      </c>
      <c r="D1062" s="49" t="s">
        <v>1264</v>
      </c>
      <c r="E1062" s="49" t="s">
        <v>2986</v>
      </c>
      <c r="F1062" s="49" t="s">
        <v>2825</v>
      </c>
      <c r="G1062" s="49" t="s">
        <v>4891</v>
      </c>
      <c r="H1062" s="49" t="s">
        <v>8</v>
      </c>
      <c r="I1062" s="50">
        <v>45303</v>
      </c>
      <c r="M1062" s="49" t="s">
        <v>12042</v>
      </c>
    </row>
    <row r="1063" spans="1:13" x14ac:dyDescent="0.35">
      <c r="A1063" s="49" t="s">
        <v>199</v>
      </c>
      <c r="B1063" s="49" t="s">
        <v>2932</v>
      </c>
      <c r="C1063" s="49" t="s">
        <v>2891</v>
      </c>
      <c r="D1063" s="49" t="s">
        <v>1264</v>
      </c>
      <c r="E1063" s="49" t="s">
        <v>2908</v>
      </c>
      <c r="F1063" s="49" t="s">
        <v>2837</v>
      </c>
      <c r="G1063" s="49" t="s">
        <v>2934</v>
      </c>
      <c r="H1063" s="49" t="s">
        <v>980</v>
      </c>
      <c r="I1063" s="50">
        <v>34432</v>
      </c>
      <c r="J1063" s="50">
        <v>34990</v>
      </c>
      <c r="K1063" s="50">
        <v>45670</v>
      </c>
      <c r="M1063" s="49" t="s">
        <v>2935</v>
      </c>
    </row>
    <row r="1064" spans="1:13" x14ac:dyDescent="0.35">
      <c r="A1064" s="49" t="s">
        <v>199</v>
      </c>
      <c r="B1064" s="49" t="s">
        <v>4721</v>
      </c>
      <c r="C1064" s="49" t="s">
        <v>3730</v>
      </c>
      <c r="D1064" s="49" t="s">
        <v>1264</v>
      </c>
      <c r="E1064" s="49" t="s">
        <v>2908</v>
      </c>
      <c r="F1064" s="49" t="s">
        <v>3253</v>
      </c>
      <c r="G1064" s="49" t="s">
        <v>2901</v>
      </c>
      <c r="H1064" s="49" t="s">
        <v>973</v>
      </c>
      <c r="I1064" s="50">
        <v>43754</v>
      </c>
      <c r="J1064" s="50">
        <v>44114</v>
      </c>
      <c r="K1064" s="50">
        <v>45939</v>
      </c>
      <c r="M1064" s="49" t="s">
        <v>4722</v>
      </c>
    </row>
    <row r="1065" spans="1:13" x14ac:dyDescent="0.35">
      <c r="A1065" s="49" t="s">
        <v>199</v>
      </c>
      <c r="B1065" s="49" t="s">
        <v>5175</v>
      </c>
      <c r="C1065" s="49" t="s">
        <v>5176</v>
      </c>
      <c r="D1065" s="49" t="s">
        <v>1264</v>
      </c>
      <c r="E1065" s="49" t="s">
        <v>2785</v>
      </c>
      <c r="F1065" s="49" t="s">
        <v>3010</v>
      </c>
      <c r="G1065" s="49" t="s">
        <v>2787</v>
      </c>
      <c r="H1065" s="49" t="s">
        <v>973</v>
      </c>
      <c r="I1065" s="50">
        <v>44775</v>
      </c>
      <c r="K1065" s="50">
        <v>45511</v>
      </c>
      <c r="M1065" s="49" t="s">
        <v>5177</v>
      </c>
    </row>
    <row r="1066" spans="1:13" x14ac:dyDescent="0.35">
      <c r="A1066" s="49" t="s">
        <v>199</v>
      </c>
      <c r="B1066" s="49" t="s">
        <v>5236</v>
      </c>
      <c r="C1066" s="49"/>
      <c r="D1066" s="49" t="s">
        <v>1264</v>
      </c>
      <c r="E1066" s="49" t="s">
        <v>2908</v>
      </c>
      <c r="F1066" s="49" t="s">
        <v>2837</v>
      </c>
      <c r="G1066" s="49" t="s">
        <v>2826</v>
      </c>
      <c r="H1066" s="49" t="s">
        <v>980</v>
      </c>
      <c r="I1066" s="50">
        <v>43767</v>
      </c>
      <c r="M1066" s="49" t="s">
        <v>5237</v>
      </c>
    </row>
    <row r="1067" spans="1:13" x14ac:dyDescent="0.35">
      <c r="A1067" s="49" t="s">
        <v>199</v>
      </c>
      <c r="B1067" s="49" t="s">
        <v>5557</v>
      </c>
      <c r="C1067" s="49"/>
      <c r="D1067" s="49" t="s">
        <v>1264</v>
      </c>
      <c r="E1067" s="49" t="s">
        <v>2814</v>
      </c>
      <c r="F1067" s="49" t="s">
        <v>2837</v>
      </c>
      <c r="G1067" s="49" t="s">
        <v>2787</v>
      </c>
      <c r="H1067" s="49" t="s">
        <v>973</v>
      </c>
      <c r="I1067" s="50">
        <v>45062</v>
      </c>
      <c r="J1067" s="50">
        <v>45063</v>
      </c>
      <c r="K1067" s="50">
        <v>45246</v>
      </c>
      <c r="M1067" s="49" t="s">
        <v>5558</v>
      </c>
    </row>
    <row r="1068" spans="1:13" x14ac:dyDescent="0.35">
      <c r="A1068" s="49" t="s">
        <v>199</v>
      </c>
      <c r="B1068" s="49" t="s">
        <v>9395</v>
      </c>
      <c r="C1068" s="49"/>
      <c r="D1068" s="49" t="s">
        <v>1264</v>
      </c>
      <c r="E1068" s="49" t="s">
        <v>2908</v>
      </c>
      <c r="F1068" s="49" t="s">
        <v>2837</v>
      </c>
      <c r="G1068" s="49" t="s">
        <v>3997</v>
      </c>
      <c r="H1068" s="49" t="s">
        <v>980</v>
      </c>
      <c r="I1068" s="50">
        <v>44245</v>
      </c>
      <c r="M1068" s="49" t="s">
        <v>5237</v>
      </c>
    </row>
    <row r="1069" spans="1:13" x14ac:dyDescent="0.35">
      <c r="A1069" s="49" t="s">
        <v>199</v>
      </c>
      <c r="B1069" s="49" t="s">
        <v>11502</v>
      </c>
      <c r="C1069" s="49"/>
      <c r="D1069" s="49" t="s">
        <v>1264</v>
      </c>
      <c r="E1069" s="49" t="s">
        <v>2814</v>
      </c>
      <c r="F1069" s="49" t="s">
        <v>2837</v>
      </c>
      <c r="G1069" s="49" t="s">
        <v>2787</v>
      </c>
      <c r="H1069" s="49" t="s">
        <v>980</v>
      </c>
      <c r="I1069" s="50">
        <v>45145</v>
      </c>
      <c r="J1069" s="50">
        <v>45279</v>
      </c>
      <c r="K1069" s="50">
        <v>45461</v>
      </c>
      <c r="M1069" s="49" t="s">
        <v>11503</v>
      </c>
    </row>
    <row r="1070" spans="1:13" x14ac:dyDescent="0.35">
      <c r="A1070" s="49" t="s">
        <v>199</v>
      </c>
      <c r="B1070" s="49" t="s">
        <v>12738</v>
      </c>
      <c r="C1070" s="49" t="s">
        <v>12739</v>
      </c>
      <c r="D1070" s="49" t="s">
        <v>1264</v>
      </c>
      <c r="E1070" s="49" t="s">
        <v>2785</v>
      </c>
      <c r="F1070" s="49" t="s">
        <v>2786</v>
      </c>
      <c r="G1070" s="49" t="s">
        <v>4891</v>
      </c>
      <c r="H1070" s="49" t="s">
        <v>3207</v>
      </c>
      <c r="I1070" s="50">
        <v>45547</v>
      </c>
      <c r="M1070" s="49" t="s">
        <v>12741</v>
      </c>
    </row>
    <row r="1071" spans="1:13" x14ac:dyDescent="0.35">
      <c r="A1071" s="49" t="s">
        <v>199</v>
      </c>
      <c r="B1071" s="49" t="s">
        <v>6865</v>
      </c>
      <c r="C1071" s="49"/>
      <c r="D1071" s="49" t="s">
        <v>1264</v>
      </c>
      <c r="E1071" s="49" t="s">
        <v>2785</v>
      </c>
      <c r="F1071" s="49" t="s">
        <v>2792</v>
      </c>
      <c r="G1071" s="49" t="s">
        <v>2901</v>
      </c>
      <c r="H1071" s="49" t="s">
        <v>980</v>
      </c>
      <c r="I1071" s="52">
        <v>45971.6219444444</v>
      </c>
      <c r="J1071" s="50">
        <v>45987</v>
      </c>
      <c r="K1071" s="50">
        <v>46351</v>
      </c>
      <c r="M1071" s="49" t="s">
        <v>6867</v>
      </c>
    </row>
    <row r="1072" spans="1:13" x14ac:dyDescent="0.35">
      <c r="A1072" s="49" t="s">
        <v>14332</v>
      </c>
      <c r="B1072" s="49" t="s">
        <v>7187</v>
      </c>
      <c r="C1072" s="49" t="s">
        <v>7188</v>
      </c>
      <c r="D1072" s="49" t="s">
        <v>1264</v>
      </c>
      <c r="E1072" s="49" t="s">
        <v>2785</v>
      </c>
      <c r="F1072" s="49" t="s">
        <v>2786</v>
      </c>
      <c r="G1072" s="49" t="s">
        <v>2787</v>
      </c>
      <c r="H1072" s="49" t="s">
        <v>2806</v>
      </c>
      <c r="I1072" s="50">
        <v>43071</v>
      </c>
      <c r="J1072" s="50">
        <v>42858</v>
      </c>
      <c r="K1072" s="50">
        <v>43041</v>
      </c>
      <c r="M1072" s="49" t="s">
        <v>7190</v>
      </c>
    </row>
    <row r="1073" spans="1:13" x14ac:dyDescent="0.35">
      <c r="A1073" s="49" t="s">
        <v>14332</v>
      </c>
      <c r="B1073" s="49" t="s">
        <v>7396</v>
      </c>
      <c r="C1073" s="49" t="s">
        <v>2806</v>
      </c>
      <c r="D1073" s="49" t="s">
        <v>1264</v>
      </c>
      <c r="E1073" s="49" t="s">
        <v>2785</v>
      </c>
      <c r="F1073" s="49" t="s">
        <v>2786</v>
      </c>
      <c r="G1073" s="49" t="s">
        <v>2787</v>
      </c>
      <c r="H1073" s="49" t="s">
        <v>2806</v>
      </c>
      <c r="I1073" s="50">
        <v>42401</v>
      </c>
      <c r="J1073" s="50">
        <v>42510</v>
      </c>
      <c r="K1073" s="50">
        <v>42693</v>
      </c>
      <c r="M1073" s="49" t="s">
        <v>3526</v>
      </c>
    </row>
    <row r="1074" spans="1:13" x14ac:dyDescent="0.35">
      <c r="A1074" s="49" t="s">
        <v>14332</v>
      </c>
      <c r="B1074" s="49" t="s">
        <v>7647</v>
      </c>
      <c r="C1074" s="49" t="s">
        <v>7648</v>
      </c>
      <c r="D1074" s="49" t="s">
        <v>1264</v>
      </c>
      <c r="E1074" s="49" t="s">
        <v>2785</v>
      </c>
      <c r="F1074" s="49" t="s">
        <v>2786</v>
      </c>
      <c r="G1074" s="49" t="s">
        <v>2787</v>
      </c>
      <c r="H1074" s="49" t="s">
        <v>3207</v>
      </c>
      <c r="I1074" s="50">
        <v>43251</v>
      </c>
      <c r="J1074" s="50">
        <v>43353</v>
      </c>
      <c r="K1074" s="50">
        <v>43533</v>
      </c>
      <c r="M1074" s="49" t="s">
        <v>7649</v>
      </c>
    </row>
    <row r="1075" spans="1:13" x14ac:dyDescent="0.35">
      <c r="A1075" s="49" t="s">
        <v>14332</v>
      </c>
      <c r="B1075" s="49" t="s">
        <v>7650</v>
      </c>
      <c r="C1075" s="49" t="s">
        <v>7651</v>
      </c>
      <c r="D1075" s="49" t="s">
        <v>1264</v>
      </c>
      <c r="E1075" s="49" t="s">
        <v>2785</v>
      </c>
      <c r="F1075" s="49" t="s">
        <v>2786</v>
      </c>
      <c r="G1075" s="49" t="s">
        <v>2787</v>
      </c>
      <c r="H1075" s="49" t="s">
        <v>3207</v>
      </c>
      <c r="I1075" s="50">
        <v>43251</v>
      </c>
      <c r="J1075" s="50">
        <v>43353</v>
      </c>
      <c r="K1075" s="50">
        <v>43533</v>
      </c>
      <c r="M1075" s="49" t="s">
        <v>7652</v>
      </c>
    </row>
    <row r="1076" spans="1:13" x14ac:dyDescent="0.35">
      <c r="A1076" s="49" t="s">
        <v>14332</v>
      </c>
      <c r="B1076" s="49" t="s">
        <v>7653</v>
      </c>
      <c r="C1076" s="49" t="s">
        <v>7654</v>
      </c>
      <c r="D1076" s="49" t="s">
        <v>1264</v>
      </c>
      <c r="E1076" s="49" t="s">
        <v>2785</v>
      </c>
      <c r="F1076" s="49" t="s">
        <v>2786</v>
      </c>
      <c r="G1076" s="49" t="s">
        <v>2787</v>
      </c>
      <c r="H1076" s="49" t="s">
        <v>3207</v>
      </c>
      <c r="I1076" s="50">
        <v>43251</v>
      </c>
      <c r="J1076" s="50">
        <v>43353</v>
      </c>
      <c r="K1076" s="50">
        <v>43533</v>
      </c>
      <c r="M1076" s="49" t="s">
        <v>7655</v>
      </c>
    </row>
    <row r="1077" spans="1:13" x14ac:dyDescent="0.35">
      <c r="A1077" s="49" t="s">
        <v>14332</v>
      </c>
      <c r="B1077" s="49" t="s">
        <v>7658</v>
      </c>
      <c r="C1077" s="49" t="s">
        <v>7659</v>
      </c>
      <c r="D1077" s="49" t="s">
        <v>1264</v>
      </c>
      <c r="E1077" s="49" t="s">
        <v>2785</v>
      </c>
      <c r="F1077" s="49" t="s">
        <v>2786</v>
      </c>
      <c r="G1077" s="49" t="s">
        <v>2787</v>
      </c>
      <c r="H1077" s="49" t="s">
        <v>3207</v>
      </c>
      <c r="I1077" s="50">
        <v>43251</v>
      </c>
      <c r="J1077" s="50">
        <v>43353</v>
      </c>
      <c r="K1077" s="50">
        <v>43533</v>
      </c>
      <c r="M1077" s="49" t="s">
        <v>7660</v>
      </c>
    </row>
    <row r="1078" spans="1:13" x14ac:dyDescent="0.35">
      <c r="A1078" s="49" t="s">
        <v>14332</v>
      </c>
      <c r="B1078" s="49" t="s">
        <v>7661</v>
      </c>
      <c r="C1078" s="49" t="s">
        <v>7662</v>
      </c>
      <c r="D1078" s="49" t="s">
        <v>1264</v>
      </c>
      <c r="E1078" s="49" t="s">
        <v>2785</v>
      </c>
      <c r="F1078" s="49" t="s">
        <v>2786</v>
      </c>
      <c r="G1078" s="49" t="s">
        <v>2787</v>
      </c>
      <c r="H1078" s="49" t="s">
        <v>3207</v>
      </c>
      <c r="I1078" s="50">
        <v>43251</v>
      </c>
      <c r="J1078" s="50">
        <v>43353</v>
      </c>
      <c r="K1078" s="50">
        <v>43533</v>
      </c>
      <c r="M1078" s="49" t="s">
        <v>7663</v>
      </c>
    </row>
    <row r="1079" spans="1:13" x14ac:dyDescent="0.35">
      <c r="A1079" s="49" t="s">
        <v>14332</v>
      </c>
      <c r="B1079" s="49" t="s">
        <v>7664</v>
      </c>
      <c r="C1079" s="49" t="s">
        <v>7665</v>
      </c>
      <c r="D1079" s="49" t="s">
        <v>1264</v>
      </c>
      <c r="E1079" s="49" t="s">
        <v>2785</v>
      </c>
      <c r="F1079" s="49" t="s">
        <v>2786</v>
      </c>
      <c r="G1079" s="49" t="s">
        <v>2787</v>
      </c>
      <c r="H1079" s="49" t="s">
        <v>3207</v>
      </c>
      <c r="I1079" s="50">
        <v>43251</v>
      </c>
      <c r="J1079" s="50">
        <v>43353</v>
      </c>
      <c r="K1079" s="50">
        <v>43533</v>
      </c>
      <c r="M1079" s="49" t="s">
        <v>7666</v>
      </c>
    </row>
    <row r="1080" spans="1:13" x14ac:dyDescent="0.35">
      <c r="A1080" s="49" t="s">
        <v>14332</v>
      </c>
      <c r="B1080" s="49" t="s">
        <v>8800</v>
      </c>
      <c r="C1080" s="49" t="s">
        <v>2806</v>
      </c>
      <c r="D1080" s="49" t="s">
        <v>1264</v>
      </c>
      <c r="E1080" s="49" t="s">
        <v>2785</v>
      </c>
      <c r="F1080" s="49" t="s">
        <v>2786</v>
      </c>
      <c r="G1080" s="49" t="s">
        <v>2787</v>
      </c>
      <c r="H1080" s="49" t="s">
        <v>980</v>
      </c>
      <c r="I1080" s="50">
        <v>42144</v>
      </c>
      <c r="J1080" s="50">
        <v>42187</v>
      </c>
      <c r="K1080" s="50">
        <v>42370</v>
      </c>
      <c r="M1080" s="49" t="s">
        <v>3470</v>
      </c>
    </row>
    <row r="1081" spans="1:13" x14ac:dyDescent="0.35">
      <c r="A1081" s="49" t="s">
        <v>14332</v>
      </c>
      <c r="B1081" s="49" t="s">
        <v>8848</v>
      </c>
      <c r="C1081" s="49" t="s">
        <v>6193</v>
      </c>
      <c r="D1081" s="49" t="s">
        <v>1264</v>
      </c>
      <c r="E1081" s="49" t="s">
        <v>2785</v>
      </c>
      <c r="F1081" s="49" t="s">
        <v>5423</v>
      </c>
      <c r="G1081" s="49" t="s">
        <v>2787</v>
      </c>
      <c r="H1081" s="49" t="s">
        <v>2806</v>
      </c>
      <c r="I1081" s="50">
        <v>41461</v>
      </c>
      <c r="J1081" s="50">
        <v>41481</v>
      </c>
      <c r="K1081" s="50">
        <v>41664</v>
      </c>
      <c r="M1081" s="49" t="s">
        <v>8849</v>
      </c>
    </row>
    <row r="1082" spans="1:13" x14ac:dyDescent="0.35">
      <c r="A1082" s="49" t="s">
        <v>15334</v>
      </c>
      <c r="B1082" s="49" t="s">
        <v>7763</v>
      </c>
      <c r="C1082" s="49" t="s">
        <v>7764</v>
      </c>
      <c r="D1082" s="49" t="s">
        <v>1264</v>
      </c>
      <c r="E1082" s="49" t="s">
        <v>2785</v>
      </c>
      <c r="F1082" s="49" t="s">
        <v>2792</v>
      </c>
      <c r="G1082" s="49" t="s">
        <v>2787</v>
      </c>
      <c r="H1082" s="49" t="s">
        <v>980</v>
      </c>
      <c r="I1082" s="50">
        <v>42278</v>
      </c>
      <c r="J1082" s="50">
        <v>42541</v>
      </c>
      <c r="K1082" s="50">
        <v>42723</v>
      </c>
      <c r="M1082" s="49" t="s">
        <v>7766</v>
      </c>
    </row>
    <row r="1083" spans="1:13" x14ac:dyDescent="0.35">
      <c r="A1083" s="49" t="s">
        <v>15158</v>
      </c>
      <c r="B1083" s="49" t="s">
        <v>7174</v>
      </c>
      <c r="C1083" s="49" t="s">
        <v>3881</v>
      </c>
      <c r="D1083" s="49" t="s">
        <v>1264</v>
      </c>
      <c r="E1083" s="49" t="s">
        <v>2785</v>
      </c>
      <c r="F1083" s="49" t="s">
        <v>2786</v>
      </c>
      <c r="G1083" s="49" t="s">
        <v>2787</v>
      </c>
      <c r="H1083" s="49" t="s">
        <v>980</v>
      </c>
      <c r="I1083" s="50">
        <v>43129</v>
      </c>
      <c r="J1083" s="50">
        <v>43174</v>
      </c>
      <c r="K1083" s="50">
        <v>43722</v>
      </c>
      <c r="M1083" s="49" t="s">
        <v>7176</v>
      </c>
    </row>
    <row r="1084" spans="1:13" x14ac:dyDescent="0.35">
      <c r="A1084" s="49" t="s">
        <v>15158</v>
      </c>
      <c r="B1084" s="49" t="s">
        <v>7177</v>
      </c>
      <c r="C1084" s="49" t="s">
        <v>7178</v>
      </c>
      <c r="D1084" s="49" t="s">
        <v>1264</v>
      </c>
      <c r="E1084" s="49" t="s">
        <v>2785</v>
      </c>
      <c r="F1084" s="49" t="s">
        <v>2786</v>
      </c>
      <c r="G1084" s="49" t="s">
        <v>2787</v>
      </c>
      <c r="H1084" s="49" t="s">
        <v>980</v>
      </c>
      <c r="I1084" s="50">
        <v>42768</v>
      </c>
      <c r="J1084" s="50">
        <v>42849</v>
      </c>
      <c r="K1084" s="50">
        <v>43031</v>
      </c>
      <c r="M1084" s="49" t="s">
        <v>7179</v>
      </c>
    </row>
    <row r="1085" spans="1:13" x14ac:dyDescent="0.35">
      <c r="A1085" s="49" t="s">
        <v>15158</v>
      </c>
      <c r="B1085" s="49" t="s">
        <v>7363</v>
      </c>
      <c r="C1085" s="49" t="s">
        <v>7364</v>
      </c>
      <c r="D1085" s="49" t="s">
        <v>1264</v>
      </c>
      <c r="E1085" s="49" t="s">
        <v>2785</v>
      </c>
      <c r="F1085" s="49" t="s">
        <v>2786</v>
      </c>
      <c r="G1085" s="49" t="s">
        <v>2787</v>
      </c>
      <c r="H1085" s="49" t="s">
        <v>980</v>
      </c>
      <c r="I1085" s="50">
        <v>42877</v>
      </c>
      <c r="J1085" s="50">
        <v>42919</v>
      </c>
      <c r="K1085" s="50">
        <v>43102</v>
      </c>
      <c r="M1085" s="49" t="s">
        <v>7365</v>
      </c>
    </row>
    <row r="1086" spans="1:13" x14ac:dyDescent="0.35">
      <c r="A1086" s="49" t="s">
        <v>15158</v>
      </c>
      <c r="B1086" s="49" t="s">
        <v>7366</v>
      </c>
      <c r="C1086" s="49" t="s">
        <v>7367</v>
      </c>
      <c r="D1086" s="49" t="s">
        <v>1264</v>
      </c>
      <c r="E1086" s="49" t="s">
        <v>2785</v>
      </c>
      <c r="F1086" s="49" t="s">
        <v>2786</v>
      </c>
      <c r="G1086" s="49" t="s">
        <v>2787</v>
      </c>
      <c r="H1086" s="49" t="s">
        <v>980</v>
      </c>
      <c r="I1086" s="50">
        <v>42864</v>
      </c>
      <c r="J1086" s="50">
        <v>42919</v>
      </c>
      <c r="K1086" s="50">
        <v>43102</v>
      </c>
      <c r="M1086" s="49" t="s">
        <v>7368</v>
      </c>
    </row>
    <row r="1087" spans="1:13" x14ac:dyDescent="0.35">
      <c r="A1087" s="49" t="s">
        <v>15158</v>
      </c>
      <c r="B1087" s="49" t="s">
        <v>7391</v>
      </c>
      <c r="C1087" s="49" t="s">
        <v>7364</v>
      </c>
      <c r="D1087" s="49" t="s">
        <v>1264</v>
      </c>
      <c r="E1087" s="49" t="s">
        <v>2785</v>
      </c>
      <c r="F1087" s="49" t="s">
        <v>2786</v>
      </c>
      <c r="G1087" s="49" t="s">
        <v>2787</v>
      </c>
      <c r="H1087" s="49" t="s">
        <v>980</v>
      </c>
      <c r="I1087" s="50">
        <v>42877</v>
      </c>
      <c r="J1087" s="50">
        <v>42923</v>
      </c>
      <c r="K1087" s="50">
        <v>43106</v>
      </c>
      <c r="M1087" s="49" t="s">
        <v>7392</v>
      </c>
    </row>
    <row r="1088" spans="1:13" x14ac:dyDescent="0.35">
      <c r="A1088" s="49" t="s">
        <v>15158</v>
      </c>
      <c r="B1088" s="49" t="s">
        <v>9723</v>
      </c>
      <c r="C1088" s="49"/>
      <c r="D1088" s="49" t="s">
        <v>1264</v>
      </c>
      <c r="E1088" s="49" t="s">
        <v>2785</v>
      </c>
      <c r="F1088" s="49" t="s">
        <v>2786</v>
      </c>
      <c r="G1088" s="49" t="s">
        <v>2776</v>
      </c>
      <c r="H1088" s="49" t="s">
        <v>980</v>
      </c>
      <c r="I1088" s="50">
        <v>42144</v>
      </c>
      <c r="M1088" s="49" t="s">
        <v>9724</v>
      </c>
    </row>
    <row r="1089" spans="1:13" x14ac:dyDescent="0.35">
      <c r="A1089" s="49" t="s">
        <v>15158</v>
      </c>
      <c r="B1089" s="49" t="s">
        <v>9862</v>
      </c>
      <c r="C1089" s="49"/>
      <c r="D1089" s="49" t="s">
        <v>1264</v>
      </c>
      <c r="E1089" s="49" t="s">
        <v>2785</v>
      </c>
      <c r="F1089" s="49" t="s">
        <v>2786</v>
      </c>
      <c r="G1089" s="49" t="s">
        <v>2776</v>
      </c>
      <c r="H1089" s="49" t="s">
        <v>980</v>
      </c>
      <c r="I1089" s="50">
        <v>42459</v>
      </c>
      <c r="M1089" s="49" t="s">
        <v>9863</v>
      </c>
    </row>
    <row r="1090" spans="1:13" x14ac:dyDescent="0.35">
      <c r="A1090" s="49" t="s">
        <v>14344</v>
      </c>
      <c r="B1090" s="49" t="s">
        <v>7369</v>
      </c>
      <c r="C1090" s="49" t="s">
        <v>3586</v>
      </c>
      <c r="D1090" s="49" t="s">
        <v>1264</v>
      </c>
      <c r="E1090" s="49" t="s">
        <v>2785</v>
      </c>
      <c r="F1090" s="49" t="s">
        <v>2786</v>
      </c>
      <c r="G1090" s="49" t="s">
        <v>2787</v>
      </c>
      <c r="H1090" s="49" t="s">
        <v>980</v>
      </c>
      <c r="I1090" s="50">
        <v>43458</v>
      </c>
      <c r="J1090" s="50">
        <v>43584</v>
      </c>
      <c r="K1090" s="50">
        <v>43766</v>
      </c>
      <c r="M1090" s="49" t="s">
        <v>7371</v>
      </c>
    </row>
    <row r="1091" spans="1:13" x14ac:dyDescent="0.35">
      <c r="A1091" s="49" t="s">
        <v>14891</v>
      </c>
      <c r="B1091" s="49" t="s">
        <v>5895</v>
      </c>
      <c r="C1091" s="49" t="s">
        <v>2849</v>
      </c>
      <c r="D1091" s="49" t="s">
        <v>1264</v>
      </c>
      <c r="E1091" s="49" t="s">
        <v>2785</v>
      </c>
      <c r="F1091" s="49" t="s">
        <v>2792</v>
      </c>
      <c r="G1091" s="49" t="s">
        <v>2787</v>
      </c>
      <c r="H1091" s="49" t="s">
        <v>980</v>
      </c>
      <c r="I1091" s="50">
        <v>44991</v>
      </c>
      <c r="J1091" s="50">
        <v>45041</v>
      </c>
      <c r="K1091" s="50">
        <v>45511</v>
      </c>
      <c r="M1091" s="49" t="s">
        <v>5897</v>
      </c>
    </row>
    <row r="1092" spans="1:13" x14ac:dyDescent="0.35">
      <c r="A1092" s="49" t="s">
        <v>14891</v>
      </c>
      <c r="B1092" s="49" t="s">
        <v>9572</v>
      </c>
      <c r="C1092" s="49" t="s">
        <v>9473</v>
      </c>
      <c r="D1092" s="49" t="s">
        <v>1264</v>
      </c>
      <c r="E1092" s="49" t="s">
        <v>2785</v>
      </c>
      <c r="F1092" s="49" t="s">
        <v>2792</v>
      </c>
      <c r="G1092" s="49" t="s">
        <v>2776</v>
      </c>
      <c r="H1092" s="49" t="s">
        <v>980</v>
      </c>
      <c r="I1092" s="50">
        <v>44131</v>
      </c>
      <c r="M1092" s="49" t="s">
        <v>6961</v>
      </c>
    </row>
    <row r="1093" spans="1:13" x14ac:dyDescent="0.35">
      <c r="A1093" s="49" t="s">
        <v>14551</v>
      </c>
      <c r="B1093" s="49" t="s">
        <v>10200</v>
      </c>
      <c r="C1093" s="49"/>
      <c r="D1093" s="49" t="s">
        <v>1264</v>
      </c>
      <c r="E1093" s="49" t="s">
        <v>2814</v>
      </c>
      <c r="F1093" s="49" t="s">
        <v>2825</v>
      </c>
      <c r="G1093" s="49" t="s">
        <v>2776</v>
      </c>
      <c r="H1093" s="49" t="s">
        <v>2827</v>
      </c>
      <c r="I1093" s="50">
        <v>43956</v>
      </c>
      <c r="M1093" s="49" t="s">
        <v>10202</v>
      </c>
    </row>
    <row r="1094" spans="1:13" x14ac:dyDescent="0.35">
      <c r="A1094" s="49" t="s">
        <v>4110</v>
      </c>
      <c r="B1094" s="49" t="s">
        <v>4108</v>
      </c>
      <c r="C1094" s="49" t="s">
        <v>4109</v>
      </c>
      <c r="D1094" s="49" t="s">
        <v>1264</v>
      </c>
      <c r="E1094" s="49" t="s">
        <v>2986</v>
      </c>
      <c r="F1094" s="49" t="s">
        <v>2825</v>
      </c>
      <c r="G1094" s="49" t="s">
        <v>2820</v>
      </c>
      <c r="H1094" s="49" t="s">
        <v>2827</v>
      </c>
      <c r="I1094" s="50">
        <v>44049</v>
      </c>
      <c r="J1094" s="50">
        <v>42872</v>
      </c>
      <c r="K1094" s="50">
        <v>45353</v>
      </c>
      <c r="M1094" s="49" t="s">
        <v>4111</v>
      </c>
    </row>
    <row r="1095" spans="1:13" x14ac:dyDescent="0.35">
      <c r="A1095" s="49" t="s">
        <v>4110</v>
      </c>
      <c r="B1095" s="49" t="s">
        <v>7836</v>
      </c>
      <c r="C1095" s="49" t="s">
        <v>7837</v>
      </c>
      <c r="D1095" s="49" t="s">
        <v>1264</v>
      </c>
      <c r="E1095" s="49" t="s">
        <v>7057</v>
      </c>
      <c r="F1095" s="49" t="s">
        <v>2825</v>
      </c>
      <c r="G1095" s="49" t="s">
        <v>2787</v>
      </c>
      <c r="H1095" s="49" t="s">
        <v>973</v>
      </c>
      <c r="I1095" s="50">
        <v>38293</v>
      </c>
      <c r="J1095" s="50">
        <v>38484</v>
      </c>
      <c r="K1095" s="50">
        <v>42565</v>
      </c>
      <c r="M1095" s="49" t="s">
        <v>7839</v>
      </c>
    </row>
    <row r="1096" spans="1:13" x14ac:dyDescent="0.35">
      <c r="A1096" s="49" t="s">
        <v>14602</v>
      </c>
      <c r="B1096" s="49" t="s">
        <v>11326</v>
      </c>
      <c r="C1096" s="49" t="s">
        <v>6306</v>
      </c>
      <c r="D1096" s="49" t="s">
        <v>1264</v>
      </c>
      <c r="E1096" s="49" t="s">
        <v>2774</v>
      </c>
      <c r="F1096" s="49" t="s">
        <v>4842</v>
      </c>
      <c r="G1096" s="49" t="s">
        <v>2776</v>
      </c>
      <c r="H1096" s="49" t="s">
        <v>2827</v>
      </c>
      <c r="I1096" s="50">
        <v>45029</v>
      </c>
      <c r="M1096" s="49" t="s">
        <v>11328</v>
      </c>
    </row>
    <row r="1097" spans="1:13" x14ac:dyDescent="0.35">
      <c r="A1097" s="49" t="s">
        <v>14158</v>
      </c>
      <c r="B1097" s="49" t="s">
        <v>4122</v>
      </c>
      <c r="C1097" s="49" t="s">
        <v>4123</v>
      </c>
      <c r="D1097" s="49" t="s">
        <v>1264</v>
      </c>
      <c r="E1097" s="49" t="s">
        <v>2774</v>
      </c>
      <c r="F1097" s="49" t="s">
        <v>2900</v>
      </c>
      <c r="G1097" s="49" t="s">
        <v>2787</v>
      </c>
      <c r="H1097" s="49" t="s">
        <v>2806</v>
      </c>
      <c r="I1097" s="50">
        <v>40719</v>
      </c>
      <c r="J1097" s="50">
        <v>40739</v>
      </c>
      <c r="K1097" s="50">
        <v>45145</v>
      </c>
      <c r="M1097" s="49" t="s">
        <v>4125</v>
      </c>
    </row>
    <row r="1098" spans="1:13" x14ac:dyDescent="0.35">
      <c r="A1098" s="49" t="s">
        <v>14158</v>
      </c>
      <c r="B1098" s="49" t="s">
        <v>6192</v>
      </c>
      <c r="C1098" s="49" t="s">
        <v>6193</v>
      </c>
      <c r="D1098" s="49" t="s">
        <v>1264</v>
      </c>
      <c r="E1098" s="49" t="s">
        <v>2974</v>
      </c>
      <c r="F1098" s="49" t="s">
        <v>2900</v>
      </c>
      <c r="G1098" s="49" t="s">
        <v>2826</v>
      </c>
      <c r="H1098" s="49" t="s">
        <v>2806</v>
      </c>
      <c r="I1098" s="50">
        <v>45301</v>
      </c>
      <c r="M1098" s="49" t="s">
        <v>6194</v>
      </c>
    </row>
    <row r="1099" spans="1:13" x14ac:dyDescent="0.35">
      <c r="A1099" s="49" t="s">
        <v>14892</v>
      </c>
      <c r="B1099" s="49" t="s">
        <v>13659</v>
      </c>
      <c r="C1099" s="49"/>
      <c r="D1099" s="49" t="s">
        <v>1264</v>
      </c>
      <c r="E1099" s="49" t="s">
        <v>2986</v>
      </c>
      <c r="F1099" s="49" t="s">
        <v>2825</v>
      </c>
      <c r="G1099" s="49" t="s">
        <v>2776</v>
      </c>
      <c r="H1099" s="49" t="s">
        <v>2827</v>
      </c>
      <c r="I1099" s="50">
        <v>43318</v>
      </c>
      <c r="M1099" s="49" t="s">
        <v>13661</v>
      </c>
    </row>
    <row r="1100" spans="1:13" x14ac:dyDescent="0.35">
      <c r="A1100" s="49" t="s">
        <v>1035</v>
      </c>
      <c r="B1100" s="49" t="s">
        <v>6049</v>
      </c>
      <c r="C1100" s="49" t="s">
        <v>5944</v>
      </c>
      <c r="D1100" s="49" t="s">
        <v>1264</v>
      </c>
      <c r="E1100" s="49" t="s">
        <v>2785</v>
      </c>
      <c r="F1100" s="49" t="s">
        <v>2786</v>
      </c>
      <c r="G1100" s="49" t="s">
        <v>2901</v>
      </c>
      <c r="H1100" s="49" t="s">
        <v>980</v>
      </c>
      <c r="I1100" s="50">
        <v>45132</v>
      </c>
      <c r="J1100" s="50">
        <v>45271</v>
      </c>
      <c r="K1100" s="50">
        <v>45636</v>
      </c>
      <c r="M1100" s="49" t="s">
        <v>6051</v>
      </c>
    </row>
    <row r="1101" spans="1:13" x14ac:dyDescent="0.35">
      <c r="A1101" s="49" t="s">
        <v>782</v>
      </c>
      <c r="B1101" s="49" t="s">
        <v>7209</v>
      </c>
      <c r="C1101" s="49" t="s">
        <v>5640</v>
      </c>
      <c r="D1101" s="49" t="s">
        <v>1264</v>
      </c>
      <c r="E1101" s="49" t="s">
        <v>2785</v>
      </c>
      <c r="F1101" s="49" t="s">
        <v>2792</v>
      </c>
      <c r="G1101" s="49" t="s">
        <v>2787</v>
      </c>
      <c r="H1101" s="49" t="s">
        <v>980</v>
      </c>
      <c r="I1101" s="50">
        <v>42249</v>
      </c>
      <c r="J1101" s="50">
        <v>42634</v>
      </c>
      <c r="K1101" s="50">
        <v>42814</v>
      </c>
      <c r="M1101" s="49" t="s">
        <v>7211</v>
      </c>
    </row>
    <row r="1102" spans="1:13" x14ac:dyDescent="0.35">
      <c r="A1102" s="49" t="s">
        <v>15161</v>
      </c>
      <c r="B1102" s="49" t="s">
        <v>4094</v>
      </c>
      <c r="C1102" s="49" t="s">
        <v>2818</v>
      </c>
      <c r="D1102" s="49" t="s">
        <v>1264</v>
      </c>
      <c r="E1102" s="49" t="s">
        <v>2785</v>
      </c>
      <c r="F1102" s="49" t="s">
        <v>2792</v>
      </c>
      <c r="G1102" s="49" t="s">
        <v>2787</v>
      </c>
      <c r="H1102" s="49" t="s">
        <v>8</v>
      </c>
      <c r="I1102" s="50">
        <v>44033</v>
      </c>
      <c r="J1102" s="50">
        <v>44151</v>
      </c>
      <c r="K1102" s="50">
        <v>45428</v>
      </c>
      <c r="M1102" s="49" t="s">
        <v>4096</v>
      </c>
    </row>
    <row r="1103" spans="1:13" x14ac:dyDescent="0.35">
      <c r="A1103" s="49" t="s">
        <v>15161</v>
      </c>
      <c r="B1103" s="49" t="s">
        <v>4186</v>
      </c>
      <c r="C1103" s="49" t="s">
        <v>2818</v>
      </c>
      <c r="D1103" s="49" t="s">
        <v>1264</v>
      </c>
      <c r="E1103" s="49" t="s">
        <v>2785</v>
      </c>
      <c r="F1103" s="49" t="s">
        <v>2792</v>
      </c>
      <c r="G1103" s="49" t="s">
        <v>4187</v>
      </c>
      <c r="H1103" s="49" t="s">
        <v>8</v>
      </c>
      <c r="I1103" s="50">
        <v>44225</v>
      </c>
      <c r="J1103" s="50">
        <v>44256</v>
      </c>
      <c r="K1103" s="50">
        <v>44441</v>
      </c>
      <c r="M1103" s="49" t="s">
        <v>4188</v>
      </c>
    </row>
    <row r="1104" spans="1:13" x14ac:dyDescent="0.35">
      <c r="A1104" s="49" t="s">
        <v>15161</v>
      </c>
      <c r="B1104" s="49" t="s">
        <v>4763</v>
      </c>
      <c r="C1104" s="49" t="s">
        <v>2818</v>
      </c>
      <c r="D1104" s="49" t="s">
        <v>1264</v>
      </c>
      <c r="E1104" s="49" t="s">
        <v>2785</v>
      </c>
      <c r="F1104" s="49" t="s">
        <v>2792</v>
      </c>
      <c r="G1104" s="49" t="s">
        <v>2787</v>
      </c>
      <c r="H1104" s="49" t="s">
        <v>8</v>
      </c>
      <c r="I1104" s="50">
        <v>44410</v>
      </c>
      <c r="J1104" s="50">
        <v>44652</v>
      </c>
      <c r="K1104" s="50">
        <v>45428</v>
      </c>
      <c r="M1104" s="49" t="s">
        <v>4764</v>
      </c>
    </row>
    <row r="1105" spans="1:13" x14ac:dyDescent="0.35">
      <c r="A1105" s="49" t="s">
        <v>15161</v>
      </c>
      <c r="B1105" s="49" t="s">
        <v>4939</v>
      </c>
      <c r="C1105" s="49" t="s">
        <v>4379</v>
      </c>
      <c r="D1105" s="49" t="s">
        <v>1264</v>
      </c>
      <c r="E1105" s="49" t="s">
        <v>2785</v>
      </c>
      <c r="F1105" s="49" t="s">
        <v>2792</v>
      </c>
      <c r="G1105" s="49" t="s">
        <v>2787</v>
      </c>
      <c r="H1105" s="49" t="s">
        <v>8</v>
      </c>
      <c r="I1105" s="50">
        <v>44624</v>
      </c>
      <c r="J1105" s="50">
        <v>44630</v>
      </c>
      <c r="K1105" s="50">
        <v>45428</v>
      </c>
      <c r="M1105" s="49" t="s">
        <v>4940</v>
      </c>
    </row>
    <row r="1106" spans="1:13" x14ac:dyDescent="0.35">
      <c r="A1106" s="49" t="s">
        <v>15161</v>
      </c>
      <c r="B1106" s="49" t="s">
        <v>7274</v>
      </c>
      <c r="C1106" s="49" t="s">
        <v>5778</v>
      </c>
      <c r="D1106" s="49" t="s">
        <v>1264</v>
      </c>
      <c r="E1106" s="49" t="s">
        <v>2785</v>
      </c>
      <c r="F1106" s="49" t="s">
        <v>2792</v>
      </c>
      <c r="G1106" s="49" t="s">
        <v>2787</v>
      </c>
      <c r="H1106" s="49" t="s">
        <v>8</v>
      </c>
      <c r="I1106" s="50">
        <v>43902</v>
      </c>
      <c r="J1106" s="50">
        <v>43948</v>
      </c>
      <c r="K1106" s="50">
        <v>44312</v>
      </c>
      <c r="M1106" s="49" t="s">
        <v>7275</v>
      </c>
    </row>
    <row r="1107" spans="1:13" x14ac:dyDescent="0.35">
      <c r="A1107" s="49" t="s">
        <v>210</v>
      </c>
      <c r="B1107" s="49" t="s">
        <v>4964</v>
      </c>
      <c r="C1107" s="49"/>
      <c r="D1107" s="49" t="s">
        <v>1264</v>
      </c>
      <c r="E1107" s="49" t="s">
        <v>2814</v>
      </c>
      <c r="F1107" s="49" t="s">
        <v>4966</v>
      </c>
      <c r="G1107" s="49" t="s">
        <v>2787</v>
      </c>
      <c r="H1107" s="49" t="s">
        <v>980</v>
      </c>
      <c r="I1107" s="50">
        <v>44769</v>
      </c>
      <c r="J1107" s="50">
        <v>44774</v>
      </c>
      <c r="K1107" s="50">
        <v>44957</v>
      </c>
      <c r="M1107" s="49" t="s">
        <v>4967</v>
      </c>
    </row>
    <row r="1108" spans="1:13" x14ac:dyDescent="0.35">
      <c r="A1108" s="49" t="s">
        <v>210</v>
      </c>
      <c r="B1108" s="49" t="s">
        <v>6931</v>
      </c>
      <c r="C1108" s="49"/>
      <c r="D1108" s="49" t="s">
        <v>1264</v>
      </c>
      <c r="E1108" s="49" t="s">
        <v>2814</v>
      </c>
      <c r="F1108" s="49" t="s">
        <v>2805</v>
      </c>
      <c r="G1108" s="49" t="s">
        <v>2901</v>
      </c>
      <c r="H1108" s="49" t="s">
        <v>973</v>
      </c>
      <c r="I1108" s="50">
        <v>45418</v>
      </c>
      <c r="J1108" s="50">
        <v>46076</v>
      </c>
      <c r="K1108" s="50">
        <v>46256</v>
      </c>
      <c r="M1108" s="49" t="s">
        <v>6932</v>
      </c>
    </row>
    <row r="1109" spans="1:13" x14ac:dyDescent="0.35">
      <c r="A1109" s="49" t="s">
        <v>210</v>
      </c>
      <c r="B1109" s="49" t="s">
        <v>12432</v>
      </c>
      <c r="C1109" s="49"/>
      <c r="D1109" s="49" t="s">
        <v>1264</v>
      </c>
      <c r="E1109" s="49" t="s">
        <v>2814</v>
      </c>
      <c r="F1109" s="49" t="s">
        <v>4611</v>
      </c>
      <c r="G1109" s="49" t="s">
        <v>4891</v>
      </c>
      <c r="H1109" s="49" t="s">
        <v>980</v>
      </c>
      <c r="I1109" s="50">
        <v>45418</v>
      </c>
      <c r="M1109" s="49" t="s">
        <v>12433</v>
      </c>
    </row>
    <row r="1110" spans="1:13" x14ac:dyDescent="0.35">
      <c r="A1110" s="49" t="s">
        <v>15093</v>
      </c>
      <c r="B1110" s="49" t="s">
        <v>3027</v>
      </c>
      <c r="C1110" s="49" t="s">
        <v>3028</v>
      </c>
      <c r="D1110" s="49" t="s">
        <v>1264</v>
      </c>
      <c r="E1110" s="49" t="s">
        <v>2899</v>
      </c>
      <c r="F1110" s="49" t="s">
        <v>3030</v>
      </c>
      <c r="G1110" s="49" t="s">
        <v>2901</v>
      </c>
      <c r="H1110" s="49" t="s">
        <v>980</v>
      </c>
      <c r="I1110" s="50">
        <v>39310</v>
      </c>
      <c r="J1110" s="50">
        <v>39794</v>
      </c>
      <c r="K1110" s="50">
        <v>48924</v>
      </c>
      <c r="M1110" s="49" t="s">
        <v>3031</v>
      </c>
    </row>
    <row r="1111" spans="1:13" x14ac:dyDescent="0.35">
      <c r="A1111" s="49" t="s">
        <v>15093</v>
      </c>
      <c r="B1111" s="49" t="s">
        <v>7360</v>
      </c>
      <c r="C1111" s="49" t="s">
        <v>7361</v>
      </c>
      <c r="D1111" s="49" t="s">
        <v>1264</v>
      </c>
      <c r="E1111" s="49" t="s">
        <v>2908</v>
      </c>
      <c r="F1111" s="49" t="s">
        <v>2939</v>
      </c>
      <c r="G1111" s="49" t="s">
        <v>2787</v>
      </c>
      <c r="H1111" s="49" t="s">
        <v>980</v>
      </c>
      <c r="I1111" s="50">
        <v>39039</v>
      </c>
      <c r="J1111" s="50">
        <v>39111</v>
      </c>
      <c r="K1111" s="50">
        <v>43342</v>
      </c>
      <c r="M1111" s="49" t="s">
        <v>7362</v>
      </c>
    </row>
    <row r="1112" spans="1:13" x14ac:dyDescent="0.35">
      <c r="A1112" s="49" t="s">
        <v>215</v>
      </c>
      <c r="B1112" s="49" t="s">
        <v>11479</v>
      </c>
      <c r="C1112" s="49" t="s">
        <v>11480</v>
      </c>
      <c r="D1112" s="49" t="s">
        <v>1264</v>
      </c>
      <c r="E1112" s="49" t="s">
        <v>2986</v>
      </c>
      <c r="F1112" s="49" t="s">
        <v>2825</v>
      </c>
      <c r="G1112" s="49" t="s">
        <v>4891</v>
      </c>
      <c r="H1112" s="49" t="s">
        <v>2827</v>
      </c>
      <c r="I1112" s="50">
        <v>45111</v>
      </c>
      <c r="M1112" s="49" t="s">
        <v>5948</v>
      </c>
    </row>
    <row r="1113" spans="1:13" x14ac:dyDescent="0.35">
      <c r="A1113" s="49" t="s">
        <v>14844</v>
      </c>
      <c r="B1113" s="49" t="s">
        <v>7667</v>
      </c>
      <c r="C1113" s="49" t="s">
        <v>3218</v>
      </c>
      <c r="D1113" s="49" t="s">
        <v>1264</v>
      </c>
      <c r="E1113" s="49" t="s">
        <v>2785</v>
      </c>
      <c r="F1113" s="49" t="s">
        <v>2786</v>
      </c>
      <c r="G1113" s="49" t="s">
        <v>2787</v>
      </c>
      <c r="H1113" s="49" t="s">
        <v>980</v>
      </c>
      <c r="I1113" s="50">
        <v>42451</v>
      </c>
      <c r="J1113" s="50">
        <v>42634</v>
      </c>
      <c r="K1113" s="50">
        <v>42814</v>
      </c>
      <c r="M1113" s="49" t="s">
        <v>7669</v>
      </c>
    </row>
    <row r="1114" spans="1:13" x14ac:dyDescent="0.35">
      <c r="A1114" s="49" t="s">
        <v>14588</v>
      </c>
      <c r="B1114" s="49" t="s">
        <v>10871</v>
      </c>
      <c r="C1114" s="49"/>
      <c r="D1114" s="49" t="s">
        <v>1264</v>
      </c>
      <c r="E1114" s="49" t="s">
        <v>2974</v>
      </c>
      <c r="F1114" s="49" t="s">
        <v>2900</v>
      </c>
      <c r="G1114" s="49" t="s">
        <v>2826</v>
      </c>
      <c r="H1114" s="49" t="s">
        <v>2832</v>
      </c>
      <c r="I1114" s="50">
        <v>44447</v>
      </c>
      <c r="M1114" s="49" t="s">
        <v>5612</v>
      </c>
    </row>
    <row r="1115" spans="1:13" x14ac:dyDescent="0.35">
      <c r="A1115" s="49" t="s">
        <v>220</v>
      </c>
      <c r="B1115" s="49" t="s">
        <v>6608</v>
      </c>
      <c r="C1115" s="49" t="s">
        <v>3264</v>
      </c>
      <c r="D1115" s="49" t="s">
        <v>1264</v>
      </c>
      <c r="E1115" s="49" t="s">
        <v>2774</v>
      </c>
      <c r="F1115" s="49" t="s">
        <v>3188</v>
      </c>
      <c r="G1115" s="49" t="s">
        <v>2901</v>
      </c>
      <c r="H1115" s="49" t="s">
        <v>973</v>
      </c>
      <c r="I1115" s="50">
        <v>45307</v>
      </c>
      <c r="J1115" s="50">
        <v>45365</v>
      </c>
      <c r="K1115" s="50">
        <v>46825</v>
      </c>
      <c r="M1115" s="49" t="s">
        <v>6610</v>
      </c>
    </row>
    <row r="1116" spans="1:13" x14ac:dyDescent="0.35">
      <c r="A1116" s="49" t="s">
        <v>220</v>
      </c>
      <c r="B1116" s="49" t="s">
        <v>10873</v>
      </c>
      <c r="C1116" s="49"/>
      <c r="D1116" s="49" t="s">
        <v>1264</v>
      </c>
      <c r="E1116" s="49" t="s">
        <v>2974</v>
      </c>
      <c r="F1116" s="49" t="s">
        <v>2775</v>
      </c>
      <c r="G1116" s="49" t="s">
        <v>2826</v>
      </c>
      <c r="H1116" s="49" t="s">
        <v>980</v>
      </c>
      <c r="I1116" s="50">
        <v>44447</v>
      </c>
      <c r="M1116" s="49" t="s">
        <v>7978</v>
      </c>
    </row>
    <row r="1117" spans="1:13" x14ac:dyDescent="0.35">
      <c r="A1117" s="49" t="s">
        <v>15162</v>
      </c>
      <c r="B1117" s="49" t="s">
        <v>10928</v>
      </c>
      <c r="C1117" s="49" t="s">
        <v>2937</v>
      </c>
      <c r="D1117" s="49" t="s">
        <v>1264</v>
      </c>
      <c r="E1117" s="49" t="s">
        <v>2814</v>
      </c>
      <c r="F1117" s="49" t="s">
        <v>2939</v>
      </c>
      <c r="G1117" s="49" t="s">
        <v>2776</v>
      </c>
      <c r="H1117" s="49" t="s">
        <v>980</v>
      </c>
      <c r="I1117" s="50">
        <v>44422</v>
      </c>
      <c r="M1117" s="49" t="s">
        <v>10930</v>
      </c>
    </row>
    <row r="1118" spans="1:13" x14ac:dyDescent="0.35">
      <c r="A1118" s="49" t="s">
        <v>14065</v>
      </c>
      <c r="B1118" s="49" t="s">
        <v>2829</v>
      </c>
      <c r="C1118" s="49" t="s">
        <v>2830</v>
      </c>
      <c r="D1118" s="49" t="s">
        <v>1264</v>
      </c>
      <c r="E1118" s="49" t="s">
        <v>2785</v>
      </c>
      <c r="F1118" s="49" t="s">
        <v>2792</v>
      </c>
      <c r="G1118" s="49" t="s">
        <v>2787</v>
      </c>
      <c r="H1118" s="49" t="s">
        <v>2832</v>
      </c>
      <c r="I1118" s="50">
        <v>43845</v>
      </c>
      <c r="J1118" s="50">
        <v>43888</v>
      </c>
      <c r="K1118" s="50">
        <v>44254</v>
      </c>
      <c r="M1118" s="49" t="s">
        <v>2833</v>
      </c>
    </row>
    <row r="1119" spans="1:13" x14ac:dyDescent="0.35">
      <c r="A1119" s="49" t="s">
        <v>15163</v>
      </c>
      <c r="B1119" s="49" t="s">
        <v>6790</v>
      </c>
      <c r="C1119" s="49" t="s">
        <v>6791</v>
      </c>
      <c r="D1119" s="49" t="s">
        <v>1264</v>
      </c>
      <c r="E1119" s="49" t="s">
        <v>2785</v>
      </c>
      <c r="F1119" s="49" t="s">
        <v>2792</v>
      </c>
      <c r="G1119" s="49" t="s">
        <v>2901</v>
      </c>
      <c r="H1119" s="49" t="s">
        <v>857</v>
      </c>
      <c r="I1119" s="52">
        <v>45960.42</v>
      </c>
      <c r="J1119" s="50">
        <v>45985</v>
      </c>
      <c r="K1119" s="50">
        <v>46349</v>
      </c>
      <c r="M1119" s="49" t="s">
        <v>6793</v>
      </c>
    </row>
    <row r="1120" spans="1:13" x14ac:dyDescent="0.35">
      <c r="A1120" s="49" t="s">
        <v>15163</v>
      </c>
      <c r="B1120" s="49" t="s">
        <v>6806</v>
      </c>
      <c r="C1120" s="49" t="s">
        <v>6807</v>
      </c>
      <c r="D1120" s="49" t="s">
        <v>1264</v>
      </c>
      <c r="E1120" s="49" t="s">
        <v>2785</v>
      </c>
      <c r="F1120" s="49" t="s">
        <v>2792</v>
      </c>
      <c r="G1120" s="49" t="s">
        <v>4330</v>
      </c>
      <c r="H1120" s="49" t="s">
        <v>857</v>
      </c>
      <c r="I1120" s="52">
        <v>45975.414502314801</v>
      </c>
      <c r="M1120" s="49" t="s">
        <v>6808</v>
      </c>
    </row>
    <row r="1121" spans="1:13" x14ac:dyDescent="0.35">
      <c r="A1121" s="49" t="s">
        <v>15163</v>
      </c>
      <c r="B1121" s="49" t="s">
        <v>13292</v>
      </c>
      <c r="C1121" s="49"/>
      <c r="D1121" s="49" t="s">
        <v>1264</v>
      </c>
      <c r="E1121" s="49" t="s">
        <v>2785</v>
      </c>
      <c r="F1121" s="49" t="s">
        <v>2792</v>
      </c>
      <c r="G1121" s="49" t="s">
        <v>4891</v>
      </c>
      <c r="H1121" s="49" t="s">
        <v>864</v>
      </c>
      <c r="I1121" s="52">
        <v>46097.433541666702</v>
      </c>
      <c r="M1121" s="49" t="s">
        <v>13293</v>
      </c>
    </row>
    <row r="1122" spans="1:13" x14ac:dyDescent="0.35">
      <c r="A1122" s="49" t="s">
        <v>15335</v>
      </c>
      <c r="B1122" s="49" t="s">
        <v>9130</v>
      </c>
      <c r="C1122" s="49"/>
      <c r="D1122" s="49" t="s">
        <v>1264</v>
      </c>
      <c r="E1122" s="49" t="s">
        <v>2908</v>
      </c>
      <c r="F1122" s="49" t="s">
        <v>2837</v>
      </c>
      <c r="G1122" s="49" t="s">
        <v>2776</v>
      </c>
      <c r="H1122" s="49" t="s">
        <v>980</v>
      </c>
      <c r="I1122" s="50">
        <v>42135</v>
      </c>
      <c r="M1122" s="49" t="s">
        <v>9132</v>
      </c>
    </row>
    <row r="1123" spans="1:13" x14ac:dyDescent="0.35">
      <c r="A1123" s="49" t="s">
        <v>15164</v>
      </c>
      <c r="B1123" s="49" t="s">
        <v>12398</v>
      </c>
      <c r="C1123" s="49" t="s">
        <v>3615</v>
      </c>
      <c r="D1123" s="49" t="s">
        <v>1264</v>
      </c>
      <c r="E1123" s="49" t="s">
        <v>2785</v>
      </c>
      <c r="F1123" s="49" t="s">
        <v>2786</v>
      </c>
      <c r="G1123" s="49" t="s">
        <v>4330</v>
      </c>
      <c r="H1123" s="49" t="s">
        <v>980</v>
      </c>
      <c r="I1123" s="50">
        <v>45390</v>
      </c>
      <c r="M1123" s="49" t="s">
        <v>12329</v>
      </c>
    </row>
    <row r="1124" spans="1:13" x14ac:dyDescent="0.35">
      <c r="A1124" s="49" t="s">
        <v>15066</v>
      </c>
      <c r="B1124" s="49" t="s">
        <v>5958</v>
      </c>
      <c r="C1124" s="49" t="s">
        <v>5959</v>
      </c>
      <c r="D1124" s="49" t="s">
        <v>1264</v>
      </c>
      <c r="E1124" s="49" t="s">
        <v>2785</v>
      </c>
      <c r="F1124" s="49" t="s">
        <v>2792</v>
      </c>
      <c r="G1124" s="49" t="s">
        <v>2787</v>
      </c>
      <c r="H1124" s="49" t="s">
        <v>835</v>
      </c>
      <c r="I1124" s="50">
        <v>45222</v>
      </c>
      <c r="J1124" s="50">
        <v>45239</v>
      </c>
      <c r="K1124" s="50">
        <v>45604</v>
      </c>
      <c r="M1124" s="49" t="s">
        <v>3104</v>
      </c>
    </row>
    <row r="1125" spans="1:13" x14ac:dyDescent="0.35">
      <c r="A1125" s="49" t="s">
        <v>15066</v>
      </c>
      <c r="B1125" s="49" t="s">
        <v>6269</v>
      </c>
      <c r="C1125" s="49" t="s">
        <v>6270</v>
      </c>
      <c r="D1125" s="49" t="s">
        <v>1264</v>
      </c>
      <c r="E1125" s="49" t="s">
        <v>2785</v>
      </c>
      <c r="F1125" s="49" t="s">
        <v>2792</v>
      </c>
      <c r="G1125" s="49" t="s">
        <v>4330</v>
      </c>
      <c r="H1125" s="49" t="s">
        <v>3207</v>
      </c>
      <c r="I1125" s="50">
        <v>45113</v>
      </c>
      <c r="M1125" s="49" t="s">
        <v>6271</v>
      </c>
    </row>
    <row r="1126" spans="1:13" x14ac:dyDescent="0.35">
      <c r="A1126" s="49" t="s">
        <v>15066</v>
      </c>
      <c r="B1126" s="49" t="s">
        <v>6860</v>
      </c>
      <c r="C1126" s="49"/>
      <c r="D1126" s="49" t="s">
        <v>1264</v>
      </c>
      <c r="E1126" s="49" t="s">
        <v>2785</v>
      </c>
      <c r="F1126" s="49" t="s">
        <v>2792</v>
      </c>
      <c r="G1126" s="49" t="s">
        <v>2901</v>
      </c>
      <c r="H1126" s="49" t="s">
        <v>835</v>
      </c>
      <c r="I1126" s="50">
        <v>45825</v>
      </c>
      <c r="J1126" s="50">
        <v>45826</v>
      </c>
      <c r="K1126" s="50">
        <v>46190</v>
      </c>
      <c r="M1126" s="49" t="s">
        <v>6861</v>
      </c>
    </row>
    <row r="1127" spans="1:13" x14ac:dyDescent="0.35">
      <c r="A1127" s="49" t="s">
        <v>15066</v>
      </c>
      <c r="B1127" s="49" t="s">
        <v>11349</v>
      </c>
      <c r="C1127" s="49" t="s">
        <v>11350</v>
      </c>
      <c r="D1127" s="49" t="s">
        <v>1264</v>
      </c>
      <c r="E1127" s="49" t="s">
        <v>2785</v>
      </c>
      <c r="F1127" s="49" t="s">
        <v>2792</v>
      </c>
      <c r="G1127" s="49" t="s">
        <v>2776</v>
      </c>
      <c r="H1127" s="49" t="s">
        <v>857</v>
      </c>
      <c r="I1127" s="50">
        <v>45040</v>
      </c>
      <c r="M1127" s="49" t="s">
        <v>11351</v>
      </c>
    </row>
    <row r="1128" spans="1:13" x14ac:dyDescent="0.35">
      <c r="A1128" s="49" t="s">
        <v>15336</v>
      </c>
      <c r="B1128" s="49" t="s">
        <v>6868</v>
      </c>
      <c r="C1128" s="49"/>
      <c r="D1128" s="49" t="s">
        <v>1264</v>
      </c>
      <c r="E1128" s="49" t="s">
        <v>2785</v>
      </c>
      <c r="F1128" s="49" t="s">
        <v>2792</v>
      </c>
      <c r="G1128" s="49" t="s">
        <v>2901</v>
      </c>
      <c r="H1128" s="49" t="s">
        <v>835</v>
      </c>
      <c r="I1128" s="52">
        <v>45999.676689814798</v>
      </c>
      <c r="J1128" s="50">
        <v>46014</v>
      </c>
      <c r="K1128" s="50">
        <v>46378</v>
      </c>
      <c r="M1128" s="49" t="s">
        <v>6870</v>
      </c>
    </row>
    <row r="1129" spans="1:13" x14ac:dyDescent="0.35">
      <c r="A1129" s="49" t="s">
        <v>15336</v>
      </c>
      <c r="B1129" s="49" t="s">
        <v>13004</v>
      </c>
      <c r="C1129" s="49"/>
      <c r="D1129" s="49" t="s">
        <v>1264</v>
      </c>
      <c r="E1129" s="49" t="s">
        <v>2785</v>
      </c>
      <c r="F1129" s="49" t="s">
        <v>2792</v>
      </c>
      <c r="G1129" s="49" t="s">
        <v>4891</v>
      </c>
      <c r="H1129" s="49" t="s">
        <v>835</v>
      </c>
      <c r="I1129" s="52">
        <v>46008.556562500002</v>
      </c>
      <c r="M1129" s="49" t="s">
        <v>13005</v>
      </c>
    </row>
    <row r="1130" spans="1:13" x14ac:dyDescent="0.35">
      <c r="A1130" s="49" t="s">
        <v>15336</v>
      </c>
      <c r="B1130" s="49" t="s">
        <v>13122</v>
      </c>
      <c r="C1130" s="49"/>
      <c r="D1130" s="49" t="s">
        <v>1264</v>
      </c>
      <c r="E1130" s="49" t="s">
        <v>2785</v>
      </c>
      <c r="F1130" s="49" t="s">
        <v>2792</v>
      </c>
      <c r="G1130" s="49" t="s">
        <v>4891</v>
      </c>
      <c r="H1130" s="49" t="s">
        <v>4225</v>
      </c>
      <c r="I1130" s="52">
        <v>46049.431192129603</v>
      </c>
      <c r="M1130" s="49" t="s">
        <v>6623</v>
      </c>
    </row>
    <row r="1131" spans="1:13" x14ac:dyDescent="0.35">
      <c r="A1131" s="49" t="s">
        <v>15336</v>
      </c>
      <c r="B1131" s="49" t="s">
        <v>13123</v>
      </c>
      <c r="C1131" s="49"/>
      <c r="D1131" s="49" t="s">
        <v>1264</v>
      </c>
      <c r="E1131" s="49" t="s">
        <v>2785</v>
      </c>
      <c r="F1131" s="49" t="s">
        <v>2792</v>
      </c>
      <c r="G1131" s="49" t="s">
        <v>4891</v>
      </c>
      <c r="H1131" s="49" t="s">
        <v>857</v>
      </c>
      <c r="I1131" s="52">
        <v>46049.442384259302</v>
      </c>
      <c r="M1131" s="49" t="s">
        <v>13124</v>
      </c>
    </row>
    <row r="1132" spans="1:13" x14ac:dyDescent="0.35">
      <c r="A1132" s="49" t="s">
        <v>15165</v>
      </c>
      <c r="B1132" s="49" t="s">
        <v>4079</v>
      </c>
      <c r="C1132" s="49" t="s">
        <v>2818</v>
      </c>
      <c r="D1132" s="49" t="s">
        <v>1264</v>
      </c>
      <c r="E1132" s="49" t="s">
        <v>2785</v>
      </c>
      <c r="F1132" s="49" t="s">
        <v>2792</v>
      </c>
      <c r="G1132" s="49" t="s">
        <v>2787</v>
      </c>
      <c r="H1132" s="49" t="s">
        <v>8</v>
      </c>
      <c r="I1132" s="50">
        <v>44019</v>
      </c>
      <c r="J1132" s="50">
        <v>44021</v>
      </c>
      <c r="K1132" s="50">
        <v>44385</v>
      </c>
      <c r="M1132" s="49" t="s">
        <v>4081</v>
      </c>
    </row>
    <row r="1133" spans="1:13" x14ac:dyDescent="0.35">
      <c r="A1133" s="49" t="s">
        <v>15165</v>
      </c>
      <c r="B1133" s="49" t="s">
        <v>5646</v>
      </c>
      <c r="C1133" s="49" t="s">
        <v>5355</v>
      </c>
      <c r="D1133" s="49" t="s">
        <v>1264</v>
      </c>
      <c r="E1133" s="49" t="s">
        <v>2785</v>
      </c>
      <c r="F1133" s="49" t="s">
        <v>2792</v>
      </c>
      <c r="G1133" s="49" t="s">
        <v>2787</v>
      </c>
      <c r="H1133" s="49" t="s">
        <v>8</v>
      </c>
      <c r="I1133" s="50">
        <v>45044</v>
      </c>
      <c r="J1133" s="50">
        <v>45089</v>
      </c>
      <c r="K1133" s="50">
        <v>45454</v>
      </c>
      <c r="M1133" s="49" t="s">
        <v>5647</v>
      </c>
    </row>
    <row r="1134" spans="1:13" x14ac:dyDescent="0.35">
      <c r="A1134" s="49" t="s">
        <v>15166</v>
      </c>
      <c r="B1134" s="49" t="s">
        <v>9447</v>
      </c>
      <c r="C1134" s="49"/>
      <c r="D1134" s="49" t="s">
        <v>1264</v>
      </c>
      <c r="E1134" s="49" t="s">
        <v>2785</v>
      </c>
      <c r="F1134" s="49" t="s">
        <v>2792</v>
      </c>
      <c r="G1134" s="49" t="s">
        <v>2776</v>
      </c>
      <c r="H1134" s="49" t="s">
        <v>980</v>
      </c>
      <c r="I1134" s="50">
        <v>43236</v>
      </c>
      <c r="M1134" s="49" t="s">
        <v>9449</v>
      </c>
    </row>
    <row r="1135" spans="1:13" x14ac:dyDescent="0.35">
      <c r="A1135" s="49" t="s">
        <v>14279</v>
      </c>
      <c r="B1135" s="49" t="s">
        <v>6279</v>
      </c>
      <c r="C1135" s="49" t="s">
        <v>3615</v>
      </c>
      <c r="D1135" s="49" t="s">
        <v>1264</v>
      </c>
      <c r="E1135" s="49" t="s">
        <v>2908</v>
      </c>
      <c r="F1135" s="49" t="s">
        <v>3010</v>
      </c>
      <c r="G1135" s="49" t="s">
        <v>2901</v>
      </c>
      <c r="H1135" s="49" t="s">
        <v>980</v>
      </c>
      <c r="I1135" s="50">
        <v>45233</v>
      </c>
      <c r="J1135" s="50">
        <v>45294</v>
      </c>
      <c r="K1135" s="50">
        <v>47120</v>
      </c>
      <c r="M1135" s="49" t="s">
        <v>6281</v>
      </c>
    </row>
    <row r="1136" spans="1:13" x14ac:dyDescent="0.35">
      <c r="A1136" s="49" t="s">
        <v>14100</v>
      </c>
      <c r="B1136" s="49" t="s">
        <v>3383</v>
      </c>
      <c r="C1136" s="49" t="s">
        <v>2937</v>
      </c>
      <c r="D1136" s="49" t="s">
        <v>1264</v>
      </c>
      <c r="E1136" s="49" t="s">
        <v>2908</v>
      </c>
      <c r="F1136" s="49" t="s">
        <v>2939</v>
      </c>
      <c r="G1136" s="49" t="s">
        <v>2787</v>
      </c>
      <c r="H1136" s="49" t="s">
        <v>980</v>
      </c>
      <c r="I1136" s="50">
        <v>42011</v>
      </c>
      <c r="J1136" s="50">
        <v>42054</v>
      </c>
      <c r="K1136" s="50">
        <v>43879</v>
      </c>
      <c r="M1136" s="49" t="s">
        <v>3385</v>
      </c>
    </row>
    <row r="1137" spans="1:13" x14ac:dyDescent="0.35">
      <c r="A1137" s="49" t="s">
        <v>14559</v>
      </c>
      <c r="B1137" s="49" t="s">
        <v>10364</v>
      </c>
      <c r="C1137" s="49"/>
      <c r="D1137" s="49" t="s">
        <v>1264</v>
      </c>
      <c r="E1137" s="49" t="s">
        <v>2814</v>
      </c>
      <c r="F1137" s="49" t="s">
        <v>2837</v>
      </c>
      <c r="G1137" s="49" t="s">
        <v>2776</v>
      </c>
      <c r="H1137" s="49" t="s">
        <v>980</v>
      </c>
      <c r="I1137" s="50">
        <v>43535</v>
      </c>
      <c r="M1137" s="49" t="s">
        <v>10366</v>
      </c>
    </row>
    <row r="1138" spans="1:13" x14ac:dyDescent="0.35">
      <c r="A1138" s="49" t="s">
        <v>14553</v>
      </c>
      <c r="B1138" s="49" t="s">
        <v>10216</v>
      </c>
      <c r="C1138" s="49"/>
      <c r="D1138" s="49" t="s">
        <v>1264</v>
      </c>
      <c r="E1138" s="49" t="s">
        <v>2814</v>
      </c>
      <c r="F1138" s="49" t="s">
        <v>2837</v>
      </c>
      <c r="G1138" s="49" t="s">
        <v>2776</v>
      </c>
      <c r="H1138" s="49" t="s">
        <v>980</v>
      </c>
      <c r="I1138" s="50">
        <v>43376</v>
      </c>
      <c r="M1138" s="49" t="s">
        <v>10218</v>
      </c>
    </row>
    <row r="1139" spans="1:13" x14ac:dyDescent="0.35">
      <c r="A1139" s="49" t="s">
        <v>14893</v>
      </c>
      <c r="B1139" s="49" t="s">
        <v>4954</v>
      </c>
      <c r="C1139" s="49" t="s">
        <v>4955</v>
      </c>
      <c r="D1139" s="49" t="s">
        <v>1264</v>
      </c>
      <c r="E1139" s="49" t="s">
        <v>2986</v>
      </c>
      <c r="F1139" s="49" t="s">
        <v>2825</v>
      </c>
      <c r="G1139" s="49" t="s">
        <v>2975</v>
      </c>
      <c r="H1139" s="49" t="s">
        <v>973</v>
      </c>
      <c r="I1139" s="50">
        <v>44706</v>
      </c>
      <c r="K1139" s="50">
        <v>45072</v>
      </c>
      <c r="M1139" s="49" t="s">
        <v>4957</v>
      </c>
    </row>
    <row r="1140" spans="1:13" x14ac:dyDescent="0.35">
      <c r="A1140" s="49" t="s">
        <v>14893</v>
      </c>
      <c r="B1140" s="49" t="s">
        <v>4958</v>
      </c>
      <c r="C1140" s="49" t="s">
        <v>4959</v>
      </c>
      <c r="D1140" s="49" t="s">
        <v>1264</v>
      </c>
      <c r="E1140" s="49" t="s">
        <v>2986</v>
      </c>
      <c r="F1140" s="49" t="s">
        <v>2825</v>
      </c>
      <c r="G1140" s="49" t="s">
        <v>2776</v>
      </c>
      <c r="H1140" s="49" t="s">
        <v>973</v>
      </c>
      <c r="I1140" s="50">
        <v>44706</v>
      </c>
      <c r="M1140" s="49" t="s">
        <v>4960</v>
      </c>
    </row>
    <row r="1141" spans="1:13" x14ac:dyDescent="0.35">
      <c r="A1141" s="49" t="s">
        <v>14893</v>
      </c>
      <c r="B1141" s="49" t="s">
        <v>9953</v>
      </c>
      <c r="C1141" s="49" t="s">
        <v>9954</v>
      </c>
      <c r="D1141" s="49" t="s">
        <v>1264</v>
      </c>
      <c r="E1141" s="49" t="s">
        <v>7057</v>
      </c>
      <c r="F1141" s="49" t="s">
        <v>2825</v>
      </c>
      <c r="G1141" s="49" t="s">
        <v>2776</v>
      </c>
      <c r="H1141" s="49" t="s">
        <v>973</v>
      </c>
      <c r="I1141" s="50">
        <v>44706</v>
      </c>
      <c r="M1141" s="49" t="s">
        <v>9955</v>
      </c>
    </row>
    <row r="1142" spans="1:13" x14ac:dyDescent="0.35">
      <c r="A1142" s="49" t="s">
        <v>223</v>
      </c>
      <c r="B1142" s="49" t="s">
        <v>4918</v>
      </c>
      <c r="C1142" s="49" t="s">
        <v>3768</v>
      </c>
      <c r="D1142" s="49" t="s">
        <v>1264</v>
      </c>
      <c r="E1142" s="49" t="s">
        <v>3443</v>
      </c>
      <c r="F1142" s="49" t="s">
        <v>3124</v>
      </c>
      <c r="G1142" s="49" t="s">
        <v>4330</v>
      </c>
      <c r="H1142" s="49" t="s">
        <v>980</v>
      </c>
      <c r="I1142" s="50">
        <v>44746</v>
      </c>
    </row>
    <row r="1143" spans="1:13" x14ac:dyDescent="0.35">
      <c r="A1143" s="49" t="s">
        <v>14424</v>
      </c>
      <c r="B1143" s="49" t="s">
        <v>8375</v>
      </c>
      <c r="C1143" s="49" t="s">
        <v>8376</v>
      </c>
      <c r="D1143" s="49" t="s">
        <v>1264</v>
      </c>
      <c r="E1143" s="49" t="s">
        <v>2908</v>
      </c>
      <c r="F1143" s="49" t="s">
        <v>2939</v>
      </c>
      <c r="G1143" s="49" t="s">
        <v>2787</v>
      </c>
      <c r="H1143" s="49" t="s">
        <v>8</v>
      </c>
      <c r="I1143" s="50">
        <v>25778</v>
      </c>
      <c r="J1143" s="50">
        <v>25778</v>
      </c>
      <c r="K1143" s="50">
        <v>27603</v>
      </c>
      <c r="M1143" s="49" t="s">
        <v>8378</v>
      </c>
    </row>
    <row r="1144" spans="1:13" x14ac:dyDescent="0.35">
      <c r="A1144" s="49" t="s">
        <v>14092</v>
      </c>
      <c r="B1144" s="49" t="s">
        <v>3263</v>
      </c>
      <c r="C1144" s="49" t="s">
        <v>3264</v>
      </c>
      <c r="D1144" s="49" t="s">
        <v>1264</v>
      </c>
      <c r="E1144" s="49" t="s">
        <v>2774</v>
      </c>
      <c r="F1144" s="49" t="s">
        <v>3188</v>
      </c>
      <c r="G1144" s="49" t="s">
        <v>2975</v>
      </c>
      <c r="H1144" s="49" t="s">
        <v>973</v>
      </c>
      <c r="I1144" s="50">
        <v>41407</v>
      </c>
      <c r="J1144" s="50">
        <v>41492</v>
      </c>
      <c r="K1144" s="50">
        <v>42587</v>
      </c>
      <c r="M1144" s="49" t="s">
        <v>3266</v>
      </c>
    </row>
    <row r="1145" spans="1:13" x14ac:dyDescent="0.35">
      <c r="A1145" s="49" t="s">
        <v>14092</v>
      </c>
      <c r="B1145" s="49" t="s">
        <v>10765</v>
      </c>
      <c r="C1145" s="49"/>
      <c r="D1145" s="49" t="s">
        <v>1264</v>
      </c>
      <c r="E1145" s="49" t="s">
        <v>2974</v>
      </c>
      <c r="F1145" s="49" t="s">
        <v>3188</v>
      </c>
      <c r="G1145" s="49" t="s">
        <v>2776</v>
      </c>
      <c r="H1145" s="49" t="s">
        <v>973</v>
      </c>
      <c r="I1145" s="50">
        <v>41859</v>
      </c>
      <c r="M1145" s="49" t="s">
        <v>3910</v>
      </c>
    </row>
    <row r="1146" spans="1:13" x14ac:dyDescent="0.35">
      <c r="A1146" s="49" t="s">
        <v>14314</v>
      </c>
      <c r="B1146" s="49" t="s">
        <v>6900</v>
      </c>
      <c r="C1146" s="49"/>
      <c r="D1146" s="49" t="s">
        <v>1264</v>
      </c>
      <c r="E1146" s="49" t="s">
        <v>2785</v>
      </c>
      <c r="F1146" s="49" t="s">
        <v>2786</v>
      </c>
      <c r="G1146" s="49" t="s">
        <v>2901</v>
      </c>
      <c r="H1146" s="49" t="s">
        <v>980</v>
      </c>
      <c r="I1146" s="50">
        <v>45828</v>
      </c>
      <c r="J1146" s="50">
        <v>45845</v>
      </c>
      <c r="K1146" s="50">
        <v>46209</v>
      </c>
      <c r="M1146" s="49" t="s">
        <v>6902</v>
      </c>
    </row>
    <row r="1147" spans="1:13" x14ac:dyDescent="0.35">
      <c r="A1147" s="49" t="s">
        <v>14243</v>
      </c>
      <c r="B1147" s="49" t="s">
        <v>5600</v>
      </c>
      <c r="C1147" s="49"/>
      <c r="D1147" s="49" t="s">
        <v>1264</v>
      </c>
      <c r="E1147" s="49" t="s">
        <v>2986</v>
      </c>
      <c r="F1147" s="49" t="s">
        <v>2825</v>
      </c>
      <c r="G1147" s="49" t="s">
        <v>4330</v>
      </c>
      <c r="H1147" s="49" t="s">
        <v>2827</v>
      </c>
      <c r="I1147" s="50">
        <v>45083</v>
      </c>
      <c r="M1147" s="49" t="s">
        <v>5602</v>
      </c>
    </row>
    <row r="1148" spans="1:13" x14ac:dyDescent="0.35">
      <c r="A1148" s="49" t="s">
        <v>14243</v>
      </c>
      <c r="B1148" s="49" t="s">
        <v>12160</v>
      </c>
      <c r="C1148" s="49"/>
      <c r="D1148" s="49" t="s">
        <v>1264</v>
      </c>
      <c r="E1148" s="49" t="s">
        <v>2974</v>
      </c>
      <c r="F1148" s="49" t="s">
        <v>2825</v>
      </c>
      <c r="G1148" s="49" t="s">
        <v>2776</v>
      </c>
      <c r="H1148" s="49" t="s">
        <v>2827</v>
      </c>
      <c r="I1148" s="50">
        <v>45348</v>
      </c>
      <c r="M1148" s="49" t="s">
        <v>12161</v>
      </c>
    </row>
    <row r="1149" spans="1:13" x14ac:dyDescent="0.35">
      <c r="A1149" s="49" t="s">
        <v>14243</v>
      </c>
      <c r="B1149" s="49" t="s">
        <v>12162</v>
      </c>
      <c r="C1149" s="49"/>
      <c r="D1149" s="49" t="s">
        <v>1264</v>
      </c>
      <c r="E1149" s="49" t="s">
        <v>2986</v>
      </c>
      <c r="F1149" s="49" t="s">
        <v>2825</v>
      </c>
      <c r="G1149" s="49" t="s">
        <v>4891</v>
      </c>
      <c r="H1149" s="49" t="s">
        <v>973</v>
      </c>
      <c r="I1149" s="50">
        <v>45342</v>
      </c>
      <c r="M1149" s="49" t="s">
        <v>12163</v>
      </c>
    </row>
    <row r="1150" spans="1:13" x14ac:dyDescent="0.35">
      <c r="A1150" s="49" t="s">
        <v>14316</v>
      </c>
      <c r="B1150" s="49" t="s">
        <v>6916</v>
      </c>
      <c r="C1150" s="49" t="s">
        <v>6917</v>
      </c>
      <c r="D1150" s="49" t="s">
        <v>1264</v>
      </c>
      <c r="E1150" s="49" t="s">
        <v>2785</v>
      </c>
      <c r="F1150" s="49" t="s">
        <v>2792</v>
      </c>
      <c r="G1150" s="49" t="s">
        <v>2901</v>
      </c>
      <c r="H1150" s="49" t="s">
        <v>980</v>
      </c>
      <c r="I1150" s="52">
        <v>45875.416666666701</v>
      </c>
      <c r="J1150" s="50">
        <v>46013</v>
      </c>
      <c r="K1150" s="50">
        <v>46377</v>
      </c>
      <c r="M1150" s="49" t="s">
        <v>6919</v>
      </c>
    </row>
    <row r="1151" spans="1:13" x14ac:dyDescent="0.35">
      <c r="A1151" s="49" t="s">
        <v>14316</v>
      </c>
      <c r="B1151" s="49" t="s">
        <v>12904</v>
      </c>
      <c r="C1151" s="49" t="s">
        <v>6917</v>
      </c>
      <c r="D1151" s="49" t="s">
        <v>1264</v>
      </c>
      <c r="E1151" s="49" t="s">
        <v>2785</v>
      </c>
      <c r="F1151" s="49" t="s">
        <v>2792</v>
      </c>
      <c r="G1151" s="49" t="s">
        <v>4891</v>
      </c>
      <c r="H1151" s="49" t="s">
        <v>980</v>
      </c>
      <c r="I1151" s="52">
        <v>45874.416666666701</v>
      </c>
      <c r="M1151" s="49" t="s">
        <v>12905</v>
      </c>
    </row>
    <row r="1152" spans="1:13" x14ac:dyDescent="0.35">
      <c r="A1152" s="49" t="s">
        <v>14845</v>
      </c>
      <c r="B1152" s="49" t="s">
        <v>6166</v>
      </c>
      <c r="C1152" s="49" t="s">
        <v>3962</v>
      </c>
      <c r="D1152" s="49" t="s">
        <v>1264</v>
      </c>
      <c r="E1152" s="49" t="s">
        <v>2785</v>
      </c>
      <c r="F1152" s="49" t="s">
        <v>2792</v>
      </c>
      <c r="G1152" s="49" t="s">
        <v>2901</v>
      </c>
      <c r="H1152" s="49" t="s">
        <v>980</v>
      </c>
      <c r="I1152" s="50">
        <v>45287</v>
      </c>
      <c r="J1152" s="50">
        <v>45317</v>
      </c>
      <c r="K1152" s="50">
        <v>45682</v>
      </c>
      <c r="M1152" s="49" t="s">
        <v>6168</v>
      </c>
    </row>
    <row r="1153" spans="1:13" x14ac:dyDescent="0.35">
      <c r="A1153" s="49" t="s">
        <v>14845</v>
      </c>
      <c r="B1153" s="49" t="s">
        <v>12607</v>
      </c>
      <c r="C1153" s="49" t="s">
        <v>12608</v>
      </c>
      <c r="D1153" s="49" t="s">
        <v>1264</v>
      </c>
      <c r="E1153" s="49" t="s">
        <v>2785</v>
      </c>
      <c r="F1153" s="49" t="s">
        <v>2792</v>
      </c>
      <c r="G1153" s="49" t="s">
        <v>4891</v>
      </c>
      <c r="H1153" s="49" t="s">
        <v>980</v>
      </c>
      <c r="I1153" s="50">
        <v>45470</v>
      </c>
      <c r="M1153" s="49" t="s">
        <v>12609</v>
      </c>
    </row>
    <row r="1154" spans="1:13" x14ac:dyDescent="0.35">
      <c r="A1154" s="49" t="s">
        <v>14894</v>
      </c>
      <c r="B1154" s="49" t="s">
        <v>8999</v>
      </c>
      <c r="C1154" s="49"/>
      <c r="D1154" s="49" t="s">
        <v>1264</v>
      </c>
      <c r="E1154" s="49" t="s">
        <v>2814</v>
      </c>
      <c r="F1154" s="49" t="s">
        <v>2825</v>
      </c>
      <c r="G1154" s="49" t="s">
        <v>2787</v>
      </c>
      <c r="H1154" s="49" t="s">
        <v>2827</v>
      </c>
      <c r="I1154" s="50">
        <v>42187</v>
      </c>
      <c r="J1154" s="50">
        <v>42230</v>
      </c>
      <c r="K1154" s="50">
        <v>42048</v>
      </c>
      <c r="M1154" s="49" t="s">
        <v>3470</v>
      </c>
    </row>
    <row r="1155" spans="1:13" x14ac:dyDescent="0.35">
      <c r="A1155" s="49" t="s">
        <v>14846</v>
      </c>
      <c r="B1155" s="49" t="s">
        <v>4561</v>
      </c>
      <c r="C1155" s="49"/>
      <c r="D1155" s="49" t="s">
        <v>1264</v>
      </c>
      <c r="E1155" s="49" t="s">
        <v>2814</v>
      </c>
      <c r="F1155" s="49" t="s">
        <v>2837</v>
      </c>
      <c r="G1155" s="49" t="s">
        <v>2787</v>
      </c>
      <c r="H1155" s="49" t="s">
        <v>980</v>
      </c>
      <c r="I1155" s="50">
        <v>44455</v>
      </c>
      <c r="J1155" s="50">
        <v>44496</v>
      </c>
      <c r="K1155" s="50">
        <v>44677</v>
      </c>
      <c r="M1155" s="49" t="s">
        <v>4563</v>
      </c>
    </row>
    <row r="1156" spans="1:13" x14ac:dyDescent="0.35">
      <c r="A1156" s="49" t="s">
        <v>14216</v>
      </c>
      <c r="B1156" s="49" t="s">
        <v>4986</v>
      </c>
      <c r="C1156" s="49"/>
      <c r="D1156" s="49" t="s">
        <v>1264</v>
      </c>
      <c r="E1156" s="49" t="s">
        <v>3443</v>
      </c>
      <c r="F1156" s="49" t="s">
        <v>3124</v>
      </c>
      <c r="G1156" s="49" t="s">
        <v>2901</v>
      </c>
      <c r="H1156" s="49" t="s">
        <v>980</v>
      </c>
      <c r="I1156" s="50">
        <v>44778</v>
      </c>
      <c r="J1156" s="50">
        <v>44659</v>
      </c>
      <c r="K1156" s="50">
        <v>46484</v>
      </c>
    </row>
    <row r="1157" spans="1:13" x14ac:dyDescent="0.35">
      <c r="A1157" s="49" t="s">
        <v>14895</v>
      </c>
      <c r="B1157" s="49" t="s">
        <v>5517</v>
      </c>
      <c r="C1157" s="49"/>
      <c r="D1157" s="49" t="s">
        <v>1264</v>
      </c>
      <c r="E1157" s="49" t="s">
        <v>2986</v>
      </c>
      <c r="F1157" s="49" t="s">
        <v>2825</v>
      </c>
      <c r="G1157" s="49" t="s">
        <v>2901</v>
      </c>
      <c r="H1157" s="49" t="s">
        <v>2827</v>
      </c>
      <c r="I1157" s="50">
        <v>44986</v>
      </c>
      <c r="J1157" s="50">
        <v>45103</v>
      </c>
      <c r="K1157" s="50">
        <v>46198</v>
      </c>
      <c r="M1157" s="49" t="s">
        <v>5519</v>
      </c>
    </row>
    <row r="1158" spans="1:13" x14ac:dyDescent="0.35">
      <c r="A1158" s="49" t="s">
        <v>14895</v>
      </c>
      <c r="B1158" s="49" t="s">
        <v>11657</v>
      </c>
      <c r="C1158" s="49"/>
      <c r="D1158" s="49" t="s">
        <v>1264</v>
      </c>
      <c r="E1158" s="49" t="s">
        <v>2986</v>
      </c>
      <c r="F1158" s="49" t="s">
        <v>2825</v>
      </c>
      <c r="G1158" s="49" t="s">
        <v>4891</v>
      </c>
      <c r="H1158" s="49" t="s">
        <v>2827</v>
      </c>
      <c r="I1158" s="50">
        <v>45219</v>
      </c>
      <c r="M1158" s="49" t="s">
        <v>3270</v>
      </c>
    </row>
    <row r="1159" spans="1:13" x14ac:dyDescent="0.35">
      <c r="A1159" s="49" t="s">
        <v>14632</v>
      </c>
      <c r="B1159" s="49" t="s">
        <v>12509</v>
      </c>
      <c r="C1159" s="49" t="s">
        <v>6474</v>
      </c>
      <c r="D1159" s="49" t="s">
        <v>1264</v>
      </c>
      <c r="E1159" s="49" t="s">
        <v>2785</v>
      </c>
      <c r="F1159" s="49" t="s">
        <v>2786</v>
      </c>
      <c r="G1159" s="49" t="s">
        <v>4891</v>
      </c>
      <c r="H1159" s="49" t="s">
        <v>980</v>
      </c>
      <c r="I1159" s="50">
        <v>45426</v>
      </c>
      <c r="M1159" s="49" t="s">
        <v>12511</v>
      </c>
    </row>
    <row r="1160" spans="1:13" x14ac:dyDescent="0.35">
      <c r="A1160" s="49" t="s">
        <v>3128</v>
      </c>
      <c r="B1160" s="49" t="s">
        <v>3126</v>
      </c>
      <c r="C1160" s="49" t="s">
        <v>3127</v>
      </c>
      <c r="D1160" s="49" t="s">
        <v>1264</v>
      </c>
      <c r="E1160" s="49" t="s">
        <v>2986</v>
      </c>
      <c r="F1160" s="49" t="s">
        <v>2825</v>
      </c>
      <c r="G1160" s="49" t="s">
        <v>2934</v>
      </c>
      <c r="H1160" s="49" t="s">
        <v>2827</v>
      </c>
      <c r="I1160" s="50">
        <v>40311</v>
      </c>
      <c r="J1160" s="50">
        <v>40388</v>
      </c>
      <c r="K1160" s="50">
        <v>45353</v>
      </c>
      <c r="M1160" s="49" t="s">
        <v>3129</v>
      </c>
    </row>
    <row r="1161" spans="1:13" x14ac:dyDescent="0.35">
      <c r="A1161" s="49" t="s">
        <v>3128</v>
      </c>
      <c r="B1161" s="49" t="s">
        <v>7610</v>
      </c>
      <c r="C1161" s="49" t="s">
        <v>7611</v>
      </c>
      <c r="D1161" s="49" t="s">
        <v>1264</v>
      </c>
      <c r="E1161" s="49" t="s">
        <v>7057</v>
      </c>
      <c r="F1161" s="49" t="s">
        <v>2825</v>
      </c>
      <c r="G1161" s="49" t="s">
        <v>2787</v>
      </c>
      <c r="H1161" s="49" t="s">
        <v>2827</v>
      </c>
      <c r="I1161" s="50">
        <v>39454</v>
      </c>
      <c r="J1161" s="50">
        <v>39490</v>
      </c>
      <c r="K1161" s="50">
        <v>40585</v>
      </c>
      <c r="M1161" s="49" t="s">
        <v>3100</v>
      </c>
    </row>
    <row r="1162" spans="1:13" x14ac:dyDescent="0.35">
      <c r="A1162" s="49" t="s">
        <v>3128</v>
      </c>
      <c r="B1162" s="49" t="s">
        <v>13728</v>
      </c>
      <c r="C1162" s="49"/>
      <c r="D1162" s="49" t="s">
        <v>1264</v>
      </c>
      <c r="E1162" s="49" t="s">
        <v>2986</v>
      </c>
      <c r="F1162" s="49" t="s">
        <v>2825</v>
      </c>
      <c r="G1162" s="49" t="s">
        <v>2776</v>
      </c>
      <c r="H1162" s="49" t="s">
        <v>2827</v>
      </c>
      <c r="I1162" s="50">
        <v>43381</v>
      </c>
      <c r="M1162" s="49" t="s">
        <v>3470</v>
      </c>
    </row>
    <row r="1163" spans="1:13" x14ac:dyDescent="0.35">
      <c r="A1163" s="49" t="s">
        <v>15067</v>
      </c>
      <c r="B1163" s="49" t="s">
        <v>5041</v>
      </c>
      <c r="C1163" s="49" t="s">
        <v>5042</v>
      </c>
      <c r="D1163" s="49" t="s">
        <v>1264</v>
      </c>
      <c r="E1163" s="49" t="s">
        <v>2785</v>
      </c>
      <c r="F1163" s="49" t="s">
        <v>2786</v>
      </c>
      <c r="G1163" s="49" t="s">
        <v>2787</v>
      </c>
      <c r="H1163" s="49" t="s">
        <v>980</v>
      </c>
      <c r="I1163" s="50">
        <v>44771</v>
      </c>
      <c r="J1163" s="50">
        <v>44804</v>
      </c>
      <c r="K1163" s="50">
        <v>45168</v>
      </c>
      <c r="L1163" s="50">
        <v>45169</v>
      </c>
      <c r="M1163" s="49" t="s">
        <v>5044</v>
      </c>
    </row>
    <row r="1164" spans="1:13" x14ac:dyDescent="0.35">
      <c r="A1164" s="49" t="s">
        <v>15067</v>
      </c>
      <c r="B1164" s="49" t="s">
        <v>6130</v>
      </c>
      <c r="C1164" s="49" t="s">
        <v>4572</v>
      </c>
      <c r="D1164" s="49" t="s">
        <v>1264</v>
      </c>
      <c r="E1164" s="49" t="s">
        <v>2785</v>
      </c>
      <c r="F1164" s="49" t="s">
        <v>2786</v>
      </c>
      <c r="G1164" s="49" t="s">
        <v>2787</v>
      </c>
      <c r="H1164" s="49" t="s">
        <v>980</v>
      </c>
      <c r="I1164" s="50">
        <v>45138</v>
      </c>
      <c r="J1164" s="50">
        <v>45163</v>
      </c>
      <c r="K1164" s="50">
        <v>45528</v>
      </c>
      <c r="M1164" s="49" t="s">
        <v>6131</v>
      </c>
    </row>
    <row r="1165" spans="1:13" x14ac:dyDescent="0.35">
      <c r="A1165" s="49" t="s">
        <v>12744</v>
      </c>
      <c r="B1165" s="49" t="s">
        <v>11995</v>
      </c>
      <c r="C1165" s="49" t="s">
        <v>11996</v>
      </c>
      <c r="D1165" s="49" t="s">
        <v>1264</v>
      </c>
      <c r="E1165" s="49" t="s">
        <v>2785</v>
      </c>
      <c r="F1165" s="49" t="s">
        <v>2792</v>
      </c>
      <c r="G1165" s="49" t="s">
        <v>4891</v>
      </c>
      <c r="H1165" s="49" t="s">
        <v>8</v>
      </c>
      <c r="I1165" s="50">
        <v>45313</v>
      </c>
      <c r="M1165" s="49" t="s">
        <v>11998</v>
      </c>
    </row>
    <row r="1166" spans="1:13" x14ac:dyDescent="0.35">
      <c r="A1166" s="49" t="s">
        <v>12744</v>
      </c>
      <c r="B1166" s="49" t="s">
        <v>12742</v>
      </c>
      <c r="C1166" s="49" t="s">
        <v>12743</v>
      </c>
      <c r="D1166" s="49" t="s">
        <v>1264</v>
      </c>
      <c r="E1166" s="49" t="s">
        <v>2785</v>
      </c>
      <c r="F1166" s="49" t="s">
        <v>2792</v>
      </c>
      <c r="G1166" s="49" t="s">
        <v>2776</v>
      </c>
      <c r="H1166" s="49" t="s">
        <v>8</v>
      </c>
      <c r="I1166" s="50">
        <v>45544</v>
      </c>
      <c r="M1166" s="49" t="s">
        <v>12745</v>
      </c>
    </row>
    <row r="1167" spans="1:13" x14ac:dyDescent="0.35">
      <c r="A1167" s="49" t="s">
        <v>14497</v>
      </c>
      <c r="B1167" s="49" t="s">
        <v>9450</v>
      </c>
      <c r="C1167" s="49"/>
      <c r="D1167" s="49" t="s">
        <v>1264</v>
      </c>
      <c r="E1167" s="49" t="s">
        <v>2785</v>
      </c>
      <c r="F1167" s="49" t="s">
        <v>2792</v>
      </c>
      <c r="G1167" s="49" t="s">
        <v>2776</v>
      </c>
      <c r="H1167" s="49" t="s">
        <v>2827</v>
      </c>
      <c r="I1167" s="50">
        <v>43145</v>
      </c>
      <c r="M1167" s="49" t="s">
        <v>9452</v>
      </c>
    </row>
    <row r="1168" spans="1:13" x14ac:dyDescent="0.35">
      <c r="A1168" s="49" t="s">
        <v>14896</v>
      </c>
      <c r="B1168" s="49" t="s">
        <v>8990</v>
      </c>
      <c r="C1168" s="49"/>
      <c r="D1168" s="49" t="s">
        <v>1264</v>
      </c>
      <c r="E1168" s="49" t="s">
        <v>2814</v>
      </c>
      <c r="F1168" s="49" t="s">
        <v>2837</v>
      </c>
      <c r="G1168" s="49" t="s">
        <v>2776</v>
      </c>
      <c r="H1168" s="49" t="s">
        <v>980</v>
      </c>
      <c r="I1168" s="50">
        <v>43272</v>
      </c>
      <c r="J1168" s="50">
        <v>43291</v>
      </c>
      <c r="K1168" s="50">
        <v>43475</v>
      </c>
      <c r="M1168" s="49" t="s">
        <v>8992</v>
      </c>
    </row>
    <row r="1169" spans="1:13" x14ac:dyDescent="0.35">
      <c r="A1169" s="49" t="s">
        <v>14897</v>
      </c>
      <c r="B1169" s="49" t="s">
        <v>7116</v>
      </c>
      <c r="C1169" s="49" t="s">
        <v>7117</v>
      </c>
      <c r="D1169" s="49" t="s">
        <v>1264</v>
      </c>
      <c r="E1169" s="49" t="s">
        <v>7057</v>
      </c>
      <c r="F1169" s="49" t="s">
        <v>2825</v>
      </c>
      <c r="G1169" s="49" t="s">
        <v>2826</v>
      </c>
      <c r="H1169" s="49" t="s">
        <v>2827</v>
      </c>
      <c r="I1169" s="50">
        <v>40060</v>
      </c>
      <c r="J1169" s="50">
        <v>40190</v>
      </c>
      <c r="K1169" s="50">
        <v>40919</v>
      </c>
      <c r="M1169" s="49" t="s">
        <v>7119</v>
      </c>
    </row>
    <row r="1170" spans="1:13" x14ac:dyDescent="0.35">
      <c r="A1170" s="49" t="s">
        <v>14500</v>
      </c>
      <c r="B1170" s="49" t="s">
        <v>9485</v>
      </c>
      <c r="C1170" s="49"/>
      <c r="D1170" s="49" t="s">
        <v>1264</v>
      </c>
      <c r="E1170" s="49" t="s">
        <v>2785</v>
      </c>
      <c r="F1170" s="49" t="s">
        <v>2786</v>
      </c>
      <c r="G1170" s="49" t="s">
        <v>2776</v>
      </c>
      <c r="H1170" s="49" t="s">
        <v>980</v>
      </c>
      <c r="I1170" s="50">
        <v>42873</v>
      </c>
      <c r="M1170" s="49" t="s">
        <v>3011</v>
      </c>
    </row>
    <row r="1171" spans="1:13" x14ac:dyDescent="0.35">
      <c r="A1171" s="49" t="s">
        <v>226</v>
      </c>
      <c r="B1171" s="49" t="s">
        <v>4776</v>
      </c>
      <c r="C1171" s="49" t="s">
        <v>3768</v>
      </c>
      <c r="D1171" s="49" t="s">
        <v>1264</v>
      </c>
      <c r="E1171" s="49" t="s">
        <v>3443</v>
      </c>
      <c r="F1171" s="49" t="s">
        <v>3124</v>
      </c>
      <c r="G1171" s="49" t="s">
        <v>2901</v>
      </c>
      <c r="H1171" s="49" t="s">
        <v>980</v>
      </c>
      <c r="I1171" s="50">
        <v>44404</v>
      </c>
      <c r="J1171" s="50">
        <v>44642</v>
      </c>
      <c r="K1171" s="50">
        <v>46467</v>
      </c>
    </row>
    <row r="1172" spans="1:13" x14ac:dyDescent="0.35">
      <c r="A1172" s="49" t="s">
        <v>14110</v>
      </c>
      <c r="B1172" s="49" t="s">
        <v>3554</v>
      </c>
      <c r="C1172" s="49" t="s">
        <v>3555</v>
      </c>
      <c r="D1172" s="49" t="s">
        <v>1264</v>
      </c>
      <c r="E1172" s="49" t="s">
        <v>2785</v>
      </c>
      <c r="F1172" s="49" t="s">
        <v>2792</v>
      </c>
      <c r="G1172" s="49" t="s">
        <v>2787</v>
      </c>
      <c r="H1172" s="49" t="s">
        <v>8</v>
      </c>
      <c r="I1172" s="50">
        <v>42779</v>
      </c>
      <c r="J1172" s="50">
        <v>42934</v>
      </c>
      <c r="K1172" s="50">
        <v>45511</v>
      </c>
      <c r="M1172" s="49" t="s">
        <v>3557</v>
      </c>
    </row>
    <row r="1173" spans="1:13" x14ac:dyDescent="0.35">
      <c r="A1173" s="49" t="s">
        <v>14110</v>
      </c>
      <c r="B1173" s="49" t="s">
        <v>9743</v>
      </c>
      <c r="C1173" s="49"/>
      <c r="D1173" s="49" t="s">
        <v>1264</v>
      </c>
      <c r="E1173" s="49" t="s">
        <v>2785</v>
      </c>
      <c r="F1173" s="49" t="s">
        <v>2792</v>
      </c>
      <c r="G1173" s="49" t="s">
        <v>2826</v>
      </c>
      <c r="H1173" s="49" t="s">
        <v>8</v>
      </c>
      <c r="I1173" s="50">
        <v>41513</v>
      </c>
      <c r="J1173" s="50">
        <v>41542</v>
      </c>
      <c r="K1173" s="50">
        <v>41722</v>
      </c>
      <c r="M1173" s="49" t="s">
        <v>9744</v>
      </c>
    </row>
    <row r="1174" spans="1:13" x14ac:dyDescent="0.35">
      <c r="A1174" s="49" t="s">
        <v>14110</v>
      </c>
      <c r="B1174" s="49" t="s">
        <v>9873</v>
      </c>
      <c r="C1174" s="49" t="s">
        <v>7082</v>
      </c>
      <c r="D1174" s="49" t="s">
        <v>1264</v>
      </c>
      <c r="E1174" s="49" t="s">
        <v>2785</v>
      </c>
      <c r="F1174" s="49" t="s">
        <v>2792</v>
      </c>
      <c r="G1174" s="49" t="s">
        <v>2776</v>
      </c>
      <c r="H1174" s="49" t="s">
        <v>8</v>
      </c>
      <c r="I1174" s="50">
        <v>42187</v>
      </c>
      <c r="M1174" s="49" t="s">
        <v>9874</v>
      </c>
    </row>
    <row r="1175" spans="1:13" x14ac:dyDescent="0.35">
      <c r="A1175" s="49" t="s">
        <v>14067</v>
      </c>
      <c r="B1175" s="49" t="s">
        <v>2879</v>
      </c>
      <c r="C1175" s="49" t="s">
        <v>2880</v>
      </c>
      <c r="D1175" s="49" t="s">
        <v>1264</v>
      </c>
      <c r="E1175" s="49" t="s">
        <v>2785</v>
      </c>
      <c r="F1175" s="49" t="s">
        <v>2792</v>
      </c>
      <c r="G1175" s="49" t="s">
        <v>2787</v>
      </c>
      <c r="H1175" s="49" t="s">
        <v>8</v>
      </c>
      <c r="I1175" s="50">
        <v>41843</v>
      </c>
      <c r="J1175" s="50">
        <v>41891</v>
      </c>
      <c r="K1175" s="50">
        <v>42255</v>
      </c>
      <c r="M1175" s="49" t="s">
        <v>2882</v>
      </c>
    </row>
    <row r="1176" spans="1:13" x14ac:dyDescent="0.35">
      <c r="A1176" s="49" t="s">
        <v>14067</v>
      </c>
      <c r="B1176" s="49" t="s">
        <v>7613</v>
      </c>
      <c r="C1176" s="49" t="s">
        <v>7614</v>
      </c>
      <c r="D1176" s="49" t="s">
        <v>1264</v>
      </c>
      <c r="E1176" s="49" t="s">
        <v>2785</v>
      </c>
      <c r="F1176" s="49" t="s">
        <v>2792</v>
      </c>
      <c r="G1176" s="49" t="s">
        <v>2787</v>
      </c>
      <c r="H1176" s="49" t="s">
        <v>8</v>
      </c>
      <c r="I1176" s="50">
        <v>41843</v>
      </c>
      <c r="J1176" s="50">
        <v>41891</v>
      </c>
      <c r="K1176" s="50">
        <v>42071</v>
      </c>
      <c r="M1176" s="49" t="s">
        <v>7615</v>
      </c>
    </row>
    <row r="1177" spans="1:13" x14ac:dyDescent="0.35">
      <c r="A1177" s="49" t="s">
        <v>15167</v>
      </c>
      <c r="B1177" s="49" t="s">
        <v>13069</v>
      </c>
      <c r="C1177" s="49"/>
      <c r="D1177" s="49" t="s">
        <v>1264</v>
      </c>
      <c r="E1177" s="49" t="s">
        <v>2785</v>
      </c>
      <c r="F1177" s="49" t="s">
        <v>2792</v>
      </c>
      <c r="G1177" s="49" t="s">
        <v>4891</v>
      </c>
      <c r="H1177" s="49" t="s">
        <v>3207</v>
      </c>
      <c r="I1177" s="52">
        <v>46034.668287036999</v>
      </c>
      <c r="M1177" s="49" t="s">
        <v>13071</v>
      </c>
    </row>
    <row r="1178" spans="1:13" x14ac:dyDescent="0.35">
      <c r="A1178" s="49" t="s">
        <v>15167</v>
      </c>
      <c r="B1178" s="49" t="s">
        <v>13072</v>
      </c>
      <c r="C1178" s="49"/>
      <c r="D1178" s="49" t="s">
        <v>1264</v>
      </c>
      <c r="E1178" s="49" t="s">
        <v>2785</v>
      </c>
      <c r="F1178" s="49" t="s">
        <v>2792</v>
      </c>
      <c r="G1178" s="49" t="s">
        <v>4891</v>
      </c>
      <c r="H1178" s="49" t="s">
        <v>3207</v>
      </c>
      <c r="I1178" s="52">
        <v>46034.681736111103</v>
      </c>
      <c r="M1178" s="49" t="s">
        <v>13073</v>
      </c>
    </row>
    <row r="1179" spans="1:13" x14ac:dyDescent="0.35">
      <c r="A1179" s="49" t="s">
        <v>15167</v>
      </c>
      <c r="B1179" s="49" t="s">
        <v>13074</v>
      </c>
      <c r="C1179" s="49"/>
      <c r="D1179" s="49" t="s">
        <v>1264</v>
      </c>
      <c r="E1179" s="49" t="s">
        <v>2785</v>
      </c>
      <c r="F1179" s="49" t="s">
        <v>2792</v>
      </c>
      <c r="G1179" s="49" t="s">
        <v>4891</v>
      </c>
      <c r="H1179" s="49" t="s">
        <v>3207</v>
      </c>
      <c r="I1179" s="52">
        <v>46034.689236111102</v>
      </c>
      <c r="M1179" s="49" t="s">
        <v>13075</v>
      </c>
    </row>
    <row r="1180" spans="1:13" x14ac:dyDescent="0.35">
      <c r="A1180" s="49" t="s">
        <v>15168</v>
      </c>
      <c r="B1180" s="49" t="s">
        <v>4166</v>
      </c>
      <c r="C1180" s="49" t="s">
        <v>3933</v>
      </c>
      <c r="D1180" s="49" t="s">
        <v>1264</v>
      </c>
      <c r="E1180" s="49" t="s">
        <v>2814</v>
      </c>
      <c r="F1180" s="49" t="s">
        <v>2825</v>
      </c>
      <c r="G1180" s="49" t="s">
        <v>2787</v>
      </c>
      <c r="H1180" s="49" t="s">
        <v>2827</v>
      </c>
      <c r="I1180" s="50">
        <v>44175</v>
      </c>
      <c r="J1180" s="50">
        <v>44258</v>
      </c>
      <c r="K1180" s="50">
        <v>44441</v>
      </c>
      <c r="M1180" s="49" t="s">
        <v>3270</v>
      </c>
    </row>
    <row r="1181" spans="1:13" x14ac:dyDescent="0.35">
      <c r="A1181" s="49" t="s">
        <v>15337</v>
      </c>
      <c r="B1181" s="49" t="s">
        <v>5817</v>
      </c>
      <c r="C1181" s="49"/>
      <c r="D1181" s="49" t="s">
        <v>1264</v>
      </c>
      <c r="E1181" s="49" t="s">
        <v>3443</v>
      </c>
      <c r="F1181" s="49" t="s">
        <v>3124</v>
      </c>
      <c r="G1181" s="49" t="s">
        <v>2901</v>
      </c>
      <c r="H1181" s="49" t="s">
        <v>980</v>
      </c>
      <c r="I1181" s="50">
        <v>45097</v>
      </c>
      <c r="J1181" s="50">
        <v>45145</v>
      </c>
      <c r="K1181" s="50">
        <v>46971</v>
      </c>
    </row>
    <row r="1182" spans="1:13" x14ac:dyDescent="0.35">
      <c r="A1182" s="49" t="s">
        <v>14298</v>
      </c>
      <c r="B1182" s="49" t="s">
        <v>6615</v>
      </c>
      <c r="C1182" s="49"/>
      <c r="D1182" s="49" t="s">
        <v>1264</v>
      </c>
      <c r="E1182" s="49" t="s">
        <v>2986</v>
      </c>
      <c r="F1182" s="49" t="s">
        <v>2825</v>
      </c>
      <c r="G1182" s="49" t="s">
        <v>2901</v>
      </c>
      <c r="H1182" s="49" t="s">
        <v>973</v>
      </c>
      <c r="I1182" s="50">
        <v>45338</v>
      </c>
      <c r="J1182" s="50">
        <v>45373</v>
      </c>
      <c r="K1182" s="50">
        <v>46467</v>
      </c>
      <c r="M1182" s="49" t="s">
        <v>6617</v>
      </c>
    </row>
    <row r="1183" spans="1:13" x14ac:dyDescent="0.35">
      <c r="A1183" s="49" t="s">
        <v>4584</v>
      </c>
      <c r="B1183" s="49" t="s">
        <v>4582</v>
      </c>
      <c r="C1183" s="49" t="s">
        <v>4583</v>
      </c>
      <c r="D1183" s="49" t="s">
        <v>1264</v>
      </c>
      <c r="E1183" s="49" t="s">
        <v>2785</v>
      </c>
      <c r="F1183" s="49" t="s">
        <v>2786</v>
      </c>
      <c r="G1183" s="49" t="s">
        <v>2787</v>
      </c>
      <c r="H1183" s="49" t="s">
        <v>980</v>
      </c>
      <c r="I1183" s="50">
        <v>44497</v>
      </c>
      <c r="K1183" s="50">
        <v>45511</v>
      </c>
      <c r="M1183" s="49" t="s">
        <v>4585</v>
      </c>
    </row>
    <row r="1184" spans="1:13" x14ac:dyDescent="0.35">
      <c r="A1184" s="49" t="s">
        <v>15169</v>
      </c>
      <c r="B1184" s="49" t="s">
        <v>4516</v>
      </c>
      <c r="C1184" s="49" t="s">
        <v>3962</v>
      </c>
      <c r="D1184" s="49" t="s">
        <v>1264</v>
      </c>
      <c r="E1184" s="49" t="s">
        <v>2785</v>
      </c>
      <c r="F1184" s="49" t="s">
        <v>2792</v>
      </c>
      <c r="G1184" s="49" t="s">
        <v>2787</v>
      </c>
      <c r="H1184" s="49" t="s">
        <v>980</v>
      </c>
      <c r="I1184" s="50">
        <v>44158</v>
      </c>
      <c r="J1184" s="50">
        <v>44630</v>
      </c>
      <c r="K1184" s="50">
        <v>45428</v>
      </c>
      <c r="M1184" s="49" t="s">
        <v>4518</v>
      </c>
    </row>
    <row r="1185" spans="1:13" x14ac:dyDescent="0.35">
      <c r="A1185" s="49" t="s">
        <v>14340</v>
      </c>
      <c r="B1185" s="49" t="s">
        <v>7308</v>
      </c>
      <c r="C1185" s="49"/>
      <c r="D1185" s="49" t="s">
        <v>1264</v>
      </c>
      <c r="E1185" s="49" t="s">
        <v>2785</v>
      </c>
      <c r="F1185" s="49" t="s">
        <v>2786</v>
      </c>
      <c r="G1185" s="49" t="s">
        <v>2787</v>
      </c>
      <c r="H1185" s="49" t="s">
        <v>980</v>
      </c>
      <c r="I1185" s="50">
        <v>42898</v>
      </c>
      <c r="J1185" s="50">
        <v>43601</v>
      </c>
      <c r="K1185" s="50">
        <v>43784</v>
      </c>
      <c r="M1185" s="49" t="s">
        <v>7263</v>
      </c>
    </row>
    <row r="1186" spans="1:13" x14ac:dyDescent="0.35">
      <c r="A1186" s="49" t="s">
        <v>15338</v>
      </c>
      <c r="B1186" s="49" t="s">
        <v>11751</v>
      </c>
      <c r="C1186" s="49" t="s">
        <v>11752</v>
      </c>
      <c r="D1186" s="49" t="s">
        <v>1264</v>
      </c>
      <c r="E1186" s="49" t="s">
        <v>2785</v>
      </c>
      <c r="F1186" s="49" t="s">
        <v>2805</v>
      </c>
      <c r="G1186" s="49" t="s">
        <v>2776</v>
      </c>
      <c r="H1186" s="49" t="s">
        <v>2832</v>
      </c>
      <c r="I1186" s="50">
        <v>45230</v>
      </c>
      <c r="M1186" s="49" t="s">
        <v>11754</v>
      </c>
    </row>
    <row r="1187" spans="1:13" x14ac:dyDescent="0.35">
      <c r="A1187" s="49" t="s">
        <v>15339</v>
      </c>
      <c r="B1187" s="49" t="s">
        <v>4502</v>
      </c>
      <c r="C1187" s="49" t="s">
        <v>4503</v>
      </c>
      <c r="D1187" s="49" t="s">
        <v>1264</v>
      </c>
      <c r="E1187" s="49" t="s">
        <v>2785</v>
      </c>
      <c r="F1187" s="49" t="s">
        <v>2792</v>
      </c>
      <c r="G1187" s="49" t="s">
        <v>2787</v>
      </c>
      <c r="H1187" s="49" t="s">
        <v>1062</v>
      </c>
      <c r="I1187" s="50">
        <v>43733</v>
      </c>
      <c r="J1187" s="50">
        <v>44442</v>
      </c>
      <c r="K1187" s="50">
        <v>45428</v>
      </c>
      <c r="M1187" s="49" t="s">
        <v>4505</v>
      </c>
    </row>
    <row r="1188" spans="1:13" x14ac:dyDescent="0.35">
      <c r="A1188" s="49" t="s">
        <v>4257</v>
      </c>
      <c r="B1188" s="49" t="s">
        <v>5953</v>
      </c>
      <c r="C1188" s="49" t="s">
        <v>15068</v>
      </c>
      <c r="D1188" s="49" t="s">
        <v>1264</v>
      </c>
      <c r="E1188" s="49" t="s">
        <v>2785</v>
      </c>
      <c r="F1188" s="49" t="s">
        <v>2786</v>
      </c>
      <c r="G1188" s="49" t="s">
        <v>2787</v>
      </c>
      <c r="H1188" s="49" t="s">
        <v>980</v>
      </c>
      <c r="I1188" s="50">
        <v>45224</v>
      </c>
      <c r="J1188" s="50">
        <v>45236</v>
      </c>
      <c r="K1188" s="50">
        <v>45601</v>
      </c>
      <c r="M1188" s="49" t="s">
        <v>5956</v>
      </c>
    </row>
    <row r="1189" spans="1:13" x14ac:dyDescent="0.35">
      <c r="A1189" s="49" t="s">
        <v>4257</v>
      </c>
      <c r="B1189" s="49" t="s">
        <v>6497</v>
      </c>
      <c r="C1189" s="49" t="s">
        <v>3962</v>
      </c>
      <c r="D1189" s="49" t="s">
        <v>1264</v>
      </c>
      <c r="E1189" s="49" t="s">
        <v>2785</v>
      </c>
      <c r="F1189" s="49" t="s">
        <v>2786</v>
      </c>
      <c r="G1189" s="49" t="s">
        <v>2901</v>
      </c>
      <c r="H1189" s="49" t="s">
        <v>980</v>
      </c>
      <c r="I1189" s="50">
        <v>45254</v>
      </c>
      <c r="J1189" s="50">
        <v>45372</v>
      </c>
      <c r="K1189" s="50">
        <v>45736</v>
      </c>
      <c r="M1189" s="49" t="s">
        <v>6498</v>
      </c>
    </row>
    <row r="1190" spans="1:13" x14ac:dyDescent="0.35">
      <c r="A1190" s="49" t="s">
        <v>4257</v>
      </c>
      <c r="B1190" s="49" t="s">
        <v>13078</v>
      </c>
      <c r="C1190" s="49" t="s">
        <v>13079</v>
      </c>
      <c r="D1190" s="49" t="s">
        <v>1264</v>
      </c>
      <c r="E1190" s="49" t="s">
        <v>2785</v>
      </c>
      <c r="F1190" s="49" t="s">
        <v>2786</v>
      </c>
      <c r="G1190" s="49" t="s">
        <v>4891</v>
      </c>
      <c r="H1190" s="49" t="s">
        <v>980</v>
      </c>
      <c r="I1190" s="52">
        <v>46042.5397337963</v>
      </c>
      <c r="M1190" s="49" t="s">
        <v>13080</v>
      </c>
    </row>
    <row r="1191" spans="1:13" x14ac:dyDescent="0.35">
      <c r="A1191" s="49" t="s">
        <v>14124</v>
      </c>
      <c r="B1191" s="49" t="s">
        <v>3695</v>
      </c>
      <c r="C1191" s="49" t="s">
        <v>3468</v>
      </c>
      <c r="D1191" s="49" t="s">
        <v>1264</v>
      </c>
      <c r="E1191" s="49" t="s">
        <v>3443</v>
      </c>
      <c r="F1191" s="49" t="s">
        <v>3124</v>
      </c>
      <c r="G1191" s="49" t="s">
        <v>2787</v>
      </c>
      <c r="H1191" s="49" t="s">
        <v>980</v>
      </c>
      <c r="I1191" s="50">
        <v>43166</v>
      </c>
      <c r="J1191" s="50">
        <v>43308</v>
      </c>
      <c r="K1191" s="50">
        <v>45133</v>
      </c>
      <c r="M1191" s="49" t="s">
        <v>3697</v>
      </c>
    </row>
    <row r="1192" spans="1:13" x14ac:dyDescent="0.35">
      <c r="A1192" s="49" t="s">
        <v>14124</v>
      </c>
      <c r="B1192" s="49" t="s">
        <v>5741</v>
      </c>
      <c r="C1192" s="49"/>
      <c r="D1192" s="49" t="s">
        <v>1264</v>
      </c>
      <c r="E1192" s="49" t="s">
        <v>2908</v>
      </c>
      <c r="F1192" s="49" t="s">
        <v>2837</v>
      </c>
      <c r="G1192" s="49" t="s">
        <v>4330</v>
      </c>
      <c r="H1192" s="49" t="s">
        <v>2827</v>
      </c>
      <c r="I1192" s="50">
        <v>44929</v>
      </c>
      <c r="M1192" s="49" t="s">
        <v>5742</v>
      </c>
    </row>
    <row r="1193" spans="1:13" x14ac:dyDescent="0.35">
      <c r="A1193" s="49" t="s">
        <v>14124</v>
      </c>
      <c r="B1193" s="49" t="s">
        <v>9229</v>
      </c>
      <c r="C1193" s="49" t="s">
        <v>3582</v>
      </c>
      <c r="D1193" s="49" t="s">
        <v>1264</v>
      </c>
      <c r="E1193" s="49" t="s">
        <v>3443</v>
      </c>
      <c r="F1193" s="49" t="s">
        <v>2792</v>
      </c>
      <c r="G1193" s="49" t="s">
        <v>4891</v>
      </c>
      <c r="H1193" s="49" t="s">
        <v>980</v>
      </c>
      <c r="I1193" s="50">
        <v>43166</v>
      </c>
      <c r="M1193" s="49" t="s">
        <v>9230</v>
      </c>
    </row>
    <row r="1194" spans="1:13" x14ac:dyDescent="0.35">
      <c r="A1194" s="49" t="s">
        <v>14124</v>
      </c>
      <c r="B1194" s="49" t="s">
        <v>11022</v>
      </c>
      <c r="C1194" s="49" t="s">
        <v>3730</v>
      </c>
      <c r="D1194" s="49" t="s">
        <v>1264</v>
      </c>
      <c r="E1194" s="49" t="s">
        <v>2908</v>
      </c>
      <c r="F1194" s="49" t="s">
        <v>2837</v>
      </c>
      <c r="G1194" s="49" t="s">
        <v>4891</v>
      </c>
      <c r="H1194" s="49" t="s">
        <v>973</v>
      </c>
      <c r="I1194" s="50">
        <v>44551</v>
      </c>
      <c r="M1194" s="49" t="s">
        <v>11023</v>
      </c>
    </row>
    <row r="1195" spans="1:13" x14ac:dyDescent="0.35">
      <c r="A1195" s="49" t="s">
        <v>14124</v>
      </c>
      <c r="B1195" s="49" t="s">
        <v>11509</v>
      </c>
      <c r="C1195" s="49"/>
      <c r="D1195" s="49" t="s">
        <v>1264</v>
      </c>
      <c r="E1195" s="49" t="s">
        <v>2908</v>
      </c>
      <c r="F1195" s="49" t="s">
        <v>2837</v>
      </c>
      <c r="G1195" s="49" t="s">
        <v>4891</v>
      </c>
      <c r="H1195" s="49" t="s">
        <v>980</v>
      </c>
      <c r="I1195" s="50">
        <v>45154</v>
      </c>
      <c r="M1195" s="49" t="s">
        <v>11510</v>
      </c>
    </row>
    <row r="1196" spans="1:13" x14ac:dyDescent="0.35">
      <c r="A1196" s="49" t="s">
        <v>14144</v>
      </c>
      <c r="B1196" s="49" t="s">
        <v>3953</v>
      </c>
      <c r="C1196" s="49" t="s">
        <v>3954</v>
      </c>
      <c r="D1196" s="49" t="s">
        <v>1264</v>
      </c>
      <c r="E1196" s="49" t="s">
        <v>2785</v>
      </c>
      <c r="F1196" s="49" t="s">
        <v>2792</v>
      </c>
      <c r="G1196" s="49" t="s">
        <v>2787</v>
      </c>
      <c r="H1196" s="49" t="s">
        <v>980</v>
      </c>
      <c r="I1196" s="50">
        <v>43810</v>
      </c>
      <c r="J1196" s="50">
        <v>43948</v>
      </c>
      <c r="K1196" s="50">
        <v>44678</v>
      </c>
      <c r="M1196" s="49" t="s">
        <v>3956</v>
      </c>
    </row>
    <row r="1197" spans="1:13" x14ac:dyDescent="0.35">
      <c r="A1197" s="49" t="s">
        <v>14144</v>
      </c>
      <c r="B1197" s="49" t="s">
        <v>5342</v>
      </c>
      <c r="C1197" s="49" t="s">
        <v>5343</v>
      </c>
      <c r="D1197" s="49" t="s">
        <v>1264</v>
      </c>
      <c r="E1197" s="49" t="s">
        <v>2785</v>
      </c>
      <c r="F1197" s="49" t="s">
        <v>2792</v>
      </c>
      <c r="G1197" s="49" t="s">
        <v>2776</v>
      </c>
      <c r="H1197" s="49" t="s">
        <v>980</v>
      </c>
      <c r="I1197" s="50">
        <v>44739</v>
      </c>
      <c r="M1197" s="49" t="s">
        <v>5344</v>
      </c>
    </row>
    <row r="1198" spans="1:13" x14ac:dyDescent="0.35">
      <c r="A1198" s="49" t="s">
        <v>14898</v>
      </c>
      <c r="B1198" s="49" t="s">
        <v>9995</v>
      </c>
      <c r="C1198" s="49" t="s">
        <v>9996</v>
      </c>
      <c r="D1198" s="49" t="s">
        <v>1264</v>
      </c>
      <c r="E1198" s="49" t="s">
        <v>2908</v>
      </c>
      <c r="F1198" s="49" t="s">
        <v>2837</v>
      </c>
      <c r="G1198" s="49" t="s">
        <v>2776</v>
      </c>
      <c r="H1198" s="49" t="s">
        <v>2827</v>
      </c>
      <c r="I1198" s="50">
        <v>42065</v>
      </c>
      <c r="M1198" s="49" t="s">
        <v>3876</v>
      </c>
    </row>
    <row r="1199" spans="1:13" x14ac:dyDescent="0.35">
      <c r="A1199" s="49" t="s">
        <v>15340</v>
      </c>
      <c r="B1199" s="49" t="s">
        <v>6512</v>
      </c>
      <c r="C1199" s="49" t="s">
        <v>6513</v>
      </c>
      <c r="D1199" s="49" t="s">
        <v>1264</v>
      </c>
      <c r="E1199" s="49" t="s">
        <v>2785</v>
      </c>
      <c r="F1199" s="49" t="s">
        <v>2805</v>
      </c>
      <c r="G1199" s="49" t="s">
        <v>2776</v>
      </c>
      <c r="H1199" s="49" t="s">
        <v>8</v>
      </c>
      <c r="I1199" s="50">
        <v>45069</v>
      </c>
      <c r="M1199" s="49" t="s">
        <v>6515</v>
      </c>
    </row>
    <row r="1200" spans="1:13" x14ac:dyDescent="0.35">
      <c r="A1200" s="49" t="s">
        <v>15340</v>
      </c>
      <c r="B1200" s="49" t="s">
        <v>6551</v>
      </c>
      <c r="C1200" s="49" t="s">
        <v>6552</v>
      </c>
      <c r="D1200" s="49" t="s">
        <v>1264</v>
      </c>
      <c r="E1200" s="49" t="s">
        <v>2785</v>
      </c>
      <c r="F1200" s="49" t="s">
        <v>2805</v>
      </c>
      <c r="G1200" s="49" t="s">
        <v>4330</v>
      </c>
      <c r="H1200" s="49" t="s">
        <v>8</v>
      </c>
      <c r="I1200" s="50">
        <v>45379</v>
      </c>
      <c r="M1200" s="49" t="s">
        <v>6553</v>
      </c>
    </row>
    <row r="1201" spans="1:13" x14ac:dyDescent="0.35">
      <c r="A1201" s="49" t="s">
        <v>15340</v>
      </c>
      <c r="B1201" s="49" t="s">
        <v>7068</v>
      </c>
      <c r="C1201" s="49" t="s">
        <v>7069</v>
      </c>
      <c r="D1201" s="49" t="s">
        <v>1264</v>
      </c>
      <c r="E1201" s="49" t="s">
        <v>2785</v>
      </c>
      <c r="F1201" s="49" t="s">
        <v>2786</v>
      </c>
      <c r="G1201" s="49" t="s">
        <v>2787</v>
      </c>
      <c r="H1201" s="49" t="s">
        <v>8</v>
      </c>
      <c r="I1201" s="50">
        <v>43236</v>
      </c>
      <c r="J1201" s="50">
        <v>43479</v>
      </c>
      <c r="K1201" s="50">
        <v>45428</v>
      </c>
      <c r="M1201" s="49" t="s">
        <v>7070</v>
      </c>
    </row>
    <row r="1202" spans="1:13" x14ac:dyDescent="0.35">
      <c r="A1202" s="49" t="s">
        <v>14198</v>
      </c>
      <c r="B1202" s="49" t="s">
        <v>4735</v>
      </c>
      <c r="C1202" s="49"/>
      <c r="D1202" s="49" t="s">
        <v>1264</v>
      </c>
      <c r="E1202" s="49" t="s">
        <v>2814</v>
      </c>
      <c r="F1202" s="49" t="s">
        <v>2837</v>
      </c>
      <c r="G1202" s="49" t="s">
        <v>2787</v>
      </c>
      <c r="H1202" s="49" t="s">
        <v>980</v>
      </c>
      <c r="I1202" s="50">
        <v>44607</v>
      </c>
      <c r="K1202" s="50">
        <v>44635</v>
      </c>
      <c r="M1202" s="49" t="s">
        <v>4737</v>
      </c>
    </row>
    <row r="1203" spans="1:13" x14ac:dyDescent="0.35">
      <c r="A1203" s="49" t="s">
        <v>14198</v>
      </c>
      <c r="B1203" s="49" t="s">
        <v>5247</v>
      </c>
      <c r="C1203" s="49"/>
      <c r="D1203" s="49" t="s">
        <v>1264</v>
      </c>
      <c r="E1203" s="49" t="s">
        <v>3443</v>
      </c>
      <c r="F1203" s="49" t="s">
        <v>3124</v>
      </c>
      <c r="G1203" s="49" t="s">
        <v>2901</v>
      </c>
      <c r="H1203" s="49" t="s">
        <v>980</v>
      </c>
      <c r="I1203" s="50">
        <v>44382</v>
      </c>
      <c r="J1203" s="50">
        <v>44778</v>
      </c>
      <c r="K1203" s="50">
        <v>46603</v>
      </c>
    </row>
    <row r="1204" spans="1:13" x14ac:dyDescent="0.35">
      <c r="A1204" s="49" t="s">
        <v>14198</v>
      </c>
      <c r="B1204" s="49" t="s">
        <v>6657</v>
      </c>
      <c r="C1204" s="49" t="s">
        <v>6658</v>
      </c>
      <c r="D1204" s="49" t="s">
        <v>1264</v>
      </c>
      <c r="E1204" s="49" t="s">
        <v>2908</v>
      </c>
      <c r="F1204" s="49" t="s">
        <v>2837</v>
      </c>
      <c r="G1204" s="49" t="s">
        <v>2776</v>
      </c>
      <c r="H1204" s="49" t="s">
        <v>2827</v>
      </c>
      <c r="I1204" s="50">
        <v>44425</v>
      </c>
      <c r="M1204" s="49" t="s">
        <v>5081</v>
      </c>
    </row>
    <row r="1205" spans="1:13" x14ac:dyDescent="0.35">
      <c r="A1205" s="49" t="s">
        <v>14198</v>
      </c>
      <c r="B1205" s="49" t="s">
        <v>10902</v>
      </c>
      <c r="C1205" s="49" t="s">
        <v>3663</v>
      </c>
      <c r="D1205" s="49" t="s">
        <v>1264</v>
      </c>
      <c r="E1205" s="49" t="s">
        <v>2986</v>
      </c>
      <c r="F1205" s="49" t="s">
        <v>2825</v>
      </c>
      <c r="G1205" s="49" t="s">
        <v>4891</v>
      </c>
      <c r="H1205" s="49" t="s">
        <v>2827</v>
      </c>
      <c r="I1205" s="50">
        <v>44537</v>
      </c>
      <c r="M1205" s="49" t="s">
        <v>10903</v>
      </c>
    </row>
    <row r="1206" spans="1:13" x14ac:dyDescent="0.35">
      <c r="A1206" s="49" t="s">
        <v>14198</v>
      </c>
      <c r="B1206" s="49" t="s">
        <v>11024</v>
      </c>
      <c r="C1206" s="49"/>
      <c r="D1206" s="49" t="s">
        <v>1264</v>
      </c>
      <c r="E1206" s="49" t="s">
        <v>2814</v>
      </c>
      <c r="F1206" s="49" t="s">
        <v>2825</v>
      </c>
      <c r="G1206" s="49" t="s">
        <v>2776</v>
      </c>
      <c r="H1206" s="49" t="s">
        <v>2827</v>
      </c>
      <c r="I1206" s="50">
        <v>44678</v>
      </c>
      <c r="M1206" s="49" t="s">
        <v>11025</v>
      </c>
    </row>
    <row r="1207" spans="1:13" x14ac:dyDescent="0.35">
      <c r="A1207" s="49" t="s">
        <v>14198</v>
      </c>
      <c r="B1207" s="49" t="s">
        <v>11055</v>
      </c>
      <c r="C1207" s="49" t="s">
        <v>11048</v>
      </c>
      <c r="D1207" s="49" t="s">
        <v>1264</v>
      </c>
      <c r="E1207" s="49" t="s">
        <v>2986</v>
      </c>
      <c r="F1207" s="49" t="s">
        <v>2825</v>
      </c>
      <c r="G1207" s="49" t="s">
        <v>4891</v>
      </c>
      <c r="H1207" s="49" t="s">
        <v>2827</v>
      </c>
      <c r="I1207" s="50">
        <v>44734</v>
      </c>
      <c r="M1207" s="49" t="s">
        <v>11056</v>
      </c>
    </row>
    <row r="1208" spans="1:13" x14ac:dyDescent="0.35">
      <c r="A1208" s="49" t="s">
        <v>14622</v>
      </c>
      <c r="B1208" s="49" t="s">
        <v>12139</v>
      </c>
      <c r="C1208" s="49" t="s">
        <v>4497</v>
      </c>
      <c r="D1208" s="49" t="s">
        <v>1264</v>
      </c>
      <c r="E1208" s="49" t="s">
        <v>2785</v>
      </c>
      <c r="F1208" s="49" t="s">
        <v>2792</v>
      </c>
      <c r="G1208" s="49" t="s">
        <v>4891</v>
      </c>
      <c r="H1208" s="49" t="s">
        <v>980</v>
      </c>
      <c r="I1208" s="50">
        <v>45345</v>
      </c>
      <c r="M1208" s="49" t="s">
        <v>12141</v>
      </c>
    </row>
    <row r="1209" spans="1:13" x14ac:dyDescent="0.35">
      <c r="A1209" s="49" t="s">
        <v>14899</v>
      </c>
      <c r="B1209" s="49" t="s">
        <v>12089</v>
      </c>
      <c r="C1209" s="49" t="s">
        <v>12090</v>
      </c>
      <c r="D1209" s="49" t="s">
        <v>1264</v>
      </c>
      <c r="E1209" s="49" t="s">
        <v>2986</v>
      </c>
      <c r="F1209" s="49" t="s">
        <v>2825</v>
      </c>
      <c r="G1209" s="49" t="s">
        <v>4891</v>
      </c>
      <c r="H1209" s="49" t="s">
        <v>2827</v>
      </c>
      <c r="I1209" s="50">
        <v>45303</v>
      </c>
      <c r="M1209" s="49" t="s">
        <v>3270</v>
      </c>
    </row>
    <row r="1210" spans="1:13" x14ac:dyDescent="0.35">
      <c r="A1210" s="49" t="s">
        <v>14900</v>
      </c>
      <c r="B1210" s="49" t="s">
        <v>13015</v>
      </c>
      <c r="C1210" s="49"/>
      <c r="D1210" s="49" t="s">
        <v>1264</v>
      </c>
      <c r="E1210" s="49" t="s">
        <v>2986</v>
      </c>
      <c r="F1210" s="49" t="s">
        <v>2825</v>
      </c>
      <c r="G1210" s="49" t="s">
        <v>4891</v>
      </c>
      <c r="H1210" s="49" t="s">
        <v>2827</v>
      </c>
      <c r="I1210" s="52">
        <v>46017.512743055602</v>
      </c>
    </row>
    <row r="1211" spans="1:13" x14ac:dyDescent="0.35">
      <c r="A1211" s="49" t="s">
        <v>4559</v>
      </c>
      <c r="B1211" s="49" t="s">
        <v>3961</v>
      </c>
      <c r="C1211" s="49" t="s">
        <v>3962</v>
      </c>
      <c r="D1211" s="49" t="s">
        <v>1264</v>
      </c>
      <c r="E1211" s="49" t="s">
        <v>2785</v>
      </c>
      <c r="F1211" s="49" t="s">
        <v>2792</v>
      </c>
      <c r="G1211" s="49" t="s">
        <v>2787</v>
      </c>
      <c r="H1211" s="49" t="s">
        <v>980</v>
      </c>
      <c r="I1211" s="50">
        <v>43819</v>
      </c>
      <c r="J1211" s="50">
        <v>43888</v>
      </c>
      <c r="K1211" s="50">
        <v>44426</v>
      </c>
      <c r="M1211" s="49" t="s">
        <v>3964</v>
      </c>
    </row>
    <row r="1212" spans="1:13" x14ac:dyDescent="0.35">
      <c r="A1212" s="49" t="s">
        <v>4559</v>
      </c>
      <c r="B1212" s="49" t="s">
        <v>4143</v>
      </c>
      <c r="C1212" s="49" t="s">
        <v>3962</v>
      </c>
      <c r="D1212" s="49" t="s">
        <v>1264</v>
      </c>
      <c r="E1212" s="49" t="s">
        <v>2785</v>
      </c>
      <c r="F1212" s="49" t="s">
        <v>2792</v>
      </c>
      <c r="G1212" s="49" t="s">
        <v>2787</v>
      </c>
      <c r="H1212" s="49" t="s">
        <v>980</v>
      </c>
      <c r="I1212" s="50">
        <v>44146</v>
      </c>
      <c r="J1212" s="50">
        <v>44229</v>
      </c>
      <c r="K1212" s="50">
        <v>44790</v>
      </c>
      <c r="M1212" s="49" t="s">
        <v>4144</v>
      </c>
    </row>
    <row r="1213" spans="1:13" x14ac:dyDescent="0.35">
      <c r="A1213" s="49" t="s">
        <v>4559</v>
      </c>
      <c r="B1213" s="49" t="s">
        <v>4558</v>
      </c>
      <c r="C1213" s="49" t="s">
        <v>2849</v>
      </c>
      <c r="D1213" s="49" t="s">
        <v>1264</v>
      </c>
      <c r="E1213" s="49" t="s">
        <v>2785</v>
      </c>
      <c r="F1213" s="49" t="s">
        <v>2792</v>
      </c>
      <c r="G1213" s="49" t="s">
        <v>2787</v>
      </c>
      <c r="H1213" s="49" t="s">
        <v>980</v>
      </c>
      <c r="I1213" s="50">
        <v>44456</v>
      </c>
      <c r="J1213" s="50">
        <v>44498</v>
      </c>
      <c r="K1213" s="50">
        <v>45510</v>
      </c>
      <c r="M1213" s="49" t="s">
        <v>4560</v>
      </c>
    </row>
    <row r="1214" spans="1:13" x14ac:dyDescent="0.35">
      <c r="A1214" s="49" t="s">
        <v>4559</v>
      </c>
      <c r="B1214" s="49" t="s">
        <v>5616</v>
      </c>
      <c r="C1214" s="49" t="s">
        <v>5617</v>
      </c>
      <c r="D1214" s="49" t="s">
        <v>1264</v>
      </c>
      <c r="E1214" s="49" t="s">
        <v>2785</v>
      </c>
      <c r="F1214" s="49" t="s">
        <v>2792</v>
      </c>
      <c r="G1214" s="49" t="s">
        <v>4330</v>
      </c>
      <c r="H1214" s="49" t="s">
        <v>8</v>
      </c>
      <c r="I1214" s="50">
        <v>45054</v>
      </c>
      <c r="M1214" s="49" t="s">
        <v>5618</v>
      </c>
    </row>
    <row r="1215" spans="1:13" x14ac:dyDescent="0.35">
      <c r="A1215" s="49" t="s">
        <v>4559</v>
      </c>
      <c r="B1215" s="49" t="s">
        <v>7065</v>
      </c>
      <c r="C1215" s="49" t="s">
        <v>7066</v>
      </c>
      <c r="D1215" s="49" t="s">
        <v>1264</v>
      </c>
      <c r="E1215" s="49" t="s">
        <v>2785</v>
      </c>
      <c r="F1215" s="49" t="s">
        <v>2792</v>
      </c>
      <c r="G1215" s="49" t="s">
        <v>2787</v>
      </c>
      <c r="H1215" s="49" t="s">
        <v>980</v>
      </c>
      <c r="I1215" s="50">
        <v>43427</v>
      </c>
      <c r="J1215" s="50">
        <v>43479</v>
      </c>
      <c r="K1215" s="50">
        <v>43659</v>
      </c>
      <c r="M1215" s="49" t="s">
        <v>7067</v>
      </c>
    </row>
    <row r="1216" spans="1:13" x14ac:dyDescent="0.35">
      <c r="A1216" s="49" t="s">
        <v>4559</v>
      </c>
      <c r="B1216" s="49" t="s">
        <v>7282</v>
      </c>
      <c r="C1216" s="49" t="s">
        <v>7066</v>
      </c>
      <c r="D1216" s="49" t="s">
        <v>1264</v>
      </c>
      <c r="E1216" s="49" t="s">
        <v>2785</v>
      </c>
      <c r="F1216" s="49" t="s">
        <v>2792</v>
      </c>
      <c r="G1216" s="49" t="s">
        <v>2787</v>
      </c>
      <c r="H1216" s="49" t="s">
        <v>980</v>
      </c>
      <c r="I1216" s="50">
        <v>43152</v>
      </c>
      <c r="J1216" s="50">
        <v>43193</v>
      </c>
      <c r="K1216" s="50">
        <v>43375</v>
      </c>
      <c r="M1216" s="49" t="s">
        <v>7283</v>
      </c>
    </row>
    <row r="1217" spans="1:13" x14ac:dyDescent="0.35">
      <c r="A1217" s="49" t="s">
        <v>4559</v>
      </c>
      <c r="B1217" s="49" t="s">
        <v>7401</v>
      </c>
      <c r="C1217" s="49" t="s">
        <v>7066</v>
      </c>
      <c r="D1217" s="49" t="s">
        <v>1264</v>
      </c>
      <c r="E1217" s="49" t="s">
        <v>2785</v>
      </c>
      <c r="F1217" s="49" t="s">
        <v>2792</v>
      </c>
      <c r="G1217" s="49" t="s">
        <v>2787</v>
      </c>
      <c r="H1217" s="49" t="s">
        <v>980</v>
      </c>
      <c r="I1217" s="50">
        <v>43545</v>
      </c>
      <c r="J1217" s="50">
        <v>43601</v>
      </c>
      <c r="K1217" s="50">
        <v>43784</v>
      </c>
      <c r="M1217" s="49" t="s">
        <v>7402</v>
      </c>
    </row>
    <row r="1218" spans="1:13" x14ac:dyDescent="0.35">
      <c r="A1218" s="49" t="s">
        <v>14073</v>
      </c>
      <c r="B1218" s="49" t="s">
        <v>2971</v>
      </c>
      <c r="C1218" s="49" t="s">
        <v>2972</v>
      </c>
      <c r="D1218" s="49" t="s">
        <v>1264</v>
      </c>
      <c r="E1218" s="49" t="s">
        <v>2974</v>
      </c>
      <c r="F1218" s="49" t="s">
        <v>2825</v>
      </c>
      <c r="G1218" s="49" t="s">
        <v>2975</v>
      </c>
      <c r="H1218" s="49" t="s">
        <v>2827</v>
      </c>
      <c r="I1218" s="50">
        <v>37341</v>
      </c>
      <c r="J1218" s="50">
        <v>44131</v>
      </c>
      <c r="K1218" s="50">
        <v>45956</v>
      </c>
      <c r="M1218" s="49" t="s">
        <v>2976</v>
      </c>
    </row>
    <row r="1219" spans="1:13" x14ac:dyDescent="0.35">
      <c r="A1219" s="49" t="s">
        <v>14073</v>
      </c>
      <c r="B1219" s="49" t="s">
        <v>4366</v>
      </c>
      <c r="C1219" s="49" t="s">
        <v>4367</v>
      </c>
      <c r="D1219" s="49" t="s">
        <v>1264</v>
      </c>
      <c r="E1219" s="49" t="s">
        <v>2814</v>
      </c>
      <c r="F1219" s="49" t="s">
        <v>2825</v>
      </c>
      <c r="G1219" s="49" t="s">
        <v>2787</v>
      </c>
      <c r="H1219" s="49" t="s">
        <v>2827</v>
      </c>
      <c r="I1219" s="50">
        <v>44335</v>
      </c>
      <c r="J1219" s="50">
        <v>44369</v>
      </c>
      <c r="K1219" s="50">
        <v>44733</v>
      </c>
      <c r="M1219" s="49" t="s">
        <v>4368</v>
      </c>
    </row>
    <row r="1220" spans="1:13" x14ac:dyDescent="0.35">
      <c r="A1220" s="49" t="s">
        <v>14073</v>
      </c>
      <c r="B1220" s="49" t="s">
        <v>5546</v>
      </c>
      <c r="C1220" s="49"/>
      <c r="D1220" s="49" t="s">
        <v>1264</v>
      </c>
      <c r="E1220" s="49" t="s">
        <v>2974</v>
      </c>
      <c r="F1220" s="49" t="s">
        <v>2825</v>
      </c>
      <c r="G1220" s="49" t="s">
        <v>2901</v>
      </c>
      <c r="H1220" s="49" t="s">
        <v>2827</v>
      </c>
      <c r="I1220" s="50">
        <v>45043</v>
      </c>
      <c r="J1220" s="50">
        <v>45431</v>
      </c>
      <c r="K1220" s="50">
        <v>47256</v>
      </c>
      <c r="M1220" s="49" t="s">
        <v>5547</v>
      </c>
    </row>
    <row r="1221" spans="1:13" x14ac:dyDescent="0.35">
      <c r="A1221" s="49" t="s">
        <v>14073</v>
      </c>
      <c r="B1221" s="49" t="s">
        <v>10802</v>
      </c>
      <c r="C1221" s="49"/>
      <c r="D1221" s="49" t="s">
        <v>1264</v>
      </c>
      <c r="E1221" s="49" t="s">
        <v>2974</v>
      </c>
      <c r="F1221" s="49" t="s">
        <v>2825</v>
      </c>
      <c r="G1221" s="49" t="s">
        <v>2776</v>
      </c>
      <c r="H1221" s="49" t="s">
        <v>2827</v>
      </c>
      <c r="I1221" s="50">
        <v>44301</v>
      </c>
      <c r="M1221" s="49" t="s">
        <v>4368</v>
      </c>
    </row>
    <row r="1222" spans="1:13" x14ac:dyDescent="0.35">
      <c r="A1222" s="49" t="s">
        <v>14073</v>
      </c>
      <c r="B1222" s="49" t="s">
        <v>10827</v>
      </c>
      <c r="C1222" s="49"/>
      <c r="D1222" s="49" t="s">
        <v>1264</v>
      </c>
      <c r="E1222" s="49" t="s">
        <v>2814</v>
      </c>
      <c r="F1222" s="49" t="s">
        <v>2837</v>
      </c>
      <c r="G1222" s="49" t="s">
        <v>2776</v>
      </c>
      <c r="H1222" s="49" t="s">
        <v>980</v>
      </c>
      <c r="I1222" s="50">
        <v>44294</v>
      </c>
      <c r="M1222" s="49" t="s">
        <v>10828</v>
      </c>
    </row>
    <row r="1223" spans="1:13" x14ac:dyDescent="0.35">
      <c r="A1223" s="49" t="s">
        <v>14901</v>
      </c>
      <c r="B1223" s="49" t="s">
        <v>13785</v>
      </c>
      <c r="C1223" s="49"/>
      <c r="D1223" s="49" t="s">
        <v>1264</v>
      </c>
      <c r="E1223" s="49" t="s">
        <v>2974</v>
      </c>
      <c r="F1223" s="49" t="s">
        <v>2825</v>
      </c>
      <c r="G1223" s="49" t="s">
        <v>2776</v>
      </c>
      <c r="H1223" s="49" t="s">
        <v>2827</v>
      </c>
      <c r="I1223" s="50">
        <v>42845</v>
      </c>
      <c r="M1223" s="49" t="s">
        <v>13787</v>
      </c>
    </row>
    <row r="1224" spans="1:13" x14ac:dyDescent="0.35">
      <c r="A1224" s="49" t="s">
        <v>14901</v>
      </c>
      <c r="B1224" s="49" t="s">
        <v>2983</v>
      </c>
      <c r="C1224" s="49" t="s">
        <v>2984</v>
      </c>
      <c r="D1224" s="49" t="s">
        <v>1264</v>
      </c>
      <c r="E1224" s="49" t="s">
        <v>2986</v>
      </c>
      <c r="F1224" s="49" t="s">
        <v>2825</v>
      </c>
      <c r="G1224" s="49" t="s">
        <v>2820</v>
      </c>
      <c r="H1224" s="49" t="s">
        <v>2827</v>
      </c>
      <c r="I1224" s="50">
        <v>38730</v>
      </c>
      <c r="J1224" s="50">
        <v>39044</v>
      </c>
      <c r="K1224" s="50">
        <v>42753</v>
      </c>
      <c r="M1224" s="49" t="s">
        <v>2987</v>
      </c>
    </row>
    <row r="1225" spans="1:13" x14ac:dyDescent="0.35">
      <c r="A1225" s="49" t="s">
        <v>14847</v>
      </c>
      <c r="B1225" s="49" t="s">
        <v>12772</v>
      </c>
      <c r="C1225" s="49" t="s">
        <v>7426</v>
      </c>
      <c r="D1225" s="49" t="s">
        <v>1264</v>
      </c>
      <c r="E1225" s="49" t="s">
        <v>2785</v>
      </c>
      <c r="F1225" s="49" t="s">
        <v>2786</v>
      </c>
      <c r="G1225" s="49" t="s">
        <v>4891</v>
      </c>
      <c r="H1225" s="49" t="s">
        <v>980</v>
      </c>
      <c r="I1225" s="50">
        <v>45534</v>
      </c>
      <c r="M1225" s="49" t="s">
        <v>12774</v>
      </c>
    </row>
    <row r="1226" spans="1:13" x14ac:dyDescent="0.35">
      <c r="A1226" s="49" t="s">
        <v>14062</v>
      </c>
      <c r="B1226" s="49" t="s">
        <v>2808</v>
      </c>
      <c r="C1226" s="49" t="s">
        <v>2809</v>
      </c>
      <c r="D1226" s="49" t="s">
        <v>1264</v>
      </c>
      <c r="E1226" s="49" t="s">
        <v>2785</v>
      </c>
      <c r="F1226" s="49" t="s">
        <v>2792</v>
      </c>
      <c r="G1226" s="49" t="s">
        <v>2787</v>
      </c>
      <c r="H1226" s="49" t="s">
        <v>980</v>
      </c>
      <c r="I1226" s="50">
        <v>43865</v>
      </c>
      <c r="J1226" s="50">
        <v>43871</v>
      </c>
      <c r="K1226" s="50">
        <v>44237</v>
      </c>
      <c r="M1226" s="49" t="s">
        <v>2811</v>
      </c>
    </row>
    <row r="1227" spans="1:13" x14ac:dyDescent="0.35">
      <c r="A1227" s="49" t="s">
        <v>14062</v>
      </c>
      <c r="B1227" s="49" t="s">
        <v>2842</v>
      </c>
      <c r="C1227" s="49" t="s">
        <v>2809</v>
      </c>
      <c r="D1227" s="49" t="s">
        <v>1264</v>
      </c>
      <c r="E1227" s="49" t="s">
        <v>2785</v>
      </c>
      <c r="F1227" s="49" t="s">
        <v>2792</v>
      </c>
      <c r="G1227" s="49" t="s">
        <v>2787</v>
      </c>
      <c r="H1227" s="49" t="s">
        <v>980</v>
      </c>
      <c r="I1227" s="50">
        <v>43887</v>
      </c>
      <c r="J1227" s="50">
        <v>43894</v>
      </c>
      <c r="K1227" s="50">
        <v>44259</v>
      </c>
      <c r="M1227" s="49" t="s">
        <v>2843</v>
      </c>
    </row>
    <row r="1228" spans="1:13" x14ac:dyDescent="0.35">
      <c r="A1228" s="49" t="s">
        <v>14062</v>
      </c>
      <c r="B1228" s="49" t="s">
        <v>4088</v>
      </c>
      <c r="C1228" s="49" t="s">
        <v>2809</v>
      </c>
      <c r="D1228" s="49" t="s">
        <v>1264</v>
      </c>
      <c r="E1228" s="49" t="s">
        <v>2785</v>
      </c>
      <c r="F1228" s="49" t="s">
        <v>2792</v>
      </c>
      <c r="G1228" s="49" t="s">
        <v>2787</v>
      </c>
      <c r="H1228" s="49" t="s">
        <v>980</v>
      </c>
      <c r="I1228" s="50">
        <v>44032</v>
      </c>
      <c r="J1228" s="50">
        <v>44229</v>
      </c>
      <c r="K1228" s="50">
        <v>45428</v>
      </c>
      <c r="M1228" s="49" t="s">
        <v>4089</v>
      </c>
    </row>
    <row r="1229" spans="1:13" x14ac:dyDescent="0.35">
      <c r="A1229" s="49" t="s">
        <v>14062</v>
      </c>
      <c r="B1229" s="49" t="s">
        <v>4234</v>
      </c>
      <c r="C1229" s="49"/>
      <c r="D1229" s="49" t="s">
        <v>1264</v>
      </c>
      <c r="E1229" s="49" t="s">
        <v>2785</v>
      </c>
      <c r="F1229" s="49" t="s">
        <v>2792</v>
      </c>
      <c r="G1229" s="49" t="s">
        <v>2787</v>
      </c>
      <c r="H1229" s="49" t="s">
        <v>980</v>
      </c>
      <c r="I1229" s="50">
        <v>43542</v>
      </c>
      <c r="J1229" s="50">
        <v>44316</v>
      </c>
      <c r="K1229" s="50">
        <v>45511</v>
      </c>
      <c r="M1229" s="49" t="s">
        <v>4235</v>
      </c>
    </row>
    <row r="1230" spans="1:13" x14ac:dyDescent="0.35">
      <c r="A1230" s="49" t="s">
        <v>14062</v>
      </c>
      <c r="B1230" s="49" t="s">
        <v>4884</v>
      </c>
      <c r="C1230" s="49"/>
      <c r="D1230" s="49" t="s">
        <v>1264</v>
      </c>
      <c r="E1230" s="49" t="s">
        <v>2785</v>
      </c>
      <c r="F1230" s="49" t="s">
        <v>2792</v>
      </c>
      <c r="G1230" s="49" t="s">
        <v>2787</v>
      </c>
      <c r="H1230" s="49" t="s">
        <v>980</v>
      </c>
      <c r="I1230" s="50">
        <v>44733</v>
      </c>
      <c r="J1230" s="50">
        <v>44746</v>
      </c>
      <c r="K1230" s="50">
        <v>45511</v>
      </c>
      <c r="M1230" s="49" t="s">
        <v>4885</v>
      </c>
    </row>
    <row r="1231" spans="1:13" x14ac:dyDescent="0.35">
      <c r="A1231" s="49" t="s">
        <v>14062</v>
      </c>
      <c r="B1231" s="49" t="s">
        <v>7487</v>
      </c>
      <c r="C1231" s="49" t="s">
        <v>7488</v>
      </c>
      <c r="D1231" s="49" t="s">
        <v>1264</v>
      </c>
      <c r="E1231" s="49" t="s">
        <v>2785</v>
      </c>
      <c r="F1231" s="49" t="s">
        <v>2792</v>
      </c>
      <c r="G1231" s="49" t="s">
        <v>2787</v>
      </c>
      <c r="H1231" s="49" t="s">
        <v>980</v>
      </c>
      <c r="I1231" s="50">
        <v>43628</v>
      </c>
      <c r="J1231" s="50">
        <v>43664</v>
      </c>
      <c r="K1231" s="50">
        <v>43847</v>
      </c>
      <c r="M1231" s="49" t="s">
        <v>7489</v>
      </c>
    </row>
    <row r="1232" spans="1:13" x14ac:dyDescent="0.35">
      <c r="A1232" s="49" t="s">
        <v>14062</v>
      </c>
      <c r="B1232" s="49" t="s">
        <v>9998</v>
      </c>
      <c r="C1232" s="49"/>
      <c r="D1232" s="49" t="s">
        <v>1264</v>
      </c>
      <c r="E1232" s="49" t="s">
        <v>2785</v>
      </c>
      <c r="F1232" s="49" t="s">
        <v>2792</v>
      </c>
      <c r="G1232" s="49" t="s">
        <v>2776</v>
      </c>
      <c r="H1232" s="49" t="s">
        <v>980</v>
      </c>
      <c r="I1232" s="50">
        <v>43801</v>
      </c>
      <c r="M1232" s="49" t="s">
        <v>9999</v>
      </c>
    </row>
    <row r="1233" spans="1:13" x14ac:dyDescent="0.35">
      <c r="A1233" s="49" t="s">
        <v>15170</v>
      </c>
      <c r="B1233" s="49" t="s">
        <v>4540</v>
      </c>
      <c r="C1233" s="49"/>
      <c r="D1233" s="49" t="s">
        <v>1264</v>
      </c>
      <c r="E1233" s="49" t="s">
        <v>2986</v>
      </c>
      <c r="F1233" s="49" t="s">
        <v>2825</v>
      </c>
      <c r="G1233" s="49" t="s">
        <v>2901</v>
      </c>
      <c r="H1233" s="49" t="s">
        <v>2827</v>
      </c>
      <c r="I1233" s="50">
        <v>44033</v>
      </c>
      <c r="J1233" s="50">
        <v>44623</v>
      </c>
      <c r="K1233" s="50">
        <v>45718</v>
      </c>
      <c r="M1233" s="49" t="s">
        <v>4542</v>
      </c>
    </row>
    <row r="1234" spans="1:13" x14ac:dyDescent="0.35">
      <c r="A1234" s="49" t="s">
        <v>15170</v>
      </c>
      <c r="B1234" s="49" t="s">
        <v>8988</v>
      </c>
      <c r="C1234" s="49"/>
      <c r="D1234" s="49" t="s">
        <v>1264</v>
      </c>
      <c r="E1234" s="49" t="s">
        <v>2814</v>
      </c>
      <c r="F1234" s="49" t="s">
        <v>2825</v>
      </c>
      <c r="G1234" s="49" t="s">
        <v>2826</v>
      </c>
      <c r="H1234" s="49" t="s">
        <v>2827</v>
      </c>
      <c r="I1234" s="50">
        <v>43276</v>
      </c>
      <c r="J1234" s="50">
        <v>43291</v>
      </c>
      <c r="K1234" s="50">
        <v>43656</v>
      </c>
      <c r="M1234" s="49" t="s">
        <v>8989</v>
      </c>
    </row>
    <row r="1235" spans="1:13" x14ac:dyDescent="0.35">
      <c r="A1235" s="49" t="s">
        <v>8669</v>
      </c>
      <c r="B1235" s="49" t="s">
        <v>8668</v>
      </c>
      <c r="C1235" s="49" t="s">
        <v>8669</v>
      </c>
      <c r="D1235" s="49" t="s">
        <v>1264</v>
      </c>
      <c r="E1235" s="49" t="s">
        <v>2986</v>
      </c>
      <c r="F1235" s="49" t="s">
        <v>2825</v>
      </c>
      <c r="G1235" s="49" t="s">
        <v>2787</v>
      </c>
      <c r="H1235" s="49" t="s">
        <v>2827</v>
      </c>
      <c r="I1235" s="50">
        <v>42898</v>
      </c>
      <c r="J1235" s="50">
        <v>43083</v>
      </c>
      <c r="K1235" s="50">
        <v>44179</v>
      </c>
      <c r="M1235" s="49" t="s">
        <v>3270</v>
      </c>
    </row>
    <row r="1236" spans="1:13" x14ac:dyDescent="0.35">
      <c r="A1236" s="49" t="s">
        <v>8669</v>
      </c>
      <c r="B1236" s="49" t="s">
        <v>12082</v>
      </c>
      <c r="C1236" s="49" t="s">
        <v>12083</v>
      </c>
      <c r="D1236" s="49" t="s">
        <v>1264</v>
      </c>
      <c r="E1236" s="49" t="s">
        <v>2986</v>
      </c>
      <c r="F1236" s="49" t="s">
        <v>2825</v>
      </c>
      <c r="G1236" s="49" t="s">
        <v>4891</v>
      </c>
      <c r="H1236" s="49" t="s">
        <v>2827</v>
      </c>
      <c r="I1236" s="50">
        <v>44959</v>
      </c>
      <c r="M1236" s="49" t="s">
        <v>5565</v>
      </c>
    </row>
    <row r="1237" spans="1:13" ht="29" x14ac:dyDescent="0.35">
      <c r="A1237" s="49" t="s">
        <v>14569</v>
      </c>
      <c r="B1237" s="49" t="s">
        <v>10600</v>
      </c>
      <c r="C1237" s="51" t="s">
        <v>10601</v>
      </c>
      <c r="D1237" s="49" t="s">
        <v>1264</v>
      </c>
      <c r="E1237" s="49" t="s">
        <v>2814</v>
      </c>
      <c r="F1237" s="49" t="s">
        <v>2837</v>
      </c>
      <c r="G1237" s="49" t="s">
        <v>2776</v>
      </c>
      <c r="H1237" s="49" t="s">
        <v>980</v>
      </c>
      <c r="I1237" s="50">
        <v>42235</v>
      </c>
      <c r="M1237" s="49" t="s">
        <v>10603</v>
      </c>
    </row>
    <row r="1238" spans="1:13" x14ac:dyDescent="0.35">
      <c r="A1238" s="49" t="s">
        <v>15171</v>
      </c>
      <c r="B1238" s="49" t="s">
        <v>3854</v>
      </c>
      <c r="C1238" s="49" t="s">
        <v>3582</v>
      </c>
      <c r="D1238" s="49" t="s">
        <v>1264</v>
      </c>
      <c r="E1238" s="49" t="s">
        <v>3443</v>
      </c>
      <c r="F1238" s="49" t="s">
        <v>3124</v>
      </c>
      <c r="G1238" s="49" t="s">
        <v>2901</v>
      </c>
      <c r="H1238" s="49" t="s">
        <v>980</v>
      </c>
      <c r="I1238" s="50">
        <v>43398</v>
      </c>
      <c r="J1238" s="50">
        <v>43448</v>
      </c>
      <c r="K1238" s="50">
        <v>46881</v>
      </c>
      <c r="L1238" s="50">
        <v>45055</v>
      </c>
      <c r="M1238" s="49" t="s">
        <v>3856</v>
      </c>
    </row>
    <row r="1239" spans="1:13" x14ac:dyDescent="0.35">
      <c r="A1239" s="49" t="s">
        <v>10276</v>
      </c>
      <c r="B1239" s="49" t="s">
        <v>10275</v>
      </c>
      <c r="C1239" s="49"/>
      <c r="D1239" s="49" t="s">
        <v>1264</v>
      </c>
      <c r="E1239" s="49" t="s">
        <v>2814</v>
      </c>
      <c r="F1239" s="49" t="s">
        <v>2825</v>
      </c>
      <c r="G1239" s="49" t="s">
        <v>2776</v>
      </c>
      <c r="H1239" s="49" t="s">
        <v>2827</v>
      </c>
      <c r="I1239" s="50">
        <v>42765</v>
      </c>
      <c r="M1239" s="49" t="s">
        <v>10277</v>
      </c>
    </row>
    <row r="1240" spans="1:13" x14ac:dyDescent="0.35">
      <c r="A1240" s="49" t="s">
        <v>10276</v>
      </c>
      <c r="B1240" s="49" t="s">
        <v>13729</v>
      </c>
      <c r="C1240" s="49" t="s">
        <v>9885</v>
      </c>
      <c r="D1240" s="49" t="s">
        <v>1264</v>
      </c>
      <c r="E1240" s="49" t="s">
        <v>2986</v>
      </c>
      <c r="F1240" s="49" t="s">
        <v>2825</v>
      </c>
      <c r="G1240" s="49" t="s">
        <v>2776</v>
      </c>
      <c r="H1240" s="49" t="s">
        <v>2827</v>
      </c>
      <c r="I1240" s="50">
        <v>42731</v>
      </c>
      <c r="M1240" s="49" t="s">
        <v>3270</v>
      </c>
    </row>
    <row r="1241" spans="1:13" x14ac:dyDescent="0.35">
      <c r="A1241" s="49" t="s">
        <v>14760</v>
      </c>
      <c r="B1241" s="49" t="s">
        <v>9620</v>
      </c>
      <c r="C1241" s="49"/>
      <c r="D1241" s="49" t="s">
        <v>1264</v>
      </c>
      <c r="E1241" s="49" t="s">
        <v>2908</v>
      </c>
      <c r="F1241" s="49" t="s">
        <v>2939</v>
      </c>
      <c r="G1241" s="49" t="s">
        <v>2776</v>
      </c>
      <c r="H1241" s="49" t="s">
        <v>980</v>
      </c>
      <c r="I1241" s="50">
        <v>42166</v>
      </c>
      <c r="M1241" s="49" t="s">
        <v>3470</v>
      </c>
    </row>
    <row r="1242" spans="1:13" x14ac:dyDescent="0.35">
      <c r="A1242" s="49" t="s">
        <v>10167</v>
      </c>
      <c r="B1242" s="49" t="s">
        <v>10166</v>
      </c>
      <c r="C1242" s="49" t="s">
        <v>2863</v>
      </c>
      <c r="D1242" s="49" t="s">
        <v>1264</v>
      </c>
      <c r="E1242" s="49" t="s">
        <v>2814</v>
      </c>
      <c r="F1242" s="49" t="s">
        <v>2825</v>
      </c>
      <c r="G1242" s="49" t="s">
        <v>2776</v>
      </c>
      <c r="H1242" s="49" t="s">
        <v>2827</v>
      </c>
      <c r="I1242" s="50">
        <v>42355</v>
      </c>
      <c r="M1242" s="49" t="s">
        <v>3470</v>
      </c>
    </row>
    <row r="1243" spans="1:13" x14ac:dyDescent="0.35">
      <c r="A1243" s="49" t="s">
        <v>14741</v>
      </c>
      <c r="B1243" s="49" t="s">
        <v>8244</v>
      </c>
      <c r="C1243" s="49" t="s">
        <v>8245</v>
      </c>
      <c r="D1243" s="49" t="s">
        <v>1264</v>
      </c>
      <c r="E1243" s="49" t="s">
        <v>2908</v>
      </c>
      <c r="F1243" s="49" t="s">
        <v>2939</v>
      </c>
      <c r="G1243" s="49" t="s">
        <v>2787</v>
      </c>
      <c r="H1243" s="49" t="s">
        <v>8</v>
      </c>
      <c r="I1243" s="50">
        <v>35051</v>
      </c>
      <c r="J1243" s="50">
        <v>35384</v>
      </c>
      <c r="K1243" s="50">
        <v>37209</v>
      </c>
      <c r="M1243" s="49" t="s">
        <v>6129</v>
      </c>
    </row>
    <row r="1244" spans="1:13" x14ac:dyDescent="0.35">
      <c r="A1244" s="49" t="s">
        <v>14782</v>
      </c>
      <c r="B1244" s="49" t="s">
        <v>10609</v>
      </c>
      <c r="C1244" s="49" t="s">
        <v>3075</v>
      </c>
      <c r="D1244" s="49" t="s">
        <v>1264</v>
      </c>
      <c r="E1244" s="49" t="s">
        <v>2814</v>
      </c>
      <c r="F1244" s="49" t="s">
        <v>2825</v>
      </c>
      <c r="G1244" s="49" t="s">
        <v>2776</v>
      </c>
      <c r="H1244" s="49" t="s">
        <v>2827</v>
      </c>
      <c r="I1244" s="50">
        <v>43085</v>
      </c>
      <c r="M1244" s="49" t="s">
        <v>10611</v>
      </c>
    </row>
    <row r="1245" spans="1:13" x14ac:dyDescent="0.35">
      <c r="A1245" s="49" t="s">
        <v>3940</v>
      </c>
      <c r="B1245" s="49" t="s">
        <v>3939</v>
      </c>
      <c r="C1245" s="49" t="s">
        <v>3940</v>
      </c>
      <c r="D1245" s="49" t="s">
        <v>1264</v>
      </c>
      <c r="E1245" s="49" t="s">
        <v>2986</v>
      </c>
      <c r="F1245" s="49" t="s">
        <v>2825</v>
      </c>
      <c r="G1245" s="49" t="s">
        <v>2901</v>
      </c>
      <c r="H1245" s="49" t="s">
        <v>2827</v>
      </c>
      <c r="I1245" s="50">
        <v>43749</v>
      </c>
      <c r="J1245" s="50">
        <v>43878</v>
      </c>
      <c r="K1245" s="50">
        <v>46069</v>
      </c>
      <c r="L1245" s="50">
        <v>44974</v>
      </c>
      <c r="M1245" s="49" t="s">
        <v>3942</v>
      </c>
    </row>
    <row r="1246" spans="1:13" x14ac:dyDescent="0.35">
      <c r="A1246" s="49" t="s">
        <v>3940</v>
      </c>
      <c r="B1246" s="49" t="s">
        <v>9895</v>
      </c>
      <c r="C1246" s="49" t="s">
        <v>9896</v>
      </c>
      <c r="D1246" s="49" t="s">
        <v>1264</v>
      </c>
      <c r="E1246" s="49" t="s">
        <v>7057</v>
      </c>
      <c r="F1246" s="49" t="s">
        <v>2825</v>
      </c>
      <c r="G1246" s="49" t="s">
        <v>2776</v>
      </c>
      <c r="H1246" s="49" t="s">
        <v>2827</v>
      </c>
      <c r="I1246" s="50">
        <v>41638</v>
      </c>
      <c r="M1246" s="49" t="s">
        <v>9897</v>
      </c>
    </row>
    <row r="1247" spans="1:13" x14ac:dyDescent="0.35">
      <c r="A1247" s="49" t="s">
        <v>14902</v>
      </c>
      <c r="B1247" s="49" t="s">
        <v>5754</v>
      </c>
      <c r="C1247" s="49"/>
      <c r="D1247" s="49" t="s">
        <v>1264</v>
      </c>
      <c r="E1247" s="49" t="s">
        <v>2986</v>
      </c>
      <c r="F1247" s="49" t="s">
        <v>2825</v>
      </c>
      <c r="G1247" s="49" t="s">
        <v>2901</v>
      </c>
      <c r="H1247" s="49" t="s">
        <v>2827</v>
      </c>
      <c r="I1247" s="50">
        <v>45183</v>
      </c>
      <c r="J1247" s="50">
        <v>45299</v>
      </c>
      <c r="K1247" s="50">
        <v>46394</v>
      </c>
      <c r="M1247" s="49" t="s">
        <v>5756</v>
      </c>
    </row>
    <row r="1248" spans="1:13" x14ac:dyDescent="0.35">
      <c r="A1248" s="49" t="s">
        <v>14903</v>
      </c>
      <c r="B1248" s="49" t="s">
        <v>5946</v>
      </c>
      <c r="C1248" s="49"/>
      <c r="D1248" s="49" t="s">
        <v>1264</v>
      </c>
      <c r="E1248" s="49" t="s">
        <v>2986</v>
      </c>
      <c r="F1248" s="49" t="s">
        <v>2825</v>
      </c>
      <c r="G1248" s="49" t="s">
        <v>4891</v>
      </c>
      <c r="H1248" s="49" t="s">
        <v>2827</v>
      </c>
      <c r="I1248" s="50">
        <v>45224</v>
      </c>
      <c r="M1248" s="49" t="s">
        <v>5948</v>
      </c>
    </row>
    <row r="1249" spans="1:13" x14ac:dyDescent="0.35">
      <c r="A1249" s="49" t="s">
        <v>15069</v>
      </c>
      <c r="B1249" s="49" t="s">
        <v>5316</v>
      </c>
      <c r="C1249" s="49" t="s">
        <v>3218</v>
      </c>
      <c r="D1249" s="49" t="s">
        <v>1264</v>
      </c>
      <c r="E1249" s="49" t="s">
        <v>2785</v>
      </c>
      <c r="F1249" s="49" t="s">
        <v>2786</v>
      </c>
      <c r="G1249" s="49" t="s">
        <v>2787</v>
      </c>
      <c r="H1249" s="49" t="s">
        <v>980</v>
      </c>
      <c r="I1249" s="50">
        <v>44935</v>
      </c>
      <c r="J1249" s="50">
        <v>45028</v>
      </c>
      <c r="K1249" s="50">
        <v>45393</v>
      </c>
      <c r="M1249" s="49" t="s">
        <v>5318</v>
      </c>
    </row>
    <row r="1250" spans="1:13" x14ac:dyDescent="0.35">
      <c r="A1250" s="49" t="s">
        <v>15069</v>
      </c>
      <c r="B1250" s="49" t="s">
        <v>5904</v>
      </c>
      <c r="C1250" s="49" t="s">
        <v>5905</v>
      </c>
      <c r="D1250" s="49" t="s">
        <v>1264</v>
      </c>
      <c r="E1250" s="49" t="s">
        <v>2785</v>
      </c>
      <c r="F1250" s="49" t="s">
        <v>2786</v>
      </c>
      <c r="G1250" s="49" t="s">
        <v>2787</v>
      </c>
      <c r="H1250" s="49" t="s">
        <v>980</v>
      </c>
      <c r="I1250" s="50">
        <v>45215</v>
      </c>
      <c r="J1250" s="50">
        <v>45217</v>
      </c>
      <c r="K1250" s="50">
        <v>45582</v>
      </c>
      <c r="M1250" s="49" t="s">
        <v>5906</v>
      </c>
    </row>
    <row r="1251" spans="1:13" x14ac:dyDescent="0.35">
      <c r="A1251" s="49" t="s">
        <v>15069</v>
      </c>
      <c r="B1251" s="49" t="s">
        <v>6164</v>
      </c>
      <c r="C1251" s="49" t="s">
        <v>3586</v>
      </c>
      <c r="D1251" s="49" t="s">
        <v>1264</v>
      </c>
      <c r="E1251" s="49" t="s">
        <v>2785</v>
      </c>
      <c r="F1251" s="49" t="s">
        <v>2786</v>
      </c>
      <c r="G1251" s="49" t="s">
        <v>4330</v>
      </c>
      <c r="H1251" s="49" t="s">
        <v>980</v>
      </c>
      <c r="I1251" s="50">
        <v>45303</v>
      </c>
      <c r="M1251" s="49" t="s">
        <v>6165</v>
      </c>
    </row>
    <row r="1252" spans="1:13" x14ac:dyDescent="0.35">
      <c r="A1252" s="49" t="s">
        <v>15069</v>
      </c>
      <c r="B1252" s="49" t="s">
        <v>12729</v>
      </c>
      <c r="C1252" s="49" t="s">
        <v>12730</v>
      </c>
      <c r="D1252" s="49" t="s">
        <v>1264</v>
      </c>
      <c r="E1252" s="49" t="s">
        <v>2785</v>
      </c>
      <c r="F1252" s="49" t="s">
        <v>2786</v>
      </c>
      <c r="G1252" s="49" t="s">
        <v>4891</v>
      </c>
      <c r="H1252" s="49" t="s">
        <v>980</v>
      </c>
      <c r="I1252" s="50">
        <v>45539</v>
      </c>
      <c r="M1252" s="49" t="s">
        <v>12731</v>
      </c>
    </row>
    <row r="1253" spans="1:13" x14ac:dyDescent="0.35">
      <c r="A1253" s="49" t="s">
        <v>14594</v>
      </c>
      <c r="B1253" s="49" t="s">
        <v>11140</v>
      </c>
      <c r="C1253" s="49" t="s">
        <v>11141</v>
      </c>
      <c r="D1253" s="49" t="s">
        <v>1264</v>
      </c>
      <c r="E1253" s="49" t="s">
        <v>2986</v>
      </c>
      <c r="F1253" s="49" t="s">
        <v>2825</v>
      </c>
      <c r="G1253" s="49" t="s">
        <v>2776</v>
      </c>
      <c r="H1253" s="49" t="s">
        <v>2827</v>
      </c>
      <c r="I1253" s="50">
        <v>44833</v>
      </c>
      <c r="M1253" s="49" t="s">
        <v>11143</v>
      </c>
    </row>
    <row r="1254" spans="1:13" x14ac:dyDescent="0.35">
      <c r="A1254" s="49" t="s">
        <v>15341</v>
      </c>
      <c r="B1254" s="49" t="s">
        <v>4256</v>
      </c>
      <c r="C1254" s="49" t="s">
        <v>4257</v>
      </c>
      <c r="D1254" s="49" t="s">
        <v>1264</v>
      </c>
      <c r="E1254" s="49" t="s">
        <v>2774</v>
      </c>
      <c r="F1254" s="49" t="s">
        <v>4259</v>
      </c>
      <c r="G1254" s="49" t="s">
        <v>2787</v>
      </c>
      <c r="H1254" s="49" t="s">
        <v>980</v>
      </c>
      <c r="I1254" s="50">
        <v>42373</v>
      </c>
      <c r="J1254" s="50">
        <v>43623</v>
      </c>
      <c r="K1254" s="50">
        <v>45083</v>
      </c>
      <c r="M1254" s="49" t="s">
        <v>4260</v>
      </c>
    </row>
    <row r="1255" spans="1:13" x14ac:dyDescent="0.35">
      <c r="A1255" s="49" t="s">
        <v>15341</v>
      </c>
      <c r="B1255" s="49" t="s">
        <v>10129</v>
      </c>
      <c r="C1255" s="49" t="s">
        <v>4257</v>
      </c>
      <c r="D1255" s="49" t="s">
        <v>1264</v>
      </c>
      <c r="E1255" s="49" t="s">
        <v>2814</v>
      </c>
      <c r="F1255" s="49" t="s">
        <v>4259</v>
      </c>
      <c r="G1255" s="49" t="s">
        <v>2776</v>
      </c>
      <c r="H1255" s="49" t="s">
        <v>980</v>
      </c>
      <c r="I1255" s="50">
        <v>42380</v>
      </c>
      <c r="M1255" s="49" t="s">
        <v>4260</v>
      </c>
    </row>
    <row r="1256" spans="1:13" x14ac:dyDescent="0.35">
      <c r="A1256" s="49" t="s">
        <v>15172</v>
      </c>
      <c r="B1256" s="49" t="s">
        <v>10665</v>
      </c>
      <c r="C1256" s="49"/>
      <c r="D1256" s="49" t="s">
        <v>1264</v>
      </c>
      <c r="E1256" s="49" t="s">
        <v>3443</v>
      </c>
      <c r="F1256" s="49" t="s">
        <v>3124</v>
      </c>
      <c r="G1256" s="49" t="s">
        <v>2776</v>
      </c>
      <c r="H1256" s="49" t="s">
        <v>980</v>
      </c>
      <c r="I1256" s="50">
        <v>44063</v>
      </c>
      <c r="M1256" s="49" t="s">
        <v>10658</v>
      </c>
    </row>
    <row r="1257" spans="1:13" x14ac:dyDescent="0.35">
      <c r="A1257" s="49" t="s">
        <v>15342</v>
      </c>
      <c r="B1257" s="49" t="s">
        <v>9636</v>
      </c>
      <c r="C1257" s="49"/>
      <c r="D1257" s="49" t="s">
        <v>1264</v>
      </c>
      <c r="E1257" s="49" t="s">
        <v>2908</v>
      </c>
      <c r="F1257" s="49" t="s">
        <v>2939</v>
      </c>
      <c r="G1257" s="49" t="s">
        <v>2776</v>
      </c>
      <c r="H1257" s="49" t="s">
        <v>8</v>
      </c>
      <c r="I1257" s="50">
        <v>42209</v>
      </c>
      <c r="M1257" s="49" t="s">
        <v>3470</v>
      </c>
    </row>
    <row r="1258" spans="1:13" x14ac:dyDescent="0.35">
      <c r="A1258" s="49" t="s">
        <v>15173</v>
      </c>
      <c r="B1258" s="49" t="s">
        <v>9003</v>
      </c>
      <c r="C1258" s="49"/>
      <c r="D1258" s="49" t="s">
        <v>1264</v>
      </c>
      <c r="E1258" s="49" t="s">
        <v>2814</v>
      </c>
      <c r="F1258" s="49" t="s">
        <v>2825</v>
      </c>
      <c r="G1258" s="49" t="s">
        <v>2787</v>
      </c>
      <c r="H1258" s="49" t="s">
        <v>2827</v>
      </c>
      <c r="I1258" s="50">
        <v>43003</v>
      </c>
      <c r="J1258" s="50">
        <v>43026</v>
      </c>
      <c r="K1258" s="50">
        <v>43208</v>
      </c>
      <c r="M1258" s="49" t="s">
        <v>9005</v>
      </c>
    </row>
    <row r="1259" spans="1:13" x14ac:dyDescent="0.35">
      <c r="A1259" s="49" t="s">
        <v>15173</v>
      </c>
      <c r="B1259" s="49" t="s">
        <v>13772</v>
      </c>
      <c r="C1259" s="49" t="s">
        <v>13773</v>
      </c>
      <c r="D1259" s="49" t="s">
        <v>1264</v>
      </c>
      <c r="E1259" s="49" t="s">
        <v>2974</v>
      </c>
      <c r="F1259" s="49" t="s">
        <v>2825</v>
      </c>
      <c r="G1259" s="49" t="s">
        <v>2776</v>
      </c>
      <c r="H1259" s="49" t="s">
        <v>2827</v>
      </c>
      <c r="I1259" s="50">
        <v>43125</v>
      </c>
      <c r="M1259" s="49" t="s">
        <v>13774</v>
      </c>
    </row>
    <row r="1260" spans="1:13" x14ac:dyDescent="0.35">
      <c r="A1260" s="49" t="s">
        <v>14101</v>
      </c>
      <c r="B1260" s="49" t="s">
        <v>3386</v>
      </c>
      <c r="C1260" s="49" t="s">
        <v>2937</v>
      </c>
      <c r="D1260" s="49" t="s">
        <v>1264</v>
      </c>
      <c r="E1260" s="49" t="s">
        <v>2908</v>
      </c>
      <c r="F1260" s="49" t="s">
        <v>2939</v>
      </c>
      <c r="G1260" s="49" t="s">
        <v>2787</v>
      </c>
      <c r="H1260" s="49" t="s">
        <v>980</v>
      </c>
      <c r="I1260" s="50">
        <v>42011</v>
      </c>
      <c r="J1260" s="50">
        <v>42054</v>
      </c>
      <c r="K1260" s="50">
        <v>43879</v>
      </c>
      <c r="M1260" s="49" t="s">
        <v>3388</v>
      </c>
    </row>
    <row r="1261" spans="1:13" x14ac:dyDescent="0.35">
      <c r="A1261" s="49" t="s">
        <v>14848</v>
      </c>
      <c r="B1261" s="49" t="s">
        <v>10865</v>
      </c>
      <c r="C1261" s="49"/>
      <c r="D1261" s="49" t="s">
        <v>1264</v>
      </c>
      <c r="E1261" s="49" t="s">
        <v>2814</v>
      </c>
      <c r="F1261" s="49" t="s">
        <v>2939</v>
      </c>
      <c r="G1261" s="49" t="s">
        <v>2776</v>
      </c>
      <c r="H1261" s="49" t="s">
        <v>980</v>
      </c>
      <c r="I1261" s="50">
        <v>44447</v>
      </c>
      <c r="M1261" s="49" t="s">
        <v>10867</v>
      </c>
    </row>
    <row r="1262" spans="1:13" x14ac:dyDescent="0.35">
      <c r="A1262" s="49" t="s">
        <v>14904</v>
      </c>
      <c r="B1262" s="49" t="s">
        <v>11312</v>
      </c>
      <c r="C1262" s="49" t="s">
        <v>11313</v>
      </c>
      <c r="D1262" s="49" t="s">
        <v>1264</v>
      </c>
      <c r="E1262" s="49" t="s">
        <v>2785</v>
      </c>
      <c r="F1262" s="49" t="s">
        <v>2792</v>
      </c>
      <c r="G1262" s="49" t="s">
        <v>2776</v>
      </c>
      <c r="H1262" s="49" t="s">
        <v>980</v>
      </c>
      <c r="I1262" s="50">
        <v>44943</v>
      </c>
      <c r="M1262" s="49" t="s">
        <v>5787</v>
      </c>
    </row>
    <row r="1263" spans="1:13" x14ac:dyDescent="0.35">
      <c r="A1263" s="49" t="s">
        <v>14904</v>
      </c>
      <c r="B1263" s="49" t="s">
        <v>5784</v>
      </c>
      <c r="C1263" s="49" t="s">
        <v>5785</v>
      </c>
      <c r="D1263" s="49" t="s">
        <v>1264</v>
      </c>
      <c r="E1263" s="49" t="s">
        <v>2785</v>
      </c>
      <c r="F1263" s="49" t="s">
        <v>2792</v>
      </c>
      <c r="G1263" s="49" t="s">
        <v>2787</v>
      </c>
      <c r="H1263" s="49" t="s">
        <v>980</v>
      </c>
      <c r="I1263" s="50">
        <v>44945</v>
      </c>
      <c r="J1263" s="50">
        <v>45063</v>
      </c>
      <c r="K1263" s="50">
        <v>45428</v>
      </c>
      <c r="M1263" s="49" t="s">
        <v>5787</v>
      </c>
    </row>
    <row r="1264" spans="1:13" x14ac:dyDescent="0.35">
      <c r="A1264" s="49" t="s">
        <v>15343</v>
      </c>
      <c r="B1264" s="49" t="s">
        <v>10808</v>
      </c>
      <c r="C1264" s="49" t="s">
        <v>10809</v>
      </c>
      <c r="D1264" s="49" t="s">
        <v>1264</v>
      </c>
      <c r="E1264" s="49" t="s">
        <v>2986</v>
      </c>
      <c r="F1264" s="49" t="s">
        <v>2825</v>
      </c>
      <c r="G1264" s="49" t="s">
        <v>4891</v>
      </c>
      <c r="H1264" s="49" t="s">
        <v>2827</v>
      </c>
      <c r="I1264" s="50">
        <v>44239</v>
      </c>
      <c r="M1264" s="49" t="s">
        <v>10087</v>
      </c>
    </row>
    <row r="1265" spans="1:13" x14ac:dyDescent="0.35">
      <c r="A1265" s="49" t="s">
        <v>15344</v>
      </c>
      <c r="B1265" s="49" t="s">
        <v>11948</v>
      </c>
      <c r="C1265" s="49"/>
      <c r="D1265" s="49" t="s">
        <v>1264</v>
      </c>
      <c r="E1265" s="49" t="s">
        <v>2986</v>
      </c>
      <c r="F1265" s="49" t="s">
        <v>2825</v>
      </c>
      <c r="G1265" s="49" t="s">
        <v>2776</v>
      </c>
      <c r="H1265" s="49" t="s">
        <v>2827</v>
      </c>
      <c r="I1265" s="50">
        <v>45280</v>
      </c>
      <c r="M1265" s="49" t="s">
        <v>11950</v>
      </c>
    </row>
    <row r="1266" spans="1:13" x14ac:dyDescent="0.35">
      <c r="A1266" s="49" t="s">
        <v>15344</v>
      </c>
      <c r="B1266" s="49" t="s">
        <v>11985</v>
      </c>
      <c r="C1266" s="49" t="s">
        <v>4809</v>
      </c>
      <c r="D1266" s="49" t="s">
        <v>1264</v>
      </c>
      <c r="E1266" s="49" t="s">
        <v>2986</v>
      </c>
      <c r="F1266" s="49" t="s">
        <v>2825</v>
      </c>
      <c r="G1266" s="49" t="s">
        <v>4891</v>
      </c>
      <c r="H1266" s="49" t="s">
        <v>2827</v>
      </c>
      <c r="I1266" s="50">
        <v>44934</v>
      </c>
      <c r="M1266" s="49" t="s">
        <v>11986</v>
      </c>
    </row>
    <row r="1267" spans="1:13" x14ac:dyDescent="0.35">
      <c r="A1267" s="49" t="s">
        <v>15344</v>
      </c>
      <c r="B1267" s="49" t="s">
        <v>11987</v>
      </c>
      <c r="C1267" s="49" t="s">
        <v>4877</v>
      </c>
      <c r="D1267" s="49" t="s">
        <v>1264</v>
      </c>
      <c r="E1267" s="49" t="s">
        <v>2986</v>
      </c>
      <c r="F1267" s="49" t="s">
        <v>2825</v>
      </c>
      <c r="G1267" s="49" t="s">
        <v>4891</v>
      </c>
      <c r="H1267" s="49" t="s">
        <v>2827</v>
      </c>
      <c r="I1267" s="50">
        <v>45299</v>
      </c>
      <c r="M1267" s="49" t="s">
        <v>11988</v>
      </c>
    </row>
    <row r="1268" spans="1:13" x14ac:dyDescent="0.35">
      <c r="A1268" s="49" t="s">
        <v>15347</v>
      </c>
      <c r="B1268" s="49" t="s">
        <v>12259</v>
      </c>
      <c r="C1268" s="49" t="s">
        <v>12260</v>
      </c>
      <c r="D1268" s="49" t="s">
        <v>1264</v>
      </c>
      <c r="E1268" s="49" t="s">
        <v>2785</v>
      </c>
      <c r="F1268" s="49" t="s">
        <v>2792</v>
      </c>
      <c r="G1268" s="49" t="s">
        <v>4891</v>
      </c>
      <c r="H1268" s="49" t="s">
        <v>3207</v>
      </c>
      <c r="I1268" s="50">
        <v>45364</v>
      </c>
      <c r="M1268" s="49" t="s">
        <v>12262</v>
      </c>
    </row>
    <row r="1269" spans="1:13" x14ac:dyDescent="0.35">
      <c r="A1269" s="49" t="s">
        <v>15347</v>
      </c>
      <c r="B1269" s="49" t="s">
        <v>12283</v>
      </c>
      <c r="C1269" s="49" t="s">
        <v>12284</v>
      </c>
      <c r="D1269" s="49" t="s">
        <v>1264</v>
      </c>
      <c r="E1269" s="49" t="s">
        <v>2785</v>
      </c>
      <c r="F1269" s="49" t="s">
        <v>2792</v>
      </c>
      <c r="G1269" s="49" t="s">
        <v>4891</v>
      </c>
      <c r="H1269" s="49" t="s">
        <v>3207</v>
      </c>
      <c r="I1269" s="50">
        <v>45365</v>
      </c>
      <c r="M1269" s="49" t="s">
        <v>12285</v>
      </c>
    </row>
    <row r="1270" spans="1:13" x14ac:dyDescent="0.35">
      <c r="A1270" s="49" t="s">
        <v>15174</v>
      </c>
      <c r="B1270" s="49" t="s">
        <v>6725</v>
      </c>
      <c r="C1270" s="49"/>
      <c r="D1270" s="49" t="s">
        <v>1264</v>
      </c>
      <c r="E1270" s="49" t="s">
        <v>2785</v>
      </c>
      <c r="F1270" s="49" t="s">
        <v>2792</v>
      </c>
      <c r="G1270" s="49" t="s">
        <v>2901</v>
      </c>
      <c r="H1270" s="49" t="s">
        <v>980</v>
      </c>
      <c r="I1270" s="52">
        <v>45835.575891203698</v>
      </c>
      <c r="J1270" s="50">
        <v>45835</v>
      </c>
      <c r="K1270" s="50">
        <v>46199</v>
      </c>
      <c r="M1270" s="49" t="s">
        <v>6727</v>
      </c>
    </row>
    <row r="1271" spans="1:13" x14ac:dyDescent="0.35">
      <c r="A1271" s="49" t="s">
        <v>15174</v>
      </c>
      <c r="B1271" s="49" t="s">
        <v>12971</v>
      </c>
      <c r="C1271" s="49"/>
      <c r="D1271" s="49" t="s">
        <v>1264</v>
      </c>
      <c r="E1271" s="49" t="s">
        <v>2785</v>
      </c>
      <c r="F1271" s="49" t="s">
        <v>2792</v>
      </c>
      <c r="G1271" s="49" t="s">
        <v>4891</v>
      </c>
      <c r="H1271" s="49" t="s">
        <v>857</v>
      </c>
      <c r="I1271" s="52">
        <v>45999.7331134259</v>
      </c>
      <c r="M1271" s="49" t="s">
        <v>12972</v>
      </c>
    </row>
    <row r="1272" spans="1:13" x14ac:dyDescent="0.35">
      <c r="A1272" s="49" t="s">
        <v>15174</v>
      </c>
      <c r="B1272" s="49" t="s">
        <v>13105</v>
      </c>
      <c r="C1272" s="49"/>
      <c r="D1272" s="49" t="s">
        <v>1264</v>
      </c>
      <c r="E1272" s="49" t="s">
        <v>2785</v>
      </c>
      <c r="F1272" s="49" t="s">
        <v>2792</v>
      </c>
      <c r="G1272" s="49" t="s">
        <v>4891</v>
      </c>
      <c r="H1272" s="49" t="s">
        <v>980</v>
      </c>
      <c r="I1272" s="52">
        <v>46042.746493055602</v>
      </c>
      <c r="M1272" s="49" t="s">
        <v>13106</v>
      </c>
    </row>
    <row r="1273" spans="1:13" x14ac:dyDescent="0.35">
      <c r="A1273" s="49" t="s">
        <v>14803</v>
      </c>
      <c r="B1273" s="49" t="s">
        <v>3733</v>
      </c>
      <c r="C1273" s="49" t="s">
        <v>3734</v>
      </c>
      <c r="D1273" s="49" t="s">
        <v>1264</v>
      </c>
      <c r="E1273" s="49" t="s">
        <v>2774</v>
      </c>
      <c r="F1273" s="49" t="s">
        <v>2900</v>
      </c>
      <c r="G1273" s="49" t="s">
        <v>2787</v>
      </c>
      <c r="H1273" s="49" t="s">
        <v>980</v>
      </c>
      <c r="I1273" s="50">
        <v>43234</v>
      </c>
      <c r="J1273" s="50">
        <v>43390</v>
      </c>
      <c r="K1273" s="50">
        <v>44851</v>
      </c>
      <c r="M1273" s="49" t="s">
        <v>3736</v>
      </c>
    </row>
    <row r="1274" spans="1:13" x14ac:dyDescent="0.35">
      <c r="A1274" s="49" t="s">
        <v>14803</v>
      </c>
      <c r="B1274" s="49" t="s">
        <v>10408</v>
      </c>
      <c r="C1274" s="49"/>
      <c r="D1274" s="49" t="s">
        <v>1264</v>
      </c>
      <c r="E1274" s="49" t="s">
        <v>2814</v>
      </c>
      <c r="F1274" s="49" t="s">
        <v>2837</v>
      </c>
      <c r="G1274" s="49" t="s">
        <v>2776</v>
      </c>
      <c r="H1274" s="49" t="s">
        <v>980</v>
      </c>
      <c r="I1274" s="50">
        <v>43907</v>
      </c>
      <c r="M1274" s="49" t="s">
        <v>10409</v>
      </c>
    </row>
    <row r="1275" spans="1:13" x14ac:dyDescent="0.35">
      <c r="A1275" s="49" t="s">
        <v>14803</v>
      </c>
      <c r="B1275" s="49" t="s">
        <v>10594</v>
      </c>
      <c r="C1275" s="49" t="s">
        <v>10595</v>
      </c>
      <c r="D1275" s="49" t="s">
        <v>1264</v>
      </c>
      <c r="E1275" s="49" t="s">
        <v>2814</v>
      </c>
      <c r="F1275" s="49" t="s">
        <v>2837</v>
      </c>
      <c r="G1275" s="49" t="s">
        <v>2776</v>
      </c>
      <c r="H1275" s="49" t="s">
        <v>980</v>
      </c>
      <c r="I1275" s="50">
        <v>44040</v>
      </c>
      <c r="M1275" s="49" t="s">
        <v>10409</v>
      </c>
    </row>
    <row r="1276" spans="1:13" x14ac:dyDescent="0.35">
      <c r="A1276" s="49" t="s">
        <v>14803</v>
      </c>
      <c r="B1276" s="49" t="s">
        <v>13766</v>
      </c>
      <c r="C1276" s="49"/>
      <c r="D1276" s="49" t="s">
        <v>1264</v>
      </c>
      <c r="E1276" s="49" t="s">
        <v>3413</v>
      </c>
      <c r="F1276" s="49" t="s">
        <v>2825</v>
      </c>
      <c r="G1276" s="49" t="s">
        <v>2776</v>
      </c>
      <c r="H1276" s="49" t="s">
        <v>2827</v>
      </c>
      <c r="I1276" s="50">
        <v>43234</v>
      </c>
      <c r="M1276" s="49" t="s">
        <v>13768</v>
      </c>
    </row>
    <row r="1277" spans="1:13" x14ac:dyDescent="0.35">
      <c r="A1277" s="49" t="s">
        <v>15649</v>
      </c>
      <c r="B1277" s="49" t="s">
        <v>4212</v>
      </c>
      <c r="C1277" s="49" t="s">
        <v>4213</v>
      </c>
      <c r="D1277" s="49" t="s">
        <v>1264</v>
      </c>
      <c r="E1277" s="49" t="s">
        <v>2774</v>
      </c>
      <c r="F1277" s="49" t="s">
        <v>2825</v>
      </c>
      <c r="G1277" s="49" t="s">
        <v>2921</v>
      </c>
      <c r="H1277" s="49" t="s">
        <v>2827</v>
      </c>
      <c r="I1277" s="50">
        <v>43356</v>
      </c>
      <c r="J1277" s="50">
        <v>44281</v>
      </c>
      <c r="K1277" s="50">
        <v>45741</v>
      </c>
      <c r="M1277" s="49" t="s">
        <v>4215</v>
      </c>
    </row>
    <row r="1278" spans="1:13" x14ac:dyDescent="0.35">
      <c r="A1278" s="49" t="s">
        <v>15649</v>
      </c>
      <c r="B1278" s="49" t="s">
        <v>4452</v>
      </c>
      <c r="C1278" s="49" t="s">
        <v>4453</v>
      </c>
      <c r="D1278" s="49" t="s">
        <v>1264</v>
      </c>
      <c r="E1278" s="49" t="s">
        <v>2785</v>
      </c>
      <c r="F1278" s="49" t="s">
        <v>2786</v>
      </c>
      <c r="G1278" s="49" t="s">
        <v>2787</v>
      </c>
      <c r="H1278" s="49" t="s">
        <v>980</v>
      </c>
      <c r="I1278" s="50">
        <v>44271</v>
      </c>
      <c r="J1278" s="50">
        <v>44414</v>
      </c>
      <c r="K1278" s="50">
        <v>45428</v>
      </c>
      <c r="M1278" s="49" t="s">
        <v>4455</v>
      </c>
    </row>
    <row r="1279" spans="1:13" x14ac:dyDescent="0.35">
      <c r="A1279" s="49" t="s">
        <v>15649</v>
      </c>
      <c r="B1279" s="49" t="s">
        <v>9462</v>
      </c>
      <c r="C1279" s="49" t="s">
        <v>9463</v>
      </c>
      <c r="D1279" s="49" t="s">
        <v>1264</v>
      </c>
      <c r="E1279" s="49" t="s">
        <v>2785</v>
      </c>
      <c r="F1279" s="49" t="s">
        <v>2805</v>
      </c>
      <c r="G1279" s="49" t="s">
        <v>2776</v>
      </c>
      <c r="H1279" s="49" t="s">
        <v>980</v>
      </c>
      <c r="I1279" s="50">
        <v>43662</v>
      </c>
      <c r="M1279" s="49" t="s">
        <v>9464</v>
      </c>
    </row>
    <row r="1280" spans="1:13" x14ac:dyDescent="0.35">
      <c r="A1280" s="49" t="s">
        <v>14474</v>
      </c>
      <c r="B1280" s="49" t="s">
        <v>9116</v>
      </c>
      <c r="C1280" s="49"/>
      <c r="D1280" s="49" t="s">
        <v>1264</v>
      </c>
      <c r="E1280" s="49" t="s">
        <v>2908</v>
      </c>
      <c r="F1280" s="49" t="s">
        <v>2939</v>
      </c>
      <c r="G1280" s="49" t="s">
        <v>2776</v>
      </c>
      <c r="H1280" s="49" t="s">
        <v>980</v>
      </c>
      <c r="I1280" s="50">
        <v>41669</v>
      </c>
      <c r="M1280" s="49" t="s">
        <v>9118</v>
      </c>
    </row>
    <row r="1281" spans="1:13" x14ac:dyDescent="0.35">
      <c r="A1281" s="49" t="s">
        <v>14849</v>
      </c>
      <c r="B1281" s="49" t="s">
        <v>11366</v>
      </c>
      <c r="C1281" s="49" t="s">
        <v>11367</v>
      </c>
      <c r="D1281" s="49" t="s">
        <v>1264</v>
      </c>
      <c r="E1281" s="49" t="s">
        <v>2908</v>
      </c>
      <c r="F1281" s="49" t="s">
        <v>2939</v>
      </c>
      <c r="G1281" s="49" t="s">
        <v>4891</v>
      </c>
      <c r="H1281" s="49" t="s">
        <v>3229</v>
      </c>
      <c r="I1281" s="50">
        <v>45034</v>
      </c>
      <c r="M1281" s="49" t="s">
        <v>11369</v>
      </c>
    </row>
    <row r="1282" spans="1:13" x14ac:dyDescent="0.35">
      <c r="A1282" s="49" t="s">
        <v>10473</v>
      </c>
      <c r="B1282" s="49" t="s">
        <v>3803</v>
      </c>
      <c r="C1282" s="49" t="s">
        <v>3399</v>
      </c>
      <c r="D1282" s="49" t="s">
        <v>1264</v>
      </c>
      <c r="E1282" s="49" t="s">
        <v>2974</v>
      </c>
      <c r="F1282" s="49" t="s">
        <v>2825</v>
      </c>
      <c r="G1282" s="49" t="s">
        <v>2787</v>
      </c>
      <c r="H1282" s="49" t="s">
        <v>2827</v>
      </c>
      <c r="I1282" s="50">
        <v>43308</v>
      </c>
      <c r="J1282" s="50">
        <v>43448</v>
      </c>
      <c r="K1282" s="50">
        <v>45274</v>
      </c>
      <c r="M1282" s="49" t="s">
        <v>3805</v>
      </c>
    </row>
    <row r="1283" spans="1:13" x14ac:dyDescent="0.35">
      <c r="A1283" s="49" t="s">
        <v>10473</v>
      </c>
      <c r="B1283" s="49" t="s">
        <v>10472</v>
      </c>
      <c r="C1283" s="49" t="s">
        <v>3784</v>
      </c>
      <c r="D1283" s="49" t="s">
        <v>1264</v>
      </c>
      <c r="E1283" s="49" t="s">
        <v>2814</v>
      </c>
      <c r="F1283" s="49" t="s">
        <v>2825</v>
      </c>
      <c r="G1283" s="49" t="s">
        <v>2776</v>
      </c>
      <c r="H1283" s="49" t="s">
        <v>2827</v>
      </c>
      <c r="I1283" s="50">
        <v>43265</v>
      </c>
      <c r="M1283" s="49" t="s">
        <v>10474</v>
      </c>
    </row>
    <row r="1284" spans="1:13" x14ac:dyDescent="0.35">
      <c r="A1284" s="49" t="s">
        <v>14228</v>
      </c>
      <c r="B1284" s="49" t="s">
        <v>5228</v>
      </c>
      <c r="C1284" s="49" t="s">
        <v>5229</v>
      </c>
      <c r="D1284" s="49" t="s">
        <v>1264</v>
      </c>
      <c r="E1284" s="49" t="s">
        <v>2785</v>
      </c>
      <c r="F1284" s="49" t="s">
        <v>2786</v>
      </c>
      <c r="G1284" s="49" t="s">
        <v>4330</v>
      </c>
      <c r="H1284" s="49" t="s">
        <v>835</v>
      </c>
      <c r="I1284" s="50">
        <v>44904</v>
      </c>
      <c r="M1284" s="49" t="s">
        <v>5231</v>
      </c>
    </row>
    <row r="1285" spans="1:13" x14ac:dyDescent="0.35">
      <c r="A1285" s="49" t="s">
        <v>14729</v>
      </c>
      <c r="B1285" s="49" t="s">
        <v>7789</v>
      </c>
      <c r="C1285" s="49" t="s">
        <v>7790</v>
      </c>
      <c r="D1285" s="49" t="s">
        <v>1264</v>
      </c>
      <c r="E1285" s="49" t="s">
        <v>2908</v>
      </c>
      <c r="F1285" s="49" t="s">
        <v>2939</v>
      </c>
      <c r="G1285" s="49" t="s">
        <v>2787</v>
      </c>
      <c r="H1285" s="49" t="s">
        <v>980</v>
      </c>
      <c r="I1285" s="50">
        <v>42006</v>
      </c>
      <c r="J1285" s="50">
        <v>42040</v>
      </c>
      <c r="K1285" s="50">
        <v>43865</v>
      </c>
      <c r="M1285" s="49" t="s">
        <v>7792</v>
      </c>
    </row>
    <row r="1286" spans="1:13" x14ac:dyDescent="0.35">
      <c r="A1286" s="49" t="s">
        <v>14729</v>
      </c>
      <c r="B1286" s="49" t="s">
        <v>9517</v>
      </c>
      <c r="C1286" s="49" t="s">
        <v>5066</v>
      </c>
      <c r="D1286" s="49" t="s">
        <v>1264</v>
      </c>
      <c r="E1286" s="49" t="s">
        <v>2785</v>
      </c>
      <c r="F1286" s="49" t="s">
        <v>2792</v>
      </c>
      <c r="G1286" s="49" t="s">
        <v>2776</v>
      </c>
      <c r="H1286" s="49" t="s">
        <v>8</v>
      </c>
      <c r="I1286" s="50">
        <v>44004</v>
      </c>
      <c r="M1286" s="49" t="s">
        <v>9519</v>
      </c>
    </row>
    <row r="1287" spans="1:13" x14ac:dyDescent="0.35">
      <c r="A1287" s="49" t="s">
        <v>14679</v>
      </c>
      <c r="B1287" s="49" t="s">
        <v>13799</v>
      </c>
      <c r="C1287" s="49" t="s">
        <v>3195</v>
      </c>
      <c r="D1287" s="49" t="s">
        <v>1264</v>
      </c>
      <c r="E1287" s="49" t="s">
        <v>2774</v>
      </c>
      <c r="F1287" s="49" t="s">
        <v>2825</v>
      </c>
      <c r="G1287" s="49" t="s">
        <v>2776</v>
      </c>
      <c r="H1287" s="49" t="s">
        <v>2827</v>
      </c>
      <c r="I1287" s="50">
        <v>41655</v>
      </c>
      <c r="M1287" s="49" t="s">
        <v>13801</v>
      </c>
    </row>
    <row r="1288" spans="1:13" x14ac:dyDescent="0.35">
      <c r="A1288" s="49" t="s">
        <v>14679</v>
      </c>
      <c r="B1288" s="49" t="s">
        <v>13804</v>
      </c>
      <c r="C1288" s="49" t="s">
        <v>13805</v>
      </c>
      <c r="D1288" s="49" t="s">
        <v>1264</v>
      </c>
      <c r="E1288" s="49" t="s">
        <v>2774</v>
      </c>
      <c r="F1288" s="49" t="s">
        <v>2825</v>
      </c>
      <c r="G1288" s="49" t="s">
        <v>2776</v>
      </c>
      <c r="H1288" s="49" t="s">
        <v>2827</v>
      </c>
      <c r="I1288" s="50">
        <v>41655</v>
      </c>
      <c r="M1288" s="49" t="s">
        <v>13806</v>
      </c>
    </row>
    <row r="1289" spans="1:13" x14ac:dyDescent="0.35">
      <c r="A1289" s="49" t="s">
        <v>14679</v>
      </c>
      <c r="B1289" s="49" t="s">
        <v>13827</v>
      </c>
      <c r="C1289" s="49" t="s">
        <v>13828</v>
      </c>
      <c r="D1289" s="49" t="s">
        <v>1264</v>
      </c>
      <c r="E1289" s="49" t="s">
        <v>2774</v>
      </c>
      <c r="F1289" s="49" t="s">
        <v>3509</v>
      </c>
      <c r="G1289" s="49" t="s">
        <v>2787</v>
      </c>
      <c r="H1289" s="49" t="s">
        <v>2827</v>
      </c>
      <c r="I1289" s="50">
        <v>42054</v>
      </c>
      <c r="M1289" s="49" t="s">
        <v>13829</v>
      </c>
    </row>
    <row r="1290" spans="1:13" x14ac:dyDescent="0.35">
      <c r="A1290" s="49" t="s">
        <v>14679</v>
      </c>
      <c r="B1290" s="49" t="s">
        <v>13922</v>
      </c>
      <c r="C1290" s="49" t="s">
        <v>13923</v>
      </c>
      <c r="D1290" s="49" t="s">
        <v>1264</v>
      </c>
      <c r="E1290" s="49" t="s">
        <v>2774</v>
      </c>
      <c r="F1290" s="49" t="s">
        <v>2825</v>
      </c>
      <c r="G1290" s="49" t="s">
        <v>2787</v>
      </c>
      <c r="H1290" s="49" t="s">
        <v>2827</v>
      </c>
      <c r="I1290" s="50">
        <v>41624</v>
      </c>
      <c r="M1290" s="49" t="s">
        <v>10761</v>
      </c>
    </row>
    <row r="1291" spans="1:13" x14ac:dyDescent="0.35">
      <c r="A1291" s="49" t="s">
        <v>14679</v>
      </c>
      <c r="B1291" s="49" t="s">
        <v>13947</v>
      </c>
      <c r="C1291" s="49" t="s">
        <v>3507</v>
      </c>
      <c r="D1291" s="49" t="s">
        <v>1264</v>
      </c>
      <c r="E1291" s="49" t="s">
        <v>2774</v>
      </c>
      <c r="F1291" s="49" t="s">
        <v>3509</v>
      </c>
      <c r="G1291" s="49" t="s">
        <v>2776</v>
      </c>
      <c r="H1291" s="49" t="s">
        <v>973</v>
      </c>
      <c r="I1291" s="50">
        <v>42054</v>
      </c>
      <c r="M1291" s="49" t="s">
        <v>13844</v>
      </c>
    </row>
    <row r="1292" spans="1:13" x14ac:dyDescent="0.35">
      <c r="A1292" s="49" t="s">
        <v>15345</v>
      </c>
      <c r="B1292" s="49" t="s">
        <v>8227</v>
      </c>
      <c r="C1292" s="49" t="s">
        <v>8228</v>
      </c>
      <c r="D1292" s="49" t="s">
        <v>1264</v>
      </c>
      <c r="E1292" s="49" t="s">
        <v>2986</v>
      </c>
      <c r="F1292" s="49" t="s">
        <v>2825</v>
      </c>
      <c r="G1292" s="49" t="s">
        <v>2787</v>
      </c>
      <c r="H1292" s="49" t="s">
        <v>2827</v>
      </c>
      <c r="I1292" s="50">
        <v>42627</v>
      </c>
      <c r="J1292" s="50">
        <v>42872</v>
      </c>
      <c r="K1292" s="50">
        <v>43967</v>
      </c>
      <c r="M1292" s="49" t="s">
        <v>8230</v>
      </c>
    </row>
    <row r="1293" spans="1:13" x14ac:dyDescent="0.35">
      <c r="A1293" s="49" t="s">
        <v>15345</v>
      </c>
      <c r="B1293" s="49" t="s">
        <v>8351</v>
      </c>
      <c r="C1293" s="49" t="s">
        <v>8352</v>
      </c>
      <c r="D1293" s="49" t="s">
        <v>1264</v>
      </c>
      <c r="E1293" s="49" t="s">
        <v>7057</v>
      </c>
      <c r="F1293" s="49" t="s">
        <v>2825</v>
      </c>
      <c r="G1293" s="49" t="s">
        <v>2787</v>
      </c>
      <c r="H1293" s="49" t="s">
        <v>2827</v>
      </c>
      <c r="I1293" s="50">
        <v>41507</v>
      </c>
      <c r="J1293" s="50">
        <v>41808</v>
      </c>
      <c r="K1293" s="50">
        <v>42565</v>
      </c>
      <c r="M1293" s="49" t="s">
        <v>8353</v>
      </c>
    </row>
    <row r="1294" spans="1:13" x14ac:dyDescent="0.35">
      <c r="A1294" s="49" t="s">
        <v>15345</v>
      </c>
      <c r="B1294" s="49" t="s">
        <v>8640</v>
      </c>
      <c r="C1294" s="49" t="s">
        <v>8641</v>
      </c>
      <c r="D1294" s="49" t="s">
        <v>1264</v>
      </c>
      <c r="E1294" s="49" t="s">
        <v>7057</v>
      </c>
      <c r="F1294" s="49" t="s">
        <v>2825</v>
      </c>
      <c r="G1294" s="49" t="s">
        <v>2787</v>
      </c>
      <c r="H1294" s="49" t="s">
        <v>2827</v>
      </c>
      <c r="I1294" s="50">
        <v>42151</v>
      </c>
      <c r="J1294" s="50">
        <v>42705</v>
      </c>
      <c r="K1294" s="50">
        <v>43435</v>
      </c>
      <c r="M1294" s="49" t="s">
        <v>8642</v>
      </c>
    </row>
    <row r="1295" spans="1:13" x14ac:dyDescent="0.35">
      <c r="A1295" s="49" t="s">
        <v>15345</v>
      </c>
      <c r="B1295" s="49" t="s">
        <v>9881</v>
      </c>
      <c r="C1295" s="49" t="s">
        <v>9882</v>
      </c>
      <c r="D1295" s="49" t="s">
        <v>1264</v>
      </c>
      <c r="E1295" s="49" t="s">
        <v>7057</v>
      </c>
      <c r="F1295" s="49" t="s">
        <v>2825</v>
      </c>
      <c r="G1295" s="49" t="s">
        <v>2787</v>
      </c>
      <c r="H1295" s="49" t="s">
        <v>2827</v>
      </c>
      <c r="I1295" s="50">
        <v>41687</v>
      </c>
      <c r="J1295" s="50">
        <v>41808</v>
      </c>
      <c r="K1295" s="50">
        <v>42538</v>
      </c>
      <c r="M1295" s="49" t="s">
        <v>9883</v>
      </c>
    </row>
    <row r="1296" spans="1:13" x14ac:dyDescent="0.35">
      <c r="A1296" s="49" t="s">
        <v>15345</v>
      </c>
      <c r="B1296" s="49" t="s">
        <v>9952</v>
      </c>
      <c r="C1296" s="49" t="s">
        <v>8228</v>
      </c>
      <c r="D1296" s="49" t="s">
        <v>1264</v>
      </c>
      <c r="E1296" s="49" t="s">
        <v>7057</v>
      </c>
      <c r="F1296" s="49" t="s">
        <v>2825</v>
      </c>
      <c r="G1296" s="49" t="s">
        <v>2776</v>
      </c>
      <c r="H1296" s="49" t="s">
        <v>2827</v>
      </c>
      <c r="I1296" s="50">
        <v>42627</v>
      </c>
      <c r="M1296" s="49" t="s">
        <v>8230</v>
      </c>
    </row>
    <row r="1297" spans="1:13" x14ac:dyDescent="0.35">
      <c r="A1297" s="49" t="s">
        <v>15345</v>
      </c>
      <c r="B1297" s="49" t="s">
        <v>10130</v>
      </c>
      <c r="C1297" s="49"/>
      <c r="D1297" s="49" t="s">
        <v>1264</v>
      </c>
      <c r="E1297" s="49" t="s">
        <v>2814</v>
      </c>
      <c r="F1297" s="49" t="s">
        <v>2825</v>
      </c>
      <c r="G1297" s="49" t="s">
        <v>2776</v>
      </c>
      <c r="H1297" s="49" t="s">
        <v>2827</v>
      </c>
      <c r="I1297" s="50">
        <v>42408</v>
      </c>
      <c r="M1297" s="49" t="s">
        <v>3470</v>
      </c>
    </row>
    <row r="1298" spans="1:13" x14ac:dyDescent="0.35">
      <c r="A1298" s="49" t="s">
        <v>15345</v>
      </c>
      <c r="B1298" s="49" t="s">
        <v>13628</v>
      </c>
      <c r="C1298" s="49" t="s">
        <v>9882</v>
      </c>
      <c r="D1298" s="49" t="s">
        <v>1264</v>
      </c>
      <c r="E1298" s="49" t="s">
        <v>2986</v>
      </c>
      <c r="F1298" s="49" t="s">
        <v>2825</v>
      </c>
      <c r="G1298" s="49" t="s">
        <v>2776</v>
      </c>
      <c r="H1298" s="49" t="s">
        <v>2827</v>
      </c>
      <c r="I1298" s="50">
        <v>43335</v>
      </c>
      <c r="M1298" s="49" t="s">
        <v>13629</v>
      </c>
    </row>
    <row r="1299" spans="1:13" x14ac:dyDescent="0.35">
      <c r="A1299" s="49" t="s">
        <v>14153</v>
      </c>
      <c r="B1299" s="49" t="s">
        <v>4085</v>
      </c>
      <c r="C1299" s="49"/>
      <c r="D1299" s="49" t="s">
        <v>1264</v>
      </c>
      <c r="E1299" s="49" t="s">
        <v>2785</v>
      </c>
      <c r="F1299" s="49" t="s">
        <v>2786</v>
      </c>
      <c r="G1299" s="49" t="s">
        <v>2787</v>
      </c>
      <c r="H1299" s="49" t="s">
        <v>835</v>
      </c>
      <c r="I1299" s="50">
        <v>44027</v>
      </c>
      <c r="J1299" s="50">
        <v>44089</v>
      </c>
      <c r="K1299" s="50">
        <v>44453</v>
      </c>
      <c r="M1299" s="49" t="s">
        <v>4087</v>
      </c>
    </row>
    <row r="1300" spans="1:13" x14ac:dyDescent="0.35">
      <c r="A1300" s="49" t="s">
        <v>14153</v>
      </c>
      <c r="B1300" s="49" t="s">
        <v>4148</v>
      </c>
      <c r="C1300" s="49" t="s">
        <v>4149</v>
      </c>
      <c r="D1300" s="49" t="s">
        <v>1264</v>
      </c>
      <c r="E1300" s="49" t="s">
        <v>2785</v>
      </c>
      <c r="F1300" s="49" t="s">
        <v>2786</v>
      </c>
      <c r="G1300" s="49" t="s">
        <v>2787</v>
      </c>
      <c r="H1300" s="49" t="s">
        <v>2827</v>
      </c>
      <c r="I1300" s="50">
        <v>44160</v>
      </c>
      <c r="J1300" s="50">
        <v>44179</v>
      </c>
      <c r="K1300" s="50">
        <v>44360</v>
      </c>
      <c r="M1300" s="49" t="s">
        <v>4150</v>
      </c>
    </row>
    <row r="1301" spans="1:13" x14ac:dyDescent="0.35">
      <c r="A1301" s="49" t="s">
        <v>14153</v>
      </c>
      <c r="B1301" s="49" t="s">
        <v>4651</v>
      </c>
      <c r="C1301" s="49" t="s">
        <v>4652</v>
      </c>
      <c r="D1301" s="49" t="s">
        <v>1264</v>
      </c>
      <c r="E1301" s="49" t="s">
        <v>2785</v>
      </c>
      <c r="F1301" s="49" t="s">
        <v>2786</v>
      </c>
      <c r="G1301" s="49" t="s">
        <v>2787</v>
      </c>
      <c r="H1301" s="49" t="s">
        <v>835</v>
      </c>
      <c r="I1301" s="50">
        <v>44514</v>
      </c>
      <c r="K1301" s="50">
        <v>45511</v>
      </c>
      <c r="M1301" s="49" t="s">
        <v>4653</v>
      </c>
    </row>
    <row r="1302" spans="1:13" x14ac:dyDescent="0.35">
      <c r="A1302" s="49" t="s">
        <v>14153</v>
      </c>
      <c r="B1302" s="49" t="s">
        <v>4754</v>
      </c>
      <c r="C1302" s="49" t="s">
        <v>4755</v>
      </c>
      <c r="D1302" s="49" t="s">
        <v>1264</v>
      </c>
      <c r="E1302" s="49" t="s">
        <v>2785</v>
      </c>
      <c r="F1302" s="49" t="s">
        <v>2786</v>
      </c>
      <c r="G1302" s="49" t="s">
        <v>2787</v>
      </c>
      <c r="H1302" s="49" t="s">
        <v>4225</v>
      </c>
      <c r="I1302" s="50">
        <v>44599</v>
      </c>
      <c r="K1302" s="50">
        <v>45510</v>
      </c>
      <c r="M1302" s="49" t="s">
        <v>4756</v>
      </c>
    </row>
    <row r="1303" spans="1:13" x14ac:dyDescent="0.35">
      <c r="A1303" s="49" t="s">
        <v>14153</v>
      </c>
      <c r="B1303" s="49" t="s">
        <v>4765</v>
      </c>
      <c r="C1303" s="49" t="s">
        <v>4766</v>
      </c>
      <c r="D1303" s="49" t="s">
        <v>1264</v>
      </c>
      <c r="E1303" s="49" t="s">
        <v>2785</v>
      </c>
      <c r="F1303" s="49" t="s">
        <v>2786</v>
      </c>
      <c r="G1303" s="49" t="s">
        <v>2787</v>
      </c>
      <c r="H1303" s="49" t="s">
        <v>4225</v>
      </c>
      <c r="I1303" s="50">
        <v>44599</v>
      </c>
      <c r="K1303" s="50">
        <v>45510</v>
      </c>
      <c r="M1303" s="49" t="s">
        <v>4767</v>
      </c>
    </row>
    <row r="1304" spans="1:13" x14ac:dyDescent="0.35">
      <c r="A1304" s="49" t="s">
        <v>14153</v>
      </c>
      <c r="B1304" s="49" t="s">
        <v>4768</v>
      </c>
      <c r="C1304" s="49"/>
      <c r="D1304" s="49" t="s">
        <v>1264</v>
      </c>
      <c r="E1304" s="49" t="s">
        <v>2785</v>
      </c>
      <c r="F1304" s="49" t="s">
        <v>2786</v>
      </c>
      <c r="G1304" s="49" t="s">
        <v>2787</v>
      </c>
      <c r="H1304" s="49" t="s">
        <v>4225</v>
      </c>
      <c r="I1304" s="50">
        <v>44599</v>
      </c>
      <c r="K1304" s="50">
        <v>45510</v>
      </c>
      <c r="M1304" s="49" t="s">
        <v>4321</v>
      </c>
    </row>
    <row r="1305" spans="1:13" x14ac:dyDescent="0.35">
      <c r="A1305" s="49" t="s">
        <v>14153</v>
      </c>
      <c r="B1305" s="49" t="s">
        <v>5035</v>
      </c>
      <c r="C1305" s="49" t="s">
        <v>5036</v>
      </c>
      <c r="D1305" s="49" t="s">
        <v>1264</v>
      </c>
      <c r="E1305" s="49" t="s">
        <v>2814</v>
      </c>
      <c r="F1305" s="49" t="s">
        <v>2837</v>
      </c>
      <c r="G1305" s="49" t="s">
        <v>2787</v>
      </c>
      <c r="H1305" s="49" t="s">
        <v>980</v>
      </c>
      <c r="I1305" s="50">
        <v>44803</v>
      </c>
      <c r="J1305" s="50">
        <v>44803</v>
      </c>
      <c r="K1305" s="50">
        <v>45165</v>
      </c>
      <c r="M1305" s="49" t="s">
        <v>5037</v>
      </c>
    </row>
    <row r="1306" spans="1:13" x14ac:dyDescent="0.35">
      <c r="A1306" s="49" t="s">
        <v>14153</v>
      </c>
      <c r="B1306" s="49" t="s">
        <v>5038</v>
      </c>
      <c r="C1306" s="49" t="s">
        <v>5039</v>
      </c>
      <c r="D1306" s="49" t="s">
        <v>1264</v>
      </c>
      <c r="E1306" s="49" t="s">
        <v>2814</v>
      </c>
      <c r="F1306" s="49" t="s">
        <v>2837</v>
      </c>
      <c r="G1306" s="49" t="s">
        <v>2787</v>
      </c>
      <c r="H1306" s="49" t="s">
        <v>980</v>
      </c>
      <c r="I1306" s="50">
        <v>44803</v>
      </c>
      <c r="J1306" s="50">
        <v>44803</v>
      </c>
      <c r="K1306" s="50">
        <v>45166</v>
      </c>
      <c r="M1306" s="49" t="s">
        <v>5040</v>
      </c>
    </row>
    <row r="1307" spans="1:13" x14ac:dyDescent="0.35">
      <c r="A1307" s="49" t="s">
        <v>14153</v>
      </c>
      <c r="B1307" s="49" t="s">
        <v>5919</v>
      </c>
      <c r="C1307" s="49" t="s">
        <v>5920</v>
      </c>
      <c r="D1307" s="49" t="s">
        <v>1264</v>
      </c>
      <c r="E1307" s="49" t="s">
        <v>2785</v>
      </c>
      <c r="F1307" s="49" t="s">
        <v>2786</v>
      </c>
      <c r="G1307" s="49" t="s">
        <v>4330</v>
      </c>
      <c r="H1307" s="49" t="s">
        <v>973</v>
      </c>
      <c r="I1307" s="50">
        <v>45128</v>
      </c>
      <c r="M1307" s="49" t="s">
        <v>5921</v>
      </c>
    </row>
    <row r="1308" spans="1:13" x14ac:dyDescent="0.35">
      <c r="A1308" s="49" t="s">
        <v>14153</v>
      </c>
      <c r="B1308" s="49" t="s">
        <v>6563</v>
      </c>
      <c r="C1308" s="49" t="s">
        <v>6564</v>
      </c>
      <c r="D1308" s="49" t="s">
        <v>1264</v>
      </c>
      <c r="E1308" s="49" t="s">
        <v>2908</v>
      </c>
      <c r="F1308" s="49" t="s">
        <v>2837</v>
      </c>
      <c r="G1308" s="49" t="s">
        <v>2901</v>
      </c>
      <c r="H1308" s="49" t="s">
        <v>973</v>
      </c>
      <c r="I1308" s="50">
        <v>44762</v>
      </c>
      <c r="J1308" s="50">
        <v>45380</v>
      </c>
      <c r="K1308" s="50">
        <v>47205</v>
      </c>
      <c r="M1308" s="49" t="s">
        <v>6565</v>
      </c>
    </row>
    <row r="1309" spans="1:13" x14ac:dyDescent="0.35">
      <c r="A1309" s="49" t="s">
        <v>14153</v>
      </c>
      <c r="B1309" s="49" t="s">
        <v>6566</v>
      </c>
      <c r="C1309" s="49" t="s">
        <v>6567</v>
      </c>
      <c r="D1309" s="49" t="s">
        <v>1264</v>
      </c>
      <c r="E1309" s="49" t="s">
        <v>2908</v>
      </c>
      <c r="F1309" s="49" t="s">
        <v>2837</v>
      </c>
      <c r="G1309" s="49" t="s">
        <v>2901</v>
      </c>
      <c r="H1309" s="49" t="s">
        <v>973</v>
      </c>
      <c r="I1309" s="50">
        <v>44762</v>
      </c>
      <c r="J1309" s="50">
        <v>45380</v>
      </c>
      <c r="K1309" s="50">
        <v>47205</v>
      </c>
      <c r="M1309" s="49" t="s">
        <v>6568</v>
      </c>
    </row>
    <row r="1310" spans="1:13" x14ac:dyDescent="0.35">
      <c r="A1310" s="49" t="s">
        <v>14153</v>
      </c>
      <c r="B1310" s="49" t="s">
        <v>7144</v>
      </c>
      <c r="C1310" s="49" t="s">
        <v>7145</v>
      </c>
      <c r="D1310" s="49" t="s">
        <v>1264</v>
      </c>
      <c r="E1310" s="49" t="s">
        <v>2785</v>
      </c>
      <c r="F1310" s="49" t="s">
        <v>4611</v>
      </c>
      <c r="G1310" s="49" t="s">
        <v>2787</v>
      </c>
      <c r="H1310" s="49" t="s">
        <v>3207</v>
      </c>
      <c r="I1310" s="50">
        <v>42398</v>
      </c>
      <c r="J1310" s="50">
        <v>42424</v>
      </c>
      <c r="K1310" s="50">
        <v>42605</v>
      </c>
      <c r="M1310" s="49" t="s">
        <v>7146</v>
      </c>
    </row>
    <row r="1311" spans="1:13" x14ac:dyDescent="0.35">
      <c r="A1311" s="49" t="s">
        <v>14153</v>
      </c>
      <c r="B1311" s="49" t="s">
        <v>11000</v>
      </c>
      <c r="C1311" s="49" t="s">
        <v>11001</v>
      </c>
      <c r="D1311" s="49" t="s">
        <v>1264</v>
      </c>
      <c r="E1311" s="49" t="s">
        <v>2785</v>
      </c>
      <c r="F1311" s="49" t="s">
        <v>2786</v>
      </c>
      <c r="G1311" s="49" t="s">
        <v>2776</v>
      </c>
      <c r="H1311" s="49" t="s">
        <v>4225</v>
      </c>
      <c r="I1311" s="50">
        <v>44599</v>
      </c>
      <c r="M1311" s="49" t="s">
        <v>11002</v>
      </c>
    </row>
    <row r="1312" spans="1:13" x14ac:dyDescent="0.35">
      <c r="A1312" s="49" t="s">
        <v>14153</v>
      </c>
      <c r="B1312" s="49" t="s">
        <v>11003</v>
      </c>
      <c r="C1312" s="49" t="s">
        <v>11004</v>
      </c>
      <c r="D1312" s="49" t="s">
        <v>1264</v>
      </c>
      <c r="E1312" s="49" t="s">
        <v>2785</v>
      </c>
      <c r="F1312" s="49" t="s">
        <v>2786</v>
      </c>
      <c r="G1312" s="49" t="s">
        <v>2776</v>
      </c>
      <c r="H1312" s="49" t="s">
        <v>4225</v>
      </c>
      <c r="I1312" s="50">
        <v>44599</v>
      </c>
      <c r="M1312" s="49" t="s">
        <v>11005</v>
      </c>
    </row>
    <row r="1313" spans="1:13" x14ac:dyDescent="0.35">
      <c r="A1313" s="49" t="s">
        <v>14153</v>
      </c>
      <c r="B1313" s="49" t="s">
        <v>11006</v>
      </c>
      <c r="C1313" s="49" t="s">
        <v>11007</v>
      </c>
      <c r="D1313" s="49" t="s">
        <v>1264</v>
      </c>
      <c r="E1313" s="49" t="s">
        <v>2785</v>
      </c>
      <c r="F1313" s="49" t="s">
        <v>2786</v>
      </c>
      <c r="G1313" s="49" t="s">
        <v>2776</v>
      </c>
      <c r="H1313" s="49" t="s">
        <v>4225</v>
      </c>
      <c r="I1313" s="50">
        <v>44599</v>
      </c>
      <c r="M1313" s="49" t="s">
        <v>11008</v>
      </c>
    </row>
    <row r="1314" spans="1:13" x14ac:dyDescent="0.35">
      <c r="A1314" s="49" t="s">
        <v>14153</v>
      </c>
      <c r="B1314" s="49" t="s">
        <v>11115</v>
      </c>
      <c r="C1314" s="49" t="s">
        <v>3784</v>
      </c>
      <c r="D1314" s="49" t="s">
        <v>1264</v>
      </c>
      <c r="E1314" s="49" t="s">
        <v>2908</v>
      </c>
      <c r="F1314" s="49" t="s">
        <v>2837</v>
      </c>
      <c r="G1314" s="49" t="s">
        <v>4891</v>
      </c>
      <c r="H1314" s="49" t="s">
        <v>2827</v>
      </c>
      <c r="I1314" s="50">
        <v>44764</v>
      </c>
      <c r="M1314" s="49" t="s">
        <v>11116</v>
      </c>
    </row>
    <row r="1315" spans="1:13" x14ac:dyDescent="0.35">
      <c r="A1315" s="49" t="s">
        <v>14153</v>
      </c>
      <c r="B1315" s="49" t="s">
        <v>11117</v>
      </c>
      <c r="C1315" s="49" t="s">
        <v>11118</v>
      </c>
      <c r="D1315" s="49" t="s">
        <v>1264</v>
      </c>
      <c r="E1315" s="49" t="s">
        <v>2908</v>
      </c>
      <c r="F1315" s="49" t="s">
        <v>2837</v>
      </c>
      <c r="G1315" s="49" t="s">
        <v>4891</v>
      </c>
      <c r="H1315" s="49" t="s">
        <v>2827</v>
      </c>
      <c r="I1315" s="50">
        <v>44762</v>
      </c>
      <c r="M1315" s="49" t="s">
        <v>11119</v>
      </c>
    </row>
    <row r="1316" spans="1:13" x14ac:dyDescent="0.35">
      <c r="A1316" s="49" t="s">
        <v>14153</v>
      </c>
      <c r="B1316" s="49" t="s">
        <v>12207</v>
      </c>
      <c r="C1316" s="49" t="s">
        <v>12208</v>
      </c>
      <c r="D1316" s="49" t="s">
        <v>1264</v>
      </c>
      <c r="E1316" s="49" t="s">
        <v>2785</v>
      </c>
      <c r="F1316" s="49" t="s">
        <v>2786</v>
      </c>
      <c r="G1316" s="49" t="s">
        <v>4891</v>
      </c>
      <c r="H1316" s="49" t="s">
        <v>864</v>
      </c>
      <c r="I1316" s="50">
        <v>45357</v>
      </c>
      <c r="M1316" s="49" t="s">
        <v>12209</v>
      </c>
    </row>
    <row r="1317" spans="1:13" x14ac:dyDescent="0.35">
      <c r="A1317" s="49" t="s">
        <v>14153</v>
      </c>
      <c r="B1317" s="49" t="s">
        <v>12563</v>
      </c>
      <c r="C1317" s="49"/>
      <c r="D1317" s="49" t="s">
        <v>1264</v>
      </c>
      <c r="E1317" s="49" t="s">
        <v>2785</v>
      </c>
      <c r="F1317" s="49" t="s">
        <v>2786</v>
      </c>
      <c r="G1317" s="49" t="s">
        <v>4891</v>
      </c>
      <c r="H1317" s="49" t="s">
        <v>835</v>
      </c>
      <c r="I1317" s="50">
        <v>45448</v>
      </c>
      <c r="M1317" s="49" t="s">
        <v>12564</v>
      </c>
    </row>
    <row r="1318" spans="1:13" x14ac:dyDescent="0.35">
      <c r="A1318" s="49" t="s">
        <v>14850</v>
      </c>
      <c r="B1318" s="49" t="s">
        <v>7011</v>
      </c>
      <c r="C1318" s="49"/>
      <c r="D1318" s="49" t="s">
        <v>1264</v>
      </c>
      <c r="E1318" s="49" t="s">
        <v>2908</v>
      </c>
      <c r="F1318" s="49" t="s">
        <v>2939</v>
      </c>
      <c r="G1318" s="49" t="s">
        <v>2776</v>
      </c>
      <c r="H1318" s="49" t="s">
        <v>980</v>
      </c>
      <c r="I1318" s="50">
        <v>41954</v>
      </c>
      <c r="M1318" s="49" t="s">
        <v>7013</v>
      </c>
    </row>
    <row r="1319" spans="1:13" x14ac:dyDescent="0.35">
      <c r="A1319" s="49" t="s">
        <v>14737</v>
      </c>
      <c r="B1319" s="49" t="s">
        <v>7995</v>
      </c>
      <c r="C1319" s="49" t="s">
        <v>7996</v>
      </c>
      <c r="D1319" s="49" t="s">
        <v>1264</v>
      </c>
      <c r="E1319" s="49" t="s">
        <v>2908</v>
      </c>
      <c r="F1319" s="49" t="s">
        <v>2837</v>
      </c>
      <c r="G1319" s="49" t="s">
        <v>2826</v>
      </c>
      <c r="H1319" s="49" t="s">
        <v>980</v>
      </c>
      <c r="I1319" s="50">
        <v>28628</v>
      </c>
      <c r="J1319" s="50">
        <v>32622</v>
      </c>
      <c r="K1319" s="50">
        <v>32791</v>
      </c>
      <c r="M1319" s="49" t="s">
        <v>3477</v>
      </c>
    </row>
    <row r="1320" spans="1:13" x14ac:dyDescent="0.35">
      <c r="A1320" s="49" t="s">
        <v>14740</v>
      </c>
      <c r="B1320" s="49" t="s">
        <v>8234</v>
      </c>
      <c r="C1320" s="49" t="s">
        <v>8235</v>
      </c>
      <c r="D1320" s="49" t="s">
        <v>1264</v>
      </c>
      <c r="E1320" s="49" t="s">
        <v>2908</v>
      </c>
      <c r="F1320" s="49" t="s">
        <v>2805</v>
      </c>
      <c r="G1320" s="49" t="s">
        <v>2787</v>
      </c>
      <c r="H1320" s="49" t="s">
        <v>864</v>
      </c>
      <c r="I1320" s="50">
        <v>35127</v>
      </c>
      <c r="J1320" s="50">
        <v>35688</v>
      </c>
      <c r="K1320" s="50">
        <v>37513</v>
      </c>
      <c r="M1320" s="49" t="s">
        <v>8237</v>
      </c>
    </row>
    <row r="1321" spans="1:13" x14ac:dyDescent="0.35">
      <c r="A1321" s="49" t="s">
        <v>14532</v>
      </c>
      <c r="B1321" s="49" t="s">
        <v>9875</v>
      </c>
      <c r="C1321" s="49" t="s">
        <v>8837</v>
      </c>
      <c r="D1321" s="49" t="s">
        <v>1264</v>
      </c>
      <c r="E1321" s="49" t="s">
        <v>2785</v>
      </c>
      <c r="F1321" s="49" t="s">
        <v>2792</v>
      </c>
      <c r="G1321" s="49" t="s">
        <v>2776</v>
      </c>
      <c r="H1321" s="49" t="s">
        <v>8</v>
      </c>
      <c r="I1321" s="50">
        <v>42193</v>
      </c>
      <c r="M1321" s="49" t="s">
        <v>9877</v>
      </c>
    </row>
    <row r="1322" spans="1:13" x14ac:dyDescent="0.35">
      <c r="A1322" s="49" t="s">
        <v>14324</v>
      </c>
      <c r="B1322" s="49" t="s">
        <v>7081</v>
      </c>
      <c r="C1322" s="49" t="s">
        <v>7082</v>
      </c>
      <c r="D1322" s="49" t="s">
        <v>1264</v>
      </c>
      <c r="E1322" s="49" t="s">
        <v>2785</v>
      </c>
      <c r="F1322" s="49" t="s">
        <v>2792</v>
      </c>
      <c r="G1322" s="49" t="s">
        <v>2820</v>
      </c>
      <c r="H1322" s="49" t="s">
        <v>8</v>
      </c>
      <c r="I1322" s="50">
        <v>42239</v>
      </c>
      <c r="J1322" s="50">
        <v>42331</v>
      </c>
      <c r="K1322" s="50">
        <v>42513</v>
      </c>
      <c r="M1322" s="49" t="s">
        <v>7084</v>
      </c>
    </row>
    <row r="1323" spans="1:13" x14ac:dyDescent="0.35">
      <c r="A1323" s="49" t="s">
        <v>14324</v>
      </c>
      <c r="B1323" s="49" t="s">
        <v>9721</v>
      </c>
      <c r="C1323" s="49"/>
      <c r="D1323" s="49" t="s">
        <v>1264</v>
      </c>
      <c r="E1323" s="49" t="s">
        <v>2785</v>
      </c>
      <c r="F1323" s="49" t="s">
        <v>2792</v>
      </c>
      <c r="G1323" s="49" t="s">
        <v>2776</v>
      </c>
      <c r="H1323" s="49" t="s">
        <v>8</v>
      </c>
      <c r="I1323" s="50">
        <v>42585</v>
      </c>
      <c r="M1323" s="49" t="s">
        <v>9722</v>
      </c>
    </row>
    <row r="1324" spans="1:13" x14ac:dyDescent="0.35">
      <c r="A1324" s="49" t="s">
        <v>14851</v>
      </c>
      <c r="B1324" s="49" t="s">
        <v>9058</v>
      </c>
      <c r="C1324" s="49" t="s">
        <v>6999</v>
      </c>
      <c r="D1324" s="49" t="s">
        <v>1264</v>
      </c>
      <c r="E1324" s="49" t="s">
        <v>2785</v>
      </c>
      <c r="F1324" s="49" t="s">
        <v>2792</v>
      </c>
      <c r="G1324" s="49" t="s">
        <v>2776</v>
      </c>
      <c r="H1324" s="49" t="s">
        <v>8</v>
      </c>
      <c r="I1324" s="50">
        <v>41292</v>
      </c>
      <c r="M1324" s="49" t="s">
        <v>9060</v>
      </c>
    </row>
    <row r="1325" spans="1:13" x14ac:dyDescent="0.35">
      <c r="A1325" s="49" t="s">
        <v>14851</v>
      </c>
      <c r="B1325" s="49" t="s">
        <v>10034</v>
      </c>
      <c r="C1325" s="49"/>
      <c r="D1325" s="49" t="s">
        <v>1264</v>
      </c>
      <c r="E1325" s="49" t="s">
        <v>2785</v>
      </c>
      <c r="F1325" s="49" t="s">
        <v>2792</v>
      </c>
      <c r="G1325" s="49" t="s">
        <v>2776</v>
      </c>
      <c r="H1325" s="49" t="s">
        <v>8</v>
      </c>
      <c r="I1325" s="50">
        <v>41995</v>
      </c>
      <c r="M1325" s="49" t="s">
        <v>10036</v>
      </c>
    </row>
    <row r="1326" spans="1:13" x14ac:dyDescent="0.35">
      <c r="A1326" s="49" t="s">
        <v>14219</v>
      </c>
      <c r="B1326" s="49" t="s">
        <v>5007</v>
      </c>
      <c r="C1326" s="49"/>
      <c r="D1326" s="49" t="s">
        <v>1264</v>
      </c>
      <c r="E1326" s="49" t="s">
        <v>3443</v>
      </c>
      <c r="F1326" s="49" t="s">
        <v>3124</v>
      </c>
      <c r="G1326" s="49" t="s">
        <v>2901</v>
      </c>
      <c r="H1326" s="49" t="s">
        <v>980</v>
      </c>
      <c r="I1326" s="50">
        <v>44789</v>
      </c>
      <c r="J1326" s="50">
        <v>44054</v>
      </c>
      <c r="K1326" s="50">
        <v>45879</v>
      </c>
    </row>
    <row r="1327" spans="1:13" x14ac:dyDescent="0.35">
      <c r="A1327" s="49" t="s">
        <v>15346</v>
      </c>
      <c r="B1327" s="49" t="s">
        <v>2778</v>
      </c>
      <c r="C1327" s="49"/>
      <c r="D1327" s="49" t="s">
        <v>1264</v>
      </c>
      <c r="E1327" s="49" t="s">
        <v>2774</v>
      </c>
      <c r="F1327" s="49" t="s">
        <v>2780</v>
      </c>
      <c r="G1327" s="49" t="s">
        <v>2776</v>
      </c>
      <c r="H1327" s="49" t="s">
        <v>1062</v>
      </c>
      <c r="I1327" s="50">
        <v>40918</v>
      </c>
      <c r="M1327" s="49" t="s">
        <v>2781</v>
      </c>
    </row>
    <row r="1328" spans="1:13" x14ac:dyDescent="0.35">
      <c r="A1328" s="49" t="s">
        <v>15346</v>
      </c>
      <c r="B1328" s="49" t="s">
        <v>7820</v>
      </c>
      <c r="C1328" s="49" t="s">
        <v>7821</v>
      </c>
      <c r="D1328" s="49" t="s">
        <v>1264</v>
      </c>
      <c r="E1328" s="49" t="s">
        <v>2774</v>
      </c>
      <c r="F1328" s="49" t="s">
        <v>2825</v>
      </c>
      <c r="G1328" s="49" t="s">
        <v>2975</v>
      </c>
      <c r="H1328" s="49" t="s">
        <v>2827</v>
      </c>
      <c r="I1328" s="50">
        <v>40889</v>
      </c>
      <c r="J1328" s="50">
        <v>40967</v>
      </c>
      <c r="K1328" s="50">
        <v>41808</v>
      </c>
      <c r="M1328" s="49" t="s">
        <v>7822</v>
      </c>
    </row>
    <row r="1329" spans="1:13" x14ac:dyDescent="0.35">
      <c r="A1329" s="49" t="s">
        <v>15175</v>
      </c>
      <c r="B1329" s="49" t="s">
        <v>4524</v>
      </c>
      <c r="C1329" s="49"/>
      <c r="D1329" s="49" t="s">
        <v>1264</v>
      </c>
      <c r="E1329" s="49" t="s">
        <v>2814</v>
      </c>
      <c r="F1329" s="49" t="s">
        <v>2837</v>
      </c>
      <c r="G1329" s="49" t="s">
        <v>2776</v>
      </c>
      <c r="H1329" s="49" t="s">
        <v>980</v>
      </c>
      <c r="I1329" s="50">
        <v>44447</v>
      </c>
      <c r="M1329" s="49" t="s">
        <v>4526</v>
      </c>
    </row>
    <row r="1330" spans="1:13" x14ac:dyDescent="0.35">
      <c r="A1330" s="49" t="s">
        <v>15175</v>
      </c>
      <c r="B1330" s="49" t="s">
        <v>4632</v>
      </c>
      <c r="C1330" s="49" t="s">
        <v>3354</v>
      </c>
      <c r="D1330" s="49" t="s">
        <v>1264</v>
      </c>
      <c r="E1330" s="49" t="s">
        <v>2908</v>
      </c>
      <c r="F1330" s="49" t="s">
        <v>2837</v>
      </c>
      <c r="G1330" s="49" t="s">
        <v>2901</v>
      </c>
      <c r="H1330" s="49" t="s">
        <v>980</v>
      </c>
      <c r="I1330" s="50">
        <v>44540</v>
      </c>
      <c r="J1330" s="50">
        <v>44572</v>
      </c>
      <c r="K1330" s="50">
        <v>46397</v>
      </c>
      <c r="M1330" s="49" t="s">
        <v>4633</v>
      </c>
    </row>
    <row r="1331" spans="1:13" x14ac:dyDescent="0.35">
      <c r="A1331" s="49" t="s">
        <v>15175</v>
      </c>
      <c r="B1331" s="49" t="s">
        <v>5331</v>
      </c>
      <c r="C1331" s="49"/>
      <c r="D1331" s="49" t="s">
        <v>1264</v>
      </c>
      <c r="E1331" s="49" t="s">
        <v>2908</v>
      </c>
      <c r="F1331" s="49" t="s">
        <v>2837</v>
      </c>
      <c r="G1331" s="49" t="s">
        <v>2901</v>
      </c>
      <c r="H1331" s="49" t="s">
        <v>980</v>
      </c>
      <c r="I1331" s="50">
        <v>44882</v>
      </c>
      <c r="J1331" s="50">
        <v>44890</v>
      </c>
      <c r="K1331" s="50">
        <v>46715</v>
      </c>
      <c r="M1331" s="49" t="s">
        <v>5332</v>
      </c>
    </row>
    <row r="1332" spans="1:13" x14ac:dyDescent="0.35">
      <c r="A1332" s="49" t="s">
        <v>15175</v>
      </c>
      <c r="B1332" s="49" t="s">
        <v>5767</v>
      </c>
      <c r="C1332" s="49"/>
      <c r="D1332" s="49" t="s">
        <v>1264</v>
      </c>
      <c r="E1332" s="49" t="s">
        <v>2908</v>
      </c>
      <c r="F1332" s="49" t="s">
        <v>2837</v>
      </c>
      <c r="G1332" s="49" t="s">
        <v>2901</v>
      </c>
      <c r="H1332" s="49" t="s">
        <v>980</v>
      </c>
      <c r="I1332" s="50">
        <v>45154</v>
      </c>
      <c r="J1332" s="50">
        <v>45184</v>
      </c>
      <c r="K1332" s="50">
        <v>47010</v>
      </c>
      <c r="M1332" s="49" t="s">
        <v>5768</v>
      </c>
    </row>
    <row r="1333" spans="1:13" x14ac:dyDescent="0.35">
      <c r="A1333" s="49" t="s">
        <v>15175</v>
      </c>
      <c r="B1333" s="49" t="s">
        <v>10874</v>
      </c>
      <c r="C1333" s="49"/>
      <c r="D1333" s="49" t="s">
        <v>1264</v>
      </c>
      <c r="E1333" s="49" t="s">
        <v>2974</v>
      </c>
      <c r="F1333" s="49" t="s">
        <v>2775</v>
      </c>
      <c r="G1333" s="49" t="s">
        <v>2826</v>
      </c>
      <c r="H1333" s="49" t="s">
        <v>980</v>
      </c>
      <c r="I1333" s="50">
        <v>44447</v>
      </c>
      <c r="M1333" s="49" t="s">
        <v>7960</v>
      </c>
    </row>
    <row r="1334" spans="1:13" x14ac:dyDescent="0.35">
      <c r="A1334" s="49" t="s">
        <v>15175</v>
      </c>
      <c r="B1334" s="49" t="s">
        <v>11047</v>
      </c>
      <c r="C1334" s="49" t="s">
        <v>11048</v>
      </c>
      <c r="D1334" s="49" t="s">
        <v>1264</v>
      </c>
      <c r="E1334" s="49" t="s">
        <v>2986</v>
      </c>
      <c r="F1334" s="49" t="s">
        <v>2825</v>
      </c>
      <c r="G1334" s="49" t="s">
        <v>4891</v>
      </c>
      <c r="H1334" s="49" t="s">
        <v>2827</v>
      </c>
      <c r="I1334" s="50">
        <v>44734</v>
      </c>
      <c r="M1334" s="49" t="s">
        <v>11049</v>
      </c>
    </row>
    <row r="1335" spans="1:13" x14ac:dyDescent="0.35">
      <c r="A1335" s="49" t="s">
        <v>15175</v>
      </c>
      <c r="B1335" s="49" t="s">
        <v>11171</v>
      </c>
      <c r="C1335" s="49"/>
      <c r="D1335" s="49" t="s">
        <v>1264</v>
      </c>
      <c r="E1335" s="49" t="s">
        <v>2814</v>
      </c>
      <c r="F1335" s="49" t="s">
        <v>2837</v>
      </c>
      <c r="G1335" s="49" t="s">
        <v>2776</v>
      </c>
      <c r="H1335" s="49" t="s">
        <v>980</v>
      </c>
      <c r="I1335" s="50">
        <v>44881</v>
      </c>
      <c r="M1335" s="49" t="s">
        <v>11172</v>
      </c>
    </row>
    <row r="1336" spans="1:13" x14ac:dyDescent="0.35">
      <c r="A1336" s="49" t="s">
        <v>15175</v>
      </c>
      <c r="B1336" s="49" t="s">
        <v>11231</v>
      </c>
      <c r="C1336" s="49" t="s">
        <v>11232</v>
      </c>
      <c r="D1336" s="49" t="s">
        <v>1264</v>
      </c>
      <c r="E1336" s="49" t="s">
        <v>2986</v>
      </c>
      <c r="F1336" s="49" t="s">
        <v>2825</v>
      </c>
      <c r="G1336" s="49" t="s">
        <v>4891</v>
      </c>
      <c r="H1336" s="49" t="s">
        <v>2827</v>
      </c>
      <c r="I1336" s="50">
        <v>44928</v>
      </c>
      <c r="M1336" s="49" t="s">
        <v>11233</v>
      </c>
    </row>
    <row r="1337" spans="1:13" x14ac:dyDescent="0.35">
      <c r="A1337" s="49" t="s">
        <v>15175</v>
      </c>
      <c r="B1337" s="49" t="s">
        <v>11236</v>
      </c>
      <c r="C1337" s="49" t="s">
        <v>5842</v>
      </c>
      <c r="D1337" s="49" t="s">
        <v>1264</v>
      </c>
      <c r="E1337" s="49" t="s">
        <v>2986</v>
      </c>
      <c r="F1337" s="49" t="s">
        <v>2825</v>
      </c>
      <c r="G1337" s="49" t="s">
        <v>4891</v>
      </c>
      <c r="H1337" s="49" t="s">
        <v>2827</v>
      </c>
      <c r="I1337" s="50">
        <v>44928</v>
      </c>
      <c r="M1337" s="49" t="s">
        <v>11237</v>
      </c>
    </row>
    <row r="1338" spans="1:13" x14ac:dyDescent="0.35">
      <c r="A1338" s="49" t="s">
        <v>15175</v>
      </c>
      <c r="B1338" s="49" t="s">
        <v>11449</v>
      </c>
      <c r="C1338" s="49"/>
      <c r="D1338" s="49" t="s">
        <v>1264</v>
      </c>
      <c r="E1338" s="49" t="s">
        <v>2814</v>
      </c>
      <c r="F1338" s="49" t="s">
        <v>2837</v>
      </c>
      <c r="G1338" s="49" t="s">
        <v>2776</v>
      </c>
      <c r="H1338" s="49" t="s">
        <v>980</v>
      </c>
      <c r="I1338" s="50">
        <v>45111</v>
      </c>
      <c r="M1338" s="49" t="s">
        <v>11450</v>
      </c>
    </row>
    <row r="1339" spans="1:13" x14ac:dyDescent="0.35">
      <c r="A1339" s="49" t="s">
        <v>14759</v>
      </c>
      <c r="B1339" s="49" t="s">
        <v>9616</v>
      </c>
      <c r="C1339" s="49" t="s">
        <v>2942</v>
      </c>
      <c r="D1339" s="49" t="s">
        <v>1264</v>
      </c>
      <c r="E1339" s="49" t="s">
        <v>2908</v>
      </c>
      <c r="F1339" s="49" t="s">
        <v>2939</v>
      </c>
      <c r="G1339" s="49" t="s">
        <v>2776</v>
      </c>
      <c r="H1339" s="49" t="s">
        <v>980</v>
      </c>
      <c r="I1339" s="50">
        <v>42144</v>
      </c>
      <c r="M1339" s="49" t="s">
        <v>3871</v>
      </c>
    </row>
    <row r="1340" spans="1:13" x14ac:dyDescent="0.35">
      <c r="A1340" s="49" t="s">
        <v>12535</v>
      </c>
      <c r="B1340" s="49" t="s">
        <v>12534</v>
      </c>
      <c r="C1340" s="49"/>
      <c r="D1340" s="49" t="s">
        <v>1264</v>
      </c>
      <c r="E1340" s="49" t="s">
        <v>2774</v>
      </c>
      <c r="F1340" s="49" t="s">
        <v>4048</v>
      </c>
      <c r="G1340" s="49" t="s">
        <v>4891</v>
      </c>
      <c r="H1340" s="49" t="s">
        <v>2827</v>
      </c>
      <c r="I1340" s="50">
        <v>45433</v>
      </c>
      <c r="M1340" s="49" t="s">
        <v>12536</v>
      </c>
    </row>
    <row r="1341" spans="1:13" x14ac:dyDescent="0.35">
      <c r="A1341" s="49" t="s">
        <v>12535</v>
      </c>
      <c r="B1341" s="49" t="s">
        <v>12537</v>
      </c>
      <c r="C1341" s="49"/>
      <c r="D1341" s="49" t="s">
        <v>1264</v>
      </c>
      <c r="E1341" s="49" t="s">
        <v>2814</v>
      </c>
      <c r="F1341" s="49" t="s">
        <v>2792</v>
      </c>
      <c r="G1341" s="49" t="s">
        <v>4891</v>
      </c>
      <c r="H1341" s="49" t="s">
        <v>3229</v>
      </c>
      <c r="I1341" s="50">
        <v>45434</v>
      </c>
      <c r="M1341" s="49" t="s">
        <v>12539</v>
      </c>
    </row>
    <row r="1342" spans="1:13" x14ac:dyDescent="0.35">
      <c r="A1342" s="49" t="s">
        <v>1228</v>
      </c>
      <c r="B1342" s="49" t="s">
        <v>4907</v>
      </c>
      <c r="C1342" s="49" t="s">
        <v>3586</v>
      </c>
      <c r="D1342" s="49" t="s">
        <v>1264</v>
      </c>
      <c r="E1342" s="49" t="s">
        <v>2785</v>
      </c>
      <c r="F1342" s="49" t="s">
        <v>2786</v>
      </c>
      <c r="G1342" s="49" t="s">
        <v>2776</v>
      </c>
      <c r="H1342" s="49" t="s">
        <v>980</v>
      </c>
      <c r="I1342" s="50">
        <v>44719</v>
      </c>
      <c r="M1342" s="49" t="s">
        <v>4909</v>
      </c>
    </row>
    <row r="1343" spans="1:13" x14ac:dyDescent="0.35">
      <c r="A1343" s="49" t="s">
        <v>1228</v>
      </c>
      <c r="B1343" s="49" t="s">
        <v>5829</v>
      </c>
      <c r="C1343" s="49" t="s">
        <v>5830</v>
      </c>
      <c r="D1343" s="49" t="s">
        <v>1264</v>
      </c>
      <c r="E1343" s="49" t="s">
        <v>2785</v>
      </c>
      <c r="F1343" s="49" t="s">
        <v>2786</v>
      </c>
      <c r="G1343" s="49" t="s">
        <v>4330</v>
      </c>
      <c r="H1343" s="49" t="s">
        <v>980</v>
      </c>
      <c r="I1343" s="50">
        <v>45120</v>
      </c>
      <c r="M1343" s="49" t="s">
        <v>5831</v>
      </c>
    </row>
    <row r="1344" spans="1:13" x14ac:dyDescent="0.35">
      <c r="A1344" s="49" t="s">
        <v>244</v>
      </c>
      <c r="B1344" s="49" t="s">
        <v>5761</v>
      </c>
      <c r="C1344" s="49"/>
      <c r="D1344" s="49" t="s">
        <v>1264</v>
      </c>
      <c r="E1344" s="49" t="s">
        <v>2814</v>
      </c>
      <c r="F1344" s="49" t="s">
        <v>2825</v>
      </c>
      <c r="G1344" s="49" t="s">
        <v>2787</v>
      </c>
      <c r="H1344" s="49" t="s">
        <v>2827</v>
      </c>
      <c r="I1344" s="50">
        <v>44708</v>
      </c>
      <c r="M1344" s="49" t="s">
        <v>5763</v>
      </c>
    </row>
    <row r="1345" spans="1:13" x14ac:dyDescent="0.35">
      <c r="A1345" s="49" t="s">
        <v>244</v>
      </c>
      <c r="B1345" s="49" t="s">
        <v>10951</v>
      </c>
      <c r="C1345" s="49" t="s">
        <v>10952</v>
      </c>
      <c r="D1345" s="49" t="s">
        <v>1264</v>
      </c>
      <c r="E1345" s="49" t="s">
        <v>2814</v>
      </c>
      <c r="F1345" s="49" t="s">
        <v>10953</v>
      </c>
      <c r="G1345" s="49" t="s">
        <v>2776</v>
      </c>
      <c r="H1345" s="49" t="s">
        <v>3229</v>
      </c>
      <c r="I1345" s="50">
        <v>44578</v>
      </c>
      <c r="M1345" s="49" t="s">
        <v>10954</v>
      </c>
    </row>
    <row r="1346" spans="1:13" x14ac:dyDescent="0.35">
      <c r="A1346" s="49" t="s">
        <v>244</v>
      </c>
      <c r="B1346" s="49" t="s">
        <v>10963</v>
      </c>
      <c r="C1346" s="49" t="s">
        <v>10964</v>
      </c>
      <c r="D1346" s="49" t="s">
        <v>1264</v>
      </c>
      <c r="E1346" s="49" t="s">
        <v>2774</v>
      </c>
      <c r="F1346" s="49" t="s">
        <v>10953</v>
      </c>
      <c r="G1346" s="49" t="s">
        <v>4891</v>
      </c>
      <c r="H1346" s="49" t="s">
        <v>3229</v>
      </c>
      <c r="I1346" s="50">
        <v>44571</v>
      </c>
      <c r="M1346" s="49" t="s">
        <v>10965</v>
      </c>
    </row>
    <row r="1347" spans="1:13" x14ac:dyDescent="0.35">
      <c r="A1347" s="49" t="s">
        <v>244</v>
      </c>
      <c r="B1347" s="49" t="s">
        <v>11031</v>
      </c>
      <c r="C1347" s="49" t="s">
        <v>11032</v>
      </c>
      <c r="D1347" s="49" t="s">
        <v>1264</v>
      </c>
      <c r="E1347" s="49" t="s">
        <v>2986</v>
      </c>
      <c r="F1347" s="49" t="s">
        <v>2825</v>
      </c>
      <c r="G1347" s="49" t="s">
        <v>4891</v>
      </c>
      <c r="H1347" s="49" t="s">
        <v>2827</v>
      </c>
      <c r="I1347" s="50">
        <v>44690</v>
      </c>
      <c r="M1347" s="49" t="s">
        <v>11033</v>
      </c>
    </row>
    <row r="1348" spans="1:13" x14ac:dyDescent="0.35">
      <c r="A1348" s="49" t="s">
        <v>244</v>
      </c>
      <c r="B1348" s="49" t="s">
        <v>11036</v>
      </c>
      <c r="C1348" s="49"/>
      <c r="D1348" s="49" t="s">
        <v>1264</v>
      </c>
      <c r="E1348" s="49" t="s">
        <v>2814</v>
      </c>
      <c r="F1348" s="49" t="s">
        <v>2825</v>
      </c>
      <c r="G1348" s="49" t="s">
        <v>2776</v>
      </c>
      <c r="H1348" s="49" t="s">
        <v>973</v>
      </c>
      <c r="I1348" s="50">
        <v>44714</v>
      </c>
      <c r="M1348" s="49" t="s">
        <v>11037</v>
      </c>
    </row>
    <row r="1349" spans="1:13" x14ac:dyDescent="0.35">
      <c r="A1349" s="49" t="s">
        <v>244</v>
      </c>
      <c r="B1349" s="49" t="s">
        <v>11663</v>
      </c>
      <c r="C1349" s="49"/>
      <c r="D1349" s="49" t="s">
        <v>1264</v>
      </c>
      <c r="E1349" s="49" t="s">
        <v>2774</v>
      </c>
      <c r="F1349" s="49" t="s">
        <v>10953</v>
      </c>
      <c r="G1349" s="49" t="s">
        <v>4891</v>
      </c>
      <c r="H1349" s="49" t="s">
        <v>3207</v>
      </c>
      <c r="I1349" s="50">
        <v>45237</v>
      </c>
      <c r="M1349" s="49" t="s">
        <v>11664</v>
      </c>
    </row>
    <row r="1350" spans="1:13" x14ac:dyDescent="0.35">
      <c r="A1350" s="49" t="s">
        <v>14387</v>
      </c>
      <c r="B1350" s="49" t="s">
        <v>7909</v>
      </c>
      <c r="C1350" s="49" t="s">
        <v>7910</v>
      </c>
      <c r="D1350" s="49" t="s">
        <v>1264</v>
      </c>
      <c r="E1350" s="49" t="s">
        <v>7057</v>
      </c>
      <c r="F1350" s="49" t="s">
        <v>2825</v>
      </c>
      <c r="G1350" s="49" t="s">
        <v>2787</v>
      </c>
      <c r="H1350" s="49" t="s">
        <v>973</v>
      </c>
      <c r="I1350" s="50">
        <v>37834</v>
      </c>
      <c r="J1350" s="50">
        <v>38082</v>
      </c>
      <c r="K1350" s="50">
        <v>42569</v>
      </c>
      <c r="M1350" s="49" t="s">
        <v>7912</v>
      </c>
    </row>
    <row r="1351" spans="1:13" x14ac:dyDescent="0.35">
      <c r="A1351" s="49" t="s">
        <v>15176</v>
      </c>
      <c r="B1351" s="49" t="s">
        <v>5684</v>
      </c>
      <c r="C1351" s="49"/>
      <c r="D1351" s="49" t="s">
        <v>1264</v>
      </c>
      <c r="E1351" s="49" t="s">
        <v>3443</v>
      </c>
      <c r="F1351" s="49" t="s">
        <v>3124</v>
      </c>
      <c r="G1351" s="49" t="s">
        <v>2901</v>
      </c>
      <c r="H1351" s="49" t="s">
        <v>980</v>
      </c>
      <c r="I1351" s="50">
        <v>45061</v>
      </c>
      <c r="J1351" s="50">
        <v>45090</v>
      </c>
      <c r="K1351" s="50">
        <v>46916</v>
      </c>
    </row>
    <row r="1352" spans="1:13" x14ac:dyDescent="0.35">
      <c r="A1352" s="49" t="s">
        <v>15176</v>
      </c>
      <c r="B1352" s="49" t="s">
        <v>9274</v>
      </c>
      <c r="C1352" s="49"/>
      <c r="D1352" s="49" t="s">
        <v>1264</v>
      </c>
      <c r="E1352" s="49" t="s">
        <v>2908</v>
      </c>
      <c r="F1352" s="49" t="s">
        <v>3253</v>
      </c>
      <c r="G1352" s="49" t="s">
        <v>2776</v>
      </c>
      <c r="H1352" s="49" t="s">
        <v>2827</v>
      </c>
      <c r="I1352" s="50">
        <v>43264</v>
      </c>
      <c r="M1352" s="49" t="s">
        <v>9275</v>
      </c>
    </row>
    <row r="1353" spans="1:13" x14ac:dyDescent="0.35">
      <c r="A1353" s="49" t="s">
        <v>15176</v>
      </c>
      <c r="B1353" s="49" t="s">
        <v>10159</v>
      </c>
      <c r="C1353" s="49" t="s">
        <v>10160</v>
      </c>
      <c r="D1353" s="49" t="s">
        <v>1264</v>
      </c>
      <c r="E1353" s="49" t="s">
        <v>2814</v>
      </c>
      <c r="F1353" s="49" t="s">
        <v>2939</v>
      </c>
      <c r="G1353" s="49" t="s">
        <v>2776</v>
      </c>
      <c r="H1353" s="49" t="s">
        <v>980</v>
      </c>
      <c r="I1353" s="50">
        <v>42433</v>
      </c>
      <c r="M1353" s="49" t="s">
        <v>10161</v>
      </c>
    </row>
    <row r="1354" spans="1:13" x14ac:dyDescent="0.35">
      <c r="A1354" s="49" t="s">
        <v>14438</v>
      </c>
      <c r="B1354" s="49" t="s">
        <v>8506</v>
      </c>
      <c r="C1354" s="49" t="s">
        <v>8507</v>
      </c>
      <c r="D1354" s="49" t="s">
        <v>1264</v>
      </c>
      <c r="E1354" s="49" t="s">
        <v>2774</v>
      </c>
      <c r="F1354" s="49" t="s">
        <v>3598</v>
      </c>
      <c r="G1354" s="49" t="s">
        <v>2826</v>
      </c>
      <c r="H1354" s="49" t="s">
        <v>2827</v>
      </c>
      <c r="I1354" s="50">
        <v>39293</v>
      </c>
      <c r="J1354" s="50">
        <v>39310</v>
      </c>
      <c r="K1354" s="50">
        <v>43692</v>
      </c>
      <c r="M1354" s="49" t="s">
        <v>8509</v>
      </c>
    </row>
    <row r="1355" spans="1:13" x14ac:dyDescent="0.35">
      <c r="A1355" s="49" t="s">
        <v>15650</v>
      </c>
      <c r="B1355" s="49" t="s">
        <v>4872</v>
      </c>
      <c r="C1355" s="49" t="s">
        <v>4873</v>
      </c>
      <c r="D1355" s="49" t="s">
        <v>1264</v>
      </c>
      <c r="E1355" s="49" t="s">
        <v>2774</v>
      </c>
      <c r="F1355" s="49" t="s">
        <v>2900</v>
      </c>
      <c r="G1355" s="49" t="s">
        <v>2901</v>
      </c>
      <c r="H1355" s="49" t="s">
        <v>980</v>
      </c>
      <c r="I1355" s="50">
        <v>44636</v>
      </c>
      <c r="J1355" s="50">
        <v>44719</v>
      </c>
      <c r="K1355" s="50">
        <v>46179</v>
      </c>
      <c r="M1355" s="49" t="s">
        <v>4875</v>
      </c>
    </row>
    <row r="1356" spans="1:13" x14ac:dyDescent="0.35">
      <c r="A1356" s="49" t="s">
        <v>15650</v>
      </c>
      <c r="B1356" s="49" t="s">
        <v>6602</v>
      </c>
      <c r="C1356" s="49"/>
      <c r="D1356" s="49" t="s">
        <v>1264</v>
      </c>
      <c r="E1356" s="49" t="s">
        <v>2974</v>
      </c>
      <c r="F1356" s="49" t="s">
        <v>2900</v>
      </c>
      <c r="G1356" s="49" t="s">
        <v>2901</v>
      </c>
      <c r="H1356" s="49" t="s">
        <v>980</v>
      </c>
      <c r="I1356" s="50">
        <v>45377</v>
      </c>
      <c r="J1356" s="50">
        <v>45378</v>
      </c>
      <c r="K1356" s="50">
        <v>47203</v>
      </c>
      <c r="M1356" s="49" t="s">
        <v>6603</v>
      </c>
    </row>
    <row r="1357" spans="1:13" x14ac:dyDescent="0.35">
      <c r="A1357" s="49" t="s">
        <v>15650</v>
      </c>
      <c r="B1357" s="49" t="s">
        <v>11411</v>
      </c>
      <c r="C1357" s="49" t="s">
        <v>11412</v>
      </c>
      <c r="D1357" s="49" t="s">
        <v>1264</v>
      </c>
      <c r="E1357" s="49" t="s">
        <v>2774</v>
      </c>
      <c r="F1357" s="49" t="s">
        <v>2900</v>
      </c>
      <c r="G1357" s="49" t="s">
        <v>4891</v>
      </c>
      <c r="H1357" s="49" t="s">
        <v>980</v>
      </c>
      <c r="I1357" s="50">
        <v>45097</v>
      </c>
      <c r="M1357" s="49" t="s">
        <v>11413</v>
      </c>
    </row>
    <row r="1358" spans="1:13" x14ac:dyDescent="0.35">
      <c r="A1358" s="49" t="s">
        <v>14852</v>
      </c>
      <c r="B1358" s="49" t="s">
        <v>3685</v>
      </c>
      <c r="C1358" s="49" t="s">
        <v>3468</v>
      </c>
      <c r="D1358" s="49" t="s">
        <v>1264</v>
      </c>
      <c r="E1358" s="49" t="s">
        <v>3443</v>
      </c>
      <c r="F1358" s="49" t="s">
        <v>3124</v>
      </c>
      <c r="G1358" s="49" t="s">
        <v>2787</v>
      </c>
      <c r="H1358" s="49" t="s">
        <v>980</v>
      </c>
      <c r="I1358" s="50">
        <v>43144</v>
      </c>
      <c r="J1358" s="50">
        <v>43214</v>
      </c>
      <c r="K1358" s="50">
        <v>45039</v>
      </c>
      <c r="M1358" s="49" t="s">
        <v>3613</v>
      </c>
    </row>
    <row r="1359" spans="1:13" x14ac:dyDescent="0.35">
      <c r="A1359" s="49" t="s">
        <v>14852</v>
      </c>
      <c r="B1359" s="49" t="s">
        <v>3687</v>
      </c>
      <c r="C1359" s="49" t="s">
        <v>3582</v>
      </c>
      <c r="D1359" s="49" t="s">
        <v>1264</v>
      </c>
      <c r="E1359" s="49" t="s">
        <v>3443</v>
      </c>
      <c r="F1359" s="49" t="s">
        <v>2792</v>
      </c>
      <c r="G1359" s="49" t="s">
        <v>2787</v>
      </c>
      <c r="H1359" s="49" t="s">
        <v>980</v>
      </c>
      <c r="I1359" s="50">
        <v>43144</v>
      </c>
      <c r="J1359" s="50">
        <v>43214</v>
      </c>
      <c r="K1359" s="50">
        <v>45039</v>
      </c>
      <c r="M1359" s="49" t="s">
        <v>3505</v>
      </c>
    </row>
    <row r="1360" spans="1:13" x14ac:dyDescent="0.35">
      <c r="A1360" s="49" t="s">
        <v>14852</v>
      </c>
      <c r="B1360" s="49" t="s">
        <v>9598</v>
      </c>
      <c r="C1360" s="49"/>
      <c r="D1360" s="49" t="s">
        <v>1264</v>
      </c>
      <c r="E1360" s="49" t="s">
        <v>2785</v>
      </c>
      <c r="F1360" s="49" t="s">
        <v>2792</v>
      </c>
      <c r="G1360" s="49" t="s">
        <v>2776</v>
      </c>
      <c r="H1360" s="49" t="s">
        <v>980</v>
      </c>
      <c r="I1360" s="50">
        <v>43004</v>
      </c>
      <c r="M1360" s="49" t="s">
        <v>9599</v>
      </c>
    </row>
    <row r="1361" spans="1:13" x14ac:dyDescent="0.35">
      <c r="A1361" s="49" t="s">
        <v>6063</v>
      </c>
      <c r="B1361" s="49" t="s">
        <v>6062</v>
      </c>
      <c r="C1361" s="49" t="s">
        <v>3768</v>
      </c>
      <c r="D1361" s="49" t="s">
        <v>1264</v>
      </c>
      <c r="E1361" s="49" t="s">
        <v>3443</v>
      </c>
      <c r="F1361" s="49" t="s">
        <v>3124</v>
      </c>
      <c r="G1361" s="49" t="s">
        <v>4330</v>
      </c>
      <c r="H1361" s="49" t="s">
        <v>980</v>
      </c>
      <c r="I1361" s="50">
        <v>44992</v>
      </c>
    </row>
    <row r="1362" spans="1:13" ht="43.5" x14ac:dyDescent="0.35">
      <c r="A1362" s="49" t="s">
        <v>14670</v>
      </c>
      <c r="B1362" s="49" t="s">
        <v>13606</v>
      </c>
      <c r="C1362" s="51" t="s">
        <v>6943</v>
      </c>
      <c r="D1362" s="49" t="s">
        <v>1264</v>
      </c>
      <c r="E1362" s="49" t="s">
        <v>2785</v>
      </c>
      <c r="F1362" s="49" t="s">
        <v>2786</v>
      </c>
      <c r="G1362" s="49" t="s">
        <v>4891</v>
      </c>
      <c r="H1362" s="49" t="s">
        <v>980</v>
      </c>
      <c r="I1362" s="52">
        <v>46164.447349536997</v>
      </c>
      <c r="M1362" s="49" t="s">
        <v>13608</v>
      </c>
    </row>
    <row r="1363" spans="1:13" x14ac:dyDescent="0.35">
      <c r="A1363" s="49" t="s">
        <v>14226</v>
      </c>
      <c r="B1363" s="49" t="s">
        <v>5118</v>
      </c>
      <c r="C1363" s="49" t="s">
        <v>5119</v>
      </c>
      <c r="D1363" s="49" t="s">
        <v>1264</v>
      </c>
      <c r="E1363" s="49" t="s">
        <v>2785</v>
      </c>
      <c r="F1363" s="49" t="s">
        <v>2792</v>
      </c>
      <c r="G1363" s="49" t="s">
        <v>2787</v>
      </c>
      <c r="H1363" s="49" t="s">
        <v>980</v>
      </c>
      <c r="I1363" s="50">
        <v>44733</v>
      </c>
      <c r="J1363" s="50">
        <v>44833</v>
      </c>
      <c r="K1363" s="50">
        <v>45197</v>
      </c>
      <c r="M1363" s="49" t="s">
        <v>5121</v>
      </c>
    </row>
    <row r="1364" spans="1:13" x14ac:dyDescent="0.35">
      <c r="A1364" s="49" t="s">
        <v>15651</v>
      </c>
      <c r="B1364" s="49" t="s">
        <v>2906</v>
      </c>
      <c r="C1364" s="49" t="s">
        <v>2891</v>
      </c>
      <c r="D1364" s="49" t="s">
        <v>1264</v>
      </c>
      <c r="E1364" s="49" t="s">
        <v>2908</v>
      </c>
      <c r="F1364" s="49" t="s">
        <v>2837</v>
      </c>
      <c r="G1364" s="49" t="s">
        <v>2901</v>
      </c>
      <c r="H1364" s="49" t="s">
        <v>980</v>
      </c>
      <c r="I1364" s="50">
        <v>28990</v>
      </c>
      <c r="J1364" s="50">
        <v>43742</v>
      </c>
      <c r="K1364" s="50">
        <v>47393</v>
      </c>
      <c r="M1364" s="49" t="s">
        <v>2909</v>
      </c>
    </row>
    <row r="1365" spans="1:13" x14ac:dyDescent="0.35">
      <c r="A1365" s="49" t="s">
        <v>14368</v>
      </c>
      <c r="B1365" s="49" t="s">
        <v>7583</v>
      </c>
      <c r="C1365" s="49"/>
      <c r="D1365" s="49" t="s">
        <v>1264</v>
      </c>
      <c r="E1365" s="49" t="s">
        <v>2785</v>
      </c>
      <c r="F1365" s="49" t="s">
        <v>2792</v>
      </c>
      <c r="G1365" s="49" t="s">
        <v>2787</v>
      </c>
      <c r="H1365" s="49" t="s">
        <v>8</v>
      </c>
      <c r="I1365" s="50">
        <v>43011</v>
      </c>
      <c r="J1365" s="50">
        <v>43019</v>
      </c>
      <c r="K1365" s="50">
        <v>43200</v>
      </c>
      <c r="M1365" s="49" t="s">
        <v>7537</v>
      </c>
    </row>
    <row r="1366" spans="1:13" x14ac:dyDescent="0.35">
      <c r="A1366" s="49" t="s">
        <v>14255</v>
      </c>
      <c r="B1366" s="49" t="s">
        <v>5806</v>
      </c>
      <c r="C1366" s="49" t="s">
        <v>3626</v>
      </c>
      <c r="D1366" s="49" t="s">
        <v>1264</v>
      </c>
      <c r="E1366" s="49" t="s">
        <v>2785</v>
      </c>
      <c r="F1366" s="49" t="s">
        <v>3898</v>
      </c>
      <c r="G1366" s="49" t="s">
        <v>2787</v>
      </c>
      <c r="H1366" s="49" t="s">
        <v>2827</v>
      </c>
      <c r="I1366" s="50">
        <v>45126</v>
      </c>
      <c r="J1366" s="50">
        <v>45152</v>
      </c>
      <c r="K1366" s="50">
        <v>45517</v>
      </c>
      <c r="M1366" s="49" t="s">
        <v>5808</v>
      </c>
    </row>
    <row r="1367" spans="1:13" x14ac:dyDescent="0.35">
      <c r="A1367" s="49" t="s">
        <v>14255</v>
      </c>
      <c r="B1367" s="49" t="s">
        <v>11882</v>
      </c>
      <c r="C1367" s="49" t="s">
        <v>4262</v>
      </c>
      <c r="D1367" s="49" t="s">
        <v>1264</v>
      </c>
      <c r="E1367" s="49" t="s">
        <v>2785</v>
      </c>
      <c r="F1367" s="49" t="s">
        <v>2805</v>
      </c>
      <c r="G1367" s="49" t="s">
        <v>2776</v>
      </c>
      <c r="H1367" s="49" t="s">
        <v>973</v>
      </c>
      <c r="I1367" s="50">
        <v>45281</v>
      </c>
      <c r="M1367" s="49" t="s">
        <v>11883</v>
      </c>
    </row>
    <row r="1368" spans="1:13" x14ac:dyDescent="0.35">
      <c r="A1368" s="49" t="s">
        <v>14255</v>
      </c>
      <c r="B1368" s="49" t="s">
        <v>12080</v>
      </c>
      <c r="C1368" s="49"/>
      <c r="D1368" s="49" t="s">
        <v>1264</v>
      </c>
      <c r="E1368" s="49" t="s">
        <v>2774</v>
      </c>
      <c r="F1368" s="49" t="s">
        <v>4842</v>
      </c>
      <c r="G1368" s="49" t="s">
        <v>4891</v>
      </c>
      <c r="H1368" s="49" t="s">
        <v>2827</v>
      </c>
      <c r="I1368" s="50">
        <v>45330</v>
      </c>
      <c r="M1368" s="49" t="s">
        <v>12081</v>
      </c>
    </row>
    <row r="1369" spans="1:13" x14ac:dyDescent="0.35">
      <c r="A1369" s="49" t="s">
        <v>252</v>
      </c>
      <c r="B1369" s="49" t="s">
        <v>11408</v>
      </c>
      <c r="C1369" s="49"/>
      <c r="D1369" s="49" t="s">
        <v>1264</v>
      </c>
      <c r="E1369" s="49" t="s">
        <v>2908</v>
      </c>
      <c r="F1369" s="49" t="s">
        <v>2837</v>
      </c>
      <c r="G1369" s="49" t="s">
        <v>4891</v>
      </c>
      <c r="H1369" s="49" t="s">
        <v>2827</v>
      </c>
      <c r="I1369" s="50">
        <v>45085</v>
      </c>
      <c r="M1369" s="49" t="s">
        <v>11410</v>
      </c>
    </row>
    <row r="1370" spans="1:13" x14ac:dyDescent="0.35">
      <c r="A1370" s="49" t="s">
        <v>252</v>
      </c>
      <c r="B1370" s="49" t="s">
        <v>11829</v>
      </c>
      <c r="C1370" s="49" t="s">
        <v>11830</v>
      </c>
      <c r="D1370" s="49" t="s">
        <v>1264</v>
      </c>
      <c r="E1370" s="49" t="s">
        <v>2785</v>
      </c>
      <c r="F1370" s="49" t="s">
        <v>2805</v>
      </c>
      <c r="G1370" s="49" t="s">
        <v>4891</v>
      </c>
      <c r="H1370" s="49" t="s">
        <v>1062</v>
      </c>
      <c r="I1370" s="50">
        <v>45278</v>
      </c>
      <c r="M1370" s="49" t="s">
        <v>11831</v>
      </c>
    </row>
    <row r="1371" spans="1:13" x14ac:dyDescent="0.35">
      <c r="A1371" s="49" t="s">
        <v>252</v>
      </c>
      <c r="B1371" s="49" t="s">
        <v>11853</v>
      </c>
      <c r="C1371" s="49" t="s">
        <v>11854</v>
      </c>
      <c r="D1371" s="49" t="s">
        <v>1264</v>
      </c>
      <c r="E1371" s="49" t="s">
        <v>2785</v>
      </c>
      <c r="F1371" s="49" t="s">
        <v>2805</v>
      </c>
      <c r="G1371" s="49" t="s">
        <v>4891</v>
      </c>
      <c r="H1371" s="49" t="s">
        <v>1062</v>
      </c>
      <c r="I1371" s="50">
        <v>45275</v>
      </c>
      <c r="M1371" s="49" t="s">
        <v>6342</v>
      </c>
    </row>
    <row r="1372" spans="1:13" x14ac:dyDescent="0.35">
      <c r="A1372" s="49" t="s">
        <v>252</v>
      </c>
      <c r="B1372" s="49" t="s">
        <v>11992</v>
      </c>
      <c r="C1372" s="49" t="s">
        <v>11993</v>
      </c>
      <c r="D1372" s="49" t="s">
        <v>1264</v>
      </c>
      <c r="E1372" s="49" t="s">
        <v>2908</v>
      </c>
      <c r="F1372" s="49" t="s">
        <v>2837</v>
      </c>
      <c r="G1372" s="49" t="s">
        <v>4891</v>
      </c>
      <c r="H1372" s="49" t="s">
        <v>980</v>
      </c>
      <c r="I1372" s="50">
        <v>45120</v>
      </c>
      <c r="M1372" s="49" t="s">
        <v>11994</v>
      </c>
    </row>
    <row r="1373" spans="1:13" x14ac:dyDescent="0.35">
      <c r="A1373" s="49" t="s">
        <v>252</v>
      </c>
      <c r="B1373" s="49" t="s">
        <v>12490</v>
      </c>
      <c r="C1373" s="49" t="s">
        <v>9526</v>
      </c>
      <c r="D1373" s="49" t="s">
        <v>1264</v>
      </c>
      <c r="E1373" s="49" t="s">
        <v>2785</v>
      </c>
      <c r="F1373" s="49" t="s">
        <v>2805</v>
      </c>
      <c r="G1373" s="49" t="s">
        <v>4891</v>
      </c>
      <c r="H1373" s="49" t="s">
        <v>8</v>
      </c>
      <c r="I1373" s="50">
        <v>45420</v>
      </c>
      <c r="M1373" s="49" t="s">
        <v>12491</v>
      </c>
    </row>
    <row r="1374" spans="1:13" x14ac:dyDescent="0.35">
      <c r="A1374" s="49" t="s">
        <v>252</v>
      </c>
      <c r="B1374" s="49" t="s">
        <v>12492</v>
      </c>
      <c r="C1374" s="49" t="s">
        <v>12493</v>
      </c>
      <c r="D1374" s="49" t="s">
        <v>1264</v>
      </c>
      <c r="E1374" s="49" t="s">
        <v>2785</v>
      </c>
      <c r="F1374" s="49" t="s">
        <v>2805</v>
      </c>
      <c r="G1374" s="49" t="s">
        <v>4891</v>
      </c>
      <c r="H1374" s="49" t="s">
        <v>8</v>
      </c>
      <c r="I1374" s="50">
        <v>45420</v>
      </c>
      <c r="M1374" s="49" t="s">
        <v>12494</v>
      </c>
    </row>
    <row r="1375" spans="1:13" x14ac:dyDescent="0.35">
      <c r="A1375" s="49" t="s">
        <v>12783</v>
      </c>
      <c r="B1375" s="49" t="s">
        <v>6857</v>
      </c>
      <c r="C1375" s="49"/>
      <c r="D1375" s="49" t="s">
        <v>1264</v>
      </c>
      <c r="E1375" s="49" t="s">
        <v>2785</v>
      </c>
      <c r="F1375" s="49" t="s">
        <v>2786</v>
      </c>
      <c r="G1375" s="49" t="s">
        <v>2901</v>
      </c>
      <c r="H1375" s="49" t="s">
        <v>980</v>
      </c>
      <c r="I1375" s="50">
        <v>45650</v>
      </c>
      <c r="J1375" s="50">
        <v>45835</v>
      </c>
      <c r="K1375" s="50">
        <v>46199</v>
      </c>
      <c r="M1375" s="49" t="s">
        <v>6859</v>
      </c>
    </row>
    <row r="1376" spans="1:13" x14ac:dyDescent="0.35">
      <c r="A1376" s="49" t="s">
        <v>12783</v>
      </c>
      <c r="B1376" s="49" t="s">
        <v>7916</v>
      </c>
      <c r="C1376" s="49" t="s">
        <v>3102</v>
      </c>
      <c r="D1376" s="49" t="s">
        <v>1264</v>
      </c>
      <c r="E1376" s="49" t="s">
        <v>2908</v>
      </c>
      <c r="F1376" s="49" t="s">
        <v>2939</v>
      </c>
      <c r="G1376" s="49" t="s">
        <v>2826</v>
      </c>
      <c r="H1376" s="49" t="s">
        <v>8</v>
      </c>
      <c r="I1376" s="50">
        <v>36957</v>
      </c>
      <c r="J1376" s="50">
        <v>38082</v>
      </c>
      <c r="K1376" s="50">
        <v>38530</v>
      </c>
      <c r="M1376" s="49" t="s">
        <v>7917</v>
      </c>
    </row>
    <row r="1377" spans="1:13" x14ac:dyDescent="0.35">
      <c r="A1377" s="49" t="s">
        <v>12783</v>
      </c>
      <c r="B1377" s="49" t="s">
        <v>8041</v>
      </c>
      <c r="C1377" s="49" t="s">
        <v>8042</v>
      </c>
      <c r="D1377" s="49" t="s">
        <v>1264</v>
      </c>
      <c r="E1377" s="49" t="s">
        <v>2908</v>
      </c>
      <c r="F1377" s="49" t="s">
        <v>2939</v>
      </c>
      <c r="G1377" s="49" t="s">
        <v>2787</v>
      </c>
      <c r="H1377" s="49" t="s">
        <v>8</v>
      </c>
      <c r="I1377" s="50">
        <v>36532</v>
      </c>
      <c r="J1377" s="50">
        <v>40102</v>
      </c>
      <c r="K1377" s="50">
        <v>41927</v>
      </c>
      <c r="M1377" s="49" t="s">
        <v>7289</v>
      </c>
    </row>
    <row r="1378" spans="1:13" x14ac:dyDescent="0.35">
      <c r="A1378" s="49" t="s">
        <v>12783</v>
      </c>
      <c r="B1378" s="49" t="s">
        <v>12782</v>
      </c>
      <c r="C1378" s="49" t="s">
        <v>3615</v>
      </c>
      <c r="D1378" s="49" t="s">
        <v>1264</v>
      </c>
      <c r="E1378" s="49" t="s">
        <v>2785</v>
      </c>
      <c r="F1378" s="49" t="s">
        <v>5123</v>
      </c>
      <c r="G1378" s="49" t="s">
        <v>2776</v>
      </c>
      <c r="H1378" s="49" t="s">
        <v>8</v>
      </c>
      <c r="I1378" s="50">
        <v>45560</v>
      </c>
      <c r="M1378" s="49" t="s">
        <v>12784</v>
      </c>
    </row>
    <row r="1379" spans="1:13" x14ac:dyDescent="0.35">
      <c r="A1379" s="49" t="s">
        <v>14853</v>
      </c>
      <c r="B1379" s="49" t="s">
        <v>6575</v>
      </c>
      <c r="C1379" s="49" t="s">
        <v>3768</v>
      </c>
      <c r="D1379" s="49" t="s">
        <v>1264</v>
      </c>
      <c r="E1379" s="49" t="s">
        <v>3443</v>
      </c>
      <c r="F1379" s="49" t="s">
        <v>3124</v>
      </c>
      <c r="G1379" s="49" t="s">
        <v>2901</v>
      </c>
      <c r="H1379" s="49" t="s">
        <v>980</v>
      </c>
      <c r="I1379" s="50">
        <v>45405</v>
      </c>
      <c r="J1379" s="50">
        <v>45380</v>
      </c>
      <c r="K1379" s="50">
        <v>47205</v>
      </c>
    </row>
    <row r="1380" spans="1:13" x14ac:dyDescent="0.35">
      <c r="A1380" s="49" t="s">
        <v>14410</v>
      </c>
      <c r="B1380" s="49" t="s">
        <v>8193</v>
      </c>
      <c r="C1380" s="49" t="s">
        <v>8194</v>
      </c>
      <c r="D1380" s="49" t="s">
        <v>1264</v>
      </c>
      <c r="E1380" s="49" t="s">
        <v>2908</v>
      </c>
      <c r="F1380" s="49" t="s">
        <v>2939</v>
      </c>
      <c r="G1380" s="49" t="s">
        <v>2787</v>
      </c>
      <c r="H1380" s="49" t="s">
        <v>8</v>
      </c>
      <c r="I1380" s="50">
        <v>33651</v>
      </c>
      <c r="J1380" s="50">
        <v>33735</v>
      </c>
      <c r="K1380" s="50">
        <v>39109</v>
      </c>
      <c r="M1380" s="49" t="s">
        <v>7920</v>
      </c>
    </row>
    <row r="1381" spans="1:13" x14ac:dyDescent="0.35">
      <c r="A1381" s="49" t="s">
        <v>14410</v>
      </c>
      <c r="B1381" s="49" t="s">
        <v>8247</v>
      </c>
      <c r="C1381" s="49" t="s">
        <v>8248</v>
      </c>
      <c r="D1381" s="49" t="s">
        <v>1264</v>
      </c>
      <c r="E1381" s="49" t="s">
        <v>2908</v>
      </c>
      <c r="F1381" s="49" t="s">
        <v>2939</v>
      </c>
      <c r="G1381" s="49" t="s">
        <v>2787</v>
      </c>
      <c r="H1381" s="49" t="s">
        <v>8</v>
      </c>
      <c r="I1381" s="50">
        <v>35032</v>
      </c>
      <c r="J1381" s="50">
        <v>35384</v>
      </c>
      <c r="K1381" s="50">
        <v>37209</v>
      </c>
      <c r="M1381" s="49" t="s">
        <v>7874</v>
      </c>
    </row>
    <row r="1382" spans="1:13" x14ac:dyDescent="0.35">
      <c r="A1382" s="49" t="s">
        <v>14498</v>
      </c>
      <c r="B1382" s="49" t="s">
        <v>9453</v>
      </c>
      <c r="C1382" s="49"/>
      <c r="D1382" s="49" t="s">
        <v>1264</v>
      </c>
      <c r="E1382" s="49" t="s">
        <v>2785</v>
      </c>
      <c r="F1382" s="49" t="s">
        <v>2805</v>
      </c>
      <c r="G1382" s="49" t="s">
        <v>2776</v>
      </c>
      <c r="H1382" s="49" t="s">
        <v>2806</v>
      </c>
      <c r="I1382" s="50">
        <v>43638</v>
      </c>
      <c r="M1382" s="49" t="s">
        <v>9455</v>
      </c>
    </row>
    <row r="1383" spans="1:13" x14ac:dyDescent="0.35">
      <c r="A1383" s="49" t="s">
        <v>13360</v>
      </c>
      <c r="B1383" s="49" t="s">
        <v>4920</v>
      </c>
      <c r="C1383" s="49" t="s">
        <v>4921</v>
      </c>
      <c r="D1383" s="49" t="s">
        <v>1264</v>
      </c>
      <c r="E1383" s="49" t="s">
        <v>2785</v>
      </c>
      <c r="F1383" s="49" t="s">
        <v>2792</v>
      </c>
      <c r="G1383" s="49" t="s">
        <v>2787</v>
      </c>
      <c r="H1383" s="49" t="s">
        <v>4225</v>
      </c>
      <c r="I1383" s="50">
        <v>44726</v>
      </c>
      <c r="K1383" s="50">
        <v>45511</v>
      </c>
      <c r="M1383" s="49" t="s">
        <v>4923</v>
      </c>
    </row>
    <row r="1384" spans="1:13" x14ac:dyDescent="0.35">
      <c r="A1384" s="49" t="s">
        <v>13360</v>
      </c>
      <c r="B1384" s="49" t="s">
        <v>5832</v>
      </c>
      <c r="C1384" s="49" t="s">
        <v>5833</v>
      </c>
      <c r="D1384" s="49" t="s">
        <v>1264</v>
      </c>
      <c r="E1384" s="49" t="s">
        <v>2785</v>
      </c>
      <c r="F1384" s="49" t="s">
        <v>2792</v>
      </c>
      <c r="G1384" s="49" t="s">
        <v>2787</v>
      </c>
      <c r="H1384" s="49" t="s">
        <v>835</v>
      </c>
      <c r="I1384" s="50">
        <v>45149</v>
      </c>
      <c r="J1384" s="50">
        <v>45163</v>
      </c>
      <c r="K1384" s="50">
        <v>45528</v>
      </c>
      <c r="M1384" s="49" t="s">
        <v>5834</v>
      </c>
    </row>
    <row r="1385" spans="1:13" x14ac:dyDescent="0.35">
      <c r="A1385" s="49" t="s">
        <v>13360</v>
      </c>
      <c r="B1385" s="49" t="s">
        <v>6569</v>
      </c>
      <c r="C1385" s="49" t="s">
        <v>3768</v>
      </c>
      <c r="D1385" s="49" t="s">
        <v>1264</v>
      </c>
      <c r="E1385" s="49" t="s">
        <v>3443</v>
      </c>
      <c r="F1385" s="49" t="s">
        <v>3124</v>
      </c>
      <c r="G1385" s="49" t="s">
        <v>2901</v>
      </c>
      <c r="H1385" s="49" t="s">
        <v>980</v>
      </c>
      <c r="I1385" s="50">
        <v>45370</v>
      </c>
      <c r="J1385" s="50">
        <v>45380</v>
      </c>
      <c r="K1385" s="50">
        <v>47205</v>
      </c>
    </row>
    <row r="1386" spans="1:13" x14ac:dyDescent="0.35">
      <c r="A1386" s="49" t="s">
        <v>13360</v>
      </c>
      <c r="B1386" s="49" t="s">
        <v>6813</v>
      </c>
      <c r="C1386" s="49" t="s">
        <v>6814</v>
      </c>
      <c r="D1386" s="49" t="s">
        <v>1264</v>
      </c>
      <c r="E1386" s="49" t="s">
        <v>2785</v>
      </c>
      <c r="F1386" s="49" t="s">
        <v>2792</v>
      </c>
      <c r="G1386" s="49" t="s">
        <v>2901</v>
      </c>
      <c r="H1386" s="49" t="s">
        <v>835</v>
      </c>
      <c r="I1386" s="52">
        <v>45999.658217592601</v>
      </c>
      <c r="J1386" s="50">
        <v>46014</v>
      </c>
      <c r="K1386" s="50">
        <v>46378</v>
      </c>
      <c r="M1386" s="49" t="s">
        <v>6815</v>
      </c>
    </row>
    <row r="1387" spans="1:13" x14ac:dyDescent="0.35">
      <c r="A1387" s="49" t="s">
        <v>13360</v>
      </c>
      <c r="B1387" s="49" t="s">
        <v>9288</v>
      </c>
      <c r="C1387" s="49"/>
      <c r="D1387" s="49" t="s">
        <v>1264</v>
      </c>
      <c r="E1387" s="49" t="s">
        <v>2908</v>
      </c>
      <c r="F1387" s="49" t="s">
        <v>2939</v>
      </c>
      <c r="G1387" s="49" t="s">
        <v>2776</v>
      </c>
      <c r="H1387" s="49" t="s">
        <v>980</v>
      </c>
      <c r="I1387" s="50">
        <v>42919</v>
      </c>
      <c r="M1387" s="49" t="s">
        <v>9289</v>
      </c>
    </row>
    <row r="1388" spans="1:13" x14ac:dyDescent="0.35">
      <c r="A1388" s="49" t="s">
        <v>13360</v>
      </c>
      <c r="B1388" s="49" t="s">
        <v>11816</v>
      </c>
      <c r="C1388" s="49" t="s">
        <v>7295</v>
      </c>
      <c r="D1388" s="49" t="s">
        <v>1264</v>
      </c>
      <c r="E1388" s="49" t="s">
        <v>2785</v>
      </c>
      <c r="F1388" s="49" t="s">
        <v>2792</v>
      </c>
      <c r="G1388" s="49" t="s">
        <v>4891</v>
      </c>
      <c r="H1388" s="49" t="s">
        <v>857</v>
      </c>
      <c r="I1388" s="50">
        <v>45279</v>
      </c>
      <c r="M1388" s="49" t="s">
        <v>11817</v>
      </c>
    </row>
    <row r="1389" spans="1:13" x14ac:dyDescent="0.35">
      <c r="A1389" s="49" t="s">
        <v>13360</v>
      </c>
      <c r="B1389" s="49" t="s">
        <v>12071</v>
      </c>
      <c r="C1389" s="49" t="s">
        <v>12072</v>
      </c>
      <c r="D1389" s="49" t="s">
        <v>1264</v>
      </c>
      <c r="E1389" s="49" t="s">
        <v>2785</v>
      </c>
      <c r="F1389" s="49" t="s">
        <v>2792</v>
      </c>
      <c r="G1389" s="49" t="s">
        <v>4891</v>
      </c>
      <c r="H1389" s="49" t="s">
        <v>835</v>
      </c>
      <c r="I1389" s="50">
        <v>45322</v>
      </c>
      <c r="M1389" s="49" t="s">
        <v>12073</v>
      </c>
    </row>
    <row r="1390" spans="1:13" x14ac:dyDescent="0.35">
      <c r="A1390" s="49" t="s">
        <v>13360</v>
      </c>
      <c r="B1390" s="49" t="s">
        <v>13168</v>
      </c>
      <c r="C1390" s="49"/>
      <c r="D1390" s="49" t="s">
        <v>1264</v>
      </c>
      <c r="E1390" s="49" t="s">
        <v>2814</v>
      </c>
      <c r="F1390" s="49" t="s">
        <v>2939</v>
      </c>
      <c r="G1390" s="49" t="s">
        <v>4891</v>
      </c>
      <c r="H1390" s="49" t="s">
        <v>3229</v>
      </c>
      <c r="I1390" s="52">
        <v>46070.429988425902</v>
      </c>
      <c r="M1390" s="49" t="s">
        <v>13169</v>
      </c>
    </row>
    <row r="1391" spans="1:13" x14ac:dyDescent="0.35">
      <c r="A1391" s="49" t="s">
        <v>13360</v>
      </c>
      <c r="B1391" s="49" t="s">
        <v>13358</v>
      </c>
      <c r="C1391" s="49" t="s">
        <v>13359</v>
      </c>
      <c r="D1391" s="49" t="s">
        <v>1264</v>
      </c>
      <c r="E1391" s="49" t="s">
        <v>2785</v>
      </c>
      <c r="F1391" s="49" t="s">
        <v>2792</v>
      </c>
      <c r="G1391" s="49" t="s">
        <v>4891</v>
      </c>
      <c r="H1391" s="49" t="s">
        <v>835</v>
      </c>
      <c r="I1391" s="52">
        <v>46113.644247685203</v>
      </c>
      <c r="M1391" s="49" t="s">
        <v>13361</v>
      </c>
    </row>
    <row r="1392" spans="1:13" x14ac:dyDescent="0.35">
      <c r="A1392" s="49" t="s">
        <v>13360</v>
      </c>
      <c r="B1392" s="49" t="s">
        <v>13362</v>
      </c>
      <c r="C1392" s="49" t="s">
        <v>13363</v>
      </c>
      <c r="D1392" s="49" t="s">
        <v>1264</v>
      </c>
      <c r="E1392" s="49" t="s">
        <v>2785</v>
      </c>
      <c r="F1392" s="49" t="s">
        <v>2792</v>
      </c>
      <c r="G1392" s="49" t="s">
        <v>4891</v>
      </c>
      <c r="H1392" s="49" t="s">
        <v>980</v>
      </c>
      <c r="I1392" s="52">
        <v>46113.658622685201</v>
      </c>
      <c r="M1392" s="49" t="s">
        <v>13364</v>
      </c>
    </row>
    <row r="1393" spans="1:13" x14ac:dyDescent="0.35">
      <c r="A1393" s="49" t="s">
        <v>13360</v>
      </c>
      <c r="B1393" s="49" t="s">
        <v>13380</v>
      </c>
      <c r="C1393" s="49" t="s">
        <v>13381</v>
      </c>
      <c r="D1393" s="49" t="s">
        <v>1264</v>
      </c>
      <c r="E1393" s="49" t="s">
        <v>2785</v>
      </c>
      <c r="F1393" s="49" t="s">
        <v>2792</v>
      </c>
      <c r="G1393" s="49" t="s">
        <v>4891</v>
      </c>
      <c r="H1393" s="49" t="s">
        <v>857</v>
      </c>
      <c r="I1393" s="52">
        <v>46115.429050925901</v>
      </c>
      <c r="M1393" s="49" t="s">
        <v>13382</v>
      </c>
    </row>
    <row r="1394" spans="1:13" x14ac:dyDescent="0.35">
      <c r="A1394" s="49" t="s">
        <v>259</v>
      </c>
      <c r="B1394" s="49" t="s">
        <v>4112</v>
      </c>
      <c r="C1394" s="49"/>
      <c r="D1394" s="49" t="s">
        <v>1264</v>
      </c>
      <c r="E1394" s="49" t="s">
        <v>2814</v>
      </c>
      <c r="F1394" s="49" t="s">
        <v>2825</v>
      </c>
      <c r="G1394" s="49" t="s">
        <v>2787</v>
      </c>
      <c r="H1394" s="49" t="s">
        <v>2827</v>
      </c>
      <c r="I1394" s="50">
        <v>44056</v>
      </c>
      <c r="J1394" s="50">
        <v>44217</v>
      </c>
      <c r="K1394" s="50">
        <v>44397</v>
      </c>
      <c r="M1394" s="49" t="s">
        <v>4114</v>
      </c>
    </row>
    <row r="1395" spans="1:13" x14ac:dyDescent="0.35">
      <c r="A1395" s="49" t="s">
        <v>259</v>
      </c>
      <c r="B1395" s="49" t="s">
        <v>4798</v>
      </c>
      <c r="C1395" s="49" t="s">
        <v>4799</v>
      </c>
      <c r="D1395" s="49" t="s">
        <v>1264</v>
      </c>
      <c r="E1395" s="49" t="s">
        <v>2986</v>
      </c>
      <c r="F1395" s="49" t="s">
        <v>2825</v>
      </c>
      <c r="G1395" s="49" t="s">
        <v>4330</v>
      </c>
      <c r="H1395" s="49" t="s">
        <v>2827</v>
      </c>
      <c r="I1395" s="50">
        <v>44483</v>
      </c>
      <c r="M1395" s="49" t="s">
        <v>4800</v>
      </c>
    </row>
    <row r="1396" spans="1:13" x14ac:dyDescent="0.35">
      <c r="A1396" s="49" t="s">
        <v>259</v>
      </c>
      <c r="B1396" s="49" t="s">
        <v>10254</v>
      </c>
      <c r="C1396" s="49" t="s">
        <v>4579</v>
      </c>
      <c r="D1396" s="49" t="s">
        <v>1264</v>
      </c>
      <c r="E1396" s="49" t="s">
        <v>2814</v>
      </c>
      <c r="F1396" s="49" t="s">
        <v>2825</v>
      </c>
      <c r="G1396" s="49" t="s">
        <v>2776</v>
      </c>
      <c r="H1396" s="49" t="s">
        <v>2827</v>
      </c>
      <c r="I1396" s="50">
        <v>43416</v>
      </c>
      <c r="M1396" s="49" t="s">
        <v>3270</v>
      </c>
    </row>
    <row r="1397" spans="1:13" x14ac:dyDescent="0.35">
      <c r="A1397" s="49" t="s">
        <v>14804</v>
      </c>
      <c r="B1397" s="49" t="s">
        <v>12109</v>
      </c>
      <c r="C1397" s="49" t="s">
        <v>12110</v>
      </c>
      <c r="D1397" s="49" t="s">
        <v>1264</v>
      </c>
      <c r="E1397" s="49" t="s">
        <v>2814</v>
      </c>
      <c r="F1397" s="49" t="s">
        <v>2825</v>
      </c>
      <c r="G1397" s="49" t="s">
        <v>2776</v>
      </c>
      <c r="H1397" s="49" t="s">
        <v>2827</v>
      </c>
      <c r="I1397" s="50">
        <v>45337</v>
      </c>
      <c r="M1397" s="49" t="s">
        <v>12112</v>
      </c>
    </row>
    <row r="1398" spans="1:13" x14ac:dyDescent="0.35">
      <c r="A1398" s="49" t="s">
        <v>15652</v>
      </c>
      <c r="B1398" s="49" t="s">
        <v>11084</v>
      </c>
      <c r="C1398" s="49" t="s">
        <v>11085</v>
      </c>
      <c r="D1398" s="49" t="s">
        <v>1264</v>
      </c>
      <c r="E1398" s="49" t="s">
        <v>2785</v>
      </c>
      <c r="F1398" s="49" t="s">
        <v>2786</v>
      </c>
      <c r="G1398" s="49" t="s">
        <v>2776</v>
      </c>
      <c r="H1398" s="49" t="s">
        <v>973</v>
      </c>
      <c r="I1398" s="50">
        <v>44620</v>
      </c>
      <c r="M1398" s="49" t="s">
        <v>11087</v>
      </c>
    </row>
    <row r="1399" spans="1:13" x14ac:dyDescent="0.35">
      <c r="A1399" s="49" t="s">
        <v>14248</v>
      </c>
      <c r="B1399" s="49" t="s">
        <v>5690</v>
      </c>
      <c r="C1399" s="49" t="s">
        <v>5691</v>
      </c>
      <c r="D1399" s="49" t="s">
        <v>1264</v>
      </c>
      <c r="E1399" s="49" t="s">
        <v>2785</v>
      </c>
      <c r="F1399" s="49" t="s">
        <v>2792</v>
      </c>
      <c r="G1399" s="49" t="s">
        <v>4330</v>
      </c>
      <c r="H1399" s="49" t="s">
        <v>835</v>
      </c>
      <c r="I1399" s="50">
        <v>45007</v>
      </c>
      <c r="M1399" s="49" t="s">
        <v>5693</v>
      </c>
    </row>
    <row r="1400" spans="1:13" x14ac:dyDescent="0.35">
      <c r="A1400" s="49" t="s">
        <v>14248</v>
      </c>
      <c r="B1400" s="49" t="s">
        <v>6073</v>
      </c>
      <c r="C1400" s="49" t="s">
        <v>6074</v>
      </c>
      <c r="D1400" s="49" t="s">
        <v>1264</v>
      </c>
      <c r="E1400" s="49" t="s">
        <v>2785</v>
      </c>
      <c r="F1400" s="49" t="s">
        <v>2792</v>
      </c>
      <c r="G1400" s="49" t="s">
        <v>4330</v>
      </c>
      <c r="H1400" s="49" t="s">
        <v>835</v>
      </c>
      <c r="I1400" s="50">
        <v>45007</v>
      </c>
      <c r="M1400" s="49" t="s">
        <v>6075</v>
      </c>
    </row>
    <row r="1401" spans="1:13" x14ac:dyDescent="0.35">
      <c r="A1401" s="49" t="s">
        <v>14248</v>
      </c>
      <c r="B1401" s="49" t="s">
        <v>7414</v>
      </c>
      <c r="C1401" s="49" t="s">
        <v>6297</v>
      </c>
      <c r="D1401" s="49" t="s">
        <v>1264</v>
      </c>
      <c r="E1401" s="49" t="s">
        <v>2785</v>
      </c>
      <c r="F1401" s="49" t="s">
        <v>2792</v>
      </c>
      <c r="G1401" s="49" t="s">
        <v>2787</v>
      </c>
      <c r="H1401" s="49" t="s">
        <v>835</v>
      </c>
      <c r="I1401" s="50">
        <v>43468</v>
      </c>
      <c r="J1401" s="50">
        <v>43602</v>
      </c>
      <c r="K1401" s="50">
        <v>43785</v>
      </c>
      <c r="M1401" s="49" t="s">
        <v>7415</v>
      </c>
    </row>
    <row r="1402" spans="1:13" x14ac:dyDescent="0.35">
      <c r="A1402" s="49" t="s">
        <v>14115</v>
      </c>
      <c r="B1402" s="49" t="s">
        <v>3611</v>
      </c>
      <c r="C1402" s="49" t="s">
        <v>3582</v>
      </c>
      <c r="D1402" s="49" t="s">
        <v>1264</v>
      </c>
      <c r="E1402" s="49" t="s">
        <v>3443</v>
      </c>
      <c r="F1402" s="49" t="s">
        <v>2792</v>
      </c>
      <c r="G1402" s="49" t="s">
        <v>2921</v>
      </c>
      <c r="H1402" s="49" t="s">
        <v>980</v>
      </c>
      <c r="I1402" s="50">
        <v>42953</v>
      </c>
      <c r="J1402" s="50">
        <v>43210</v>
      </c>
      <c r="K1402" s="50">
        <v>45035</v>
      </c>
      <c r="M1402" s="49" t="s">
        <v>3613</v>
      </c>
    </row>
    <row r="1403" spans="1:13" x14ac:dyDescent="0.35">
      <c r="A1403" s="49" t="s">
        <v>14115</v>
      </c>
      <c r="B1403" s="49" t="s">
        <v>3639</v>
      </c>
      <c r="C1403" s="49" t="s">
        <v>3468</v>
      </c>
      <c r="D1403" s="49" t="s">
        <v>1264</v>
      </c>
      <c r="E1403" s="49" t="s">
        <v>3443</v>
      </c>
      <c r="F1403" s="49" t="s">
        <v>3124</v>
      </c>
      <c r="G1403" s="49" t="s">
        <v>2787</v>
      </c>
      <c r="H1403" s="49" t="s">
        <v>980</v>
      </c>
      <c r="I1403" s="50">
        <v>43028</v>
      </c>
      <c r="J1403" s="50">
        <v>43210</v>
      </c>
      <c r="K1403" s="50">
        <v>45035</v>
      </c>
      <c r="M1403" s="49" t="s">
        <v>3640</v>
      </c>
    </row>
    <row r="1404" spans="1:13" x14ac:dyDescent="0.35">
      <c r="A1404" s="49" t="s">
        <v>15653</v>
      </c>
      <c r="B1404" s="49" t="s">
        <v>3464</v>
      </c>
      <c r="C1404" s="49" t="s">
        <v>3354</v>
      </c>
      <c r="D1404" s="49" t="s">
        <v>1264</v>
      </c>
      <c r="E1404" s="49" t="s">
        <v>2908</v>
      </c>
      <c r="F1404" s="49" t="s">
        <v>2939</v>
      </c>
      <c r="G1404" s="49" t="s">
        <v>2901</v>
      </c>
      <c r="H1404" s="49" t="s">
        <v>980</v>
      </c>
      <c r="I1404" s="50">
        <v>42402</v>
      </c>
      <c r="J1404" s="50">
        <v>42541</v>
      </c>
      <c r="K1404" s="50">
        <v>46192</v>
      </c>
      <c r="M1404" s="49" t="s">
        <v>3466</v>
      </c>
    </row>
    <row r="1405" spans="1:13" x14ac:dyDescent="0.35">
      <c r="A1405" s="49" t="s">
        <v>15653</v>
      </c>
      <c r="B1405" s="49" t="s">
        <v>3478</v>
      </c>
      <c r="C1405" s="49" t="s">
        <v>3479</v>
      </c>
      <c r="D1405" s="49" t="s">
        <v>1264</v>
      </c>
      <c r="E1405" s="49" t="s">
        <v>2774</v>
      </c>
      <c r="F1405" s="49" t="s">
        <v>3480</v>
      </c>
      <c r="G1405" s="49" t="s">
        <v>2787</v>
      </c>
      <c r="H1405" s="49" t="s">
        <v>980</v>
      </c>
      <c r="I1405" s="50">
        <v>42418</v>
      </c>
      <c r="J1405" s="50">
        <v>43179</v>
      </c>
      <c r="K1405" s="50">
        <v>44640</v>
      </c>
      <c r="M1405" s="49" t="s">
        <v>3481</v>
      </c>
    </row>
    <row r="1406" spans="1:13" x14ac:dyDescent="0.35">
      <c r="A1406" s="49" t="s">
        <v>14854</v>
      </c>
      <c r="B1406" s="49" t="s">
        <v>4855</v>
      </c>
      <c r="C1406" s="49"/>
      <c r="D1406" s="49" t="s">
        <v>1264</v>
      </c>
      <c r="E1406" s="49" t="s">
        <v>2986</v>
      </c>
      <c r="F1406" s="49" t="s">
        <v>2825</v>
      </c>
      <c r="G1406" s="49" t="s">
        <v>2901</v>
      </c>
      <c r="H1406" s="49" t="s">
        <v>2827</v>
      </c>
      <c r="I1406" s="50">
        <v>44509</v>
      </c>
      <c r="J1406" s="50">
        <v>44796</v>
      </c>
      <c r="K1406" s="50">
        <v>45891</v>
      </c>
      <c r="M1406" s="49" t="s">
        <v>4857</v>
      </c>
    </row>
    <row r="1407" spans="1:13" x14ac:dyDescent="0.35">
      <c r="A1407" s="49" t="s">
        <v>14372</v>
      </c>
      <c r="B1407" s="49" t="s">
        <v>7636</v>
      </c>
      <c r="C1407" s="49" t="s">
        <v>2818</v>
      </c>
      <c r="D1407" s="49" t="s">
        <v>1264</v>
      </c>
      <c r="E1407" s="49" t="s">
        <v>2785</v>
      </c>
      <c r="F1407" s="49" t="s">
        <v>2792</v>
      </c>
      <c r="G1407" s="49" t="s">
        <v>2787</v>
      </c>
      <c r="H1407" s="49" t="s">
        <v>8</v>
      </c>
      <c r="I1407" s="50">
        <v>43728</v>
      </c>
      <c r="J1407" s="50">
        <v>43790</v>
      </c>
      <c r="K1407" s="50">
        <v>44155</v>
      </c>
      <c r="M1407" s="49" t="s">
        <v>7638</v>
      </c>
    </row>
    <row r="1408" spans="1:13" x14ac:dyDescent="0.35">
      <c r="A1408" s="49" t="s">
        <v>11106</v>
      </c>
      <c r="B1408" s="49" t="s">
        <v>11105</v>
      </c>
      <c r="C1408" s="49" t="s">
        <v>2867</v>
      </c>
      <c r="D1408" s="49" t="s">
        <v>1264</v>
      </c>
      <c r="E1408" s="49" t="s">
        <v>2785</v>
      </c>
      <c r="F1408" s="49" t="s">
        <v>2792</v>
      </c>
      <c r="G1408" s="49" t="s">
        <v>2776</v>
      </c>
      <c r="H1408" s="49" t="s">
        <v>8</v>
      </c>
      <c r="I1408" s="50">
        <v>44585</v>
      </c>
      <c r="M1408" s="49" t="s">
        <v>11107</v>
      </c>
    </row>
    <row r="1409" spans="1:13" x14ac:dyDescent="0.35">
      <c r="A1409" s="49" t="s">
        <v>14254</v>
      </c>
      <c r="B1409" s="49" t="s">
        <v>5777</v>
      </c>
      <c r="C1409" s="49" t="s">
        <v>5778</v>
      </c>
      <c r="D1409" s="49" t="s">
        <v>1264</v>
      </c>
      <c r="E1409" s="49" t="s">
        <v>2785</v>
      </c>
      <c r="F1409" s="49" t="s">
        <v>2792</v>
      </c>
      <c r="G1409" s="49" t="s">
        <v>4330</v>
      </c>
      <c r="H1409" s="49" t="s">
        <v>8</v>
      </c>
      <c r="I1409" s="50">
        <v>45131</v>
      </c>
      <c r="M1409" s="49" t="s">
        <v>5780</v>
      </c>
    </row>
    <row r="1410" spans="1:13" x14ac:dyDescent="0.35">
      <c r="A1410" s="49" t="s">
        <v>14254</v>
      </c>
      <c r="B1410" s="49" t="s">
        <v>5781</v>
      </c>
      <c r="C1410" s="49" t="s">
        <v>5782</v>
      </c>
      <c r="D1410" s="49" t="s">
        <v>1264</v>
      </c>
      <c r="E1410" s="49" t="s">
        <v>2785</v>
      </c>
      <c r="F1410" s="49" t="s">
        <v>2792</v>
      </c>
      <c r="G1410" s="49" t="s">
        <v>4330</v>
      </c>
      <c r="H1410" s="49" t="s">
        <v>8</v>
      </c>
      <c r="I1410" s="50">
        <v>45131</v>
      </c>
      <c r="M1410" s="49" t="s">
        <v>5783</v>
      </c>
    </row>
    <row r="1411" spans="1:13" x14ac:dyDescent="0.35">
      <c r="A1411" s="49" t="s">
        <v>14254</v>
      </c>
      <c r="B1411" s="49" t="s">
        <v>6111</v>
      </c>
      <c r="C1411" s="49" t="s">
        <v>6112</v>
      </c>
      <c r="D1411" s="49" t="s">
        <v>1264</v>
      </c>
      <c r="E1411" s="49" t="s">
        <v>2785</v>
      </c>
      <c r="F1411" s="49" t="s">
        <v>2792</v>
      </c>
      <c r="G1411" s="49" t="s">
        <v>2901</v>
      </c>
      <c r="H1411" s="49" t="s">
        <v>8</v>
      </c>
      <c r="I1411" s="50">
        <v>45213</v>
      </c>
      <c r="J1411" s="50">
        <v>45268</v>
      </c>
      <c r="K1411" s="50">
        <v>45633</v>
      </c>
      <c r="M1411" s="49" t="s">
        <v>6113</v>
      </c>
    </row>
    <row r="1412" spans="1:13" x14ac:dyDescent="0.35">
      <c r="A1412" s="49" t="s">
        <v>14254</v>
      </c>
      <c r="B1412" s="49" t="s">
        <v>6114</v>
      </c>
      <c r="C1412" s="49" t="s">
        <v>6115</v>
      </c>
      <c r="D1412" s="49" t="s">
        <v>1264</v>
      </c>
      <c r="E1412" s="49" t="s">
        <v>2785</v>
      </c>
      <c r="F1412" s="49" t="s">
        <v>2792</v>
      </c>
      <c r="G1412" s="49" t="s">
        <v>2901</v>
      </c>
      <c r="H1412" s="49" t="s">
        <v>8</v>
      </c>
      <c r="I1412" s="50">
        <v>45167</v>
      </c>
      <c r="J1412" s="50">
        <v>45268</v>
      </c>
      <c r="K1412" s="50">
        <v>45633</v>
      </c>
      <c r="M1412" s="49" t="s">
        <v>6116</v>
      </c>
    </row>
    <row r="1413" spans="1:13" x14ac:dyDescent="0.35">
      <c r="A1413" s="49" t="s">
        <v>14254</v>
      </c>
      <c r="B1413" s="49" t="s">
        <v>6728</v>
      </c>
      <c r="C1413" s="49"/>
      <c r="D1413" s="49" t="s">
        <v>1264</v>
      </c>
      <c r="E1413" s="49" t="s">
        <v>2785</v>
      </c>
      <c r="F1413" s="49" t="s">
        <v>2792</v>
      </c>
      <c r="G1413" s="49" t="s">
        <v>2901</v>
      </c>
      <c r="H1413" s="49" t="s">
        <v>8</v>
      </c>
      <c r="I1413" s="52">
        <v>45841.689768518503</v>
      </c>
      <c r="J1413" s="50">
        <v>45845</v>
      </c>
      <c r="K1413" s="50">
        <v>46209</v>
      </c>
      <c r="M1413" s="49" t="s">
        <v>6729</v>
      </c>
    </row>
    <row r="1414" spans="1:13" x14ac:dyDescent="0.35">
      <c r="A1414" s="49" t="s">
        <v>14254</v>
      </c>
      <c r="B1414" s="49" t="s">
        <v>11861</v>
      </c>
      <c r="C1414" s="49" t="s">
        <v>11862</v>
      </c>
      <c r="D1414" s="49" t="s">
        <v>1264</v>
      </c>
      <c r="E1414" s="49" t="s">
        <v>2785</v>
      </c>
      <c r="F1414" s="49" t="s">
        <v>2792</v>
      </c>
      <c r="G1414" s="49" t="s">
        <v>4330</v>
      </c>
      <c r="H1414" s="49" t="s">
        <v>8</v>
      </c>
      <c r="I1414" s="50">
        <v>45288</v>
      </c>
      <c r="M1414" s="49" t="s">
        <v>11863</v>
      </c>
    </row>
    <row r="1415" spans="1:13" x14ac:dyDescent="0.35">
      <c r="A1415" s="49" t="s">
        <v>14254</v>
      </c>
      <c r="B1415" s="49" t="s">
        <v>13135</v>
      </c>
      <c r="C1415" s="49"/>
      <c r="D1415" s="49" t="s">
        <v>1264</v>
      </c>
      <c r="E1415" s="49" t="s">
        <v>2785</v>
      </c>
      <c r="F1415" s="49" t="s">
        <v>2792</v>
      </c>
      <c r="G1415" s="49" t="s">
        <v>4891</v>
      </c>
      <c r="H1415" s="49" t="s">
        <v>8</v>
      </c>
      <c r="I1415" s="52">
        <v>46055.561631944402</v>
      </c>
      <c r="M1415" s="49" t="s">
        <v>13136</v>
      </c>
    </row>
    <row r="1416" spans="1:13" x14ac:dyDescent="0.35">
      <c r="A1416" s="49" t="s">
        <v>14254</v>
      </c>
      <c r="B1416" s="49" t="s">
        <v>13147</v>
      </c>
      <c r="C1416" s="49"/>
      <c r="D1416" s="49" t="s">
        <v>1264</v>
      </c>
      <c r="E1416" s="49" t="s">
        <v>2873</v>
      </c>
      <c r="G1416" s="49" t="s">
        <v>4891</v>
      </c>
      <c r="H1416" s="49" t="s">
        <v>1062</v>
      </c>
      <c r="I1416" s="52">
        <v>46059.759097222202</v>
      </c>
      <c r="M1416" s="49" t="s">
        <v>13136</v>
      </c>
    </row>
    <row r="1417" spans="1:13" x14ac:dyDescent="0.35">
      <c r="A1417" s="49" t="s">
        <v>14338</v>
      </c>
      <c r="B1417" s="49" t="s">
        <v>7264</v>
      </c>
      <c r="C1417" s="49" t="s">
        <v>7265</v>
      </c>
      <c r="D1417" s="49" t="s">
        <v>1264</v>
      </c>
      <c r="E1417" s="49" t="s">
        <v>2785</v>
      </c>
      <c r="F1417" s="49" t="s">
        <v>2786</v>
      </c>
      <c r="G1417" s="49" t="s">
        <v>2787</v>
      </c>
      <c r="H1417" s="49" t="s">
        <v>4225</v>
      </c>
      <c r="I1417" s="50">
        <v>43240</v>
      </c>
      <c r="J1417" s="50">
        <v>43549</v>
      </c>
      <c r="K1417" s="50">
        <v>43732</v>
      </c>
      <c r="M1417" s="49" t="s">
        <v>7267</v>
      </c>
    </row>
    <row r="1418" spans="1:13" x14ac:dyDescent="0.35">
      <c r="A1418" s="49" t="s">
        <v>14338</v>
      </c>
      <c r="B1418" s="49" t="s">
        <v>7268</v>
      </c>
      <c r="C1418" s="49" t="s">
        <v>7269</v>
      </c>
      <c r="D1418" s="49" t="s">
        <v>1264</v>
      </c>
      <c r="E1418" s="49" t="s">
        <v>2785</v>
      </c>
      <c r="F1418" s="49" t="s">
        <v>2786</v>
      </c>
      <c r="G1418" s="49" t="s">
        <v>2787</v>
      </c>
      <c r="H1418" s="49" t="s">
        <v>4225</v>
      </c>
      <c r="I1418" s="50">
        <v>43240</v>
      </c>
      <c r="J1418" s="50">
        <v>43549</v>
      </c>
      <c r="K1418" s="50">
        <v>43732</v>
      </c>
      <c r="M1418" s="49" t="s">
        <v>7270</v>
      </c>
    </row>
    <row r="1419" spans="1:13" x14ac:dyDescent="0.35">
      <c r="A1419" s="49" t="s">
        <v>14338</v>
      </c>
      <c r="B1419" s="49" t="s">
        <v>7271</v>
      </c>
      <c r="C1419" s="49" t="s">
        <v>7272</v>
      </c>
      <c r="D1419" s="49" t="s">
        <v>1264</v>
      </c>
      <c r="E1419" s="49" t="s">
        <v>2785</v>
      </c>
      <c r="F1419" s="49" t="s">
        <v>2786</v>
      </c>
      <c r="G1419" s="49" t="s">
        <v>2787</v>
      </c>
      <c r="H1419" s="49" t="s">
        <v>4225</v>
      </c>
      <c r="I1419" s="50">
        <v>43240</v>
      </c>
      <c r="J1419" s="50">
        <v>43549</v>
      </c>
      <c r="K1419" s="50">
        <v>43732</v>
      </c>
      <c r="M1419" s="49" t="s">
        <v>7273</v>
      </c>
    </row>
    <row r="1420" spans="1:13" x14ac:dyDescent="0.35">
      <c r="A1420" s="49" t="s">
        <v>14855</v>
      </c>
      <c r="B1420" s="49" t="s">
        <v>13081</v>
      </c>
      <c r="C1420" s="49" t="s">
        <v>13082</v>
      </c>
      <c r="D1420" s="49" t="s">
        <v>1264</v>
      </c>
      <c r="E1420" s="49" t="s">
        <v>2785</v>
      </c>
      <c r="F1420" s="49" t="s">
        <v>2786</v>
      </c>
      <c r="G1420" s="49" t="s">
        <v>4891</v>
      </c>
      <c r="H1420" s="49" t="s">
        <v>980</v>
      </c>
      <c r="I1420" s="52">
        <v>46042.561319444401</v>
      </c>
      <c r="M1420" s="49" t="s">
        <v>13084</v>
      </c>
    </row>
    <row r="1421" spans="1:13" x14ac:dyDescent="0.35">
      <c r="A1421" s="49" t="s">
        <v>15349</v>
      </c>
      <c r="B1421" s="49" t="s">
        <v>12454</v>
      </c>
      <c r="C1421" s="49" t="s">
        <v>12455</v>
      </c>
      <c r="D1421" s="49" t="s">
        <v>1264</v>
      </c>
      <c r="E1421" s="49" t="s">
        <v>2908</v>
      </c>
      <c r="F1421" s="49" t="s">
        <v>2939</v>
      </c>
      <c r="G1421" s="49" t="s">
        <v>4891</v>
      </c>
      <c r="H1421" s="49" t="s">
        <v>2832</v>
      </c>
      <c r="I1421" s="50">
        <v>45397</v>
      </c>
      <c r="M1421" s="49" t="s">
        <v>12457</v>
      </c>
    </row>
    <row r="1422" spans="1:13" x14ac:dyDescent="0.35">
      <c r="A1422" s="49" t="s">
        <v>14439</v>
      </c>
      <c r="B1422" s="49" t="s">
        <v>8518</v>
      </c>
      <c r="C1422" s="49" t="s">
        <v>8519</v>
      </c>
      <c r="D1422" s="49" t="s">
        <v>1264</v>
      </c>
      <c r="E1422" s="49" t="s">
        <v>2774</v>
      </c>
      <c r="F1422" s="49" t="s">
        <v>2825</v>
      </c>
      <c r="G1422" s="49" t="s">
        <v>2787</v>
      </c>
      <c r="H1422" s="49" t="s">
        <v>2827</v>
      </c>
      <c r="I1422" s="50">
        <v>41745</v>
      </c>
      <c r="J1422" s="50">
        <v>42191</v>
      </c>
      <c r="K1422" s="50">
        <v>43286</v>
      </c>
      <c r="M1422" s="49" t="s">
        <v>8521</v>
      </c>
    </row>
    <row r="1423" spans="1:13" x14ac:dyDescent="0.35">
      <c r="A1423" s="49" t="s">
        <v>14905</v>
      </c>
      <c r="B1423" s="49" t="s">
        <v>4698</v>
      </c>
      <c r="C1423" s="49" t="s">
        <v>3075</v>
      </c>
      <c r="D1423" s="49" t="s">
        <v>1264</v>
      </c>
      <c r="E1423" s="49" t="s">
        <v>2785</v>
      </c>
      <c r="F1423" s="49" t="s">
        <v>4048</v>
      </c>
      <c r="G1423" s="49" t="s">
        <v>2776</v>
      </c>
      <c r="H1423" s="49" t="s">
        <v>2827</v>
      </c>
      <c r="I1423" s="50">
        <v>44216</v>
      </c>
      <c r="M1423" s="49" t="s">
        <v>4700</v>
      </c>
    </row>
    <row r="1424" spans="1:13" x14ac:dyDescent="0.35">
      <c r="A1424" s="49" t="s">
        <v>14905</v>
      </c>
      <c r="B1424" s="49" t="s">
        <v>4701</v>
      </c>
      <c r="C1424" s="49" t="s">
        <v>3075</v>
      </c>
      <c r="D1424" s="49" t="s">
        <v>1264</v>
      </c>
      <c r="E1424" s="49" t="s">
        <v>2785</v>
      </c>
      <c r="F1424" s="49" t="s">
        <v>4048</v>
      </c>
      <c r="G1424" s="49" t="s">
        <v>2787</v>
      </c>
      <c r="H1424" s="49" t="s">
        <v>2827</v>
      </c>
      <c r="I1424" s="50">
        <v>44200</v>
      </c>
      <c r="J1424" s="50">
        <v>44561</v>
      </c>
      <c r="K1424" s="50">
        <v>45428</v>
      </c>
      <c r="M1424" s="49" t="s">
        <v>4703</v>
      </c>
    </row>
    <row r="1425" spans="1:13" x14ac:dyDescent="0.35">
      <c r="A1425" s="49" t="s">
        <v>14906</v>
      </c>
      <c r="B1425" s="49" t="s">
        <v>9910</v>
      </c>
      <c r="C1425" s="49"/>
      <c r="D1425" s="49" t="s">
        <v>1264</v>
      </c>
      <c r="E1425" s="49" t="s">
        <v>7057</v>
      </c>
      <c r="F1425" s="49" t="s">
        <v>2825</v>
      </c>
      <c r="G1425" s="49" t="s">
        <v>2776</v>
      </c>
      <c r="H1425" s="49" t="s">
        <v>2827</v>
      </c>
      <c r="I1425" s="50">
        <v>42319</v>
      </c>
      <c r="M1425" s="49" t="s">
        <v>3270</v>
      </c>
    </row>
    <row r="1426" spans="1:13" x14ac:dyDescent="0.35">
      <c r="A1426" s="49" t="s">
        <v>14906</v>
      </c>
      <c r="B1426" s="49" t="s">
        <v>10123</v>
      </c>
      <c r="C1426" s="49"/>
      <c r="D1426" s="49" t="s">
        <v>1264</v>
      </c>
      <c r="E1426" s="49" t="s">
        <v>2814</v>
      </c>
      <c r="F1426" s="49" t="s">
        <v>2825</v>
      </c>
      <c r="G1426" s="49" t="s">
        <v>2776</v>
      </c>
      <c r="H1426" s="49" t="s">
        <v>2827</v>
      </c>
      <c r="I1426" s="50">
        <v>42290</v>
      </c>
      <c r="M1426" s="49" t="s">
        <v>3470</v>
      </c>
    </row>
    <row r="1427" spans="1:13" x14ac:dyDescent="0.35">
      <c r="A1427" s="49" t="s">
        <v>14906</v>
      </c>
      <c r="B1427" s="49" t="s">
        <v>10598</v>
      </c>
      <c r="C1427" s="49"/>
      <c r="D1427" s="49" t="s">
        <v>1264</v>
      </c>
      <c r="E1427" s="49" t="s">
        <v>2814</v>
      </c>
      <c r="F1427" s="49" t="s">
        <v>2825</v>
      </c>
      <c r="G1427" s="49" t="s">
        <v>2776</v>
      </c>
      <c r="H1427" s="49" t="s">
        <v>2827</v>
      </c>
      <c r="I1427" s="50">
        <v>42290</v>
      </c>
      <c r="M1427" s="49" t="s">
        <v>3470</v>
      </c>
    </row>
    <row r="1428" spans="1:13" x14ac:dyDescent="0.35">
      <c r="A1428" s="49" t="s">
        <v>14552</v>
      </c>
      <c r="B1428" s="49" t="s">
        <v>10205</v>
      </c>
      <c r="C1428" s="49" t="s">
        <v>10206</v>
      </c>
      <c r="D1428" s="49" t="s">
        <v>1264</v>
      </c>
      <c r="E1428" s="49" t="s">
        <v>2814</v>
      </c>
      <c r="F1428" s="49" t="s">
        <v>2825</v>
      </c>
      <c r="G1428" s="49" t="s">
        <v>2787</v>
      </c>
      <c r="H1428" s="49" t="s">
        <v>2827</v>
      </c>
      <c r="I1428" s="50">
        <v>41900</v>
      </c>
      <c r="J1428" s="50">
        <v>41900</v>
      </c>
      <c r="K1428" s="50">
        <v>42080</v>
      </c>
      <c r="M1428" s="49" t="s">
        <v>10208</v>
      </c>
    </row>
    <row r="1429" spans="1:13" x14ac:dyDescent="0.35">
      <c r="A1429" s="49" t="s">
        <v>12802</v>
      </c>
      <c r="B1429" s="49" t="s">
        <v>12800</v>
      </c>
      <c r="C1429" s="49" t="s">
        <v>12801</v>
      </c>
      <c r="D1429" s="49" t="s">
        <v>1264</v>
      </c>
      <c r="E1429" s="49" t="s">
        <v>2986</v>
      </c>
      <c r="F1429" s="49" t="s">
        <v>2825</v>
      </c>
      <c r="G1429" s="49" t="s">
        <v>2776</v>
      </c>
      <c r="H1429" s="49" t="s">
        <v>2827</v>
      </c>
      <c r="I1429" s="50">
        <v>45447</v>
      </c>
      <c r="M1429" s="49" t="s">
        <v>12803</v>
      </c>
    </row>
    <row r="1430" spans="1:13" x14ac:dyDescent="0.35">
      <c r="A1430" s="49" t="s">
        <v>12802</v>
      </c>
      <c r="B1430" s="49" t="s">
        <v>12804</v>
      </c>
      <c r="C1430" s="49" t="s">
        <v>12805</v>
      </c>
      <c r="D1430" s="49" t="s">
        <v>1264</v>
      </c>
      <c r="E1430" s="49" t="s">
        <v>2986</v>
      </c>
      <c r="F1430" s="49" t="s">
        <v>2825</v>
      </c>
      <c r="G1430" s="49" t="s">
        <v>2776</v>
      </c>
      <c r="H1430" s="49" t="s">
        <v>2827</v>
      </c>
      <c r="I1430" s="50">
        <v>45447</v>
      </c>
      <c r="M1430" s="49" t="s">
        <v>12807</v>
      </c>
    </row>
    <row r="1431" spans="1:13" x14ac:dyDescent="0.35">
      <c r="A1431" s="49" t="s">
        <v>14151</v>
      </c>
      <c r="B1431" s="49" t="s">
        <v>4069</v>
      </c>
      <c r="C1431" s="49" t="s">
        <v>4060</v>
      </c>
      <c r="D1431" s="49" t="s">
        <v>1264</v>
      </c>
      <c r="E1431" s="49" t="s">
        <v>2785</v>
      </c>
      <c r="F1431" s="49" t="s">
        <v>2792</v>
      </c>
      <c r="G1431" s="49" t="s">
        <v>2787</v>
      </c>
      <c r="H1431" s="49" t="s">
        <v>8</v>
      </c>
      <c r="I1431" s="50">
        <v>44013</v>
      </c>
      <c r="J1431" s="50">
        <v>44249</v>
      </c>
      <c r="K1431" s="50">
        <v>44430</v>
      </c>
      <c r="M1431" s="49" t="s">
        <v>4071</v>
      </c>
    </row>
    <row r="1432" spans="1:13" x14ac:dyDescent="0.35">
      <c r="A1432" s="49" t="s">
        <v>14151</v>
      </c>
      <c r="B1432" s="49" t="s">
        <v>4072</v>
      </c>
      <c r="C1432" s="49" t="s">
        <v>2867</v>
      </c>
      <c r="D1432" s="49" t="s">
        <v>1264</v>
      </c>
      <c r="E1432" s="49" t="s">
        <v>2785</v>
      </c>
      <c r="F1432" s="49" t="s">
        <v>2792</v>
      </c>
      <c r="G1432" s="49" t="s">
        <v>2787</v>
      </c>
      <c r="H1432" s="49" t="s">
        <v>8</v>
      </c>
      <c r="I1432" s="50">
        <v>44013</v>
      </c>
      <c r="J1432" s="50">
        <v>44175</v>
      </c>
      <c r="K1432" s="50">
        <v>44426</v>
      </c>
      <c r="M1432" s="49" t="s">
        <v>4073</v>
      </c>
    </row>
    <row r="1433" spans="1:13" x14ac:dyDescent="0.35">
      <c r="A1433" s="49" t="s">
        <v>14151</v>
      </c>
      <c r="B1433" s="49" t="s">
        <v>7656</v>
      </c>
      <c r="C1433" s="49" t="s">
        <v>2818</v>
      </c>
      <c r="D1433" s="49" t="s">
        <v>1264</v>
      </c>
      <c r="E1433" s="49" t="s">
        <v>2785</v>
      </c>
      <c r="F1433" s="49" t="s">
        <v>2792</v>
      </c>
      <c r="G1433" s="49" t="s">
        <v>2787</v>
      </c>
      <c r="H1433" s="49" t="s">
        <v>8</v>
      </c>
      <c r="I1433" s="50">
        <v>43290</v>
      </c>
      <c r="J1433" s="50">
        <v>43818</v>
      </c>
      <c r="K1433" s="50">
        <v>44146</v>
      </c>
      <c r="M1433" s="49" t="s">
        <v>7657</v>
      </c>
    </row>
    <row r="1434" spans="1:13" x14ac:dyDescent="0.35">
      <c r="A1434" s="49" t="s">
        <v>14151</v>
      </c>
      <c r="B1434" s="49" t="s">
        <v>9381</v>
      </c>
      <c r="C1434" s="49"/>
      <c r="D1434" s="49" t="s">
        <v>1264</v>
      </c>
      <c r="E1434" s="49" t="s">
        <v>2785</v>
      </c>
      <c r="F1434" s="49" t="s">
        <v>2792</v>
      </c>
      <c r="G1434" s="49" t="s">
        <v>2776</v>
      </c>
      <c r="H1434" s="49" t="s">
        <v>980</v>
      </c>
      <c r="I1434" s="50">
        <v>44202</v>
      </c>
      <c r="M1434" s="49" t="s">
        <v>9382</v>
      </c>
    </row>
    <row r="1435" spans="1:13" x14ac:dyDescent="0.35">
      <c r="A1435" s="49" t="s">
        <v>14151</v>
      </c>
      <c r="B1435" s="49" t="s">
        <v>11244</v>
      </c>
      <c r="C1435" s="49" t="s">
        <v>11245</v>
      </c>
      <c r="D1435" s="49" t="s">
        <v>1264</v>
      </c>
      <c r="E1435" s="49" t="s">
        <v>2785</v>
      </c>
      <c r="F1435" s="49" t="s">
        <v>2792</v>
      </c>
      <c r="G1435" s="49" t="s">
        <v>2776</v>
      </c>
      <c r="H1435" s="49" t="s">
        <v>8</v>
      </c>
      <c r="I1435" s="50">
        <v>44892</v>
      </c>
      <c r="M1435" s="49" t="s">
        <v>3054</v>
      </c>
    </row>
    <row r="1436" spans="1:13" x14ac:dyDescent="0.35">
      <c r="A1436" s="49" t="s">
        <v>14613</v>
      </c>
      <c r="B1436" s="49" t="s">
        <v>11739</v>
      </c>
      <c r="C1436" s="49" t="s">
        <v>11740</v>
      </c>
      <c r="D1436" s="49" t="s">
        <v>1264</v>
      </c>
      <c r="E1436" s="49" t="s">
        <v>2785</v>
      </c>
      <c r="F1436" s="49" t="s">
        <v>2792</v>
      </c>
      <c r="G1436" s="49" t="s">
        <v>4891</v>
      </c>
      <c r="H1436" s="49" t="s">
        <v>980</v>
      </c>
      <c r="I1436" s="50">
        <v>45257</v>
      </c>
      <c r="M1436" s="49" t="s">
        <v>11742</v>
      </c>
    </row>
    <row r="1437" spans="1:13" x14ac:dyDescent="0.35">
      <c r="A1437" s="49" t="s">
        <v>14246</v>
      </c>
      <c r="B1437" s="49" t="s">
        <v>5652</v>
      </c>
      <c r="C1437" s="49" t="s">
        <v>5640</v>
      </c>
      <c r="D1437" s="49" t="s">
        <v>1264</v>
      </c>
      <c r="E1437" s="49" t="s">
        <v>2785</v>
      </c>
      <c r="F1437" s="49" t="s">
        <v>2792</v>
      </c>
      <c r="G1437" s="49" t="s">
        <v>2787</v>
      </c>
      <c r="H1437" s="49" t="s">
        <v>980</v>
      </c>
      <c r="I1437" s="50">
        <v>45070</v>
      </c>
      <c r="J1437" s="50">
        <v>45099</v>
      </c>
      <c r="K1437" s="50">
        <v>45464</v>
      </c>
      <c r="M1437" s="49" t="s">
        <v>5654</v>
      </c>
    </row>
    <row r="1438" spans="1:13" x14ac:dyDescent="0.35">
      <c r="A1438" s="49" t="s">
        <v>14246</v>
      </c>
      <c r="B1438" s="49" t="s">
        <v>11448</v>
      </c>
      <c r="C1438" s="49" t="s">
        <v>5640</v>
      </c>
      <c r="D1438" s="49" t="s">
        <v>1264</v>
      </c>
      <c r="E1438" s="49" t="s">
        <v>2785</v>
      </c>
      <c r="F1438" s="49" t="s">
        <v>2792</v>
      </c>
      <c r="G1438" s="49" t="s">
        <v>2776</v>
      </c>
      <c r="H1438" s="49" t="s">
        <v>980</v>
      </c>
      <c r="I1438" s="50">
        <v>45070</v>
      </c>
      <c r="M1438" s="49" t="s">
        <v>5654</v>
      </c>
    </row>
    <row r="1439" spans="1:13" x14ac:dyDescent="0.35">
      <c r="A1439" s="49" t="s">
        <v>14820</v>
      </c>
      <c r="B1439" s="49" t="s">
        <v>4298</v>
      </c>
      <c r="C1439" s="49"/>
      <c r="D1439" s="49" t="s">
        <v>1264</v>
      </c>
      <c r="E1439" s="49" t="s">
        <v>2785</v>
      </c>
      <c r="F1439" s="49" t="s">
        <v>2786</v>
      </c>
      <c r="G1439" s="49" t="s">
        <v>2787</v>
      </c>
      <c r="H1439" s="49" t="s">
        <v>980</v>
      </c>
      <c r="I1439" s="50">
        <v>44277</v>
      </c>
      <c r="J1439" s="50">
        <v>44403</v>
      </c>
      <c r="K1439" s="50">
        <v>45428</v>
      </c>
      <c r="M1439" s="49" t="s">
        <v>4300</v>
      </c>
    </row>
    <row r="1440" spans="1:13" x14ac:dyDescent="0.35">
      <c r="A1440" s="49" t="s">
        <v>14820</v>
      </c>
      <c r="B1440" s="49" t="s">
        <v>9559</v>
      </c>
      <c r="C1440" s="49"/>
      <c r="D1440" s="49" t="s">
        <v>1264</v>
      </c>
      <c r="E1440" s="49" t="s">
        <v>2785</v>
      </c>
      <c r="F1440" s="49" t="s">
        <v>2786</v>
      </c>
      <c r="G1440" s="49" t="s">
        <v>2776</v>
      </c>
      <c r="H1440" s="49" t="s">
        <v>980</v>
      </c>
      <c r="I1440" s="50">
        <v>44201</v>
      </c>
      <c r="M1440" s="49" t="s">
        <v>9561</v>
      </c>
    </row>
    <row r="1441" spans="1:13" x14ac:dyDescent="0.35">
      <c r="A1441" s="49" t="s">
        <v>14211</v>
      </c>
      <c r="B1441" s="49" t="s">
        <v>4937</v>
      </c>
      <c r="C1441" s="49" t="s">
        <v>3768</v>
      </c>
      <c r="D1441" s="49" t="s">
        <v>1264</v>
      </c>
      <c r="E1441" s="49" t="s">
        <v>3443</v>
      </c>
      <c r="F1441" s="49" t="s">
        <v>3124</v>
      </c>
      <c r="G1441" s="49" t="s">
        <v>2901</v>
      </c>
      <c r="H1441" s="49" t="s">
        <v>980</v>
      </c>
      <c r="I1441" s="50">
        <v>44757</v>
      </c>
      <c r="J1441" s="50">
        <v>44763</v>
      </c>
      <c r="K1441" s="50">
        <v>46588</v>
      </c>
    </row>
    <row r="1442" spans="1:13" x14ac:dyDescent="0.35">
      <c r="A1442" s="49" t="s">
        <v>14292</v>
      </c>
      <c r="B1442" s="49" t="s">
        <v>6529</v>
      </c>
      <c r="C1442" s="49" t="s">
        <v>3768</v>
      </c>
      <c r="D1442" s="49" t="s">
        <v>1264</v>
      </c>
      <c r="E1442" s="49" t="s">
        <v>3443</v>
      </c>
      <c r="F1442" s="49" t="s">
        <v>3124</v>
      </c>
      <c r="G1442" s="49" t="s">
        <v>2901</v>
      </c>
      <c r="H1442" s="49" t="s">
        <v>980</v>
      </c>
      <c r="I1442" s="50">
        <v>45362</v>
      </c>
      <c r="J1442" s="50">
        <v>45366</v>
      </c>
      <c r="K1442" s="50">
        <v>46095</v>
      </c>
    </row>
    <row r="1443" spans="1:13" x14ac:dyDescent="0.35">
      <c r="A1443" s="49" t="s">
        <v>14292</v>
      </c>
      <c r="B1443" s="49" t="s">
        <v>12074</v>
      </c>
      <c r="C1443" s="49"/>
      <c r="D1443" s="49" t="s">
        <v>1264</v>
      </c>
      <c r="E1443" s="49" t="s">
        <v>2986</v>
      </c>
      <c r="F1443" s="49" t="s">
        <v>2825</v>
      </c>
      <c r="G1443" s="49" t="s">
        <v>2776</v>
      </c>
      <c r="H1443" s="49" t="s">
        <v>2827</v>
      </c>
      <c r="I1443" s="50">
        <v>45327</v>
      </c>
      <c r="M1443" s="49" t="s">
        <v>12075</v>
      </c>
    </row>
    <row r="1444" spans="1:13" x14ac:dyDescent="0.35">
      <c r="A1444" s="49" t="s">
        <v>14194</v>
      </c>
      <c r="B1444" s="49" t="s">
        <v>4588</v>
      </c>
      <c r="C1444" s="49" t="s">
        <v>4589</v>
      </c>
      <c r="D1444" s="49" t="s">
        <v>1264</v>
      </c>
      <c r="E1444" s="49" t="s">
        <v>2785</v>
      </c>
      <c r="F1444" s="49" t="s">
        <v>2786</v>
      </c>
      <c r="G1444" s="49" t="s">
        <v>2787</v>
      </c>
      <c r="H1444" s="49" t="s">
        <v>8</v>
      </c>
      <c r="I1444" s="50">
        <v>44048</v>
      </c>
      <c r="J1444" s="50">
        <v>44509</v>
      </c>
      <c r="K1444" s="50">
        <v>45428</v>
      </c>
      <c r="M1444" s="49" t="s">
        <v>4591</v>
      </c>
    </row>
    <row r="1445" spans="1:13" x14ac:dyDescent="0.35">
      <c r="A1445" s="49" t="s">
        <v>14538</v>
      </c>
      <c r="B1445" s="49" t="s">
        <v>9990</v>
      </c>
      <c r="C1445" s="49"/>
      <c r="D1445" s="49" t="s">
        <v>1264</v>
      </c>
      <c r="E1445" s="49" t="s">
        <v>2908</v>
      </c>
      <c r="F1445" s="49" t="s">
        <v>2939</v>
      </c>
      <c r="G1445" s="49" t="s">
        <v>2776</v>
      </c>
      <c r="H1445" s="49" t="s">
        <v>980</v>
      </c>
      <c r="I1445" s="50">
        <v>41795</v>
      </c>
      <c r="M1445" s="49" t="s">
        <v>9992</v>
      </c>
    </row>
    <row r="1446" spans="1:13" x14ac:dyDescent="0.35">
      <c r="A1446" s="49" t="s">
        <v>15350</v>
      </c>
      <c r="B1446" s="49" t="s">
        <v>13158</v>
      </c>
      <c r="C1446" s="49"/>
      <c r="D1446" s="49" t="s">
        <v>1264</v>
      </c>
      <c r="E1446" s="49" t="s">
        <v>2785</v>
      </c>
      <c r="F1446" s="49" t="s">
        <v>2792</v>
      </c>
      <c r="G1446" s="49" t="s">
        <v>4891</v>
      </c>
      <c r="H1446" s="49" t="s">
        <v>980</v>
      </c>
      <c r="I1446" s="52">
        <v>46064.5937037037</v>
      </c>
      <c r="M1446" s="49" t="s">
        <v>13160</v>
      </c>
    </row>
    <row r="1447" spans="1:13" x14ac:dyDescent="0.35">
      <c r="A1447" s="49" t="s">
        <v>15350</v>
      </c>
      <c r="B1447" s="49" t="s">
        <v>13161</v>
      </c>
      <c r="C1447" s="49"/>
      <c r="D1447" s="49" t="s">
        <v>1264</v>
      </c>
      <c r="E1447" s="49" t="s">
        <v>2785</v>
      </c>
      <c r="F1447" s="49" t="s">
        <v>2792</v>
      </c>
      <c r="G1447" s="49" t="s">
        <v>4891</v>
      </c>
      <c r="H1447" s="49" t="s">
        <v>980</v>
      </c>
      <c r="I1447" s="52">
        <v>46064.602048611101</v>
      </c>
      <c r="M1447" s="49" t="s">
        <v>13162</v>
      </c>
    </row>
    <row r="1448" spans="1:13" x14ac:dyDescent="0.35">
      <c r="A1448" s="49" t="s">
        <v>14512</v>
      </c>
      <c r="B1448" s="49" t="s">
        <v>9614</v>
      </c>
      <c r="C1448" s="49" t="s">
        <v>3784</v>
      </c>
      <c r="D1448" s="49" t="s">
        <v>1264</v>
      </c>
      <c r="E1448" s="49" t="s">
        <v>2908</v>
      </c>
      <c r="F1448" s="49" t="s">
        <v>2837</v>
      </c>
      <c r="G1448" s="49" t="s">
        <v>2776</v>
      </c>
      <c r="H1448" s="49" t="s">
        <v>2827</v>
      </c>
      <c r="I1448" s="50">
        <v>42474</v>
      </c>
      <c r="M1448" s="49" t="s">
        <v>3728</v>
      </c>
    </row>
    <row r="1449" spans="1:13" x14ac:dyDescent="0.35">
      <c r="A1449" s="49" t="s">
        <v>14512</v>
      </c>
      <c r="B1449" s="49" t="s">
        <v>9667</v>
      </c>
      <c r="C1449" s="49"/>
      <c r="D1449" s="49" t="s">
        <v>1264</v>
      </c>
      <c r="E1449" s="49" t="s">
        <v>2908</v>
      </c>
      <c r="F1449" s="49" t="s">
        <v>3010</v>
      </c>
      <c r="G1449" s="49" t="s">
        <v>2776</v>
      </c>
      <c r="H1449" s="49" t="s">
        <v>980</v>
      </c>
      <c r="I1449" s="50">
        <v>42474</v>
      </c>
      <c r="M1449" s="49" t="s">
        <v>3505</v>
      </c>
    </row>
    <row r="1450" spans="1:13" x14ac:dyDescent="0.35">
      <c r="A1450" s="49" t="s">
        <v>4662</v>
      </c>
      <c r="B1450" s="49" t="s">
        <v>4661</v>
      </c>
      <c r="C1450" s="49" t="s">
        <v>4572</v>
      </c>
      <c r="D1450" s="49" t="s">
        <v>1264</v>
      </c>
      <c r="E1450" s="49" t="s">
        <v>2785</v>
      </c>
      <c r="F1450" s="49" t="s">
        <v>2786</v>
      </c>
      <c r="G1450" s="49" t="s">
        <v>2787</v>
      </c>
      <c r="H1450" s="49" t="s">
        <v>980</v>
      </c>
      <c r="I1450" s="50">
        <v>44550</v>
      </c>
      <c r="K1450" s="50">
        <v>45510</v>
      </c>
      <c r="M1450" s="49" t="s">
        <v>4663</v>
      </c>
    </row>
    <row r="1451" spans="1:13" x14ac:dyDescent="0.35">
      <c r="A1451" s="49" t="s">
        <v>4662</v>
      </c>
      <c r="B1451" s="49" t="s">
        <v>9430</v>
      </c>
      <c r="C1451" s="49"/>
      <c r="D1451" s="49" t="s">
        <v>1264</v>
      </c>
      <c r="E1451" s="49" t="s">
        <v>2785</v>
      </c>
      <c r="F1451" s="49" t="s">
        <v>2786</v>
      </c>
      <c r="G1451" s="49" t="s">
        <v>2776</v>
      </c>
      <c r="H1451" s="49" t="s">
        <v>8</v>
      </c>
      <c r="I1451" s="50">
        <v>43091</v>
      </c>
      <c r="M1451" s="49" t="s">
        <v>9432</v>
      </c>
    </row>
    <row r="1452" spans="1:13" x14ac:dyDescent="0.35">
      <c r="A1452" s="49" t="s">
        <v>4662</v>
      </c>
      <c r="B1452" s="49" t="s">
        <v>9553</v>
      </c>
      <c r="C1452" s="49" t="s">
        <v>5503</v>
      </c>
      <c r="D1452" s="49" t="s">
        <v>1264</v>
      </c>
      <c r="E1452" s="49" t="s">
        <v>2785</v>
      </c>
      <c r="F1452" s="49" t="s">
        <v>2786</v>
      </c>
      <c r="G1452" s="49" t="s">
        <v>2776</v>
      </c>
      <c r="H1452" s="49" t="s">
        <v>8</v>
      </c>
      <c r="I1452" s="50">
        <v>43258</v>
      </c>
      <c r="M1452" s="49" t="s">
        <v>9554</v>
      </c>
    </row>
    <row r="1453" spans="1:13" x14ac:dyDescent="0.35">
      <c r="A1453" s="49" t="s">
        <v>4662</v>
      </c>
      <c r="B1453" s="49" t="s">
        <v>9555</v>
      </c>
      <c r="C1453" s="49"/>
      <c r="D1453" s="49" t="s">
        <v>1264</v>
      </c>
      <c r="E1453" s="49" t="s">
        <v>2785</v>
      </c>
      <c r="F1453" s="49" t="s">
        <v>2786</v>
      </c>
      <c r="G1453" s="49" t="s">
        <v>2776</v>
      </c>
      <c r="H1453" s="49" t="s">
        <v>980</v>
      </c>
      <c r="I1453" s="50">
        <v>43672</v>
      </c>
      <c r="M1453" s="49" t="s">
        <v>9556</v>
      </c>
    </row>
    <row r="1454" spans="1:13" x14ac:dyDescent="0.35">
      <c r="A1454" s="49" t="s">
        <v>14139</v>
      </c>
      <c r="B1454" s="49" t="s">
        <v>3893</v>
      </c>
      <c r="C1454" s="49" t="s">
        <v>3894</v>
      </c>
      <c r="D1454" s="49" t="s">
        <v>1264</v>
      </c>
      <c r="E1454" s="49" t="s">
        <v>2908</v>
      </c>
      <c r="F1454" s="49" t="s">
        <v>3010</v>
      </c>
      <c r="G1454" s="49" t="s">
        <v>2787</v>
      </c>
      <c r="H1454" s="49" t="s">
        <v>980</v>
      </c>
      <c r="I1454" s="50">
        <v>43501</v>
      </c>
      <c r="J1454" s="50">
        <v>43543</v>
      </c>
      <c r="K1454" s="50">
        <v>45369</v>
      </c>
      <c r="M1454" s="49" t="s">
        <v>3896</v>
      </c>
    </row>
    <row r="1455" spans="1:13" x14ac:dyDescent="0.35">
      <c r="A1455" s="49" t="s">
        <v>14139</v>
      </c>
      <c r="B1455" s="49" t="s">
        <v>7639</v>
      </c>
      <c r="C1455" s="49" t="s">
        <v>3615</v>
      </c>
      <c r="D1455" s="49" t="s">
        <v>1264</v>
      </c>
      <c r="E1455" s="49" t="s">
        <v>2785</v>
      </c>
      <c r="F1455" s="49" t="s">
        <v>2786</v>
      </c>
      <c r="G1455" s="49" t="s">
        <v>2787</v>
      </c>
      <c r="H1455" s="49" t="s">
        <v>980</v>
      </c>
      <c r="I1455" s="50">
        <v>43426</v>
      </c>
      <c r="J1455" s="50">
        <v>43809</v>
      </c>
      <c r="K1455" s="50">
        <v>44174</v>
      </c>
      <c r="M1455" s="49" t="s">
        <v>7640</v>
      </c>
    </row>
    <row r="1456" spans="1:13" x14ac:dyDescent="0.35">
      <c r="A1456" s="49" t="s">
        <v>15351</v>
      </c>
      <c r="B1456" s="49" t="s">
        <v>4382</v>
      </c>
      <c r="C1456" s="49"/>
      <c r="D1456" s="49" t="s">
        <v>1264</v>
      </c>
      <c r="E1456" s="49" t="s">
        <v>3443</v>
      </c>
      <c r="F1456" s="49" t="s">
        <v>3124</v>
      </c>
      <c r="G1456" s="49" t="s">
        <v>2901</v>
      </c>
      <c r="H1456" s="49" t="s">
        <v>980</v>
      </c>
      <c r="I1456" s="50">
        <v>44294</v>
      </c>
      <c r="J1456" s="50">
        <v>44315</v>
      </c>
      <c r="K1456" s="50">
        <v>46140</v>
      </c>
    </row>
    <row r="1457" spans="1:13" x14ac:dyDescent="0.35">
      <c r="A1457" s="49" t="s">
        <v>15351</v>
      </c>
      <c r="B1457" s="49" t="s">
        <v>4488</v>
      </c>
      <c r="C1457" s="49"/>
      <c r="D1457" s="49" t="s">
        <v>1264</v>
      </c>
      <c r="E1457" s="49" t="s">
        <v>2908</v>
      </c>
      <c r="F1457" s="49" t="s">
        <v>3010</v>
      </c>
      <c r="G1457" s="49" t="s">
        <v>4330</v>
      </c>
      <c r="H1457" s="49" t="s">
        <v>980</v>
      </c>
      <c r="I1457" s="50">
        <v>44306</v>
      </c>
      <c r="M1457" s="49" t="s">
        <v>4489</v>
      </c>
    </row>
    <row r="1458" spans="1:13" x14ac:dyDescent="0.35">
      <c r="A1458" s="49" t="s">
        <v>15351</v>
      </c>
      <c r="B1458" s="49" t="s">
        <v>5019</v>
      </c>
      <c r="C1458" s="49" t="s">
        <v>2937</v>
      </c>
      <c r="D1458" s="49" t="s">
        <v>1264</v>
      </c>
      <c r="E1458" s="49" t="s">
        <v>2908</v>
      </c>
      <c r="F1458" s="49" t="s">
        <v>2939</v>
      </c>
      <c r="G1458" s="49" t="s">
        <v>2901</v>
      </c>
      <c r="H1458" s="49" t="s">
        <v>980</v>
      </c>
      <c r="I1458" s="50">
        <v>44324</v>
      </c>
      <c r="J1458" s="50">
        <v>44783</v>
      </c>
      <c r="K1458" s="50">
        <v>46608</v>
      </c>
      <c r="M1458" s="49" t="s">
        <v>5020</v>
      </c>
    </row>
    <row r="1459" spans="1:13" x14ac:dyDescent="0.35">
      <c r="A1459" s="49" t="s">
        <v>929</v>
      </c>
      <c r="B1459" s="49" t="s">
        <v>11496</v>
      </c>
      <c r="C1459" s="49" t="s">
        <v>11497</v>
      </c>
      <c r="D1459" s="49" t="s">
        <v>1264</v>
      </c>
      <c r="E1459" s="49" t="s">
        <v>2986</v>
      </c>
      <c r="F1459" s="49" t="s">
        <v>2825</v>
      </c>
      <c r="G1459" s="49" t="s">
        <v>4891</v>
      </c>
      <c r="H1459" s="49" t="s">
        <v>2827</v>
      </c>
      <c r="I1459" s="50">
        <v>45126</v>
      </c>
      <c r="M1459" s="49" t="s">
        <v>11498</v>
      </c>
    </row>
    <row r="1460" spans="1:13" x14ac:dyDescent="0.35">
      <c r="A1460" s="49" t="s">
        <v>929</v>
      </c>
      <c r="B1460" s="49" t="s">
        <v>12411</v>
      </c>
      <c r="C1460" s="49"/>
      <c r="D1460" s="49" t="s">
        <v>1264</v>
      </c>
      <c r="E1460" s="49" t="s">
        <v>2986</v>
      </c>
      <c r="F1460" s="49" t="s">
        <v>2825</v>
      </c>
      <c r="G1460" s="49" t="s">
        <v>4891</v>
      </c>
      <c r="H1460" s="49" t="s">
        <v>2827</v>
      </c>
      <c r="I1460" s="50">
        <v>45398</v>
      </c>
      <c r="M1460" s="49" t="s">
        <v>5948</v>
      </c>
    </row>
    <row r="1461" spans="1:13" x14ac:dyDescent="0.35">
      <c r="A1461" s="49" t="s">
        <v>929</v>
      </c>
      <c r="B1461" s="49" t="s">
        <v>12785</v>
      </c>
      <c r="C1461" s="49" t="s">
        <v>12786</v>
      </c>
      <c r="D1461" s="49" t="s">
        <v>1264</v>
      </c>
      <c r="E1461" s="49" t="s">
        <v>2986</v>
      </c>
      <c r="F1461" s="49" t="s">
        <v>2825</v>
      </c>
      <c r="G1461" s="49" t="s">
        <v>4891</v>
      </c>
      <c r="H1461" s="49" t="s">
        <v>2827</v>
      </c>
      <c r="I1461" s="50">
        <v>45378</v>
      </c>
      <c r="M1461" s="49" t="s">
        <v>12787</v>
      </c>
    </row>
    <row r="1462" spans="1:13" ht="43.5" x14ac:dyDescent="0.35">
      <c r="A1462" s="49" t="s">
        <v>14318</v>
      </c>
      <c r="B1462" s="49" t="s">
        <v>6942</v>
      </c>
      <c r="C1462" s="51" t="s">
        <v>6943</v>
      </c>
      <c r="D1462" s="49" t="s">
        <v>1264</v>
      </c>
      <c r="E1462" s="49" t="s">
        <v>2785</v>
      </c>
      <c r="F1462" s="49" t="s">
        <v>2786</v>
      </c>
      <c r="G1462" s="49" t="s">
        <v>4891</v>
      </c>
      <c r="H1462" s="49" t="s">
        <v>980</v>
      </c>
      <c r="I1462" s="52">
        <v>46157.447141203702</v>
      </c>
      <c r="M1462" s="49" t="s">
        <v>6945</v>
      </c>
    </row>
    <row r="1463" spans="1:13" x14ac:dyDescent="0.35">
      <c r="A1463" s="49" t="s">
        <v>14580</v>
      </c>
      <c r="B1463" s="49" t="s">
        <v>10737</v>
      </c>
      <c r="C1463" s="49"/>
      <c r="D1463" s="49" t="s">
        <v>1264</v>
      </c>
      <c r="E1463" s="49" t="s">
        <v>2908</v>
      </c>
      <c r="F1463" s="49" t="s">
        <v>2939</v>
      </c>
      <c r="G1463" s="49" t="s">
        <v>2776</v>
      </c>
      <c r="H1463" s="49" t="s">
        <v>980</v>
      </c>
      <c r="I1463" s="50">
        <v>41835</v>
      </c>
      <c r="M1463" s="49" t="s">
        <v>10739</v>
      </c>
    </row>
    <row r="1464" spans="1:13" x14ac:dyDescent="0.35">
      <c r="A1464" s="49" t="s">
        <v>14493</v>
      </c>
      <c r="B1464" s="49" t="s">
        <v>9362</v>
      </c>
      <c r="C1464" s="49" t="s">
        <v>9363</v>
      </c>
      <c r="D1464" s="49" t="s">
        <v>1264</v>
      </c>
      <c r="E1464" s="49" t="s">
        <v>2785</v>
      </c>
      <c r="F1464" s="49" t="s">
        <v>2792</v>
      </c>
      <c r="G1464" s="49" t="s">
        <v>2776</v>
      </c>
      <c r="H1464" s="49" t="s">
        <v>980</v>
      </c>
      <c r="I1464" s="50">
        <v>44081</v>
      </c>
      <c r="M1464" s="49" t="s">
        <v>9365</v>
      </c>
    </row>
    <row r="1465" spans="1:13" x14ac:dyDescent="0.35">
      <c r="A1465" s="49" t="s">
        <v>14123</v>
      </c>
      <c r="B1465" s="49" t="s">
        <v>3683</v>
      </c>
      <c r="C1465" s="49" t="s">
        <v>3123</v>
      </c>
      <c r="D1465" s="49" t="s">
        <v>1264</v>
      </c>
      <c r="E1465" s="49" t="s">
        <v>3443</v>
      </c>
      <c r="F1465" s="49" t="s">
        <v>3124</v>
      </c>
      <c r="G1465" s="49" t="s">
        <v>2921</v>
      </c>
      <c r="H1465" s="49" t="s">
        <v>980</v>
      </c>
      <c r="I1465" s="50">
        <v>43130</v>
      </c>
      <c r="J1465" s="50">
        <v>43271</v>
      </c>
      <c r="K1465" s="50">
        <v>45096</v>
      </c>
      <c r="M1465" s="49" t="s">
        <v>3505</v>
      </c>
    </row>
    <row r="1466" spans="1:13" x14ac:dyDescent="0.35">
      <c r="A1466" s="49" t="s">
        <v>14557</v>
      </c>
      <c r="B1466" s="49" t="s">
        <v>10268</v>
      </c>
      <c r="C1466" s="49" t="s">
        <v>10269</v>
      </c>
      <c r="D1466" s="49" t="s">
        <v>1264</v>
      </c>
      <c r="E1466" s="49" t="s">
        <v>2814</v>
      </c>
      <c r="F1466" s="49" t="s">
        <v>3681</v>
      </c>
      <c r="G1466" s="49" t="s">
        <v>2776</v>
      </c>
      <c r="H1466" s="49" t="s">
        <v>973</v>
      </c>
      <c r="I1466" s="50">
        <v>42418</v>
      </c>
      <c r="M1466" s="49" t="s">
        <v>3470</v>
      </c>
    </row>
    <row r="1467" spans="1:13" x14ac:dyDescent="0.35">
      <c r="A1467" s="49" t="s">
        <v>14208</v>
      </c>
      <c r="B1467" s="49" t="s">
        <v>4899</v>
      </c>
      <c r="C1467" s="49"/>
      <c r="D1467" s="49" t="s">
        <v>1264</v>
      </c>
      <c r="E1467" s="49" t="s">
        <v>4901</v>
      </c>
      <c r="F1467" s="49" t="s">
        <v>2825</v>
      </c>
      <c r="G1467" s="49" t="s">
        <v>2901</v>
      </c>
      <c r="H1467" s="49" t="s">
        <v>2827</v>
      </c>
      <c r="I1467" s="50">
        <v>44735</v>
      </c>
      <c r="J1467" s="50">
        <v>44735</v>
      </c>
      <c r="K1467" s="50">
        <v>48387</v>
      </c>
      <c r="M1467" s="49" t="s">
        <v>4902</v>
      </c>
    </row>
    <row r="1468" spans="1:13" x14ac:dyDescent="0.35">
      <c r="A1468" s="49" t="s">
        <v>14208</v>
      </c>
      <c r="B1468" s="49" t="s">
        <v>4910</v>
      </c>
      <c r="C1468" s="49"/>
      <c r="D1468" s="49" t="s">
        <v>1264</v>
      </c>
      <c r="E1468" s="49" t="s">
        <v>4901</v>
      </c>
      <c r="F1468" s="49" t="s">
        <v>2825</v>
      </c>
      <c r="G1468" s="49" t="s">
        <v>2787</v>
      </c>
      <c r="H1468" s="49" t="s">
        <v>2827</v>
      </c>
      <c r="I1468" s="50">
        <v>44742</v>
      </c>
      <c r="J1468" s="50">
        <v>44742</v>
      </c>
      <c r="K1468" s="50">
        <v>45050</v>
      </c>
      <c r="M1468" s="49" t="s">
        <v>4911</v>
      </c>
    </row>
    <row r="1469" spans="1:13" x14ac:dyDescent="0.35">
      <c r="A1469" s="49" t="s">
        <v>14208</v>
      </c>
      <c r="B1469" s="49" t="s">
        <v>4912</v>
      </c>
      <c r="C1469" s="49"/>
      <c r="D1469" s="49" t="s">
        <v>1264</v>
      </c>
      <c r="E1469" s="49" t="s">
        <v>4901</v>
      </c>
      <c r="F1469" s="49" t="s">
        <v>4913</v>
      </c>
      <c r="G1469" s="49" t="s">
        <v>2901</v>
      </c>
      <c r="H1469" s="49" t="s">
        <v>980</v>
      </c>
      <c r="I1469" s="50">
        <v>44557</v>
      </c>
      <c r="J1469" s="50">
        <v>44742</v>
      </c>
      <c r="K1469" s="50">
        <v>48394</v>
      </c>
      <c r="M1469" s="49" t="s">
        <v>4914</v>
      </c>
    </row>
    <row r="1470" spans="1:13" x14ac:dyDescent="0.35">
      <c r="A1470" s="49" t="s">
        <v>268</v>
      </c>
      <c r="B1470" s="49" t="s">
        <v>5743</v>
      </c>
      <c r="C1470" s="49"/>
      <c r="D1470" s="49" t="s">
        <v>1264</v>
      </c>
      <c r="E1470" s="49" t="s">
        <v>2986</v>
      </c>
      <c r="F1470" s="49" t="s">
        <v>2825</v>
      </c>
      <c r="G1470" s="49" t="s">
        <v>2901</v>
      </c>
      <c r="H1470" s="49" t="s">
        <v>973</v>
      </c>
      <c r="I1470" s="50">
        <v>45120</v>
      </c>
      <c r="J1470" s="50">
        <v>45169</v>
      </c>
      <c r="K1470" s="50">
        <v>46264</v>
      </c>
      <c r="M1470" s="49" t="s">
        <v>5745</v>
      </c>
    </row>
    <row r="1471" spans="1:13" x14ac:dyDescent="0.35">
      <c r="A1471" s="49" t="s">
        <v>268</v>
      </c>
      <c r="B1471" s="49" t="s">
        <v>11485</v>
      </c>
      <c r="C1471" s="49" t="s">
        <v>4809</v>
      </c>
      <c r="D1471" s="49" t="s">
        <v>1264</v>
      </c>
      <c r="E1471" s="49" t="s">
        <v>2986</v>
      </c>
      <c r="F1471" s="49" t="s">
        <v>2825</v>
      </c>
      <c r="G1471" s="49" t="s">
        <v>2776</v>
      </c>
      <c r="H1471" s="49" t="s">
        <v>973</v>
      </c>
      <c r="I1471" s="50">
        <v>45114</v>
      </c>
      <c r="M1471" s="49" t="s">
        <v>11486</v>
      </c>
    </row>
    <row r="1472" spans="1:13" x14ac:dyDescent="0.35">
      <c r="A1472" s="49" t="s">
        <v>268</v>
      </c>
      <c r="B1472" s="49" t="s">
        <v>11487</v>
      </c>
      <c r="C1472" s="49" t="s">
        <v>4877</v>
      </c>
      <c r="D1472" s="49" t="s">
        <v>1264</v>
      </c>
      <c r="E1472" s="49" t="s">
        <v>2986</v>
      </c>
      <c r="F1472" s="49" t="s">
        <v>2825</v>
      </c>
      <c r="G1472" s="49" t="s">
        <v>2776</v>
      </c>
      <c r="H1472" s="49" t="s">
        <v>973</v>
      </c>
      <c r="I1472" s="50">
        <v>45120</v>
      </c>
      <c r="M1472" s="49" t="s">
        <v>11488</v>
      </c>
    </row>
    <row r="1473" spans="1:13" x14ac:dyDescent="0.35">
      <c r="A1473" s="49" t="s">
        <v>15352</v>
      </c>
      <c r="B1473" s="49" t="s">
        <v>12126</v>
      </c>
      <c r="C1473" s="49" t="s">
        <v>12127</v>
      </c>
      <c r="D1473" s="49" t="s">
        <v>1264</v>
      </c>
      <c r="E1473" s="49" t="s">
        <v>2986</v>
      </c>
      <c r="F1473" s="49" t="s">
        <v>2825</v>
      </c>
      <c r="G1473" s="49" t="s">
        <v>4891</v>
      </c>
      <c r="H1473" s="49" t="s">
        <v>2827</v>
      </c>
      <c r="I1473" s="50">
        <v>45324</v>
      </c>
      <c r="M1473" s="49" t="s">
        <v>12129</v>
      </c>
    </row>
    <row r="1474" spans="1:13" x14ac:dyDescent="0.35">
      <c r="A1474" s="49" t="s">
        <v>15178</v>
      </c>
      <c r="B1474" s="49" t="s">
        <v>9171</v>
      </c>
      <c r="C1474" s="49"/>
      <c r="D1474" s="49" t="s">
        <v>1264</v>
      </c>
      <c r="E1474" s="49" t="s">
        <v>2908</v>
      </c>
      <c r="F1474" s="49" t="s">
        <v>2837</v>
      </c>
      <c r="G1474" s="49" t="s">
        <v>2776</v>
      </c>
      <c r="H1474" s="49" t="s">
        <v>980</v>
      </c>
      <c r="I1474" s="50">
        <v>43440</v>
      </c>
      <c r="M1474" s="49" t="s">
        <v>9173</v>
      </c>
    </row>
    <row r="1475" spans="1:13" x14ac:dyDescent="0.35">
      <c r="A1475" s="49" t="s">
        <v>15122</v>
      </c>
      <c r="B1475" s="49" t="s">
        <v>12061</v>
      </c>
      <c r="C1475" s="49" t="s">
        <v>3626</v>
      </c>
      <c r="D1475" s="49" t="s">
        <v>1264</v>
      </c>
      <c r="E1475" s="49" t="s">
        <v>2785</v>
      </c>
      <c r="F1475" s="49" t="s">
        <v>3898</v>
      </c>
      <c r="G1475" s="49" t="s">
        <v>4891</v>
      </c>
      <c r="H1475" s="49" t="s">
        <v>2827</v>
      </c>
      <c r="I1475" s="50">
        <v>45328</v>
      </c>
      <c r="M1475" s="49" t="s">
        <v>12063</v>
      </c>
    </row>
    <row r="1476" spans="1:13" x14ac:dyDescent="0.35">
      <c r="A1476" s="49" t="s">
        <v>15122</v>
      </c>
      <c r="B1476" s="49" t="s">
        <v>12199</v>
      </c>
      <c r="C1476" s="49" t="s">
        <v>12200</v>
      </c>
      <c r="D1476" s="49" t="s">
        <v>1264</v>
      </c>
      <c r="E1476" s="49" t="s">
        <v>3443</v>
      </c>
      <c r="F1476" s="49" t="s">
        <v>3124</v>
      </c>
      <c r="G1476" s="49" t="s">
        <v>4891</v>
      </c>
      <c r="H1476" s="49" t="s">
        <v>980</v>
      </c>
      <c r="I1476" s="50">
        <v>45328</v>
      </c>
    </row>
    <row r="1477" spans="1:13" x14ac:dyDescent="0.35">
      <c r="A1477" s="49" t="s">
        <v>15122</v>
      </c>
      <c r="B1477" s="49" t="s">
        <v>12248</v>
      </c>
      <c r="C1477" s="49" t="s">
        <v>12249</v>
      </c>
      <c r="D1477" s="49" t="s">
        <v>1264</v>
      </c>
      <c r="E1477" s="49" t="s">
        <v>3443</v>
      </c>
      <c r="F1477" s="49" t="s">
        <v>3124</v>
      </c>
      <c r="G1477" s="49" t="s">
        <v>2826</v>
      </c>
      <c r="H1477" s="49" t="s">
        <v>980</v>
      </c>
      <c r="I1477" s="50">
        <v>45363</v>
      </c>
    </row>
    <row r="1478" spans="1:13" x14ac:dyDescent="0.35">
      <c r="A1478" s="49" t="s">
        <v>15122</v>
      </c>
      <c r="B1478" s="49" t="s">
        <v>13125</v>
      </c>
      <c r="C1478" s="49"/>
      <c r="D1478" s="49" t="s">
        <v>1264</v>
      </c>
      <c r="E1478" s="49" t="s">
        <v>2785</v>
      </c>
      <c r="F1478" s="49" t="s">
        <v>2792</v>
      </c>
      <c r="G1478" s="49" t="s">
        <v>4891</v>
      </c>
      <c r="H1478" s="49" t="s">
        <v>8</v>
      </c>
      <c r="I1478" s="52">
        <v>46050.837754629603</v>
      </c>
      <c r="M1478" s="49" t="s">
        <v>13126</v>
      </c>
    </row>
    <row r="1479" spans="1:13" x14ac:dyDescent="0.35">
      <c r="A1479" s="49" t="s">
        <v>14907</v>
      </c>
      <c r="B1479" s="49" t="s">
        <v>10586</v>
      </c>
      <c r="C1479" s="49" t="s">
        <v>2863</v>
      </c>
      <c r="D1479" s="49" t="s">
        <v>1264</v>
      </c>
      <c r="E1479" s="49" t="s">
        <v>2814</v>
      </c>
      <c r="F1479" s="49" t="s">
        <v>2825</v>
      </c>
      <c r="G1479" s="49" t="s">
        <v>2787</v>
      </c>
      <c r="H1479" s="49" t="s">
        <v>2827</v>
      </c>
      <c r="I1479" s="50">
        <v>42122</v>
      </c>
      <c r="J1479" s="50">
        <v>42157</v>
      </c>
      <c r="K1479" s="50">
        <v>42340</v>
      </c>
      <c r="M1479" s="49" t="s">
        <v>4340</v>
      </c>
    </row>
    <row r="1480" spans="1:13" x14ac:dyDescent="0.35">
      <c r="A1480" s="49" t="s">
        <v>15123</v>
      </c>
      <c r="B1480" s="49" t="s">
        <v>6903</v>
      </c>
      <c r="C1480" s="49"/>
      <c r="D1480" s="49" t="s">
        <v>1264</v>
      </c>
      <c r="E1480" s="49" t="s">
        <v>2785</v>
      </c>
      <c r="F1480" s="49" t="s">
        <v>2792</v>
      </c>
      <c r="G1480" s="49" t="s">
        <v>4330</v>
      </c>
      <c r="H1480" s="49" t="s">
        <v>8</v>
      </c>
      <c r="I1480" s="52">
        <v>45835.643090277801</v>
      </c>
      <c r="M1480" s="49" t="s">
        <v>6905</v>
      </c>
    </row>
    <row r="1481" spans="1:13" x14ac:dyDescent="0.35">
      <c r="A1481" s="49" t="s">
        <v>15688</v>
      </c>
      <c r="B1481" s="49" t="s">
        <v>5583</v>
      </c>
      <c r="C1481" s="49"/>
      <c r="D1481" s="49" t="s">
        <v>1264</v>
      </c>
      <c r="E1481" s="49" t="s">
        <v>2814</v>
      </c>
      <c r="F1481" s="49" t="s">
        <v>3188</v>
      </c>
      <c r="G1481" s="49" t="s">
        <v>2787</v>
      </c>
      <c r="H1481" s="49" t="s">
        <v>973</v>
      </c>
      <c r="I1481" s="50">
        <v>45083</v>
      </c>
      <c r="J1481" s="50">
        <v>45230</v>
      </c>
      <c r="K1481" s="50">
        <v>45411</v>
      </c>
      <c r="M1481" s="49" t="s">
        <v>5585</v>
      </c>
    </row>
    <row r="1482" spans="1:13" x14ac:dyDescent="0.35">
      <c r="A1482" s="49" t="s">
        <v>15688</v>
      </c>
      <c r="B1482" s="49" t="s">
        <v>12584</v>
      </c>
      <c r="C1482" s="49"/>
      <c r="D1482" s="49" t="s">
        <v>1264</v>
      </c>
      <c r="E1482" s="49" t="s">
        <v>2986</v>
      </c>
      <c r="F1482" s="49" t="s">
        <v>2825</v>
      </c>
      <c r="G1482" s="49" t="s">
        <v>4891</v>
      </c>
      <c r="H1482" s="49" t="s">
        <v>973</v>
      </c>
      <c r="I1482" s="50">
        <v>45378</v>
      </c>
      <c r="M1482" s="49" t="s">
        <v>12585</v>
      </c>
    </row>
    <row r="1483" spans="1:13" x14ac:dyDescent="0.35">
      <c r="A1483" s="49" t="s">
        <v>15688</v>
      </c>
      <c r="B1483" s="49" t="s">
        <v>12704</v>
      </c>
      <c r="C1483" s="49" t="s">
        <v>973</v>
      </c>
      <c r="D1483" s="49" t="s">
        <v>1264</v>
      </c>
      <c r="E1483" s="49" t="s">
        <v>2908</v>
      </c>
      <c r="F1483" s="49" t="s">
        <v>2837</v>
      </c>
      <c r="G1483" s="49" t="s">
        <v>4891</v>
      </c>
      <c r="H1483" s="49" t="s">
        <v>973</v>
      </c>
      <c r="I1483" s="50">
        <v>45546</v>
      </c>
      <c r="M1483" s="49" t="s">
        <v>12705</v>
      </c>
    </row>
    <row r="1484" spans="1:13" x14ac:dyDescent="0.35">
      <c r="A1484" s="49" t="s">
        <v>15689</v>
      </c>
      <c r="B1484" s="49" t="s">
        <v>12298</v>
      </c>
      <c r="C1484" s="49" t="s">
        <v>10969</v>
      </c>
      <c r="D1484" s="49" t="s">
        <v>1264</v>
      </c>
      <c r="E1484" s="49" t="s">
        <v>2785</v>
      </c>
      <c r="F1484" s="49" t="s">
        <v>3898</v>
      </c>
      <c r="G1484" s="49" t="s">
        <v>4891</v>
      </c>
      <c r="H1484" s="49" t="s">
        <v>2827</v>
      </c>
      <c r="I1484" s="50">
        <v>45366</v>
      </c>
      <c r="M1484" s="49" t="s">
        <v>12300</v>
      </c>
    </row>
    <row r="1485" spans="1:13" x14ac:dyDescent="0.35">
      <c r="A1485" s="49" t="s">
        <v>15689</v>
      </c>
      <c r="B1485" s="49" t="s">
        <v>12347</v>
      </c>
      <c r="C1485" s="49"/>
      <c r="D1485" s="49" t="s">
        <v>1264</v>
      </c>
      <c r="E1485" s="49" t="s">
        <v>2974</v>
      </c>
      <c r="F1485" s="49" t="s">
        <v>4842</v>
      </c>
      <c r="G1485" s="49" t="s">
        <v>2776</v>
      </c>
      <c r="H1485" s="49" t="s">
        <v>2827</v>
      </c>
      <c r="I1485" s="50">
        <v>45379</v>
      </c>
      <c r="M1485" s="49" t="s">
        <v>12348</v>
      </c>
    </row>
    <row r="1486" spans="1:13" x14ac:dyDescent="0.35">
      <c r="A1486" s="49" t="s">
        <v>15690</v>
      </c>
      <c r="B1486" s="49" t="s">
        <v>8749</v>
      </c>
      <c r="C1486" s="49"/>
      <c r="D1486" s="49" t="s">
        <v>1264</v>
      </c>
      <c r="E1486" s="49" t="s">
        <v>2908</v>
      </c>
      <c r="F1486" s="49" t="s">
        <v>2939</v>
      </c>
      <c r="G1486" s="49" t="s">
        <v>2776</v>
      </c>
      <c r="H1486" s="49" t="s">
        <v>3229</v>
      </c>
      <c r="I1486" s="50">
        <v>41397</v>
      </c>
      <c r="M1486" s="49" t="s">
        <v>8751</v>
      </c>
    </row>
    <row r="1487" spans="1:13" x14ac:dyDescent="0.35">
      <c r="A1487" s="49" t="s">
        <v>14783</v>
      </c>
      <c r="B1487" s="49" t="s">
        <v>4668</v>
      </c>
      <c r="C1487" s="49" t="s">
        <v>4669</v>
      </c>
      <c r="D1487" s="49" t="s">
        <v>1264</v>
      </c>
      <c r="E1487" s="49" t="s">
        <v>2785</v>
      </c>
      <c r="F1487" s="49" t="s">
        <v>2792</v>
      </c>
      <c r="G1487" s="49" t="s">
        <v>2787</v>
      </c>
      <c r="H1487" s="49" t="s">
        <v>980</v>
      </c>
      <c r="I1487" s="50">
        <v>44319</v>
      </c>
      <c r="J1487" s="50">
        <v>44697</v>
      </c>
      <c r="K1487" s="50">
        <v>45061</v>
      </c>
      <c r="M1487" s="49" t="s">
        <v>4671</v>
      </c>
    </row>
    <row r="1488" spans="1:13" x14ac:dyDescent="0.35">
      <c r="A1488" s="49" t="s">
        <v>14856</v>
      </c>
      <c r="B1488" s="49" t="s">
        <v>6021</v>
      </c>
      <c r="C1488" s="49" t="s">
        <v>6022</v>
      </c>
      <c r="D1488" s="49" t="s">
        <v>1264</v>
      </c>
      <c r="E1488" s="49" t="s">
        <v>2785</v>
      </c>
      <c r="F1488" s="49" t="s">
        <v>2792</v>
      </c>
      <c r="G1488" s="49" t="s">
        <v>4330</v>
      </c>
      <c r="H1488" s="49" t="s">
        <v>980</v>
      </c>
      <c r="I1488" s="50">
        <v>45204</v>
      </c>
      <c r="M1488" s="49" t="s">
        <v>4560</v>
      </c>
    </row>
    <row r="1489" spans="1:13" x14ac:dyDescent="0.35">
      <c r="A1489" s="49" t="s">
        <v>15691</v>
      </c>
      <c r="B1489" s="49" t="s">
        <v>7297</v>
      </c>
      <c r="C1489" s="49" t="s">
        <v>7298</v>
      </c>
      <c r="D1489" s="49" t="s">
        <v>1264</v>
      </c>
      <c r="E1489" s="49" t="s">
        <v>2785</v>
      </c>
      <c r="F1489" s="49" t="s">
        <v>2792</v>
      </c>
      <c r="G1489" s="49" t="s">
        <v>2787</v>
      </c>
      <c r="H1489" s="49" t="s">
        <v>8</v>
      </c>
      <c r="I1489" s="50">
        <v>42838</v>
      </c>
      <c r="J1489" s="50">
        <v>42895</v>
      </c>
      <c r="K1489" s="50">
        <v>43077</v>
      </c>
      <c r="M1489" s="49" t="s">
        <v>7300</v>
      </c>
    </row>
    <row r="1490" spans="1:13" x14ac:dyDescent="0.35">
      <c r="A1490" s="49" t="s">
        <v>15691</v>
      </c>
      <c r="B1490" s="49" t="s">
        <v>7575</v>
      </c>
      <c r="C1490" s="49" t="s">
        <v>7576</v>
      </c>
      <c r="D1490" s="49" t="s">
        <v>1264</v>
      </c>
      <c r="E1490" s="49" t="s">
        <v>2785</v>
      </c>
      <c r="F1490" s="49" t="s">
        <v>2792</v>
      </c>
      <c r="G1490" s="49" t="s">
        <v>2787</v>
      </c>
      <c r="H1490" s="49" t="s">
        <v>8</v>
      </c>
      <c r="I1490" s="50">
        <v>42989</v>
      </c>
      <c r="J1490" s="50">
        <v>43014</v>
      </c>
      <c r="K1490" s="50">
        <v>43195</v>
      </c>
      <c r="M1490" s="49" t="s">
        <v>7577</v>
      </c>
    </row>
    <row r="1491" spans="1:13" x14ac:dyDescent="0.35">
      <c r="A1491" s="49" t="s">
        <v>15691</v>
      </c>
      <c r="B1491" s="49" t="s">
        <v>7602</v>
      </c>
      <c r="C1491" s="49"/>
      <c r="D1491" s="49" t="s">
        <v>1264</v>
      </c>
      <c r="E1491" s="49" t="s">
        <v>2785</v>
      </c>
      <c r="F1491" s="49" t="s">
        <v>2792</v>
      </c>
      <c r="G1491" s="49" t="s">
        <v>2787</v>
      </c>
      <c r="H1491" s="49" t="s">
        <v>8</v>
      </c>
      <c r="I1491" s="50">
        <v>42528</v>
      </c>
      <c r="J1491" s="50">
        <v>42859</v>
      </c>
      <c r="K1491" s="50">
        <v>43042</v>
      </c>
      <c r="M1491" s="49" t="s">
        <v>7603</v>
      </c>
    </row>
    <row r="1492" spans="1:13" x14ac:dyDescent="0.35">
      <c r="A1492" s="49" t="s">
        <v>15691</v>
      </c>
      <c r="B1492" s="49" t="s">
        <v>9440</v>
      </c>
      <c r="C1492" s="49"/>
      <c r="D1492" s="49" t="s">
        <v>1264</v>
      </c>
      <c r="E1492" s="49" t="s">
        <v>2785</v>
      </c>
      <c r="F1492" s="49" t="s">
        <v>2792</v>
      </c>
      <c r="G1492" s="49" t="s">
        <v>2776</v>
      </c>
      <c r="H1492" s="49" t="s">
        <v>8</v>
      </c>
      <c r="I1492" s="50">
        <v>43080</v>
      </c>
      <c r="M1492" s="49" t="s">
        <v>9441</v>
      </c>
    </row>
    <row r="1493" spans="1:13" x14ac:dyDescent="0.35">
      <c r="A1493" s="49" t="s">
        <v>15691</v>
      </c>
      <c r="B1493" s="49" t="s">
        <v>9443</v>
      </c>
      <c r="C1493" s="49" t="s">
        <v>7164</v>
      </c>
      <c r="D1493" s="49" t="s">
        <v>1264</v>
      </c>
      <c r="E1493" s="49" t="s">
        <v>2785</v>
      </c>
      <c r="F1493" s="49" t="s">
        <v>2792</v>
      </c>
      <c r="G1493" s="49" t="s">
        <v>2776</v>
      </c>
      <c r="H1493" s="49" t="s">
        <v>8</v>
      </c>
      <c r="I1493" s="50">
        <v>42999</v>
      </c>
      <c r="M1493" s="49" t="s">
        <v>9444</v>
      </c>
    </row>
    <row r="1494" spans="1:13" x14ac:dyDescent="0.35">
      <c r="A1494" s="49" t="s">
        <v>15692</v>
      </c>
      <c r="B1494" s="49" t="s">
        <v>4284</v>
      </c>
      <c r="C1494" s="49" t="s">
        <v>4285</v>
      </c>
      <c r="D1494" s="49" t="s">
        <v>1264</v>
      </c>
      <c r="E1494" s="49" t="s">
        <v>2785</v>
      </c>
      <c r="F1494" s="49" t="s">
        <v>2792</v>
      </c>
      <c r="G1494" s="49" t="s">
        <v>2787</v>
      </c>
      <c r="H1494" s="49" t="s">
        <v>980</v>
      </c>
      <c r="I1494" s="50">
        <v>44306</v>
      </c>
      <c r="J1494" s="50">
        <v>45185</v>
      </c>
      <c r="K1494" s="50">
        <v>45366</v>
      </c>
      <c r="M1494" s="49" t="s">
        <v>4287</v>
      </c>
    </row>
    <row r="1495" spans="1:13" x14ac:dyDescent="0.35">
      <c r="A1495" s="49" t="s">
        <v>15692</v>
      </c>
      <c r="B1495" s="49" t="s">
        <v>5577</v>
      </c>
      <c r="C1495" s="49"/>
      <c r="D1495" s="49" t="s">
        <v>1264</v>
      </c>
      <c r="E1495" s="49" t="s">
        <v>2785</v>
      </c>
      <c r="F1495" s="49" t="s">
        <v>2792</v>
      </c>
      <c r="G1495" s="49" t="s">
        <v>4330</v>
      </c>
      <c r="H1495" s="49" t="s">
        <v>980</v>
      </c>
      <c r="I1495" s="50">
        <v>45069</v>
      </c>
      <c r="M1495" s="49" t="s">
        <v>5578</v>
      </c>
    </row>
    <row r="1496" spans="1:13" x14ac:dyDescent="0.35">
      <c r="A1496" s="49" t="s">
        <v>15692</v>
      </c>
      <c r="B1496" s="49" t="s">
        <v>7191</v>
      </c>
      <c r="C1496" s="49"/>
      <c r="D1496" s="49" t="s">
        <v>1264</v>
      </c>
      <c r="E1496" s="49" t="s">
        <v>2785</v>
      </c>
      <c r="F1496" s="49" t="s">
        <v>2792</v>
      </c>
      <c r="G1496" s="49" t="s">
        <v>2787</v>
      </c>
      <c r="H1496" s="49" t="s">
        <v>8</v>
      </c>
      <c r="I1496" s="50">
        <v>43076</v>
      </c>
      <c r="J1496" s="50">
        <v>43180</v>
      </c>
      <c r="K1496" s="50">
        <v>43363</v>
      </c>
      <c r="M1496" s="49" t="s">
        <v>7192</v>
      </c>
    </row>
    <row r="1497" spans="1:13" x14ac:dyDescent="0.35">
      <c r="A1497" s="49" t="s">
        <v>15692</v>
      </c>
      <c r="B1497" s="49" t="s">
        <v>7199</v>
      </c>
      <c r="C1497" s="49" t="s">
        <v>7200</v>
      </c>
      <c r="D1497" s="49" t="s">
        <v>1264</v>
      </c>
      <c r="E1497" s="49" t="s">
        <v>2785</v>
      </c>
      <c r="F1497" s="49" t="s">
        <v>2792</v>
      </c>
      <c r="G1497" s="49" t="s">
        <v>2787</v>
      </c>
      <c r="H1497" s="49" t="s">
        <v>8</v>
      </c>
      <c r="I1497" s="50">
        <v>42831</v>
      </c>
      <c r="J1497" s="50">
        <v>42860</v>
      </c>
      <c r="K1497" s="50">
        <v>43043</v>
      </c>
      <c r="M1497" s="49" t="s">
        <v>7201</v>
      </c>
    </row>
    <row r="1498" spans="1:13" x14ac:dyDescent="0.35">
      <c r="A1498" s="49" t="s">
        <v>15692</v>
      </c>
      <c r="B1498" s="49" t="s">
        <v>7226</v>
      </c>
      <c r="C1498" s="49" t="s">
        <v>4453</v>
      </c>
      <c r="D1498" s="49" t="s">
        <v>1264</v>
      </c>
      <c r="E1498" s="49" t="s">
        <v>2785</v>
      </c>
      <c r="F1498" s="49" t="s">
        <v>2792</v>
      </c>
      <c r="G1498" s="49" t="s">
        <v>2787</v>
      </c>
      <c r="H1498" s="49" t="s">
        <v>980</v>
      </c>
      <c r="I1498" s="50">
        <v>43031</v>
      </c>
      <c r="J1498" s="50">
        <v>43185</v>
      </c>
      <c r="K1498" s="50">
        <v>43368</v>
      </c>
      <c r="M1498" s="49" t="s">
        <v>7227</v>
      </c>
    </row>
    <row r="1499" spans="1:13" x14ac:dyDescent="0.35">
      <c r="A1499" s="49" t="s">
        <v>15692</v>
      </c>
      <c r="B1499" s="49" t="s">
        <v>7252</v>
      </c>
      <c r="C1499" s="49"/>
      <c r="D1499" s="49" t="s">
        <v>1264</v>
      </c>
      <c r="E1499" s="49" t="s">
        <v>2785</v>
      </c>
      <c r="F1499" s="49" t="s">
        <v>2792</v>
      </c>
      <c r="G1499" s="49" t="s">
        <v>2787</v>
      </c>
      <c r="H1499" s="49" t="s">
        <v>980</v>
      </c>
      <c r="I1499" s="50">
        <v>43790</v>
      </c>
      <c r="J1499" s="50">
        <v>40276</v>
      </c>
      <c r="K1499" s="50">
        <v>44293</v>
      </c>
      <c r="M1499" s="49" t="s">
        <v>7253</v>
      </c>
    </row>
    <row r="1500" spans="1:13" x14ac:dyDescent="0.35">
      <c r="A1500" s="49" t="s">
        <v>15692</v>
      </c>
      <c r="B1500" s="49" t="s">
        <v>7523</v>
      </c>
      <c r="C1500" s="49" t="s">
        <v>3461</v>
      </c>
      <c r="D1500" s="49" t="s">
        <v>1264</v>
      </c>
      <c r="E1500" s="49" t="s">
        <v>2785</v>
      </c>
      <c r="F1500" s="49" t="s">
        <v>2792</v>
      </c>
      <c r="G1500" s="49" t="s">
        <v>2787</v>
      </c>
      <c r="H1500" s="49" t="s">
        <v>980</v>
      </c>
      <c r="I1500" s="50">
        <v>43392</v>
      </c>
      <c r="J1500" s="50">
        <v>43686</v>
      </c>
      <c r="K1500" s="50">
        <v>44021</v>
      </c>
      <c r="M1500" s="49" t="s">
        <v>7524</v>
      </c>
    </row>
    <row r="1501" spans="1:13" x14ac:dyDescent="0.35">
      <c r="A1501" s="49" t="s">
        <v>15692</v>
      </c>
      <c r="B1501" s="49" t="s">
        <v>7588</v>
      </c>
      <c r="C1501" s="49" t="s">
        <v>2818</v>
      </c>
      <c r="D1501" s="49" t="s">
        <v>1264</v>
      </c>
      <c r="E1501" s="49" t="s">
        <v>2785</v>
      </c>
      <c r="F1501" s="49" t="s">
        <v>2792</v>
      </c>
      <c r="G1501" s="49" t="s">
        <v>3602</v>
      </c>
      <c r="H1501" s="49" t="s">
        <v>8</v>
      </c>
      <c r="I1501" s="50">
        <v>43995</v>
      </c>
      <c r="J1501" s="50">
        <v>44151</v>
      </c>
      <c r="K1501" s="50">
        <v>44515</v>
      </c>
      <c r="M1501" s="49" t="s">
        <v>7589</v>
      </c>
    </row>
    <row r="1502" spans="1:13" x14ac:dyDescent="0.35">
      <c r="A1502" s="49" t="s">
        <v>15692</v>
      </c>
      <c r="B1502" s="49" t="s">
        <v>9480</v>
      </c>
      <c r="C1502" s="49" t="s">
        <v>4453</v>
      </c>
      <c r="D1502" s="49" t="s">
        <v>1264</v>
      </c>
      <c r="E1502" s="49" t="s">
        <v>2785</v>
      </c>
      <c r="F1502" s="49" t="s">
        <v>2792</v>
      </c>
      <c r="G1502" s="49" t="s">
        <v>2776</v>
      </c>
      <c r="H1502" s="49" t="s">
        <v>980</v>
      </c>
      <c r="I1502" s="50">
        <v>43879</v>
      </c>
      <c r="M1502" s="49" t="s">
        <v>3477</v>
      </c>
    </row>
    <row r="1503" spans="1:13" x14ac:dyDescent="0.35">
      <c r="A1503" s="49" t="s">
        <v>15692</v>
      </c>
      <c r="B1503" s="49" t="s">
        <v>12560</v>
      </c>
      <c r="C1503" s="49" t="s">
        <v>5649</v>
      </c>
      <c r="D1503" s="49" t="s">
        <v>1264</v>
      </c>
      <c r="E1503" s="49" t="s">
        <v>2785</v>
      </c>
      <c r="F1503" s="49" t="s">
        <v>2792</v>
      </c>
      <c r="G1503" s="49" t="s">
        <v>4891</v>
      </c>
      <c r="H1503" s="49" t="s">
        <v>980</v>
      </c>
      <c r="I1503" s="50">
        <v>45446</v>
      </c>
      <c r="M1503" s="49" t="s">
        <v>12561</v>
      </c>
    </row>
    <row r="1504" spans="1:13" x14ac:dyDescent="0.35">
      <c r="A1504" s="49" t="s">
        <v>260</v>
      </c>
      <c r="B1504" s="49" t="s">
        <v>4281</v>
      </c>
      <c r="C1504" s="49" t="s">
        <v>2849</v>
      </c>
      <c r="D1504" s="49" t="s">
        <v>1264</v>
      </c>
      <c r="E1504" s="49" t="s">
        <v>2785</v>
      </c>
      <c r="F1504" s="49" t="s">
        <v>2792</v>
      </c>
      <c r="G1504" s="49" t="s">
        <v>2787</v>
      </c>
      <c r="H1504" s="49" t="s">
        <v>980</v>
      </c>
      <c r="I1504" s="50">
        <v>43283</v>
      </c>
      <c r="M1504" s="49" t="s">
        <v>4283</v>
      </c>
    </row>
    <row r="1505" spans="1:13" x14ac:dyDescent="0.35">
      <c r="A1505" s="49" t="s">
        <v>260</v>
      </c>
      <c r="B1505" s="49" t="s">
        <v>4717</v>
      </c>
      <c r="C1505" s="49" t="s">
        <v>4718</v>
      </c>
      <c r="D1505" s="49" t="s">
        <v>1264</v>
      </c>
      <c r="E1505" s="49" t="s">
        <v>2785</v>
      </c>
      <c r="F1505" s="49" t="s">
        <v>2792</v>
      </c>
      <c r="G1505" s="49" t="s">
        <v>2787</v>
      </c>
      <c r="H1505" s="49" t="s">
        <v>980</v>
      </c>
      <c r="I1505" s="50">
        <v>44567</v>
      </c>
      <c r="J1505" s="50">
        <v>44586</v>
      </c>
      <c r="K1505" s="50">
        <v>45428</v>
      </c>
      <c r="M1505" s="49" t="s">
        <v>4720</v>
      </c>
    </row>
    <row r="1506" spans="1:13" x14ac:dyDescent="0.35">
      <c r="A1506" s="49" t="s">
        <v>260</v>
      </c>
      <c r="B1506" s="49" t="s">
        <v>11234</v>
      </c>
      <c r="C1506" s="49" t="s">
        <v>4718</v>
      </c>
      <c r="D1506" s="49" t="s">
        <v>1264</v>
      </c>
      <c r="E1506" s="49" t="s">
        <v>2785</v>
      </c>
      <c r="F1506" s="49" t="s">
        <v>2792</v>
      </c>
      <c r="G1506" s="49" t="s">
        <v>2776</v>
      </c>
      <c r="H1506" s="49" t="s">
        <v>980</v>
      </c>
      <c r="I1506" s="50">
        <v>44567</v>
      </c>
      <c r="M1506" s="49" t="s">
        <v>11235</v>
      </c>
    </row>
    <row r="1507" spans="1:13" x14ac:dyDescent="0.35">
      <c r="A1507" s="49" t="s">
        <v>260</v>
      </c>
      <c r="B1507" s="49" t="s">
        <v>11294</v>
      </c>
      <c r="C1507" s="49" t="s">
        <v>11295</v>
      </c>
      <c r="D1507" s="49" t="s">
        <v>1264</v>
      </c>
      <c r="E1507" s="49" t="s">
        <v>2785</v>
      </c>
      <c r="F1507" s="49" t="s">
        <v>2792</v>
      </c>
      <c r="G1507" s="49" t="s">
        <v>2776</v>
      </c>
      <c r="H1507" s="49" t="s">
        <v>3207</v>
      </c>
      <c r="I1507" s="50">
        <v>44802</v>
      </c>
      <c r="M1507" s="49" t="s">
        <v>11296</v>
      </c>
    </row>
    <row r="1508" spans="1:13" x14ac:dyDescent="0.35">
      <c r="A1508" s="49" t="s">
        <v>260</v>
      </c>
      <c r="B1508" s="49" t="s">
        <v>11504</v>
      </c>
      <c r="C1508" s="49" t="s">
        <v>6917</v>
      </c>
      <c r="D1508" s="49" t="s">
        <v>1264</v>
      </c>
      <c r="E1508" s="49" t="s">
        <v>2785</v>
      </c>
      <c r="F1508" s="49" t="s">
        <v>2792</v>
      </c>
      <c r="G1508" s="49" t="s">
        <v>2776</v>
      </c>
      <c r="H1508" s="49" t="s">
        <v>980</v>
      </c>
      <c r="I1508" s="50">
        <v>45066</v>
      </c>
      <c r="M1508" s="49" t="s">
        <v>11505</v>
      </c>
    </row>
    <row r="1509" spans="1:13" x14ac:dyDescent="0.35">
      <c r="A1509" s="49" t="s">
        <v>260</v>
      </c>
      <c r="B1509" s="49" t="s">
        <v>12706</v>
      </c>
      <c r="C1509" s="49" t="s">
        <v>4257</v>
      </c>
      <c r="D1509" s="49" t="s">
        <v>1264</v>
      </c>
      <c r="E1509" s="49" t="s">
        <v>2785</v>
      </c>
      <c r="F1509" s="49" t="s">
        <v>2792</v>
      </c>
      <c r="G1509" s="49" t="s">
        <v>4891</v>
      </c>
      <c r="H1509" s="49" t="s">
        <v>980</v>
      </c>
      <c r="I1509" s="50">
        <v>45546</v>
      </c>
      <c r="M1509" s="49" t="s">
        <v>12707</v>
      </c>
    </row>
    <row r="1510" spans="1:13" x14ac:dyDescent="0.35">
      <c r="A1510" s="49" t="s">
        <v>14773</v>
      </c>
      <c r="B1510" s="49" t="s">
        <v>3635</v>
      </c>
      <c r="C1510" s="49" t="s">
        <v>3636</v>
      </c>
      <c r="D1510" s="49" t="s">
        <v>1264</v>
      </c>
      <c r="E1510" s="49" t="s">
        <v>2986</v>
      </c>
      <c r="F1510" s="49" t="s">
        <v>2825</v>
      </c>
      <c r="G1510" s="49" t="s">
        <v>2901</v>
      </c>
      <c r="H1510" s="49" t="s">
        <v>2827</v>
      </c>
      <c r="I1510" s="50">
        <v>43026</v>
      </c>
      <c r="J1510" s="50">
        <v>43210</v>
      </c>
      <c r="K1510" s="50">
        <v>45401</v>
      </c>
      <c r="L1510" s="50">
        <v>44306</v>
      </c>
      <c r="M1510" s="49" t="s">
        <v>3638</v>
      </c>
    </row>
    <row r="1511" spans="1:13" x14ac:dyDescent="0.35">
      <c r="A1511" s="49" t="s">
        <v>14773</v>
      </c>
      <c r="B1511" s="49" t="s">
        <v>11300</v>
      </c>
      <c r="C1511" s="49"/>
      <c r="D1511" s="49" t="s">
        <v>1264</v>
      </c>
      <c r="E1511" s="49" t="s">
        <v>2986</v>
      </c>
      <c r="F1511" s="49" t="s">
        <v>2825</v>
      </c>
      <c r="G1511" s="49" t="s">
        <v>2776</v>
      </c>
      <c r="H1511" s="49" t="s">
        <v>2827</v>
      </c>
      <c r="I1511" s="50">
        <v>44994</v>
      </c>
      <c r="M1511" s="49" t="s">
        <v>3638</v>
      </c>
    </row>
    <row r="1512" spans="1:13" x14ac:dyDescent="0.35">
      <c r="A1512" s="49" t="s">
        <v>15693</v>
      </c>
      <c r="B1512" s="49" t="s">
        <v>9027</v>
      </c>
      <c r="C1512" s="49" t="s">
        <v>2863</v>
      </c>
      <c r="D1512" s="49" t="s">
        <v>1264</v>
      </c>
      <c r="E1512" s="49" t="s">
        <v>2814</v>
      </c>
      <c r="F1512" s="49" t="s">
        <v>2825</v>
      </c>
      <c r="G1512" s="49" t="s">
        <v>2787</v>
      </c>
      <c r="H1512" s="49" t="s">
        <v>2827</v>
      </c>
      <c r="I1512" s="50">
        <v>42432</v>
      </c>
      <c r="J1512" s="50">
        <v>42310</v>
      </c>
      <c r="K1512" s="50">
        <v>42491</v>
      </c>
      <c r="M1512" s="49" t="s">
        <v>9029</v>
      </c>
    </row>
    <row r="1513" spans="1:13" x14ac:dyDescent="0.35">
      <c r="A1513" s="49" t="s">
        <v>15694</v>
      </c>
      <c r="B1513" s="49" t="s">
        <v>8681</v>
      </c>
      <c r="C1513" s="49" t="s">
        <v>3615</v>
      </c>
      <c r="D1513" s="49" t="s">
        <v>1264</v>
      </c>
      <c r="E1513" s="49" t="s">
        <v>2908</v>
      </c>
      <c r="F1513" s="49" t="s">
        <v>3010</v>
      </c>
      <c r="G1513" s="49" t="s">
        <v>2975</v>
      </c>
      <c r="H1513" s="49" t="s">
        <v>980</v>
      </c>
      <c r="I1513" s="50">
        <v>42843</v>
      </c>
      <c r="J1513" s="50">
        <v>43445</v>
      </c>
      <c r="K1513" s="50">
        <v>45270</v>
      </c>
      <c r="M1513" s="49" t="s">
        <v>8683</v>
      </c>
    </row>
    <row r="1514" spans="1:13" x14ac:dyDescent="0.35">
      <c r="A1514" s="49" t="s">
        <v>15695</v>
      </c>
      <c r="B1514" s="49" t="s">
        <v>4924</v>
      </c>
      <c r="C1514" s="49" t="s">
        <v>4925</v>
      </c>
      <c r="D1514" s="49" t="s">
        <v>1264</v>
      </c>
      <c r="E1514" s="49" t="s">
        <v>2785</v>
      </c>
      <c r="F1514" s="49" t="s">
        <v>2792</v>
      </c>
      <c r="G1514" s="49" t="s">
        <v>2787</v>
      </c>
      <c r="H1514" s="49" t="s">
        <v>980</v>
      </c>
      <c r="I1514" s="50">
        <v>44750</v>
      </c>
      <c r="J1514" s="50">
        <v>44750</v>
      </c>
      <c r="K1514" s="50">
        <v>45511</v>
      </c>
      <c r="M1514" s="49" t="s">
        <v>4927</v>
      </c>
    </row>
    <row r="1515" spans="1:13" x14ac:dyDescent="0.35">
      <c r="A1515" s="49" t="s">
        <v>15695</v>
      </c>
      <c r="B1515" s="49" t="s">
        <v>12732</v>
      </c>
      <c r="C1515" s="49" t="s">
        <v>12733</v>
      </c>
      <c r="D1515" s="49" t="s">
        <v>1264</v>
      </c>
      <c r="E1515" s="49" t="s">
        <v>2785</v>
      </c>
      <c r="F1515" s="49" t="s">
        <v>2786</v>
      </c>
      <c r="G1515" s="49" t="s">
        <v>4891</v>
      </c>
      <c r="H1515" s="49" t="s">
        <v>980</v>
      </c>
      <c r="I1515" s="50">
        <v>45544</v>
      </c>
      <c r="M1515" s="49" t="s">
        <v>12734</v>
      </c>
    </row>
    <row r="1516" spans="1:13" x14ac:dyDescent="0.35">
      <c r="A1516" s="49" t="s">
        <v>15695</v>
      </c>
      <c r="B1516" s="49" t="s">
        <v>12735</v>
      </c>
      <c r="C1516" s="49" t="s">
        <v>12736</v>
      </c>
      <c r="D1516" s="49" t="s">
        <v>1264</v>
      </c>
      <c r="E1516" s="49" t="s">
        <v>2785</v>
      </c>
      <c r="F1516" s="49" t="s">
        <v>2792</v>
      </c>
      <c r="G1516" s="49" t="s">
        <v>4891</v>
      </c>
      <c r="H1516" s="49" t="s">
        <v>980</v>
      </c>
      <c r="I1516" s="50">
        <v>45544</v>
      </c>
      <c r="M1516" s="49" t="s">
        <v>12737</v>
      </c>
    </row>
    <row r="1517" spans="1:13" x14ac:dyDescent="0.35">
      <c r="A1517" s="49" t="s">
        <v>15696</v>
      </c>
      <c r="B1517" s="49" t="s">
        <v>7240</v>
      </c>
      <c r="C1517" s="49" t="s">
        <v>7241</v>
      </c>
      <c r="D1517" s="49" t="s">
        <v>1264</v>
      </c>
      <c r="E1517" s="49" t="s">
        <v>2785</v>
      </c>
      <c r="F1517" s="49" t="s">
        <v>2792</v>
      </c>
      <c r="G1517" s="49" t="s">
        <v>2787</v>
      </c>
      <c r="H1517" s="49" t="s">
        <v>8</v>
      </c>
      <c r="I1517" s="50">
        <v>41023</v>
      </c>
      <c r="J1517" s="50">
        <v>41038</v>
      </c>
      <c r="K1517" s="50">
        <v>41221</v>
      </c>
      <c r="M1517" s="49" t="s">
        <v>6961</v>
      </c>
    </row>
    <row r="1518" spans="1:13" x14ac:dyDescent="0.35">
      <c r="A1518" s="49" t="s">
        <v>15697</v>
      </c>
      <c r="B1518" s="49" t="s">
        <v>12458</v>
      </c>
      <c r="C1518" s="49" t="s">
        <v>12401</v>
      </c>
      <c r="D1518" s="49" t="s">
        <v>1264</v>
      </c>
      <c r="E1518" s="49" t="s">
        <v>2908</v>
      </c>
      <c r="F1518" s="49" t="s">
        <v>2837</v>
      </c>
      <c r="G1518" s="49" t="s">
        <v>4891</v>
      </c>
      <c r="H1518" s="49" t="s">
        <v>2827</v>
      </c>
      <c r="I1518" s="50">
        <v>45397</v>
      </c>
      <c r="M1518" s="49" t="s">
        <v>12460</v>
      </c>
    </row>
    <row r="1519" spans="1:13" x14ac:dyDescent="0.35">
      <c r="A1519" s="49" t="s">
        <v>15698</v>
      </c>
      <c r="B1519" s="49" t="s">
        <v>9586</v>
      </c>
      <c r="C1519" s="49"/>
      <c r="D1519" s="49" t="s">
        <v>1264</v>
      </c>
      <c r="E1519" s="49" t="s">
        <v>2785</v>
      </c>
      <c r="F1519" s="49" t="s">
        <v>2792</v>
      </c>
      <c r="G1519" s="49" t="s">
        <v>2776</v>
      </c>
      <c r="H1519" s="49" t="s">
        <v>8</v>
      </c>
      <c r="I1519" s="50">
        <v>44295</v>
      </c>
      <c r="M1519" s="49" t="s">
        <v>9588</v>
      </c>
    </row>
    <row r="1520" spans="1:13" x14ac:dyDescent="0.35">
      <c r="A1520" s="49" t="s">
        <v>15699</v>
      </c>
      <c r="B1520" s="49" t="s">
        <v>7183</v>
      </c>
      <c r="C1520" s="49" t="s">
        <v>7184</v>
      </c>
      <c r="D1520" s="49" t="s">
        <v>1264</v>
      </c>
      <c r="E1520" s="49" t="s">
        <v>2785</v>
      </c>
      <c r="F1520" s="49" t="s">
        <v>2792</v>
      </c>
      <c r="G1520" s="49" t="s">
        <v>2787</v>
      </c>
      <c r="H1520" s="49" t="s">
        <v>8</v>
      </c>
      <c r="I1520" s="50">
        <v>40968</v>
      </c>
      <c r="J1520" s="50">
        <v>41002</v>
      </c>
      <c r="K1520" s="50">
        <v>41184</v>
      </c>
      <c r="M1520" s="49" t="s">
        <v>7186</v>
      </c>
    </row>
    <row r="1521" spans="1:13" x14ac:dyDescent="0.35">
      <c r="A1521" s="49" t="s">
        <v>15700</v>
      </c>
      <c r="B1521" s="49" t="s">
        <v>6088</v>
      </c>
      <c r="C1521" s="49" t="s">
        <v>4257</v>
      </c>
      <c r="D1521" s="49" t="s">
        <v>1264</v>
      </c>
      <c r="E1521" s="49" t="s">
        <v>2785</v>
      </c>
      <c r="F1521" s="49" t="s">
        <v>2792</v>
      </c>
      <c r="G1521" s="49" t="s">
        <v>2901</v>
      </c>
      <c r="H1521" s="49" t="s">
        <v>980</v>
      </c>
      <c r="I1521" s="50">
        <v>45130</v>
      </c>
      <c r="J1521" s="50">
        <v>45267</v>
      </c>
      <c r="K1521" s="50">
        <v>45632</v>
      </c>
      <c r="M1521" s="49" t="s">
        <v>6090</v>
      </c>
    </row>
    <row r="1522" spans="1:13" x14ac:dyDescent="0.35">
      <c r="A1522" s="49" t="s">
        <v>14991</v>
      </c>
      <c r="B1522" s="49" t="s">
        <v>7228</v>
      </c>
      <c r="C1522" s="49" t="s">
        <v>4677</v>
      </c>
      <c r="D1522" s="49" t="s">
        <v>1264</v>
      </c>
      <c r="E1522" s="49" t="s">
        <v>2785</v>
      </c>
      <c r="F1522" s="49" t="s">
        <v>2792</v>
      </c>
      <c r="G1522" s="49" t="s">
        <v>2787</v>
      </c>
      <c r="H1522" s="49" t="s">
        <v>8</v>
      </c>
      <c r="I1522" s="50">
        <v>43105</v>
      </c>
      <c r="J1522" s="50">
        <v>43185</v>
      </c>
      <c r="K1522" s="50">
        <v>43368</v>
      </c>
      <c r="M1522" s="49" t="s">
        <v>7230</v>
      </c>
    </row>
    <row r="1523" spans="1:13" x14ac:dyDescent="0.35">
      <c r="A1523" s="49" t="s">
        <v>14991</v>
      </c>
      <c r="B1523" s="49" t="s">
        <v>7384</v>
      </c>
      <c r="C1523" s="49" t="s">
        <v>7164</v>
      </c>
      <c r="D1523" s="49" t="s">
        <v>1264</v>
      </c>
      <c r="E1523" s="49" t="s">
        <v>2785</v>
      </c>
      <c r="F1523" s="49" t="s">
        <v>2792</v>
      </c>
      <c r="G1523" s="49" t="s">
        <v>2787</v>
      </c>
      <c r="H1523" s="49" t="s">
        <v>8</v>
      </c>
      <c r="I1523" s="50">
        <v>43556</v>
      </c>
      <c r="J1523" s="50">
        <v>43587</v>
      </c>
      <c r="K1523" s="50">
        <v>43770</v>
      </c>
      <c r="M1523" s="49" t="s">
        <v>7385</v>
      </c>
    </row>
    <row r="1524" spans="1:13" x14ac:dyDescent="0.35">
      <c r="A1524" s="49" t="s">
        <v>14991</v>
      </c>
      <c r="B1524" s="49" t="s">
        <v>7481</v>
      </c>
      <c r="C1524" s="49" t="s">
        <v>7164</v>
      </c>
      <c r="D1524" s="49" t="s">
        <v>1264</v>
      </c>
      <c r="E1524" s="49" t="s">
        <v>2785</v>
      </c>
      <c r="F1524" s="49" t="s">
        <v>2792</v>
      </c>
      <c r="G1524" s="49" t="s">
        <v>2787</v>
      </c>
      <c r="H1524" s="49" t="s">
        <v>8</v>
      </c>
      <c r="I1524" s="50">
        <v>42850</v>
      </c>
      <c r="J1524" s="50">
        <v>42958</v>
      </c>
      <c r="K1524" s="50">
        <v>43141</v>
      </c>
      <c r="M1524" s="49" t="s">
        <v>7482</v>
      </c>
    </row>
    <row r="1525" spans="1:13" x14ac:dyDescent="0.35">
      <c r="A1525" s="49" t="s">
        <v>14991</v>
      </c>
      <c r="B1525" s="49" t="s">
        <v>9355</v>
      </c>
      <c r="C1525" s="49" t="s">
        <v>9356</v>
      </c>
      <c r="D1525" s="49" t="s">
        <v>1264</v>
      </c>
      <c r="E1525" s="49" t="s">
        <v>2785</v>
      </c>
      <c r="F1525" s="49" t="s">
        <v>2792</v>
      </c>
      <c r="G1525" s="49" t="s">
        <v>2776</v>
      </c>
      <c r="H1525" s="49" t="s">
        <v>8</v>
      </c>
      <c r="I1525" s="50">
        <v>43511</v>
      </c>
      <c r="M1525" s="49" t="s">
        <v>9357</v>
      </c>
    </row>
    <row r="1526" spans="1:13" x14ac:dyDescent="0.35">
      <c r="A1526" s="49" t="s">
        <v>15683</v>
      </c>
      <c r="B1526" s="49" t="s">
        <v>5148</v>
      </c>
      <c r="C1526" s="49" t="s">
        <v>5149</v>
      </c>
      <c r="D1526" s="49" t="s">
        <v>1264</v>
      </c>
      <c r="E1526" s="49" t="s">
        <v>2785</v>
      </c>
      <c r="F1526" s="49" t="s">
        <v>2792</v>
      </c>
      <c r="G1526" s="49" t="s">
        <v>2787</v>
      </c>
      <c r="H1526" s="49" t="s">
        <v>857</v>
      </c>
      <c r="I1526" s="50">
        <v>44728</v>
      </c>
      <c r="J1526" s="50">
        <v>44848</v>
      </c>
      <c r="K1526" s="50">
        <v>45511</v>
      </c>
      <c r="M1526" s="49" t="s">
        <v>5151</v>
      </c>
    </row>
    <row r="1527" spans="1:13" x14ac:dyDescent="0.35">
      <c r="A1527" s="49" t="s">
        <v>15683</v>
      </c>
      <c r="B1527" s="49" t="s">
        <v>12711</v>
      </c>
      <c r="C1527" s="49" t="s">
        <v>12712</v>
      </c>
      <c r="D1527" s="49" t="s">
        <v>1264</v>
      </c>
      <c r="E1527" s="49" t="s">
        <v>2785</v>
      </c>
      <c r="F1527" s="49" t="s">
        <v>2792</v>
      </c>
      <c r="G1527" s="49" t="s">
        <v>4891</v>
      </c>
      <c r="H1527" s="49" t="s">
        <v>980</v>
      </c>
      <c r="I1527" s="50">
        <v>45546</v>
      </c>
      <c r="M1527" s="49" t="s">
        <v>12713</v>
      </c>
    </row>
    <row r="1528" spans="1:13" x14ac:dyDescent="0.35">
      <c r="A1528" s="49" t="s">
        <v>3369</v>
      </c>
      <c r="B1528" s="49" t="s">
        <v>3368</v>
      </c>
      <c r="C1528" s="49" t="s">
        <v>2942</v>
      </c>
      <c r="D1528" s="49" t="s">
        <v>1264</v>
      </c>
      <c r="E1528" s="49" t="s">
        <v>2908</v>
      </c>
      <c r="F1528" s="49" t="s">
        <v>2939</v>
      </c>
      <c r="G1528" s="49" t="s">
        <v>2901</v>
      </c>
      <c r="H1528" s="49" t="s">
        <v>980</v>
      </c>
      <c r="I1528" s="50">
        <v>42004</v>
      </c>
      <c r="J1528" s="50">
        <v>42478</v>
      </c>
      <c r="K1528" s="50">
        <v>45771</v>
      </c>
      <c r="M1528" s="49" t="s">
        <v>3370</v>
      </c>
    </row>
    <row r="1529" spans="1:13" x14ac:dyDescent="0.35">
      <c r="A1529" s="49" t="s">
        <v>14481</v>
      </c>
      <c r="B1529" s="49" t="s">
        <v>9254</v>
      </c>
      <c r="C1529" s="49"/>
      <c r="D1529" s="49" t="s">
        <v>1264</v>
      </c>
      <c r="E1529" s="49" t="s">
        <v>2908</v>
      </c>
      <c r="F1529" s="49" t="s">
        <v>2837</v>
      </c>
      <c r="G1529" s="49" t="s">
        <v>2776</v>
      </c>
      <c r="H1529" s="49" t="s">
        <v>2827</v>
      </c>
      <c r="I1529" s="50">
        <v>42825</v>
      </c>
      <c r="M1529" s="49" t="s">
        <v>9256</v>
      </c>
    </row>
    <row r="1530" spans="1:13" x14ac:dyDescent="0.35">
      <c r="A1530" s="49" t="s">
        <v>15655</v>
      </c>
      <c r="B1530" s="49" t="s">
        <v>7594</v>
      </c>
      <c r="C1530" s="49"/>
      <c r="D1530" s="49" t="s">
        <v>1264</v>
      </c>
      <c r="E1530" s="49" t="s">
        <v>2814</v>
      </c>
      <c r="F1530" s="49" t="s">
        <v>2939</v>
      </c>
      <c r="G1530" s="49" t="s">
        <v>2787</v>
      </c>
      <c r="H1530" s="49" t="s">
        <v>980</v>
      </c>
      <c r="I1530" s="50">
        <v>42163</v>
      </c>
      <c r="J1530" s="50">
        <v>42234</v>
      </c>
      <c r="K1530" s="50">
        <v>42417</v>
      </c>
      <c r="M1530" s="49" t="s">
        <v>3470</v>
      </c>
    </row>
    <row r="1531" spans="1:13" x14ac:dyDescent="0.35">
      <c r="A1531" s="49" t="s">
        <v>15655</v>
      </c>
      <c r="B1531" s="49" t="s">
        <v>7596</v>
      </c>
      <c r="C1531" s="49" t="s">
        <v>7597</v>
      </c>
      <c r="D1531" s="49" t="s">
        <v>1264</v>
      </c>
      <c r="E1531" s="49" t="s">
        <v>2814</v>
      </c>
      <c r="F1531" s="49" t="s">
        <v>2837</v>
      </c>
      <c r="G1531" s="49" t="s">
        <v>2787</v>
      </c>
      <c r="H1531" s="49" t="s">
        <v>2827</v>
      </c>
      <c r="I1531" s="50">
        <v>42166</v>
      </c>
      <c r="J1531" s="50">
        <v>42234</v>
      </c>
      <c r="K1531" s="50">
        <v>42417</v>
      </c>
      <c r="M1531" s="49" t="s">
        <v>3470</v>
      </c>
    </row>
    <row r="1532" spans="1:13" x14ac:dyDescent="0.35">
      <c r="A1532" s="49" t="s">
        <v>15655</v>
      </c>
      <c r="B1532" s="49" t="s">
        <v>9251</v>
      </c>
      <c r="C1532" s="49" t="s">
        <v>9252</v>
      </c>
      <c r="D1532" s="49" t="s">
        <v>1264</v>
      </c>
      <c r="E1532" s="49" t="s">
        <v>2908</v>
      </c>
      <c r="F1532" s="49" t="s">
        <v>2786</v>
      </c>
      <c r="G1532" s="49" t="s">
        <v>2776</v>
      </c>
      <c r="H1532" s="49" t="s">
        <v>8</v>
      </c>
      <c r="I1532" s="50">
        <v>43910</v>
      </c>
      <c r="M1532" s="49" t="s">
        <v>9253</v>
      </c>
    </row>
    <row r="1533" spans="1:13" x14ac:dyDescent="0.35">
      <c r="A1533" s="49" t="s">
        <v>15655</v>
      </c>
      <c r="B1533" s="49" t="s">
        <v>9565</v>
      </c>
      <c r="C1533" s="49"/>
      <c r="D1533" s="49" t="s">
        <v>1264</v>
      </c>
      <c r="E1533" s="49" t="s">
        <v>2785</v>
      </c>
      <c r="F1533" s="49" t="s">
        <v>2786</v>
      </c>
      <c r="G1533" s="49" t="s">
        <v>2776</v>
      </c>
      <c r="H1533" s="49" t="s">
        <v>8</v>
      </c>
      <c r="I1533" s="50">
        <v>43155</v>
      </c>
      <c r="M1533" s="49" t="s">
        <v>9566</v>
      </c>
    </row>
    <row r="1534" spans="1:13" x14ac:dyDescent="0.35">
      <c r="A1534" s="49" t="s">
        <v>15655</v>
      </c>
      <c r="B1534" s="49" t="s">
        <v>9577</v>
      </c>
      <c r="C1534" s="49"/>
      <c r="D1534" s="49" t="s">
        <v>1264</v>
      </c>
      <c r="E1534" s="49" t="s">
        <v>2785</v>
      </c>
      <c r="F1534" s="49" t="s">
        <v>2786</v>
      </c>
      <c r="G1534" s="49" t="s">
        <v>2776</v>
      </c>
      <c r="H1534" s="49" t="s">
        <v>980</v>
      </c>
      <c r="I1534" s="50">
        <v>43270</v>
      </c>
      <c r="M1534" s="49" t="s">
        <v>9578</v>
      </c>
    </row>
    <row r="1535" spans="1:13" x14ac:dyDescent="0.35">
      <c r="A1535" s="49" t="s">
        <v>15655</v>
      </c>
      <c r="B1535" s="49" t="s">
        <v>9592</v>
      </c>
      <c r="C1535" s="49"/>
      <c r="D1535" s="49" t="s">
        <v>1264</v>
      </c>
      <c r="E1535" s="49" t="s">
        <v>2785</v>
      </c>
      <c r="F1535" s="49" t="s">
        <v>2792</v>
      </c>
      <c r="G1535" s="49" t="s">
        <v>2776</v>
      </c>
      <c r="H1535" s="49" t="s">
        <v>8</v>
      </c>
      <c r="I1535" s="50">
        <v>43237</v>
      </c>
      <c r="M1535" s="49" t="s">
        <v>9593</v>
      </c>
    </row>
    <row r="1536" spans="1:13" x14ac:dyDescent="0.35">
      <c r="A1536" s="49" t="s">
        <v>15655</v>
      </c>
      <c r="B1536" s="49" t="s">
        <v>9745</v>
      </c>
      <c r="C1536" s="49"/>
      <c r="D1536" s="49" t="s">
        <v>1264</v>
      </c>
      <c r="E1536" s="49" t="s">
        <v>2785</v>
      </c>
      <c r="F1536" s="49" t="s">
        <v>5423</v>
      </c>
      <c r="G1536" s="49" t="s">
        <v>2776</v>
      </c>
      <c r="H1536" s="49" t="s">
        <v>980</v>
      </c>
      <c r="I1536" s="50">
        <v>42129</v>
      </c>
      <c r="M1536" s="49" t="s">
        <v>9746</v>
      </c>
    </row>
    <row r="1537" spans="1:13" x14ac:dyDescent="0.35">
      <c r="A1537" s="49" t="s">
        <v>15655</v>
      </c>
      <c r="B1537" s="49" t="s">
        <v>10212</v>
      </c>
      <c r="C1537" s="49"/>
      <c r="D1537" s="49" t="s">
        <v>1264</v>
      </c>
      <c r="E1537" s="49" t="s">
        <v>2814</v>
      </c>
      <c r="F1537" s="49" t="s">
        <v>2837</v>
      </c>
      <c r="G1537" s="49" t="s">
        <v>2776</v>
      </c>
      <c r="H1537" s="49" t="s">
        <v>980</v>
      </c>
      <c r="I1537" s="50">
        <v>43383</v>
      </c>
      <c r="M1537" s="49" t="s">
        <v>10213</v>
      </c>
    </row>
    <row r="1538" spans="1:13" x14ac:dyDescent="0.35">
      <c r="A1538" s="49" t="s">
        <v>15655</v>
      </c>
      <c r="B1538" s="49" t="s">
        <v>10313</v>
      </c>
      <c r="C1538" s="49"/>
      <c r="D1538" s="49" t="s">
        <v>1264</v>
      </c>
      <c r="E1538" s="49" t="s">
        <v>2814</v>
      </c>
      <c r="F1538" s="49" t="s">
        <v>2837</v>
      </c>
      <c r="G1538" s="49" t="s">
        <v>2776</v>
      </c>
      <c r="H1538" s="49" t="s">
        <v>980</v>
      </c>
      <c r="I1538" s="50">
        <v>43444</v>
      </c>
      <c r="M1538" s="49" t="s">
        <v>10314</v>
      </c>
    </row>
    <row r="1539" spans="1:13" x14ac:dyDescent="0.35">
      <c r="A1539" s="49" t="s">
        <v>14440</v>
      </c>
      <c r="B1539" s="49" t="s">
        <v>8551</v>
      </c>
      <c r="C1539" s="49" t="s">
        <v>8552</v>
      </c>
      <c r="D1539" s="49" t="s">
        <v>1264</v>
      </c>
      <c r="E1539" s="49" t="s">
        <v>2908</v>
      </c>
      <c r="F1539" s="49" t="s">
        <v>2939</v>
      </c>
      <c r="G1539" s="49" t="s">
        <v>2787</v>
      </c>
      <c r="H1539" s="49" t="s">
        <v>3229</v>
      </c>
      <c r="I1539" s="50">
        <v>41416</v>
      </c>
      <c r="J1539" s="50">
        <v>41516</v>
      </c>
      <c r="K1539" s="50">
        <v>43341</v>
      </c>
      <c r="M1539" s="49" t="s">
        <v>8554</v>
      </c>
    </row>
    <row r="1540" spans="1:13" x14ac:dyDescent="0.35">
      <c r="A1540" s="49" t="s">
        <v>14429</v>
      </c>
      <c r="B1540" s="49" t="s">
        <v>8419</v>
      </c>
      <c r="C1540" s="49" t="s">
        <v>4449</v>
      </c>
      <c r="D1540" s="49" t="s">
        <v>1264</v>
      </c>
      <c r="E1540" s="49" t="s">
        <v>2986</v>
      </c>
      <c r="F1540" s="49" t="s">
        <v>2825</v>
      </c>
      <c r="G1540" s="49" t="s">
        <v>2787</v>
      </c>
      <c r="H1540" s="49" t="s">
        <v>2827</v>
      </c>
      <c r="I1540" s="50">
        <v>42029</v>
      </c>
      <c r="J1540" s="50">
        <v>42908</v>
      </c>
      <c r="K1540" s="50">
        <v>44004</v>
      </c>
      <c r="M1540" s="49" t="s">
        <v>3270</v>
      </c>
    </row>
    <row r="1541" spans="1:13" x14ac:dyDescent="0.35">
      <c r="A1541" s="49" t="s">
        <v>14857</v>
      </c>
      <c r="B1541" s="49" t="s">
        <v>13562</v>
      </c>
      <c r="C1541" s="49"/>
      <c r="D1541" s="49" t="s">
        <v>1264</v>
      </c>
      <c r="E1541" s="49" t="s">
        <v>2785</v>
      </c>
      <c r="F1541" s="49" t="s">
        <v>2786</v>
      </c>
      <c r="G1541" s="49" t="s">
        <v>4891</v>
      </c>
      <c r="H1541" s="49" t="s">
        <v>980</v>
      </c>
      <c r="I1541" s="52">
        <v>46161.494537036997</v>
      </c>
      <c r="M1541" s="49" t="s">
        <v>13564</v>
      </c>
    </row>
    <row r="1542" spans="1:13" x14ac:dyDescent="0.35">
      <c r="A1542" s="49" t="s">
        <v>14472</v>
      </c>
      <c r="B1542" s="49" t="s">
        <v>9072</v>
      </c>
      <c r="C1542" s="49" t="s">
        <v>9073</v>
      </c>
      <c r="D1542" s="49" t="s">
        <v>1264</v>
      </c>
      <c r="E1542" s="49" t="s">
        <v>2774</v>
      </c>
      <c r="F1542" s="49" t="s">
        <v>3598</v>
      </c>
      <c r="G1542" s="49" t="s">
        <v>2826</v>
      </c>
      <c r="H1542" s="49" t="s">
        <v>2827</v>
      </c>
      <c r="I1542" s="50">
        <v>35815</v>
      </c>
      <c r="J1542" s="50">
        <v>35866</v>
      </c>
      <c r="K1542" s="50">
        <v>40379</v>
      </c>
      <c r="M1542" s="49" t="s">
        <v>2970</v>
      </c>
    </row>
    <row r="1543" spans="1:13" x14ac:dyDescent="0.35">
      <c r="A1543" s="49" t="s">
        <v>9914</v>
      </c>
      <c r="B1543" s="49" t="s">
        <v>8956</v>
      </c>
      <c r="C1543" s="49"/>
      <c r="D1543" s="49" t="s">
        <v>1264</v>
      </c>
      <c r="E1543" s="49" t="s">
        <v>2814</v>
      </c>
      <c r="F1543" s="49" t="s">
        <v>2825</v>
      </c>
      <c r="G1543" s="49" t="s">
        <v>2787</v>
      </c>
      <c r="H1543" s="49" t="s">
        <v>2827</v>
      </c>
      <c r="I1543" s="50">
        <v>42101</v>
      </c>
      <c r="J1543" s="50">
        <v>42157</v>
      </c>
      <c r="K1543" s="50">
        <v>42339</v>
      </c>
      <c r="M1543" s="49" t="s">
        <v>8958</v>
      </c>
    </row>
    <row r="1544" spans="1:13" x14ac:dyDescent="0.35">
      <c r="A1544" s="49" t="s">
        <v>9914</v>
      </c>
      <c r="B1544" s="49" t="s">
        <v>9912</v>
      </c>
      <c r="C1544" s="49" t="s">
        <v>9913</v>
      </c>
      <c r="D1544" s="49" t="s">
        <v>1264</v>
      </c>
      <c r="E1544" s="49" t="s">
        <v>7057</v>
      </c>
      <c r="F1544" s="49" t="s">
        <v>2825</v>
      </c>
      <c r="G1544" s="49" t="s">
        <v>2776</v>
      </c>
      <c r="H1544" s="49" t="s">
        <v>2827</v>
      </c>
      <c r="I1544" s="50">
        <v>42356</v>
      </c>
      <c r="M1544" s="49" t="s">
        <v>9915</v>
      </c>
    </row>
    <row r="1545" spans="1:13" x14ac:dyDescent="0.35">
      <c r="A1545" s="49" t="s">
        <v>15124</v>
      </c>
      <c r="B1545" s="49" t="s">
        <v>10197</v>
      </c>
      <c r="C1545" s="49" t="s">
        <v>4739</v>
      </c>
      <c r="D1545" s="49" t="s">
        <v>1264</v>
      </c>
      <c r="E1545" s="49" t="s">
        <v>2814</v>
      </c>
      <c r="F1545" s="49" t="s">
        <v>2825</v>
      </c>
      <c r="G1545" s="49" t="s">
        <v>2776</v>
      </c>
      <c r="H1545" s="49" t="s">
        <v>2827</v>
      </c>
      <c r="I1545" s="50">
        <v>43189</v>
      </c>
      <c r="M1545" s="49" t="s">
        <v>10199</v>
      </c>
    </row>
    <row r="1546" spans="1:13" x14ac:dyDescent="0.35">
      <c r="A1546" s="49" t="s">
        <v>7258</v>
      </c>
      <c r="B1546" s="49" t="s">
        <v>6691</v>
      </c>
      <c r="C1546" s="49" t="s">
        <v>6692</v>
      </c>
      <c r="D1546" s="49" t="s">
        <v>1264</v>
      </c>
      <c r="E1546" s="49" t="s">
        <v>2908</v>
      </c>
      <c r="F1546" s="49" t="s">
        <v>3010</v>
      </c>
      <c r="G1546" s="49" t="s">
        <v>2787</v>
      </c>
      <c r="H1546" s="49" t="s">
        <v>980</v>
      </c>
      <c r="I1546" s="50">
        <v>40918</v>
      </c>
      <c r="J1546" s="50">
        <v>40924</v>
      </c>
      <c r="K1546" s="50">
        <v>42750</v>
      </c>
      <c r="M1546" s="49" t="s">
        <v>6694</v>
      </c>
    </row>
    <row r="1547" spans="1:13" x14ac:dyDescent="0.35">
      <c r="A1547" s="49" t="s">
        <v>7258</v>
      </c>
      <c r="B1547" s="49" t="s">
        <v>7257</v>
      </c>
      <c r="C1547" s="49" t="s">
        <v>4838</v>
      </c>
      <c r="D1547" s="49" t="s">
        <v>1264</v>
      </c>
      <c r="E1547" s="49" t="s">
        <v>7057</v>
      </c>
      <c r="F1547" s="49" t="s">
        <v>2825</v>
      </c>
      <c r="G1547" s="49" t="s">
        <v>2787</v>
      </c>
      <c r="H1547" s="49" t="s">
        <v>2827</v>
      </c>
      <c r="I1547" s="50">
        <v>40918</v>
      </c>
      <c r="J1547" s="50">
        <v>40927</v>
      </c>
      <c r="K1547" s="50">
        <v>42569</v>
      </c>
      <c r="M1547" s="49" t="s">
        <v>3100</v>
      </c>
    </row>
    <row r="1548" spans="1:13" x14ac:dyDescent="0.35">
      <c r="A1548" s="49" t="s">
        <v>7258</v>
      </c>
      <c r="B1548" s="49" t="s">
        <v>7259</v>
      </c>
      <c r="C1548" s="49" t="s">
        <v>3933</v>
      </c>
      <c r="D1548" s="49" t="s">
        <v>1264</v>
      </c>
      <c r="E1548" s="49" t="s">
        <v>2974</v>
      </c>
      <c r="F1548" s="49" t="s">
        <v>3108</v>
      </c>
      <c r="G1548" s="49" t="s">
        <v>2787</v>
      </c>
      <c r="H1548" s="49" t="s">
        <v>2827</v>
      </c>
      <c r="I1548" s="50">
        <v>40918</v>
      </c>
      <c r="J1548" s="50">
        <v>41001</v>
      </c>
      <c r="K1548" s="50">
        <v>42023</v>
      </c>
      <c r="M1548" s="49" t="s">
        <v>7260</v>
      </c>
    </row>
    <row r="1549" spans="1:13" x14ac:dyDescent="0.35">
      <c r="A1549" s="49" t="s">
        <v>7258</v>
      </c>
      <c r="B1549" s="49" t="s">
        <v>7887</v>
      </c>
      <c r="C1549" s="49" t="s">
        <v>7888</v>
      </c>
      <c r="D1549" s="49" t="s">
        <v>1264</v>
      </c>
      <c r="E1549" s="49" t="s">
        <v>2774</v>
      </c>
      <c r="F1549" s="49" t="s">
        <v>3005</v>
      </c>
      <c r="G1549" s="49" t="s">
        <v>2826</v>
      </c>
      <c r="H1549" s="49" t="s">
        <v>1062</v>
      </c>
      <c r="I1549" s="50">
        <v>40703</v>
      </c>
      <c r="J1549" s="50">
        <v>40991</v>
      </c>
      <c r="K1549" s="50">
        <v>41816</v>
      </c>
      <c r="M1549" s="49" t="s">
        <v>7889</v>
      </c>
    </row>
    <row r="1550" spans="1:13" x14ac:dyDescent="0.35">
      <c r="A1550" s="49" t="s">
        <v>14821</v>
      </c>
      <c r="B1550" s="49" t="s">
        <v>8282</v>
      </c>
      <c r="C1550" s="49" t="s">
        <v>8283</v>
      </c>
      <c r="D1550" s="49" t="s">
        <v>1264</v>
      </c>
      <c r="E1550" s="49" t="s">
        <v>2974</v>
      </c>
      <c r="F1550" s="49" t="s">
        <v>2900</v>
      </c>
      <c r="G1550" s="49" t="s">
        <v>2787</v>
      </c>
      <c r="H1550" s="49" t="s">
        <v>980</v>
      </c>
      <c r="I1550" s="50">
        <v>40029</v>
      </c>
      <c r="J1550" s="50">
        <v>40066</v>
      </c>
      <c r="K1550" s="50">
        <v>41161</v>
      </c>
      <c r="M1550" s="49" t="s">
        <v>8285</v>
      </c>
    </row>
    <row r="1551" spans="1:13" x14ac:dyDescent="0.35">
      <c r="A1551" s="49" t="s">
        <v>14821</v>
      </c>
      <c r="B1551" s="49" t="s">
        <v>8370</v>
      </c>
      <c r="C1551" s="49" t="s">
        <v>8371</v>
      </c>
      <c r="D1551" s="49" t="s">
        <v>1264</v>
      </c>
      <c r="E1551" s="49" t="s">
        <v>2908</v>
      </c>
      <c r="F1551" s="49" t="s">
        <v>3010</v>
      </c>
      <c r="G1551" s="49" t="s">
        <v>2787</v>
      </c>
      <c r="H1551" s="49" t="s">
        <v>980</v>
      </c>
      <c r="I1551" s="50">
        <v>40029</v>
      </c>
      <c r="J1551" s="50">
        <v>40112</v>
      </c>
      <c r="K1551" s="50">
        <v>41937</v>
      </c>
      <c r="M1551" s="49" t="s">
        <v>8372</v>
      </c>
    </row>
    <row r="1552" spans="1:13" x14ac:dyDescent="0.35">
      <c r="A1552" s="49" t="s">
        <v>15353</v>
      </c>
      <c r="B1552" s="49" t="s">
        <v>11706</v>
      </c>
      <c r="C1552" s="49"/>
      <c r="D1552" s="49" t="s">
        <v>1264</v>
      </c>
      <c r="E1552" s="49" t="s">
        <v>2774</v>
      </c>
      <c r="F1552" s="49" t="s">
        <v>4842</v>
      </c>
      <c r="G1552" s="49" t="s">
        <v>4891</v>
      </c>
      <c r="H1552" s="49" t="s">
        <v>973</v>
      </c>
      <c r="I1552" s="50">
        <v>45257</v>
      </c>
      <c r="M1552" s="49" t="s">
        <v>11708</v>
      </c>
    </row>
    <row r="1553" spans="1:13" x14ac:dyDescent="0.35">
      <c r="A1553" s="49" t="s">
        <v>14908</v>
      </c>
      <c r="B1553" s="49" t="s">
        <v>6593</v>
      </c>
      <c r="C1553" s="49" t="s">
        <v>6594</v>
      </c>
      <c r="D1553" s="49" t="s">
        <v>1264</v>
      </c>
      <c r="E1553" s="49" t="s">
        <v>2785</v>
      </c>
      <c r="F1553" s="49" t="s">
        <v>2786</v>
      </c>
      <c r="G1553" s="49" t="s">
        <v>2901</v>
      </c>
      <c r="H1553" s="49" t="s">
        <v>980</v>
      </c>
      <c r="I1553" s="50">
        <v>45343</v>
      </c>
      <c r="J1553" s="50">
        <v>45350</v>
      </c>
      <c r="K1553" s="50">
        <v>45715</v>
      </c>
      <c r="M1553" s="49" t="s">
        <v>6596</v>
      </c>
    </row>
    <row r="1554" spans="1:13" x14ac:dyDescent="0.35">
      <c r="A1554" s="49" t="s">
        <v>5429</v>
      </c>
      <c r="B1554" s="49" t="s">
        <v>4369</v>
      </c>
      <c r="C1554" s="49" t="s">
        <v>2937</v>
      </c>
      <c r="D1554" s="49" t="s">
        <v>1264</v>
      </c>
      <c r="E1554" s="49" t="s">
        <v>2814</v>
      </c>
      <c r="F1554" s="49" t="s">
        <v>2939</v>
      </c>
      <c r="G1554" s="49" t="s">
        <v>2787</v>
      </c>
      <c r="H1554" s="49" t="s">
        <v>980</v>
      </c>
      <c r="I1554" s="50">
        <v>44368</v>
      </c>
      <c r="J1554" s="50">
        <v>44372</v>
      </c>
      <c r="K1554" s="50">
        <v>44736</v>
      </c>
      <c r="M1554" s="49" t="s">
        <v>4371</v>
      </c>
    </row>
    <row r="1555" spans="1:13" x14ac:dyDescent="0.35">
      <c r="A1555" s="49" t="s">
        <v>5429</v>
      </c>
      <c r="B1555" s="49" t="s">
        <v>5428</v>
      </c>
      <c r="C1555" s="49" t="s">
        <v>2937</v>
      </c>
      <c r="D1555" s="49" t="s">
        <v>1264</v>
      </c>
      <c r="E1555" s="49" t="s">
        <v>2774</v>
      </c>
      <c r="F1555" s="49" t="s">
        <v>2939</v>
      </c>
      <c r="G1555" s="49" t="s">
        <v>2901</v>
      </c>
      <c r="H1555" s="49" t="s">
        <v>980</v>
      </c>
      <c r="I1555" s="50">
        <v>44904</v>
      </c>
      <c r="J1555" s="50">
        <v>44974</v>
      </c>
      <c r="K1555" s="50">
        <v>46434</v>
      </c>
      <c r="M1555" s="49" t="s">
        <v>5430</v>
      </c>
    </row>
    <row r="1556" spans="1:13" x14ac:dyDescent="0.35">
      <c r="A1556" s="49" t="s">
        <v>14909</v>
      </c>
      <c r="B1556" s="49" t="s">
        <v>12408</v>
      </c>
      <c r="C1556" s="49"/>
      <c r="D1556" s="49" t="s">
        <v>1264</v>
      </c>
      <c r="E1556" s="49" t="s">
        <v>2986</v>
      </c>
      <c r="F1556" s="49" t="s">
        <v>2825</v>
      </c>
      <c r="G1556" s="49" t="s">
        <v>4891</v>
      </c>
      <c r="H1556" s="49" t="s">
        <v>973</v>
      </c>
      <c r="I1556" s="50">
        <v>45397</v>
      </c>
      <c r="M1556" s="49" t="s">
        <v>12410</v>
      </c>
    </row>
    <row r="1557" spans="1:13" x14ac:dyDescent="0.35">
      <c r="A1557" s="49" t="s">
        <v>279</v>
      </c>
      <c r="B1557" s="49" t="s">
        <v>5554</v>
      </c>
      <c r="C1557" s="49" t="s">
        <v>5555</v>
      </c>
      <c r="D1557" s="49" t="s">
        <v>1264</v>
      </c>
      <c r="E1557" s="49" t="s">
        <v>2986</v>
      </c>
      <c r="F1557" s="49" t="s">
        <v>2825</v>
      </c>
      <c r="G1557" s="49" t="s">
        <v>2901</v>
      </c>
      <c r="H1557" s="49" t="s">
        <v>2827</v>
      </c>
      <c r="I1557" s="50">
        <v>45062</v>
      </c>
      <c r="J1557" s="50">
        <v>45436</v>
      </c>
      <c r="K1557" s="50">
        <v>46530</v>
      </c>
      <c r="M1557" s="49" t="s">
        <v>3270</v>
      </c>
    </row>
    <row r="1558" spans="1:13" x14ac:dyDescent="0.35">
      <c r="A1558" s="49" t="s">
        <v>279</v>
      </c>
      <c r="B1558" s="49" t="s">
        <v>11400</v>
      </c>
      <c r="C1558" s="49"/>
      <c r="D1558" s="49" t="s">
        <v>1264</v>
      </c>
      <c r="E1558" s="49" t="s">
        <v>2908</v>
      </c>
      <c r="F1558" s="49" t="s">
        <v>2837</v>
      </c>
      <c r="G1558" s="49" t="s">
        <v>4891</v>
      </c>
      <c r="H1558" s="49" t="s">
        <v>2827</v>
      </c>
      <c r="I1558" s="50">
        <v>45083</v>
      </c>
      <c r="M1558" s="49" t="s">
        <v>11401</v>
      </c>
    </row>
    <row r="1559" spans="1:13" x14ac:dyDescent="0.35">
      <c r="A1559" s="49" t="s">
        <v>14687</v>
      </c>
      <c r="B1559" s="49" t="s">
        <v>13924</v>
      </c>
      <c r="C1559" s="49"/>
      <c r="D1559" s="49" t="s">
        <v>1264</v>
      </c>
      <c r="E1559" s="49" t="s">
        <v>2774</v>
      </c>
      <c r="F1559" s="49" t="s">
        <v>4842</v>
      </c>
      <c r="G1559" s="49" t="s">
        <v>2826</v>
      </c>
      <c r="H1559" s="49" t="s">
        <v>2827</v>
      </c>
      <c r="I1559" s="50">
        <v>42541</v>
      </c>
      <c r="M1559" s="49" t="s">
        <v>13926</v>
      </c>
    </row>
    <row r="1560" spans="1:13" x14ac:dyDescent="0.35">
      <c r="A1560" s="49" t="s">
        <v>15070</v>
      </c>
      <c r="B1560" s="49" t="s">
        <v>10209</v>
      </c>
      <c r="C1560" s="49"/>
      <c r="D1560" s="49" t="s">
        <v>1264</v>
      </c>
      <c r="E1560" s="49" t="s">
        <v>2814</v>
      </c>
      <c r="F1560" s="49" t="s">
        <v>10211</v>
      </c>
      <c r="G1560" s="49" t="s">
        <v>2776</v>
      </c>
      <c r="H1560" s="49" t="s">
        <v>835</v>
      </c>
      <c r="I1560" s="50">
        <v>42304</v>
      </c>
      <c r="M1560" s="49" t="s">
        <v>3470</v>
      </c>
    </row>
    <row r="1561" spans="1:13" x14ac:dyDescent="0.35">
      <c r="A1561" s="49" t="s">
        <v>14910</v>
      </c>
      <c r="B1561" s="49" t="s">
        <v>5072</v>
      </c>
      <c r="C1561" s="49"/>
      <c r="D1561" s="49" t="s">
        <v>1264</v>
      </c>
      <c r="E1561" s="49" t="s">
        <v>3443</v>
      </c>
      <c r="F1561" s="49" t="s">
        <v>3124</v>
      </c>
      <c r="G1561" s="49" t="s">
        <v>2901</v>
      </c>
      <c r="H1561" s="49" t="s">
        <v>980</v>
      </c>
      <c r="I1561" s="50">
        <v>44423</v>
      </c>
      <c r="J1561" s="50">
        <v>44704</v>
      </c>
      <c r="K1561" s="50">
        <v>46529</v>
      </c>
    </row>
    <row r="1562" spans="1:13" x14ac:dyDescent="0.35">
      <c r="A1562" s="49" t="s">
        <v>14910</v>
      </c>
      <c r="B1562" s="49" t="s">
        <v>6382</v>
      </c>
      <c r="C1562" s="49" t="s">
        <v>6383</v>
      </c>
      <c r="D1562" s="49" t="s">
        <v>1264</v>
      </c>
      <c r="E1562" s="49" t="s">
        <v>2908</v>
      </c>
      <c r="F1562" s="49" t="s">
        <v>2837</v>
      </c>
      <c r="G1562" s="49" t="s">
        <v>2901</v>
      </c>
      <c r="H1562" s="49" t="s">
        <v>2827</v>
      </c>
      <c r="I1562" s="50">
        <v>45257</v>
      </c>
      <c r="J1562" s="50">
        <v>44612</v>
      </c>
      <c r="K1562" s="50">
        <v>46437</v>
      </c>
      <c r="M1562" s="49" t="s">
        <v>6384</v>
      </c>
    </row>
    <row r="1563" spans="1:13" x14ac:dyDescent="0.35">
      <c r="A1563" s="49" t="s">
        <v>15125</v>
      </c>
      <c r="B1563" s="49" t="s">
        <v>12726</v>
      </c>
      <c r="C1563" s="49" t="s">
        <v>5800</v>
      </c>
      <c r="D1563" s="49" t="s">
        <v>1264</v>
      </c>
      <c r="E1563" s="49" t="s">
        <v>2785</v>
      </c>
      <c r="F1563" s="49" t="s">
        <v>2786</v>
      </c>
      <c r="G1563" s="49" t="s">
        <v>4891</v>
      </c>
      <c r="H1563" s="49" t="s">
        <v>980</v>
      </c>
      <c r="I1563" s="50">
        <v>45510</v>
      </c>
      <c r="M1563" s="49" t="s">
        <v>12728</v>
      </c>
    </row>
    <row r="1564" spans="1:13" x14ac:dyDescent="0.35">
      <c r="A1564" s="49" t="s">
        <v>14774</v>
      </c>
      <c r="B1564" s="49" t="s">
        <v>10262</v>
      </c>
      <c r="C1564" s="49"/>
      <c r="D1564" s="49" t="s">
        <v>1264</v>
      </c>
      <c r="E1564" s="49" t="s">
        <v>2814</v>
      </c>
      <c r="F1564" s="49" t="s">
        <v>2825</v>
      </c>
      <c r="G1564" s="49" t="s">
        <v>2776</v>
      </c>
      <c r="H1564" s="49" t="s">
        <v>2827</v>
      </c>
      <c r="I1564" s="50">
        <v>42236</v>
      </c>
      <c r="M1564" s="49" t="s">
        <v>10153</v>
      </c>
    </row>
    <row r="1565" spans="1:13" x14ac:dyDescent="0.35">
      <c r="A1565" s="49" t="s">
        <v>10454</v>
      </c>
      <c r="B1565" s="49" t="s">
        <v>10453</v>
      </c>
      <c r="C1565" s="49"/>
      <c r="D1565" s="49" t="s">
        <v>1264</v>
      </c>
      <c r="E1565" s="49" t="s">
        <v>2814</v>
      </c>
      <c r="F1565" s="49" t="s">
        <v>2825</v>
      </c>
      <c r="G1565" s="49" t="s">
        <v>2776</v>
      </c>
      <c r="H1565" s="49" t="s">
        <v>2827</v>
      </c>
      <c r="I1565" s="50">
        <v>42874</v>
      </c>
      <c r="M1565" s="49" t="s">
        <v>3270</v>
      </c>
    </row>
    <row r="1566" spans="1:13" x14ac:dyDescent="0.35">
      <c r="A1566" s="49" t="s">
        <v>14522</v>
      </c>
      <c r="B1566" s="49" t="s">
        <v>9693</v>
      </c>
      <c r="C1566" s="49" t="s">
        <v>2937</v>
      </c>
      <c r="D1566" s="49" t="s">
        <v>1264</v>
      </c>
      <c r="E1566" s="49" t="s">
        <v>2908</v>
      </c>
      <c r="F1566" s="49" t="s">
        <v>2939</v>
      </c>
      <c r="G1566" s="49" t="s">
        <v>2776</v>
      </c>
      <c r="H1566" s="49" t="s">
        <v>980</v>
      </c>
      <c r="I1566" s="50">
        <v>42732</v>
      </c>
      <c r="M1566" s="49" t="s">
        <v>9695</v>
      </c>
    </row>
    <row r="1567" spans="1:13" x14ac:dyDescent="0.35">
      <c r="A1567" s="49" t="s">
        <v>8586</v>
      </c>
      <c r="B1567" s="49" t="s">
        <v>8584</v>
      </c>
      <c r="C1567" s="49" t="s">
        <v>8585</v>
      </c>
      <c r="D1567" s="49" t="s">
        <v>1264</v>
      </c>
      <c r="E1567" s="49" t="s">
        <v>2986</v>
      </c>
      <c r="F1567" s="49" t="s">
        <v>2825</v>
      </c>
      <c r="G1567" s="49" t="s">
        <v>2787</v>
      </c>
      <c r="H1567" s="49" t="s">
        <v>2827</v>
      </c>
      <c r="I1567" s="50">
        <v>42604</v>
      </c>
      <c r="J1567" s="50">
        <v>42969</v>
      </c>
      <c r="K1567" s="50">
        <v>44065</v>
      </c>
      <c r="M1567" s="49" t="s">
        <v>8587</v>
      </c>
    </row>
    <row r="1568" spans="1:13" x14ac:dyDescent="0.35">
      <c r="A1568" s="49" t="s">
        <v>14911</v>
      </c>
      <c r="B1568" s="49" t="s">
        <v>5158</v>
      </c>
      <c r="C1568" s="49" t="s">
        <v>3768</v>
      </c>
      <c r="D1568" s="49" t="s">
        <v>1264</v>
      </c>
      <c r="E1568" s="49" t="s">
        <v>3443</v>
      </c>
      <c r="F1568" s="49" t="s">
        <v>3124</v>
      </c>
      <c r="G1568" s="49" t="s">
        <v>4330</v>
      </c>
      <c r="H1568" s="49" t="s">
        <v>980</v>
      </c>
      <c r="I1568" s="50">
        <v>44811</v>
      </c>
    </row>
    <row r="1569" spans="1:13" x14ac:dyDescent="0.35">
      <c r="A1569" s="49" t="s">
        <v>14911</v>
      </c>
      <c r="B1569" s="49" t="s">
        <v>5170</v>
      </c>
      <c r="C1569" s="49" t="s">
        <v>4572</v>
      </c>
      <c r="D1569" s="49" t="s">
        <v>1264</v>
      </c>
      <c r="E1569" s="49" t="s">
        <v>2785</v>
      </c>
      <c r="F1569" s="49" t="s">
        <v>2786</v>
      </c>
      <c r="G1569" s="49" t="s">
        <v>4330</v>
      </c>
      <c r="H1569" s="49" t="s">
        <v>980</v>
      </c>
      <c r="I1569" s="50">
        <v>44811</v>
      </c>
      <c r="M1569" s="49" t="s">
        <v>5171</v>
      </c>
    </row>
    <row r="1570" spans="1:13" x14ac:dyDescent="0.35">
      <c r="A1570" s="49" t="s">
        <v>14911</v>
      </c>
      <c r="B1570" s="49" t="s">
        <v>11157</v>
      </c>
      <c r="C1570" s="49" t="s">
        <v>6040</v>
      </c>
      <c r="D1570" s="49" t="s">
        <v>1264</v>
      </c>
      <c r="E1570" s="49" t="s">
        <v>2785</v>
      </c>
      <c r="F1570" s="49" t="s">
        <v>2792</v>
      </c>
      <c r="G1570" s="49" t="s">
        <v>2776</v>
      </c>
      <c r="H1570" s="49" t="s">
        <v>980</v>
      </c>
      <c r="I1570" s="50">
        <v>44830</v>
      </c>
      <c r="M1570" s="49" t="s">
        <v>11158</v>
      </c>
    </row>
    <row r="1571" spans="1:13" x14ac:dyDescent="0.35">
      <c r="A1571" s="49" t="s">
        <v>10296</v>
      </c>
      <c r="B1571" s="49" t="s">
        <v>10295</v>
      </c>
      <c r="C1571" s="49"/>
      <c r="D1571" s="49" t="s">
        <v>1264</v>
      </c>
      <c r="E1571" s="49" t="s">
        <v>2814</v>
      </c>
      <c r="F1571" s="49" t="s">
        <v>2825</v>
      </c>
      <c r="G1571" s="49" t="s">
        <v>2776</v>
      </c>
      <c r="H1571" s="49" t="s">
        <v>2827</v>
      </c>
      <c r="I1571" s="50">
        <v>42730</v>
      </c>
      <c r="M1571" s="49" t="s">
        <v>3470</v>
      </c>
    </row>
    <row r="1572" spans="1:13" x14ac:dyDescent="0.35">
      <c r="A1572" s="49" t="s">
        <v>15126</v>
      </c>
      <c r="B1572" s="49" t="s">
        <v>7261</v>
      </c>
      <c r="C1572" s="49" t="s">
        <v>4293</v>
      </c>
      <c r="D1572" s="49" t="s">
        <v>1264</v>
      </c>
      <c r="E1572" s="49" t="s">
        <v>2785</v>
      </c>
      <c r="F1572" s="49" t="s">
        <v>2786</v>
      </c>
      <c r="G1572" s="49" t="s">
        <v>2787</v>
      </c>
      <c r="H1572" s="49" t="s">
        <v>980</v>
      </c>
      <c r="I1572" s="50">
        <v>43530</v>
      </c>
      <c r="J1572" s="50">
        <v>43549</v>
      </c>
      <c r="K1572" s="50">
        <v>43670</v>
      </c>
      <c r="M1572" s="49" t="s">
        <v>7263</v>
      </c>
    </row>
    <row r="1573" spans="1:13" x14ac:dyDescent="0.35">
      <c r="A1573" s="49" t="s">
        <v>10388</v>
      </c>
      <c r="B1573" s="49" t="s">
        <v>10387</v>
      </c>
      <c r="C1573" s="49"/>
      <c r="D1573" s="49" t="s">
        <v>1264</v>
      </c>
      <c r="E1573" s="49" t="s">
        <v>2814</v>
      </c>
      <c r="F1573" s="49" t="s">
        <v>2825</v>
      </c>
      <c r="G1573" s="49" t="s">
        <v>2776</v>
      </c>
      <c r="H1573" s="49" t="s">
        <v>2827</v>
      </c>
      <c r="I1573" s="50">
        <v>42718</v>
      </c>
      <c r="M1573" s="49" t="s">
        <v>3470</v>
      </c>
    </row>
    <row r="1574" spans="1:13" x14ac:dyDescent="0.35">
      <c r="A1574" s="49" t="s">
        <v>9835</v>
      </c>
      <c r="B1574" s="49" t="s">
        <v>9834</v>
      </c>
      <c r="C1574" s="49" t="s">
        <v>8</v>
      </c>
      <c r="D1574" s="49" t="s">
        <v>1264</v>
      </c>
      <c r="E1574" s="49" t="s">
        <v>2785</v>
      </c>
      <c r="F1574" s="49" t="s">
        <v>9836</v>
      </c>
      <c r="G1574" s="49" t="s">
        <v>2776</v>
      </c>
      <c r="H1574" s="49" t="s">
        <v>8</v>
      </c>
      <c r="I1574" s="50">
        <v>42401</v>
      </c>
      <c r="M1574" s="49" t="s">
        <v>3526</v>
      </c>
    </row>
    <row r="1575" spans="1:13" x14ac:dyDescent="0.35">
      <c r="A1575" s="49" t="s">
        <v>9835</v>
      </c>
      <c r="B1575" s="49" t="s">
        <v>9837</v>
      </c>
      <c r="C1575" s="49" t="s">
        <v>9838</v>
      </c>
      <c r="D1575" s="49" t="s">
        <v>1264</v>
      </c>
      <c r="E1575" s="49" t="s">
        <v>2785</v>
      </c>
      <c r="F1575" s="49" t="s">
        <v>2786</v>
      </c>
      <c r="G1575" s="49" t="s">
        <v>2776</v>
      </c>
      <c r="H1575" s="49" t="s">
        <v>8</v>
      </c>
      <c r="I1575" s="50">
        <v>42401</v>
      </c>
      <c r="M1575" s="49" t="s">
        <v>8237</v>
      </c>
    </row>
    <row r="1576" spans="1:13" x14ac:dyDescent="0.35">
      <c r="A1576" s="49" t="s">
        <v>15354</v>
      </c>
      <c r="B1576" s="49" t="s">
        <v>6707</v>
      </c>
      <c r="C1576" s="49" t="s">
        <v>3021</v>
      </c>
      <c r="D1576" s="49" t="s">
        <v>1264</v>
      </c>
      <c r="E1576" s="49" t="s">
        <v>2785</v>
      </c>
      <c r="F1576" s="49" t="s">
        <v>2805</v>
      </c>
      <c r="G1576" s="49" t="s">
        <v>2776</v>
      </c>
      <c r="H1576" s="49" t="s">
        <v>2832</v>
      </c>
      <c r="I1576" s="50">
        <v>45264</v>
      </c>
      <c r="M1576" s="49" t="s">
        <v>6709</v>
      </c>
    </row>
    <row r="1577" spans="1:13" x14ac:dyDescent="0.35">
      <c r="A1577" s="49" t="s">
        <v>15354</v>
      </c>
      <c r="B1577" s="49" t="s">
        <v>11768</v>
      </c>
      <c r="C1577" s="49" t="s">
        <v>11769</v>
      </c>
      <c r="D1577" s="49" t="s">
        <v>1264</v>
      </c>
      <c r="E1577" s="49" t="s">
        <v>2774</v>
      </c>
      <c r="F1577" s="49" t="s">
        <v>2900</v>
      </c>
      <c r="G1577" s="49" t="s">
        <v>4891</v>
      </c>
      <c r="H1577" s="49" t="s">
        <v>8</v>
      </c>
      <c r="I1577" s="50">
        <v>45264</v>
      </c>
      <c r="M1577" s="49" t="s">
        <v>11770</v>
      </c>
    </row>
    <row r="1578" spans="1:13" x14ac:dyDescent="0.35">
      <c r="A1578" s="49" t="s">
        <v>14912</v>
      </c>
      <c r="B1578" s="49" t="s">
        <v>5566</v>
      </c>
      <c r="C1578" s="49" t="s">
        <v>5567</v>
      </c>
      <c r="D1578" s="49" t="s">
        <v>1264</v>
      </c>
      <c r="E1578" s="49" t="s">
        <v>2986</v>
      </c>
      <c r="F1578" s="49" t="s">
        <v>2825</v>
      </c>
      <c r="G1578" s="49" t="s">
        <v>4330</v>
      </c>
      <c r="H1578" s="49" t="s">
        <v>973</v>
      </c>
      <c r="I1578" s="50">
        <v>45072</v>
      </c>
      <c r="M1578" s="49" t="s">
        <v>5569</v>
      </c>
    </row>
    <row r="1579" spans="1:13" x14ac:dyDescent="0.35">
      <c r="A1579" s="49" t="s">
        <v>15355</v>
      </c>
      <c r="B1579" s="49" t="s">
        <v>9168</v>
      </c>
      <c r="C1579" s="49" t="s">
        <v>8581</v>
      </c>
      <c r="D1579" s="49" t="s">
        <v>1264</v>
      </c>
      <c r="E1579" s="49" t="s">
        <v>2908</v>
      </c>
      <c r="F1579" s="49" t="s">
        <v>2837</v>
      </c>
      <c r="G1579" s="49" t="s">
        <v>2776</v>
      </c>
      <c r="H1579" s="49" t="s">
        <v>980</v>
      </c>
      <c r="I1579" s="50">
        <v>43311</v>
      </c>
      <c r="M1579" s="49" t="s">
        <v>9170</v>
      </c>
    </row>
    <row r="1580" spans="1:13" x14ac:dyDescent="0.35">
      <c r="A1580" s="49" t="s">
        <v>14413</v>
      </c>
      <c r="B1580" s="49" t="s">
        <v>8215</v>
      </c>
      <c r="C1580" s="49" t="s">
        <v>8216</v>
      </c>
      <c r="D1580" s="49" t="s">
        <v>1264</v>
      </c>
      <c r="E1580" s="49" t="s">
        <v>2908</v>
      </c>
      <c r="F1580" s="49" t="s">
        <v>2939</v>
      </c>
      <c r="G1580" s="49" t="s">
        <v>2787</v>
      </c>
      <c r="H1580" s="49" t="s">
        <v>980</v>
      </c>
      <c r="I1580" s="50">
        <v>35347</v>
      </c>
      <c r="J1580" s="50">
        <v>35685</v>
      </c>
      <c r="K1580" s="50">
        <v>37510</v>
      </c>
      <c r="M1580" s="49" t="s">
        <v>8218</v>
      </c>
    </row>
    <row r="1581" spans="1:13" x14ac:dyDescent="0.35">
      <c r="A1581" s="49" t="s">
        <v>14477</v>
      </c>
      <c r="B1581" s="49" t="s">
        <v>9185</v>
      </c>
      <c r="C1581" s="49"/>
      <c r="D1581" s="49" t="s">
        <v>1264</v>
      </c>
      <c r="E1581" s="49" t="s">
        <v>2908</v>
      </c>
      <c r="F1581" s="49" t="s">
        <v>2805</v>
      </c>
      <c r="G1581" s="49" t="s">
        <v>2776</v>
      </c>
      <c r="H1581" s="49" t="s">
        <v>2806</v>
      </c>
      <c r="I1581" s="50">
        <v>43987</v>
      </c>
      <c r="M1581" s="49" t="s">
        <v>9187</v>
      </c>
    </row>
    <row r="1582" spans="1:13" x14ac:dyDescent="0.35">
      <c r="A1582" s="49" t="s">
        <v>14477</v>
      </c>
      <c r="B1582" s="49" t="s">
        <v>9460</v>
      </c>
      <c r="C1582" s="49" t="s">
        <v>3881</v>
      </c>
      <c r="D1582" s="49" t="s">
        <v>1264</v>
      </c>
      <c r="E1582" s="49" t="s">
        <v>2785</v>
      </c>
      <c r="F1582" s="49" t="s">
        <v>2786</v>
      </c>
      <c r="G1582" s="49" t="s">
        <v>2776</v>
      </c>
      <c r="H1582" s="49" t="s">
        <v>980</v>
      </c>
      <c r="I1582" s="50">
        <v>43998</v>
      </c>
      <c r="M1582" s="49" t="s">
        <v>9461</v>
      </c>
    </row>
    <row r="1583" spans="1:13" x14ac:dyDescent="0.35">
      <c r="A1583" s="49" t="s">
        <v>15127</v>
      </c>
      <c r="B1583" s="49" t="s">
        <v>5395</v>
      </c>
      <c r="C1583" s="49"/>
      <c r="D1583" s="49" t="s">
        <v>1264</v>
      </c>
      <c r="E1583" s="49" t="s">
        <v>3443</v>
      </c>
      <c r="F1583" s="49" t="s">
        <v>3124</v>
      </c>
      <c r="G1583" s="49" t="s">
        <v>2901</v>
      </c>
      <c r="H1583" s="49" t="s">
        <v>980</v>
      </c>
      <c r="I1583" s="50">
        <v>44640</v>
      </c>
      <c r="J1583" s="50">
        <v>44930</v>
      </c>
      <c r="K1583" s="50">
        <v>46755</v>
      </c>
    </row>
    <row r="1584" spans="1:13" x14ac:dyDescent="0.35">
      <c r="A1584" s="49" t="s">
        <v>7993</v>
      </c>
      <c r="B1584" s="49" t="s">
        <v>7992</v>
      </c>
      <c r="C1584" s="49" t="s">
        <v>3615</v>
      </c>
      <c r="D1584" s="49" t="s">
        <v>1264</v>
      </c>
      <c r="E1584" s="49" t="s">
        <v>2908</v>
      </c>
      <c r="F1584" s="49" t="s">
        <v>3010</v>
      </c>
      <c r="G1584" s="49" t="s">
        <v>2975</v>
      </c>
      <c r="H1584" s="49" t="s">
        <v>980</v>
      </c>
      <c r="I1584" s="50">
        <v>42115</v>
      </c>
      <c r="J1584" s="50">
        <v>42460</v>
      </c>
      <c r="K1584" s="50">
        <v>44285</v>
      </c>
      <c r="M1584" s="49" t="s">
        <v>7994</v>
      </c>
    </row>
    <row r="1585" spans="1:13" x14ac:dyDescent="0.35">
      <c r="A1585" s="49" t="s">
        <v>10225</v>
      </c>
      <c r="B1585" s="49" t="s">
        <v>10224</v>
      </c>
      <c r="C1585" s="49"/>
      <c r="D1585" s="49" t="s">
        <v>1264</v>
      </c>
      <c r="E1585" s="49" t="s">
        <v>2814</v>
      </c>
      <c r="F1585" s="49" t="s">
        <v>2825</v>
      </c>
      <c r="G1585" s="49" t="s">
        <v>2776</v>
      </c>
      <c r="H1585" s="49" t="s">
        <v>2827</v>
      </c>
      <c r="I1585" s="50">
        <v>42703</v>
      </c>
      <c r="M1585" s="49" t="s">
        <v>10226</v>
      </c>
    </row>
    <row r="1586" spans="1:13" x14ac:dyDescent="0.35">
      <c r="A1586" s="49" t="s">
        <v>14913</v>
      </c>
      <c r="B1586" s="49" t="s">
        <v>8592</v>
      </c>
      <c r="C1586" s="49" t="s">
        <v>8593</v>
      </c>
      <c r="D1586" s="49" t="s">
        <v>1264</v>
      </c>
      <c r="E1586" s="49" t="s">
        <v>7057</v>
      </c>
      <c r="F1586" s="49" t="s">
        <v>2825</v>
      </c>
      <c r="G1586" s="49" t="s">
        <v>2787</v>
      </c>
      <c r="H1586" s="49" t="s">
        <v>2827</v>
      </c>
      <c r="I1586" s="50">
        <v>41731</v>
      </c>
      <c r="J1586" s="50">
        <v>41919</v>
      </c>
      <c r="K1586" s="50">
        <v>42650</v>
      </c>
      <c r="M1586" s="49" t="s">
        <v>8595</v>
      </c>
    </row>
    <row r="1587" spans="1:13" x14ac:dyDescent="0.35">
      <c r="A1587" s="49" t="s">
        <v>14913</v>
      </c>
      <c r="B1587" s="49" t="s">
        <v>8596</v>
      </c>
      <c r="C1587" s="49" t="s">
        <v>8597</v>
      </c>
      <c r="D1587" s="49" t="s">
        <v>1264</v>
      </c>
      <c r="E1587" s="49" t="s">
        <v>7057</v>
      </c>
      <c r="F1587" s="49" t="s">
        <v>2825</v>
      </c>
      <c r="G1587" s="49" t="s">
        <v>2787</v>
      </c>
      <c r="H1587" s="49" t="s">
        <v>2827</v>
      </c>
      <c r="I1587" s="50">
        <v>41684</v>
      </c>
      <c r="J1587" s="50">
        <v>41919</v>
      </c>
      <c r="K1587" s="50">
        <v>42649</v>
      </c>
      <c r="M1587" s="49" t="s">
        <v>8598</v>
      </c>
    </row>
    <row r="1588" spans="1:13" x14ac:dyDescent="0.35">
      <c r="A1588" s="49" t="s">
        <v>14913</v>
      </c>
      <c r="B1588" s="49" t="s">
        <v>10106</v>
      </c>
      <c r="C1588" s="49"/>
      <c r="D1588" s="49" t="s">
        <v>1264</v>
      </c>
      <c r="E1588" s="49" t="s">
        <v>2814</v>
      </c>
      <c r="F1588" s="49" t="s">
        <v>2825</v>
      </c>
      <c r="G1588" s="49" t="s">
        <v>2776</v>
      </c>
      <c r="H1588" s="49" t="s">
        <v>2827</v>
      </c>
      <c r="I1588" s="50">
        <v>41393</v>
      </c>
      <c r="M1588" s="49" t="s">
        <v>10107</v>
      </c>
    </row>
    <row r="1589" spans="1:13" x14ac:dyDescent="0.35">
      <c r="A1589" s="49" t="s">
        <v>14914</v>
      </c>
      <c r="B1589" s="49" t="s">
        <v>13398</v>
      </c>
      <c r="C1589" s="49"/>
      <c r="D1589" s="49" t="s">
        <v>1264</v>
      </c>
      <c r="E1589" s="49" t="s">
        <v>2785</v>
      </c>
      <c r="F1589" s="49" t="s">
        <v>2792</v>
      </c>
      <c r="G1589" s="49" t="s">
        <v>4891</v>
      </c>
      <c r="H1589" s="49" t="s">
        <v>2806</v>
      </c>
      <c r="I1589" s="52">
        <v>46120.529155092598</v>
      </c>
      <c r="M1589" s="49" t="s">
        <v>13400</v>
      </c>
    </row>
    <row r="1590" spans="1:13" x14ac:dyDescent="0.35">
      <c r="A1590" s="49" t="s">
        <v>14915</v>
      </c>
      <c r="B1590" s="49" t="s">
        <v>10082</v>
      </c>
      <c r="C1590" s="49" t="s">
        <v>10083</v>
      </c>
      <c r="D1590" s="49" t="s">
        <v>1264</v>
      </c>
      <c r="E1590" s="49" t="s">
        <v>2986</v>
      </c>
      <c r="F1590" s="49" t="s">
        <v>2825</v>
      </c>
      <c r="G1590" s="49" t="s">
        <v>2776</v>
      </c>
      <c r="H1590" s="49" t="s">
        <v>2827</v>
      </c>
      <c r="I1590" s="50">
        <v>44102</v>
      </c>
      <c r="M1590" s="49" t="s">
        <v>10085</v>
      </c>
    </row>
    <row r="1591" spans="1:13" x14ac:dyDescent="0.35">
      <c r="A1591" s="49" t="s">
        <v>14915</v>
      </c>
      <c r="B1591" s="49" t="s">
        <v>10358</v>
      </c>
      <c r="C1591" s="49"/>
      <c r="D1591" s="49" t="s">
        <v>1264</v>
      </c>
      <c r="E1591" s="49" t="s">
        <v>2814</v>
      </c>
      <c r="F1591" s="49" t="s">
        <v>2825</v>
      </c>
      <c r="G1591" s="49" t="s">
        <v>2787</v>
      </c>
      <c r="H1591" s="49" t="s">
        <v>2827</v>
      </c>
      <c r="I1591" s="50">
        <v>41946</v>
      </c>
      <c r="M1591" s="49" t="s">
        <v>10359</v>
      </c>
    </row>
    <row r="1592" spans="1:13" x14ac:dyDescent="0.35">
      <c r="A1592" s="49" t="s">
        <v>14915</v>
      </c>
      <c r="B1592" s="49" t="s">
        <v>13634</v>
      </c>
      <c r="C1592" s="49" t="s">
        <v>13635</v>
      </c>
      <c r="D1592" s="49" t="s">
        <v>1264</v>
      </c>
      <c r="E1592" s="49" t="s">
        <v>2986</v>
      </c>
      <c r="F1592" s="49" t="s">
        <v>2825</v>
      </c>
      <c r="G1592" s="49" t="s">
        <v>2776</v>
      </c>
      <c r="H1592" s="49" t="s">
        <v>2827</v>
      </c>
      <c r="I1592" s="50">
        <v>42816</v>
      </c>
      <c r="M1592" s="49" t="s">
        <v>3270</v>
      </c>
    </row>
    <row r="1593" spans="1:13" x14ac:dyDescent="0.35">
      <c r="A1593" s="49" t="s">
        <v>14322</v>
      </c>
      <c r="B1593" s="49" t="s">
        <v>7035</v>
      </c>
      <c r="C1593" s="49"/>
      <c r="D1593" s="49" t="s">
        <v>1264</v>
      </c>
      <c r="E1593" s="49" t="s">
        <v>2974</v>
      </c>
      <c r="F1593" s="49" t="s">
        <v>2825</v>
      </c>
      <c r="G1593" s="49" t="s">
        <v>2776</v>
      </c>
      <c r="H1593" s="49" t="s">
        <v>2827</v>
      </c>
      <c r="I1593" s="50">
        <v>40976</v>
      </c>
      <c r="M1593" s="49" t="s">
        <v>7037</v>
      </c>
    </row>
    <row r="1594" spans="1:13" x14ac:dyDescent="0.35">
      <c r="A1594" s="49" t="s">
        <v>14858</v>
      </c>
      <c r="B1594" s="49" t="s">
        <v>6017</v>
      </c>
      <c r="C1594" s="49" t="s">
        <v>6018</v>
      </c>
      <c r="D1594" s="49" t="s">
        <v>1264</v>
      </c>
      <c r="E1594" s="49" t="s">
        <v>2785</v>
      </c>
      <c r="F1594" s="49" t="s">
        <v>2792</v>
      </c>
      <c r="G1594" s="49" t="s">
        <v>2787</v>
      </c>
      <c r="H1594" s="49" t="s">
        <v>8</v>
      </c>
      <c r="I1594" s="50">
        <v>45221</v>
      </c>
      <c r="J1594" s="50">
        <v>45259</v>
      </c>
      <c r="K1594" s="50">
        <v>45624</v>
      </c>
      <c r="M1594" s="49" t="s">
        <v>6020</v>
      </c>
    </row>
    <row r="1595" spans="1:13" x14ac:dyDescent="0.35">
      <c r="A1595" s="49" t="s">
        <v>15356</v>
      </c>
      <c r="B1595" s="49" t="s">
        <v>13091</v>
      </c>
      <c r="C1595" s="49"/>
      <c r="D1595" s="49" t="s">
        <v>1264</v>
      </c>
      <c r="E1595" s="49" t="s">
        <v>2785</v>
      </c>
      <c r="F1595" s="49" t="s">
        <v>2792</v>
      </c>
      <c r="G1595" s="49" t="s">
        <v>4891</v>
      </c>
      <c r="H1595" s="49" t="s">
        <v>980</v>
      </c>
      <c r="I1595" s="52">
        <v>46042.687824074099</v>
      </c>
      <c r="M1595" s="49" t="s">
        <v>13093</v>
      </c>
    </row>
    <row r="1596" spans="1:13" x14ac:dyDescent="0.35">
      <c r="A1596" s="49" t="s">
        <v>14106</v>
      </c>
      <c r="B1596" s="49" t="s">
        <v>3524</v>
      </c>
      <c r="C1596" s="49"/>
      <c r="D1596" s="49" t="s">
        <v>1264</v>
      </c>
      <c r="E1596" s="49" t="s">
        <v>3443</v>
      </c>
      <c r="F1596" s="49" t="s">
        <v>3124</v>
      </c>
      <c r="G1596" s="49" t="s">
        <v>2901</v>
      </c>
      <c r="H1596" s="49" t="s">
        <v>980</v>
      </c>
      <c r="I1596" s="50">
        <v>42640</v>
      </c>
      <c r="J1596" s="50">
        <v>43179</v>
      </c>
      <c r="K1596" s="50">
        <v>46830</v>
      </c>
      <c r="L1596" s="50">
        <v>45005</v>
      </c>
      <c r="M1596" s="49" t="s">
        <v>3526</v>
      </c>
    </row>
    <row r="1597" spans="1:13" x14ac:dyDescent="0.35">
      <c r="A1597" s="49" t="s">
        <v>14106</v>
      </c>
      <c r="B1597" s="49" t="s">
        <v>10457</v>
      </c>
      <c r="C1597" s="49"/>
      <c r="D1597" s="49" t="s">
        <v>1264</v>
      </c>
      <c r="E1597" s="49" t="s">
        <v>2814</v>
      </c>
      <c r="F1597" s="49" t="s">
        <v>10458</v>
      </c>
      <c r="G1597" s="49" t="s">
        <v>2776</v>
      </c>
      <c r="H1597" s="49" t="s">
        <v>980</v>
      </c>
      <c r="I1597" s="50">
        <v>42606</v>
      </c>
      <c r="M1597" s="49" t="s">
        <v>3728</v>
      </c>
    </row>
    <row r="1598" spans="1:13" x14ac:dyDescent="0.35">
      <c r="A1598" s="49" t="s">
        <v>15357</v>
      </c>
      <c r="B1598" s="49" t="s">
        <v>3662</v>
      </c>
      <c r="C1598" s="49" t="s">
        <v>3663</v>
      </c>
      <c r="D1598" s="49" t="s">
        <v>1264</v>
      </c>
      <c r="E1598" s="49" t="s">
        <v>2908</v>
      </c>
      <c r="F1598" s="49" t="s">
        <v>2837</v>
      </c>
      <c r="G1598" s="49" t="s">
        <v>2901</v>
      </c>
      <c r="H1598" s="49" t="s">
        <v>2827</v>
      </c>
      <c r="I1598" s="50">
        <v>43091</v>
      </c>
      <c r="J1598" s="50">
        <v>44225</v>
      </c>
      <c r="K1598" s="50">
        <v>46050</v>
      </c>
      <c r="M1598" s="49" t="s">
        <v>3665</v>
      </c>
    </row>
    <row r="1599" spans="1:13" x14ac:dyDescent="0.35">
      <c r="A1599" s="49" t="s">
        <v>15357</v>
      </c>
      <c r="B1599" s="49" t="s">
        <v>13675</v>
      </c>
      <c r="C1599" s="49" t="s">
        <v>13676</v>
      </c>
      <c r="D1599" s="49" t="s">
        <v>1264</v>
      </c>
      <c r="E1599" s="49" t="s">
        <v>2986</v>
      </c>
      <c r="F1599" s="49" t="s">
        <v>2825</v>
      </c>
      <c r="G1599" s="49" t="s">
        <v>2776</v>
      </c>
      <c r="H1599" s="49" t="s">
        <v>2827</v>
      </c>
      <c r="I1599" s="50">
        <v>43091</v>
      </c>
      <c r="M1599" s="49" t="s">
        <v>13677</v>
      </c>
    </row>
    <row r="1600" spans="1:13" x14ac:dyDescent="0.35">
      <c r="A1600" s="49" t="s">
        <v>3542</v>
      </c>
      <c r="B1600" s="49" t="s">
        <v>3540</v>
      </c>
      <c r="C1600" s="49" t="s">
        <v>3541</v>
      </c>
      <c r="D1600" s="49" t="s">
        <v>1264</v>
      </c>
      <c r="E1600" s="49" t="s">
        <v>2986</v>
      </c>
      <c r="F1600" s="49" t="s">
        <v>2825</v>
      </c>
      <c r="G1600" s="49" t="s">
        <v>2901</v>
      </c>
      <c r="H1600" s="49" t="s">
        <v>2827</v>
      </c>
      <c r="I1600" s="50">
        <v>42719</v>
      </c>
      <c r="J1600" s="50">
        <v>44292</v>
      </c>
      <c r="K1600" s="50">
        <v>45387</v>
      </c>
      <c r="M1600" s="49" t="s">
        <v>3543</v>
      </c>
    </row>
    <row r="1601" spans="1:13" x14ac:dyDescent="0.35">
      <c r="A1601" s="49" t="s">
        <v>3542</v>
      </c>
      <c r="B1601" s="49" t="s">
        <v>8564</v>
      </c>
      <c r="C1601" s="49" t="s">
        <v>4305</v>
      </c>
      <c r="D1601" s="49" t="s">
        <v>1264</v>
      </c>
      <c r="E1601" s="49" t="s">
        <v>7057</v>
      </c>
      <c r="F1601" s="49" t="s">
        <v>2825</v>
      </c>
      <c r="G1601" s="49" t="s">
        <v>2787</v>
      </c>
      <c r="H1601" s="49" t="s">
        <v>973</v>
      </c>
      <c r="I1601" s="50">
        <v>41278</v>
      </c>
      <c r="J1601" s="50">
        <v>41516</v>
      </c>
      <c r="K1601" s="50">
        <v>42565</v>
      </c>
      <c r="M1601" s="49" t="s">
        <v>3100</v>
      </c>
    </row>
    <row r="1602" spans="1:13" x14ac:dyDescent="0.35">
      <c r="A1602" s="49" t="s">
        <v>292</v>
      </c>
      <c r="B1602" s="49" t="s">
        <v>4861</v>
      </c>
      <c r="C1602" s="49" t="s">
        <v>3946</v>
      </c>
      <c r="D1602" s="49" t="s">
        <v>1264</v>
      </c>
      <c r="E1602" s="49" t="s">
        <v>2814</v>
      </c>
      <c r="F1602" s="49" t="s">
        <v>2825</v>
      </c>
      <c r="G1602" s="49" t="s">
        <v>2787</v>
      </c>
      <c r="H1602" s="49" t="s">
        <v>2827</v>
      </c>
      <c r="I1602" s="50">
        <v>44697</v>
      </c>
      <c r="J1602" s="50">
        <v>45027</v>
      </c>
      <c r="K1602" s="50">
        <v>45392</v>
      </c>
      <c r="M1602" s="49" t="s">
        <v>4863</v>
      </c>
    </row>
    <row r="1603" spans="1:13" x14ac:dyDescent="0.35">
      <c r="A1603" s="49" t="s">
        <v>292</v>
      </c>
      <c r="B1603" s="49" t="s">
        <v>4904</v>
      </c>
      <c r="C1603" s="49" t="s">
        <v>4905</v>
      </c>
      <c r="D1603" s="49" t="s">
        <v>1264</v>
      </c>
      <c r="E1603" s="49" t="s">
        <v>2814</v>
      </c>
      <c r="F1603" s="49" t="s">
        <v>2825</v>
      </c>
      <c r="G1603" s="49" t="s">
        <v>2787</v>
      </c>
      <c r="H1603" s="49" t="s">
        <v>2827</v>
      </c>
      <c r="I1603" s="50">
        <v>44739</v>
      </c>
      <c r="J1603" s="50">
        <v>45029</v>
      </c>
      <c r="K1603" s="50">
        <v>45394</v>
      </c>
      <c r="M1603" s="49" t="s">
        <v>4906</v>
      </c>
    </row>
    <row r="1604" spans="1:13" x14ac:dyDescent="0.35">
      <c r="A1604" s="49" t="s">
        <v>292</v>
      </c>
      <c r="B1604" s="49" t="s">
        <v>11026</v>
      </c>
      <c r="C1604" s="49"/>
      <c r="D1604" s="49" t="s">
        <v>1264</v>
      </c>
      <c r="E1604" s="49" t="s">
        <v>2974</v>
      </c>
      <c r="F1604" s="49" t="s">
        <v>2825</v>
      </c>
      <c r="G1604" s="49" t="s">
        <v>2776</v>
      </c>
      <c r="H1604" s="49" t="s">
        <v>2827</v>
      </c>
      <c r="I1604" s="50">
        <v>44697</v>
      </c>
      <c r="M1604" s="49" t="s">
        <v>11027</v>
      </c>
    </row>
    <row r="1605" spans="1:13" x14ac:dyDescent="0.35">
      <c r="A1605" s="49" t="s">
        <v>292</v>
      </c>
      <c r="B1605" s="49" t="s">
        <v>11028</v>
      </c>
      <c r="C1605" s="49" t="s">
        <v>11029</v>
      </c>
      <c r="D1605" s="49" t="s">
        <v>1264</v>
      </c>
      <c r="E1605" s="49" t="s">
        <v>2774</v>
      </c>
      <c r="F1605" s="49" t="s">
        <v>2825</v>
      </c>
      <c r="G1605" s="49" t="s">
        <v>4891</v>
      </c>
      <c r="H1605" s="49" t="s">
        <v>2827</v>
      </c>
      <c r="I1605" s="50">
        <v>44697</v>
      </c>
      <c r="M1605" s="49" t="s">
        <v>11030</v>
      </c>
    </row>
    <row r="1606" spans="1:13" x14ac:dyDescent="0.35">
      <c r="A1606" s="49" t="s">
        <v>292</v>
      </c>
      <c r="B1606" s="49" t="s">
        <v>11676</v>
      </c>
      <c r="C1606" s="49" t="s">
        <v>11677</v>
      </c>
      <c r="D1606" s="49" t="s">
        <v>1264</v>
      </c>
      <c r="E1606" s="49" t="s">
        <v>2774</v>
      </c>
      <c r="F1606" s="49" t="s">
        <v>3005</v>
      </c>
      <c r="G1606" s="49" t="s">
        <v>2776</v>
      </c>
      <c r="H1606" s="49" t="s">
        <v>8</v>
      </c>
      <c r="I1606" s="50">
        <v>45239</v>
      </c>
      <c r="M1606" s="49" t="s">
        <v>11678</v>
      </c>
    </row>
    <row r="1607" spans="1:13" x14ac:dyDescent="0.35">
      <c r="A1607" s="49" t="s">
        <v>15358</v>
      </c>
      <c r="B1607" s="49" t="s">
        <v>13958</v>
      </c>
      <c r="C1607" s="49" t="s">
        <v>3491</v>
      </c>
      <c r="D1607" s="49" t="s">
        <v>1264</v>
      </c>
      <c r="E1607" s="49" t="s">
        <v>2774</v>
      </c>
      <c r="F1607" s="49" t="s">
        <v>2825</v>
      </c>
      <c r="G1607" s="49" t="s">
        <v>2776</v>
      </c>
      <c r="H1607" s="49" t="s">
        <v>2827</v>
      </c>
      <c r="I1607" s="50">
        <v>43230</v>
      </c>
      <c r="M1607" s="49" t="s">
        <v>13960</v>
      </c>
    </row>
    <row r="1608" spans="1:13" x14ac:dyDescent="0.35">
      <c r="A1608" s="49" t="s">
        <v>14643</v>
      </c>
      <c r="B1608" s="49" t="s">
        <v>12840</v>
      </c>
      <c r="C1608" s="49" t="s">
        <v>12841</v>
      </c>
      <c r="D1608" s="49" t="s">
        <v>1264</v>
      </c>
      <c r="E1608" s="49" t="s">
        <v>2986</v>
      </c>
      <c r="F1608" s="49" t="s">
        <v>2825</v>
      </c>
      <c r="G1608" s="49" t="s">
        <v>4891</v>
      </c>
      <c r="H1608" s="49" t="s">
        <v>2827</v>
      </c>
      <c r="I1608" s="50">
        <v>45579</v>
      </c>
      <c r="M1608" s="49" t="s">
        <v>3270</v>
      </c>
    </row>
    <row r="1609" spans="1:13" x14ac:dyDescent="0.35">
      <c r="A1609" s="49" t="s">
        <v>14307</v>
      </c>
      <c r="B1609" s="49" t="s">
        <v>6698</v>
      </c>
      <c r="C1609" s="49" t="s">
        <v>3768</v>
      </c>
      <c r="D1609" s="49" t="s">
        <v>1264</v>
      </c>
      <c r="E1609" s="49" t="s">
        <v>3443</v>
      </c>
      <c r="F1609" s="49" t="s">
        <v>3124</v>
      </c>
      <c r="G1609" s="49" t="s">
        <v>2776</v>
      </c>
      <c r="H1609" s="49" t="s">
        <v>980</v>
      </c>
      <c r="I1609" s="50">
        <v>44994</v>
      </c>
    </row>
    <row r="1610" spans="1:13" x14ac:dyDescent="0.35">
      <c r="A1610" s="49" t="s">
        <v>7330</v>
      </c>
      <c r="B1610" s="49" t="s">
        <v>7328</v>
      </c>
      <c r="C1610" s="49" t="s">
        <v>7329</v>
      </c>
      <c r="D1610" s="49" t="s">
        <v>1264</v>
      </c>
      <c r="E1610" s="49" t="s">
        <v>7057</v>
      </c>
      <c r="F1610" s="49" t="s">
        <v>2825</v>
      </c>
      <c r="G1610" s="49" t="s">
        <v>2787</v>
      </c>
      <c r="H1610" s="49" t="s">
        <v>2827</v>
      </c>
      <c r="I1610" s="50">
        <v>41472</v>
      </c>
      <c r="J1610" s="50">
        <v>41655</v>
      </c>
      <c r="K1610" s="50">
        <v>42565</v>
      </c>
      <c r="M1610" s="49" t="s">
        <v>3100</v>
      </c>
    </row>
    <row r="1611" spans="1:13" x14ac:dyDescent="0.35">
      <c r="A1611" s="49" t="s">
        <v>14744</v>
      </c>
      <c r="B1611" s="49" t="s">
        <v>8306</v>
      </c>
      <c r="C1611" s="49" t="s">
        <v>8307</v>
      </c>
      <c r="D1611" s="49" t="s">
        <v>1264</v>
      </c>
      <c r="E1611" s="49" t="s">
        <v>2908</v>
      </c>
      <c r="F1611" s="49" t="s">
        <v>2939</v>
      </c>
      <c r="G1611" s="49" t="s">
        <v>2826</v>
      </c>
      <c r="H1611" s="49" t="s">
        <v>980</v>
      </c>
      <c r="I1611" s="50">
        <v>34774</v>
      </c>
      <c r="J1611" s="50">
        <v>35727</v>
      </c>
      <c r="K1611" s="50">
        <v>39629</v>
      </c>
      <c r="M1611" s="49" t="s">
        <v>3477</v>
      </c>
    </row>
    <row r="1612" spans="1:13" x14ac:dyDescent="0.35">
      <c r="A1612" s="49" t="s">
        <v>302</v>
      </c>
      <c r="B1612" s="49" t="s">
        <v>11355</v>
      </c>
      <c r="C1612" s="49" t="s">
        <v>11356</v>
      </c>
      <c r="D1612" s="49" t="s">
        <v>1264</v>
      </c>
      <c r="E1612" s="49" t="s">
        <v>2774</v>
      </c>
      <c r="F1612" s="49" t="s">
        <v>2825</v>
      </c>
      <c r="G1612" s="49" t="s">
        <v>2776</v>
      </c>
      <c r="H1612" s="49" t="s">
        <v>2827</v>
      </c>
      <c r="I1612" s="50">
        <v>45049</v>
      </c>
      <c r="M1612" s="49" t="s">
        <v>11358</v>
      </c>
    </row>
    <row r="1613" spans="1:13" x14ac:dyDescent="0.35">
      <c r="A1613" s="49" t="s">
        <v>302</v>
      </c>
      <c r="B1613" s="49" t="s">
        <v>11468</v>
      </c>
      <c r="C1613" s="49" t="s">
        <v>11469</v>
      </c>
      <c r="D1613" s="49" t="s">
        <v>1264</v>
      </c>
      <c r="E1613" s="49" t="s">
        <v>2774</v>
      </c>
      <c r="F1613" s="49" t="s">
        <v>2900</v>
      </c>
      <c r="G1613" s="49" t="s">
        <v>4891</v>
      </c>
      <c r="H1613" s="49" t="s">
        <v>2832</v>
      </c>
      <c r="I1613" s="50">
        <v>45119</v>
      </c>
      <c r="M1613" s="49" t="s">
        <v>11470</v>
      </c>
    </row>
    <row r="1614" spans="1:13" x14ac:dyDescent="0.35">
      <c r="A1614" s="49" t="s">
        <v>302</v>
      </c>
      <c r="B1614" s="49" t="s">
        <v>11489</v>
      </c>
      <c r="C1614" s="49" t="s">
        <v>11490</v>
      </c>
      <c r="D1614" s="49" t="s">
        <v>1264</v>
      </c>
      <c r="E1614" s="49" t="s">
        <v>2974</v>
      </c>
      <c r="F1614" s="49" t="s">
        <v>4842</v>
      </c>
      <c r="G1614" s="49" t="s">
        <v>2776</v>
      </c>
      <c r="H1614" s="49" t="s">
        <v>8</v>
      </c>
      <c r="I1614" s="50">
        <v>45133</v>
      </c>
      <c r="M1614" s="49" t="s">
        <v>11491</v>
      </c>
    </row>
    <row r="1615" spans="1:13" x14ac:dyDescent="0.35">
      <c r="A1615" s="49" t="s">
        <v>302</v>
      </c>
      <c r="B1615" s="49" t="s">
        <v>11499</v>
      </c>
      <c r="C1615" s="49" t="s">
        <v>11500</v>
      </c>
      <c r="D1615" s="49" t="s">
        <v>1264</v>
      </c>
      <c r="E1615" s="49" t="s">
        <v>2774</v>
      </c>
      <c r="F1615" s="49" t="s">
        <v>4842</v>
      </c>
      <c r="G1615" s="49" t="s">
        <v>4891</v>
      </c>
      <c r="H1615" s="49" t="s">
        <v>2827</v>
      </c>
      <c r="I1615" s="50">
        <v>45140</v>
      </c>
      <c r="M1615" s="49" t="s">
        <v>11501</v>
      </c>
    </row>
    <row r="1616" spans="1:13" x14ac:dyDescent="0.35">
      <c r="A1616" s="49" t="s">
        <v>14505</v>
      </c>
      <c r="B1616" s="49" t="s">
        <v>9533</v>
      </c>
      <c r="C1616" s="49"/>
      <c r="D1616" s="49" t="s">
        <v>1264</v>
      </c>
      <c r="E1616" s="49" t="s">
        <v>2785</v>
      </c>
      <c r="F1616" s="49" t="s">
        <v>2837</v>
      </c>
      <c r="G1616" s="49" t="s">
        <v>2776</v>
      </c>
      <c r="H1616" s="49" t="s">
        <v>2827</v>
      </c>
      <c r="I1616" s="50">
        <v>43732</v>
      </c>
      <c r="M1616" s="49" t="s">
        <v>3270</v>
      </c>
    </row>
    <row r="1617" spans="1:13" x14ac:dyDescent="0.35">
      <c r="A1617" s="49" t="s">
        <v>14505</v>
      </c>
      <c r="B1617" s="49" t="s">
        <v>10430</v>
      </c>
      <c r="C1617" s="49" t="s">
        <v>3730</v>
      </c>
      <c r="D1617" s="49" t="s">
        <v>1264</v>
      </c>
      <c r="E1617" s="49" t="s">
        <v>2814</v>
      </c>
      <c r="F1617" s="49" t="s">
        <v>2837</v>
      </c>
      <c r="G1617" s="49" t="s">
        <v>2776</v>
      </c>
      <c r="H1617" s="49" t="s">
        <v>973</v>
      </c>
      <c r="I1617" s="50">
        <v>43524</v>
      </c>
      <c r="M1617" s="49" t="s">
        <v>3270</v>
      </c>
    </row>
    <row r="1618" spans="1:13" x14ac:dyDescent="0.35">
      <c r="A1618" s="49" t="s">
        <v>14916</v>
      </c>
      <c r="B1618" s="49" t="s">
        <v>6501</v>
      </c>
      <c r="C1618" s="49" t="s">
        <v>6502</v>
      </c>
      <c r="D1618" s="49" t="s">
        <v>1264</v>
      </c>
      <c r="E1618" s="49" t="s">
        <v>2785</v>
      </c>
      <c r="F1618" s="49" t="s">
        <v>2786</v>
      </c>
      <c r="G1618" s="49" t="s">
        <v>4330</v>
      </c>
      <c r="H1618" s="49" t="s">
        <v>980</v>
      </c>
      <c r="I1618" s="50">
        <v>45371</v>
      </c>
      <c r="M1618" s="49" t="s">
        <v>6504</v>
      </c>
    </row>
    <row r="1619" spans="1:13" x14ac:dyDescent="0.35">
      <c r="A1619" s="49" t="s">
        <v>14916</v>
      </c>
      <c r="B1619" s="49" t="s">
        <v>6572</v>
      </c>
      <c r="C1619" s="49" t="s">
        <v>6573</v>
      </c>
      <c r="D1619" s="49" t="s">
        <v>1264</v>
      </c>
      <c r="E1619" s="49" t="s">
        <v>2908</v>
      </c>
      <c r="F1619" s="49" t="s">
        <v>3010</v>
      </c>
      <c r="G1619" s="49" t="s">
        <v>4330</v>
      </c>
      <c r="H1619" s="49" t="s">
        <v>980</v>
      </c>
      <c r="I1619" s="50">
        <v>45404</v>
      </c>
      <c r="M1619" s="49" t="s">
        <v>6574</v>
      </c>
    </row>
    <row r="1620" spans="1:13" x14ac:dyDescent="0.35">
      <c r="A1620" s="49" t="s">
        <v>15128</v>
      </c>
      <c r="B1620" s="49" t="s">
        <v>8826</v>
      </c>
      <c r="C1620" s="49" t="s">
        <v>8827</v>
      </c>
      <c r="D1620" s="49" t="s">
        <v>1264</v>
      </c>
      <c r="E1620" s="49" t="s">
        <v>2785</v>
      </c>
      <c r="F1620" s="49" t="s">
        <v>2939</v>
      </c>
      <c r="G1620" s="49" t="s">
        <v>2787</v>
      </c>
      <c r="H1620" s="49" t="s">
        <v>3207</v>
      </c>
      <c r="I1620" s="50">
        <v>41423</v>
      </c>
      <c r="J1620" s="50">
        <v>41437</v>
      </c>
      <c r="K1620" s="50">
        <v>41800</v>
      </c>
      <c r="M1620" s="49" t="s">
        <v>8829</v>
      </c>
    </row>
    <row r="1621" spans="1:13" x14ac:dyDescent="0.35">
      <c r="A1621" s="49" t="s">
        <v>15128</v>
      </c>
      <c r="B1621" s="49" t="s">
        <v>13965</v>
      </c>
      <c r="C1621" s="49" t="s">
        <v>7028</v>
      </c>
      <c r="D1621" s="49" t="s">
        <v>1264</v>
      </c>
      <c r="E1621" s="49" t="s">
        <v>2774</v>
      </c>
      <c r="F1621" s="49" t="s">
        <v>4774</v>
      </c>
      <c r="G1621" s="49" t="s">
        <v>2826</v>
      </c>
      <c r="H1621" s="49" t="s">
        <v>3207</v>
      </c>
      <c r="I1621" s="50">
        <v>42102</v>
      </c>
      <c r="M1621" s="49" t="s">
        <v>13966</v>
      </c>
    </row>
    <row r="1622" spans="1:13" x14ac:dyDescent="0.35">
      <c r="A1622" s="49" t="s">
        <v>15071</v>
      </c>
      <c r="B1622" s="49" t="s">
        <v>10931</v>
      </c>
      <c r="C1622" s="49" t="s">
        <v>10932</v>
      </c>
      <c r="D1622" s="49" t="s">
        <v>1264</v>
      </c>
      <c r="E1622" s="49" t="s">
        <v>2785</v>
      </c>
      <c r="F1622" s="49" t="s">
        <v>2792</v>
      </c>
      <c r="G1622" s="49" t="s">
        <v>2776</v>
      </c>
      <c r="H1622" s="49" t="s">
        <v>980</v>
      </c>
      <c r="I1622" s="50">
        <v>44531</v>
      </c>
      <c r="M1622" s="49" t="s">
        <v>10934</v>
      </c>
    </row>
    <row r="1623" spans="1:13" x14ac:dyDescent="0.35">
      <c r="A1623" s="49" t="s">
        <v>14623</v>
      </c>
      <c r="B1623" s="49" t="s">
        <v>12172</v>
      </c>
      <c r="C1623" s="49"/>
      <c r="D1623" s="49" t="s">
        <v>1264</v>
      </c>
      <c r="E1623" s="49" t="s">
        <v>2814</v>
      </c>
      <c r="F1623" s="49" t="s">
        <v>2825</v>
      </c>
      <c r="G1623" s="49" t="s">
        <v>2776</v>
      </c>
      <c r="H1623" s="49" t="s">
        <v>2827</v>
      </c>
      <c r="I1623" s="50">
        <v>45348</v>
      </c>
      <c r="M1623" s="49" t="s">
        <v>12174</v>
      </c>
    </row>
    <row r="1624" spans="1:13" x14ac:dyDescent="0.35">
      <c r="A1624" s="49" t="s">
        <v>14623</v>
      </c>
      <c r="B1624" s="49" t="s">
        <v>12423</v>
      </c>
      <c r="C1624" s="49"/>
      <c r="D1624" s="49" t="s">
        <v>1264</v>
      </c>
      <c r="E1624" s="49" t="s">
        <v>2814</v>
      </c>
      <c r="F1624" s="49" t="s">
        <v>2825</v>
      </c>
      <c r="G1624" s="49" t="s">
        <v>4891</v>
      </c>
      <c r="H1624" s="49" t="s">
        <v>2827</v>
      </c>
      <c r="I1624" s="50">
        <v>45414</v>
      </c>
      <c r="M1624" s="49" t="s">
        <v>12424</v>
      </c>
    </row>
    <row r="1625" spans="1:13" x14ac:dyDescent="0.35">
      <c r="A1625" s="49" t="s">
        <v>14261</v>
      </c>
      <c r="B1625" s="49" t="s">
        <v>5882</v>
      </c>
      <c r="C1625" s="49"/>
      <c r="D1625" s="49" t="s">
        <v>1264</v>
      </c>
      <c r="E1625" s="49" t="s">
        <v>3443</v>
      </c>
      <c r="F1625" s="49" t="s">
        <v>3124</v>
      </c>
      <c r="G1625" s="49" t="s">
        <v>4330</v>
      </c>
      <c r="H1625" s="49" t="s">
        <v>980</v>
      </c>
      <c r="I1625" s="50">
        <v>45163</v>
      </c>
    </row>
    <row r="1626" spans="1:13" x14ac:dyDescent="0.35">
      <c r="A1626" s="49" t="s">
        <v>14917</v>
      </c>
      <c r="B1626" s="49" t="s">
        <v>6733</v>
      </c>
      <c r="C1626" s="49"/>
      <c r="D1626" s="49" t="s">
        <v>1264</v>
      </c>
      <c r="E1626" s="49" t="s">
        <v>2785</v>
      </c>
      <c r="F1626" s="49" t="s">
        <v>2792</v>
      </c>
      <c r="G1626" s="49" t="s">
        <v>2901</v>
      </c>
      <c r="H1626" s="49" t="s">
        <v>980</v>
      </c>
      <c r="I1626" s="52">
        <v>45863.4227777778</v>
      </c>
      <c r="J1626" s="50">
        <v>45870</v>
      </c>
      <c r="K1626" s="50">
        <v>46234</v>
      </c>
      <c r="M1626" s="49" t="s">
        <v>6735</v>
      </c>
    </row>
    <row r="1627" spans="1:13" x14ac:dyDescent="0.35">
      <c r="A1627" s="49" t="s">
        <v>14917</v>
      </c>
      <c r="B1627" s="49" t="s">
        <v>7305</v>
      </c>
      <c r="C1627" s="49" t="s">
        <v>7306</v>
      </c>
      <c r="D1627" s="49" t="s">
        <v>1264</v>
      </c>
      <c r="E1627" s="49" t="s">
        <v>2785</v>
      </c>
      <c r="F1627" s="49" t="s">
        <v>2792</v>
      </c>
      <c r="G1627" s="49" t="s">
        <v>2787</v>
      </c>
      <c r="H1627" s="49" t="s">
        <v>980</v>
      </c>
      <c r="I1627" s="50">
        <v>43389</v>
      </c>
      <c r="J1627" s="50">
        <v>43558</v>
      </c>
      <c r="K1627" s="50">
        <v>44333</v>
      </c>
      <c r="L1627" s="50">
        <v>44333</v>
      </c>
      <c r="M1627" s="49" t="s">
        <v>7307</v>
      </c>
    </row>
    <row r="1628" spans="1:13" x14ac:dyDescent="0.35">
      <c r="A1628" s="49" t="s">
        <v>14918</v>
      </c>
      <c r="B1628" s="49" t="s">
        <v>8904</v>
      </c>
      <c r="C1628" s="49"/>
      <c r="D1628" s="49" t="s">
        <v>1264</v>
      </c>
      <c r="E1628" s="49" t="s">
        <v>2814</v>
      </c>
      <c r="F1628" s="49" t="s">
        <v>2825</v>
      </c>
      <c r="G1628" s="49" t="s">
        <v>2787</v>
      </c>
      <c r="H1628" s="49" t="s">
        <v>2827</v>
      </c>
      <c r="I1628" s="50">
        <v>42064</v>
      </c>
      <c r="J1628" s="50">
        <v>42078</v>
      </c>
      <c r="K1628" s="50">
        <v>42261</v>
      </c>
      <c r="M1628" s="49" t="s">
        <v>8906</v>
      </c>
    </row>
    <row r="1629" spans="1:13" x14ac:dyDescent="0.35">
      <c r="A1629" s="49" t="s">
        <v>14918</v>
      </c>
      <c r="B1629" s="49" t="s">
        <v>10338</v>
      </c>
      <c r="C1629" s="49"/>
      <c r="D1629" s="49" t="s">
        <v>1264</v>
      </c>
      <c r="E1629" s="49" t="s">
        <v>2814</v>
      </c>
      <c r="F1629" s="49" t="s">
        <v>2825</v>
      </c>
      <c r="G1629" s="49" t="s">
        <v>2776</v>
      </c>
      <c r="H1629" s="49" t="s">
        <v>2827</v>
      </c>
      <c r="I1629" s="50">
        <v>41956</v>
      </c>
      <c r="M1629" s="49" t="s">
        <v>10339</v>
      </c>
    </row>
    <row r="1630" spans="1:13" x14ac:dyDescent="0.35">
      <c r="A1630" s="49" t="s">
        <v>15129</v>
      </c>
      <c r="B1630" s="49" t="s">
        <v>6875</v>
      </c>
      <c r="C1630" s="49"/>
      <c r="D1630" s="49" t="s">
        <v>1264</v>
      </c>
      <c r="E1630" s="49" t="s">
        <v>2814</v>
      </c>
      <c r="F1630" s="49" t="s">
        <v>2837</v>
      </c>
      <c r="G1630" s="49" t="s">
        <v>2901</v>
      </c>
      <c r="H1630" s="49" t="s">
        <v>980</v>
      </c>
      <c r="I1630" s="52">
        <v>45834.6475810185</v>
      </c>
      <c r="J1630" s="50">
        <v>45835</v>
      </c>
      <c r="K1630" s="50">
        <v>46017</v>
      </c>
      <c r="M1630" s="49" t="s">
        <v>6877</v>
      </c>
    </row>
    <row r="1631" spans="1:13" x14ac:dyDescent="0.35">
      <c r="A1631" s="49" t="s">
        <v>12718</v>
      </c>
      <c r="B1631" s="49" t="s">
        <v>12394</v>
      </c>
      <c r="C1631" s="49" t="s">
        <v>12395</v>
      </c>
      <c r="D1631" s="49" t="s">
        <v>1264</v>
      </c>
      <c r="E1631" s="49" t="s">
        <v>2785</v>
      </c>
      <c r="F1631" s="49" t="s">
        <v>2792</v>
      </c>
      <c r="G1631" s="49" t="s">
        <v>2776</v>
      </c>
      <c r="H1631" s="49" t="s">
        <v>980</v>
      </c>
      <c r="I1631" s="50">
        <v>45358</v>
      </c>
      <c r="M1631" s="49" t="s">
        <v>12397</v>
      </c>
    </row>
    <row r="1632" spans="1:13" x14ac:dyDescent="0.35">
      <c r="A1632" s="49" t="s">
        <v>12718</v>
      </c>
      <c r="B1632" s="49" t="s">
        <v>12716</v>
      </c>
      <c r="C1632" s="49" t="s">
        <v>12717</v>
      </c>
      <c r="D1632" s="49" t="s">
        <v>1264</v>
      </c>
      <c r="E1632" s="49" t="s">
        <v>2785</v>
      </c>
      <c r="F1632" s="49" t="s">
        <v>2792</v>
      </c>
      <c r="G1632" s="49" t="s">
        <v>2776</v>
      </c>
      <c r="H1632" s="49" t="s">
        <v>980</v>
      </c>
      <c r="I1632" s="50">
        <v>45518</v>
      </c>
      <c r="M1632" s="49" t="s">
        <v>12719</v>
      </c>
    </row>
    <row r="1633" spans="1:13" x14ac:dyDescent="0.35">
      <c r="A1633" s="49" t="s">
        <v>14690</v>
      </c>
      <c r="B1633" s="49" t="s">
        <v>13954</v>
      </c>
      <c r="C1633" s="49" t="s">
        <v>13955</v>
      </c>
      <c r="D1633" s="49" t="s">
        <v>1264</v>
      </c>
      <c r="E1633" s="49" t="s">
        <v>2774</v>
      </c>
      <c r="F1633" s="49" t="s">
        <v>2900</v>
      </c>
      <c r="G1633" s="49" t="s">
        <v>2776</v>
      </c>
      <c r="H1633" s="49" t="s">
        <v>3207</v>
      </c>
      <c r="I1633" s="50">
        <v>42128</v>
      </c>
      <c r="M1633" s="49" t="s">
        <v>13957</v>
      </c>
    </row>
    <row r="1634" spans="1:13" x14ac:dyDescent="0.35">
      <c r="A1634" s="49" t="s">
        <v>14859</v>
      </c>
      <c r="B1634" s="49" t="s">
        <v>4493</v>
      </c>
      <c r="C1634" s="49" t="s">
        <v>3214</v>
      </c>
      <c r="D1634" s="49" t="s">
        <v>1264</v>
      </c>
      <c r="E1634" s="49" t="s">
        <v>2785</v>
      </c>
      <c r="F1634" s="49" t="s">
        <v>2805</v>
      </c>
      <c r="G1634" s="49" t="s">
        <v>2776</v>
      </c>
      <c r="H1634" s="49" t="s">
        <v>980</v>
      </c>
      <c r="I1634" s="50">
        <v>44419</v>
      </c>
      <c r="M1634" s="49" t="s">
        <v>4495</v>
      </c>
    </row>
    <row r="1635" spans="1:13" x14ac:dyDescent="0.35">
      <c r="A1635" s="49" t="s">
        <v>14149</v>
      </c>
      <c r="B1635" s="49" t="s">
        <v>4056</v>
      </c>
      <c r="C1635" s="49"/>
      <c r="D1635" s="49" t="s">
        <v>1264</v>
      </c>
      <c r="E1635" s="49" t="s">
        <v>2785</v>
      </c>
      <c r="F1635" s="49" t="s">
        <v>2792</v>
      </c>
      <c r="G1635" s="49" t="s">
        <v>2787</v>
      </c>
      <c r="H1635" s="49" t="s">
        <v>835</v>
      </c>
      <c r="I1635" s="50">
        <v>43999</v>
      </c>
      <c r="J1635" s="50">
        <v>44027</v>
      </c>
      <c r="K1635" s="50">
        <v>44391</v>
      </c>
      <c r="M1635" s="49" t="s">
        <v>4058</v>
      </c>
    </row>
    <row r="1636" spans="1:13" x14ac:dyDescent="0.35">
      <c r="A1636" s="49" t="s">
        <v>14149</v>
      </c>
      <c r="B1636" s="49" t="s">
        <v>4714</v>
      </c>
      <c r="C1636" s="49" t="s">
        <v>4715</v>
      </c>
      <c r="D1636" s="49" t="s">
        <v>1264</v>
      </c>
      <c r="E1636" s="49" t="s">
        <v>2785</v>
      </c>
      <c r="F1636" s="49" t="s">
        <v>2792</v>
      </c>
      <c r="G1636" s="49" t="s">
        <v>2787</v>
      </c>
      <c r="H1636" s="49" t="s">
        <v>980</v>
      </c>
      <c r="I1636" s="50">
        <v>44445</v>
      </c>
      <c r="J1636" s="50">
        <v>44580</v>
      </c>
      <c r="K1636" s="50">
        <v>45428</v>
      </c>
      <c r="M1636" s="49" t="s">
        <v>4716</v>
      </c>
    </row>
    <row r="1637" spans="1:13" x14ac:dyDescent="0.35">
      <c r="A1637" s="49" t="s">
        <v>15130</v>
      </c>
      <c r="B1637" s="49" t="s">
        <v>8540</v>
      </c>
      <c r="C1637" s="49" t="s">
        <v>8541</v>
      </c>
      <c r="D1637" s="49" t="s">
        <v>1264</v>
      </c>
      <c r="E1637" s="49" t="s">
        <v>2986</v>
      </c>
      <c r="F1637" s="49" t="s">
        <v>2825</v>
      </c>
      <c r="G1637" s="49" t="s">
        <v>2921</v>
      </c>
      <c r="H1637" s="49" t="s">
        <v>2827</v>
      </c>
      <c r="I1637" s="50">
        <v>42809</v>
      </c>
      <c r="J1637" s="50">
        <v>42955</v>
      </c>
      <c r="K1637" s="50">
        <v>44051</v>
      </c>
      <c r="M1637" s="49" t="s">
        <v>3270</v>
      </c>
    </row>
    <row r="1638" spans="1:13" x14ac:dyDescent="0.35">
      <c r="A1638" s="49" t="s">
        <v>15131</v>
      </c>
      <c r="B1638" s="49" t="s">
        <v>5841</v>
      </c>
      <c r="C1638" s="49" t="s">
        <v>5842</v>
      </c>
      <c r="D1638" s="49" t="s">
        <v>1264</v>
      </c>
      <c r="E1638" s="49" t="s">
        <v>2986</v>
      </c>
      <c r="F1638" s="49" t="s">
        <v>2825</v>
      </c>
      <c r="G1638" s="49" t="s">
        <v>2901</v>
      </c>
      <c r="H1638" s="49" t="s">
        <v>2827</v>
      </c>
      <c r="I1638" s="50">
        <v>45188</v>
      </c>
      <c r="J1638" s="50">
        <v>45202</v>
      </c>
      <c r="K1638" s="50">
        <v>46297</v>
      </c>
      <c r="M1638" s="49" t="s">
        <v>5844</v>
      </c>
    </row>
    <row r="1639" spans="1:13" x14ac:dyDescent="0.35">
      <c r="A1639" s="49" t="s">
        <v>15131</v>
      </c>
      <c r="B1639" s="49" t="s">
        <v>5870</v>
      </c>
      <c r="C1639" s="49" t="s">
        <v>5871</v>
      </c>
      <c r="D1639" s="49" t="s">
        <v>1264</v>
      </c>
      <c r="E1639" s="49" t="s">
        <v>2986</v>
      </c>
      <c r="F1639" s="49" t="s">
        <v>2825</v>
      </c>
      <c r="G1639" s="49" t="s">
        <v>2901</v>
      </c>
      <c r="H1639" s="49" t="s">
        <v>2827</v>
      </c>
      <c r="I1639" s="50">
        <v>45190</v>
      </c>
      <c r="J1639" s="50">
        <v>45202</v>
      </c>
      <c r="K1639" s="50">
        <v>46297</v>
      </c>
      <c r="M1639" s="49" t="s">
        <v>5872</v>
      </c>
    </row>
    <row r="1640" spans="1:13" x14ac:dyDescent="0.35">
      <c r="A1640" s="49" t="s">
        <v>15131</v>
      </c>
      <c r="B1640" s="49" t="s">
        <v>6057</v>
      </c>
      <c r="C1640" s="49"/>
      <c r="D1640" s="49" t="s">
        <v>1264</v>
      </c>
      <c r="E1640" s="49" t="s">
        <v>2986</v>
      </c>
      <c r="F1640" s="49" t="s">
        <v>2825</v>
      </c>
      <c r="G1640" s="49" t="s">
        <v>2776</v>
      </c>
      <c r="H1640" s="49" t="s">
        <v>2827</v>
      </c>
      <c r="I1640" s="50">
        <v>45272</v>
      </c>
      <c r="M1640" s="49" t="s">
        <v>3270</v>
      </c>
    </row>
    <row r="1641" spans="1:13" x14ac:dyDescent="0.35">
      <c r="A1641" s="49" t="s">
        <v>15131</v>
      </c>
      <c r="B1641" s="49" t="s">
        <v>6058</v>
      </c>
      <c r="C1641" s="49"/>
      <c r="D1641" s="49" t="s">
        <v>1264</v>
      </c>
      <c r="E1641" s="49" t="s">
        <v>2986</v>
      </c>
      <c r="F1641" s="49" t="s">
        <v>2825</v>
      </c>
      <c r="G1641" s="49" t="s">
        <v>2901</v>
      </c>
      <c r="H1641" s="49" t="s">
        <v>2827</v>
      </c>
      <c r="I1641" s="50">
        <v>45194</v>
      </c>
      <c r="J1641" s="50">
        <v>45287</v>
      </c>
      <c r="K1641" s="50">
        <v>46382</v>
      </c>
      <c r="M1641" s="49" t="s">
        <v>3270</v>
      </c>
    </row>
    <row r="1642" spans="1:13" x14ac:dyDescent="0.35">
      <c r="A1642" s="49" t="s">
        <v>15131</v>
      </c>
      <c r="B1642" s="49" t="s">
        <v>6556</v>
      </c>
      <c r="C1642" s="49" t="s">
        <v>6557</v>
      </c>
      <c r="D1642" s="49" t="s">
        <v>1264</v>
      </c>
      <c r="E1642" s="49" t="s">
        <v>2986</v>
      </c>
      <c r="F1642" s="49" t="s">
        <v>2825</v>
      </c>
      <c r="G1642" s="49" t="s">
        <v>2901</v>
      </c>
      <c r="H1642" s="49" t="s">
        <v>2827</v>
      </c>
      <c r="I1642" s="50">
        <v>45279</v>
      </c>
      <c r="J1642" s="50">
        <v>45366</v>
      </c>
      <c r="K1642" s="50">
        <v>46460</v>
      </c>
      <c r="M1642" s="49" t="s">
        <v>6558</v>
      </c>
    </row>
    <row r="1643" spans="1:13" x14ac:dyDescent="0.35">
      <c r="A1643" s="49" t="s">
        <v>15131</v>
      </c>
      <c r="B1643" s="49" t="s">
        <v>11596</v>
      </c>
      <c r="C1643" s="49" t="s">
        <v>11597</v>
      </c>
      <c r="D1643" s="49" t="s">
        <v>1264</v>
      </c>
      <c r="E1643" s="49" t="s">
        <v>2986</v>
      </c>
      <c r="F1643" s="49" t="s">
        <v>2825</v>
      </c>
      <c r="G1643" s="49" t="s">
        <v>2776</v>
      </c>
      <c r="H1643" s="49" t="s">
        <v>2827</v>
      </c>
      <c r="I1643" s="50">
        <v>45190</v>
      </c>
      <c r="M1643" s="49" t="s">
        <v>11598</v>
      </c>
    </row>
    <row r="1644" spans="1:13" x14ac:dyDescent="0.35">
      <c r="A1644" s="49" t="s">
        <v>15131</v>
      </c>
      <c r="B1644" s="49" t="s">
        <v>11799</v>
      </c>
      <c r="C1644" s="49" t="s">
        <v>11800</v>
      </c>
      <c r="D1644" s="49" t="s">
        <v>1264</v>
      </c>
      <c r="E1644" s="49" t="s">
        <v>2986</v>
      </c>
      <c r="F1644" s="49" t="s">
        <v>2825</v>
      </c>
      <c r="G1644" s="49" t="s">
        <v>2776</v>
      </c>
      <c r="H1644" s="49" t="s">
        <v>2827</v>
      </c>
      <c r="I1644" s="50">
        <v>45278</v>
      </c>
    </row>
    <row r="1645" spans="1:13" x14ac:dyDescent="0.35">
      <c r="A1645" s="49" t="s">
        <v>15131</v>
      </c>
      <c r="B1645" s="49" t="s">
        <v>11943</v>
      </c>
      <c r="C1645" s="49"/>
      <c r="D1645" s="49" t="s">
        <v>1264</v>
      </c>
      <c r="E1645" s="49" t="s">
        <v>2986</v>
      </c>
      <c r="F1645" s="49" t="s">
        <v>2825</v>
      </c>
      <c r="G1645" s="49" t="s">
        <v>2776</v>
      </c>
      <c r="H1645" s="49" t="s">
        <v>2827</v>
      </c>
      <c r="I1645" s="50">
        <v>45278</v>
      </c>
      <c r="M1645" s="49" t="s">
        <v>3181</v>
      </c>
    </row>
    <row r="1646" spans="1:13" x14ac:dyDescent="0.35">
      <c r="A1646" s="49" t="s">
        <v>15131</v>
      </c>
      <c r="B1646" s="49" t="s">
        <v>12053</v>
      </c>
      <c r="C1646" s="49"/>
      <c r="D1646" s="49" t="s">
        <v>1264</v>
      </c>
      <c r="E1646" s="49" t="s">
        <v>2986</v>
      </c>
      <c r="F1646" s="49" t="s">
        <v>2825</v>
      </c>
      <c r="G1646" s="49" t="s">
        <v>2776</v>
      </c>
      <c r="H1646" s="49" t="s">
        <v>2827</v>
      </c>
      <c r="I1646" s="50">
        <v>45289</v>
      </c>
      <c r="M1646" s="49" t="s">
        <v>3270</v>
      </c>
    </row>
    <row r="1647" spans="1:13" x14ac:dyDescent="0.35">
      <c r="A1647" s="49" t="s">
        <v>14077</v>
      </c>
      <c r="B1647" s="49" t="s">
        <v>3024</v>
      </c>
      <c r="C1647" s="49" t="s">
        <v>2937</v>
      </c>
      <c r="D1647" s="49" t="s">
        <v>1264</v>
      </c>
      <c r="E1647" s="49" t="s">
        <v>2908</v>
      </c>
      <c r="F1647" s="49" t="s">
        <v>2939</v>
      </c>
      <c r="G1647" s="49" t="s">
        <v>2787</v>
      </c>
      <c r="H1647" s="49" t="s">
        <v>980</v>
      </c>
      <c r="I1647" s="50">
        <v>39304</v>
      </c>
      <c r="J1647" s="50">
        <v>43474</v>
      </c>
      <c r="K1647" s="50">
        <v>45635</v>
      </c>
      <c r="M1647" s="49" t="s">
        <v>3026</v>
      </c>
    </row>
    <row r="1648" spans="1:13" x14ac:dyDescent="0.35">
      <c r="A1648" s="49" t="s">
        <v>14077</v>
      </c>
      <c r="B1648" s="49" t="s">
        <v>3381</v>
      </c>
      <c r="C1648" s="49" t="s">
        <v>2942</v>
      </c>
      <c r="D1648" s="49" t="s">
        <v>1264</v>
      </c>
      <c r="E1648" s="49" t="s">
        <v>2908</v>
      </c>
      <c r="F1648" s="49" t="s">
        <v>2939</v>
      </c>
      <c r="G1648" s="49" t="s">
        <v>2787</v>
      </c>
      <c r="H1648" s="49" t="s">
        <v>980</v>
      </c>
      <c r="I1648" s="50">
        <v>42010</v>
      </c>
      <c r="J1648" s="50">
        <v>42551</v>
      </c>
      <c r="K1648" s="50">
        <v>44376</v>
      </c>
      <c r="M1648" s="49" t="s">
        <v>3382</v>
      </c>
    </row>
    <row r="1649" spans="1:13" x14ac:dyDescent="0.35">
      <c r="A1649" s="49" t="s">
        <v>15359</v>
      </c>
      <c r="B1649" s="49" t="s">
        <v>3839</v>
      </c>
      <c r="C1649" s="49" t="s">
        <v>3840</v>
      </c>
      <c r="D1649" s="49" t="s">
        <v>1264</v>
      </c>
      <c r="E1649" s="49" t="s">
        <v>2986</v>
      </c>
      <c r="F1649" s="49" t="s">
        <v>2825</v>
      </c>
      <c r="G1649" s="49" t="s">
        <v>2787</v>
      </c>
      <c r="H1649" s="49" t="s">
        <v>2827</v>
      </c>
      <c r="I1649" s="50">
        <v>43385</v>
      </c>
      <c r="J1649" s="50">
        <v>43448</v>
      </c>
      <c r="K1649" s="50">
        <v>44544</v>
      </c>
      <c r="M1649" s="49" t="s">
        <v>3270</v>
      </c>
    </row>
    <row r="1650" spans="1:13" x14ac:dyDescent="0.35">
      <c r="A1650" s="49" t="s">
        <v>15359</v>
      </c>
      <c r="B1650" s="49" t="s">
        <v>13706</v>
      </c>
      <c r="C1650" s="49" t="s">
        <v>3840</v>
      </c>
      <c r="D1650" s="49" t="s">
        <v>1264</v>
      </c>
      <c r="E1650" s="49" t="s">
        <v>2986</v>
      </c>
      <c r="F1650" s="49" t="s">
        <v>2825</v>
      </c>
      <c r="G1650" s="49" t="s">
        <v>2776</v>
      </c>
      <c r="H1650" s="49" t="s">
        <v>2827</v>
      </c>
      <c r="I1650" s="50">
        <v>43385</v>
      </c>
      <c r="M1650" s="49" t="s">
        <v>3270</v>
      </c>
    </row>
    <row r="1651" spans="1:13" x14ac:dyDescent="0.35">
      <c r="A1651" s="49" t="s">
        <v>14160</v>
      </c>
      <c r="B1651" s="49" t="s">
        <v>4151</v>
      </c>
      <c r="C1651" s="49"/>
      <c r="D1651" s="49" t="s">
        <v>1264</v>
      </c>
      <c r="E1651" s="49" t="s">
        <v>2908</v>
      </c>
      <c r="F1651" s="49" t="s">
        <v>2837</v>
      </c>
      <c r="G1651" s="49" t="s">
        <v>2901</v>
      </c>
      <c r="H1651" s="49" t="s">
        <v>980</v>
      </c>
      <c r="I1651" s="50">
        <v>44160</v>
      </c>
      <c r="J1651" s="50">
        <v>44225</v>
      </c>
      <c r="K1651" s="50">
        <v>46050</v>
      </c>
      <c r="M1651" s="49" t="s">
        <v>4153</v>
      </c>
    </row>
    <row r="1652" spans="1:13" x14ac:dyDescent="0.35">
      <c r="A1652" s="49" t="s">
        <v>14160</v>
      </c>
      <c r="B1652" s="49" t="s">
        <v>4460</v>
      </c>
      <c r="C1652" s="49"/>
      <c r="D1652" s="49" t="s">
        <v>1264</v>
      </c>
      <c r="E1652" s="49" t="s">
        <v>2908</v>
      </c>
      <c r="F1652" s="49" t="s">
        <v>3253</v>
      </c>
      <c r="G1652" s="49" t="s">
        <v>2776</v>
      </c>
      <c r="H1652" s="49" t="s">
        <v>2827</v>
      </c>
      <c r="I1652" s="50">
        <v>44307</v>
      </c>
      <c r="M1652" s="49" t="s">
        <v>4461</v>
      </c>
    </row>
    <row r="1653" spans="1:13" x14ac:dyDescent="0.35">
      <c r="A1653" s="49" t="s">
        <v>14160</v>
      </c>
      <c r="B1653" s="49" t="s">
        <v>6327</v>
      </c>
      <c r="C1653" s="49" t="s">
        <v>6328</v>
      </c>
      <c r="D1653" s="49" t="s">
        <v>1264</v>
      </c>
      <c r="E1653" s="49" t="s">
        <v>2785</v>
      </c>
      <c r="F1653" s="49" t="s">
        <v>2792</v>
      </c>
      <c r="G1653" s="49" t="s">
        <v>2787</v>
      </c>
      <c r="H1653" s="49" t="s">
        <v>8</v>
      </c>
      <c r="I1653" s="50">
        <v>44848</v>
      </c>
      <c r="J1653" s="50">
        <v>45030</v>
      </c>
      <c r="K1653" s="50">
        <v>45759</v>
      </c>
      <c r="M1653" s="49" t="s">
        <v>6329</v>
      </c>
    </row>
    <row r="1654" spans="1:13" x14ac:dyDescent="0.35">
      <c r="A1654" s="49" t="s">
        <v>14160</v>
      </c>
      <c r="B1654" s="49" t="s">
        <v>6981</v>
      </c>
      <c r="C1654" s="49" t="s">
        <v>6982</v>
      </c>
      <c r="D1654" s="49" t="s">
        <v>1264</v>
      </c>
      <c r="E1654" s="49" t="s">
        <v>2785</v>
      </c>
      <c r="F1654" s="49" t="s">
        <v>2792</v>
      </c>
      <c r="G1654" s="49" t="s">
        <v>4330</v>
      </c>
      <c r="H1654" s="49" t="s">
        <v>8</v>
      </c>
      <c r="I1654" s="52">
        <v>45840.702349537001</v>
      </c>
      <c r="M1654" s="49" t="s">
        <v>6983</v>
      </c>
    </row>
    <row r="1655" spans="1:13" x14ac:dyDescent="0.35">
      <c r="A1655" s="49" t="s">
        <v>14160</v>
      </c>
      <c r="B1655" s="49" t="s">
        <v>10858</v>
      </c>
      <c r="C1655" s="49" t="s">
        <v>3776</v>
      </c>
      <c r="D1655" s="49" t="s">
        <v>1264</v>
      </c>
      <c r="E1655" s="49" t="s">
        <v>2908</v>
      </c>
      <c r="F1655" s="49" t="s">
        <v>2837</v>
      </c>
      <c r="G1655" s="49" t="s">
        <v>4891</v>
      </c>
      <c r="H1655" s="49" t="s">
        <v>973</v>
      </c>
      <c r="I1655" s="50">
        <v>44420</v>
      </c>
      <c r="M1655" s="49" t="s">
        <v>10859</v>
      </c>
    </row>
    <row r="1656" spans="1:13" x14ac:dyDescent="0.35">
      <c r="A1656" s="49" t="s">
        <v>14160</v>
      </c>
      <c r="B1656" s="49" t="s">
        <v>10860</v>
      </c>
      <c r="C1656" s="49" t="s">
        <v>8511</v>
      </c>
      <c r="D1656" s="49" t="s">
        <v>1264</v>
      </c>
      <c r="E1656" s="49" t="s">
        <v>2908</v>
      </c>
      <c r="F1656" s="49" t="s">
        <v>3253</v>
      </c>
      <c r="G1656" s="49" t="s">
        <v>4891</v>
      </c>
      <c r="H1656" s="49" t="s">
        <v>973</v>
      </c>
      <c r="I1656" s="50">
        <v>44424</v>
      </c>
      <c r="M1656" s="49" t="s">
        <v>10861</v>
      </c>
    </row>
    <row r="1657" spans="1:13" x14ac:dyDescent="0.35">
      <c r="A1657" s="49" t="s">
        <v>14160</v>
      </c>
      <c r="B1657" s="49" t="s">
        <v>11259</v>
      </c>
      <c r="C1657" s="49" t="s">
        <v>2867</v>
      </c>
      <c r="D1657" s="49" t="s">
        <v>1264</v>
      </c>
      <c r="E1657" s="49" t="s">
        <v>2785</v>
      </c>
      <c r="F1657" s="49" t="s">
        <v>2792</v>
      </c>
      <c r="G1657" s="49" t="s">
        <v>2776</v>
      </c>
      <c r="H1657" s="49" t="s">
        <v>8</v>
      </c>
      <c r="I1657" s="50">
        <v>44848</v>
      </c>
      <c r="M1657" s="49" t="s">
        <v>11260</v>
      </c>
    </row>
    <row r="1658" spans="1:13" x14ac:dyDescent="0.35">
      <c r="A1658" s="49" t="s">
        <v>14160</v>
      </c>
      <c r="B1658" s="49" t="s">
        <v>11774</v>
      </c>
      <c r="C1658" s="49"/>
      <c r="D1658" s="49" t="s">
        <v>1264</v>
      </c>
      <c r="E1658" s="49" t="s">
        <v>2814</v>
      </c>
      <c r="F1658" s="49" t="s">
        <v>2837</v>
      </c>
      <c r="G1658" s="49" t="s">
        <v>4891</v>
      </c>
      <c r="H1658" s="49" t="s">
        <v>980</v>
      </c>
      <c r="I1658" s="50">
        <v>45265</v>
      </c>
      <c r="M1658" s="49" t="s">
        <v>11775</v>
      </c>
    </row>
    <row r="1659" spans="1:13" x14ac:dyDescent="0.35">
      <c r="A1659" s="49" t="s">
        <v>14160</v>
      </c>
      <c r="B1659" s="49" t="s">
        <v>12894</v>
      </c>
      <c r="C1659" s="49"/>
      <c r="D1659" s="49" t="s">
        <v>1264</v>
      </c>
      <c r="E1659" s="49" t="s">
        <v>2785</v>
      </c>
      <c r="F1659" s="49" t="s">
        <v>2792</v>
      </c>
      <c r="G1659" s="49" t="s">
        <v>4891</v>
      </c>
      <c r="H1659" s="49" t="s">
        <v>8</v>
      </c>
      <c r="I1659" s="52">
        <v>45841.644618055601</v>
      </c>
      <c r="M1659" s="49" t="s">
        <v>12895</v>
      </c>
    </row>
    <row r="1660" spans="1:13" x14ac:dyDescent="0.35">
      <c r="A1660" s="49" t="s">
        <v>2938</v>
      </c>
      <c r="B1660" s="49" t="s">
        <v>2856</v>
      </c>
      <c r="C1660" s="49"/>
      <c r="D1660" s="49" t="s">
        <v>1264</v>
      </c>
      <c r="E1660" s="49" t="s">
        <v>2814</v>
      </c>
      <c r="F1660" s="49" t="s">
        <v>2837</v>
      </c>
      <c r="G1660" s="49" t="s">
        <v>2787</v>
      </c>
      <c r="H1660" s="49" t="s">
        <v>973</v>
      </c>
      <c r="I1660" s="50">
        <v>43802</v>
      </c>
      <c r="M1660" s="49" t="s">
        <v>2858</v>
      </c>
    </row>
    <row r="1661" spans="1:13" x14ac:dyDescent="0.35">
      <c r="A1661" s="49" t="s">
        <v>2938</v>
      </c>
      <c r="B1661" s="49" t="s">
        <v>2929</v>
      </c>
      <c r="C1661" s="49" t="s">
        <v>2930</v>
      </c>
      <c r="D1661" s="49" t="s">
        <v>1264</v>
      </c>
      <c r="E1661" s="49" t="s">
        <v>2908</v>
      </c>
      <c r="F1661" s="49" t="s">
        <v>2837</v>
      </c>
      <c r="G1661" s="49" t="s">
        <v>2901</v>
      </c>
      <c r="H1661" s="49" t="s">
        <v>980</v>
      </c>
      <c r="I1661" s="50">
        <v>31882</v>
      </c>
      <c r="J1661" s="50">
        <v>39986</v>
      </c>
      <c r="K1661" s="50">
        <v>45829</v>
      </c>
      <c r="L1661" s="50">
        <v>44004</v>
      </c>
      <c r="M1661" s="49" t="s">
        <v>2931</v>
      </c>
    </row>
    <row r="1662" spans="1:13" x14ac:dyDescent="0.35">
      <c r="A1662" s="49" t="s">
        <v>2938</v>
      </c>
      <c r="B1662" s="49" t="s">
        <v>2936</v>
      </c>
      <c r="C1662" s="49" t="s">
        <v>2937</v>
      </c>
      <c r="D1662" s="49" t="s">
        <v>1264</v>
      </c>
      <c r="E1662" s="49" t="s">
        <v>2908</v>
      </c>
      <c r="F1662" s="49" t="s">
        <v>2939</v>
      </c>
      <c r="G1662" s="49" t="s">
        <v>2901</v>
      </c>
      <c r="H1662" s="49" t="s">
        <v>980</v>
      </c>
      <c r="I1662" s="50">
        <v>34983</v>
      </c>
      <c r="J1662" s="50">
        <v>44476</v>
      </c>
      <c r="K1662" s="50">
        <v>46301</v>
      </c>
      <c r="M1662" s="49" t="s">
        <v>2940</v>
      </c>
    </row>
    <row r="1663" spans="1:13" x14ac:dyDescent="0.35">
      <c r="A1663" s="49" t="s">
        <v>2938</v>
      </c>
      <c r="B1663" s="49" t="s">
        <v>2977</v>
      </c>
      <c r="C1663" s="49" t="s">
        <v>2937</v>
      </c>
      <c r="D1663" s="49" t="s">
        <v>1264</v>
      </c>
      <c r="E1663" s="49" t="s">
        <v>2908</v>
      </c>
      <c r="F1663" s="49" t="s">
        <v>2939</v>
      </c>
      <c r="G1663" s="49" t="s">
        <v>2787</v>
      </c>
      <c r="H1663" s="49" t="s">
        <v>980</v>
      </c>
      <c r="I1663" s="50">
        <v>38079</v>
      </c>
      <c r="J1663" s="50">
        <v>38525</v>
      </c>
      <c r="K1663" s="50">
        <v>44651</v>
      </c>
      <c r="M1663" s="49" t="s">
        <v>2978</v>
      </c>
    </row>
    <row r="1664" spans="1:13" x14ac:dyDescent="0.35">
      <c r="A1664" s="49" t="s">
        <v>2938</v>
      </c>
      <c r="B1664" s="49" t="s">
        <v>2988</v>
      </c>
      <c r="C1664" s="49" t="s">
        <v>2989</v>
      </c>
      <c r="D1664" s="49" t="s">
        <v>1264</v>
      </c>
      <c r="E1664" s="49" t="s">
        <v>2908</v>
      </c>
      <c r="F1664" s="49" t="s">
        <v>2939</v>
      </c>
      <c r="G1664" s="49" t="s">
        <v>2901</v>
      </c>
      <c r="H1664" s="49" t="s">
        <v>980</v>
      </c>
      <c r="I1664" s="50">
        <v>38734</v>
      </c>
      <c r="J1664" s="50">
        <v>40430</v>
      </c>
      <c r="K1664" s="50">
        <v>46154</v>
      </c>
      <c r="M1664" s="49" t="s">
        <v>2990</v>
      </c>
    </row>
    <row r="1665" spans="1:13" x14ac:dyDescent="0.35">
      <c r="A1665" s="49" t="s">
        <v>2938</v>
      </c>
      <c r="B1665" s="49" t="s">
        <v>3062</v>
      </c>
      <c r="C1665" s="49" t="s">
        <v>3063</v>
      </c>
      <c r="D1665" s="49" t="s">
        <v>1264</v>
      </c>
      <c r="E1665" s="49" t="s">
        <v>2908</v>
      </c>
      <c r="F1665" s="49" t="s">
        <v>2837</v>
      </c>
      <c r="G1665" s="49" t="s">
        <v>2787</v>
      </c>
      <c r="H1665" s="49" t="s">
        <v>980</v>
      </c>
      <c r="I1665" s="50">
        <v>39818</v>
      </c>
      <c r="J1665" s="50">
        <v>39986</v>
      </c>
      <c r="K1665" s="50">
        <v>45563</v>
      </c>
      <c r="L1665" s="50">
        <v>43737</v>
      </c>
      <c r="M1665" s="49" t="s">
        <v>3064</v>
      </c>
    </row>
    <row r="1666" spans="1:13" x14ac:dyDescent="0.35">
      <c r="A1666" s="49" t="s">
        <v>2938</v>
      </c>
      <c r="B1666" s="49" t="s">
        <v>3067</v>
      </c>
      <c r="C1666" s="49" t="s">
        <v>3068</v>
      </c>
      <c r="D1666" s="49" t="s">
        <v>1264</v>
      </c>
      <c r="E1666" s="49" t="s">
        <v>2908</v>
      </c>
      <c r="F1666" s="49" t="s">
        <v>2837</v>
      </c>
      <c r="G1666" s="49" t="s">
        <v>2826</v>
      </c>
      <c r="H1666" s="49" t="s">
        <v>980</v>
      </c>
      <c r="I1666" s="50">
        <v>39947</v>
      </c>
      <c r="J1666" s="50">
        <v>40066</v>
      </c>
      <c r="K1666" s="50">
        <v>45274</v>
      </c>
      <c r="M1666" s="49" t="s">
        <v>3069</v>
      </c>
    </row>
    <row r="1667" spans="1:13" x14ac:dyDescent="0.35">
      <c r="A1667" s="49" t="s">
        <v>2938</v>
      </c>
      <c r="B1667" s="49" t="s">
        <v>4707</v>
      </c>
      <c r="C1667" s="49" t="s">
        <v>2867</v>
      </c>
      <c r="D1667" s="49" t="s">
        <v>1264</v>
      </c>
      <c r="E1667" s="49" t="s">
        <v>2785</v>
      </c>
      <c r="F1667" s="49" t="s">
        <v>2792</v>
      </c>
      <c r="G1667" s="49" t="s">
        <v>2787</v>
      </c>
      <c r="H1667" s="49" t="s">
        <v>8</v>
      </c>
      <c r="I1667" s="50">
        <v>44573</v>
      </c>
      <c r="J1667" s="50">
        <v>44615</v>
      </c>
      <c r="K1667" s="50">
        <v>45510</v>
      </c>
      <c r="M1667" s="49" t="s">
        <v>4708</v>
      </c>
    </row>
    <row r="1668" spans="1:13" x14ac:dyDescent="0.35">
      <c r="A1668" s="49" t="s">
        <v>2938</v>
      </c>
      <c r="B1668" s="49" t="s">
        <v>6158</v>
      </c>
      <c r="C1668" s="49" t="s">
        <v>3063</v>
      </c>
      <c r="D1668" s="49" t="s">
        <v>1264</v>
      </c>
      <c r="E1668" s="49" t="s">
        <v>2908</v>
      </c>
      <c r="F1668" s="49" t="s">
        <v>2837</v>
      </c>
      <c r="G1668" s="49" t="s">
        <v>2901</v>
      </c>
      <c r="H1668" s="49" t="s">
        <v>980</v>
      </c>
      <c r="I1668" s="50">
        <v>39876</v>
      </c>
      <c r="J1668" s="50">
        <v>44879</v>
      </c>
      <c r="K1668" s="50">
        <v>46704</v>
      </c>
      <c r="M1668" s="49" t="s">
        <v>6159</v>
      </c>
    </row>
    <row r="1669" spans="1:13" x14ac:dyDescent="0.35">
      <c r="A1669" s="49" t="s">
        <v>2938</v>
      </c>
      <c r="B1669" s="49" t="s">
        <v>7833</v>
      </c>
      <c r="C1669" s="49" t="s">
        <v>7834</v>
      </c>
      <c r="D1669" s="49" t="s">
        <v>1264</v>
      </c>
      <c r="E1669" s="49" t="s">
        <v>2908</v>
      </c>
      <c r="F1669" s="49" t="s">
        <v>2837</v>
      </c>
      <c r="G1669" s="49" t="s">
        <v>2826</v>
      </c>
      <c r="H1669" s="49" t="s">
        <v>980</v>
      </c>
      <c r="I1669" s="50">
        <v>38680</v>
      </c>
      <c r="J1669" s="50">
        <v>39182</v>
      </c>
      <c r="K1669" s="50">
        <v>41008</v>
      </c>
      <c r="M1669" s="49" t="s">
        <v>7835</v>
      </c>
    </row>
    <row r="1670" spans="1:13" x14ac:dyDescent="0.35">
      <c r="A1670" s="49" t="s">
        <v>2938</v>
      </c>
      <c r="B1670" s="49" t="s">
        <v>8275</v>
      </c>
      <c r="C1670" s="49" t="s">
        <v>8276</v>
      </c>
      <c r="D1670" s="49" t="s">
        <v>1264</v>
      </c>
      <c r="E1670" s="49" t="s">
        <v>2908</v>
      </c>
      <c r="F1670" s="49" t="s">
        <v>2837</v>
      </c>
      <c r="G1670" s="49" t="s">
        <v>2787</v>
      </c>
      <c r="H1670" s="49" t="s">
        <v>980</v>
      </c>
      <c r="I1670" s="50">
        <v>37998</v>
      </c>
      <c r="J1670" s="50">
        <v>40066</v>
      </c>
      <c r="K1670" s="50">
        <v>41891</v>
      </c>
      <c r="M1670" s="49" t="s">
        <v>8277</v>
      </c>
    </row>
    <row r="1671" spans="1:13" x14ac:dyDescent="0.35">
      <c r="A1671" s="49" t="s">
        <v>2938</v>
      </c>
      <c r="B1671" s="49" t="s">
        <v>8373</v>
      </c>
      <c r="C1671" s="49" t="s">
        <v>3063</v>
      </c>
      <c r="D1671" s="49" t="s">
        <v>1264</v>
      </c>
      <c r="E1671" s="49" t="s">
        <v>2908</v>
      </c>
      <c r="F1671" s="49" t="s">
        <v>2837</v>
      </c>
      <c r="G1671" s="49" t="s">
        <v>2826</v>
      </c>
      <c r="H1671" s="49" t="s">
        <v>980</v>
      </c>
      <c r="I1671" s="50">
        <v>34389</v>
      </c>
      <c r="J1671" s="50">
        <v>37979</v>
      </c>
      <c r="K1671" s="50">
        <v>40066</v>
      </c>
      <c r="M1671" s="49" t="s">
        <v>8374</v>
      </c>
    </row>
    <row r="1672" spans="1:13" x14ac:dyDescent="0.35">
      <c r="A1672" s="49" t="s">
        <v>2938</v>
      </c>
      <c r="B1672" s="49" t="s">
        <v>10582</v>
      </c>
      <c r="C1672" s="49"/>
      <c r="D1672" s="49" t="s">
        <v>1264</v>
      </c>
      <c r="E1672" s="49" t="s">
        <v>2814</v>
      </c>
      <c r="F1672" s="49" t="s">
        <v>2837</v>
      </c>
      <c r="G1672" s="49" t="s">
        <v>2776</v>
      </c>
      <c r="H1672" s="49" t="s">
        <v>973</v>
      </c>
      <c r="I1672" s="50">
        <v>44124</v>
      </c>
      <c r="M1672" s="49" t="s">
        <v>10583</v>
      </c>
    </row>
    <row r="1673" spans="1:13" x14ac:dyDescent="0.35">
      <c r="A1673" s="49" t="s">
        <v>14230</v>
      </c>
      <c r="B1673" s="49" t="s">
        <v>5274</v>
      </c>
      <c r="C1673" s="49"/>
      <c r="D1673" s="49" t="s">
        <v>1264</v>
      </c>
      <c r="E1673" s="49" t="s">
        <v>3443</v>
      </c>
      <c r="F1673" s="49" t="s">
        <v>3124</v>
      </c>
      <c r="G1673" s="49" t="s">
        <v>4330</v>
      </c>
      <c r="H1673" s="49" t="s">
        <v>980</v>
      </c>
      <c r="I1673" s="50">
        <v>44861</v>
      </c>
    </row>
    <row r="1674" spans="1:13" x14ac:dyDescent="0.35">
      <c r="A1674" s="49" t="s">
        <v>15053</v>
      </c>
      <c r="B1674" s="49" t="s">
        <v>7059</v>
      </c>
      <c r="C1674" s="49" t="s">
        <v>7060</v>
      </c>
      <c r="D1674" s="49" t="s">
        <v>1264</v>
      </c>
      <c r="E1674" s="49" t="s">
        <v>2785</v>
      </c>
      <c r="F1674" s="49" t="s">
        <v>2792</v>
      </c>
      <c r="G1674" s="49" t="s">
        <v>2787</v>
      </c>
      <c r="H1674" s="49" t="s">
        <v>980</v>
      </c>
      <c r="I1674" s="50">
        <v>42268</v>
      </c>
      <c r="J1674" s="50">
        <v>43056</v>
      </c>
      <c r="K1674" s="50">
        <v>44216</v>
      </c>
      <c r="M1674" s="49" t="s">
        <v>3964</v>
      </c>
    </row>
    <row r="1675" spans="1:13" x14ac:dyDescent="0.35">
      <c r="A1675" s="49" t="s">
        <v>15053</v>
      </c>
      <c r="B1675" s="49" t="s">
        <v>11634</v>
      </c>
      <c r="C1675" s="49"/>
      <c r="D1675" s="49" t="s">
        <v>1264</v>
      </c>
      <c r="E1675" s="49" t="s">
        <v>2814</v>
      </c>
      <c r="F1675" s="49" t="s">
        <v>2837</v>
      </c>
      <c r="G1675" s="49" t="s">
        <v>2776</v>
      </c>
      <c r="H1675" s="49" t="s">
        <v>980</v>
      </c>
      <c r="I1675" s="50">
        <v>45225</v>
      </c>
      <c r="M1675" s="49" t="s">
        <v>11635</v>
      </c>
    </row>
    <row r="1676" spans="1:13" x14ac:dyDescent="0.35">
      <c r="A1676" s="49" t="s">
        <v>15053</v>
      </c>
      <c r="B1676" s="49" t="s">
        <v>11636</v>
      </c>
      <c r="C1676" s="49"/>
      <c r="D1676" s="49" t="s">
        <v>1264</v>
      </c>
      <c r="E1676" s="49" t="s">
        <v>2814</v>
      </c>
      <c r="F1676" s="49" t="s">
        <v>2837</v>
      </c>
      <c r="G1676" s="49" t="s">
        <v>2776</v>
      </c>
      <c r="H1676" s="49" t="s">
        <v>980</v>
      </c>
      <c r="I1676" s="50">
        <v>45225</v>
      </c>
      <c r="M1676" s="49" t="s">
        <v>11637</v>
      </c>
    </row>
    <row r="1677" spans="1:13" x14ac:dyDescent="0.35">
      <c r="A1677" s="49" t="s">
        <v>15179</v>
      </c>
      <c r="B1677" s="49" t="s">
        <v>13102</v>
      </c>
      <c r="C1677" s="49"/>
      <c r="D1677" s="49" t="s">
        <v>1264</v>
      </c>
      <c r="E1677" s="49" t="s">
        <v>2785</v>
      </c>
      <c r="F1677" s="49" t="s">
        <v>2786</v>
      </c>
      <c r="G1677" s="49" t="s">
        <v>4891</v>
      </c>
      <c r="H1677" s="49" t="s">
        <v>980</v>
      </c>
      <c r="I1677" s="52">
        <v>46042.739085648202</v>
      </c>
      <c r="M1677" s="49" t="s">
        <v>13104</v>
      </c>
    </row>
    <row r="1678" spans="1:13" x14ac:dyDescent="0.35">
      <c r="A1678" s="49" t="s">
        <v>15360</v>
      </c>
      <c r="B1678" s="49" t="s">
        <v>5111</v>
      </c>
      <c r="C1678" s="49"/>
      <c r="D1678" s="49" t="s">
        <v>1264</v>
      </c>
      <c r="E1678" s="49" t="s">
        <v>2986</v>
      </c>
      <c r="F1678" s="49" t="s">
        <v>2825</v>
      </c>
      <c r="G1678" s="49" t="s">
        <v>2901</v>
      </c>
      <c r="H1678" s="49" t="s">
        <v>2827</v>
      </c>
      <c r="I1678" s="50">
        <v>44812</v>
      </c>
      <c r="J1678" s="50">
        <v>44904</v>
      </c>
      <c r="K1678" s="50">
        <v>45999</v>
      </c>
      <c r="M1678" s="49" t="s">
        <v>5113</v>
      </c>
    </row>
    <row r="1679" spans="1:13" x14ac:dyDescent="0.35">
      <c r="A1679" s="49" t="s">
        <v>14919</v>
      </c>
      <c r="B1679" s="49" t="s">
        <v>8980</v>
      </c>
      <c r="C1679" s="49"/>
      <c r="D1679" s="49" t="s">
        <v>1264</v>
      </c>
      <c r="E1679" s="49" t="s">
        <v>2814</v>
      </c>
      <c r="F1679" s="49" t="s">
        <v>2825</v>
      </c>
      <c r="G1679" s="49" t="s">
        <v>2787</v>
      </c>
      <c r="H1679" s="49" t="s">
        <v>2827</v>
      </c>
      <c r="I1679" s="50">
        <v>42179</v>
      </c>
      <c r="J1679" s="50">
        <v>42202</v>
      </c>
      <c r="K1679" s="50">
        <v>42385</v>
      </c>
      <c r="M1679" s="49" t="s">
        <v>3470</v>
      </c>
    </row>
    <row r="1680" spans="1:13" x14ac:dyDescent="0.35">
      <c r="A1680" s="49" t="s">
        <v>14920</v>
      </c>
      <c r="B1680" s="49" t="s">
        <v>2859</v>
      </c>
      <c r="C1680" s="49"/>
      <c r="D1680" s="49" t="s">
        <v>1264</v>
      </c>
      <c r="E1680" s="49" t="s">
        <v>2814</v>
      </c>
      <c r="F1680" s="49" t="s">
        <v>2825</v>
      </c>
      <c r="G1680" s="49" t="s">
        <v>2776</v>
      </c>
      <c r="H1680" s="49" t="s">
        <v>2827</v>
      </c>
      <c r="I1680" s="50">
        <v>41078</v>
      </c>
      <c r="M1680" s="49" t="s">
        <v>2861</v>
      </c>
    </row>
    <row r="1681" spans="1:13" x14ac:dyDescent="0.35">
      <c r="A1681" s="49" t="s">
        <v>14920</v>
      </c>
      <c r="B1681" s="49" t="s">
        <v>8950</v>
      </c>
      <c r="C1681" s="49"/>
      <c r="D1681" s="49" t="s">
        <v>1264</v>
      </c>
      <c r="E1681" s="49" t="s">
        <v>2814</v>
      </c>
      <c r="F1681" s="49" t="s">
        <v>2825</v>
      </c>
      <c r="G1681" s="49" t="s">
        <v>2787</v>
      </c>
      <c r="H1681" s="49" t="s">
        <v>2827</v>
      </c>
      <c r="I1681" s="50">
        <v>42108</v>
      </c>
      <c r="J1681" s="50">
        <v>42152</v>
      </c>
      <c r="K1681" s="50">
        <v>42335</v>
      </c>
      <c r="M1681" s="49" t="s">
        <v>7400</v>
      </c>
    </row>
    <row r="1682" spans="1:13" x14ac:dyDescent="0.35">
      <c r="A1682" s="49" t="s">
        <v>14920</v>
      </c>
      <c r="B1682" s="49" t="s">
        <v>10101</v>
      </c>
      <c r="C1682" s="49"/>
      <c r="D1682" s="49" t="s">
        <v>1264</v>
      </c>
      <c r="E1682" s="49" t="s">
        <v>2814</v>
      </c>
      <c r="F1682" s="49" t="s">
        <v>2825</v>
      </c>
      <c r="G1682" s="49" t="s">
        <v>2776</v>
      </c>
      <c r="H1682" s="49" t="s">
        <v>2827</v>
      </c>
      <c r="I1682" s="50">
        <v>41337</v>
      </c>
      <c r="M1682" s="49" t="s">
        <v>8971</v>
      </c>
    </row>
    <row r="1683" spans="1:13" x14ac:dyDescent="0.35">
      <c r="A1683" s="49" t="s">
        <v>15361</v>
      </c>
      <c r="B1683" s="49" t="s">
        <v>2802</v>
      </c>
      <c r="C1683" s="49" t="s">
        <v>2803</v>
      </c>
      <c r="D1683" s="49" t="s">
        <v>1264</v>
      </c>
      <c r="E1683" s="49" t="s">
        <v>2785</v>
      </c>
      <c r="F1683" s="49" t="s">
        <v>2805</v>
      </c>
      <c r="G1683" s="49" t="s">
        <v>2787</v>
      </c>
      <c r="H1683" s="49" t="s">
        <v>2806</v>
      </c>
      <c r="I1683" s="50">
        <v>43775</v>
      </c>
      <c r="J1683" s="50">
        <v>43871</v>
      </c>
      <c r="K1683" s="50">
        <v>44237</v>
      </c>
      <c r="M1683" s="49" t="s">
        <v>2807</v>
      </c>
    </row>
    <row r="1684" spans="1:13" x14ac:dyDescent="0.35">
      <c r="A1684" s="49" t="s">
        <v>15361</v>
      </c>
      <c r="B1684" s="49" t="s">
        <v>4252</v>
      </c>
      <c r="C1684" s="49"/>
      <c r="D1684" s="49" t="s">
        <v>1264</v>
      </c>
      <c r="E1684" s="49" t="s">
        <v>2908</v>
      </c>
      <c r="F1684" s="49" t="s">
        <v>4048</v>
      </c>
      <c r="G1684" s="49" t="s">
        <v>2901</v>
      </c>
      <c r="H1684" s="49" t="s">
        <v>973</v>
      </c>
      <c r="I1684" s="50">
        <v>44238</v>
      </c>
      <c r="J1684" s="50">
        <v>44305</v>
      </c>
      <c r="K1684" s="50">
        <v>46130</v>
      </c>
      <c r="M1684" s="49" t="s">
        <v>4253</v>
      </c>
    </row>
    <row r="1685" spans="1:13" x14ac:dyDescent="0.35">
      <c r="A1685" s="49" t="s">
        <v>15361</v>
      </c>
      <c r="B1685" s="49" t="s">
        <v>4254</v>
      </c>
      <c r="C1685" s="49"/>
      <c r="D1685" s="49" t="s">
        <v>1264</v>
      </c>
      <c r="E1685" s="49" t="s">
        <v>2908</v>
      </c>
      <c r="F1685" s="49" t="s">
        <v>3898</v>
      </c>
      <c r="G1685" s="49" t="s">
        <v>2901</v>
      </c>
      <c r="H1685" s="49" t="s">
        <v>2827</v>
      </c>
      <c r="I1685" s="50">
        <v>44238</v>
      </c>
      <c r="J1685" s="50">
        <v>44315</v>
      </c>
      <c r="K1685" s="50">
        <v>46140</v>
      </c>
      <c r="M1685" s="49" t="s">
        <v>4255</v>
      </c>
    </row>
    <row r="1686" spans="1:13" x14ac:dyDescent="0.35">
      <c r="A1686" s="49" t="s">
        <v>15361</v>
      </c>
      <c r="B1686" s="49" t="s">
        <v>4288</v>
      </c>
      <c r="C1686" s="49" t="s">
        <v>2803</v>
      </c>
      <c r="D1686" s="49" t="s">
        <v>1264</v>
      </c>
      <c r="E1686" s="49" t="s">
        <v>2785</v>
      </c>
      <c r="F1686" s="49" t="s">
        <v>2805</v>
      </c>
      <c r="G1686" s="49" t="s">
        <v>2787</v>
      </c>
      <c r="H1686" s="49" t="s">
        <v>2806</v>
      </c>
      <c r="I1686" s="50">
        <v>44238</v>
      </c>
      <c r="K1686" s="50">
        <v>45510</v>
      </c>
      <c r="M1686" s="49" t="s">
        <v>4289</v>
      </c>
    </row>
    <row r="1687" spans="1:13" x14ac:dyDescent="0.35">
      <c r="A1687" s="49" t="s">
        <v>15361</v>
      </c>
      <c r="B1687" s="49" t="s">
        <v>5167</v>
      </c>
      <c r="C1687" s="49" t="s">
        <v>5168</v>
      </c>
      <c r="D1687" s="49" t="s">
        <v>1264</v>
      </c>
      <c r="E1687" s="49" t="s">
        <v>2785</v>
      </c>
      <c r="F1687" s="49" t="s">
        <v>2805</v>
      </c>
      <c r="G1687" s="49" t="s">
        <v>2787</v>
      </c>
      <c r="H1687" s="49" t="s">
        <v>3717</v>
      </c>
      <c r="I1687" s="50">
        <v>44779</v>
      </c>
      <c r="K1687" s="50">
        <v>45511</v>
      </c>
      <c r="M1687" s="49" t="s">
        <v>5169</v>
      </c>
    </row>
    <row r="1688" spans="1:13" x14ac:dyDescent="0.35">
      <c r="A1688" s="49" t="s">
        <v>15361</v>
      </c>
      <c r="B1688" s="49" t="s">
        <v>6031</v>
      </c>
      <c r="C1688" s="49" t="s">
        <v>15361</v>
      </c>
      <c r="D1688" s="49" t="s">
        <v>1264</v>
      </c>
      <c r="E1688" s="49" t="s">
        <v>2785</v>
      </c>
      <c r="F1688" s="49" t="s">
        <v>2805</v>
      </c>
      <c r="G1688" s="49" t="s">
        <v>4330</v>
      </c>
      <c r="H1688" s="49" t="s">
        <v>3717</v>
      </c>
      <c r="I1688" s="50">
        <v>45239</v>
      </c>
      <c r="M1688" s="49" t="s">
        <v>6033</v>
      </c>
    </row>
    <row r="1689" spans="1:13" x14ac:dyDescent="0.35">
      <c r="A1689" s="49" t="s">
        <v>15361</v>
      </c>
      <c r="B1689" s="49" t="s">
        <v>11937</v>
      </c>
      <c r="C1689" s="49" t="s">
        <v>11938</v>
      </c>
      <c r="D1689" s="49" t="s">
        <v>1264</v>
      </c>
      <c r="E1689" s="49" t="s">
        <v>2785</v>
      </c>
      <c r="F1689" s="49" t="s">
        <v>2805</v>
      </c>
      <c r="G1689" s="49" t="s">
        <v>4891</v>
      </c>
      <c r="H1689" s="49" t="s">
        <v>1062</v>
      </c>
      <c r="I1689" s="50">
        <v>45301</v>
      </c>
      <c r="M1689" s="49" t="s">
        <v>11939</v>
      </c>
    </row>
    <row r="1690" spans="1:13" x14ac:dyDescent="0.35">
      <c r="A1690" s="49" t="s">
        <v>15361</v>
      </c>
      <c r="B1690" s="49" t="s">
        <v>12811</v>
      </c>
      <c r="C1690" s="49" t="s">
        <v>3075</v>
      </c>
      <c r="D1690" s="49" t="s">
        <v>1264</v>
      </c>
      <c r="E1690" s="49" t="s">
        <v>2908</v>
      </c>
      <c r="F1690" s="49" t="s">
        <v>4048</v>
      </c>
      <c r="G1690" s="49" t="s">
        <v>4891</v>
      </c>
      <c r="H1690" s="49" t="s">
        <v>2827</v>
      </c>
      <c r="I1690" s="50">
        <v>45401</v>
      </c>
      <c r="M1690" s="49" t="s">
        <v>12812</v>
      </c>
    </row>
    <row r="1691" spans="1:13" x14ac:dyDescent="0.35">
      <c r="A1691" s="49" t="s">
        <v>15361</v>
      </c>
      <c r="B1691" s="49" t="s">
        <v>13422</v>
      </c>
      <c r="C1691" s="49"/>
      <c r="D1691" s="49" t="s">
        <v>1264</v>
      </c>
      <c r="E1691" s="49" t="s">
        <v>2785</v>
      </c>
      <c r="F1691" s="49" t="s">
        <v>2805</v>
      </c>
      <c r="G1691" s="49" t="s">
        <v>4891</v>
      </c>
      <c r="H1691" s="49" t="s">
        <v>3717</v>
      </c>
      <c r="I1691" s="52">
        <v>46128.560578703698</v>
      </c>
      <c r="M1691" s="49" t="s">
        <v>13423</v>
      </c>
    </row>
    <row r="1692" spans="1:13" x14ac:dyDescent="0.35">
      <c r="A1692" s="49" t="s">
        <v>14860</v>
      </c>
      <c r="B1692" s="49" t="s">
        <v>12470</v>
      </c>
      <c r="C1692" s="49" t="s">
        <v>12471</v>
      </c>
      <c r="D1692" s="49" t="s">
        <v>1264</v>
      </c>
      <c r="E1692" s="49" t="s">
        <v>2785</v>
      </c>
      <c r="F1692" s="49" t="s">
        <v>2792</v>
      </c>
      <c r="G1692" s="49" t="s">
        <v>4891</v>
      </c>
      <c r="H1692" s="49" t="s">
        <v>980</v>
      </c>
      <c r="I1692" s="50">
        <v>45419</v>
      </c>
      <c r="M1692" s="49" t="s">
        <v>12473</v>
      </c>
    </row>
    <row r="1693" spans="1:13" x14ac:dyDescent="0.35">
      <c r="A1693" s="49" t="s">
        <v>14480</v>
      </c>
      <c r="B1693" s="49" t="s">
        <v>9208</v>
      </c>
      <c r="C1693" s="49"/>
      <c r="D1693" s="49" t="s">
        <v>1264</v>
      </c>
      <c r="E1693" s="49" t="s">
        <v>2908</v>
      </c>
      <c r="F1693" s="49" t="s">
        <v>2786</v>
      </c>
      <c r="G1693" s="49" t="s">
        <v>2776</v>
      </c>
      <c r="H1693" s="49" t="s">
        <v>8</v>
      </c>
      <c r="I1693" s="50">
        <v>43686</v>
      </c>
      <c r="M1693" s="49" t="s">
        <v>9210</v>
      </c>
    </row>
    <row r="1694" spans="1:13" x14ac:dyDescent="0.35">
      <c r="A1694" s="49" t="s">
        <v>14480</v>
      </c>
      <c r="B1694" s="49" t="s">
        <v>9383</v>
      </c>
      <c r="C1694" s="49"/>
      <c r="D1694" s="49" t="s">
        <v>1264</v>
      </c>
      <c r="E1694" s="49" t="s">
        <v>2785</v>
      </c>
      <c r="F1694" s="49" t="s">
        <v>2786</v>
      </c>
      <c r="G1694" s="49" t="s">
        <v>2776</v>
      </c>
      <c r="H1694" s="49" t="s">
        <v>8</v>
      </c>
      <c r="I1694" s="50">
        <v>43549</v>
      </c>
      <c r="M1694" s="49" t="s">
        <v>9210</v>
      </c>
    </row>
    <row r="1695" spans="1:13" x14ac:dyDescent="0.35">
      <c r="A1695" s="49" t="s">
        <v>14196</v>
      </c>
      <c r="B1695" s="49" t="s">
        <v>4654</v>
      </c>
      <c r="C1695" s="49" t="s">
        <v>4655</v>
      </c>
      <c r="D1695" s="49" t="s">
        <v>1264</v>
      </c>
      <c r="E1695" s="49" t="s">
        <v>2814</v>
      </c>
      <c r="F1695" s="49" t="s">
        <v>2825</v>
      </c>
      <c r="G1695" s="49" t="s">
        <v>2787</v>
      </c>
      <c r="H1695" s="49" t="s">
        <v>2827</v>
      </c>
      <c r="I1695" s="50">
        <v>44526</v>
      </c>
      <c r="J1695" s="50">
        <v>44924</v>
      </c>
      <c r="K1695" s="50">
        <v>44740</v>
      </c>
      <c r="M1695" s="49" t="s">
        <v>4657</v>
      </c>
    </row>
    <row r="1696" spans="1:13" x14ac:dyDescent="0.35">
      <c r="A1696" s="49" t="s">
        <v>14861</v>
      </c>
      <c r="B1696" s="49" t="s">
        <v>3884</v>
      </c>
      <c r="C1696" s="49" t="s">
        <v>2937</v>
      </c>
      <c r="D1696" s="49" t="s">
        <v>1264</v>
      </c>
      <c r="E1696" s="49" t="s">
        <v>2908</v>
      </c>
      <c r="F1696" s="49" t="s">
        <v>2939</v>
      </c>
      <c r="G1696" s="49" t="s">
        <v>2787</v>
      </c>
      <c r="H1696" s="49" t="s">
        <v>980</v>
      </c>
      <c r="I1696" s="50">
        <v>43481</v>
      </c>
      <c r="J1696" s="50">
        <v>43493</v>
      </c>
      <c r="K1696" s="50">
        <v>45319</v>
      </c>
      <c r="M1696" s="49" t="s">
        <v>3871</v>
      </c>
    </row>
    <row r="1697" spans="1:13" x14ac:dyDescent="0.35">
      <c r="A1697" s="49" t="s">
        <v>14861</v>
      </c>
      <c r="B1697" s="49" t="s">
        <v>10670</v>
      </c>
      <c r="C1697" s="49"/>
      <c r="D1697" s="49" t="s">
        <v>1264</v>
      </c>
      <c r="E1697" s="49" t="s">
        <v>2908</v>
      </c>
      <c r="F1697" s="49" t="s">
        <v>3010</v>
      </c>
      <c r="G1697" s="49" t="s">
        <v>2776</v>
      </c>
      <c r="H1697" s="49" t="s">
        <v>980</v>
      </c>
      <c r="I1697" s="50">
        <v>43979</v>
      </c>
      <c r="M1697" s="49" t="s">
        <v>10671</v>
      </c>
    </row>
    <row r="1698" spans="1:13" x14ac:dyDescent="0.35">
      <c r="A1698" s="49" t="s">
        <v>14494</v>
      </c>
      <c r="B1698" s="49" t="s">
        <v>9366</v>
      </c>
      <c r="C1698" s="49"/>
      <c r="D1698" s="49" t="s">
        <v>1264</v>
      </c>
      <c r="E1698" s="49" t="s">
        <v>2785</v>
      </c>
      <c r="F1698" s="49" t="s">
        <v>2786</v>
      </c>
      <c r="G1698" s="49" t="s">
        <v>2776</v>
      </c>
      <c r="H1698" s="49" t="s">
        <v>2827</v>
      </c>
      <c r="I1698" s="50">
        <v>43838</v>
      </c>
      <c r="M1698" s="49" t="s">
        <v>9368</v>
      </c>
    </row>
    <row r="1699" spans="1:13" x14ac:dyDescent="0.35">
      <c r="A1699" s="49" t="s">
        <v>10681</v>
      </c>
      <c r="B1699" s="49" t="s">
        <v>10680</v>
      </c>
      <c r="C1699" s="49" t="s">
        <v>4659</v>
      </c>
      <c r="D1699" s="49" t="s">
        <v>1264</v>
      </c>
      <c r="E1699" s="49" t="s">
        <v>2899</v>
      </c>
      <c r="F1699" s="49" t="s">
        <v>2775</v>
      </c>
      <c r="G1699" s="49" t="s">
        <v>2776</v>
      </c>
      <c r="H1699" s="49" t="s">
        <v>980</v>
      </c>
      <c r="I1699" s="50">
        <v>42719</v>
      </c>
      <c r="M1699" s="49" t="s">
        <v>3444</v>
      </c>
    </row>
    <row r="1700" spans="1:13" x14ac:dyDescent="0.35">
      <c r="A1700" s="49" t="s">
        <v>14266</v>
      </c>
      <c r="B1700" s="49" t="s">
        <v>6034</v>
      </c>
      <c r="C1700" s="49" t="s">
        <v>4724</v>
      </c>
      <c r="D1700" s="49" t="s">
        <v>1264</v>
      </c>
      <c r="E1700" s="49" t="s">
        <v>3443</v>
      </c>
      <c r="F1700" s="49" t="s">
        <v>3124</v>
      </c>
      <c r="G1700" s="49" t="s">
        <v>2901</v>
      </c>
      <c r="H1700" s="49" t="s">
        <v>980</v>
      </c>
      <c r="I1700" s="50">
        <v>45233</v>
      </c>
      <c r="J1700" s="50">
        <v>45259</v>
      </c>
      <c r="K1700" s="50">
        <v>47085</v>
      </c>
    </row>
    <row r="1701" spans="1:13" x14ac:dyDescent="0.35">
      <c r="A1701" s="49" t="s">
        <v>15362</v>
      </c>
      <c r="B1701" s="49" t="s">
        <v>6309</v>
      </c>
      <c r="C1701" s="49" t="s">
        <v>3171</v>
      </c>
      <c r="D1701" s="49" t="s">
        <v>1264</v>
      </c>
      <c r="E1701" s="49" t="s">
        <v>2785</v>
      </c>
      <c r="F1701" s="49" t="s">
        <v>2805</v>
      </c>
      <c r="G1701" s="49" t="s">
        <v>2787</v>
      </c>
      <c r="H1701" s="49" t="s">
        <v>3717</v>
      </c>
      <c r="I1701" s="50">
        <v>45302</v>
      </c>
      <c r="J1701" s="50">
        <v>45338</v>
      </c>
      <c r="K1701" s="50">
        <v>45703</v>
      </c>
      <c r="M1701" s="49" t="s">
        <v>6311</v>
      </c>
    </row>
    <row r="1702" spans="1:13" x14ac:dyDescent="0.35">
      <c r="A1702" s="49" t="s">
        <v>15362</v>
      </c>
      <c r="B1702" s="49" t="s">
        <v>11924</v>
      </c>
      <c r="C1702" s="49" t="s">
        <v>6881</v>
      </c>
      <c r="D1702" s="49" t="s">
        <v>1264</v>
      </c>
      <c r="E1702" s="49" t="s">
        <v>2785</v>
      </c>
      <c r="F1702" s="49" t="s">
        <v>3898</v>
      </c>
      <c r="G1702" s="49" t="s">
        <v>4891</v>
      </c>
      <c r="H1702" s="49" t="s">
        <v>2827</v>
      </c>
      <c r="I1702" s="50">
        <v>45302</v>
      </c>
      <c r="M1702" s="49" t="s">
        <v>11925</v>
      </c>
    </row>
    <row r="1703" spans="1:13" x14ac:dyDescent="0.35">
      <c r="A1703" s="49" t="s">
        <v>14862</v>
      </c>
      <c r="B1703" s="49" t="s">
        <v>4101</v>
      </c>
      <c r="C1703" s="49" t="s">
        <v>4102</v>
      </c>
      <c r="D1703" s="49" t="s">
        <v>1264</v>
      </c>
      <c r="E1703" s="49" t="s">
        <v>2814</v>
      </c>
      <c r="F1703" s="49" t="s">
        <v>2825</v>
      </c>
      <c r="G1703" s="49" t="s">
        <v>2787</v>
      </c>
      <c r="H1703" s="49" t="s">
        <v>2827</v>
      </c>
      <c r="I1703" s="50">
        <v>44035</v>
      </c>
      <c r="J1703" s="50">
        <v>44138</v>
      </c>
      <c r="K1703" s="50">
        <v>44502</v>
      </c>
      <c r="M1703" s="49" t="s">
        <v>4104</v>
      </c>
    </row>
    <row r="1704" spans="1:13" x14ac:dyDescent="0.35">
      <c r="A1704" s="49" t="s">
        <v>14862</v>
      </c>
      <c r="B1704" s="49" t="s">
        <v>5668</v>
      </c>
      <c r="C1704" s="49"/>
      <c r="D1704" s="49" t="s">
        <v>1264</v>
      </c>
      <c r="E1704" s="49" t="s">
        <v>2986</v>
      </c>
      <c r="F1704" s="49" t="s">
        <v>2825</v>
      </c>
      <c r="G1704" s="49" t="s">
        <v>4891</v>
      </c>
      <c r="H1704" s="49" t="s">
        <v>2827</v>
      </c>
      <c r="I1704" s="50">
        <v>44616</v>
      </c>
      <c r="M1704" s="49" t="s">
        <v>5669</v>
      </c>
    </row>
    <row r="1705" spans="1:13" x14ac:dyDescent="0.35">
      <c r="A1705" s="49" t="s">
        <v>14862</v>
      </c>
      <c r="B1705" s="49" t="s">
        <v>8543</v>
      </c>
      <c r="C1705" s="49" t="s">
        <v>8544</v>
      </c>
      <c r="D1705" s="49" t="s">
        <v>1264</v>
      </c>
      <c r="E1705" s="49" t="s">
        <v>2986</v>
      </c>
      <c r="F1705" s="49" t="s">
        <v>2825</v>
      </c>
      <c r="G1705" s="49" t="s">
        <v>2787</v>
      </c>
      <c r="H1705" s="49" t="s">
        <v>2827</v>
      </c>
      <c r="I1705" s="50">
        <v>42872</v>
      </c>
      <c r="J1705" s="50">
        <v>42955</v>
      </c>
      <c r="K1705" s="50">
        <v>44051</v>
      </c>
      <c r="M1705" s="49" t="s">
        <v>3270</v>
      </c>
    </row>
    <row r="1706" spans="1:13" x14ac:dyDescent="0.35">
      <c r="A1706" s="49" t="s">
        <v>14862</v>
      </c>
      <c r="B1706" s="49" t="s">
        <v>9030</v>
      </c>
      <c r="C1706" s="49"/>
      <c r="D1706" s="49" t="s">
        <v>1264</v>
      </c>
      <c r="E1706" s="49" t="s">
        <v>2814</v>
      </c>
      <c r="F1706" s="49" t="s">
        <v>2825</v>
      </c>
      <c r="G1706" s="49" t="s">
        <v>2787</v>
      </c>
      <c r="H1706" s="49" t="s">
        <v>2827</v>
      </c>
      <c r="I1706" s="50">
        <v>42574</v>
      </c>
      <c r="J1706" s="50">
        <v>42690</v>
      </c>
      <c r="K1706" s="50">
        <v>42870</v>
      </c>
      <c r="M1706" s="49" t="s">
        <v>9031</v>
      </c>
    </row>
    <row r="1707" spans="1:13" x14ac:dyDescent="0.35">
      <c r="A1707" s="49" t="s">
        <v>14862</v>
      </c>
      <c r="B1707" s="49" t="s">
        <v>12480</v>
      </c>
      <c r="C1707" s="49" t="s">
        <v>12481</v>
      </c>
      <c r="D1707" s="49" t="s">
        <v>1264</v>
      </c>
      <c r="E1707" s="49" t="s">
        <v>2908</v>
      </c>
      <c r="F1707" s="49" t="s">
        <v>4048</v>
      </c>
      <c r="G1707" s="49" t="s">
        <v>4891</v>
      </c>
      <c r="H1707" s="49" t="s">
        <v>2827</v>
      </c>
      <c r="I1707" s="50">
        <v>45420</v>
      </c>
      <c r="M1707" s="49" t="s">
        <v>12482</v>
      </c>
    </row>
    <row r="1708" spans="1:13" x14ac:dyDescent="0.35">
      <c r="A1708" s="49" t="s">
        <v>14921</v>
      </c>
      <c r="B1708" s="49" t="s">
        <v>5417</v>
      </c>
      <c r="C1708" s="49" t="s">
        <v>5418</v>
      </c>
      <c r="D1708" s="49" t="s">
        <v>1264</v>
      </c>
      <c r="E1708" s="49" t="s">
        <v>2785</v>
      </c>
      <c r="F1708" s="49" t="s">
        <v>2792</v>
      </c>
      <c r="G1708" s="49" t="s">
        <v>2787</v>
      </c>
      <c r="H1708" s="49" t="s">
        <v>3207</v>
      </c>
      <c r="I1708" s="50">
        <v>44764</v>
      </c>
      <c r="K1708" s="50">
        <v>45510</v>
      </c>
      <c r="M1708" s="49" t="s">
        <v>5420</v>
      </c>
    </row>
    <row r="1709" spans="1:13" x14ac:dyDescent="0.35">
      <c r="A1709" s="49" t="s">
        <v>14677</v>
      </c>
      <c r="B1709" s="49" t="s">
        <v>13735</v>
      </c>
      <c r="C1709" s="49"/>
      <c r="D1709" s="49" t="s">
        <v>1264</v>
      </c>
      <c r="E1709" s="49" t="s">
        <v>2908</v>
      </c>
      <c r="F1709" s="49" t="s">
        <v>2939</v>
      </c>
      <c r="G1709" s="49" t="s">
        <v>2826</v>
      </c>
      <c r="H1709" s="49" t="s">
        <v>980</v>
      </c>
      <c r="I1709" s="50">
        <v>41927</v>
      </c>
      <c r="M1709" s="49" t="s">
        <v>13737</v>
      </c>
    </row>
    <row r="1710" spans="1:13" x14ac:dyDescent="0.35">
      <c r="A1710" s="49" t="s">
        <v>15363</v>
      </c>
      <c r="B1710" s="49" t="s">
        <v>9006</v>
      </c>
      <c r="C1710" s="49" t="s">
        <v>9007</v>
      </c>
      <c r="D1710" s="49" t="s">
        <v>1264</v>
      </c>
      <c r="E1710" s="49" t="s">
        <v>2814</v>
      </c>
      <c r="F1710" s="49" t="s">
        <v>2825</v>
      </c>
      <c r="G1710" s="49" t="s">
        <v>2787</v>
      </c>
      <c r="H1710" s="49" t="s">
        <v>2827</v>
      </c>
      <c r="I1710" s="50">
        <v>42221</v>
      </c>
      <c r="J1710" s="50">
        <v>42234</v>
      </c>
      <c r="K1710" s="50">
        <v>42417</v>
      </c>
      <c r="M1710" s="49" t="s">
        <v>3470</v>
      </c>
    </row>
    <row r="1711" spans="1:13" x14ac:dyDescent="0.35">
      <c r="A1711" s="49" t="s">
        <v>15656</v>
      </c>
      <c r="B1711" s="49" t="s">
        <v>5011</v>
      </c>
      <c r="C1711" s="49"/>
      <c r="D1711" s="49" t="s">
        <v>1264</v>
      </c>
      <c r="E1711" s="49" t="s">
        <v>3443</v>
      </c>
      <c r="F1711" s="49" t="s">
        <v>3124</v>
      </c>
      <c r="G1711" s="49" t="s">
        <v>2901</v>
      </c>
      <c r="H1711" s="49" t="s">
        <v>980</v>
      </c>
      <c r="I1711" s="50">
        <v>44529</v>
      </c>
      <c r="J1711" s="50">
        <v>44594</v>
      </c>
      <c r="K1711" s="50">
        <v>46419</v>
      </c>
    </row>
    <row r="1712" spans="1:13" x14ac:dyDescent="0.35">
      <c r="A1712" s="49" t="s">
        <v>4660</v>
      </c>
      <c r="B1712" s="49" t="s">
        <v>3719</v>
      </c>
      <c r="C1712" s="49" t="s">
        <v>3582</v>
      </c>
      <c r="D1712" s="49" t="s">
        <v>1264</v>
      </c>
      <c r="E1712" s="49" t="s">
        <v>3443</v>
      </c>
      <c r="F1712" s="49" t="s">
        <v>2792</v>
      </c>
      <c r="G1712" s="49" t="s">
        <v>2787</v>
      </c>
      <c r="H1712" s="49" t="s">
        <v>980</v>
      </c>
      <c r="I1712" s="50">
        <v>43225</v>
      </c>
      <c r="J1712" s="50">
        <v>43474</v>
      </c>
      <c r="K1712" s="50">
        <v>45299</v>
      </c>
      <c r="M1712" s="49" t="s">
        <v>3706</v>
      </c>
    </row>
    <row r="1713" spans="1:13" x14ac:dyDescent="0.35">
      <c r="A1713" s="49" t="s">
        <v>4660</v>
      </c>
      <c r="B1713" s="49" t="s">
        <v>3721</v>
      </c>
      <c r="C1713" s="49" t="s">
        <v>3123</v>
      </c>
      <c r="D1713" s="49" t="s">
        <v>1264</v>
      </c>
      <c r="E1713" s="49" t="s">
        <v>3443</v>
      </c>
      <c r="F1713" s="49" t="s">
        <v>3124</v>
      </c>
      <c r="G1713" s="49" t="s">
        <v>2787</v>
      </c>
      <c r="H1713" s="49" t="s">
        <v>980</v>
      </c>
      <c r="I1713" s="50">
        <v>43225</v>
      </c>
      <c r="J1713" s="50">
        <v>43474</v>
      </c>
      <c r="K1713" s="50">
        <v>45299</v>
      </c>
      <c r="M1713" s="49" t="s">
        <v>3722</v>
      </c>
    </row>
    <row r="1714" spans="1:13" x14ac:dyDescent="0.35">
      <c r="A1714" s="49" t="s">
        <v>4660</v>
      </c>
      <c r="B1714" s="49" t="s">
        <v>4658</v>
      </c>
      <c r="C1714" s="49" t="s">
        <v>4659</v>
      </c>
      <c r="D1714" s="49" t="s">
        <v>1264</v>
      </c>
      <c r="E1714" s="49" t="s">
        <v>3443</v>
      </c>
      <c r="F1714" s="49" t="s">
        <v>3124</v>
      </c>
      <c r="G1714" s="49" t="s">
        <v>2901</v>
      </c>
      <c r="H1714" s="49" t="s">
        <v>980</v>
      </c>
      <c r="I1714" s="50">
        <v>44385</v>
      </c>
      <c r="J1714" s="50">
        <v>44890</v>
      </c>
      <c r="K1714" s="50">
        <v>46715</v>
      </c>
    </row>
    <row r="1715" spans="1:13" x14ac:dyDescent="0.35">
      <c r="A1715" s="49" t="s">
        <v>4660</v>
      </c>
      <c r="B1715" s="49" t="s">
        <v>12528</v>
      </c>
      <c r="C1715" s="49" t="s">
        <v>12529</v>
      </c>
      <c r="D1715" s="49" t="s">
        <v>1264</v>
      </c>
      <c r="E1715" s="49" t="s">
        <v>2785</v>
      </c>
      <c r="F1715" s="49" t="s">
        <v>2786</v>
      </c>
      <c r="G1715" s="49" t="s">
        <v>4891</v>
      </c>
      <c r="H1715" s="49" t="s">
        <v>980</v>
      </c>
      <c r="I1715" s="50">
        <v>45428</v>
      </c>
      <c r="M1715" s="49" t="s">
        <v>12530</v>
      </c>
    </row>
    <row r="1716" spans="1:13" x14ac:dyDescent="0.35">
      <c r="A1716" s="49" t="s">
        <v>15364</v>
      </c>
      <c r="B1716" s="49" t="s">
        <v>5260</v>
      </c>
      <c r="C1716" s="49" t="s">
        <v>5261</v>
      </c>
      <c r="D1716" s="49" t="s">
        <v>1264</v>
      </c>
      <c r="E1716" s="49" t="s">
        <v>2774</v>
      </c>
      <c r="F1716" s="49" t="s">
        <v>2825</v>
      </c>
      <c r="G1716" s="49" t="s">
        <v>2901</v>
      </c>
      <c r="H1716" s="49" t="s">
        <v>2827</v>
      </c>
      <c r="I1716" s="50">
        <v>43377</v>
      </c>
      <c r="J1716" s="50">
        <v>43500</v>
      </c>
      <c r="K1716" s="50">
        <v>46056</v>
      </c>
      <c r="M1716" s="49" t="s">
        <v>5263</v>
      </c>
    </row>
    <row r="1717" spans="1:13" x14ac:dyDescent="0.35">
      <c r="A1717" s="49" t="s">
        <v>15364</v>
      </c>
      <c r="B1717" s="49" t="s">
        <v>7106</v>
      </c>
      <c r="C1717" s="49" t="s">
        <v>7107</v>
      </c>
      <c r="D1717" s="49" t="s">
        <v>1264</v>
      </c>
      <c r="E1717" s="49" t="s">
        <v>2814</v>
      </c>
      <c r="F1717" s="49" t="s">
        <v>3405</v>
      </c>
      <c r="G1717" s="49" t="s">
        <v>2787</v>
      </c>
      <c r="H1717" s="49" t="s">
        <v>980</v>
      </c>
      <c r="I1717" s="50">
        <v>42033</v>
      </c>
      <c r="J1717" s="50">
        <v>42061</v>
      </c>
      <c r="K1717" s="50">
        <v>42241</v>
      </c>
      <c r="M1717" s="49" t="s">
        <v>7108</v>
      </c>
    </row>
    <row r="1718" spans="1:13" x14ac:dyDescent="0.35">
      <c r="A1718" s="49" t="s">
        <v>15364</v>
      </c>
      <c r="B1718" s="49" t="s">
        <v>9931</v>
      </c>
      <c r="C1718" s="49"/>
      <c r="D1718" s="49" t="s">
        <v>1264</v>
      </c>
      <c r="E1718" s="49" t="s">
        <v>7057</v>
      </c>
      <c r="F1718" s="49" t="s">
        <v>2825</v>
      </c>
      <c r="G1718" s="49" t="s">
        <v>2776</v>
      </c>
      <c r="H1718" s="49" t="s">
        <v>2827</v>
      </c>
      <c r="I1718" s="50">
        <v>42676</v>
      </c>
      <c r="M1718" s="49" t="s">
        <v>9932</v>
      </c>
    </row>
    <row r="1719" spans="1:13" x14ac:dyDescent="0.35">
      <c r="A1719" s="49" t="s">
        <v>15364</v>
      </c>
      <c r="B1719" s="49" t="s">
        <v>9935</v>
      </c>
      <c r="C1719" s="49"/>
      <c r="D1719" s="49" t="s">
        <v>1264</v>
      </c>
      <c r="E1719" s="49" t="s">
        <v>7057</v>
      </c>
      <c r="F1719" s="49" t="s">
        <v>2825</v>
      </c>
      <c r="G1719" s="49" t="s">
        <v>2776</v>
      </c>
      <c r="H1719" s="49" t="s">
        <v>2827</v>
      </c>
      <c r="I1719" s="50">
        <v>42695</v>
      </c>
      <c r="M1719" s="49" t="s">
        <v>9936</v>
      </c>
    </row>
    <row r="1720" spans="1:13" x14ac:dyDescent="0.35">
      <c r="A1720" s="49" t="s">
        <v>15364</v>
      </c>
      <c r="B1720" s="49" t="s">
        <v>10184</v>
      </c>
      <c r="C1720" s="49"/>
      <c r="D1720" s="49" t="s">
        <v>1264</v>
      </c>
      <c r="E1720" s="49" t="s">
        <v>2814</v>
      </c>
      <c r="F1720" s="49" t="s">
        <v>3188</v>
      </c>
      <c r="G1720" s="49" t="s">
        <v>2776</v>
      </c>
      <c r="H1720" s="49" t="s">
        <v>973</v>
      </c>
      <c r="I1720" s="50">
        <v>41977</v>
      </c>
      <c r="M1720" s="49" t="s">
        <v>10185</v>
      </c>
    </row>
    <row r="1721" spans="1:13" x14ac:dyDescent="0.35">
      <c r="A1721" s="49" t="s">
        <v>15364</v>
      </c>
      <c r="B1721" s="49" t="s">
        <v>10288</v>
      </c>
      <c r="C1721" s="49" t="s">
        <v>10289</v>
      </c>
      <c r="D1721" s="49" t="s">
        <v>1264</v>
      </c>
      <c r="E1721" s="49" t="s">
        <v>2814</v>
      </c>
      <c r="F1721" s="49" t="s">
        <v>2837</v>
      </c>
      <c r="G1721" s="49" t="s">
        <v>2787</v>
      </c>
      <c r="H1721" s="49" t="s">
        <v>2827</v>
      </c>
      <c r="I1721" s="50">
        <v>42034</v>
      </c>
      <c r="J1721" s="50">
        <v>42061</v>
      </c>
      <c r="K1721" s="50">
        <v>42241</v>
      </c>
      <c r="M1721" s="49" t="s">
        <v>10290</v>
      </c>
    </row>
    <row r="1722" spans="1:13" x14ac:dyDescent="0.35">
      <c r="A1722" s="49" t="s">
        <v>15364</v>
      </c>
      <c r="B1722" s="49" t="s">
        <v>10291</v>
      </c>
      <c r="C1722" s="49" t="s">
        <v>6573</v>
      </c>
      <c r="D1722" s="49" t="s">
        <v>1264</v>
      </c>
      <c r="E1722" s="49" t="s">
        <v>2814</v>
      </c>
      <c r="F1722" s="49" t="s">
        <v>3010</v>
      </c>
      <c r="G1722" s="49" t="s">
        <v>2787</v>
      </c>
      <c r="H1722" s="49" t="s">
        <v>980</v>
      </c>
      <c r="I1722" s="50">
        <v>42007</v>
      </c>
      <c r="M1722" s="49" t="s">
        <v>10292</v>
      </c>
    </row>
    <row r="1723" spans="1:13" x14ac:dyDescent="0.35">
      <c r="A1723" s="49" t="s">
        <v>15364</v>
      </c>
      <c r="B1723" s="49" t="s">
        <v>10301</v>
      </c>
      <c r="C1723" s="49" t="s">
        <v>4739</v>
      </c>
      <c r="D1723" s="49" t="s">
        <v>1264</v>
      </c>
      <c r="E1723" s="49" t="s">
        <v>2814</v>
      </c>
      <c r="F1723" s="49" t="s">
        <v>2825</v>
      </c>
      <c r="G1723" s="49" t="s">
        <v>2776</v>
      </c>
      <c r="H1723" s="49" t="s">
        <v>2827</v>
      </c>
      <c r="I1723" s="50">
        <v>43377</v>
      </c>
      <c r="M1723" s="49" t="s">
        <v>10303</v>
      </c>
    </row>
    <row r="1724" spans="1:13" x14ac:dyDescent="0.35">
      <c r="A1724" s="49" t="s">
        <v>15364</v>
      </c>
      <c r="B1724" s="49" t="s">
        <v>13673</v>
      </c>
      <c r="C1724" s="49" t="s">
        <v>5717</v>
      </c>
      <c r="D1724" s="49" t="s">
        <v>1264</v>
      </c>
      <c r="E1724" s="49" t="s">
        <v>2986</v>
      </c>
      <c r="F1724" s="49" t="s">
        <v>2825</v>
      </c>
      <c r="G1724" s="49" t="s">
        <v>2776</v>
      </c>
      <c r="H1724" s="49" t="s">
        <v>973</v>
      </c>
      <c r="I1724" s="50">
        <v>43183</v>
      </c>
      <c r="M1724" s="49" t="s">
        <v>13674</v>
      </c>
    </row>
    <row r="1725" spans="1:13" ht="29" x14ac:dyDescent="0.35">
      <c r="A1725" s="49" t="s">
        <v>15364</v>
      </c>
      <c r="B1725" s="49" t="s">
        <v>13858</v>
      </c>
      <c r="C1725" s="51" t="s">
        <v>13859</v>
      </c>
      <c r="D1725" s="49" t="s">
        <v>1264</v>
      </c>
      <c r="E1725" s="49" t="s">
        <v>2774</v>
      </c>
      <c r="F1725" s="49" t="s">
        <v>2825</v>
      </c>
      <c r="G1725" s="49" t="s">
        <v>2776</v>
      </c>
      <c r="H1725" s="49" t="s">
        <v>2827</v>
      </c>
      <c r="I1725" s="50">
        <v>43453</v>
      </c>
      <c r="M1725" s="49" t="s">
        <v>13860</v>
      </c>
    </row>
    <row r="1726" spans="1:13" x14ac:dyDescent="0.35">
      <c r="A1726" s="49" t="s">
        <v>14627</v>
      </c>
      <c r="B1726" s="49" t="s">
        <v>12327</v>
      </c>
      <c r="C1726" s="49" t="s">
        <v>6573</v>
      </c>
      <c r="D1726" s="49" t="s">
        <v>1264</v>
      </c>
      <c r="E1726" s="49" t="s">
        <v>2785</v>
      </c>
      <c r="F1726" s="49" t="s">
        <v>2786</v>
      </c>
      <c r="G1726" s="49" t="s">
        <v>4891</v>
      </c>
      <c r="H1726" s="49" t="s">
        <v>980</v>
      </c>
      <c r="I1726" s="50">
        <v>45377</v>
      </c>
      <c r="M1726" s="49" t="s">
        <v>12329</v>
      </c>
    </row>
    <row r="1727" spans="1:13" x14ac:dyDescent="0.35">
      <c r="A1727" s="49" t="s">
        <v>14627</v>
      </c>
      <c r="B1727" s="49" t="s">
        <v>11466</v>
      </c>
      <c r="C1727" s="49"/>
      <c r="D1727" s="49" t="s">
        <v>1264</v>
      </c>
      <c r="E1727" s="49" t="s">
        <v>2814</v>
      </c>
      <c r="F1727" s="49" t="s">
        <v>2837</v>
      </c>
      <c r="G1727" s="49" t="s">
        <v>4891</v>
      </c>
      <c r="H1727" s="49" t="s">
        <v>980</v>
      </c>
      <c r="I1727" s="50">
        <v>45120</v>
      </c>
      <c r="M1727" s="49" t="s">
        <v>4797</v>
      </c>
    </row>
    <row r="1728" spans="1:13" x14ac:dyDescent="0.35">
      <c r="A1728" s="49" t="s">
        <v>14616</v>
      </c>
      <c r="B1728" s="49" t="s">
        <v>11796</v>
      </c>
      <c r="C1728" s="49"/>
      <c r="D1728" s="49" t="s">
        <v>1264</v>
      </c>
      <c r="E1728" s="49" t="s">
        <v>2986</v>
      </c>
      <c r="F1728" s="49" t="s">
        <v>2825</v>
      </c>
      <c r="G1728" s="49" t="s">
        <v>2776</v>
      </c>
      <c r="H1728" s="49" t="s">
        <v>2827</v>
      </c>
      <c r="I1728" s="50">
        <v>45254</v>
      </c>
      <c r="M1728" s="49" t="s">
        <v>11798</v>
      </c>
    </row>
    <row r="1729" spans="1:13" x14ac:dyDescent="0.35">
      <c r="A1729" s="49" t="s">
        <v>14922</v>
      </c>
      <c r="B1729" s="49" t="s">
        <v>4934</v>
      </c>
      <c r="C1729" s="49"/>
      <c r="D1729" s="49" t="s">
        <v>1264</v>
      </c>
      <c r="E1729" s="49" t="s">
        <v>2785</v>
      </c>
      <c r="F1729" s="49" t="s">
        <v>2792</v>
      </c>
      <c r="G1729" s="49" t="s">
        <v>2787</v>
      </c>
      <c r="H1729" s="49" t="s">
        <v>3207</v>
      </c>
      <c r="I1729" s="50">
        <v>44145</v>
      </c>
      <c r="K1729" s="50">
        <v>45510</v>
      </c>
      <c r="M1729" s="49" t="s">
        <v>4936</v>
      </c>
    </row>
    <row r="1730" spans="1:13" ht="43.5" x14ac:dyDescent="0.35">
      <c r="A1730" s="49" t="s">
        <v>14922</v>
      </c>
      <c r="B1730" s="49" t="s">
        <v>5613</v>
      </c>
      <c r="C1730" s="51" t="s">
        <v>5614</v>
      </c>
      <c r="D1730" s="49" t="s">
        <v>1264</v>
      </c>
      <c r="E1730" s="49" t="s">
        <v>2785</v>
      </c>
      <c r="F1730" s="49" t="s">
        <v>2792</v>
      </c>
      <c r="G1730" s="49" t="s">
        <v>2787</v>
      </c>
      <c r="H1730" s="49" t="s">
        <v>3207</v>
      </c>
      <c r="I1730" s="50">
        <v>44720</v>
      </c>
      <c r="K1730" s="50">
        <v>45511</v>
      </c>
      <c r="M1730" s="49" t="s">
        <v>5615</v>
      </c>
    </row>
    <row r="1731" spans="1:13" x14ac:dyDescent="0.35">
      <c r="A1731" s="49" t="s">
        <v>14922</v>
      </c>
      <c r="B1731" s="49" t="s">
        <v>9202</v>
      </c>
      <c r="C1731" s="49"/>
      <c r="D1731" s="49" t="s">
        <v>1264</v>
      </c>
      <c r="E1731" s="49" t="s">
        <v>2908</v>
      </c>
      <c r="F1731" s="49" t="s">
        <v>2939</v>
      </c>
      <c r="G1731" s="49" t="s">
        <v>2776</v>
      </c>
      <c r="H1731" s="49" t="s">
        <v>980</v>
      </c>
      <c r="I1731" s="50">
        <v>43458</v>
      </c>
      <c r="M1731" s="49" t="s">
        <v>9203</v>
      </c>
    </row>
    <row r="1732" spans="1:13" x14ac:dyDescent="0.35">
      <c r="A1732" s="49" t="s">
        <v>14922</v>
      </c>
      <c r="B1732" s="49" t="s">
        <v>9310</v>
      </c>
      <c r="C1732" s="49"/>
      <c r="D1732" s="49" t="s">
        <v>1264</v>
      </c>
      <c r="E1732" s="49" t="s">
        <v>2908</v>
      </c>
      <c r="F1732" s="49" t="s">
        <v>2837</v>
      </c>
      <c r="G1732" s="49" t="s">
        <v>2776</v>
      </c>
      <c r="H1732" s="49" t="s">
        <v>980</v>
      </c>
      <c r="I1732" s="50">
        <v>43439</v>
      </c>
      <c r="M1732" s="49" t="s">
        <v>7869</v>
      </c>
    </row>
    <row r="1733" spans="1:13" x14ac:dyDescent="0.35">
      <c r="A1733" s="49" t="s">
        <v>14922</v>
      </c>
      <c r="B1733" s="49" t="s">
        <v>10414</v>
      </c>
      <c r="C1733" s="49"/>
      <c r="D1733" s="49" t="s">
        <v>1264</v>
      </c>
      <c r="E1733" s="49" t="s">
        <v>2814</v>
      </c>
      <c r="F1733" s="49" t="s">
        <v>2939</v>
      </c>
      <c r="G1733" s="49" t="s">
        <v>2776</v>
      </c>
      <c r="H1733" s="49" t="s">
        <v>980</v>
      </c>
      <c r="I1733" s="50">
        <v>42576</v>
      </c>
      <c r="M1733" s="49" t="s">
        <v>10415</v>
      </c>
    </row>
    <row r="1734" spans="1:13" x14ac:dyDescent="0.35">
      <c r="A1734" s="49" t="s">
        <v>14922</v>
      </c>
      <c r="B1734" s="49" t="s">
        <v>11173</v>
      </c>
      <c r="C1734" s="49" t="s">
        <v>11174</v>
      </c>
      <c r="D1734" s="49" t="s">
        <v>1264</v>
      </c>
      <c r="E1734" s="49" t="s">
        <v>2785</v>
      </c>
      <c r="F1734" s="49" t="s">
        <v>2792</v>
      </c>
      <c r="G1734" s="49" t="s">
        <v>2776</v>
      </c>
      <c r="H1734" s="49" t="s">
        <v>3207</v>
      </c>
      <c r="I1734" s="50">
        <v>44848</v>
      </c>
      <c r="M1734" s="49" t="s">
        <v>11175</v>
      </c>
    </row>
    <row r="1735" spans="1:13" x14ac:dyDescent="0.35">
      <c r="A1735" s="49" t="s">
        <v>14922</v>
      </c>
      <c r="B1735" s="49" t="s">
        <v>11446</v>
      </c>
      <c r="C1735" s="49" t="s">
        <v>11447</v>
      </c>
      <c r="D1735" s="49" t="s">
        <v>1264</v>
      </c>
      <c r="E1735" s="49" t="s">
        <v>2785</v>
      </c>
      <c r="F1735" s="49" t="s">
        <v>2792</v>
      </c>
      <c r="G1735" s="49" t="s">
        <v>2776</v>
      </c>
      <c r="H1735" s="49" t="s">
        <v>8</v>
      </c>
      <c r="I1735" s="50">
        <v>45085</v>
      </c>
      <c r="M1735" s="49" t="s">
        <v>5615</v>
      </c>
    </row>
    <row r="1736" spans="1:13" x14ac:dyDescent="0.35">
      <c r="A1736" s="49" t="s">
        <v>14922</v>
      </c>
      <c r="B1736" s="49" t="s">
        <v>11530</v>
      </c>
      <c r="C1736" s="49"/>
      <c r="D1736" s="49" t="s">
        <v>1264</v>
      </c>
      <c r="E1736" s="49" t="s">
        <v>2814</v>
      </c>
      <c r="F1736" s="49" t="s">
        <v>2837</v>
      </c>
      <c r="G1736" s="49" t="s">
        <v>4891</v>
      </c>
      <c r="H1736" s="49" t="s">
        <v>980</v>
      </c>
      <c r="I1736" s="50">
        <v>45168</v>
      </c>
      <c r="M1736" s="49" t="s">
        <v>11531</v>
      </c>
    </row>
    <row r="1737" spans="1:13" x14ac:dyDescent="0.35">
      <c r="A1737" s="49" t="s">
        <v>14614</v>
      </c>
      <c r="B1737" s="49" t="s">
        <v>11779</v>
      </c>
      <c r="C1737" s="49" t="s">
        <v>3615</v>
      </c>
      <c r="D1737" s="49" t="s">
        <v>1264</v>
      </c>
      <c r="E1737" s="49" t="s">
        <v>2908</v>
      </c>
      <c r="F1737" s="49" t="s">
        <v>3010</v>
      </c>
      <c r="G1737" s="49" t="s">
        <v>4891</v>
      </c>
      <c r="H1737" s="49" t="s">
        <v>980</v>
      </c>
      <c r="I1737" s="50">
        <v>45254</v>
      </c>
      <c r="M1737" s="49" t="s">
        <v>11781</v>
      </c>
    </row>
    <row r="1738" spans="1:13" x14ac:dyDescent="0.35">
      <c r="A1738" s="49" t="s">
        <v>14542</v>
      </c>
      <c r="B1738" s="49" t="s">
        <v>10091</v>
      </c>
      <c r="C1738" s="49" t="s">
        <v>10092</v>
      </c>
      <c r="D1738" s="49" t="s">
        <v>1264</v>
      </c>
      <c r="E1738" s="49" t="s">
        <v>2986</v>
      </c>
      <c r="F1738" s="49" t="s">
        <v>2825</v>
      </c>
      <c r="G1738" s="49" t="s">
        <v>4891</v>
      </c>
      <c r="H1738" s="49" t="s">
        <v>2827</v>
      </c>
      <c r="I1738" s="50">
        <v>44034</v>
      </c>
      <c r="M1738" s="49" t="s">
        <v>10094</v>
      </c>
    </row>
    <row r="1739" spans="1:13" x14ac:dyDescent="0.35">
      <c r="A1739" s="49" t="s">
        <v>14565</v>
      </c>
      <c r="B1739" s="49" t="s">
        <v>10501</v>
      </c>
      <c r="C1739" s="49"/>
      <c r="D1739" s="49" t="s">
        <v>1264</v>
      </c>
      <c r="E1739" s="49" t="s">
        <v>2814</v>
      </c>
      <c r="F1739" s="49" t="s">
        <v>2837</v>
      </c>
      <c r="G1739" s="49" t="s">
        <v>2776</v>
      </c>
      <c r="H1739" s="49" t="s">
        <v>980</v>
      </c>
      <c r="I1739" s="50">
        <v>43542</v>
      </c>
      <c r="M1739" s="49" t="s">
        <v>10503</v>
      </c>
    </row>
    <row r="1740" spans="1:13" x14ac:dyDescent="0.35">
      <c r="A1740" s="49" t="s">
        <v>14565</v>
      </c>
      <c r="B1740" s="49" t="s">
        <v>10744</v>
      </c>
      <c r="C1740" s="49"/>
      <c r="D1740" s="49" t="s">
        <v>1264</v>
      </c>
      <c r="E1740" s="49" t="s">
        <v>2774</v>
      </c>
      <c r="F1740" s="49" t="s">
        <v>2900</v>
      </c>
      <c r="G1740" s="49" t="s">
        <v>3602</v>
      </c>
      <c r="H1740" s="49" t="s">
        <v>2832</v>
      </c>
      <c r="I1740" s="50">
        <v>41667</v>
      </c>
      <c r="M1740" s="49" t="s">
        <v>10745</v>
      </c>
    </row>
    <row r="1741" spans="1:13" x14ac:dyDescent="0.35">
      <c r="A1741" s="49" t="s">
        <v>14565</v>
      </c>
      <c r="B1741" s="49" t="s">
        <v>13794</v>
      </c>
      <c r="C1741" s="49"/>
      <c r="D1741" s="49" t="s">
        <v>1264</v>
      </c>
      <c r="E1741" s="49" t="s">
        <v>2814</v>
      </c>
      <c r="F1741" s="49" t="s">
        <v>2939</v>
      </c>
      <c r="G1741" s="49" t="s">
        <v>2776</v>
      </c>
      <c r="H1741" s="49" t="s">
        <v>3229</v>
      </c>
      <c r="I1741" s="50">
        <v>41648</v>
      </c>
      <c r="M1741" s="49" t="s">
        <v>13795</v>
      </c>
    </row>
    <row r="1742" spans="1:13" x14ac:dyDescent="0.35">
      <c r="A1742" s="49" t="s">
        <v>15180</v>
      </c>
      <c r="B1742" s="49" t="s">
        <v>4050</v>
      </c>
      <c r="C1742" s="49"/>
      <c r="D1742" s="49" t="s">
        <v>1264</v>
      </c>
      <c r="E1742" s="49" t="s">
        <v>2814</v>
      </c>
      <c r="F1742" s="49" t="s">
        <v>2825</v>
      </c>
      <c r="G1742" s="49" t="s">
        <v>2787</v>
      </c>
      <c r="H1742" s="49" t="s">
        <v>2827</v>
      </c>
      <c r="I1742" s="50">
        <v>43986</v>
      </c>
      <c r="J1742" s="50">
        <v>44196</v>
      </c>
      <c r="K1742" s="50">
        <v>44376</v>
      </c>
      <c r="M1742" s="49" t="s">
        <v>4052</v>
      </c>
    </row>
    <row r="1743" spans="1:13" x14ac:dyDescent="0.35">
      <c r="A1743" s="49" t="s">
        <v>15365</v>
      </c>
      <c r="B1743" s="49" t="s">
        <v>8080</v>
      </c>
      <c r="C1743" s="49" t="s">
        <v>8081</v>
      </c>
      <c r="D1743" s="49" t="s">
        <v>1264</v>
      </c>
      <c r="E1743" s="49" t="s">
        <v>2774</v>
      </c>
      <c r="F1743" s="49" t="s">
        <v>3509</v>
      </c>
      <c r="G1743" s="49" t="s">
        <v>2787</v>
      </c>
      <c r="H1743" s="49" t="s">
        <v>2827</v>
      </c>
      <c r="I1743" s="50">
        <v>42124</v>
      </c>
      <c r="J1743" s="50">
        <v>42479</v>
      </c>
      <c r="K1743" s="50">
        <v>43573</v>
      </c>
      <c r="M1743" s="49" t="s">
        <v>8083</v>
      </c>
    </row>
    <row r="1744" spans="1:13" x14ac:dyDescent="0.35">
      <c r="A1744" s="49" t="s">
        <v>14285</v>
      </c>
      <c r="B1744" s="49" t="s">
        <v>6370</v>
      </c>
      <c r="C1744" s="49" t="s">
        <v>3218</v>
      </c>
      <c r="D1744" s="49" t="s">
        <v>1264</v>
      </c>
      <c r="E1744" s="49" t="s">
        <v>2785</v>
      </c>
      <c r="F1744" s="49" t="s">
        <v>2786</v>
      </c>
      <c r="G1744" s="49" t="s">
        <v>2901</v>
      </c>
      <c r="H1744" s="49" t="s">
        <v>980</v>
      </c>
      <c r="I1744" s="50">
        <v>45334</v>
      </c>
      <c r="J1744" s="50">
        <v>45344</v>
      </c>
      <c r="K1744" s="50">
        <v>45709</v>
      </c>
      <c r="M1744" s="49" t="s">
        <v>6372</v>
      </c>
    </row>
    <row r="1745" spans="1:13" x14ac:dyDescent="0.35">
      <c r="A1745" s="49" t="s">
        <v>14285</v>
      </c>
      <c r="B1745" s="49" t="s">
        <v>9194</v>
      </c>
      <c r="C1745" s="49" t="s">
        <v>3615</v>
      </c>
      <c r="D1745" s="49" t="s">
        <v>1264</v>
      </c>
      <c r="E1745" s="49" t="s">
        <v>2908</v>
      </c>
      <c r="F1745" s="49" t="s">
        <v>3010</v>
      </c>
      <c r="G1745" s="49" t="s">
        <v>2776</v>
      </c>
      <c r="H1745" s="49" t="s">
        <v>8</v>
      </c>
      <c r="I1745" s="50">
        <v>42877</v>
      </c>
      <c r="M1745" s="49" t="s">
        <v>9195</v>
      </c>
    </row>
    <row r="1746" spans="1:13" x14ac:dyDescent="0.35">
      <c r="A1746" s="49" t="s">
        <v>14285</v>
      </c>
      <c r="B1746" s="49" t="s">
        <v>9249</v>
      </c>
      <c r="C1746" s="49"/>
      <c r="D1746" s="49" t="s">
        <v>1264</v>
      </c>
      <c r="E1746" s="49" t="s">
        <v>2908</v>
      </c>
      <c r="F1746" s="49" t="s">
        <v>2837</v>
      </c>
      <c r="G1746" s="49" t="s">
        <v>2776</v>
      </c>
      <c r="H1746" s="49" t="s">
        <v>980</v>
      </c>
      <c r="I1746" s="50">
        <v>43171</v>
      </c>
      <c r="M1746" s="49" t="s">
        <v>9250</v>
      </c>
    </row>
    <row r="1747" spans="1:13" x14ac:dyDescent="0.35">
      <c r="A1747" s="49" t="s">
        <v>14285</v>
      </c>
      <c r="B1747" s="49" t="s">
        <v>10204</v>
      </c>
      <c r="C1747" s="49"/>
      <c r="D1747" s="49" t="s">
        <v>1264</v>
      </c>
      <c r="E1747" s="49" t="s">
        <v>2814</v>
      </c>
      <c r="F1747" s="49" t="s">
        <v>2837</v>
      </c>
      <c r="G1747" s="49" t="s">
        <v>2776</v>
      </c>
      <c r="H1747" s="49" t="s">
        <v>980</v>
      </c>
      <c r="I1747" s="50">
        <v>43235</v>
      </c>
      <c r="M1747" s="49" t="s">
        <v>9250</v>
      </c>
    </row>
    <row r="1748" spans="1:13" x14ac:dyDescent="0.35">
      <c r="A1748" s="49" t="s">
        <v>12237</v>
      </c>
      <c r="B1748" s="49" t="s">
        <v>9163</v>
      </c>
      <c r="C1748" s="49" t="s">
        <v>3784</v>
      </c>
      <c r="D1748" s="49" t="s">
        <v>1264</v>
      </c>
      <c r="E1748" s="49" t="s">
        <v>2908</v>
      </c>
      <c r="F1748" s="49" t="s">
        <v>2837</v>
      </c>
      <c r="G1748" s="49" t="s">
        <v>2776</v>
      </c>
      <c r="H1748" s="49" t="s">
        <v>2827</v>
      </c>
      <c r="I1748" s="50">
        <v>43479</v>
      </c>
      <c r="M1748" s="49" t="s">
        <v>6706</v>
      </c>
    </row>
    <row r="1749" spans="1:13" x14ac:dyDescent="0.35">
      <c r="A1749" s="49" t="s">
        <v>12237</v>
      </c>
      <c r="B1749" s="49" t="s">
        <v>9270</v>
      </c>
      <c r="C1749" s="49"/>
      <c r="D1749" s="49" t="s">
        <v>1264</v>
      </c>
      <c r="E1749" s="49" t="s">
        <v>2908</v>
      </c>
      <c r="F1749" s="49" t="s">
        <v>2939</v>
      </c>
      <c r="G1749" s="49" t="s">
        <v>2776</v>
      </c>
      <c r="H1749" s="49" t="s">
        <v>980</v>
      </c>
      <c r="I1749" s="50">
        <v>43199</v>
      </c>
      <c r="M1749" s="49" t="s">
        <v>9271</v>
      </c>
    </row>
    <row r="1750" spans="1:13" x14ac:dyDescent="0.35">
      <c r="A1750" s="49" t="s">
        <v>12237</v>
      </c>
      <c r="B1750" s="49" t="s">
        <v>12236</v>
      </c>
      <c r="C1750" s="49" t="s">
        <v>5092</v>
      </c>
      <c r="D1750" s="49" t="s">
        <v>1264</v>
      </c>
      <c r="E1750" s="49" t="s">
        <v>2785</v>
      </c>
      <c r="F1750" s="49" t="s">
        <v>4048</v>
      </c>
      <c r="G1750" s="49" t="s">
        <v>2776</v>
      </c>
      <c r="H1750" s="49" t="s">
        <v>973</v>
      </c>
      <c r="I1750" s="50">
        <v>45362</v>
      </c>
      <c r="M1750" s="49" t="s">
        <v>12238</v>
      </c>
    </row>
    <row r="1751" spans="1:13" x14ac:dyDescent="0.35">
      <c r="A1751" s="49" t="s">
        <v>12237</v>
      </c>
      <c r="B1751" s="49" t="s">
        <v>12239</v>
      </c>
      <c r="C1751" s="49" t="s">
        <v>12240</v>
      </c>
      <c r="D1751" s="49" t="s">
        <v>1264</v>
      </c>
      <c r="E1751" s="49" t="s">
        <v>2785</v>
      </c>
      <c r="F1751" s="49" t="s">
        <v>4048</v>
      </c>
      <c r="G1751" s="49" t="s">
        <v>2776</v>
      </c>
      <c r="H1751" s="49" t="s">
        <v>973</v>
      </c>
      <c r="I1751" s="50">
        <v>45362</v>
      </c>
      <c r="M1751" s="49" t="s">
        <v>12241</v>
      </c>
    </row>
    <row r="1752" spans="1:13" x14ac:dyDescent="0.35">
      <c r="A1752" s="49" t="s">
        <v>12237</v>
      </c>
      <c r="B1752" s="49" t="s">
        <v>12242</v>
      </c>
      <c r="C1752" s="49" t="s">
        <v>12243</v>
      </c>
      <c r="D1752" s="49" t="s">
        <v>1264</v>
      </c>
      <c r="E1752" s="49" t="s">
        <v>2785</v>
      </c>
      <c r="F1752" s="49" t="s">
        <v>4048</v>
      </c>
      <c r="G1752" s="49" t="s">
        <v>4891</v>
      </c>
      <c r="H1752" s="49" t="s">
        <v>2832</v>
      </c>
      <c r="I1752" s="50">
        <v>45341</v>
      </c>
      <c r="M1752" s="49" t="s">
        <v>12244</v>
      </c>
    </row>
    <row r="1753" spans="1:13" x14ac:dyDescent="0.35">
      <c r="A1753" s="49" t="s">
        <v>12237</v>
      </c>
      <c r="B1753" s="49" t="s">
        <v>12250</v>
      </c>
      <c r="C1753" s="49" t="s">
        <v>3663</v>
      </c>
      <c r="D1753" s="49" t="s">
        <v>1264</v>
      </c>
      <c r="E1753" s="49" t="s">
        <v>2908</v>
      </c>
      <c r="F1753" s="49" t="s">
        <v>2837</v>
      </c>
      <c r="G1753" s="49" t="s">
        <v>4891</v>
      </c>
      <c r="H1753" s="49" t="s">
        <v>2827</v>
      </c>
      <c r="I1753" s="50">
        <v>45363</v>
      </c>
      <c r="M1753" s="49" t="s">
        <v>12251</v>
      </c>
    </row>
    <row r="1754" spans="1:13" x14ac:dyDescent="0.35">
      <c r="A1754" s="49" t="s">
        <v>12237</v>
      </c>
      <c r="B1754" s="49" t="s">
        <v>12438</v>
      </c>
      <c r="C1754" s="49" t="s">
        <v>3021</v>
      </c>
      <c r="D1754" s="49" t="s">
        <v>1264</v>
      </c>
      <c r="E1754" s="49" t="s">
        <v>2785</v>
      </c>
      <c r="F1754" s="49" t="s">
        <v>4048</v>
      </c>
      <c r="G1754" s="49" t="s">
        <v>4891</v>
      </c>
      <c r="H1754" s="49" t="s">
        <v>2832</v>
      </c>
      <c r="I1754" s="50">
        <v>45419</v>
      </c>
      <c r="M1754" s="49" t="s">
        <v>12439</v>
      </c>
    </row>
    <row r="1755" spans="1:13" x14ac:dyDescent="0.35">
      <c r="A1755" s="49" t="s">
        <v>12237</v>
      </c>
      <c r="B1755" s="49" t="s">
        <v>12643</v>
      </c>
      <c r="C1755" s="49"/>
      <c r="D1755" s="49" t="s">
        <v>1264</v>
      </c>
      <c r="E1755" s="49" t="s">
        <v>2774</v>
      </c>
      <c r="F1755" s="49" t="s">
        <v>2939</v>
      </c>
      <c r="G1755" s="49" t="s">
        <v>4891</v>
      </c>
      <c r="H1755" s="49" t="s">
        <v>980</v>
      </c>
      <c r="I1755" s="50">
        <v>45504</v>
      </c>
      <c r="M1755" s="49" t="s">
        <v>12644</v>
      </c>
    </row>
    <row r="1756" spans="1:13" x14ac:dyDescent="0.35">
      <c r="A1756" s="49" t="s">
        <v>15366</v>
      </c>
      <c r="B1756" s="49" t="s">
        <v>11451</v>
      </c>
      <c r="C1756" s="49" t="s">
        <v>11452</v>
      </c>
      <c r="D1756" s="49" t="s">
        <v>1264</v>
      </c>
      <c r="E1756" s="49" t="s">
        <v>2986</v>
      </c>
      <c r="F1756" s="49" t="s">
        <v>2825</v>
      </c>
      <c r="G1756" s="49" t="s">
        <v>4891</v>
      </c>
      <c r="H1756" s="49" t="s">
        <v>2827</v>
      </c>
      <c r="I1756" s="50">
        <v>45092</v>
      </c>
      <c r="M1756" s="49" t="s">
        <v>11454</v>
      </c>
    </row>
    <row r="1757" spans="1:13" x14ac:dyDescent="0.35">
      <c r="A1757" s="49" t="s">
        <v>15366</v>
      </c>
      <c r="B1757" s="49" t="s">
        <v>11455</v>
      </c>
      <c r="C1757" s="49" t="s">
        <v>11456</v>
      </c>
      <c r="D1757" s="49" t="s">
        <v>1264</v>
      </c>
      <c r="E1757" s="49" t="s">
        <v>2986</v>
      </c>
      <c r="F1757" s="49" t="s">
        <v>2825</v>
      </c>
      <c r="G1757" s="49" t="s">
        <v>4891</v>
      </c>
      <c r="H1757" s="49" t="s">
        <v>2827</v>
      </c>
      <c r="I1757" s="50">
        <v>45092</v>
      </c>
      <c r="M1757" s="49" t="s">
        <v>11457</v>
      </c>
    </row>
    <row r="1758" spans="1:13" x14ac:dyDescent="0.35">
      <c r="A1758" s="49" t="s">
        <v>971</v>
      </c>
      <c r="B1758" s="49" t="s">
        <v>12428</v>
      </c>
      <c r="C1758" s="49" t="s">
        <v>3075</v>
      </c>
      <c r="D1758" s="49" t="s">
        <v>1264</v>
      </c>
      <c r="E1758" s="49" t="s">
        <v>2908</v>
      </c>
      <c r="F1758" s="49" t="s">
        <v>2837</v>
      </c>
      <c r="G1758" s="49" t="s">
        <v>4891</v>
      </c>
      <c r="H1758" s="49" t="s">
        <v>2827</v>
      </c>
      <c r="I1758" s="50">
        <v>45415</v>
      </c>
      <c r="M1758" s="49" t="s">
        <v>12430</v>
      </c>
    </row>
    <row r="1759" spans="1:13" x14ac:dyDescent="0.35">
      <c r="A1759" s="49" t="s">
        <v>971</v>
      </c>
      <c r="B1759" s="49" t="s">
        <v>12436</v>
      </c>
      <c r="C1759" s="49" t="s">
        <v>5810</v>
      </c>
      <c r="D1759" s="49" t="s">
        <v>1264</v>
      </c>
      <c r="E1759" s="49" t="s">
        <v>2785</v>
      </c>
      <c r="F1759" s="49" t="s">
        <v>2805</v>
      </c>
      <c r="G1759" s="49" t="s">
        <v>2776</v>
      </c>
      <c r="H1759" s="49" t="s">
        <v>980</v>
      </c>
      <c r="I1759" s="50">
        <v>45418</v>
      </c>
      <c r="M1759" s="49" t="s">
        <v>12437</v>
      </c>
    </row>
    <row r="1760" spans="1:13" x14ac:dyDescent="0.35">
      <c r="A1760" s="49" t="s">
        <v>971</v>
      </c>
      <c r="B1760" s="49" t="s">
        <v>12551</v>
      </c>
      <c r="C1760" s="49" t="s">
        <v>11264</v>
      </c>
      <c r="D1760" s="49" t="s">
        <v>1264</v>
      </c>
      <c r="E1760" s="49" t="s">
        <v>2908</v>
      </c>
      <c r="F1760" s="49" t="s">
        <v>3253</v>
      </c>
      <c r="G1760" s="49" t="s">
        <v>4891</v>
      </c>
      <c r="H1760" s="49" t="s">
        <v>973</v>
      </c>
      <c r="I1760" s="50">
        <v>45434</v>
      </c>
      <c r="M1760" s="49" t="s">
        <v>11810</v>
      </c>
    </row>
    <row r="1761" spans="1:13" x14ac:dyDescent="0.35">
      <c r="A1761" s="49" t="s">
        <v>971</v>
      </c>
      <c r="B1761" s="49" t="s">
        <v>12586</v>
      </c>
      <c r="C1761" s="49" t="s">
        <v>3075</v>
      </c>
      <c r="D1761" s="49" t="s">
        <v>1264</v>
      </c>
      <c r="E1761" s="49" t="s">
        <v>2785</v>
      </c>
      <c r="F1761" s="49" t="s">
        <v>4048</v>
      </c>
      <c r="G1761" s="49" t="s">
        <v>4891</v>
      </c>
      <c r="H1761" s="49" t="s">
        <v>2827</v>
      </c>
      <c r="I1761" s="50">
        <v>45455</v>
      </c>
      <c r="M1761" s="49" t="s">
        <v>12587</v>
      </c>
    </row>
    <row r="1762" spans="1:13" x14ac:dyDescent="0.35">
      <c r="A1762" s="49" t="s">
        <v>971</v>
      </c>
      <c r="B1762" s="49" t="s">
        <v>12788</v>
      </c>
      <c r="C1762" s="49" t="s">
        <v>3075</v>
      </c>
      <c r="D1762" s="49" t="s">
        <v>1264</v>
      </c>
      <c r="E1762" s="49" t="s">
        <v>2785</v>
      </c>
      <c r="F1762" s="49" t="s">
        <v>4048</v>
      </c>
      <c r="G1762" s="49" t="s">
        <v>4891</v>
      </c>
      <c r="H1762" s="49" t="s">
        <v>2827</v>
      </c>
      <c r="I1762" s="50">
        <v>45399</v>
      </c>
      <c r="M1762" s="49" t="s">
        <v>12587</v>
      </c>
    </row>
    <row r="1763" spans="1:13" x14ac:dyDescent="0.35">
      <c r="A1763" s="49" t="s">
        <v>14603</v>
      </c>
      <c r="B1763" s="49" t="s">
        <v>11359</v>
      </c>
      <c r="C1763" s="49" t="s">
        <v>11360</v>
      </c>
      <c r="D1763" s="49" t="s">
        <v>1264</v>
      </c>
      <c r="E1763" s="49" t="s">
        <v>2785</v>
      </c>
      <c r="F1763" s="49" t="s">
        <v>2786</v>
      </c>
      <c r="G1763" s="49" t="s">
        <v>2776</v>
      </c>
      <c r="H1763" s="49" t="s">
        <v>864</v>
      </c>
      <c r="I1763" s="50">
        <v>44960</v>
      </c>
      <c r="M1763" s="49" t="s">
        <v>11362</v>
      </c>
    </row>
    <row r="1764" spans="1:13" x14ac:dyDescent="0.35">
      <c r="A1764" s="49" t="s">
        <v>15367</v>
      </c>
      <c r="B1764" s="49" t="s">
        <v>11517</v>
      </c>
      <c r="C1764" s="49"/>
      <c r="D1764" s="49" t="s">
        <v>1264</v>
      </c>
      <c r="E1764" s="49" t="s">
        <v>2986</v>
      </c>
      <c r="F1764" s="49" t="s">
        <v>2825</v>
      </c>
      <c r="G1764" s="49" t="s">
        <v>4891</v>
      </c>
      <c r="H1764" s="49" t="s">
        <v>2827</v>
      </c>
      <c r="I1764" s="50">
        <v>45155</v>
      </c>
      <c r="M1764" s="49" t="s">
        <v>11519</v>
      </c>
    </row>
    <row r="1765" spans="1:13" x14ac:dyDescent="0.35">
      <c r="A1765" s="49" t="s">
        <v>15367</v>
      </c>
      <c r="B1765" s="49" t="s">
        <v>13694</v>
      </c>
      <c r="C1765" s="49" t="s">
        <v>13695</v>
      </c>
      <c r="D1765" s="49" t="s">
        <v>1264</v>
      </c>
      <c r="E1765" s="49" t="s">
        <v>2986</v>
      </c>
      <c r="F1765" s="49" t="s">
        <v>2825</v>
      </c>
      <c r="G1765" s="49" t="s">
        <v>2776</v>
      </c>
      <c r="H1765" s="49" t="s">
        <v>2827</v>
      </c>
      <c r="I1765" s="50">
        <v>43661</v>
      </c>
      <c r="M1765" s="49" t="s">
        <v>13696</v>
      </c>
    </row>
    <row r="1766" spans="1:13" x14ac:dyDescent="0.35">
      <c r="A1766" s="49" t="s">
        <v>15368</v>
      </c>
      <c r="B1766" s="49" t="s">
        <v>3185</v>
      </c>
      <c r="C1766" s="49" t="s">
        <v>3186</v>
      </c>
      <c r="D1766" s="49" t="s">
        <v>1264</v>
      </c>
      <c r="E1766" s="49" t="s">
        <v>2774</v>
      </c>
      <c r="F1766" s="49" t="s">
        <v>3188</v>
      </c>
      <c r="G1766" s="49" t="s">
        <v>3189</v>
      </c>
      <c r="H1766" s="49" t="s">
        <v>973</v>
      </c>
      <c r="I1766" s="50">
        <v>40904</v>
      </c>
      <c r="J1766" s="50">
        <v>40918</v>
      </c>
      <c r="K1766" s="50">
        <v>44223</v>
      </c>
      <c r="M1766" s="49" t="s">
        <v>3190</v>
      </c>
    </row>
    <row r="1767" spans="1:13" x14ac:dyDescent="0.35">
      <c r="A1767" s="49" t="s">
        <v>15368</v>
      </c>
      <c r="B1767" s="49" t="s">
        <v>3201</v>
      </c>
      <c r="C1767" s="49" t="s">
        <v>3202</v>
      </c>
      <c r="D1767" s="49" t="s">
        <v>1264</v>
      </c>
      <c r="E1767" s="49" t="s">
        <v>2974</v>
      </c>
      <c r="F1767" s="49" t="s">
        <v>3188</v>
      </c>
      <c r="G1767" s="49" t="s">
        <v>2921</v>
      </c>
      <c r="H1767" s="49" t="s">
        <v>973</v>
      </c>
      <c r="I1767" s="50">
        <v>40924</v>
      </c>
      <c r="J1767" s="50">
        <v>40940</v>
      </c>
      <c r="K1767" s="50">
        <v>44957</v>
      </c>
      <c r="M1767" s="49" t="s">
        <v>3203</v>
      </c>
    </row>
    <row r="1768" spans="1:13" x14ac:dyDescent="0.35">
      <c r="A1768" s="49" t="s">
        <v>15368</v>
      </c>
      <c r="B1768" s="49" t="s">
        <v>7823</v>
      </c>
      <c r="C1768" s="49" t="s">
        <v>7824</v>
      </c>
      <c r="D1768" s="49" t="s">
        <v>1264</v>
      </c>
      <c r="E1768" s="49" t="s">
        <v>2774</v>
      </c>
      <c r="F1768" s="49" t="s">
        <v>2900</v>
      </c>
      <c r="G1768" s="49" t="s">
        <v>2826</v>
      </c>
      <c r="H1768" s="49" t="s">
        <v>980</v>
      </c>
      <c r="I1768" s="50">
        <v>40929</v>
      </c>
      <c r="J1768" s="50">
        <v>40967</v>
      </c>
      <c r="K1768" s="50">
        <v>42062</v>
      </c>
      <c r="M1768" s="49" t="s">
        <v>7825</v>
      </c>
    </row>
    <row r="1769" spans="1:13" x14ac:dyDescent="0.35">
      <c r="A1769" s="49" t="s">
        <v>15368</v>
      </c>
      <c r="B1769" s="49" t="s">
        <v>7826</v>
      </c>
      <c r="C1769" s="49" t="s">
        <v>7827</v>
      </c>
      <c r="D1769" s="49" t="s">
        <v>1264</v>
      </c>
      <c r="E1769" s="49" t="s">
        <v>2774</v>
      </c>
      <c r="F1769" s="49" t="s">
        <v>2775</v>
      </c>
      <c r="G1769" s="49" t="s">
        <v>2787</v>
      </c>
      <c r="H1769" s="49" t="s">
        <v>980</v>
      </c>
      <c r="I1769" s="50">
        <v>40929</v>
      </c>
      <c r="J1769" s="50">
        <v>40967</v>
      </c>
      <c r="K1769" s="50">
        <v>43158</v>
      </c>
      <c r="M1769" s="49" t="s">
        <v>7828</v>
      </c>
    </row>
    <row r="1770" spans="1:13" x14ac:dyDescent="0.35">
      <c r="A1770" s="49" t="s">
        <v>15368</v>
      </c>
      <c r="B1770" s="49" t="s">
        <v>9933</v>
      </c>
      <c r="C1770" s="49"/>
      <c r="D1770" s="49" t="s">
        <v>1264</v>
      </c>
      <c r="E1770" s="49" t="s">
        <v>7057</v>
      </c>
      <c r="F1770" s="49" t="s">
        <v>2825</v>
      </c>
      <c r="G1770" s="49" t="s">
        <v>2776</v>
      </c>
      <c r="H1770" s="49" t="s">
        <v>2827</v>
      </c>
      <c r="I1770" s="50">
        <v>42692</v>
      </c>
      <c r="M1770" s="49" t="s">
        <v>9934</v>
      </c>
    </row>
    <row r="1771" spans="1:13" x14ac:dyDescent="0.35">
      <c r="A1771" s="49" t="s">
        <v>15368</v>
      </c>
      <c r="B1771" s="49" t="s">
        <v>13646</v>
      </c>
      <c r="C1771" s="49"/>
      <c r="D1771" s="49" t="s">
        <v>1264</v>
      </c>
      <c r="E1771" s="49" t="s">
        <v>2986</v>
      </c>
      <c r="F1771" s="49" t="s">
        <v>2825</v>
      </c>
      <c r="G1771" s="49" t="s">
        <v>2776</v>
      </c>
      <c r="H1771" s="49" t="s">
        <v>2827</v>
      </c>
      <c r="I1771" s="50">
        <v>43064</v>
      </c>
      <c r="M1771" s="49" t="s">
        <v>3270</v>
      </c>
    </row>
    <row r="1772" spans="1:13" x14ac:dyDescent="0.35">
      <c r="A1772" s="49" t="s">
        <v>15368</v>
      </c>
      <c r="B1772" s="49" t="s">
        <v>13856</v>
      </c>
      <c r="C1772" s="49"/>
      <c r="D1772" s="49" t="s">
        <v>1264</v>
      </c>
      <c r="E1772" s="49" t="s">
        <v>2774</v>
      </c>
      <c r="F1772" s="49" t="s">
        <v>2825</v>
      </c>
      <c r="G1772" s="49" t="s">
        <v>2787</v>
      </c>
      <c r="H1772" s="49" t="s">
        <v>2827</v>
      </c>
      <c r="I1772" s="50">
        <v>43453</v>
      </c>
      <c r="M1772" s="49" t="s">
        <v>13857</v>
      </c>
    </row>
    <row r="1773" spans="1:13" x14ac:dyDescent="0.35">
      <c r="A1773" s="49" t="s">
        <v>14335</v>
      </c>
      <c r="B1773" s="49" t="s">
        <v>7233</v>
      </c>
      <c r="C1773" s="49" t="s">
        <v>7234</v>
      </c>
      <c r="D1773" s="49" t="s">
        <v>1264</v>
      </c>
      <c r="E1773" s="49" t="s">
        <v>2908</v>
      </c>
      <c r="F1773" s="49" t="s">
        <v>3010</v>
      </c>
      <c r="G1773" s="49" t="s">
        <v>2826</v>
      </c>
      <c r="H1773" s="49" t="s">
        <v>980</v>
      </c>
      <c r="I1773" s="50">
        <v>30687</v>
      </c>
      <c r="J1773" s="50">
        <v>30695</v>
      </c>
      <c r="K1773" s="50">
        <v>39907</v>
      </c>
      <c r="M1773" s="49" t="s">
        <v>7236</v>
      </c>
    </row>
    <row r="1774" spans="1:13" x14ac:dyDescent="0.35">
      <c r="A1774" s="49" t="s">
        <v>14335</v>
      </c>
      <c r="B1774" s="49" t="s">
        <v>8293</v>
      </c>
      <c r="C1774" s="49" t="s">
        <v>3615</v>
      </c>
      <c r="D1774" s="49" t="s">
        <v>1264</v>
      </c>
      <c r="E1774" s="49" t="s">
        <v>2908</v>
      </c>
      <c r="F1774" s="49" t="s">
        <v>3010</v>
      </c>
      <c r="G1774" s="49" t="s">
        <v>2787</v>
      </c>
      <c r="H1774" s="49" t="s">
        <v>980</v>
      </c>
      <c r="I1774" s="50">
        <v>34579</v>
      </c>
      <c r="J1774" s="50">
        <v>35727</v>
      </c>
      <c r="K1774" s="50">
        <v>37552</v>
      </c>
      <c r="M1774" s="49" t="s">
        <v>3477</v>
      </c>
    </row>
    <row r="1775" spans="1:13" x14ac:dyDescent="0.35">
      <c r="A1775" s="49" t="s">
        <v>14335</v>
      </c>
      <c r="B1775" s="49" t="s">
        <v>8330</v>
      </c>
      <c r="C1775" s="49" t="s">
        <v>8331</v>
      </c>
      <c r="D1775" s="49" t="s">
        <v>1264</v>
      </c>
      <c r="E1775" s="49" t="s">
        <v>2908</v>
      </c>
      <c r="F1775" s="49" t="s">
        <v>3010</v>
      </c>
      <c r="G1775" s="49" t="s">
        <v>2787</v>
      </c>
      <c r="H1775" s="49" t="s">
        <v>980</v>
      </c>
      <c r="I1775" s="50">
        <v>34579</v>
      </c>
      <c r="J1775" s="50">
        <v>34975</v>
      </c>
      <c r="K1775" s="50">
        <v>36801</v>
      </c>
      <c r="M1775" s="49" t="s">
        <v>8332</v>
      </c>
    </row>
    <row r="1776" spans="1:13" x14ac:dyDescent="0.35">
      <c r="A1776" s="49" t="s">
        <v>15181</v>
      </c>
      <c r="B1776" s="49" t="s">
        <v>8571</v>
      </c>
      <c r="C1776" s="49" t="s">
        <v>8572</v>
      </c>
      <c r="D1776" s="49" t="s">
        <v>1264</v>
      </c>
      <c r="E1776" s="49" t="s">
        <v>7057</v>
      </c>
      <c r="F1776" s="49" t="s">
        <v>2825</v>
      </c>
      <c r="G1776" s="49" t="s">
        <v>2787</v>
      </c>
      <c r="H1776" s="49" t="s">
        <v>2827</v>
      </c>
      <c r="I1776" s="50">
        <v>40812</v>
      </c>
      <c r="J1776" s="50">
        <v>40891</v>
      </c>
      <c r="K1776" s="50">
        <v>42569</v>
      </c>
      <c r="M1776" s="49" t="s">
        <v>8574</v>
      </c>
    </row>
    <row r="1777" spans="1:13" x14ac:dyDescent="0.35">
      <c r="A1777" s="49" t="s">
        <v>14923</v>
      </c>
      <c r="B1777" s="49" t="s">
        <v>8995</v>
      </c>
      <c r="C1777" s="49" t="s">
        <v>8996</v>
      </c>
      <c r="D1777" s="49" t="s">
        <v>1264</v>
      </c>
      <c r="E1777" s="49" t="s">
        <v>2814</v>
      </c>
      <c r="F1777" s="49" t="s">
        <v>2837</v>
      </c>
      <c r="G1777" s="49" t="s">
        <v>2787</v>
      </c>
      <c r="H1777" s="49" t="s">
        <v>980</v>
      </c>
      <c r="I1777" s="50">
        <v>43297</v>
      </c>
      <c r="J1777" s="50">
        <v>43301</v>
      </c>
      <c r="K1777" s="50">
        <v>43485</v>
      </c>
      <c r="M1777" s="49" t="s">
        <v>8998</v>
      </c>
    </row>
    <row r="1778" spans="1:13" x14ac:dyDescent="0.35">
      <c r="A1778" s="49" t="s">
        <v>15182</v>
      </c>
      <c r="B1778" s="49" t="s">
        <v>5016</v>
      </c>
      <c r="C1778" s="49" t="s">
        <v>4293</v>
      </c>
      <c r="D1778" s="49" t="s">
        <v>1264</v>
      </c>
      <c r="E1778" s="49" t="s">
        <v>2785</v>
      </c>
      <c r="F1778" s="49" t="s">
        <v>2786</v>
      </c>
      <c r="G1778" s="49" t="s">
        <v>2787</v>
      </c>
      <c r="H1778" s="49" t="s">
        <v>980</v>
      </c>
      <c r="I1778" s="50">
        <v>44767</v>
      </c>
      <c r="J1778" s="50">
        <v>44798</v>
      </c>
      <c r="K1778" s="50">
        <v>45428</v>
      </c>
      <c r="M1778" s="49" t="s">
        <v>5018</v>
      </c>
    </row>
    <row r="1779" spans="1:13" x14ac:dyDescent="0.35">
      <c r="A1779" s="49" t="s">
        <v>15182</v>
      </c>
      <c r="B1779" s="49" t="s">
        <v>6001</v>
      </c>
      <c r="C1779" s="49" t="s">
        <v>6002</v>
      </c>
      <c r="D1779" s="49" t="s">
        <v>1264</v>
      </c>
      <c r="E1779" s="49" t="s">
        <v>2785</v>
      </c>
      <c r="F1779" s="49" t="s">
        <v>2786</v>
      </c>
      <c r="G1779" s="49" t="s">
        <v>4330</v>
      </c>
      <c r="H1779" s="49" t="s">
        <v>980</v>
      </c>
      <c r="I1779" s="50">
        <v>45189</v>
      </c>
      <c r="M1779" s="49" t="s">
        <v>6003</v>
      </c>
    </row>
    <row r="1780" spans="1:13" x14ac:dyDescent="0.35">
      <c r="A1780" s="49" t="s">
        <v>15182</v>
      </c>
      <c r="B1780" s="49" t="s">
        <v>6473</v>
      </c>
      <c r="C1780" s="49" t="s">
        <v>6474</v>
      </c>
      <c r="D1780" s="49" t="s">
        <v>1264</v>
      </c>
      <c r="E1780" s="49" t="s">
        <v>2785</v>
      </c>
      <c r="F1780" s="49" t="s">
        <v>2786</v>
      </c>
      <c r="G1780" s="49" t="s">
        <v>4330</v>
      </c>
      <c r="H1780" s="49" t="s">
        <v>980</v>
      </c>
      <c r="I1780" s="50">
        <v>45271</v>
      </c>
      <c r="M1780" s="49" t="s">
        <v>6475</v>
      </c>
    </row>
    <row r="1781" spans="1:13" x14ac:dyDescent="0.35">
      <c r="A1781" s="49" t="s">
        <v>15182</v>
      </c>
      <c r="B1781" s="49" t="s">
        <v>6871</v>
      </c>
      <c r="C1781" s="49"/>
      <c r="D1781" s="49" t="s">
        <v>1264</v>
      </c>
      <c r="E1781" s="49" t="s">
        <v>2785</v>
      </c>
      <c r="F1781" s="49" t="s">
        <v>2786</v>
      </c>
      <c r="G1781" s="49" t="s">
        <v>2901</v>
      </c>
      <c r="H1781" s="49" t="s">
        <v>980</v>
      </c>
      <c r="I1781" s="52">
        <v>45960.553506944401</v>
      </c>
      <c r="J1781" s="50">
        <v>46002</v>
      </c>
      <c r="K1781" s="50">
        <v>46366</v>
      </c>
      <c r="M1781" s="49" t="s">
        <v>6872</v>
      </c>
    </row>
    <row r="1782" spans="1:13" x14ac:dyDescent="0.35">
      <c r="A1782" s="49" t="s">
        <v>15182</v>
      </c>
      <c r="B1782" s="49" t="s">
        <v>6873</v>
      </c>
      <c r="C1782" s="49"/>
      <c r="D1782" s="49" t="s">
        <v>1264</v>
      </c>
      <c r="E1782" s="49" t="s">
        <v>2785</v>
      </c>
      <c r="F1782" s="49" t="s">
        <v>2786</v>
      </c>
      <c r="G1782" s="49" t="s">
        <v>2901</v>
      </c>
      <c r="H1782" s="49" t="s">
        <v>980</v>
      </c>
      <c r="I1782" s="52">
        <v>45960.493518518502</v>
      </c>
      <c r="J1782" s="50">
        <v>46002</v>
      </c>
      <c r="K1782" s="50">
        <v>46366</v>
      </c>
      <c r="M1782" s="49" t="s">
        <v>6874</v>
      </c>
    </row>
    <row r="1783" spans="1:13" x14ac:dyDescent="0.35">
      <c r="A1783" s="49" t="s">
        <v>15182</v>
      </c>
      <c r="B1783" s="49" t="s">
        <v>6920</v>
      </c>
      <c r="C1783" s="49" t="s">
        <v>6921</v>
      </c>
      <c r="D1783" s="49" t="s">
        <v>1264</v>
      </c>
      <c r="E1783" s="49" t="s">
        <v>2785</v>
      </c>
      <c r="F1783" s="49" t="s">
        <v>2786</v>
      </c>
      <c r="G1783" s="49" t="s">
        <v>4891</v>
      </c>
      <c r="H1783" s="49" t="s">
        <v>980</v>
      </c>
      <c r="I1783" s="52">
        <v>46142.442638888897</v>
      </c>
      <c r="M1783" s="49" t="s">
        <v>6922</v>
      </c>
    </row>
    <row r="1784" spans="1:13" x14ac:dyDescent="0.35">
      <c r="A1784" s="49" t="s">
        <v>15182</v>
      </c>
      <c r="B1784" s="49" t="s">
        <v>13555</v>
      </c>
      <c r="C1784" s="49"/>
      <c r="D1784" s="49" t="s">
        <v>1264</v>
      </c>
      <c r="E1784" s="49" t="s">
        <v>2785</v>
      </c>
      <c r="F1784" s="49" t="s">
        <v>2786</v>
      </c>
      <c r="G1784" s="49" t="s">
        <v>4891</v>
      </c>
      <c r="H1784" s="49" t="s">
        <v>980</v>
      </c>
      <c r="I1784" s="52">
        <v>46161.456041666701</v>
      </c>
      <c r="M1784" s="49" t="s">
        <v>13556</v>
      </c>
    </row>
    <row r="1785" spans="1:13" x14ac:dyDescent="0.35">
      <c r="A1785" s="49" t="s">
        <v>15182</v>
      </c>
      <c r="B1785" s="49" t="s">
        <v>13557</v>
      </c>
      <c r="C1785" s="49"/>
      <c r="D1785" s="49" t="s">
        <v>1264</v>
      </c>
      <c r="E1785" s="49" t="s">
        <v>2785</v>
      </c>
      <c r="F1785" s="49" t="s">
        <v>2786</v>
      </c>
      <c r="G1785" s="49" t="s">
        <v>4891</v>
      </c>
      <c r="H1785" s="49" t="s">
        <v>980</v>
      </c>
      <c r="I1785" s="52">
        <v>46161.481967592597</v>
      </c>
      <c r="M1785" s="49" t="s">
        <v>13558</v>
      </c>
    </row>
    <row r="1786" spans="1:13" x14ac:dyDescent="0.35">
      <c r="A1786" s="49" t="s">
        <v>15182</v>
      </c>
      <c r="B1786" s="49" t="s">
        <v>13609</v>
      </c>
      <c r="C1786" s="49"/>
      <c r="D1786" s="49" t="s">
        <v>1264</v>
      </c>
      <c r="E1786" s="49" t="s">
        <v>2785</v>
      </c>
      <c r="F1786" s="49" t="s">
        <v>2786</v>
      </c>
      <c r="G1786" s="49" t="s">
        <v>4891</v>
      </c>
      <c r="H1786" s="49" t="s">
        <v>980</v>
      </c>
      <c r="I1786" s="52">
        <v>46175.472708333298</v>
      </c>
      <c r="M1786" s="49" t="s">
        <v>13556</v>
      </c>
    </row>
    <row r="1787" spans="1:13" x14ac:dyDescent="0.35">
      <c r="A1787" s="49" t="s">
        <v>2228</v>
      </c>
      <c r="B1787" s="49" t="s">
        <v>4465</v>
      </c>
      <c r="C1787" s="49"/>
      <c r="D1787" s="49" t="s">
        <v>1264</v>
      </c>
      <c r="E1787" s="49" t="s">
        <v>2785</v>
      </c>
      <c r="F1787" s="49" t="s">
        <v>2792</v>
      </c>
      <c r="G1787" s="49" t="s">
        <v>2787</v>
      </c>
      <c r="H1787" s="49" t="s">
        <v>2827</v>
      </c>
      <c r="I1787" s="50">
        <v>44225</v>
      </c>
      <c r="J1787" s="50">
        <v>44249</v>
      </c>
      <c r="K1787" s="50">
        <v>44613</v>
      </c>
      <c r="M1787" s="49" t="s">
        <v>4467</v>
      </c>
    </row>
    <row r="1788" spans="1:13" x14ac:dyDescent="0.35">
      <c r="A1788" s="49" t="s">
        <v>2228</v>
      </c>
      <c r="B1788" s="49" t="s">
        <v>11464</v>
      </c>
      <c r="C1788" s="49" t="s">
        <v>8589</v>
      </c>
      <c r="D1788" s="49" t="s">
        <v>1264</v>
      </c>
      <c r="E1788" s="49" t="s">
        <v>2974</v>
      </c>
      <c r="F1788" s="49" t="s">
        <v>2825</v>
      </c>
      <c r="G1788" s="49" t="s">
        <v>2826</v>
      </c>
      <c r="H1788" s="49" t="s">
        <v>2827</v>
      </c>
      <c r="I1788" s="50">
        <v>45120</v>
      </c>
      <c r="M1788" s="49" t="s">
        <v>11465</v>
      </c>
    </row>
    <row r="1789" spans="1:13" x14ac:dyDescent="0.35">
      <c r="A1789" s="49" t="s">
        <v>15002</v>
      </c>
      <c r="B1789" s="49" t="s">
        <v>6524</v>
      </c>
      <c r="C1789" s="49" t="s">
        <v>3768</v>
      </c>
      <c r="D1789" s="49" t="s">
        <v>1264</v>
      </c>
      <c r="E1789" s="49" t="s">
        <v>3443</v>
      </c>
      <c r="F1789" s="49" t="s">
        <v>3124</v>
      </c>
      <c r="G1789" s="49" t="s">
        <v>4330</v>
      </c>
      <c r="H1789" s="49" t="s">
        <v>980</v>
      </c>
      <c r="I1789" s="50">
        <v>45313</v>
      </c>
    </row>
    <row r="1790" spans="1:13" x14ac:dyDescent="0.35">
      <c r="A1790" s="49" t="s">
        <v>14373</v>
      </c>
      <c r="B1790" s="49" t="s">
        <v>7644</v>
      </c>
      <c r="C1790" s="49" t="s">
        <v>4469</v>
      </c>
      <c r="D1790" s="49" t="s">
        <v>1264</v>
      </c>
      <c r="E1790" s="49" t="s">
        <v>2785</v>
      </c>
      <c r="F1790" s="49" t="s">
        <v>2792</v>
      </c>
      <c r="G1790" s="49" t="s">
        <v>2787</v>
      </c>
      <c r="H1790" s="49" t="s">
        <v>8</v>
      </c>
      <c r="I1790" s="50">
        <v>43733</v>
      </c>
      <c r="J1790" s="50">
        <v>43818</v>
      </c>
      <c r="K1790" s="50">
        <v>43634</v>
      </c>
      <c r="M1790" s="49" t="s">
        <v>7646</v>
      </c>
    </row>
    <row r="1791" spans="1:13" x14ac:dyDescent="0.35">
      <c r="A1791" s="49" t="s">
        <v>14605</v>
      </c>
      <c r="B1791" s="49" t="s">
        <v>11393</v>
      </c>
      <c r="C1791" s="49"/>
      <c r="D1791" s="49" t="s">
        <v>1264</v>
      </c>
      <c r="E1791" s="49" t="s">
        <v>2986</v>
      </c>
      <c r="F1791" s="49" t="s">
        <v>2825</v>
      </c>
      <c r="G1791" s="49" t="s">
        <v>4891</v>
      </c>
      <c r="H1791" s="49" t="s">
        <v>2827</v>
      </c>
      <c r="I1791" s="50">
        <v>45051</v>
      </c>
      <c r="M1791" s="49" t="s">
        <v>11395</v>
      </c>
    </row>
    <row r="1792" spans="1:13" x14ac:dyDescent="0.35">
      <c r="A1792" s="49" t="s">
        <v>328</v>
      </c>
      <c r="B1792" s="49" t="s">
        <v>3723</v>
      </c>
      <c r="C1792" s="49" t="s">
        <v>3468</v>
      </c>
      <c r="D1792" s="49" t="s">
        <v>1264</v>
      </c>
      <c r="E1792" s="49" t="s">
        <v>3443</v>
      </c>
      <c r="F1792" s="49" t="s">
        <v>3124</v>
      </c>
      <c r="G1792" s="49" t="s">
        <v>2901</v>
      </c>
      <c r="H1792" s="49" t="s">
        <v>980</v>
      </c>
      <c r="I1792" s="50">
        <v>43225</v>
      </c>
      <c r="J1792" s="50">
        <v>43273</v>
      </c>
      <c r="K1792" s="50">
        <v>46880</v>
      </c>
      <c r="L1792" s="50">
        <v>45055</v>
      </c>
      <c r="M1792" s="49" t="s">
        <v>3725</v>
      </c>
    </row>
    <row r="1793" spans="1:13" x14ac:dyDescent="0.35">
      <c r="A1793" s="49" t="s">
        <v>328</v>
      </c>
      <c r="B1793" s="49" t="s">
        <v>11169</v>
      </c>
      <c r="C1793" s="49"/>
      <c r="D1793" s="49" t="s">
        <v>1264</v>
      </c>
      <c r="E1793" s="49" t="s">
        <v>2908</v>
      </c>
      <c r="F1793" s="49" t="s">
        <v>2837</v>
      </c>
      <c r="G1793" s="49" t="s">
        <v>4891</v>
      </c>
      <c r="H1793" s="49" t="s">
        <v>2827</v>
      </c>
      <c r="I1793" s="50">
        <v>44882</v>
      </c>
      <c r="M1793" s="49" t="s">
        <v>11170</v>
      </c>
    </row>
    <row r="1794" spans="1:13" x14ac:dyDescent="0.35">
      <c r="A1794" s="49" t="s">
        <v>328</v>
      </c>
      <c r="B1794" s="49" t="s">
        <v>12902</v>
      </c>
      <c r="C1794" s="49"/>
      <c r="D1794" s="49" t="s">
        <v>1264</v>
      </c>
      <c r="E1794" s="49" t="s">
        <v>2814</v>
      </c>
      <c r="F1794" s="49" t="s">
        <v>2837</v>
      </c>
      <c r="G1794" s="49" t="s">
        <v>4891</v>
      </c>
      <c r="H1794" s="49" t="s">
        <v>980</v>
      </c>
      <c r="I1794" s="52">
        <v>45873.504861111098</v>
      </c>
      <c r="M1794" s="49" t="s">
        <v>12903</v>
      </c>
    </row>
    <row r="1795" spans="1:13" x14ac:dyDescent="0.35">
      <c r="A1795" s="49" t="s">
        <v>15641</v>
      </c>
      <c r="B1795" s="49" t="s">
        <v>5491</v>
      </c>
      <c r="C1795" s="49" t="s">
        <v>5492</v>
      </c>
      <c r="D1795" s="49" t="s">
        <v>1264</v>
      </c>
      <c r="E1795" s="49" t="s">
        <v>2774</v>
      </c>
      <c r="F1795" s="49" t="s">
        <v>2825</v>
      </c>
      <c r="G1795" s="49" t="s">
        <v>2901</v>
      </c>
      <c r="H1795" s="49" t="s">
        <v>2827</v>
      </c>
      <c r="I1795" s="50">
        <v>44831</v>
      </c>
      <c r="J1795" s="50">
        <v>44959</v>
      </c>
      <c r="K1795" s="50">
        <v>46419</v>
      </c>
      <c r="M1795" s="49" t="s">
        <v>3766</v>
      </c>
    </row>
    <row r="1796" spans="1:13" x14ac:dyDescent="0.35">
      <c r="A1796" s="49" t="s">
        <v>15369</v>
      </c>
      <c r="B1796" s="49" t="s">
        <v>9257</v>
      </c>
      <c r="C1796" s="49"/>
      <c r="D1796" s="49" t="s">
        <v>1264</v>
      </c>
      <c r="E1796" s="49" t="s">
        <v>2908</v>
      </c>
      <c r="F1796" s="49" t="s">
        <v>2939</v>
      </c>
      <c r="G1796" s="49" t="s">
        <v>2776</v>
      </c>
      <c r="H1796" s="49" t="s">
        <v>980</v>
      </c>
      <c r="I1796" s="50">
        <v>43258</v>
      </c>
      <c r="M1796" s="49" t="s">
        <v>9259</v>
      </c>
    </row>
    <row r="1797" spans="1:13" x14ac:dyDescent="0.35">
      <c r="A1797" s="49" t="s">
        <v>15369</v>
      </c>
      <c r="B1797" s="49" t="s">
        <v>10515</v>
      </c>
      <c r="C1797" s="49" t="s">
        <v>3730</v>
      </c>
      <c r="D1797" s="49" t="s">
        <v>1264</v>
      </c>
      <c r="E1797" s="49" t="s">
        <v>2814</v>
      </c>
      <c r="F1797" s="49" t="s">
        <v>2837</v>
      </c>
      <c r="G1797" s="49" t="s">
        <v>2776</v>
      </c>
      <c r="H1797" s="49" t="s">
        <v>973</v>
      </c>
      <c r="I1797" s="50">
        <v>43269</v>
      </c>
      <c r="M1797" s="49" t="s">
        <v>3470</v>
      </c>
    </row>
    <row r="1798" spans="1:13" x14ac:dyDescent="0.35">
      <c r="A1798" s="49" t="s">
        <v>15369</v>
      </c>
      <c r="B1798" s="49" t="s">
        <v>10516</v>
      </c>
      <c r="C1798" s="49" t="s">
        <v>2827</v>
      </c>
      <c r="D1798" s="49" t="s">
        <v>1264</v>
      </c>
      <c r="E1798" s="49" t="s">
        <v>2814</v>
      </c>
      <c r="F1798" s="49" t="s">
        <v>2837</v>
      </c>
      <c r="G1798" s="49" t="s">
        <v>2776</v>
      </c>
      <c r="H1798" s="49" t="s">
        <v>2827</v>
      </c>
      <c r="I1798" s="50">
        <v>43269</v>
      </c>
      <c r="M1798" s="49" t="s">
        <v>3470</v>
      </c>
    </row>
    <row r="1799" spans="1:13" x14ac:dyDescent="0.35">
      <c r="A1799" s="49" t="s">
        <v>332</v>
      </c>
      <c r="B1799" s="49" t="s">
        <v>4664</v>
      </c>
      <c r="C1799" s="49" t="s">
        <v>4665</v>
      </c>
      <c r="D1799" s="49" t="s">
        <v>1264</v>
      </c>
      <c r="E1799" s="49" t="s">
        <v>2774</v>
      </c>
      <c r="F1799" s="49" t="s">
        <v>2825</v>
      </c>
      <c r="G1799" s="49" t="s">
        <v>2901</v>
      </c>
      <c r="H1799" s="49" t="s">
        <v>2827</v>
      </c>
      <c r="I1799" s="50">
        <v>44529</v>
      </c>
      <c r="J1799" s="50">
        <v>45357</v>
      </c>
      <c r="K1799" s="50">
        <v>46817</v>
      </c>
      <c r="M1799" s="49" t="s">
        <v>4667</v>
      </c>
    </row>
    <row r="1800" spans="1:13" x14ac:dyDescent="0.35">
      <c r="A1800" s="49" t="s">
        <v>332</v>
      </c>
      <c r="B1800" s="49" t="s">
        <v>10961</v>
      </c>
      <c r="C1800" s="49" t="s">
        <v>3776</v>
      </c>
      <c r="D1800" s="49" t="s">
        <v>1264</v>
      </c>
      <c r="E1800" s="49" t="s">
        <v>2908</v>
      </c>
      <c r="F1800" s="49" t="s">
        <v>2837</v>
      </c>
      <c r="G1800" s="49" t="s">
        <v>2776</v>
      </c>
      <c r="H1800" s="49" t="s">
        <v>973</v>
      </c>
      <c r="I1800" s="50">
        <v>44560</v>
      </c>
      <c r="M1800" s="49" t="s">
        <v>10962</v>
      </c>
    </row>
    <row r="1801" spans="1:13" x14ac:dyDescent="0.35">
      <c r="A1801" s="49" t="s">
        <v>14369</v>
      </c>
      <c r="B1801" s="49" t="s">
        <v>7585</v>
      </c>
      <c r="C1801" s="49" t="s">
        <v>6502</v>
      </c>
      <c r="D1801" s="49" t="s">
        <v>1264</v>
      </c>
      <c r="E1801" s="49" t="s">
        <v>2785</v>
      </c>
      <c r="F1801" s="49" t="s">
        <v>2786</v>
      </c>
      <c r="G1801" s="49" t="s">
        <v>2787</v>
      </c>
      <c r="H1801" s="49" t="s">
        <v>980</v>
      </c>
      <c r="I1801" s="50">
        <v>42866</v>
      </c>
      <c r="J1801" s="50">
        <v>43021</v>
      </c>
      <c r="K1801" s="50">
        <v>43202</v>
      </c>
      <c r="M1801" s="49" t="s">
        <v>7587</v>
      </c>
    </row>
    <row r="1802" spans="1:13" x14ac:dyDescent="0.35">
      <c r="A1802" s="49" t="s">
        <v>14428</v>
      </c>
      <c r="B1802" s="49" t="s">
        <v>8412</v>
      </c>
      <c r="C1802" s="49" t="s">
        <v>2942</v>
      </c>
      <c r="D1802" s="49" t="s">
        <v>1264</v>
      </c>
      <c r="E1802" s="49" t="s">
        <v>2908</v>
      </c>
      <c r="F1802" s="49" t="s">
        <v>2939</v>
      </c>
      <c r="G1802" s="49" t="s">
        <v>2787</v>
      </c>
      <c r="H1802" s="49" t="s">
        <v>980</v>
      </c>
      <c r="I1802" s="50">
        <v>41677</v>
      </c>
      <c r="J1802" s="50">
        <v>41816</v>
      </c>
      <c r="K1802" s="50">
        <v>43641</v>
      </c>
      <c r="M1802" s="49" t="s">
        <v>8414</v>
      </c>
    </row>
    <row r="1803" spans="1:13" x14ac:dyDescent="0.35">
      <c r="A1803" s="49" t="s">
        <v>14461</v>
      </c>
      <c r="B1803" s="49" t="s">
        <v>8913</v>
      </c>
      <c r="C1803" s="49" t="s">
        <v>3046</v>
      </c>
      <c r="D1803" s="49" t="s">
        <v>1264</v>
      </c>
      <c r="E1803" s="49" t="s">
        <v>2814</v>
      </c>
      <c r="F1803" s="49" t="s">
        <v>2825</v>
      </c>
      <c r="G1803" s="49" t="s">
        <v>2826</v>
      </c>
      <c r="H1803" s="49" t="s">
        <v>2827</v>
      </c>
      <c r="I1803" s="50">
        <v>43566</v>
      </c>
      <c r="J1803" s="50">
        <v>43914</v>
      </c>
      <c r="K1803" s="50">
        <v>44277</v>
      </c>
      <c r="M1803" s="49" t="s">
        <v>8915</v>
      </c>
    </row>
    <row r="1804" spans="1:13" x14ac:dyDescent="0.35">
      <c r="A1804" s="49" t="s">
        <v>14125</v>
      </c>
      <c r="B1804" s="49" t="s">
        <v>3700</v>
      </c>
      <c r="C1804" s="49" t="s">
        <v>3701</v>
      </c>
      <c r="D1804" s="49" t="s">
        <v>1264</v>
      </c>
      <c r="E1804" s="49" t="s">
        <v>2986</v>
      </c>
      <c r="F1804" s="49" t="s">
        <v>2825</v>
      </c>
      <c r="G1804" s="49" t="s">
        <v>2787</v>
      </c>
      <c r="H1804" s="49" t="s">
        <v>2827</v>
      </c>
      <c r="I1804" s="50">
        <v>43180</v>
      </c>
      <c r="J1804" s="50">
        <v>43283</v>
      </c>
      <c r="K1804" s="50">
        <v>44379</v>
      </c>
      <c r="M1804" s="49" t="s">
        <v>3703</v>
      </c>
    </row>
    <row r="1805" spans="1:13" x14ac:dyDescent="0.35">
      <c r="A1805" s="49" t="s">
        <v>14125</v>
      </c>
      <c r="B1805" s="49" t="s">
        <v>10260</v>
      </c>
      <c r="C1805" s="49"/>
      <c r="D1805" s="49" t="s">
        <v>1264</v>
      </c>
      <c r="E1805" s="49" t="s">
        <v>2814</v>
      </c>
      <c r="F1805" s="49" t="s">
        <v>2825</v>
      </c>
      <c r="G1805" s="49" t="s">
        <v>2776</v>
      </c>
      <c r="H1805" s="49" t="s">
        <v>2827</v>
      </c>
      <c r="I1805" s="50">
        <v>43582</v>
      </c>
      <c r="M1805" s="49" t="s">
        <v>10261</v>
      </c>
    </row>
    <row r="1806" spans="1:13" x14ac:dyDescent="0.35">
      <c r="A1806" s="49" t="s">
        <v>14125</v>
      </c>
      <c r="B1806" s="49" t="s">
        <v>13632</v>
      </c>
      <c r="C1806" s="49" t="s">
        <v>10206</v>
      </c>
      <c r="D1806" s="49" t="s">
        <v>1264</v>
      </c>
      <c r="E1806" s="49" t="s">
        <v>2986</v>
      </c>
      <c r="F1806" s="49" t="s">
        <v>2825</v>
      </c>
      <c r="G1806" s="49" t="s">
        <v>2776</v>
      </c>
      <c r="H1806" s="49" t="s">
        <v>2827</v>
      </c>
      <c r="I1806" s="50">
        <v>43180</v>
      </c>
      <c r="M1806" s="49" t="s">
        <v>13633</v>
      </c>
    </row>
    <row r="1807" spans="1:13" x14ac:dyDescent="0.35">
      <c r="A1807" s="49" t="s">
        <v>14125</v>
      </c>
      <c r="B1807" s="49" t="s">
        <v>13668</v>
      </c>
      <c r="C1807" s="49" t="s">
        <v>13669</v>
      </c>
      <c r="D1807" s="49" t="s">
        <v>1264</v>
      </c>
      <c r="E1807" s="49" t="s">
        <v>2986</v>
      </c>
      <c r="F1807" s="49" t="s">
        <v>2825</v>
      </c>
      <c r="G1807" s="49" t="s">
        <v>2776</v>
      </c>
      <c r="H1807" s="49" t="s">
        <v>2827</v>
      </c>
      <c r="I1807" s="50">
        <v>43383</v>
      </c>
      <c r="M1807" s="49" t="s">
        <v>3270</v>
      </c>
    </row>
    <row r="1808" spans="1:13" x14ac:dyDescent="0.35">
      <c r="A1808" s="49" t="s">
        <v>15370</v>
      </c>
      <c r="B1808" s="49" t="s">
        <v>10772</v>
      </c>
      <c r="C1808" s="49"/>
      <c r="D1808" s="49" t="s">
        <v>1264</v>
      </c>
      <c r="E1808" s="49" t="s">
        <v>7057</v>
      </c>
      <c r="F1808" s="49" t="s">
        <v>2825</v>
      </c>
      <c r="G1808" s="49" t="s">
        <v>2776</v>
      </c>
      <c r="H1808" s="49" t="s">
        <v>2827</v>
      </c>
      <c r="I1808" s="50">
        <v>41437</v>
      </c>
      <c r="M1808" s="49" t="s">
        <v>10774</v>
      </c>
    </row>
    <row r="1809" spans="1:13" x14ac:dyDescent="0.35">
      <c r="A1809" s="49" t="s">
        <v>14596</v>
      </c>
      <c r="B1809" s="49" t="s">
        <v>8720</v>
      </c>
      <c r="C1809" s="49"/>
      <c r="D1809" s="49" t="s">
        <v>1264</v>
      </c>
      <c r="E1809" s="49" t="s">
        <v>7057</v>
      </c>
      <c r="F1809" s="49" t="s">
        <v>2825</v>
      </c>
      <c r="G1809" s="49" t="s">
        <v>2776</v>
      </c>
      <c r="H1809" s="49" t="s">
        <v>2827</v>
      </c>
      <c r="I1809" s="50">
        <v>41347</v>
      </c>
      <c r="M1809" s="49" t="s">
        <v>8722</v>
      </c>
    </row>
    <row r="1810" spans="1:13" x14ac:dyDescent="0.35">
      <c r="A1810" s="49" t="s">
        <v>14596</v>
      </c>
      <c r="B1810" s="49" t="s">
        <v>9975</v>
      </c>
      <c r="C1810" s="49" t="s">
        <v>9976</v>
      </c>
      <c r="D1810" s="49" t="s">
        <v>1264</v>
      </c>
      <c r="E1810" s="49" t="s">
        <v>7057</v>
      </c>
      <c r="F1810" s="49" t="s">
        <v>2825</v>
      </c>
      <c r="G1810" s="49" t="s">
        <v>2776</v>
      </c>
      <c r="H1810" s="49" t="s">
        <v>2827</v>
      </c>
      <c r="I1810" s="50">
        <v>42492</v>
      </c>
      <c r="M1810" s="49" t="s">
        <v>9977</v>
      </c>
    </row>
    <row r="1811" spans="1:13" x14ac:dyDescent="0.35">
      <c r="A1811" s="49" t="s">
        <v>14596</v>
      </c>
      <c r="B1811" s="49" t="s">
        <v>13985</v>
      </c>
      <c r="C1811" s="49"/>
      <c r="D1811" s="49" t="s">
        <v>1264</v>
      </c>
      <c r="E1811" s="49" t="s">
        <v>7057</v>
      </c>
      <c r="F1811" s="49" t="s">
        <v>2825</v>
      </c>
      <c r="G1811" s="49" t="s">
        <v>2776</v>
      </c>
      <c r="H1811" s="49" t="s">
        <v>2827</v>
      </c>
      <c r="I1811" s="50">
        <v>41151</v>
      </c>
      <c r="M1811" s="49" t="s">
        <v>13986</v>
      </c>
    </row>
    <row r="1812" spans="1:13" x14ac:dyDescent="0.35">
      <c r="A1812" s="49" t="s">
        <v>14596</v>
      </c>
      <c r="B1812" s="49" t="s">
        <v>11162</v>
      </c>
      <c r="C1812" s="49"/>
      <c r="D1812" s="49" t="s">
        <v>1264</v>
      </c>
      <c r="E1812" s="49" t="s">
        <v>2814</v>
      </c>
      <c r="F1812" s="49" t="s">
        <v>2825</v>
      </c>
      <c r="G1812" s="49" t="s">
        <v>2776</v>
      </c>
      <c r="H1812" s="49" t="s">
        <v>2827</v>
      </c>
      <c r="I1812" s="50">
        <v>44868</v>
      </c>
      <c r="M1812" s="49" t="s">
        <v>3100</v>
      </c>
    </row>
    <row r="1813" spans="1:13" x14ac:dyDescent="0.35">
      <c r="A1813" s="49" t="s">
        <v>14305</v>
      </c>
      <c r="B1813" s="49" t="s">
        <v>6669</v>
      </c>
      <c r="C1813" s="49" t="s">
        <v>6670</v>
      </c>
      <c r="D1813" s="49" t="s">
        <v>1264</v>
      </c>
      <c r="E1813" s="49" t="s">
        <v>2774</v>
      </c>
      <c r="F1813" s="49" t="s">
        <v>2825</v>
      </c>
      <c r="G1813" s="49" t="s">
        <v>2901</v>
      </c>
      <c r="H1813" s="49" t="s">
        <v>2827</v>
      </c>
      <c r="I1813" s="50">
        <v>44217</v>
      </c>
      <c r="J1813" s="50">
        <v>44413</v>
      </c>
      <c r="K1813" s="50">
        <v>45873</v>
      </c>
      <c r="M1813" s="49" t="s">
        <v>6672</v>
      </c>
    </row>
    <row r="1814" spans="1:13" x14ac:dyDescent="0.35">
      <c r="A1814" s="49" t="s">
        <v>15657</v>
      </c>
      <c r="B1814" s="49" t="s">
        <v>12664</v>
      </c>
      <c r="C1814" s="49" t="s">
        <v>12665</v>
      </c>
      <c r="D1814" s="49" t="s">
        <v>1264</v>
      </c>
      <c r="E1814" s="49" t="s">
        <v>2986</v>
      </c>
      <c r="F1814" s="49" t="s">
        <v>2825</v>
      </c>
      <c r="G1814" s="49" t="s">
        <v>4891</v>
      </c>
      <c r="H1814" s="49" t="s">
        <v>2827</v>
      </c>
      <c r="I1814" s="50">
        <v>45342</v>
      </c>
      <c r="M1814" s="49" t="s">
        <v>12667</v>
      </c>
    </row>
    <row r="1815" spans="1:13" x14ac:dyDescent="0.35">
      <c r="A1815" s="49" t="s">
        <v>14924</v>
      </c>
      <c r="B1815" s="49" t="s">
        <v>7446</v>
      </c>
      <c r="C1815" s="49" t="s">
        <v>7447</v>
      </c>
      <c r="D1815" s="49" t="s">
        <v>1264</v>
      </c>
      <c r="E1815" s="49" t="s">
        <v>2986</v>
      </c>
      <c r="F1815" s="49" t="s">
        <v>2825</v>
      </c>
      <c r="G1815" s="49" t="s">
        <v>2820</v>
      </c>
      <c r="H1815" s="49" t="s">
        <v>2827</v>
      </c>
      <c r="I1815" s="50">
        <v>40398</v>
      </c>
      <c r="J1815" s="50">
        <v>40935</v>
      </c>
      <c r="K1815" s="50">
        <v>44223</v>
      </c>
      <c r="M1815" s="49" t="s">
        <v>7449</v>
      </c>
    </row>
    <row r="1816" spans="1:13" x14ac:dyDescent="0.35">
      <c r="A1816" s="49" t="s">
        <v>14089</v>
      </c>
      <c r="B1816" s="49" t="s">
        <v>3221</v>
      </c>
      <c r="C1816" s="49" t="s">
        <v>3222</v>
      </c>
      <c r="D1816" s="49" t="s">
        <v>1264</v>
      </c>
      <c r="E1816" s="49" t="s">
        <v>2986</v>
      </c>
      <c r="F1816" s="49" t="s">
        <v>2825</v>
      </c>
      <c r="G1816" s="49" t="s">
        <v>2787</v>
      </c>
      <c r="H1816" s="49" t="s">
        <v>2827</v>
      </c>
      <c r="I1816" s="50">
        <v>41022</v>
      </c>
      <c r="J1816" s="50">
        <v>41089</v>
      </c>
      <c r="K1816" s="50">
        <v>45693</v>
      </c>
      <c r="M1816" s="49" t="s">
        <v>3100</v>
      </c>
    </row>
    <row r="1817" spans="1:13" x14ac:dyDescent="0.35">
      <c r="A1817" s="49" t="s">
        <v>14089</v>
      </c>
      <c r="B1817" s="49" t="s">
        <v>12965</v>
      </c>
      <c r="C1817" s="49"/>
      <c r="D1817" s="49" t="s">
        <v>1264</v>
      </c>
      <c r="E1817" s="49" t="s">
        <v>2986</v>
      </c>
      <c r="F1817" s="49" t="s">
        <v>2825</v>
      </c>
      <c r="G1817" s="49" t="s">
        <v>4891</v>
      </c>
      <c r="H1817" s="49" t="s">
        <v>2827</v>
      </c>
      <c r="I1817" s="52">
        <v>45996.538449074098</v>
      </c>
      <c r="M1817" s="49" t="s">
        <v>3270</v>
      </c>
    </row>
    <row r="1818" spans="1:13" x14ac:dyDescent="0.35">
      <c r="A1818" s="49" t="s">
        <v>14638</v>
      </c>
      <c r="B1818" s="49" t="s">
        <v>12629</v>
      </c>
      <c r="C1818" s="49" t="s">
        <v>10042</v>
      </c>
      <c r="D1818" s="49" t="s">
        <v>1264</v>
      </c>
      <c r="E1818" s="49" t="s">
        <v>2774</v>
      </c>
      <c r="F1818" s="49" t="s">
        <v>2825</v>
      </c>
      <c r="G1818" s="49" t="s">
        <v>4891</v>
      </c>
      <c r="H1818" s="49" t="s">
        <v>2827</v>
      </c>
      <c r="I1818" s="50">
        <v>45491</v>
      </c>
      <c r="M1818" s="49" t="s">
        <v>12631</v>
      </c>
    </row>
    <row r="1819" spans="1:13" x14ac:dyDescent="0.35">
      <c r="A1819" s="49" t="s">
        <v>14925</v>
      </c>
      <c r="B1819" s="49" t="s">
        <v>10821</v>
      </c>
      <c r="C1819" s="49" t="s">
        <v>10083</v>
      </c>
      <c r="D1819" s="49" t="s">
        <v>1264</v>
      </c>
      <c r="E1819" s="49" t="s">
        <v>2986</v>
      </c>
      <c r="F1819" s="49" t="s">
        <v>2825</v>
      </c>
      <c r="G1819" s="49" t="s">
        <v>2776</v>
      </c>
      <c r="H1819" s="49" t="s">
        <v>2827</v>
      </c>
      <c r="I1819" s="50">
        <v>44368</v>
      </c>
      <c r="M1819" s="49" t="s">
        <v>10823</v>
      </c>
    </row>
    <row r="1820" spans="1:13" x14ac:dyDescent="0.35">
      <c r="A1820" s="49" t="s">
        <v>14197</v>
      </c>
      <c r="B1820" s="49" t="s">
        <v>4733</v>
      </c>
      <c r="C1820" s="49"/>
      <c r="D1820" s="49" t="s">
        <v>1264</v>
      </c>
      <c r="E1820" s="49" t="s">
        <v>2986</v>
      </c>
      <c r="F1820" s="49" t="s">
        <v>2825</v>
      </c>
      <c r="G1820" s="49" t="s">
        <v>2776</v>
      </c>
      <c r="H1820" s="49" t="s">
        <v>2827</v>
      </c>
      <c r="I1820" s="50">
        <v>44463</v>
      </c>
      <c r="M1820" s="49" t="s">
        <v>3270</v>
      </c>
    </row>
    <row r="1821" spans="1:13" x14ac:dyDescent="0.35">
      <c r="A1821" s="49" t="s">
        <v>10539</v>
      </c>
      <c r="B1821" s="49" t="s">
        <v>5319</v>
      </c>
      <c r="C1821" s="49"/>
      <c r="D1821" s="49" t="s">
        <v>1264</v>
      </c>
      <c r="E1821" s="49" t="s">
        <v>2986</v>
      </c>
      <c r="F1821" s="49" t="s">
        <v>2825</v>
      </c>
      <c r="G1821" s="49" t="s">
        <v>2901</v>
      </c>
      <c r="H1821" s="49" t="s">
        <v>2827</v>
      </c>
      <c r="I1821" s="50">
        <v>44861</v>
      </c>
      <c r="J1821" s="50">
        <v>45006</v>
      </c>
      <c r="K1821" s="50">
        <v>46101</v>
      </c>
      <c r="M1821" s="49" t="s">
        <v>5321</v>
      </c>
    </row>
    <row r="1822" spans="1:13" x14ac:dyDescent="0.35">
      <c r="A1822" s="49" t="s">
        <v>10539</v>
      </c>
      <c r="B1822" s="49" t="s">
        <v>8546</v>
      </c>
      <c r="C1822" s="49" t="s">
        <v>8547</v>
      </c>
      <c r="D1822" s="49" t="s">
        <v>1264</v>
      </c>
      <c r="E1822" s="49" t="s">
        <v>2986</v>
      </c>
      <c r="F1822" s="49" t="s">
        <v>2825</v>
      </c>
      <c r="G1822" s="49" t="s">
        <v>2787</v>
      </c>
      <c r="H1822" s="49" t="s">
        <v>2827</v>
      </c>
      <c r="I1822" s="50">
        <v>42564</v>
      </c>
      <c r="J1822" s="50">
        <v>42677</v>
      </c>
      <c r="K1822" s="50">
        <v>44051</v>
      </c>
      <c r="M1822" s="49" t="s">
        <v>3100</v>
      </c>
    </row>
    <row r="1823" spans="1:13" x14ac:dyDescent="0.35">
      <c r="A1823" s="49" t="s">
        <v>10539</v>
      </c>
      <c r="B1823" s="49" t="s">
        <v>10538</v>
      </c>
      <c r="C1823" s="49"/>
      <c r="D1823" s="49" t="s">
        <v>1264</v>
      </c>
      <c r="E1823" s="49" t="s">
        <v>2814</v>
      </c>
      <c r="F1823" s="49" t="s">
        <v>2825</v>
      </c>
      <c r="G1823" s="49" t="s">
        <v>2776</v>
      </c>
      <c r="H1823" s="49" t="s">
        <v>2827</v>
      </c>
      <c r="I1823" s="50">
        <v>42426</v>
      </c>
      <c r="M1823" s="49" t="s">
        <v>3470</v>
      </c>
    </row>
    <row r="1824" spans="1:13" x14ac:dyDescent="0.35">
      <c r="A1824" s="49" t="s">
        <v>14203</v>
      </c>
      <c r="B1824" s="49" t="s">
        <v>4794</v>
      </c>
      <c r="C1824" s="49" t="s">
        <v>4795</v>
      </c>
      <c r="D1824" s="49" t="s">
        <v>1264</v>
      </c>
      <c r="E1824" s="49" t="s">
        <v>2986</v>
      </c>
      <c r="F1824" s="49" t="s">
        <v>2825</v>
      </c>
      <c r="G1824" s="49" t="s">
        <v>2921</v>
      </c>
      <c r="H1824" s="49" t="s">
        <v>2827</v>
      </c>
      <c r="I1824" s="50">
        <v>40045</v>
      </c>
      <c r="J1824" s="50">
        <v>40119</v>
      </c>
      <c r="K1824" s="50">
        <v>44136</v>
      </c>
      <c r="L1824" s="50">
        <v>43041</v>
      </c>
      <c r="M1824" s="49" t="s">
        <v>4797</v>
      </c>
    </row>
    <row r="1825" spans="1:13" x14ac:dyDescent="0.35">
      <c r="A1825" s="49" t="s">
        <v>14417</v>
      </c>
      <c r="B1825" s="49" t="s">
        <v>8289</v>
      </c>
      <c r="C1825" s="49" t="s">
        <v>8290</v>
      </c>
      <c r="D1825" s="49" t="s">
        <v>1264</v>
      </c>
      <c r="E1825" s="49" t="s">
        <v>2774</v>
      </c>
      <c r="F1825" s="49" t="s">
        <v>2825</v>
      </c>
      <c r="G1825" s="49" t="s">
        <v>2787</v>
      </c>
      <c r="H1825" s="49" t="s">
        <v>2827</v>
      </c>
      <c r="I1825" s="50">
        <v>39947</v>
      </c>
      <c r="J1825" s="50">
        <v>40463</v>
      </c>
      <c r="K1825" s="50">
        <v>42654</v>
      </c>
      <c r="M1825" s="49" t="s">
        <v>8292</v>
      </c>
    </row>
    <row r="1826" spans="1:13" x14ac:dyDescent="0.35">
      <c r="A1826" s="49" t="s">
        <v>14417</v>
      </c>
      <c r="B1826" s="49" t="s">
        <v>8735</v>
      </c>
      <c r="C1826" s="49" t="s">
        <v>6506</v>
      </c>
      <c r="D1826" s="49" t="s">
        <v>1264</v>
      </c>
      <c r="E1826" s="49" t="s">
        <v>2774</v>
      </c>
      <c r="F1826" s="49" t="s">
        <v>2900</v>
      </c>
      <c r="G1826" s="49" t="s">
        <v>2776</v>
      </c>
      <c r="H1826" s="49" t="s">
        <v>2827</v>
      </c>
      <c r="I1826" s="50">
        <v>41220</v>
      </c>
      <c r="M1826" s="49" t="s">
        <v>8736</v>
      </c>
    </row>
    <row r="1827" spans="1:13" x14ac:dyDescent="0.35">
      <c r="A1827" s="49" t="s">
        <v>13987</v>
      </c>
      <c r="B1827" s="49" t="s">
        <v>13987</v>
      </c>
      <c r="C1827" s="49"/>
      <c r="D1827" s="49" t="s">
        <v>1264</v>
      </c>
      <c r="E1827" s="49" t="s">
        <v>2774</v>
      </c>
      <c r="F1827" s="49" t="s">
        <v>2900</v>
      </c>
      <c r="G1827" s="49" t="s">
        <v>2776</v>
      </c>
      <c r="H1827" s="49" t="s">
        <v>980</v>
      </c>
      <c r="I1827" s="50">
        <v>42018</v>
      </c>
      <c r="M1827" s="49" t="s">
        <v>13988</v>
      </c>
    </row>
    <row r="1828" spans="1:13" x14ac:dyDescent="0.35">
      <c r="A1828" s="49" t="s">
        <v>15003</v>
      </c>
      <c r="B1828" s="49" t="s">
        <v>9783</v>
      </c>
      <c r="C1828" s="49" t="s">
        <v>9784</v>
      </c>
      <c r="D1828" s="49" t="s">
        <v>1264</v>
      </c>
      <c r="E1828" s="49" t="s">
        <v>2785</v>
      </c>
      <c r="F1828" s="49" t="s">
        <v>2792</v>
      </c>
      <c r="G1828" s="49" t="s">
        <v>2776</v>
      </c>
      <c r="H1828" s="49" t="s">
        <v>2827</v>
      </c>
      <c r="I1828" s="50">
        <v>42151</v>
      </c>
      <c r="M1828" s="49" t="s">
        <v>9786</v>
      </c>
    </row>
    <row r="1829" spans="1:13" x14ac:dyDescent="0.35">
      <c r="A1829" s="49" t="s">
        <v>15003</v>
      </c>
      <c r="B1829" s="49" t="s">
        <v>9787</v>
      </c>
      <c r="C1829" s="49" t="s">
        <v>9788</v>
      </c>
      <c r="D1829" s="49" t="s">
        <v>1264</v>
      </c>
      <c r="E1829" s="49" t="s">
        <v>2785</v>
      </c>
      <c r="F1829" s="49" t="s">
        <v>2792</v>
      </c>
      <c r="G1829" s="49" t="s">
        <v>2776</v>
      </c>
      <c r="H1829" s="49" t="s">
        <v>2827</v>
      </c>
      <c r="I1829" s="50">
        <v>42151</v>
      </c>
      <c r="M1829" s="49" t="s">
        <v>9789</v>
      </c>
    </row>
    <row r="1830" spans="1:13" x14ac:dyDescent="0.35">
      <c r="A1830" s="49" t="s">
        <v>14555</v>
      </c>
      <c r="B1830" s="49" t="s">
        <v>10227</v>
      </c>
      <c r="C1830" s="49" t="s">
        <v>10160</v>
      </c>
      <c r="D1830" s="49" t="s">
        <v>1264</v>
      </c>
      <c r="E1830" s="49" t="s">
        <v>2814</v>
      </c>
      <c r="F1830" s="49" t="s">
        <v>2792</v>
      </c>
      <c r="G1830" s="49" t="s">
        <v>2776</v>
      </c>
      <c r="H1830" s="49" t="s">
        <v>980</v>
      </c>
      <c r="I1830" s="50">
        <v>42163</v>
      </c>
      <c r="M1830" s="49" t="s">
        <v>3470</v>
      </c>
    </row>
    <row r="1831" spans="1:13" x14ac:dyDescent="0.35">
      <c r="A1831" s="49" t="s">
        <v>15371</v>
      </c>
      <c r="B1831" s="49" t="s">
        <v>3573</v>
      </c>
      <c r="C1831" s="49" t="s">
        <v>3468</v>
      </c>
      <c r="D1831" s="49" t="s">
        <v>1264</v>
      </c>
      <c r="E1831" s="49" t="s">
        <v>3443</v>
      </c>
      <c r="F1831" s="49" t="s">
        <v>3124</v>
      </c>
      <c r="G1831" s="49" t="s">
        <v>2787</v>
      </c>
      <c r="H1831" s="49" t="s">
        <v>980</v>
      </c>
      <c r="I1831" s="50">
        <v>42864</v>
      </c>
      <c r="J1831" s="50">
        <v>43325</v>
      </c>
      <c r="K1831" s="50">
        <v>45150</v>
      </c>
      <c r="M1831" s="49" t="s">
        <v>3575</v>
      </c>
    </row>
    <row r="1832" spans="1:13" x14ac:dyDescent="0.35">
      <c r="A1832" s="49" t="s">
        <v>3373</v>
      </c>
      <c r="B1832" s="49" t="s">
        <v>3371</v>
      </c>
      <c r="C1832" s="49" t="s">
        <v>3372</v>
      </c>
      <c r="D1832" s="49" t="s">
        <v>1264</v>
      </c>
      <c r="E1832" s="49" t="s">
        <v>2774</v>
      </c>
      <c r="F1832" s="49" t="s">
        <v>2900</v>
      </c>
      <c r="G1832" s="49" t="s">
        <v>2787</v>
      </c>
      <c r="H1832" s="49" t="s">
        <v>3229</v>
      </c>
      <c r="I1832" s="50">
        <v>42006</v>
      </c>
      <c r="J1832" s="50">
        <v>42179</v>
      </c>
      <c r="K1832" s="50">
        <v>44370</v>
      </c>
      <c r="M1832" s="49" t="s">
        <v>3374</v>
      </c>
    </row>
    <row r="1833" spans="1:13" x14ac:dyDescent="0.35">
      <c r="A1833" s="49" t="s">
        <v>3373</v>
      </c>
      <c r="B1833" s="49" t="s">
        <v>3622</v>
      </c>
      <c r="C1833" s="49" t="s">
        <v>3623</v>
      </c>
      <c r="D1833" s="49" t="s">
        <v>1264</v>
      </c>
      <c r="E1833" s="49" t="s">
        <v>3413</v>
      </c>
      <c r="F1833" s="49" t="s">
        <v>2900</v>
      </c>
      <c r="G1833" s="49" t="s">
        <v>2901</v>
      </c>
      <c r="H1833" s="49" t="s">
        <v>980</v>
      </c>
      <c r="I1833" s="50">
        <v>43000</v>
      </c>
      <c r="J1833" s="50">
        <v>43481</v>
      </c>
      <c r="K1833" s="50">
        <v>52612</v>
      </c>
      <c r="M1833" s="49" t="s">
        <v>3624</v>
      </c>
    </row>
    <row r="1834" spans="1:13" x14ac:dyDescent="0.35">
      <c r="A1834" s="49" t="s">
        <v>3373</v>
      </c>
      <c r="B1834" s="49" t="s">
        <v>8069</v>
      </c>
      <c r="C1834" s="49" t="s">
        <v>5042</v>
      </c>
      <c r="D1834" s="49" t="s">
        <v>1264</v>
      </c>
      <c r="E1834" s="49" t="s">
        <v>2774</v>
      </c>
      <c r="F1834" s="49" t="s">
        <v>2900</v>
      </c>
      <c r="G1834" s="49" t="s">
        <v>2787</v>
      </c>
      <c r="H1834" s="49" t="s">
        <v>980</v>
      </c>
      <c r="I1834" s="50">
        <v>40294</v>
      </c>
      <c r="J1834" s="50">
        <v>40679</v>
      </c>
      <c r="K1834" s="50">
        <v>43014</v>
      </c>
      <c r="M1834" s="49" t="s">
        <v>8070</v>
      </c>
    </row>
    <row r="1835" spans="1:13" x14ac:dyDescent="0.35">
      <c r="A1835" s="49" t="s">
        <v>3373</v>
      </c>
      <c r="B1835" s="49" t="s">
        <v>10102</v>
      </c>
      <c r="C1835" s="49"/>
      <c r="D1835" s="49" t="s">
        <v>1264</v>
      </c>
      <c r="E1835" s="49" t="s">
        <v>2814</v>
      </c>
      <c r="F1835" s="49" t="s">
        <v>2900</v>
      </c>
      <c r="G1835" s="49" t="s">
        <v>2787</v>
      </c>
      <c r="H1835" s="49" t="s">
        <v>980</v>
      </c>
      <c r="I1835" s="50">
        <v>42006</v>
      </c>
      <c r="M1835" s="49" t="s">
        <v>3374</v>
      </c>
    </row>
    <row r="1836" spans="1:13" x14ac:dyDescent="0.35">
      <c r="A1836" s="49" t="s">
        <v>1238</v>
      </c>
      <c r="B1836" s="49" t="s">
        <v>6100</v>
      </c>
      <c r="C1836" s="49" t="s">
        <v>6101</v>
      </c>
      <c r="D1836" s="49" t="s">
        <v>1264</v>
      </c>
      <c r="E1836" s="49" t="s">
        <v>2774</v>
      </c>
      <c r="F1836" s="49" t="s">
        <v>2825</v>
      </c>
      <c r="G1836" s="49" t="s">
        <v>2901</v>
      </c>
      <c r="H1836" s="49" t="s">
        <v>2827</v>
      </c>
      <c r="I1836" s="50">
        <v>45126</v>
      </c>
      <c r="J1836" s="50">
        <v>45259</v>
      </c>
      <c r="K1836" s="50">
        <v>46719</v>
      </c>
      <c r="M1836" s="49" t="s">
        <v>6103</v>
      </c>
    </row>
    <row r="1837" spans="1:13" x14ac:dyDescent="0.35">
      <c r="A1837" s="49" t="s">
        <v>1238</v>
      </c>
      <c r="B1837" s="49" t="s">
        <v>11506</v>
      </c>
      <c r="C1837" s="49" t="s">
        <v>11507</v>
      </c>
      <c r="D1837" s="49" t="s">
        <v>1264</v>
      </c>
      <c r="E1837" s="49" t="s">
        <v>2986</v>
      </c>
      <c r="F1837" s="49" t="s">
        <v>2825</v>
      </c>
      <c r="G1837" s="49" t="s">
        <v>4891</v>
      </c>
      <c r="H1837" s="49" t="s">
        <v>2827</v>
      </c>
      <c r="I1837" s="50">
        <v>45149</v>
      </c>
      <c r="M1837" s="49" t="s">
        <v>11508</v>
      </c>
    </row>
    <row r="1838" spans="1:13" x14ac:dyDescent="0.35">
      <c r="A1838" s="49" t="s">
        <v>15004</v>
      </c>
      <c r="B1838" s="49" t="s">
        <v>3002</v>
      </c>
      <c r="C1838" s="49" t="s">
        <v>3003</v>
      </c>
      <c r="D1838" s="49" t="s">
        <v>1264</v>
      </c>
      <c r="E1838" s="49" t="s">
        <v>2899</v>
      </c>
      <c r="F1838" s="49" t="s">
        <v>3005</v>
      </c>
      <c r="G1838" s="49" t="s">
        <v>2901</v>
      </c>
      <c r="H1838" s="49" t="s">
        <v>980</v>
      </c>
      <c r="I1838" s="50">
        <v>38826</v>
      </c>
      <c r="J1838" s="50">
        <v>40102</v>
      </c>
      <c r="K1838" s="50">
        <v>48520</v>
      </c>
      <c r="M1838" s="49" t="s">
        <v>3006</v>
      </c>
    </row>
    <row r="1839" spans="1:13" x14ac:dyDescent="0.35">
      <c r="A1839" s="49" t="s">
        <v>15004</v>
      </c>
      <c r="B1839" s="49" t="s">
        <v>8158</v>
      </c>
      <c r="C1839" s="49" t="s">
        <v>8159</v>
      </c>
      <c r="D1839" s="49" t="s">
        <v>1264</v>
      </c>
      <c r="E1839" s="49" t="s">
        <v>2774</v>
      </c>
      <c r="F1839" s="49" t="s">
        <v>2780</v>
      </c>
      <c r="G1839" s="49" t="s">
        <v>2826</v>
      </c>
      <c r="H1839" s="49" t="s">
        <v>980</v>
      </c>
      <c r="I1839" s="50">
        <v>37363</v>
      </c>
      <c r="J1839" s="50">
        <v>38301</v>
      </c>
      <c r="K1839" s="50">
        <v>39396</v>
      </c>
      <c r="M1839" s="49" t="s">
        <v>8161</v>
      </c>
    </row>
    <row r="1840" spans="1:13" x14ac:dyDescent="0.35">
      <c r="A1840" s="49" t="s">
        <v>14119</v>
      </c>
      <c r="B1840" s="49" t="s">
        <v>3641</v>
      </c>
      <c r="C1840" s="49" t="s">
        <v>3642</v>
      </c>
      <c r="D1840" s="49" t="s">
        <v>1264</v>
      </c>
      <c r="E1840" s="49" t="s">
        <v>2908</v>
      </c>
      <c r="F1840" s="49" t="s">
        <v>2939</v>
      </c>
      <c r="G1840" s="49" t="s">
        <v>2787</v>
      </c>
      <c r="H1840" s="49" t="s">
        <v>8</v>
      </c>
      <c r="I1840" s="50">
        <v>43032</v>
      </c>
      <c r="J1840" s="50">
        <v>43229</v>
      </c>
      <c r="K1840" s="50">
        <v>45054</v>
      </c>
      <c r="M1840" s="49" t="s">
        <v>3644</v>
      </c>
    </row>
    <row r="1841" spans="1:13" x14ac:dyDescent="0.35">
      <c r="A1841" s="49" t="s">
        <v>15005</v>
      </c>
      <c r="B1841" s="49" t="s">
        <v>5559</v>
      </c>
      <c r="C1841" s="49" t="s">
        <v>5560</v>
      </c>
      <c r="D1841" s="49" t="s">
        <v>1264</v>
      </c>
      <c r="E1841" s="49" t="s">
        <v>2774</v>
      </c>
      <c r="F1841" s="49" t="s">
        <v>4774</v>
      </c>
      <c r="G1841" s="49" t="s">
        <v>2901</v>
      </c>
      <c r="H1841" s="49" t="s">
        <v>980</v>
      </c>
      <c r="I1841" s="50">
        <v>44421</v>
      </c>
      <c r="J1841" s="50">
        <v>44433</v>
      </c>
      <c r="K1841" s="50">
        <v>45893</v>
      </c>
      <c r="M1841" s="49" t="s">
        <v>5562</v>
      </c>
    </row>
    <row r="1842" spans="1:13" x14ac:dyDescent="0.35">
      <c r="A1842" s="49" t="s">
        <v>15005</v>
      </c>
      <c r="B1842" s="49" t="s">
        <v>11617</v>
      </c>
      <c r="C1842" s="49"/>
      <c r="D1842" s="49" t="s">
        <v>1264</v>
      </c>
      <c r="E1842" s="49" t="s">
        <v>3413</v>
      </c>
      <c r="F1842" s="49" t="s">
        <v>3108</v>
      </c>
      <c r="G1842" s="49" t="s">
        <v>4891</v>
      </c>
      <c r="H1842" s="49" t="s">
        <v>2827</v>
      </c>
      <c r="I1842" s="50">
        <v>45218</v>
      </c>
      <c r="M1842" s="49" t="s">
        <v>11618</v>
      </c>
    </row>
    <row r="1843" spans="1:13" x14ac:dyDescent="0.35">
      <c r="A1843" s="49" t="s">
        <v>15005</v>
      </c>
      <c r="B1843" s="49" t="s">
        <v>11689</v>
      </c>
      <c r="C1843" s="49" t="s">
        <v>3354</v>
      </c>
      <c r="D1843" s="49" t="s">
        <v>1264</v>
      </c>
      <c r="E1843" s="49" t="s">
        <v>2908</v>
      </c>
      <c r="F1843" s="49" t="s">
        <v>2939</v>
      </c>
      <c r="G1843" s="49" t="s">
        <v>4891</v>
      </c>
      <c r="H1843" s="49" t="s">
        <v>980</v>
      </c>
      <c r="I1843" s="50">
        <v>45223</v>
      </c>
      <c r="M1843" s="49" t="s">
        <v>11690</v>
      </c>
    </row>
    <row r="1844" spans="1:13" x14ac:dyDescent="0.35">
      <c r="A1844" s="49" t="s">
        <v>15005</v>
      </c>
      <c r="B1844" s="49" t="s">
        <v>4609</v>
      </c>
      <c r="C1844" s="49"/>
      <c r="D1844" s="49" t="s">
        <v>1264</v>
      </c>
      <c r="E1844" s="49" t="s">
        <v>2908</v>
      </c>
      <c r="F1844" s="49" t="s">
        <v>4611</v>
      </c>
      <c r="G1844" s="49" t="s">
        <v>2901</v>
      </c>
      <c r="H1844" s="49" t="s">
        <v>980</v>
      </c>
      <c r="I1844" s="50">
        <v>44320</v>
      </c>
      <c r="J1844" s="50">
        <v>44392</v>
      </c>
      <c r="K1844" s="50">
        <v>46217</v>
      </c>
      <c r="M1844" s="49" t="s">
        <v>4612</v>
      </c>
    </row>
    <row r="1845" spans="1:13" x14ac:dyDescent="0.35">
      <c r="A1845" s="49" t="s">
        <v>15005</v>
      </c>
      <c r="B1845" s="49" t="s">
        <v>10799</v>
      </c>
      <c r="C1845" s="49"/>
      <c r="D1845" s="49" t="s">
        <v>1264</v>
      </c>
      <c r="E1845" s="49" t="s">
        <v>2908</v>
      </c>
      <c r="F1845" s="49" t="s">
        <v>10800</v>
      </c>
      <c r="G1845" s="49" t="s">
        <v>2776</v>
      </c>
      <c r="H1845" s="49" t="s">
        <v>980</v>
      </c>
      <c r="I1845" s="50">
        <v>44320</v>
      </c>
      <c r="M1845" s="49" t="s">
        <v>10801</v>
      </c>
    </row>
    <row r="1846" spans="1:13" x14ac:dyDescent="0.35">
      <c r="A1846" s="49" t="s">
        <v>15005</v>
      </c>
      <c r="B1846" s="49" t="s">
        <v>10817</v>
      </c>
      <c r="C1846" s="49" t="s">
        <v>4565</v>
      </c>
      <c r="D1846" s="49" t="s">
        <v>1264</v>
      </c>
      <c r="E1846" s="49" t="s">
        <v>2814</v>
      </c>
      <c r="F1846" s="49" t="s">
        <v>10818</v>
      </c>
      <c r="G1846" s="49" t="s">
        <v>2776</v>
      </c>
      <c r="H1846" s="49" t="s">
        <v>980</v>
      </c>
      <c r="I1846" s="50">
        <v>44364</v>
      </c>
      <c r="M1846" s="49" t="s">
        <v>10819</v>
      </c>
    </row>
    <row r="1847" spans="1:13" x14ac:dyDescent="0.35">
      <c r="A1847" s="49" t="s">
        <v>15005</v>
      </c>
      <c r="B1847" s="49" t="s">
        <v>11786</v>
      </c>
      <c r="C1847" s="49" t="s">
        <v>2937</v>
      </c>
      <c r="D1847" s="49" t="s">
        <v>1264</v>
      </c>
      <c r="E1847" s="49" t="s">
        <v>2908</v>
      </c>
      <c r="F1847" s="49" t="s">
        <v>2939</v>
      </c>
      <c r="G1847" s="49" t="s">
        <v>4891</v>
      </c>
      <c r="H1847" s="49" t="s">
        <v>980</v>
      </c>
      <c r="I1847" s="50">
        <v>45191</v>
      </c>
      <c r="M1847" s="49" t="s">
        <v>11787</v>
      </c>
    </row>
    <row r="1848" spans="1:13" x14ac:dyDescent="0.35">
      <c r="A1848" s="49" t="s">
        <v>14444</v>
      </c>
      <c r="B1848" s="49" t="s">
        <v>8599</v>
      </c>
      <c r="C1848" s="49" t="s">
        <v>8600</v>
      </c>
      <c r="D1848" s="49" t="s">
        <v>1264</v>
      </c>
      <c r="E1848" s="49" t="s">
        <v>2774</v>
      </c>
      <c r="F1848" s="49" t="s">
        <v>2900</v>
      </c>
      <c r="G1848" s="49" t="s">
        <v>2975</v>
      </c>
      <c r="H1848" s="49" t="s">
        <v>980</v>
      </c>
      <c r="I1848" s="50">
        <v>40929</v>
      </c>
      <c r="J1848" s="50">
        <v>40967</v>
      </c>
      <c r="K1848" s="50">
        <v>42276</v>
      </c>
      <c r="M1848" s="49" t="s">
        <v>8602</v>
      </c>
    </row>
    <row r="1849" spans="1:13" x14ac:dyDescent="0.35">
      <c r="A1849" s="49" t="s">
        <v>14444</v>
      </c>
      <c r="B1849" s="49" t="s">
        <v>10746</v>
      </c>
      <c r="C1849" s="49" t="s">
        <v>10747</v>
      </c>
      <c r="D1849" s="49" t="s">
        <v>1264</v>
      </c>
      <c r="E1849" s="49" t="s">
        <v>2774</v>
      </c>
      <c r="F1849" s="49" t="s">
        <v>2900</v>
      </c>
      <c r="G1849" s="49" t="s">
        <v>2776</v>
      </c>
      <c r="H1849" s="49" t="s">
        <v>980</v>
      </c>
      <c r="I1849" s="50">
        <v>41683</v>
      </c>
      <c r="M1849" s="49" t="s">
        <v>10748</v>
      </c>
    </row>
    <row r="1850" spans="1:13" x14ac:dyDescent="0.35">
      <c r="A1850" s="49" t="s">
        <v>14444</v>
      </c>
      <c r="B1850" s="49" t="s">
        <v>8610</v>
      </c>
      <c r="C1850" s="49" t="s">
        <v>8611</v>
      </c>
      <c r="D1850" s="49" t="s">
        <v>1264</v>
      </c>
      <c r="E1850" s="49" t="s">
        <v>2774</v>
      </c>
      <c r="F1850" s="49" t="s">
        <v>2775</v>
      </c>
      <c r="G1850" s="49" t="s">
        <v>2975</v>
      </c>
      <c r="H1850" s="49" t="s">
        <v>980</v>
      </c>
      <c r="I1850" s="50">
        <v>40929</v>
      </c>
      <c r="J1850" s="50">
        <v>40967</v>
      </c>
      <c r="K1850" s="50">
        <v>43157</v>
      </c>
      <c r="M1850" s="49" t="s">
        <v>8613</v>
      </c>
    </row>
    <row r="1851" spans="1:13" x14ac:dyDescent="0.35">
      <c r="A1851" s="49" t="s">
        <v>14926</v>
      </c>
      <c r="B1851" s="49" t="s">
        <v>6047</v>
      </c>
      <c r="C1851" s="49" t="s">
        <v>3768</v>
      </c>
      <c r="D1851" s="49" t="s">
        <v>1264</v>
      </c>
      <c r="E1851" s="49" t="s">
        <v>3443</v>
      </c>
      <c r="F1851" s="49" t="s">
        <v>3124</v>
      </c>
      <c r="G1851" s="49" t="s">
        <v>2901</v>
      </c>
      <c r="H1851" s="49" t="s">
        <v>980</v>
      </c>
      <c r="I1851" s="50">
        <v>45194</v>
      </c>
      <c r="J1851" s="50">
        <v>45202</v>
      </c>
      <c r="K1851" s="50">
        <v>47028</v>
      </c>
    </row>
    <row r="1852" spans="1:13" x14ac:dyDescent="0.35">
      <c r="A1852" s="49" t="s">
        <v>14691</v>
      </c>
      <c r="B1852" s="49" t="s">
        <v>13971</v>
      </c>
      <c r="C1852" s="49"/>
      <c r="D1852" s="49" t="s">
        <v>1264</v>
      </c>
      <c r="E1852" s="49" t="s">
        <v>2774</v>
      </c>
      <c r="F1852" s="49" t="s">
        <v>5123</v>
      </c>
      <c r="G1852" s="49" t="s">
        <v>2776</v>
      </c>
      <c r="H1852" s="49" t="s">
        <v>980</v>
      </c>
      <c r="I1852" s="50">
        <v>43874</v>
      </c>
      <c r="M1852" s="49" t="s">
        <v>13973</v>
      </c>
    </row>
    <row r="1853" spans="1:13" x14ac:dyDescent="0.35">
      <c r="A1853" s="49" t="s">
        <v>14300</v>
      </c>
      <c r="B1853" s="49" t="s">
        <v>6631</v>
      </c>
      <c r="C1853" s="49" t="s">
        <v>3904</v>
      </c>
      <c r="D1853" s="49" t="s">
        <v>1264</v>
      </c>
      <c r="E1853" s="49" t="s">
        <v>2774</v>
      </c>
      <c r="F1853" s="49" t="s">
        <v>2825</v>
      </c>
      <c r="G1853" s="49" t="s">
        <v>2901</v>
      </c>
      <c r="H1853" s="49" t="s">
        <v>2827</v>
      </c>
      <c r="I1853" s="50">
        <v>45306</v>
      </c>
      <c r="J1853" s="50">
        <v>45380</v>
      </c>
      <c r="K1853" s="50">
        <v>46840</v>
      </c>
      <c r="M1853" s="49" t="s">
        <v>6633</v>
      </c>
    </row>
    <row r="1854" spans="1:13" x14ac:dyDescent="0.35">
      <c r="A1854" s="49" t="s">
        <v>15372</v>
      </c>
      <c r="B1854" s="49" t="s">
        <v>6993</v>
      </c>
      <c r="C1854" s="49" t="s">
        <v>6994</v>
      </c>
      <c r="D1854" s="49" t="s">
        <v>1264</v>
      </c>
      <c r="E1854" s="49" t="s">
        <v>2814</v>
      </c>
      <c r="F1854" s="49" t="s">
        <v>2837</v>
      </c>
      <c r="G1854" s="49" t="s">
        <v>2826</v>
      </c>
      <c r="H1854" s="49" t="s">
        <v>2827</v>
      </c>
      <c r="I1854" s="50">
        <v>40905</v>
      </c>
      <c r="M1854" s="49" t="s">
        <v>3100</v>
      </c>
    </row>
    <row r="1855" spans="1:13" x14ac:dyDescent="0.35">
      <c r="A1855" s="49" t="s">
        <v>15372</v>
      </c>
      <c r="B1855" s="49" t="s">
        <v>8011</v>
      </c>
      <c r="C1855" s="49" t="s">
        <v>8012</v>
      </c>
      <c r="D1855" s="49" t="s">
        <v>1264</v>
      </c>
      <c r="E1855" s="49" t="s">
        <v>7057</v>
      </c>
      <c r="F1855" s="49" t="s">
        <v>2825</v>
      </c>
      <c r="G1855" s="49" t="s">
        <v>2826</v>
      </c>
      <c r="H1855" s="49" t="s">
        <v>2827</v>
      </c>
      <c r="I1855" s="50">
        <v>39686</v>
      </c>
      <c r="J1855" s="50">
        <v>39930</v>
      </c>
      <c r="K1855" s="50">
        <v>40659</v>
      </c>
      <c r="M1855" s="49" t="s">
        <v>8014</v>
      </c>
    </row>
    <row r="1856" spans="1:13" x14ac:dyDescent="0.35">
      <c r="A1856" s="49" t="s">
        <v>15372</v>
      </c>
      <c r="B1856" s="49" t="s">
        <v>9243</v>
      </c>
      <c r="C1856" s="49"/>
      <c r="D1856" s="49" t="s">
        <v>1264</v>
      </c>
      <c r="E1856" s="49" t="s">
        <v>2908</v>
      </c>
      <c r="F1856" s="49" t="s">
        <v>2837</v>
      </c>
      <c r="G1856" s="49" t="s">
        <v>2776</v>
      </c>
      <c r="H1856" s="49" t="s">
        <v>973</v>
      </c>
      <c r="I1856" s="50">
        <v>43370</v>
      </c>
      <c r="M1856" s="49" t="s">
        <v>9244</v>
      </c>
    </row>
    <row r="1857" spans="1:13" x14ac:dyDescent="0.35">
      <c r="A1857" s="49" t="s">
        <v>11247</v>
      </c>
      <c r="B1857" s="49" t="s">
        <v>11246</v>
      </c>
      <c r="C1857" s="49" t="s">
        <v>7339</v>
      </c>
      <c r="D1857" s="49" t="s">
        <v>1264</v>
      </c>
      <c r="E1857" s="49" t="s">
        <v>2814</v>
      </c>
      <c r="F1857" s="49" t="s">
        <v>4774</v>
      </c>
      <c r="G1857" s="49" t="s">
        <v>2776</v>
      </c>
      <c r="H1857" s="49" t="s">
        <v>3207</v>
      </c>
      <c r="I1857" s="50">
        <v>44952</v>
      </c>
      <c r="M1857" s="49" t="s">
        <v>11248</v>
      </c>
    </row>
    <row r="1858" spans="1:13" x14ac:dyDescent="0.35">
      <c r="A1858" s="49" t="s">
        <v>13963</v>
      </c>
      <c r="B1858" s="49" t="s">
        <v>13961</v>
      </c>
      <c r="C1858" s="49" t="s">
        <v>13962</v>
      </c>
      <c r="D1858" s="49" t="s">
        <v>1264</v>
      </c>
      <c r="E1858" s="49" t="s">
        <v>2774</v>
      </c>
      <c r="F1858" s="49" t="s">
        <v>2900</v>
      </c>
      <c r="G1858" s="49" t="s">
        <v>2826</v>
      </c>
      <c r="H1858" s="49" t="s">
        <v>980</v>
      </c>
      <c r="I1858" s="50">
        <v>41969</v>
      </c>
      <c r="M1858" s="49" t="s">
        <v>13964</v>
      </c>
    </row>
    <row r="1859" spans="1:13" x14ac:dyDescent="0.35">
      <c r="A1859" s="49" t="s">
        <v>14191</v>
      </c>
      <c r="B1859" s="49" t="s">
        <v>4552</v>
      </c>
      <c r="C1859" s="49" t="s">
        <v>3768</v>
      </c>
      <c r="D1859" s="49" t="s">
        <v>1264</v>
      </c>
      <c r="E1859" s="49" t="s">
        <v>3443</v>
      </c>
      <c r="F1859" s="49" t="s">
        <v>3124</v>
      </c>
      <c r="G1859" s="49" t="s">
        <v>4330</v>
      </c>
      <c r="H1859" s="49" t="s">
        <v>980</v>
      </c>
      <c r="I1859" s="50">
        <v>44299</v>
      </c>
    </row>
    <row r="1860" spans="1:13" x14ac:dyDescent="0.35">
      <c r="A1860" s="49" t="s">
        <v>347</v>
      </c>
      <c r="B1860" s="49" t="s">
        <v>4648</v>
      </c>
      <c r="C1860" s="49" t="s">
        <v>4649</v>
      </c>
      <c r="D1860" s="49" t="s">
        <v>1264</v>
      </c>
      <c r="E1860" s="49" t="s">
        <v>3443</v>
      </c>
      <c r="F1860" s="49" t="s">
        <v>3124</v>
      </c>
      <c r="G1860" s="49" t="s">
        <v>2901</v>
      </c>
      <c r="H1860" s="49" t="s">
        <v>980</v>
      </c>
      <c r="I1860" s="50">
        <v>44425</v>
      </c>
      <c r="J1860" s="50">
        <v>44462</v>
      </c>
      <c r="K1860" s="50">
        <v>46287</v>
      </c>
    </row>
    <row r="1861" spans="1:13" x14ac:dyDescent="0.35">
      <c r="A1861" s="49" t="s">
        <v>347</v>
      </c>
      <c r="B1861" s="49" t="s">
        <v>4686</v>
      </c>
      <c r="C1861" s="49" t="s">
        <v>4687</v>
      </c>
      <c r="D1861" s="49" t="s">
        <v>1264</v>
      </c>
      <c r="E1861" s="49" t="s">
        <v>2814</v>
      </c>
      <c r="F1861" s="49" t="s">
        <v>2837</v>
      </c>
      <c r="G1861" s="49" t="s">
        <v>2787</v>
      </c>
      <c r="H1861" s="49" t="s">
        <v>980</v>
      </c>
      <c r="I1861" s="50">
        <v>44420</v>
      </c>
      <c r="J1861" s="50">
        <v>44456</v>
      </c>
      <c r="K1861" s="50">
        <v>44636</v>
      </c>
      <c r="M1861" s="49" t="s">
        <v>4688</v>
      </c>
    </row>
    <row r="1862" spans="1:13" x14ac:dyDescent="0.35">
      <c r="A1862" s="49" t="s">
        <v>347</v>
      </c>
      <c r="B1862" s="49" t="s">
        <v>4844</v>
      </c>
      <c r="C1862" s="49" t="s">
        <v>4845</v>
      </c>
      <c r="D1862" s="49" t="s">
        <v>1264</v>
      </c>
      <c r="E1862" s="49" t="s">
        <v>2774</v>
      </c>
      <c r="F1862" s="49" t="s">
        <v>3188</v>
      </c>
      <c r="G1862" s="49" t="s">
        <v>2826</v>
      </c>
      <c r="H1862" s="49" t="s">
        <v>973</v>
      </c>
      <c r="I1862" s="50">
        <v>44622</v>
      </c>
      <c r="M1862" s="49" t="s">
        <v>4846</v>
      </c>
    </row>
    <row r="1863" spans="1:13" x14ac:dyDescent="0.35">
      <c r="A1863" s="49" t="s">
        <v>347</v>
      </c>
      <c r="B1863" s="49" t="s">
        <v>10881</v>
      </c>
      <c r="C1863" s="49"/>
      <c r="D1863" s="49" t="s">
        <v>1264</v>
      </c>
      <c r="E1863" s="49" t="s">
        <v>2814</v>
      </c>
      <c r="F1863" s="49" t="s">
        <v>2939</v>
      </c>
      <c r="G1863" s="49" t="s">
        <v>2776</v>
      </c>
      <c r="H1863" s="49" t="s">
        <v>980</v>
      </c>
      <c r="I1863" s="50">
        <v>44456</v>
      </c>
      <c r="M1863" s="49" t="s">
        <v>10882</v>
      </c>
    </row>
    <row r="1864" spans="1:13" x14ac:dyDescent="0.35">
      <c r="A1864" s="49" t="s">
        <v>15183</v>
      </c>
      <c r="B1864" s="49" t="s">
        <v>12334</v>
      </c>
      <c r="C1864" s="49"/>
      <c r="D1864" s="49" t="s">
        <v>1264</v>
      </c>
      <c r="E1864" s="49" t="s">
        <v>2908</v>
      </c>
      <c r="F1864" s="49" t="s">
        <v>2837</v>
      </c>
      <c r="G1864" s="49" t="s">
        <v>4891</v>
      </c>
      <c r="H1864" s="49" t="s">
        <v>8</v>
      </c>
      <c r="I1864" s="50">
        <v>45377</v>
      </c>
      <c r="M1864" s="49" t="s">
        <v>12336</v>
      </c>
    </row>
    <row r="1865" spans="1:13" x14ac:dyDescent="0.35">
      <c r="A1865" s="49" t="s">
        <v>14578</v>
      </c>
      <c r="B1865" s="49" t="s">
        <v>10715</v>
      </c>
      <c r="C1865" s="49" t="s">
        <v>10716</v>
      </c>
      <c r="D1865" s="49" t="s">
        <v>1264</v>
      </c>
      <c r="E1865" s="49" t="s">
        <v>7057</v>
      </c>
      <c r="F1865" s="49" t="s">
        <v>2825</v>
      </c>
      <c r="G1865" s="49" t="s">
        <v>2776</v>
      </c>
      <c r="H1865" s="49" t="s">
        <v>2827</v>
      </c>
      <c r="I1865" s="50">
        <v>41409</v>
      </c>
      <c r="M1865" s="49" t="s">
        <v>3270</v>
      </c>
    </row>
    <row r="1866" spans="1:13" x14ac:dyDescent="0.35">
      <c r="A1866" s="49" t="s">
        <v>14543</v>
      </c>
      <c r="B1866" s="49" t="s">
        <v>10095</v>
      </c>
      <c r="C1866" s="49"/>
      <c r="D1866" s="49" t="s">
        <v>1264</v>
      </c>
      <c r="E1866" s="49" t="s">
        <v>2986</v>
      </c>
      <c r="F1866" s="49" t="s">
        <v>2825</v>
      </c>
      <c r="G1866" s="49" t="s">
        <v>2776</v>
      </c>
      <c r="H1866" s="49" t="s">
        <v>2827</v>
      </c>
      <c r="I1866" s="50">
        <v>44060</v>
      </c>
      <c r="M1866" s="49" t="s">
        <v>10097</v>
      </c>
    </row>
    <row r="1867" spans="1:13" x14ac:dyDescent="0.35">
      <c r="A1867" s="49" t="s">
        <v>14543</v>
      </c>
      <c r="B1867" s="49" t="s">
        <v>10266</v>
      </c>
      <c r="C1867" s="49"/>
      <c r="D1867" s="49" t="s">
        <v>1264</v>
      </c>
      <c r="E1867" s="49" t="s">
        <v>2814</v>
      </c>
      <c r="F1867" s="49" t="s">
        <v>2825</v>
      </c>
      <c r="G1867" s="49" t="s">
        <v>2776</v>
      </c>
      <c r="H1867" s="49" t="s">
        <v>2827</v>
      </c>
      <c r="I1867" s="50">
        <v>42038</v>
      </c>
      <c r="M1867" s="49" t="s">
        <v>10267</v>
      </c>
    </row>
    <row r="1868" spans="1:13" x14ac:dyDescent="0.35">
      <c r="A1868" s="49" t="s">
        <v>14543</v>
      </c>
      <c r="B1868" s="49" t="s">
        <v>13697</v>
      </c>
      <c r="C1868" s="49" t="s">
        <v>13698</v>
      </c>
      <c r="D1868" s="49" t="s">
        <v>1264</v>
      </c>
      <c r="E1868" s="49" t="s">
        <v>2986</v>
      </c>
      <c r="F1868" s="49" t="s">
        <v>2825</v>
      </c>
      <c r="G1868" s="49" t="s">
        <v>2776</v>
      </c>
      <c r="H1868" s="49" t="s">
        <v>2827</v>
      </c>
      <c r="I1868" s="50">
        <v>43371</v>
      </c>
      <c r="M1868" s="49" t="s">
        <v>13699</v>
      </c>
    </row>
    <row r="1869" spans="1:13" x14ac:dyDescent="0.35">
      <c r="A1869" s="49" t="s">
        <v>14927</v>
      </c>
      <c r="B1869" s="49" t="s">
        <v>9111</v>
      </c>
      <c r="C1869" s="49" t="s">
        <v>2795</v>
      </c>
      <c r="D1869" s="49" t="s">
        <v>1264</v>
      </c>
      <c r="E1869" s="49" t="s">
        <v>2785</v>
      </c>
      <c r="F1869" s="49" t="s">
        <v>2792</v>
      </c>
      <c r="G1869" s="49" t="s">
        <v>2787</v>
      </c>
      <c r="H1869" s="49" t="s">
        <v>980</v>
      </c>
      <c r="I1869" s="50">
        <v>42956</v>
      </c>
      <c r="J1869" s="50">
        <v>43283</v>
      </c>
      <c r="K1869" s="50">
        <v>43466</v>
      </c>
      <c r="M1869" s="49" t="s">
        <v>9113</v>
      </c>
    </row>
    <row r="1870" spans="1:13" x14ac:dyDescent="0.35">
      <c r="A1870" s="49" t="s">
        <v>15373</v>
      </c>
      <c r="B1870" s="49" t="s">
        <v>8186</v>
      </c>
      <c r="C1870" s="49" t="s">
        <v>2891</v>
      </c>
      <c r="D1870" s="49" t="s">
        <v>1264</v>
      </c>
      <c r="E1870" s="49" t="s">
        <v>2908</v>
      </c>
      <c r="F1870" s="49" t="s">
        <v>2837</v>
      </c>
      <c r="G1870" s="49" t="s">
        <v>2787</v>
      </c>
      <c r="H1870" s="49" t="s">
        <v>980</v>
      </c>
      <c r="I1870" s="50">
        <v>39293</v>
      </c>
      <c r="J1870" s="50">
        <v>39293</v>
      </c>
      <c r="K1870" s="50">
        <v>41119</v>
      </c>
      <c r="M1870" s="49" t="s">
        <v>7902</v>
      </c>
    </row>
    <row r="1871" spans="1:13" x14ac:dyDescent="0.35">
      <c r="A1871" s="49" t="s">
        <v>14577</v>
      </c>
      <c r="B1871" s="49" t="s">
        <v>10711</v>
      </c>
      <c r="C1871" s="49" t="s">
        <v>10712</v>
      </c>
      <c r="D1871" s="49" t="s">
        <v>1264</v>
      </c>
      <c r="E1871" s="49" t="s">
        <v>2785</v>
      </c>
      <c r="F1871" s="49" t="s">
        <v>2900</v>
      </c>
      <c r="G1871" s="49" t="s">
        <v>2776</v>
      </c>
      <c r="H1871" s="49" t="s">
        <v>980</v>
      </c>
      <c r="I1871" s="50">
        <v>41411</v>
      </c>
      <c r="M1871" s="49" t="s">
        <v>10714</v>
      </c>
    </row>
    <row r="1872" spans="1:13" x14ac:dyDescent="0.35">
      <c r="A1872" s="49" t="s">
        <v>3014</v>
      </c>
      <c r="B1872" s="49" t="s">
        <v>3012</v>
      </c>
      <c r="C1872" s="49" t="s">
        <v>3013</v>
      </c>
      <c r="D1872" s="49" t="s">
        <v>1264</v>
      </c>
      <c r="E1872" s="49" t="s">
        <v>2908</v>
      </c>
      <c r="F1872" s="49" t="s">
        <v>2837</v>
      </c>
      <c r="G1872" s="49" t="s">
        <v>2787</v>
      </c>
      <c r="H1872" s="49" t="s">
        <v>980</v>
      </c>
      <c r="I1872" s="50">
        <v>38908</v>
      </c>
      <c r="J1872" s="50">
        <v>39237</v>
      </c>
      <c r="K1872" s="50">
        <v>45170</v>
      </c>
      <c r="M1872" s="49" t="s">
        <v>3015</v>
      </c>
    </row>
    <row r="1873" spans="1:13" x14ac:dyDescent="0.35">
      <c r="A1873" s="49" t="s">
        <v>14537</v>
      </c>
      <c r="B1873" s="49" t="s">
        <v>9937</v>
      </c>
      <c r="C1873" s="49" t="s">
        <v>3562</v>
      </c>
      <c r="D1873" s="49" t="s">
        <v>1264</v>
      </c>
      <c r="E1873" s="49" t="s">
        <v>7057</v>
      </c>
      <c r="F1873" s="49" t="s">
        <v>2825</v>
      </c>
      <c r="G1873" s="49" t="s">
        <v>2776</v>
      </c>
      <c r="H1873" s="49" t="s">
        <v>2827</v>
      </c>
      <c r="I1873" s="50">
        <v>42443</v>
      </c>
      <c r="M1873" s="49" t="s">
        <v>3270</v>
      </c>
    </row>
    <row r="1874" spans="1:13" x14ac:dyDescent="0.35">
      <c r="A1874" s="49" t="s">
        <v>14537</v>
      </c>
      <c r="B1874" s="49" t="s">
        <v>10273</v>
      </c>
      <c r="C1874" s="49"/>
      <c r="D1874" s="49" t="s">
        <v>1264</v>
      </c>
      <c r="E1874" s="49" t="s">
        <v>2814</v>
      </c>
      <c r="F1874" s="49" t="s">
        <v>2825</v>
      </c>
      <c r="G1874" s="49" t="s">
        <v>2776</v>
      </c>
      <c r="H1874" s="49" t="s">
        <v>2827</v>
      </c>
      <c r="I1874" s="50">
        <v>42084</v>
      </c>
      <c r="M1874" s="49" t="s">
        <v>10274</v>
      </c>
    </row>
    <row r="1875" spans="1:13" x14ac:dyDescent="0.35">
      <c r="A1875" s="49" t="s">
        <v>14586</v>
      </c>
      <c r="B1875" s="49" t="s">
        <v>10824</v>
      </c>
      <c r="C1875" s="49"/>
      <c r="D1875" s="49" t="s">
        <v>1264</v>
      </c>
      <c r="E1875" s="49" t="s">
        <v>2814</v>
      </c>
      <c r="F1875" s="49" t="s">
        <v>2825</v>
      </c>
      <c r="G1875" s="49" t="s">
        <v>2776</v>
      </c>
      <c r="H1875" s="49" t="s">
        <v>2827</v>
      </c>
      <c r="I1875" s="50">
        <v>44362</v>
      </c>
      <c r="M1875" s="49" t="s">
        <v>10826</v>
      </c>
    </row>
    <row r="1876" spans="1:13" x14ac:dyDescent="0.35">
      <c r="A1876" s="49" t="s">
        <v>14464</v>
      </c>
      <c r="B1876" s="49" t="s">
        <v>8962</v>
      </c>
      <c r="C1876" s="49" t="s">
        <v>8963</v>
      </c>
      <c r="D1876" s="49" t="s">
        <v>1264</v>
      </c>
      <c r="E1876" s="49" t="s">
        <v>2814</v>
      </c>
      <c r="F1876" s="49" t="s">
        <v>2837</v>
      </c>
      <c r="G1876" s="49" t="s">
        <v>2776</v>
      </c>
      <c r="H1876" s="49" t="s">
        <v>980</v>
      </c>
      <c r="I1876" s="50">
        <v>43252</v>
      </c>
      <c r="J1876" s="50">
        <v>43258</v>
      </c>
      <c r="K1876" s="50">
        <v>43441</v>
      </c>
      <c r="M1876" s="49" t="s">
        <v>8965</v>
      </c>
    </row>
    <row r="1877" spans="1:13" x14ac:dyDescent="0.35">
      <c r="A1877" s="49" t="s">
        <v>14571</v>
      </c>
      <c r="B1877" s="49" t="s">
        <v>10620</v>
      </c>
      <c r="C1877" s="49"/>
      <c r="D1877" s="49" t="s">
        <v>1264</v>
      </c>
      <c r="E1877" s="49" t="s">
        <v>2814</v>
      </c>
      <c r="F1877" s="49" t="s">
        <v>2825</v>
      </c>
      <c r="G1877" s="49" t="s">
        <v>2776</v>
      </c>
      <c r="H1877" s="49" t="s">
        <v>2827</v>
      </c>
      <c r="I1877" s="50">
        <v>43581</v>
      </c>
      <c r="M1877" s="49" t="s">
        <v>10622</v>
      </c>
    </row>
    <row r="1878" spans="1:13" x14ac:dyDescent="0.35">
      <c r="A1878" s="49" t="s">
        <v>15374</v>
      </c>
      <c r="B1878" s="49" t="s">
        <v>9165</v>
      </c>
      <c r="C1878" s="49" t="s">
        <v>3784</v>
      </c>
      <c r="D1878" s="49" t="s">
        <v>1264</v>
      </c>
      <c r="E1878" s="49" t="s">
        <v>2908</v>
      </c>
      <c r="F1878" s="49" t="s">
        <v>2837</v>
      </c>
      <c r="G1878" s="49" t="s">
        <v>2776</v>
      </c>
      <c r="H1878" s="49" t="s">
        <v>2827</v>
      </c>
      <c r="I1878" s="50">
        <v>43490</v>
      </c>
      <c r="M1878" s="49" t="s">
        <v>9167</v>
      </c>
    </row>
    <row r="1879" spans="1:13" x14ac:dyDescent="0.35">
      <c r="A1879" s="49" t="s">
        <v>10573</v>
      </c>
      <c r="B1879" s="49" t="s">
        <v>9220</v>
      </c>
      <c r="C1879" s="49" t="s">
        <v>8581</v>
      </c>
      <c r="D1879" s="49" t="s">
        <v>1264</v>
      </c>
      <c r="E1879" s="49" t="s">
        <v>2908</v>
      </c>
      <c r="F1879" s="49" t="s">
        <v>2837</v>
      </c>
      <c r="G1879" s="49" t="s">
        <v>2776</v>
      </c>
      <c r="H1879" s="49" t="s">
        <v>980</v>
      </c>
      <c r="I1879" s="50">
        <v>43262</v>
      </c>
      <c r="M1879" s="49" t="s">
        <v>9222</v>
      </c>
    </row>
    <row r="1880" spans="1:13" x14ac:dyDescent="0.35">
      <c r="A1880" s="49" t="s">
        <v>10573</v>
      </c>
      <c r="B1880" s="49" t="s">
        <v>10571</v>
      </c>
      <c r="C1880" s="49" t="s">
        <v>10572</v>
      </c>
      <c r="D1880" s="49" t="s">
        <v>1264</v>
      </c>
      <c r="E1880" s="49" t="s">
        <v>2814</v>
      </c>
      <c r="F1880" s="49" t="s">
        <v>2837</v>
      </c>
      <c r="G1880" s="49" t="s">
        <v>2787</v>
      </c>
      <c r="H1880" s="49" t="s">
        <v>980</v>
      </c>
      <c r="I1880" s="50">
        <v>42928</v>
      </c>
      <c r="M1880" s="49" t="s">
        <v>10574</v>
      </c>
    </row>
    <row r="1881" spans="1:13" x14ac:dyDescent="0.35">
      <c r="A1881" s="49" t="s">
        <v>15375</v>
      </c>
      <c r="B1881" s="49" t="s">
        <v>5207</v>
      </c>
      <c r="C1881" s="49"/>
      <c r="D1881" s="49" t="s">
        <v>1264</v>
      </c>
      <c r="E1881" s="49" t="s">
        <v>2814</v>
      </c>
      <c r="F1881" s="49" t="s">
        <v>2780</v>
      </c>
      <c r="G1881" s="49" t="s">
        <v>2787</v>
      </c>
      <c r="H1881" s="49" t="s">
        <v>1062</v>
      </c>
      <c r="I1881" s="50">
        <v>44812</v>
      </c>
      <c r="J1881" s="50">
        <v>44844</v>
      </c>
      <c r="K1881" s="50">
        <v>45025</v>
      </c>
      <c r="M1881" s="49" t="s">
        <v>5209</v>
      </c>
    </row>
    <row r="1882" spans="1:13" x14ac:dyDescent="0.35">
      <c r="A1882" s="49" t="s">
        <v>15375</v>
      </c>
      <c r="B1882" s="49" t="s">
        <v>5339</v>
      </c>
      <c r="C1882" s="49" t="s">
        <v>5340</v>
      </c>
      <c r="D1882" s="49" t="s">
        <v>1264</v>
      </c>
      <c r="E1882" s="49" t="s">
        <v>2974</v>
      </c>
      <c r="F1882" s="49" t="s">
        <v>3005</v>
      </c>
      <c r="G1882" s="49" t="s">
        <v>2901</v>
      </c>
      <c r="H1882" s="49" t="s">
        <v>1062</v>
      </c>
      <c r="I1882" s="50">
        <v>44970</v>
      </c>
      <c r="J1882" s="50">
        <v>44977</v>
      </c>
      <c r="K1882" s="50">
        <v>46802</v>
      </c>
      <c r="M1882" s="49" t="s">
        <v>5341</v>
      </c>
    </row>
    <row r="1883" spans="1:13" x14ac:dyDescent="0.35">
      <c r="A1883" s="49" t="s">
        <v>14610</v>
      </c>
      <c r="B1883" s="49" t="s">
        <v>11667</v>
      </c>
      <c r="C1883" s="49"/>
      <c r="D1883" s="49" t="s">
        <v>1264</v>
      </c>
      <c r="E1883" s="49" t="s">
        <v>2774</v>
      </c>
      <c r="F1883" s="49" t="s">
        <v>2825</v>
      </c>
      <c r="G1883" s="49" t="s">
        <v>2776</v>
      </c>
      <c r="H1883" s="49" t="s">
        <v>2827</v>
      </c>
      <c r="I1883" s="50">
        <v>45239</v>
      </c>
      <c r="M1883" s="49" t="s">
        <v>11669</v>
      </c>
    </row>
    <row r="1884" spans="1:13" x14ac:dyDescent="0.35">
      <c r="A1884" s="49" t="s">
        <v>15624</v>
      </c>
      <c r="B1884" s="49" t="s">
        <v>5663</v>
      </c>
      <c r="C1884" s="49" t="s">
        <v>3962</v>
      </c>
      <c r="D1884" s="49" t="s">
        <v>1264</v>
      </c>
      <c r="E1884" s="49" t="s">
        <v>2785</v>
      </c>
      <c r="F1884" s="49" t="s">
        <v>2792</v>
      </c>
      <c r="G1884" s="49" t="s">
        <v>2787</v>
      </c>
      <c r="H1884" s="49" t="s">
        <v>980</v>
      </c>
      <c r="I1884" s="50">
        <v>45055</v>
      </c>
      <c r="J1884" s="50">
        <v>45117</v>
      </c>
      <c r="K1884" s="50">
        <v>45505</v>
      </c>
      <c r="M1884" s="49" t="s">
        <v>5665</v>
      </c>
    </row>
    <row r="1885" spans="1:13" x14ac:dyDescent="0.35">
      <c r="A1885" s="49" t="s">
        <v>14635</v>
      </c>
      <c r="B1885" s="49" t="s">
        <v>12570</v>
      </c>
      <c r="C1885" s="49"/>
      <c r="D1885" s="49" t="s">
        <v>1264</v>
      </c>
      <c r="E1885" s="49" t="s">
        <v>2785</v>
      </c>
      <c r="F1885" s="49" t="s">
        <v>2792</v>
      </c>
      <c r="G1885" s="49" t="s">
        <v>4891</v>
      </c>
      <c r="H1885" s="49" t="s">
        <v>3207</v>
      </c>
      <c r="I1885" s="50">
        <v>45439</v>
      </c>
      <c r="M1885" s="49" t="s">
        <v>12572</v>
      </c>
    </row>
    <row r="1886" spans="1:13" x14ac:dyDescent="0.35">
      <c r="A1886" s="49" t="s">
        <v>15625</v>
      </c>
      <c r="B1886" s="49" t="s">
        <v>6036</v>
      </c>
      <c r="C1886" s="49" t="s">
        <v>6037</v>
      </c>
      <c r="D1886" s="49" t="s">
        <v>1264</v>
      </c>
      <c r="E1886" s="49" t="s">
        <v>2785</v>
      </c>
      <c r="F1886" s="49" t="s">
        <v>2792</v>
      </c>
      <c r="G1886" s="49" t="s">
        <v>2901</v>
      </c>
      <c r="H1886" s="49" t="s">
        <v>980</v>
      </c>
      <c r="I1886" s="50">
        <v>45055</v>
      </c>
      <c r="J1886" s="50">
        <v>45286</v>
      </c>
      <c r="K1886" s="50">
        <v>45651</v>
      </c>
      <c r="M1886" s="49" t="s">
        <v>6038</v>
      </c>
    </row>
    <row r="1887" spans="1:13" x14ac:dyDescent="0.35">
      <c r="A1887" s="49" t="s">
        <v>15625</v>
      </c>
      <c r="B1887" s="49" t="s">
        <v>6354</v>
      </c>
      <c r="C1887" s="49" t="s">
        <v>6355</v>
      </c>
      <c r="D1887" s="49" t="s">
        <v>1264</v>
      </c>
      <c r="E1887" s="49" t="s">
        <v>2785</v>
      </c>
      <c r="F1887" s="49" t="s">
        <v>2792</v>
      </c>
      <c r="G1887" s="49" t="s">
        <v>2901</v>
      </c>
      <c r="H1887" s="49" t="s">
        <v>980</v>
      </c>
      <c r="I1887" s="50">
        <v>44517</v>
      </c>
      <c r="J1887" s="50">
        <v>45343</v>
      </c>
      <c r="K1887" s="50">
        <v>45708</v>
      </c>
      <c r="M1887" s="49" t="s">
        <v>6356</v>
      </c>
    </row>
    <row r="1888" spans="1:13" x14ac:dyDescent="0.35">
      <c r="A1888" s="49" t="s">
        <v>15625</v>
      </c>
      <c r="B1888" s="49" t="s">
        <v>12621</v>
      </c>
      <c r="C1888" s="49" t="s">
        <v>12622</v>
      </c>
      <c r="D1888" s="49" t="s">
        <v>1264</v>
      </c>
      <c r="E1888" s="49" t="s">
        <v>2785</v>
      </c>
      <c r="F1888" s="49" t="s">
        <v>2792</v>
      </c>
      <c r="G1888" s="49" t="s">
        <v>4891</v>
      </c>
      <c r="H1888" s="49" t="s">
        <v>980</v>
      </c>
      <c r="I1888" s="50">
        <v>45484</v>
      </c>
      <c r="M1888" s="49" t="s">
        <v>12623</v>
      </c>
    </row>
    <row r="1889" spans="1:13" x14ac:dyDescent="0.35">
      <c r="A1889" s="49" t="s">
        <v>15625</v>
      </c>
      <c r="B1889" s="49" t="s">
        <v>12789</v>
      </c>
      <c r="C1889" s="49" t="s">
        <v>3962</v>
      </c>
      <c r="D1889" s="49" t="s">
        <v>1264</v>
      </c>
      <c r="E1889" s="49" t="s">
        <v>2785</v>
      </c>
      <c r="F1889" s="49" t="s">
        <v>2792</v>
      </c>
      <c r="G1889" s="49" t="s">
        <v>4891</v>
      </c>
      <c r="H1889" s="49" t="s">
        <v>980</v>
      </c>
      <c r="I1889" s="50">
        <v>45495</v>
      </c>
      <c r="M1889" s="49" t="s">
        <v>12791</v>
      </c>
    </row>
    <row r="1890" spans="1:13" x14ac:dyDescent="0.35">
      <c r="A1890" s="49" t="s">
        <v>12766</v>
      </c>
      <c r="B1890" s="49" t="s">
        <v>12764</v>
      </c>
      <c r="C1890" s="49" t="s">
        <v>12765</v>
      </c>
      <c r="D1890" s="49" t="s">
        <v>1264</v>
      </c>
      <c r="E1890" s="49" t="s">
        <v>2785</v>
      </c>
      <c r="F1890" s="49" t="s">
        <v>2792</v>
      </c>
      <c r="G1890" s="49" t="s">
        <v>2776</v>
      </c>
      <c r="H1890" s="49" t="s">
        <v>835</v>
      </c>
      <c r="I1890" s="50">
        <v>45512</v>
      </c>
      <c r="M1890" s="49" t="s">
        <v>12767</v>
      </c>
    </row>
    <row r="1891" spans="1:13" x14ac:dyDescent="0.35">
      <c r="A1891" s="49" t="s">
        <v>15006</v>
      </c>
      <c r="B1891" s="49" t="s">
        <v>5563</v>
      </c>
      <c r="C1891" s="49"/>
      <c r="D1891" s="49" t="s">
        <v>1264</v>
      </c>
      <c r="E1891" s="49" t="s">
        <v>2986</v>
      </c>
      <c r="F1891" s="49" t="s">
        <v>2825</v>
      </c>
      <c r="G1891" s="49" t="s">
        <v>4330</v>
      </c>
      <c r="H1891" s="49" t="s">
        <v>2827</v>
      </c>
      <c r="I1891" s="50">
        <v>45035</v>
      </c>
      <c r="M1891" s="49" t="s">
        <v>5565</v>
      </c>
    </row>
    <row r="1892" spans="1:13" x14ac:dyDescent="0.35">
      <c r="A1892" s="49" t="s">
        <v>14506</v>
      </c>
      <c r="B1892" s="49" t="s">
        <v>9535</v>
      </c>
      <c r="C1892" s="49" t="s">
        <v>9536</v>
      </c>
      <c r="D1892" s="49" t="s">
        <v>1264</v>
      </c>
      <c r="E1892" s="49" t="s">
        <v>2785</v>
      </c>
      <c r="F1892" s="49" t="s">
        <v>2792</v>
      </c>
      <c r="G1892" s="49" t="s">
        <v>2776</v>
      </c>
      <c r="H1892" s="49" t="s">
        <v>8</v>
      </c>
      <c r="I1892" s="50">
        <v>44098</v>
      </c>
      <c r="M1892" s="49" t="s">
        <v>9538</v>
      </c>
    </row>
    <row r="1893" spans="1:13" x14ac:dyDescent="0.35">
      <c r="A1893" s="49" t="s">
        <v>7316</v>
      </c>
      <c r="B1893" s="49" t="s">
        <v>4406</v>
      </c>
      <c r="C1893" s="49" t="s">
        <v>4407</v>
      </c>
      <c r="D1893" s="49" t="s">
        <v>1264</v>
      </c>
      <c r="E1893" s="49" t="s">
        <v>2785</v>
      </c>
      <c r="F1893" s="49" t="s">
        <v>2792</v>
      </c>
      <c r="G1893" s="49" t="s">
        <v>2776</v>
      </c>
      <c r="H1893" s="49" t="s">
        <v>980</v>
      </c>
      <c r="I1893" s="50">
        <v>44266</v>
      </c>
      <c r="M1893" s="49" t="s">
        <v>4409</v>
      </c>
    </row>
    <row r="1894" spans="1:13" x14ac:dyDescent="0.35">
      <c r="A1894" s="49" t="s">
        <v>7316</v>
      </c>
      <c r="B1894" s="49" t="s">
        <v>4801</v>
      </c>
      <c r="C1894" s="49" t="s">
        <v>3461</v>
      </c>
      <c r="D1894" s="49" t="s">
        <v>1264</v>
      </c>
      <c r="E1894" s="49" t="s">
        <v>2785</v>
      </c>
      <c r="F1894" s="49" t="s">
        <v>2792</v>
      </c>
      <c r="G1894" s="49" t="s">
        <v>3997</v>
      </c>
      <c r="H1894" s="49" t="s">
        <v>980</v>
      </c>
      <c r="I1894" s="50">
        <v>44614</v>
      </c>
      <c r="M1894" s="49" t="s">
        <v>4802</v>
      </c>
    </row>
    <row r="1895" spans="1:13" x14ac:dyDescent="0.35">
      <c r="A1895" s="49" t="s">
        <v>7316</v>
      </c>
      <c r="B1895" s="49" t="s">
        <v>5097</v>
      </c>
      <c r="C1895" s="49" t="s">
        <v>3461</v>
      </c>
      <c r="D1895" s="49" t="s">
        <v>1264</v>
      </c>
      <c r="E1895" s="49" t="s">
        <v>2785</v>
      </c>
      <c r="F1895" s="49" t="s">
        <v>2792</v>
      </c>
      <c r="G1895" s="49" t="s">
        <v>2921</v>
      </c>
      <c r="H1895" s="49" t="s">
        <v>980</v>
      </c>
      <c r="I1895" s="50">
        <v>44614</v>
      </c>
      <c r="J1895" s="50">
        <v>44971</v>
      </c>
      <c r="K1895" s="50">
        <v>45335</v>
      </c>
      <c r="M1895" s="49" t="s">
        <v>5098</v>
      </c>
    </row>
    <row r="1896" spans="1:13" x14ac:dyDescent="0.35">
      <c r="A1896" s="49" t="s">
        <v>7316</v>
      </c>
      <c r="B1896" s="49" t="s">
        <v>7071</v>
      </c>
      <c r="C1896" s="49" t="s">
        <v>7072</v>
      </c>
      <c r="D1896" s="49" t="s">
        <v>1264</v>
      </c>
      <c r="E1896" s="49" t="s">
        <v>2785</v>
      </c>
      <c r="F1896" s="49" t="s">
        <v>2792</v>
      </c>
      <c r="G1896" s="49" t="s">
        <v>2787</v>
      </c>
      <c r="H1896" s="49" t="s">
        <v>980</v>
      </c>
      <c r="I1896" s="50">
        <v>41871</v>
      </c>
      <c r="J1896" s="50">
        <v>42920</v>
      </c>
      <c r="K1896" s="50">
        <v>43103</v>
      </c>
      <c r="M1896" s="49" t="s">
        <v>7073</v>
      </c>
    </row>
    <row r="1897" spans="1:13" x14ac:dyDescent="0.35">
      <c r="A1897" s="49" t="s">
        <v>7316</v>
      </c>
      <c r="B1897" s="49" t="s">
        <v>7315</v>
      </c>
      <c r="C1897" s="49" t="s">
        <v>7306</v>
      </c>
      <c r="D1897" s="49" t="s">
        <v>1264</v>
      </c>
      <c r="E1897" s="49" t="s">
        <v>2785</v>
      </c>
      <c r="F1897" s="49" t="s">
        <v>2792</v>
      </c>
      <c r="G1897" s="49" t="s">
        <v>2787</v>
      </c>
      <c r="H1897" s="49" t="s">
        <v>980</v>
      </c>
      <c r="I1897" s="50">
        <v>43392</v>
      </c>
      <c r="J1897" s="50">
        <v>43924</v>
      </c>
      <c r="K1897" s="50">
        <v>44333</v>
      </c>
      <c r="M1897" s="49" t="s">
        <v>7317</v>
      </c>
    </row>
    <row r="1898" spans="1:13" x14ac:dyDescent="0.35">
      <c r="A1898" s="49" t="s">
        <v>14469</v>
      </c>
      <c r="B1898" s="49" t="s">
        <v>9018</v>
      </c>
      <c r="C1898" s="49" t="s">
        <v>2863</v>
      </c>
      <c r="D1898" s="49" t="s">
        <v>1264</v>
      </c>
      <c r="E1898" s="49" t="s">
        <v>2814</v>
      </c>
      <c r="F1898" s="49" t="s">
        <v>2825</v>
      </c>
      <c r="G1898" s="49" t="s">
        <v>2787</v>
      </c>
      <c r="H1898" s="49" t="s">
        <v>2827</v>
      </c>
      <c r="I1898" s="50">
        <v>42276</v>
      </c>
      <c r="J1898" s="50">
        <v>42292</v>
      </c>
      <c r="K1898" s="50">
        <v>42474</v>
      </c>
      <c r="M1898" s="49" t="s">
        <v>3470</v>
      </c>
    </row>
    <row r="1899" spans="1:13" x14ac:dyDescent="0.35">
      <c r="A1899" s="49" t="s">
        <v>15658</v>
      </c>
      <c r="B1899" s="49" t="s">
        <v>4328</v>
      </c>
      <c r="C1899" s="49"/>
      <c r="D1899" s="49" t="s">
        <v>1264</v>
      </c>
      <c r="E1899" s="49" t="s">
        <v>2908</v>
      </c>
      <c r="F1899" s="49" t="s">
        <v>2837</v>
      </c>
      <c r="G1899" s="49" t="s">
        <v>4330</v>
      </c>
      <c r="H1899" s="49" t="s">
        <v>2827</v>
      </c>
      <c r="I1899" s="50">
        <v>44313</v>
      </c>
      <c r="M1899" s="49" t="s">
        <v>4331</v>
      </c>
    </row>
    <row r="1900" spans="1:13" x14ac:dyDescent="0.35">
      <c r="A1900" s="49" t="s">
        <v>15658</v>
      </c>
      <c r="B1900" s="49" t="s">
        <v>5700</v>
      </c>
      <c r="C1900" s="49"/>
      <c r="D1900" s="49" t="s">
        <v>1264</v>
      </c>
      <c r="E1900" s="49" t="s">
        <v>2908</v>
      </c>
      <c r="F1900" s="49" t="s">
        <v>2939</v>
      </c>
      <c r="G1900" s="49" t="s">
        <v>2901</v>
      </c>
      <c r="H1900" s="49" t="s">
        <v>980</v>
      </c>
      <c r="I1900" s="50">
        <v>45041</v>
      </c>
      <c r="J1900" s="50">
        <v>45104</v>
      </c>
      <c r="K1900" s="50">
        <v>46930</v>
      </c>
      <c r="M1900" s="49" t="s">
        <v>5701</v>
      </c>
    </row>
    <row r="1901" spans="1:13" x14ac:dyDescent="0.35">
      <c r="A1901" s="49" t="s">
        <v>15658</v>
      </c>
      <c r="B1901" s="49" t="s">
        <v>5898</v>
      </c>
      <c r="C1901" s="49"/>
      <c r="D1901" s="49" t="s">
        <v>1264</v>
      </c>
      <c r="E1901" s="49" t="s">
        <v>2908</v>
      </c>
      <c r="F1901" s="49" t="s">
        <v>2939</v>
      </c>
      <c r="G1901" s="49" t="s">
        <v>2901</v>
      </c>
      <c r="H1901" s="49" t="s">
        <v>980</v>
      </c>
      <c r="I1901" s="50">
        <v>45047</v>
      </c>
      <c r="J1901" s="50">
        <v>45196</v>
      </c>
      <c r="K1901" s="50">
        <v>47022</v>
      </c>
      <c r="M1901" s="49" t="s">
        <v>5899</v>
      </c>
    </row>
    <row r="1902" spans="1:13" x14ac:dyDescent="0.35">
      <c r="A1902" s="49" t="s">
        <v>15007</v>
      </c>
      <c r="B1902" s="49" t="s">
        <v>11566</v>
      </c>
      <c r="C1902" s="49" t="s">
        <v>11567</v>
      </c>
      <c r="D1902" s="49" t="s">
        <v>1264</v>
      </c>
      <c r="E1902" s="49" t="s">
        <v>2785</v>
      </c>
      <c r="F1902" s="49" t="s">
        <v>2786</v>
      </c>
      <c r="G1902" s="49" t="s">
        <v>2776</v>
      </c>
      <c r="H1902" s="49" t="s">
        <v>973</v>
      </c>
      <c r="I1902" s="50">
        <v>44882</v>
      </c>
      <c r="M1902" s="49" t="s">
        <v>11569</v>
      </c>
    </row>
    <row r="1903" spans="1:13" x14ac:dyDescent="0.35">
      <c r="A1903" s="49" t="s">
        <v>14640</v>
      </c>
      <c r="B1903" s="49" t="s">
        <v>12686</v>
      </c>
      <c r="C1903" s="49"/>
      <c r="D1903" s="49" t="s">
        <v>1264</v>
      </c>
      <c r="E1903" s="49" t="s">
        <v>2986</v>
      </c>
      <c r="F1903" s="49" t="s">
        <v>2825</v>
      </c>
      <c r="G1903" s="49" t="s">
        <v>4891</v>
      </c>
      <c r="H1903" s="49" t="s">
        <v>8</v>
      </c>
      <c r="I1903" s="50">
        <v>45541</v>
      </c>
      <c r="M1903" s="49" t="s">
        <v>12688</v>
      </c>
    </row>
    <row r="1904" spans="1:13" x14ac:dyDescent="0.35">
      <c r="A1904" s="49" t="s">
        <v>14640</v>
      </c>
      <c r="B1904" s="49" t="s">
        <v>12697</v>
      </c>
      <c r="C1904" s="49"/>
      <c r="D1904" s="49" t="s">
        <v>1264</v>
      </c>
      <c r="E1904" s="49" t="s">
        <v>2986</v>
      </c>
      <c r="F1904" s="49" t="s">
        <v>2825</v>
      </c>
      <c r="G1904" s="49" t="s">
        <v>4891</v>
      </c>
      <c r="H1904" s="49" t="s">
        <v>8</v>
      </c>
      <c r="I1904" s="50">
        <v>45541</v>
      </c>
      <c r="M1904" s="49" t="s">
        <v>12698</v>
      </c>
    </row>
    <row r="1905" spans="1:13" x14ac:dyDescent="0.35">
      <c r="A1905" s="49" t="s">
        <v>356</v>
      </c>
      <c r="B1905" s="49" t="s">
        <v>5472</v>
      </c>
      <c r="C1905" s="49" t="s">
        <v>4809</v>
      </c>
      <c r="D1905" s="49" t="s">
        <v>1264</v>
      </c>
      <c r="E1905" s="49" t="s">
        <v>2986</v>
      </c>
      <c r="F1905" s="49" t="s">
        <v>2825</v>
      </c>
      <c r="G1905" s="49" t="s">
        <v>2901</v>
      </c>
      <c r="H1905" s="49" t="s">
        <v>2827</v>
      </c>
      <c r="I1905" s="50">
        <v>45013</v>
      </c>
      <c r="J1905" s="50">
        <v>45030</v>
      </c>
      <c r="K1905" s="50">
        <v>46125</v>
      </c>
      <c r="M1905" s="49" t="s">
        <v>5474</v>
      </c>
    </row>
    <row r="1906" spans="1:13" x14ac:dyDescent="0.35">
      <c r="A1906" s="49" t="s">
        <v>356</v>
      </c>
      <c r="B1906" s="49" t="s">
        <v>11301</v>
      </c>
      <c r="C1906" s="49" t="s">
        <v>4817</v>
      </c>
      <c r="D1906" s="49" t="s">
        <v>1264</v>
      </c>
      <c r="E1906" s="49" t="s">
        <v>2986</v>
      </c>
      <c r="F1906" s="49" t="s">
        <v>2825</v>
      </c>
      <c r="G1906" s="49" t="s">
        <v>4891</v>
      </c>
      <c r="H1906" s="49" t="s">
        <v>8</v>
      </c>
      <c r="I1906" s="50">
        <v>45005</v>
      </c>
      <c r="M1906" s="49" t="s">
        <v>11302</v>
      </c>
    </row>
    <row r="1907" spans="1:13" x14ac:dyDescent="0.35">
      <c r="A1907" s="49" t="s">
        <v>15376</v>
      </c>
      <c r="B1907" s="49" t="s">
        <v>10132</v>
      </c>
      <c r="C1907" s="49"/>
      <c r="D1907" s="49" t="s">
        <v>1264</v>
      </c>
      <c r="E1907" s="49" t="s">
        <v>2814</v>
      </c>
      <c r="F1907" s="49" t="s">
        <v>2825</v>
      </c>
      <c r="G1907" s="49" t="s">
        <v>2776</v>
      </c>
      <c r="H1907" s="49" t="s">
        <v>2827</v>
      </c>
      <c r="I1907" s="50">
        <v>43923</v>
      </c>
      <c r="M1907" s="49" t="s">
        <v>10134</v>
      </c>
    </row>
    <row r="1908" spans="1:13" x14ac:dyDescent="0.35">
      <c r="A1908" s="49" t="s">
        <v>15376</v>
      </c>
      <c r="B1908" s="49" t="s">
        <v>10317</v>
      </c>
      <c r="C1908" s="49"/>
      <c r="D1908" s="49" t="s">
        <v>1264</v>
      </c>
      <c r="E1908" s="49" t="s">
        <v>2814</v>
      </c>
      <c r="F1908" s="49" t="s">
        <v>2825</v>
      </c>
      <c r="G1908" s="49" t="s">
        <v>2776</v>
      </c>
      <c r="H1908" s="49" t="s">
        <v>2827</v>
      </c>
      <c r="I1908" s="50">
        <v>43096</v>
      </c>
      <c r="M1908" s="49" t="s">
        <v>10318</v>
      </c>
    </row>
    <row r="1909" spans="1:13" x14ac:dyDescent="0.35">
      <c r="A1909" s="49" t="s">
        <v>14325</v>
      </c>
      <c r="B1909" s="49" t="s">
        <v>7089</v>
      </c>
      <c r="C1909" s="49" t="s">
        <v>7090</v>
      </c>
      <c r="D1909" s="49" t="s">
        <v>1264</v>
      </c>
      <c r="E1909" s="49" t="s">
        <v>2774</v>
      </c>
      <c r="F1909" s="49" t="s">
        <v>7092</v>
      </c>
      <c r="G1909" s="49" t="s">
        <v>2826</v>
      </c>
      <c r="H1909" s="49" t="s">
        <v>980</v>
      </c>
      <c r="I1909" s="50">
        <v>37442</v>
      </c>
      <c r="J1909" s="50">
        <v>38383</v>
      </c>
      <c r="K1909" s="50">
        <v>39477</v>
      </c>
      <c r="M1909" s="49" t="s">
        <v>7093</v>
      </c>
    </row>
    <row r="1910" spans="1:13" x14ac:dyDescent="0.35">
      <c r="A1910" s="49" t="s">
        <v>14217</v>
      </c>
      <c r="B1910" s="49" t="s">
        <v>4988</v>
      </c>
      <c r="C1910" s="49" t="s">
        <v>4989</v>
      </c>
      <c r="D1910" s="49" t="s">
        <v>1264</v>
      </c>
      <c r="E1910" s="49" t="s">
        <v>2774</v>
      </c>
      <c r="F1910" s="49" t="s">
        <v>2825</v>
      </c>
      <c r="G1910" s="49" t="s">
        <v>2901</v>
      </c>
      <c r="H1910" s="49" t="s">
        <v>2827</v>
      </c>
      <c r="I1910" s="50">
        <v>44642</v>
      </c>
      <c r="J1910" s="50">
        <v>44792</v>
      </c>
      <c r="K1910" s="50">
        <v>46252</v>
      </c>
      <c r="M1910" s="49" t="s">
        <v>4991</v>
      </c>
    </row>
    <row r="1911" spans="1:13" x14ac:dyDescent="0.35">
      <c r="A1911" s="49" t="s">
        <v>14217</v>
      </c>
      <c r="B1911" s="49" t="s">
        <v>11122</v>
      </c>
      <c r="C1911" s="49" t="s">
        <v>11123</v>
      </c>
      <c r="D1911" s="49" t="s">
        <v>1264</v>
      </c>
      <c r="E1911" s="49" t="s">
        <v>2774</v>
      </c>
      <c r="F1911" s="49" t="s">
        <v>11124</v>
      </c>
      <c r="G1911" s="49" t="s">
        <v>2776</v>
      </c>
      <c r="H1911" s="49" t="s">
        <v>2827</v>
      </c>
      <c r="I1911" s="50">
        <v>44825</v>
      </c>
      <c r="M1911" s="49" t="s">
        <v>11125</v>
      </c>
    </row>
    <row r="1912" spans="1:13" x14ac:dyDescent="0.35">
      <c r="A1912" s="49" t="s">
        <v>15184</v>
      </c>
      <c r="B1912" s="49" t="s">
        <v>8793</v>
      </c>
      <c r="C1912" s="49" t="s">
        <v>2795</v>
      </c>
      <c r="D1912" s="49" t="s">
        <v>1264</v>
      </c>
      <c r="E1912" s="49" t="s">
        <v>2785</v>
      </c>
      <c r="F1912" s="49" t="s">
        <v>2786</v>
      </c>
      <c r="G1912" s="49" t="s">
        <v>2787</v>
      </c>
      <c r="H1912" s="49" t="s">
        <v>8</v>
      </c>
      <c r="I1912" s="50">
        <v>42514</v>
      </c>
      <c r="J1912" s="50">
        <v>42692</v>
      </c>
      <c r="K1912" s="50">
        <v>42872</v>
      </c>
      <c r="M1912" s="49" t="s">
        <v>8795</v>
      </c>
    </row>
    <row r="1913" spans="1:13" x14ac:dyDescent="0.35">
      <c r="A1913" s="49" t="s">
        <v>15184</v>
      </c>
      <c r="B1913" s="49" t="s">
        <v>9988</v>
      </c>
      <c r="C1913" s="49"/>
      <c r="D1913" s="49" t="s">
        <v>1264</v>
      </c>
      <c r="E1913" s="49" t="s">
        <v>2908</v>
      </c>
      <c r="F1913" s="49" t="s">
        <v>2939</v>
      </c>
      <c r="G1913" s="49" t="s">
        <v>2776</v>
      </c>
      <c r="H1913" s="49" t="s">
        <v>980</v>
      </c>
      <c r="I1913" s="50">
        <v>41509</v>
      </c>
      <c r="M1913" s="49" t="s">
        <v>9989</v>
      </c>
    </row>
    <row r="1914" spans="1:13" x14ac:dyDescent="0.35">
      <c r="A1914" s="49" t="s">
        <v>15184</v>
      </c>
      <c r="B1914" s="49" t="s">
        <v>10412</v>
      </c>
      <c r="C1914" s="49"/>
      <c r="D1914" s="49" t="s">
        <v>1264</v>
      </c>
      <c r="E1914" s="49" t="s">
        <v>2814</v>
      </c>
      <c r="F1914" s="49" t="s">
        <v>10413</v>
      </c>
      <c r="G1914" s="49" t="s">
        <v>2776</v>
      </c>
      <c r="H1914" s="49" t="s">
        <v>2827</v>
      </c>
      <c r="I1914" s="50">
        <v>43347</v>
      </c>
      <c r="M1914" s="49" t="s">
        <v>3470</v>
      </c>
    </row>
    <row r="1915" spans="1:13" x14ac:dyDescent="0.35">
      <c r="A1915" s="49" t="s">
        <v>14612</v>
      </c>
      <c r="B1915" s="49" t="s">
        <v>11694</v>
      </c>
      <c r="C1915" s="49" t="s">
        <v>11695</v>
      </c>
      <c r="D1915" s="49" t="s">
        <v>1264</v>
      </c>
      <c r="E1915" s="49" t="s">
        <v>2774</v>
      </c>
      <c r="F1915" s="49" t="s">
        <v>2900</v>
      </c>
      <c r="G1915" s="49" t="s">
        <v>2776</v>
      </c>
      <c r="H1915" s="49" t="s">
        <v>2832</v>
      </c>
      <c r="I1915" s="50">
        <v>45250</v>
      </c>
      <c r="M1915" s="49" t="s">
        <v>11697</v>
      </c>
    </row>
    <row r="1916" spans="1:13" x14ac:dyDescent="0.35">
      <c r="A1916" s="49" t="s">
        <v>14576</v>
      </c>
      <c r="B1916" s="49" t="s">
        <v>10704</v>
      </c>
      <c r="C1916" s="49"/>
      <c r="D1916" s="49" t="s">
        <v>1264</v>
      </c>
      <c r="E1916" s="49" t="s">
        <v>2785</v>
      </c>
      <c r="F1916" s="49" t="s">
        <v>2837</v>
      </c>
      <c r="G1916" s="49" t="s">
        <v>2776</v>
      </c>
      <c r="H1916" s="49" t="s">
        <v>973</v>
      </c>
      <c r="I1916" s="50">
        <v>43501</v>
      </c>
      <c r="M1916" s="49" t="s">
        <v>10706</v>
      </c>
    </row>
    <row r="1917" spans="1:13" x14ac:dyDescent="0.35">
      <c r="A1917" s="49" t="s">
        <v>14495</v>
      </c>
      <c r="B1917" s="49" t="s">
        <v>9415</v>
      </c>
      <c r="C1917" s="49"/>
      <c r="D1917" s="49" t="s">
        <v>1264</v>
      </c>
      <c r="E1917" s="49" t="s">
        <v>2785</v>
      </c>
      <c r="F1917" s="49" t="s">
        <v>2786</v>
      </c>
      <c r="G1917" s="49" t="s">
        <v>2776</v>
      </c>
      <c r="H1917" s="49" t="s">
        <v>980</v>
      </c>
      <c r="I1917" s="50">
        <v>43417</v>
      </c>
      <c r="M1917" s="49" t="s">
        <v>9417</v>
      </c>
    </row>
    <row r="1918" spans="1:13" x14ac:dyDescent="0.35">
      <c r="A1918" s="49" t="s">
        <v>13665</v>
      </c>
      <c r="B1918" s="49" t="s">
        <v>13663</v>
      </c>
      <c r="C1918" s="49" t="s">
        <v>13664</v>
      </c>
      <c r="D1918" s="49" t="s">
        <v>1264</v>
      </c>
      <c r="E1918" s="49" t="s">
        <v>2986</v>
      </c>
      <c r="F1918" s="49" t="s">
        <v>2825</v>
      </c>
      <c r="G1918" s="49" t="s">
        <v>2776</v>
      </c>
      <c r="H1918" s="49" t="s">
        <v>2827</v>
      </c>
      <c r="I1918" s="50">
        <v>42742</v>
      </c>
      <c r="M1918" s="49" t="s">
        <v>3100</v>
      </c>
    </row>
    <row r="1919" spans="1:13" x14ac:dyDescent="0.35">
      <c r="A1919" s="49" t="s">
        <v>13665</v>
      </c>
      <c r="B1919" s="49" t="s">
        <v>13732</v>
      </c>
      <c r="C1919" s="49" t="s">
        <v>13733</v>
      </c>
      <c r="D1919" s="49" t="s">
        <v>1264</v>
      </c>
      <c r="E1919" s="49" t="s">
        <v>2986</v>
      </c>
      <c r="F1919" s="49" t="s">
        <v>2825</v>
      </c>
      <c r="G1919" s="49" t="s">
        <v>2776</v>
      </c>
      <c r="H1919" s="49" t="s">
        <v>2827</v>
      </c>
      <c r="I1919" s="50">
        <v>43444</v>
      </c>
      <c r="M1919" s="49" t="s">
        <v>3270</v>
      </c>
    </row>
    <row r="1920" spans="1:13" x14ac:dyDescent="0.35">
      <c r="A1920" s="49" t="s">
        <v>14520</v>
      </c>
      <c r="B1920" s="49" t="s">
        <v>9683</v>
      </c>
      <c r="C1920" s="49" t="s">
        <v>3420</v>
      </c>
      <c r="D1920" s="49" t="s">
        <v>1264</v>
      </c>
      <c r="E1920" s="49" t="s">
        <v>2908</v>
      </c>
      <c r="F1920" s="49" t="s">
        <v>2939</v>
      </c>
      <c r="G1920" s="49" t="s">
        <v>2776</v>
      </c>
      <c r="H1920" s="49" t="s">
        <v>980</v>
      </c>
      <c r="I1920" s="50">
        <v>42176</v>
      </c>
      <c r="M1920" s="49" t="s">
        <v>3470</v>
      </c>
    </row>
    <row r="1921" spans="1:13" x14ac:dyDescent="0.35">
      <c r="A1921" s="49" t="s">
        <v>15377</v>
      </c>
      <c r="B1921" s="49" t="s">
        <v>2834</v>
      </c>
      <c r="C1921" s="49" t="s">
        <v>2835</v>
      </c>
      <c r="D1921" s="49" t="s">
        <v>1264</v>
      </c>
      <c r="E1921" s="49" t="s">
        <v>2814</v>
      </c>
      <c r="F1921" s="49" t="s">
        <v>2837</v>
      </c>
      <c r="G1921" s="49" t="s">
        <v>2787</v>
      </c>
      <c r="H1921" s="49" t="s">
        <v>980</v>
      </c>
      <c r="I1921" s="50">
        <v>43865</v>
      </c>
      <c r="J1921" s="50">
        <v>43888</v>
      </c>
      <c r="K1921" s="50">
        <v>44070</v>
      </c>
      <c r="M1921" s="49" t="s">
        <v>2838</v>
      </c>
    </row>
    <row r="1922" spans="1:13" x14ac:dyDescent="0.35">
      <c r="A1922" s="49" t="s">
        <v>15377</v>
      </c>
      <c r="B1922" s="49" t="s">
        <v>4538</v>
      </c>
      <c r="C1922" s="49" t="s">
        <v>4539</v>
      </c>
      <c r="D1922" s="49" t="s">
        <v>1264</v>
      </c>
      <c r="E1922" s="49" t="s">
        <v>3443</v>
      </c>
      <c r="F1922" s="49" t="s">
        <v>3124</v>
      </c>
      <c r="G1922" s="49" t="s">
        <v>2901</v>
      </c>
      <c r="H1922" s="49" t="s">
        <v>980</v>
      </c>
      <c r="I1922" s="50">
        <v>44417</v>
      </c>
      <c r="J1922" s="50">
        <v>44481</v>
      </c>
      <c r="K1922" s="50">
        <v>46306</v>
      </c>
    </row>
    <row r="1923" spans="1:13" x14ac:dyDescent="0.35">
      <c r="A1923" s="49" t="s">
        <v>15377</v>
      </c>
      <c r="B1923" s="49" t="s">
        <v>6282</v>
      </c>
      <c r="C1923" s="49" t="s">
        <v>4555</v>
      </c>
      <c r="D1923" s="49" t="s">
        <v>1264</v>
      </c>
      <c r="E1923" s="49" t="s">
        <v>2908</v>
      </c>
      <c r="F1923" s="49" t="s">
        <v>2837</v>
      </c>
      <c r="G1923" s="49" t="s">
        <v>2901</v>
      </c>
      <c r="H1923" s="49" t="s">
        <v>980</v>
      </c>
      <c r="I1923" s="50">
        <v>45222</v>
      </c>
      <c r="J1923" s="50">
        <v>45287</v>
      </c>
      <c r="K1923" s="50">
        <v>47113</v>
      </c>
      <c r="M1923" s="49" t="s">
        <v>6283</v>
      </c>
    </row>
    <row r="1924" spans="1:13" x14ac:dyDescent="0.35">
      <c r="A1924" s="49" t="s">
        <v>15377</v>
      </c>
      <c r="B1924" s="49" t="s">
        <v>8966</v>
      </c>
      <c r="C1924" s="49" t="s">
        <v>8967</v>
      </c>
      <c r="D1924" s="49" t="s">
        <v>1264</v>
      </c>
      <c r="E1924" s="49" t="s">
        <v>2814</v>
      </c>
      <c r="F1924" s="49" t="s">
        <v>2837</v>
      </c>
      <c r="G1924" s="49" t="s">
        <v>2826</v>
      </c>
      <c r="H1924" s="49" t="s">
        <v>980</v>
      </c>
      <c r="I1924" s="50">
        <v>44006</v>
      </c>
      <c r="J1924" s="50">
        <v>44053</v>
      </c>
      <c r="K1924" s="50">
        <v>44236</v>
      </c>
      <c r="M1924" s="49" t="s">
        <v>8968</v>
      </c>
    </row>
    <row r="1925" spans="1:13" x14ac:dyDescent="0.35">
      <c r="A1925" s="49" t="s">
        <v>15377</v>
      </c>
      <c r="B1925" s="49" t="s">
        <v>8972</v>
      </c>
      <c r="C1925" s="49" t="s">
        <v>8973</v>
      </c>
      <c r="D1925" s="49" t="s">
        <v>1264</v>
      </c>
      <c r="E1925" s="49" t="s">
        <v>2814</v>
      </c>
      <c r="F1925" s="49" t="s">
        <v>2837</v>
      </c>
      <c r="G1925" s="49" t="s">
        <v>2826</v>
      </c>
      <c r="H1925" s="49" t="s">
        <v>980</v>
      </c>
      <c r="I1925" s="50">
        <v>44006</v>
      </c>
      <c r="J1925" s="50">
        <v>44102</v>
      </c>
      <c r="K1925" s="50">
        <v>44282</v>
      </c>
      <c r="M1925" s="49" t="s">
        <v>8974</v>
      </c>
    </row>
    <row r="1926" spans="1:13" x14ac:dyDescent="0.35">
      <c r="A1926" s="49" t="s">
        <v>15377</v>
      </c>
      <c r="B1926" s="49" t="s">
        <v>10241</v>
      </c>
      <c r="C1926" s="49" t="s">
        <v>7361</v>
      </c>
      <c r="D1926" s="49" t="s">
        <v>1264</v>
      </c>
      <c r="E1926" s="49" t="s">
        <v>2814</v>
      </c>
      <c r="F1926" s="49" t="s">
        <v>2837</v>
      </c>
      <c r="G1926" s="49" t="s">
        <v>2776</v>
      </c>
      <c r="H1926" s="49" t="s">
        <v>980</v>
      </c>
      <c r="I1926" s="50">
        <v>44006</v>
      </c>
      <c r="M1926" s="49" t="s">
        <v>10242</v>
      </c>
    </row>
    <row r="1927" spans="1:13" x14ac:dyDescent="0.35">
      <c r="A1927" s="49" t="s">
        <v>15377</v>
      </c>
      <c r="B1927" s="49" t="s">
        <v>10243</v>
      </c>
      <c r="C1927" s="49" t="s">
        <v>4175</v>
      </c>
      <c r="D1927" s="49" t="s">
        <v>1264</v>
      </c>
      <c r="E1927" s="49" t="s">
        <v>2814</v>
      </c>
      <c r="F1927" s="49" t="s">
        <v>2837</v>
      </c>
      <c r="G1927" s="49" t="s">
        <v>2776</v>
      </c>
      <c r="H1927" s="49" t="s">
        <v>980</v>
      </c>
      <c r="I1927" s="50">
        <v>44006</v>
      </c>
      <c r="M1927" s="49" t="s">
        <v>10244</v>
      </c>
    </row>
    <row r="1928" spans="1:13" x14ac:dyDescent="0.35">
      <c r="A1928" s="49" t="s">
        <v>15377</v>
      </c>
      <c r="B1928" s="49" t="s">
        <v>10245</v>
      </c>
      <c r="C1928" s="49" t="s">
        <v>10246</v>
      </c>
      <c r="D1928" s="49" t="s">
        <v>1264</v>
      </c>
      <c r="E1928" s="49" t="s">
        <v>2814</v>
      </c>
      <c r="F1928" s="49" t="s">
        <v>2837</v>
      </c>
      <c r="G1928" s="49" t="s">
        <v>2776</v>
      </c>
      <c r="H1928" s="49" t="s">
        <v>980</v>
      </c>
      <c r="I1928" s="50">
        <v>44006</v>
      </c>
      <c r="M1928" s="49" t="s">
        <v>10247</v>
      </c>
    </row>
    <row r="1929" spans="1:13" x14ac:dyDescent="0.35">
      <c r="A1929" s="49" t="s">
        <v>15377</v>
      </c>
      <c r="B1929" s="49" t="s">
        <v>10652</v>
      </c>
      <c r="C1929" s="49"/>
      <c r="D1929" s="49" t="s">
        <v>1264</v>
      </c>
      <c r="E1929" s="49" t="s">
        <v>2814</v>
      </c>
      <c r="F1929" s="49" t="s">
        <v>2837</v>
      </c>
      <c r="G1929" s="49" t="s">
        <v>2776</v>
      </c>
      <c r="H1929" s="49" t="s">
        <v>980</v>
      </c>
      <c r="I1929" s="50">
        <v>43864</v>
      </c>
      <c r="M1929" s="49" t="s">
        <v>10653</v>
      </c>
    </row>
    <row r="1930" spans="1:13" x14ac:dyDescent="0.35">
      <c r="A1930" s="49" t="s">
        <v>15377</v>
      </c>
      <c r="B1930" s="49" t="s">
        <v>12076</v>
      </c>
      <c r="C1930" s="49"/>
      <c r="D1930" s="49" t="s">
        <v>1264</v>
      </c>
      <c r="E1930" s="49" t="s">
        <v>2814</v>
      </c>
      <c r="F1930" s="49" t="s">
        <v>2837</v>
      </c>
      <c r="G1930" s="49" t="s">
        <v>2776</v>
      </c>
      <c r="H1930" s="49" t="s">
        <v>980</v>
      </c>
      <c r="I1930" s="50">
        <v>45330</v>
      </c>
      <c r="M1930" s="49" t="s">
        <v>12077</v>
      </c>
    </row>
    <row r="1931" spans="1:13" x14ac:dyDescent="0.35">
      <c r="A1931" s="49" t="s">
        <v>366</v>
      </c>
      <c r="B1931" s="49" t="s">
        <v>12653</v>
      </c>
      <c r="C1931" s="49" t="s">
        <v>12654</v>
      </c>
      <c r="D1931" s="49" t="s">
        <v>1264</v>
      </c>
      <c r="E1931" s="49" t="s">
        <v>2774</v>
      </c>
      <c r="F1931" s="49" t="s">
        <v>2825</v>
      </c>
      <c r="G1931" s="49" t="s">
        <v>4891</v>
      </c>
      <c r="H1931" s="49" t="s">
        <v>2827</v>
      </c>
      <c r="I1931" s="50">
        <v>45491</v>
      </c>
      <c r="M1931" s="49" t="s">
        <v>12656</v>
      </c>
    </row>
    <row r="1932" spans="1:13" x14ac:dyDescent="0.35">
      <c r="A1932" s="49" t="s">
        <v>366</v>
      </c>
      <c r="B1932" s="49" t="s">
        <v>13180</v>
      </c>
      <c r="C1932" s="49" t="s">
        <v>13181</v>
      </c>
      <c r="D1932" s="49" t="s">
        <v>1264</v>
      </c>
      <c r="E1932" s="49" t="s">
        <v>2986</v>
      </c>
      <c r="F1932" s="49" t="s">
        <v>2825</v>
      </c>
      <c r="G1932" s="49" t="s">
        <v>4891</v>
      </c>
      <c r="H1932" s="49" t="s">
        <v>2827</v>
      </c>
      <c r="I1932" s="52">
        <v>46064.0493055556</v>
      </c>
      <c r="M1932" s="49" t="s">
        <v>13182</v>
      </c>
    </row>
    <row r="1933" spans="1:13" x14ac:dyDescent="0.35">
      <c r="A1933" s="49" t="s">
        <v>14672</v>
      </c>
      <c r="B1933" s="49" t="s">
        <v>13681</v>
      </c>
      <c r="C1933" s="49"/>
      <c r="D1933" s="49" t="s">
        <v>1264</v>
      </c>
      <c r="E1933" s="49" t="s">
        <v>2986</v>
      </c>
      <c r="F1933" s="49" t="s">
        <v>2825</v>
      </c>
      <c r="G1933" s="49" t="s">
        <v>2776</v>
      </c>
      <c r="H1933" s="49" t="s">
        <v>2827</v>
      </c>
      <c r="I1933" s="50">
        <v>43503</v>
      </c>
      <c r="M1933" s="49" t="s">
        <v>13683</v>
      </c>
    </row>
    <row r="1934" spans="1:13" x14ac:dyDescent="0.35">
      <c r="A1934" s="49" t="s">
        <v>14672</v>
      </c>
      <c r="B1934" s="49" t="s">
        <v>13700</v>
      </c>
      <c r="C1934" s="49"/>
      <c r="D1934" s="49" t="s">
        <v>1264</v>
      </c>
      <c r="E1934" s="49" t="s">
        <v>2986</v>
      </c>
      <c r="F1934" s="49" t="s">
        <v>2825</v>
      </c>
      <c r="G1934" s="49" t="s">
        <v>4891</v>
      </c>
      <c r="H1934" s="49" t="s">
        <v>2827</v>
      </c>
      <c r="I1934" s="50">
        <v>43503</v>
      </c>
      <c r="M1934" s="49" t="s">
        <v>13701</v>
      </c>
    </row>
    <row r="1935" spans="1:13" x14ac:dyDescent="0.35">
      <c r="A1935" s="49" t="s">
        <v>368</v>
      </c>
      <c r="B1935" s="49" t="s">
        <v>5605</v>
      </c>
      <c r="C1935" s="49" t="s">
        <v>5606</v>
      </c>
      <c r="D1935" s="49" t="s">
        <v>1264</v>
      </c>
      <c r="E1935" s="49" t="s">
        <v>2774</v>
      </c>
      <c r="F1935" s="49" t="s">
        <v>4842</v>
      </c>
      <c r="G1935" s="49" t="s">
        <v>2901</v>
      </c>
      <c r="H1935" s="49" t="s">
        <v>2827</v>
      </c>
      <c r="I1935" s="50">
        <v>45033</v>
      </c>
      <c r="J1935" s="50">
        <v>45070</v>
      </c>
      <c r="K1935" s="50">
        <v>46530</v>
      </c>
      <c r="M1935" s="49" t="s">
        <v>5608</v>
      </c>
    </row>
    <row r="1936" spans="1:13" x14ac:dyDescent="0.35">
      <c r="A1936" s="49" t="s">
        <v>368</v>
      </c>
      <c r="B1936" s="49" t="s">
        <v>11532</v>
      </c>
      <c r="C1936" s="49"/>
      <c r="D1936" s="49" t="s">
        <v>1264</v>
      </c>
      <c r="E1936" s="49" t="s">
        <v>2974</v>
      </c>
      <c r="F1936" s="49" t="s">
        <v>4842</v>
      </c>
      <c r="G1936" s="49" t="s">
        <v>2776</v>
      </c>
      <c r="H1936" s="49" t="s">
        <v>2827</v>
      </c>
      <c r="I1936" s="50">
        <v>45168</v>
      </c>
      <c r="M1936" s="49" t="s">
        <v>11533</v>
      </c>
    </row>
    <row r="1937" spans="1:13" x14ac:dyDescent="0.35">
      <c r="A1937" s="49" t="s">
        <v>368</v>
      </c>
      <c r="B1937" s="49" t="s">
        <v>11534</v>
      </c>
      <c r="C1937" s="49" t="s">
        <v>11535</v>
      </c>
      <c r="D1937" s="49" t="s">
        <v>1264</v>
      </c>
      <c r="E1937" s="49" t="s">
        <v>2974</v>
      </c>
      <c r="F1937" s="49" t="s">
        <v>4842</v>
      </c>
      <c r="G1937" s="49" t="s">
        <v>2826</v>
      </c>
      <c r="H1937" s="49" t="s">
        <v>2827</v>
      </c>
      <c r="I1937" s="50">
        <v>45168</v>
      </c>
      <c r="M1937" s="49" t="s">
        <v>11536</v>
      </c>
    </row>
    <row r="1938" spans="1:13" x14ac:dyDescent="0.35">
      <c r="A1938" s="49" t="s">
        <v>368</v>
      </c>
      <c r="B1938" s="49" t="s">
        <v>11539</v>
      </c>
      <c r="C1938" s="49"/>
      <c r="D1938" s="49" t="s">
        <v>1264</v>
      </c>
      <c r="E1938" s="49" t="s">
        <v>2774</v>
      </c>
      <c r="F1938" s="49" t="s">
        <v>2825</v>
      </c>
      <c r="G1938" s="49" t="s">
        <v>2776</v>
      </c>
      <c r="H1938" s="49" t="s">
        <v>2827</v>
      </c>
      <c r="I1938" s="50">
        <v>45168</v>
      </c>
      <c r="M1938" s="49" t="s">
        <v>11540</v>
      </c>
    </row>
    <row r="1939" spans="1:13" x14ac:dyDescent="0.35">
      <c r="A1939" s="49" t="s">
        <v>368</v>
      </c>
      <c r="B1939" s="49" t="s">
        <v>11625</v>
      </c>
      <c r="C1939" s="49"/>
      <c r="D1939" s="49" t="s">
        <v>1264</v>
      </c>
      <c r="E1939" s="49" t="s">
        <v>2774</v>
      </c>
      <c r="F1939" s="49" t="s">
        <v>2825</v>
      </c>
      <c r="G1939" s="49" t="s">
        <v>2776</v>
      </c>
      <c r="H1939" s="49" t="s">
        <v>2827</v>
      </c>
      <c r="I1939" s="50">
        <v>45219</v>
      </c>
      <c r="M1939" s="49" t="s">
        <v>11626</v>
      </c>
    </row>
    <row r="1940" spans="1:13" x14ac:dyDescent="0.35">
      <c r="A1940" s="49" t="s">
        <v>368</v>
      </c>
      <c r="B1940" s="49" t="s">
        <v>11627</v>
      </c>
      <c r="C1940" s="49" t="s">
        <v>11628</v>
      </c>
      <c r="D1940" s="49" t="s">
        <v>1264</v>
      </c>
      <c r="E1940" s="49" t="s">
        <v>2774</v>
      </c>
      <c r="F1940" s="49" t="s">
        <v>2825</v>
      </c>
      <c r="G1940" s="49" t="s">
        <v>2776</v>
      </c>
      <c r="H1940" s="49" t="s">
        <v>2827</v>
      </c>
      <c r="I1940" s="50">
        <v>45218</v>
      </c>
      <c r="M1940" s="49" t="s">
        <v>11629</v>
      </c>
    </row>
    <row r="1941" spans="1:13" x14ac:dyDescent="0.35">
      <c r="A1941" s="49" t="s">
        <v>368</v>
      </c>
      <c r="B1941" s="49" t="s">
        <v>11899</v>
      </c>
      <c r="C1941" s="49"/>
      <c r="D1941" s="49" t="s">
        <v>1264</v>
      </c>
      <c r="E1941" s="49" t="s">
        <v>2774</v>
      </c>
      <c r="F1941" s="49" t="s">
        <v>2825</v>
      </c>
      <c r="G1941" s="49" t="s">
        <v>2776</v>
      </c>
      <c r="H1941" s="49" t="s">
        <v>2827</v>
      </c>
      <c r="I1941" s="50">
        <v>45296</v>
      </c>
      <c r="M1941" s="49" t="s">
        <v>11900</v>
      </c>
    </row>
    <row r="1942" spans="1:13" x14ac:dyDescent="0.35">
      <c r="A1942" s="49" t="s">
        <v>368</v>
      </c>
      <c r="B1942" s="49" t="s">
        <v>11901</v>
      </c>
      <c r="C1942" s="49"/>
      <c r="D1942" s="49" t="s">
        <v>1264</v>
      </c>
      <c r="E1942" s="49" t="s">
        <v>2774</v>
      </c>
      <c r="F1942" s="49" t="s">
        <v>2825</v>
      </c>
      <c r="G1942" s="49" t="s">
        <v>2776</v>
      </c>
      <c r="H1942" s="49" t="s">
        <v>2827</v>
      </c>
      <c r="I1942" s="50">
        <v>45296</v>
      </c>
      <c r="M1942" s="49" t="s">
        <v>11902</v>
      </c>
    </row>
    <row r="1943" spans="1:13" x14ac:dyDescent="0.35">
      <c r="A1943" s="49" t="s">
        <v>15185</v>
      </c>
      <c r="B1943" s="49" t="s">
        <v>9424</v>
      </c>
      <c r="C1943" s="49" t="s">
        <v>9425</v>
      </c>
      <c r="D1943" s="49" t="s">
        <v>1264</v>
      </c>
      <c r="E1943" s="49" t="s">
        <v>2785</v>
      </c>
      <c r="F1943" s="49" t="s">
        <v>4048</v>
      </c>
      <c r="G1943" s="49" t="s">
        <v>2776</v>
      </c>
      <c r="H1943" s="49" t="s">
        <v>2827</v>
      </c>
      <c r="I1943" s="50">
        <v>44055</v>
      </c>
      <c r="M1943" s="49" t="s">
        <v>9427</v>
      </c>
    </row>
    <row r="1944" spans="1:13" x14ac:dyDescent="0.35">
      <c r="A1944" s="49" t="s">
        <v>14157</v>
      </c>
      <c r="B1944" s="49" t="s">
        <v>4119</v>
      </c>
      <c r="C1944" s="49" t="s">
        <v>3468</v>
      </c>
      <c r="D1944" s="49" t="s">
        <v>1264</v>
      </c>
      <c r="E1944" s="49" t="s">
        <v>3443</v>
      </c>
      <c r="F1944" s="49" t="s">
        <v>3124</v>
      </c>
      <c r="G1944" s="49" t="s">
        <v>2901</v>
      </c>
      <c r="H1944" s="49" t="s">
        <v>980</v>
      </c>
      <c r="I1944" s="50">
        <v>44069</v>
      </c>
      <c r="J1944" s="50">
        <v>44116</v>
      </c>
      <c r="K1944" s="50">
        <v>45941</v>
      </c>
      <c r="M1944" s="49" t="s">
        <v>4121</v>
      </c>
    </row>
    <row r="1945" spans="1:13" x14ac:dyDescent="0.35">
      <c r="A1945" s="49" t="s">
        <v>14157</v>
      </c>
      <c r="B1945" s="49" t="s">
        <v>4134</v>
      </c>
      <c r="C1945" s="49" t="s">
        <v>4135</v>
      </c>
      <c r="D1945" s="49" t="s">
        <v>1264</v>
      </c>
      <c r="E1945" s="49" t="s">
        <v>2774</v>
      </c>
      <c r="F1945" s="49" t="s">
        <v>2900</v>
      </c>
      <c r="G1945" s="49" t="s">
        <v>2921</v>
      </c>
      <c r="H1945" s="49" t="s">
        <v>835</v>
      </c>
      <c r="I1945" s="50">
        <v>44105</v>
      </c>
      <c r="J1945" s="50">
        <v>44132</v>
      </c>
      <c r="K1945" s="50">
        <v>45592</v>
      </c>
      <c r="M1945" s="49" t="s">
        <v>4136</v>
      </c>
    </row>
    <row r="1946" spans="1:13" x14ac:dyDescent="0.35">
      <c r="A1946" s="49" t="s">
        <v>14157</v>
      </c>
      <c r="B1946" s="49" t="s">
        <v>11908</v>
      </c>
      <c r="C1946" s="49" t="s">
        <v>3135</v>
      </c>
      <c r="D1946" s="49" t="s">
        <v>1264</v>
      </c>
      <c r="E1946" s="49" t="s">
        <v>2974</v>
      </c>
      <c r="F1946" s="49" t="s">
        <v>2825</v>
      </c>
      <c r="G1946" s="49" t="s">
        <v>4891</v>
      </c>
      <c r="H1946" s="49" t="s">
        <v>2827</v>
      </c>
      <c r="I1946" s="50">
        <v>45299</v>
      </c>
      <c r="M1946" s="49" t="s">
        <v>11909</v>
      </c>
    </row>
    <row r="1947" spans="1:13" x14ac:dyDescent="0.35">
      <c r="A1947" s="49" t="s">
        <v>14157</v>
      </c>
      <c r="B1947" s="49" t="s">
        <v>11910</v>
      </c>
      <c r="C1947" s="49" t="s">
        <v>11911</v>
      </c>
      <c r="D1947" s="49" t="s">
        <v>1264</v>
      </c>
      <c r="E1947" s="49" t="s">
        <v>2974</v>
      </c>
      <c r="F1947" s="49" t="s">
        <v>2825</v>
      </c>
      <c r="G1947" s="49" t="s">
        <v>4891</v>
      </c>
      <c r="H1947" s="49" t="s">
        <v>2827</v>
      </c>
      <c r="I1947" s="50">
        <v>45299</v>
      </c>
      <c r="M1947" s="49" t="s">
        <v>11912</v>
      </c>
    </row>
    <row r="1948" spans="1:13" x14ac:dyDescent="0.35">
      <c r="A1948" s="49" t="s">
        <v>14644</v>
      </c>
      <c r="B1948" s="49" t="s">
        <v>12845</v>
      </c>
      <c r="C1948" s="49"/>
      <c r="D1948" s="49" t="s">
        <v>1264</v>
      </c>
      <c r="E1948" s="49" t="s">
        <v>2785</v>
      </c>
      <c r="F1948" s="49" t="s">
        <v>2792</v>
      </c>
      <c r="G1948" s="49" t="s">
        <v>4891</v>
      </c>
      <c r="H1948" s="49" t="s">
        <v>8</v>
      </c>
      <c r="I1948" s="50">
        <v>45805</v>
      </c>
      <c r="M1948" s="49" t="s">
        <v>12847</v>
      </c>
    </row>
    <row r="1949" spans="1:13" x14ac:dyDescent="0.35">
      <c r="A1949" s="49" t="s">
        <v>14355</v>
      </c>
      <c r="B1949" s="49" t="s">
        <v>7483</v>
      </c>
      <c r="C1949" s="49" t="s">
        <v>7484</v>
      </c>
      <c r="D1949" s="49" t="s">
        <v>1264</v>
      </c>
      <c r="E1949" s="49" t="s">
        <v>2908</v>
      </c>
      <c r="F1949" s="49" t="s">
        <v>3010</v>
      </c>
      <c r="G1949" s="49" t="s">
        <v>2787</v>
      </c>
      <c r="H1949" s="49" t="s">
        <v>980</v>
      </c>
      <c r="I1949" s="50">
        <v>37485</v>
      </c>
      <c r="J1949" s="50">
        <v>37701</v>
      </c>
      <c r="K1949" s="50">
        <v>39527</v>
      </c>
      <c r="M1949" s="49" t="s">
        <v>7486</v>
      </c>
    </row>
    <row r="1950" spans="1:13" x14ac:dyDescent="0.35">
      <c r="A1950" s="49" t="s">
        <v>15378</v>
      </c>
      <c r="B1950" s="49" t="s">
        <v>10053</v>
      </c>
      <c r="C1950" s="49" t="s">
        <v>4426</v>
      </c>
      <c r="D1950" s="49" t="s">
        <v>1264</v>
      </c>
      <c r="E1950" s="49" t="s">
        <v>2974</v>
      </c>
      <c r="F1950" s="49" t="s">
        <v>2825</v>
      </c>
      <c r="G1950" s="49" t="s">
        <v>2826</v>
      </c>
      <c r="H1950" s="49" t="s">
        <v>2827</v>
      </c>
      <c r="I1950" s="50">
        <v>44198</v>
      </c>
      <c r="M1950" s="49" t="s">
        <v>10055</v>
      </c>
    </row>
    <row r="1951" spans="1:13" x14ac:dyDescent="0.35">
      <c r="A1951" s="49" t="s">
        <v>15378</v>
      </c>
      <c r="B1951" s="49" t="s">
        <v>10811</v>
      </c>
      <c r="C1951" s="49"/>
      <c r="D1951" s="49" t="s">
        <v>1264</v>
      </c>
      <c r="E1951" s="49" t="s">
        <v>2814</v>
      </c>
      <c r="F1951" s="49" t="s">
        <v>2825</v>
      </c>
      <c r="G1951" s="49" t="s">
        <v>2776</v>
      </c>
      <c r="H1951" s="49" t="s">
        <v>2827</v>
      </c>
      <c r="I1951" s="50">
        <v>44343</v>
      </c>
      <c r="M1951" s="49" t="s">
        <v>10812</v>
      </c>
    </row>
    <row r="1952" spans="1:13" x14ac:dyDescent="0.35">
      <c r="A1952" s="49" t="s">
        <v>12677</v>
      </c>
      <c r="B1952" s="49" t="s">
        <v>10698</v>
      </c>
      <c r="C1952" s="49" t="s">
        <v>6573</v>
      </c>
      <c r="D1952" s="49" t="s">
        <v>1264</v>
      </c>
      <c r="E1952" s="49" t="s">
        <v>2908</v>
      </c>
      <c r="F1952" s="49" t="s">
        <v>3010</v>
      </c>
      <c r="G1952" s="49" t="s">
        <v>4891</v>
      </c>
      <c r="H1952" s="49" t="s">
        <v>980</v>
      </c>
      <c r="I1952" s="50">
        <v>43326</v>
      </c>
      <c r="M1952" s="49" t="s">
        <v>10700</v>
      </c>
    </row>
    <row r="1953" spans="1:13" x14ac:dyDescent="0.35">
      <c r="A1953" s="49" t="s">
        <v>12677</v>
      </c>
      <c r="B1953" s="49" t="s">
        <v>11388</v>
      </c>
      <c r="C1953" s="49"/>
      <c r="D1953" s="49" t="s">
        <v>1264</v>
      </c>
      <c r="E1953" s="49" t="s">
        <v>2974</v>
      </c>
      <c r="F1953" s="49" t="s">
        <v>2825</v>
      </c>
      <c r="G1953" s="49" t="s">
        <v>2776</v>
      </c>
      <c r="H1953" s="49" t="s">
        <v>2827</v>
      </c>
      <c r="I1953" s="50">
        <v>45062</v>
      </c>
      <c r="M1953" s="49" t="s">
        <v>10052</v>
      </c>
    </row>
    <row r="1954" spans="1:13" x14ac:dyDescent="0.35">
      <c r="A1954" s="49" t="s">
        <v>12677</v>
      </c>
      <c r="B1954" s="49" t="s">
        <v>12676</v>
      </c>
      <c r="C1954" s="49"/>
      <c r="D1954" s="49" t="s">
        <v>1264</v>
      </c>
      <c r="E1954" s="49" t="s">
        <v>2986</v>
      </c>
      <c r="F1954" s="49" t="s">
        <v>2825</v>
      </c>
      <c r="G1954" s="49" t="s">
        <v>4891</v>
      </c>
      <c r="H1954" s="49" t="s">
        <v>2827</v>
      </c>
      <c r="I1954" s="50">
        <v>45357</v>
      </c>
      <c r="M1954" s="49" t="s">
        <v>12678</v>
      </c>
    </row>
    <row r="1955" spans="1:13" x14ac:dyDescent="0.35">
      <c r="A1955" s="49" t="s">
        <v>12677</v>
      </c>
      <c r="B1955" s="49" t="s">
        <v>12679</v>
      </c>
      <c r="C1955" s="49"/>
      <c r="D1955" s="49" t="s">
        <v>1264</v>
      </c>
      <c r="E1955" s="49" t="s">
        <v>2986</v>
      </c>
      <c r="F1955" s="49" t="s">
        <v>2825</v>
      </c>
      <c r="G1955" s="49" t="s">
        <v>4891</v>
      </c>
      <c r="H1955" s="49" t="s">
        <v>2827</v>
      </c>
      <c r="I1955" s="50">
        <v>45352</v>
      </c>
      <c r="M1955" s="49" t="s">
        <v>12680</v>
      </c>
    </row>
    <row r="1956" spans="1:13" x14ac:dyDescent="0.35">
      <c r="A1956" s="49" t="s">
        <v>12677</v>
      </c>
      <c r="B1956" s="49" t="s">
        <v>12681</v>
      </c>
      <c r="C1956" s="49"/>
      <c r="D1956" s="49" t="s">
        <v>1264</v>
      </c>
      <c r="E1956" s="49" t="s">
        <v>2986</v>
      </c>
      <c r="F1956" s="49" t="s">
        <v>2825</v>
      </c>
      <c r="G1956" s="49" t="s">
        <v>4891</v>
      </c>
      <c r="H1956" s="49" t="s">
        <v>2827</v>
      </c>
      <c r="I1956" s="50">
        <v>45352</v>
      </c>
      <c r="M1956" s="49" t="s">
        <v>12682</v>
      </c>
    </row>
    <row r="1957" spans="1:13" x14ac:dyDescent="0.35">
      <c r="A1957" s="49" t="s">
        <v>14754</v>
      </c>
      <c r="B1957" s="49" t="s">
        <v>8868</v>
      </c>
      <c r="C1957" s="49"/>
      <c r="D1957" s="49" t="s">
        <v>1264</v>
      </c>
      <c r="E1957" s="49" t="s">
        <v>7057</v>
      </c>
      <c r="F1957" s="49" t="s">
        <v>2825</v>
      </c>
      <c r="G1957" s="49" t="s">
        <v>2776</v>
      </c>
      <c r="H1957" s="49" t="s">
        <v>2827</v>
      </c>
      <c r="I1957" s="50">
        <v>43885</v>
      </c>
      <c r="M1957" s="49" t="s">
        <v>8870</v>
      </c>
    </row>
    <row r="1958" spans="1:13" x14ac:dyDescent="0.35">
      <c r="A1958" s="49" t="s">
        <v>14193</v>
      </c>
      <c r="B1958" s="49" t="s">
        <v>4571</v>
      </c>
      <c r="C1958" s="49" t="s">
        <v>4572</v>
      </c>
      <c r="D1958" s="49" t="s">
        <v>1264</v>
      </c>
      <c r="E1958" s="49" t="s">
        <v>2785</v>
      </c>
      <c r="F1958" s="49" t="s">
        <v>2786</v>
      </c>
      <c r="G1958" s="49" t="s">
        <v>2787</v>
      </c>
      <c r="H1958" s="49" t="s">
        <v>980</v>
      </c>
      <c r="I1958" s="50">
        <v>44378</v>
      </c>
      <c r="J1958" s="50">
        <v>44529</v>
      </c>
      <c r="K1958" s="50">
        <v>45428</v>
      </c>
      <c r="M1958" s="49" t="s">
        <v>4574</v>
      </c>
    </row>
    <row r="1959" spans="1:13" x14ac:dyDescent="0.35">
      <c r="A1959" s="49" t="s">
        <v>14193</v>
      </c>
      <c r="B1959" s="49" t="s">
        <v>7425</v>
      </c>
      <c r="C1959" s="49" t="s">
        <v>7426</v>
      </c>
      <c r="D1959" s="49" t="s">
        <v>1264</v>
      </c>
      <c r="E1959" s="49" t="s">
        <v>2785</v>
      </c>
      <c r="F1959" s="49" t="s">
        <v>2786</v>
      </c>
      <c r="G1959" s="49" t="s">
        <v>2787</v>
      </c>
      <c r="H1959" s="49" t="s">
        <v>980</v>
      </c>
      <c r="I1959" s="50">
        <v>42723</v>
      </c>
      <c r="J1959" s="50">
        <v>43256</v>
      </c>
      <c r="K1959" s="50">
        <v>43438</v>
      </c>
      <c r="M1959" s="49" t="s">
        <v>7427</v>
      </c>
    </row>
    <row r="1960" spans="1:13" x14ac:dyDescent="0.35">
      <c r="A1960" s="49" t="s">
        <v>15160</v>
      </c>
      <c r="B1960" s="49" t="s">
        <v>13502</v>
      </c>
      <c r="C1960" s="49" t="s">
        <v>13503</v>
      </c>
      <c r="D1960" s="49" t="s">
        <v>1264</v>
      </c>
      <c r="E1960" s="49" t="s">
        <v>3443</v>
      </c>
      <c r="F1960" s="49" t="s">
        <v>3124</v>
      </c>
      <c r="G1960" s="49" t="s">
        <v>4891</v>
      </c>
      <c r="H1960" s="49" t="s">
        <v>980</v>
      </c>
      <c r="I1960" s="52">
        <v>46146.618136574099</v>
      </c>
    </row>
    <row r="1961" spans="1:13" x14ac:dyDescent="0.35">
      <c r="A1961" s="49" t="s">
        <v>15186</v>
      </c>
      <c r="B1961" s="49" t="s">
        <v>8940</v>
      </c>
      <c r="C1961" s="49"/>
      <c r="D1961" s="49" t="s">
        <v>1264</v>
      </c>
      <c r="E1961" s="49" t="s">
        <v>2814</v>
      </c>
      <c r="F1961" s="49" t="s">
        <v>2825</v>
      </c>
      <c r="G1961" s="49" t="s">
        <v>2787</v>
      </c>
      <c r="H1961" s="49" t="s">
        <v>2827</v>
      </c>
      <c r="I1961" s="50">
        <v>43228</v>
      </c>
      <c r="J1961" s="50">
        <v>43236</v>
      </c>
      <c r="K1961" s="50">
        <v>43420</v>
      </c>
      <c r="M1961" s="49" t="s">
        <v>8942</v>
      </c>
    </row>
    <row r="1962" spans="1:13" x14ac:dyDescent="0.35">
      <c r="A1962" s="49" t="s">
        <v>8505</v>
      </c>
      <c r="B1962" s="49" t="s">
        <v>8503</v>
      </c>
      <c r="C1962" s="49" t="s">
        <v>8504</v>
      </c>
      <c r="D1962" s="49" t="s">
        <v>1264</v>
      </c>
      <c r="E1962" s="49" t="s">
        <v>2986</v>
      </c>
      <c r="F1962" s="49" t="s">
        <v>2825</v>
      </c>
      <c r="G1962" s="49" t="s">
        <v>2787</v>
      </c>
      <c r="H1962" s="49" t="s">
        <v>2827</v>
      </c>
      <c r="I1962" s="50">
        <v>42766</v>
      </c>
      <c r="J1962" s="50">
        <v>42940</v>
      </c>
      <c r="K1962" s="50">
        <v>44036</v>
      </c>
      <c r="M1962" s="49" t="s">
        <v>3270</v>
      </c>
    </row>
    <row r="1963" spans="1:13" x14ac:dyDescent="0.35">
      <c r="A1963" s="49" t="s">
        <v>14247</v>
      </c>
      <c r="B1963" s="49" t="s">
        <v>5655</v>
      </c>
      <c r="C1963" s="49" t="s">
        <v>5656</v>
      </c>
      <c r="D1963" s="49" t="s">
        <v>1264</v>
      </c>
      <c r="E1963" s="49" t="s">
        <v>2774</v>
      </c>
      <c r="F1963" s="49" t="s">
        <v>2825</v>
      </c>
      <c r="G1963" s="49" t="s">
        <v>2901</v>
      </c>
      <c r="H1963" s="49" t="s">
        <v>2827</v>
      </c>
      <c r="I1963" s="50">
        <v>44691</v>
      </c>
      <c r="J1963" s="50">
        <v>45113</v>
      </c>
      <c r="K1963" s="50">
        <v>46573</v>
      </c>
      <c r="M1963" s="49" t="s">
        <v>5658</v>
      </c>
    </row>
    <row r="1964" spans="1:13" x14ac:dyDescent="0.35">
      <c r="A1964" s="49" t="s">
        <v>14247</v>
      </c>
      <c r="B1964" s="49" t="s">
        <v>6659</v>
      </c>
      <c r="C1964" s="49" t="s">
        <v>6660</v>
      </c>
      <c r="D1964" s="49" t="s">
        <v>1264</v>
      </c>
      <c r="E1964" s="49" t="s">
        <v>2774</v>
      </c>
      <c r="F1964" s="49" t="s">
        <v>4842</v>
      </c>
      <c r="G1964" s="49" t="s">
        <v>2901</v>
      </c>
      <c r="H1964" s="49" t="s">
        <v>2827</v>
      </c>
      <c r="I1964" s="50">
        <v>44837</v>
      </c>
      <c r="J1964" s="50">
        <v>44956</v>
      </c>
      <c r="K1964" s="50">
        <v>46416</v>
      </c>
      <c r="M1964" s="49" t="s">
        <v>6661</v>
      </c>
    </row>
    <row r="1965" spans="1:13" x14ac:dyDescent="0.35">
      <c r="A1965" s="49" t="s">
        <v>14247</v>
      </c>
      <c r="B1965" s="49" t="s">
        <v>10475</v>
      </c>
      <c r="C1965" s="49" t="s">
        <v>10476</v>
      </c>
      <c r="D1965" s="49" t="s">
        <v>1264</v>
      </c>
      <c r="E1965" s="49" t="s">
        <v>2814</v>
      </c>
      <c r="F1965" s="49" t="s">
        <v>2837</v>
      </c>
      <c r="G1965" s="49" t="s">
        <v>2776</v>
      </c>
      <c r="H1965" s="49" t="s">
        <v>980</v>
      </c>
      <c r="I1965" s="50">
        <v>43264</v>
      </c>
      <c r="M1965" s="49" t="s">
        <v>3470</v>
      </c>
    </row>
    <row r="1966" spans="1:13" x14ac:dyDescent="0.35">
      <c r="A1966" s="49" t="s">
        <v>371</v>
      </c>
      <c r="B1966" s="49" t="s">
        <v>13569</v>
      </c>
      <c r="C1966" s="49"/>
      <c r="D1966" s="49" t="s">
        <v>1264</v>
      </c>
      <c r="E1966" s="49" t="s">
        <v>2986</v>
      </c>
      <c r="F1966" s="49" t="s">
        <v>2825</v>
      </c>
      <c r="G1966" s="49" t="s">
        <v>4891</v>
      </c>
      <c r="H1966" s="49" t="s">
        <v>2827</v>
      </c>
      <c r="I1966" s="52">
        <v>46126.525277777801</v>
      </c>
      <c r="M1966" s="49" t="s">
        <v>13571</v>
      </c>
    </row>
    <row r="1967" spans="1:13" x14ac:dyDescent="0.35">
      <c r="A1967" s="49" t="s">
        <v>371</v>
      </c>
      <c r="B1967" s="49" t="s">
        <v>11660</v>
      </c>
      <c r="C1967" s="49" t="s">
        <v>4817</v>
      </c>
      <c r="D1967" s="49" t="s">
        <v>1264</v>
      </c>
      <c r="E1967" s="49" t="s">
        <v>2986</v>
      </c>
      <c r="F1967" s="49" t="s">
        <v>2825</v>
      </c>
      <c r="G1967" s="49" t="s">
        <v>2776</v>
      </c>
      <c r="H1967" s="49" t="s">
        <v>2827</v>
      </c>
      <c r="I1967" s="50">
        <v>45215</v>
      </c>
      <c r="M1967" s="49" t="s">
        <v>11662</v>
      </c>
    </row>
    <row r="1968" spans="1:13" x14ac:dyDescent="0.35">
      <c r="A1968" s="49" t="s">
        <v>371</v>
      </c>
      <c r="B1968" s="49" t="s">
        <v>11665</v>
      </c>
      <c r="C1968" s="49" t="s">
        <v>4809</v>
      </c>
      <c r="D1968" s="49" t="s">
        <v>1264</v>
      </c>
      <c r="E1968" s="49" t="s">
        <v>2986</v>
      </c>
      <c r="F1968" s="49" t="s">
        <v>2825</v>
      </c>
      <c r="G1968" s="49" t="s">
        <v>2776</v>
      </c>
      <c r="H1968" s="49" t="s">
        <v>973</v>
      </c>
      <c r="I1968" s="50">
        <v>45224</v>
      </c>
      <c r="M1968" s="49" t="s">
        <v>11666</v>
      </c>
    </row>
    <row r="1969" spans="1:13" x14ac:dyDescent="0.35">
      <c r="A1969" s="49" t="s">
        <v>371</v>
      </c>
      <c r="B1969" s="49" t="s">
        <v>11670</v>
      </c>
      <c r="C1969" s="49" t="s">
        <v>4877</v>
      </c>
      <c r="D1969" s="49" t="s">
        <v>1264</v>
      </c>
      <c r="E1969" s="49" t="s">
        <v>2986</v>
      </c>
      <c r="F1969" s="49" t="s">
        <v>2825</v>
      </c>
      <c r="G1969" s="49" t="s">
        <v>2776</v>
      </c>
      <c r="H1969" s="49" t="s">
        <v>973</v>
      </c>
      <c r="I1969" s="50">
        <v>45215</v>
      </c>
      <c r="M1969" s="49" t="s">
        <v>11671</v>
      </c>
    </row>
    <row r="1970" spans="1:13" x14ac:dyDescent="0.35">
      <c r="A1970" s="49" t="s">
        <v>371</v>
      </c>
      <c r="B1970" s="49" t="s">
        <v>11672</v>
      </c>
      <c r="C1970" s="49" t="s">
        <v>11575</v>
      </c>
      <c r="D1970" s="49" t="s">
        <v>1264</v>
      </c>
      <c r="E1970" s="49" t="s">
        <v>2986</v>
      </c>
      <c r="F1970" s="49" t="s">
        <v>2825</v>
      </c>
      <c r="G1970" s="49" t="s">
        <v>4891</v>
      </c>
      <c r="H1970" s="49" t="s">
        <v>973</v>
      </c>
      <c r="I1970" s="50">
        <v>45224</v>
      </c>
      <c r="M1970" s="49" t="s">
        <v>11673</v>
      </c>
    </row>
    <row r="1971" spans="1:13" x14ac:dyDescent="0.35">
      <c r="A1971" s="49" t="s">
        <v>371</v>
      </c>
      <c r="B1971" s="49" t="s">
        <v>11682</v>
      </c>
      <c r="C1971" s="49" t="s">
        <v>5865</v>
      </c>
      <c r="D1971" s="49" t="s">
        <v>1264</v>
      </c>
      <c r="E1971" s="49" t="s">
        <v>2986</v>
      </c>
      <c r="F1971" s="49" t="s">
        <v>2825</v>
      </c>
      <c r="G1971" s="49" t="s">
        <v>2776</v>
      </c>
      <c r="H1971" s="49" t="s">
        <v>973</v>
      </c>
      <c r="I1971" s="50">
        <v>45224</v>
      </c>
      <c r="M1971" s="49" t="s">
        <v>11673</v>
      </c>
    </row>
    <row r="1972" spans="1:13" x14ac:dyDescent="0.35">
      <c r="A1972" s="49" t="s">
        <v>371</v>
      </c>
      <c r="B1972" s="49" t="s">
        <v>11683</v>
      </c>
      <c r="C1972" s="49" t="s">
        <v>6542</v>
      </c>
      <c r="D1972" s="49" t="s">
        <v>1264</v>
      </c>
      <c r="E1972" s="49" t="s">
        <v>2986</v>
      </c>
      <c r="F1972" s="49" t="s">
        <v>2825</v>
      </c>
      <c r="G1972" s="49" t="s">
        <v>2776</v>
      </c>
      <c r="H1972" s="49" t="s">
        <v>973</v>
      </c>
      <c r="I1972" s="50">
        <v>45224</v>
      </c>
      <c r="M1972" s="49" t="s">
        <v>11684</v>
      </c>
    </row>
    <row r="1973" spans="1:13" x14ac:dyDescent="0.35">
      <c r="A1973" s="49" t="s">
        <v>371</v>
      </c>
      <c r="B1973" s="49" t="s">
        <v>11964</v>
      </c>
      <c r="C1973" s="49" t="s">
        <v>11965</v>
      </c>
      <c r="D1973" s="49" t="s">
        <v>1264</v>
      </c>
      <c r="E1973" s="49" t="s">
        <v>2986</v>
      </c>
      <c r="F1973" s="49" t="s">
        <v>2825</v>
      </c>
      <c r="G1973" s="49" t="s">
        <v>2776</v>
      </c>
      <c r="H1973" s="49" t="s">
        <v>973</v>
      </c>
      <c r="I1973" s="50">
        <v>45258</v>
      </c>
      <c r="M1973" s="49" t="s">
        <v>11966</v>
      </c>
    </row>
    <row r="1974" spans="1:13" x14ac:dyDescent="0.35">
      <c r="A1974" s="49" t="s">
        <v>14445</v>
      </c>
      <c r="B1974" s="49" t="s">
        <v>8624</v>
      </c>
      <c r="C1974" s="49" t="s">
        <v>8625</v>
      </c>
      <c r="D1974" s="49" t="s">
        <v>1264</v>
      </c>
      <c r="E1974" s="49" t="s">
        <v>2908</v>
      </c>
      <c r="F1974" s="49" t="s">
        <v>3010</v>
      </c>
      <c r="G1974" s="49" t="s">
        <v>2787</v>
      </c>
      <c r="H1974" s="49" t="s">
        <v>980</v>
      </c>
      <c r="I1974" s="50">
        <v>41074</v>
      </c>
      <c r="J1974" s="50">
        <v>41576</v>
      </c>
      <c r="K1974" s="50">
        <v>43401</v>
      </c>
      <c r="M1974" s="49" t="s">
        <v>8627</v>
      </c>
    </row>
    <row r="1975" spans="1:13" x14ac:dyDescent="0.35">
      <c r="A1975" s="49" t="s">
        <v>14698</v>
      </c>
      <c r="B1975" s="49" t="s">
        <v>2866</v>
      </c>
      <c r="C1975" s="49" t="s">
        <v>2867</v>
      </c>
      <c r="D1975" s="49" t="s">
        <v>1264</v>
      </c>
      <c r="E1975" s="49" t="s">
        <v>2785</v>
      </c>
      <c r="F1975" s="49" t="s">
        <v>2792</v>
      </c>
      <c r="G1975" s="49" t="s">
        <v>2787</v>
      </c>
      <c r="H1975" s="49" t="s">
        <v>8</v>
      </c>
      <c r="I1975" s="50">
        <v>41747</v>
      </c>
      <c r="J1975" s="50">
        <v>41863</v>
      </c>
      <c r="K1975" s="50">
        <v>42046</v>
      </c>
      <c r="M1975" s="49" t="s">
        <v>2869</v>
      </c>
    </row>
    <row r="1976" spans="1:13" x14ac:dyDescent="0.35">
      <c r="A1976" s="49" t="s">
        <v>14928</v>
      </c>
      <c r="B1976" s="49" t="s">
        <v>12419</v>
      </c>
      <c r="C1976" s="49" t="s">
        <v>3075</v>
      </c>
      <c r="D1976" s="49" t="s">
        <v>1264</v>
      </c>
      <c r="E1976" s="49" t="s">
        <v>2908</v>
      </c>
      <c r="F1976" s="49" t="s">
        <v>2837</v>
      </c>
      <c r="G1976" s="49" t="s">
        <v>4891</v>
      </c>
      <c r="H1976" s="49" t="s">
        <v>2827</v>
      </c>
      <c r="I1976" s="50">
        <v>45406</v>
      </c>
      <c r="M1976" s="49" t="s">
        <v>12421</v>
      </c>
    </row>
    <row r="1977" spans="1:13" x14ac:dyDescent="0.35">
      <c r="A1977" s="49" t="s">
        <v>446</v>
      </c>
      <c r="B1977" s="49" t="s">
        <v>8525</v>
      </c>
      <c r="C1977" s="49" t="s">
        <v>8526</v>
      </c>
      <c r="D1977" s="49" t="s">
        <v>1264</v>
      </c>
      <c r="E1977" s="49" t="s">
        <v>2908</v>
      </c>
      <c r="F1977" s="49" t="s">
        <v>2939</v>
      </c>
      <c r="G1977" s="49" t="s">
        <v>2787</v>
      </c>
      <c r="H1977" s="49" t="s">
        <v>3229</v>
      </c>
      <c r="I1977" s="50">
        <v>41338</v>
      </c>
      <c r="J1977" s="50">
        <v>41509</v>
      </c>
      <c r="K1977" s="50">
        <v>43334</v>
      </c>
      <c r="M1977" s="49" t="s">
        <v>8528</v>
      </c>
    </row>
    <row r="1978" spans="1:13" x14ac:dyDescent="0.35">
      <c r="A1978" s="49" t="s">
        <v>446</v>
      </c>
      <c r="B1978" s="49" t="s">
        <v>10786</v>
      </c>
      <c r="C1978" s="49" t="s">
        <v>4025</v>
      </c>
      <c r="D1978" s="49" t="s">
        <v>1264</v>
      </c>
      <c r="E1978" s="49" t="s">
        <v>2785</v>
      </c>
      <c r="F1978" s="49" t="s">
        <v>2792</v>
      </c>
      <c r="G1978" s="49" t="s">
        <v>2776</v>
      </c>
      <c r="H1978" s="49" t="s">
        <v>8</v>
      </c>
      <c r="I1978" s="50">
        <v>41551</v>
      </c>
      <c r="M1978" s="49" t="s">
        <v>7920</v>
      </c>
    </row>
    <row r="1979" spans="1:13" x14ac:dyDescent="0.35">
      <c r="A1979" s="49" t="s">
        <v>14530</v>
      </c>
      <c r="B1979" s="49" t="s">
        <v>9847</v>
      </c>
      <c r="C1979" s="49" t="s">
        <v>9848</v>
      </c>
      <c r="D1979" s="49" t="s">
        <v>1264</v>
      </c>
      <c r="E1979" s="49" t="s">
        <v>2785</v>
      </c>
      <c r="F1979" s="49" t="s">
        <v>2792</v>
      </c>
      <c r="G1979" s="49" t="s">
        <v>2776</v>
      </c>
      <c r="H1979" s="49" t="s">
        <v>8</v>
      </c>
      <c r="I1979" s="50">
        <v>42037</v>
      </c>
      <c r="M1979" s="49" t="s">
        <v>9850</v>
      </c>
    </row>
    <row r="1980" spans="1:13" x14ac:dyDescent="0.35">
      <c r="A1980" s="49" t="s">
        <v>14748</v>
      </c>
      <c r="B1980" s="49" t="s">
        <v>8740</v>
      </c>
      <c r="C1980" s="49" t="s">
        <v>6999</v>
      </c>
      <c r="D1980" s="49" t="s">
        <v>1264</v>
      </c>
      <c r="E1980" s="49" t="s">
        <v>2785</v>
      </c>
      <c r="F1980" s="49" t="s">
        <v>2792</v>
      </c>
      <c r="G1980" s="49" t="s">
        <v>2776</v>
      </c>
      <c r="H1980" s="49" t="s">
        <v>8</v>
      </c>
      <c r="I1980" s="50">
        <v>40954</v>
      </c>
      <c r="M1980" s="49" t="s">
        <v>8742</v>
      </c>
    </row>
    <row r="1981" spans="1:13" x14ac:dyDescent="0.35">
      <c r="A1981" s="49" t="s">
        <v>840</v>
      </c>
      <c r="B1981" s="49" t="s">
        <v>7407</v>
      </c>
      <c r="C1981" s="49" t="s">
        <v>7408</v>
      </c>
      <c r="D1981" s="49" t="s">
        <v>1264</v>
      </c>
      <c r="E1981" s="49" t="s">
        <v>2785</v>
      </c>
      <c r="F1981" s="49" t="s">
        <v>2792</v>
      </c>
      <c r="G1981" s="49" t="s">
        <v>2787</v>
      </c>
      <c r="H1981" s="49" t="s">
        <v>8</v>
      </c>
      <c r="I1981" s="50">
        <v>42242</v>
      </c>
      <c r="J1981" s="50">
        <v>42148</v>
      </c>
      <c r="K1981" s="50">
        <v>42331</v>
      </c>
      <c r="M1981" s="49" t="s">
        <v>7409</v>
      </c>
    </row>
    <row r="1982" spans="1:13" x14ac:dyDescent="0.35">
      <c r="A1982" s="49" t="s">
        <v>14710</v>
      </c>
      <c r="B1982" s="49" t="s">
        <v>6986</v>
      </c>
      <c r="C1982" s="49" t="s">
        <v>6987</v>
      </c>
      <c r="D1982" s="49" t="s">
        <v>1264</v>
      </c>
      <c r="E1982" s="49" t="s">
        <v>2908</v>
      </c>
      <c r="F1982" s="49" t="s">
        <v>3010</v>
      </c>
      <c r="G1982" s="49" t="s">
        <v>2826</v>
      </c>
      <c r="H1982" s="49" t="s">
        <v>980</v>
      </c>
      <c r="I1982" s="50">
        <v>26838</v>
      </c>
      <c r="J1982" s="50">
        <v>27711</v>
      </c>
      <c r="M1982" s="49" t="s">
        <v>3477</v>
      </c>
    </row>
    <row r="1983" spans="1:13" x14ac:dyDescent="0.35">
      <c r="A1983" s="49" t="s">
        <v>14710</v>
      </c>
      <c r="B1983" s="49" t="s">
        <v>8005</v>
      </c>
      <c r="C1983" s="49" t="s">
        <v>8006</v>
      </c>
      <c r="D1983" s="49" t="s">
        <v>1264</v>
      </c>
      <c r="E1983" s="49" t="s">
        <v>2908</v>
      </c>
      <c r="F1983" s="49" t="s">
        <v>3010</v>
      </c>
      <c r="G1983" s="49" t="s">
        <v>2826</v>
      </c>
      <c r="H1983" s="49" t="s">
        <v>980</v>
      </c>
      <c r="I1983" s="50">
        <v>29124</v>
      </c>
      <c r="J1983" s="50">
        <v>31877</v>
      </c>
      <c r="K1983" s="50">
        <v>39024</v>
      </c>
      <c r="M1983" s="49" t="s">
        <v>8007</v>
      </c>
    </row>
    <row r="1984" spans="1:13" x14ac:dyDescent="0.35">
      <c r="A1984" s="49" t="s">
        <v>14710</v>
      </c>
      <c r="B1984" s="49" t="s">
        <v>8455</v>
      </c>
      <c r="C1984" s="49" t="s">
        <v>8456</v>
      </c>
      <c r="D1984" s="49" t="s">
        <v>1264</v>
      </c>
      <c r="E1984" s="49" t="s">
        <v>2908</v>
      </c>
      <c r="F1984" s="49" t="s">
        <v>3010</v>
      </c>
      <c r="G1984" s="49" t="s">
        <v>2826</v>
      </c>
      <c r="H1984" s="49" t="s">
        <v>980</v>
      </c>
      <c r="I1984" s="50">
        <v>29011</v>
      </c>
      <c r="J1984" s="50">
        <v>29126</v>
      </c>
      <c r="K1984" s="50">
        <v>30952</v>
      </c>
      <c r="M1984" s="49" t="s">
        <v>3477</v>
      </c>
    </row>
    <row r="1985" spans="1:13" x14ac:dyDescent="0.35">
      <c r="A1985" s="49" t="s">
        <v>14423</v>
      </c>
      <c r="B1985" s="49" t="s">
        <v>8347</v>
      </c>
      <c r="C1985" s="49" t="s">
        <v>8348</v>
      </c>
      <c r="D1985" s="49" t="s">
        <v>1264</v>
      </c>
      <c r="E1985" s="49" t="s">
        <v>7057</v>
      </c>
      <c r="F1985" s="49" t="s">
        <v>2825</v>
      </c>
      <c r="G1985" s="49" t="s">
        <v>2787</v>
      </c>
      <c r="H1985" s="49" t="s">
        <v>2827</v>
      </c>
      <c r="I1985" s="50">
        <v>41719</v>
      </c>
      <c r="J1985" s="50">
        <v>41808</v>
      </c>
      <c r="K1985" s="50">
        <v>42565</v>
      </c>
      <c r="M1985" s="49" t="s">
        <v>8350</v>
      </c>
    </row>
    <row r="1986" spans="1:13" x14ac:dyDescent="0.35">
      <c r="A1986" s="49" t="s">
        <v>9123</v>
      </c>
      <c r="B1986" s="49" t="s">
        <v>9121</v>
      </c>
      <c r="C1986" s="49" t="s">
        <v>9122</v>
      </c>
      <c r="D1986" s="49" t="s">
        <v>1264</v>
      </c>
      <c r="E1986" s="49" t="s">
        <v>2774</v>
      </c>
      <c r="F1986" s="49" t="s">
        <v>2900</v>
      </c>
      <c r="G1986" s="49" t="s">
        <v>2776</v>
      </c>
      <c r="H1986" s="49" t="s">
        <v>3207</v>
      </c>
      <c r="I1986" s="50">
        <v>42111</v>
      </c>
      <c r="M1986" s="49" t="s">
        <v>9124</v>
      </c>
    </row>
    <row r="1987" spans="1:13" x14ac:dyDescent="0.35">
      <c r="A1987" s="49" t="s">
        <v>9123</v>
      </c>
      <c r="B1987" s="49" t="s">
        <v>13616</v>
      </c>
      <c r="C1987" s="49"/>
      <c r="D1987" s="49" t="s">
        <v>1264</v>
      </c>
      <c r="E1987" s="49" t="s">
        <v>2774</v>
      </c>
      <c r="F1987" s="49" t="s">
        <v>3648</v>
      </c>
      <c r="G1987" s="49" t="s">
        <v>2776</v>
      </c>
      <c r="H1987" s="49" t="s">
        <v>980</v>
      </c>
      <c r="I1987" s="50">
        <v>41845</v>
      </c>
      <c r="M1987" s="49" t="s">
        <v>13618</v>
      </c>
    </row>
    <row r="1988" spans="1:13" x14ac:dyDescent="0.35">
      <c r="A1988" s="49" t="s">
        <v>9123</v>
      </c>
      <c r="B1988" s="49" t="s">
        <v>13948</v>
      </c>
      <c r="C1988" s="49" t="s">
        <v>13949</v>
      </c>
      <c r="D1988" s="49" t="s">
        <v>1264</v>
      </c>
      <c r="E1988" s="49" t="s">
        <v>2774</v>
      </c>
      <c r="F1988" s="49" t="s">
        <v>3648</v>
      </c>
      <c r="G1988" s="49" t="s">
        <v>2776</v>
      </c>
      <c r="H1988" s="49" t="s">
        <v>980</v>
      </c>
      <c r="I1988" s="50">
        <v>42118</v>
      </c>
      <c r="M1988" s="49" t="s">
        <v>13950</v>
      </c>
    </row>
    <row r="1989" spans="1:13" x14ac:dyDescent="0.35">
      <c r="A1989" s="49" t="s">
        <v>14693</v>
      </c>
      <c r="B1989" s="49" t="s">
        <v>13995</v>
      </c>
      <c r="C1989" s="49" t="s">
        <v>3420</v>
      </c>
      <c r="D1989" s="49" t="s">
        <v>1264</v>
      </c>
      <c r="E1989" s="49" t="s">
        <v>2908</v>
      </c>
      <c r="F1989" s="49" t="s">
        <v>2939</v>
      </c>
      <c r="G1989" s="49" t="s">
        <v>2776</v>
      </c>
      <c r="H1989" s="49" t="s">
        <v>980</v>
      </c>
      <c r="I1989" s="50">
        <v>41878</v>
      </c>
      <c r="M1989" s="49" t="s">
        <v>13997</v>
      </c>
    </row>
    <row r="1990" spans="1:13" x14ac:dyDescent="0.35">
      <c r="A1990" s="49" t="s">
        <v>14269</v>
      </c>
      <c r="B1990" s="49" t="s">
        <v>6123</v>
      </c>
      <c r="C1990" s="49" t="s">
        <v>6124</v>
      </c>
      <c r="D1990" s="49" t="s">
        <v>1264</v>
      </c>
      <c r="E1990" s="49" t="s">
        <v>2785</v>
      </c>
      <c r="F1990" s="49" t="s">
        <v>2792</v>
      </c>
      <c r="G1990" s="49" t="s">
        <v>4330</v>
      </c>
      <c r="H1990" s="49" t="s">
        <v>8</v>
      </c>
      <c r="I1990" s="50">
        <v>45278</v>
      </c>
      <c r="M1990" s="49" t="s">
        <v>6126</v>
      </c>
    </row>
    <row r="1991" spans="1:13" x14ac:dyDescent="0.35">
      <c r="A1991" s="49" t="s">
        <v>14237</v>
      </c>
      <c r="B1991" s="49" t="s">
        <v>5421</v>
      </c>
      <c r="C1991" s="49"/>
      <c r="D1991" s="49" t="s">
        <v>1264</v>
      </c>
      <c r="E1991" s="49" t="s">
        <v>2785</v>
      </c>
      <c r="F1991" s="49" t="s">
        <v>5423</v>
      </c>
      <c r="G1991" s="49" t="s">
        <v>4330</v>
      </c>
      <c r="H1991" s="49" t="s">
        <v>2806</v>
      </c>
      <c r="I1991" s="50">
        <v>45006</v>
      </c>
      <c r="M1991" s="49" t="s">
        <v>5424</v>
      </c>
    </row>
    <row r="1992" spans="1:13" x14ac:dyDescent="0.35">
      <c r="A1992" s="49" t="s">
        <v>14237</v>
      </c>
      <c r="B1992" s="49" t="s">
        <v>5677</v>
      </c>
      <c r="C1992" s="49" t="s">
        <v>5678</v>
      </c>
      <c r="D1992" s="49" t="s">
        <v>1264</v>
      </c>
      <c r="E1992" s="49" t="s">
        <v>2785</v>
      </c>
      <c r="F1992" s="49" t="s">
        <v>2786</v>
      </c>
      <c r="G1992" s="49" t="s">
        <v>4330</v>
      </c>
      <c r="H1992" s="49" t="s">
        <v>973</v>
      </c>
      <c r="I1992" s="50">
        <v>45085</v>
      </c>
      <c r="M1992" s="49" t="s">
        <v>5679</v>
      </c>
    </row>
    <row r="1993" spans="1:13" x14ac:dyDescent="0.35">
      <c r="A1993" s="49" t="s">
        <v>14237</v>
      </c>
      <c r="B1993" s="49" t="s">
        <v>6249</v>
      </c>
      <c r="C1993" s="49" t="s">
        <v>6250</v>
      </c>
      <c r="D1993" s="49" t="s">
        <v>1264</v>
      </c>
      <c r="E1993" s="49" t="s">
        <v>2785</v>
      </c>
      <c r="F1993" s="49" t="s">
        <v>2786</v>
      </c>
      <c r="G1993" s="49" t="s">
        <v>4330</v>
      </c>
      <c r="H1993" s="49" t="s">
        <v>4225</v>
      </c>
      <c r="I1993" s="50">
        <v>45299</v>
      </c>
      <c r="M1993" s="49" t="s">
        <v>6251</v>
      </c>
    </row>
    <row r="1994" spans="1:13" x14ac:dyDescent="0.35">
      <c r="A1994" s="49" t="s">
        <v>14237</v>
      </c>
      <c r="B1994" s="49" t="s">
        <v>12557</v>
      </c>
      <c r="C1994" s="49" t="s">
        <v>12558</v>
      </c>
      <c r="D1994" s="49" t="s">
        <v>1264</v>
      </c>
      <c r="E1994" s="49" t="s">
        <v>2785</v>
      </c>
      <c r="F1994" s="49" t="s">
        <v>2786</v>
      </c>
      <c r="G1994" s="49" t="s">
        <v>4891</v>
      </c>
      <c r="H1994" s="49" t="s">
        <v>4225</v>
      </c>
      <c r="I1994" s="50">
        <v>45446</v>
      </c>
      <c r="M1994" s="49" t="s">
        <v>12559</v>
      </c>
    </row>
    <row r="1995" spans="1:13" x14ac:dyDescent="0.35">
      <c r="A1995" s="49" t="s">
        <v>14641</v>
      </c>
      <c r="B1995" s="49" t="s">
        <v>12722</v>
      </c>
      <c r="C1995" s="49" t="s">
        <v>12723</v>
      </c>
      <c r="D1995" s="49" t="s">
        <v>1264</v>
      </c>
      <c r="E1995" s="49" t="s">
        <v>2785</v>
      </c>
      <c r="F1995" s="49" t="s">
        <v>2786</v>
      </c>
      <c r="G1995" s="49" t="s">
        <v>4891</v>
      </c>
      <c r="H1995" s="49" t="s">
        <v>973</v>
      </c>
      <c r="I1995" s="50">
        <v>45477</v>
      </c>
      <c r="M1995" s="49" t="s">
        <v>12725</v>
      </c>
    </row>
    <row r="1996" spans="1:13" x14ac:dyDescent="0.35">
      <c r="A1996" s="49" t="s">
        <v>15187</v>
      </c>
      <c r="B1996" s="49" t="s">
        <v>11880</v>
      </c>
      <c r="C1996" s="49" t="s">
        <v>3021</v>
      </c>
      <c r="D1996" s="49" t="s">
        <v>1264</v>
      </c>
      <c r="E1996" s="49" t="s">
        <v>2785</v>
      </c>
      <c r="F1996" s="49" t="s">
        <v>2805</v>
      </c>
      <c r="G1996" s="49" t="s">
        <v>2776</v>
      </c>
      <c r="H1996" s="49" t="s">
        <v>2832</v>
      </c>
      <c r="I1996" s="50">
        <v>45243</v>
      </c>
      <c r="M1996" s="49" t="s">
        <v>6709</v>
      </c>
    </row>
    <row r="1997" spans="1:13" x14ac:dyDescent="0.35">
      <c r="A1997" s="49" t="s">
        <v>10565</v>
      </c>
      <c r="B1997" s="49" t="s">
        <v>10564</v>
      </c>
      <c r="C1997" s="49"/>
      <c r="D1997" s="49" t="s">
        <v>1264</v>
      </c>
      <c r="E1997" s="49" t="s">
        <v>2814</v>
      </c>
      <c r="F1997" s="49" t="s">
        <v>2825</v>
      </c>
      <c r="G1997" s="49" t="s">
        <v>2776</v>
      </c>
      <c r="H1997" s="49" t="s">
        <v>2827</v>
      </c>
      <c r="I1997" s="50">
        <v>42319</v>
      </c>
      <c r="M1997" s="49" t="s">
        <v>3470</v>
      </c>
    </row>
    <row r="1998" spans="1:13" x14ac:dyDescent="0.35">
      <c r="A1998" s="49" t="s">
        <v>15008</v>
      </c>
      <c r="B1998" s="49" t="s">
        <v>3250</v>
      </c>
      <c r="C1998" s="49" t="s">
        <v>3251</v>
      </c>
      <c r="D1998" s="49" t="s">
        <v>1264</v>
      </c>
      <c r="E1998" s="49" t="s">
        <v>2774</v>
      </c>
      <c r="F1998" s="49" t="s">
        <v>3253</v>
      </c>
      <c r="G1998" s="49" t="s">
        <v>2787</v>
      </c>
      <c r="H1998" s="49" t="s">
        <v>2827</v>
      </c>
      <c r="I1998" s="50">
        <v>41239</v>
      </c>
      <c r="J1998" s="50">
        <v>41467</v>
      </c>
      <c r="K1998" s="50">
        <v>42562</v>
      </c>
      <c r="M1998" s="49" t="s">
        <v>3254</v>
      </c>
    </row>
    <row r="1999" spans="1:13" x14ac:dyDescent="0.35">
      <c r="A1999" s="49" t="s">
        <v>15379</v>
      </c>
      <c r="B1999" s="49" t="s">
        <v>9665</v>
      </c>
      <c r="C1999" s="49"/>
      <c r="D1999" s="49" t="s">
        <v>1264</v>
      </c>
      <c r="E1999" s="49" t="s">
        <v>2908</v>
      </c>
      <c r="F1999" s="49" t="s">
        <v>2939</v>
      </c>
      <c r="G1999" s="49" t="s">
        <v>2776</v>
      </c>
      <c r="H1999" s="49" t="s">
        <v>980</v>
      </c>
      <c r="I1999" s="50">
        <v>42429</v>
      </c>
      <c r="M1999" s="49" t="s">
        <v>4340</v>
      </c>
    </row>
    <row r="2000" spans="1:13" x14ac:dyDescent="0.35">
      <c r="A2000" s="49" t="s">
        <v>15188</v>
      </c>
      <c r="B2000" s="49" t="s">
        <v>5502</v>
      </c>
      <c r="C2000" s="49" t="s">
        <v>5503</v>
      </c>
      <c r="D2000" s="49" t="s">
        <v>1264</v>
      </c>
      <c r="E2000" s="49" t="s">
        <v>2785</v>
      </c>
      <c r="F2000" s="49" t="s">
        <v>2786</v>
      </c>
      <c r="G2000" s="49" t="s">
        <v>2820</v>
      </c>
      <c r="H2000" s="49" t="s">
        <v>8</v>
      </c>
      <c r="I2000" s="50">
        <v>45007</v>
      </c>
      <c r="J2000" s="50">
        <v>45402</v>
      </c>
      <c r="K2000" s="50">
        <v>45766</v>
      </c>
      <c r="M2000" s="49" t="s">
        <v>5505</v>
      </c>
    </row>
    <row r="2001" spans="1:13" x14ac:dyDescent="0.35">
      <c r="A2001" s="49" t="s">
        <v>377</v>
      </c>
      <c r="B2001" s="49" t="s">
        <v>5593</v>
      </c>
      <c r="C2001" s="49" t="s">
        <v>5594</v>
      </c>
      <c r="D2001" s="49" t="s">
        <v>1264</v>
      </c>
      <c r="E2001" s="49" t="s">
        <v>2774</v>
      </c>
      <c r="F2001" s="49" t="s">
        <v>2825</v>
      </c>
      <c r="G2001" s="49" t="s">
        <v>2901</v>
      </c>
      <c r="H2001" s="49" t="s">
        <v>973</v>
      </c>
      <c r="I2001" s="50">
        <v>44998</v>
      </c>
      <c r="J2001" s="50">
        <v>45195</v>
      </c>
      <c r="K2001" s="50">
        <v>46655</v>
      </c>
      <c r="M2001" s="49" t="s">
        <v>5596</v>
      </c>
    </row>
    <row r="2002" spans="1:13" x14ac:dyDescent="0.35">
      <c r="A2002" s="49" t="s">
        <v>377</v>
      </c>
      <c r="B2002" s="49" t="s">
        <v>11303</v>
      </c>
      <c r="C2002" s="49" t="s">
        <v>5842</v>
      </c>
      <c r="D2002" s="49" t="s">
        <v>1264</v>
      </c>
      <c r="E2002" s="49" t="s">
        <v>2986</v>
      </c>
      <c r="F2002" s="49" t="s">
        <v>2825</v>
      </c>
      <c r="G2002" s="49" t="s">
        <v>4891</v>
      </c>
      <c r="H2002" s="49" t="s">
        <v>2827</v>
      </c>
      <c r="I2002" s="50">
        <v>44992</v>
      </c>
      <c r="M2002" s="49" t="s">
        <v>11305</v>
      </c>
    </row>
    <row r="2003" spans="1:13" x14ac:dyDescent="0.35">
      <c r="A2003" s="49" t="s">
        <v>15380</v>
      </c>
      <c r="B2003" s="49" t="s">
        <v>10431</v>
      </c>
      <c r="C2003" s="49" t="s">
        <v>10432</v>
      </c>
      <c r="D2003" s="49" t="s">
        <v>1264</v>
      </c>
      <c r="E2003" s="49" t="s">
        <v>2814</v>
      </c>
      <c r="F2003" s="49" t="s">
        <v>3188</v>
      </c>
      <c r="G2003" s="49" t="s">
        <v>2776</v>
      </c>
      <c r="H2003" s="49" t="s">
        <v>973</v>
      </c>
      <c r="I2003" s="50">
        <v>43531</v>
      </c>
      <c r="M2003" s="49" t="s">
        <v>10434</v>
      </c>
    </row>
    <row r="2004" spans="1:13" x14ac:dyDescent="0.35">
      <c r="A2004" s="49" t="s">
        <v>15380</v>
      </c>
      <c r="B2004" s="49" t="s">
        <v>13910</v>
      </c>
      <c r="C2004" s="49" t="s">
        <v>13911</v>
      </c>
      <c r="D2004" s="49" t="s">
        <v>1264</v>
      </c>
      <c r="E2004" s="49" t="s">
        <v>2774</v>
      </c>
      <c r="F2004" s="49" t="s">
        <v>3188</v>
      </c>
      <c r="G2004" s="49" t="s">
        <v>2776</v>
      </c>
      <c r="H2004" s="49" t="s">
        <v>973</v>
      </c>
      <c r="I2004" s="50">
        <v>43521</v>
      </c>
      <c r="M2004" s="49" t="s">
        <v>10434</v>
      </c>
    </row>
    <row r="2005" spans="1:13" x14ac:dyDescent="0.35">
      <c r="A2005" s="49" t="s">
        <v>12670</v>
      </c>
      <c r="B2005" s="49" t="s">
        <v>3799</v>
      </c>
      <c r="C2005" s="49" t="s">
        <v>3800</v>
      </c>
      <c r="D2005" s="49" t="s">
        <v>1264</v>
      </c>
      <c r="E2005" s="49" t="s">
        <v>2774</v>
      </c>
      <c r="F2005" s="49" t="s">
        <v>2825</v>
      </c>
      <c r="G2005" s="49" t="s">
        <v>2901</v>
      </c>
      <c r="H2005" s="49" t="s">
        <v>2827</v>
      </c>
      <c r="I2005" s="50">
        <v>43308</v>
      </c>
      <c r="J2005" s="50">
        <v>43543</v>
      </c>
      <c r="K2005" s="50">
        <v>46100</v>
      </c>
      <c r="M2005" s="49" t="s">
        <v>3802</v>
      </c>
    </row>
    <row r="2006" spans="1:13" x14ac:dyDescent="0.35">
      <c r="A2006" s="49" t="s">
        <v>12670</v>
      </c>
      <c r="B2006" s="49" t="s">
        <v>12668</v>
      </c>
      <c r="C2006" s="49" t="s">
        <v>12669</v>
      </c>
      <c r="D2006" s="49" t="s">
        <v>1264</v>
      </c>
      <c r="E2006" s="49" t="s">
        <v>2986</v>
      </c>
      <c r="F2006" s="49" t="s">
        <v>2825</v>
      </c>
      <c r="G2006" s="49" t="s">
        <v>4891</v>
      </c>
      <c r="H2006" s="49" t="s">
        <v>2827</v>
      </c>
      <c r="I2006" s="50">
        <v>45387</v>
      </c>
      <c r="M2006" s="49" t="s">
        <v>12671</v>
      </c>
    </row>
    <row r="2007" spans="1:13" x14ac:dyDescent="0.35">
      <c r="A2007" s="49" t="s">
        <v>12670</v>
      </c>
      <c r="B2007" s="49" t="s">
        <v>12944</v>
      </c>
      <c r="C2007" s="49"/>
      <c r="D2007" s="49" t="s">
        <v>1264</v>
      </c>
      <c r="E2007" s="49" t="s">
        <v>2986</v>
      </c>
      <c r="F2007" s="49" t="s">
        <v>2825</v>
      </c>
      <c r="G2007" s="49" t="s">
        <v>4891</v>
      </c>
      <c r="H2007" s="49" t="s">
        <v>2827</v>
      </c>
      <c r="I2007" s="52">
        <v>45958.604201388902</v>
      </c>
      <c r="M2007" s="49" t="s">
        <v>12945</v>
      </c>
    </row>
    <row r="2008" spans="1:13" x14ac:dyDescent="0.35">
      <c r="A2008" s="49" t="s">
        <v>15381</v>
      </c>
      <c r="B2008" s="49" t="s">
        <v>8409</v>
      </c>
      <c r="C2008" s="49" t="s">
        <v>2942</v>
      </c>
      <c r="D2008" s="49" t="s">
        <v>1264</v>
      </c>
      <c r="E2008" s="49" t="s">
        <v>2908</v>
      </c>
      <c r="F2008" s="49" t="s">
        <v>2939</v>
      </c>
      <c r="G2008" s="49" t="s">
        <v>2921</v>
      </c>
      <c r="H2008" s="49" t="s">
        <v>980</v>
      </c>
      <c r="I2008" s="50">
        <v>41603</v>
      </c>
      <c r="J2008" s="50">
        <v>41816</v>
      </c>
      <c r="K2008" s="50">
        <v>45468</v>
      </c>
      <c r="M2008" s="49" t="s">
        <v>8411</v>
      </c>
    </row>
    <row r="2009" spans="1:13" x14ac:dyDescent="0.35">
      <c r="A2009" s="49" t="s">
        <v>15381</v>
      </c>
      <c r="B2009" s="49" t="s">
        <v>9679</v>
      </c>
      <c r="C2009" s="49"/>
      <c r="D2009" s="49" t="s">
        <v>1264</v>
      </c>
      <c r="E2009" s="49" t="s">
        <v>2908</v>
      </c>
      <c r="F2009" s="49" t="s">
        <v>2837</v>
      </c>
      <c r="G2009" s="49" t="s">
        <v>2826</v>
      </c>
      <c r="H2009" s="49" t="s">
        <v>980</v>
      </c>
      <c r="I2009" s="50">
        <v>42593</v>
      </c>
      <c r="J2009" s="50">
        <v>41816</v>
      </c>
      <c r="K2009" s="50">
        <v>43641</v>
      </c>
      <c r="M2009" s="49" t="s">
        <v>3706</v>
      </c>
    </row>
    <row r="2010" spans="1:13" x14ac:dyDescent="0.35">
      <c r="A2010" s="49" t="s">
        <v>15382</v>
      </c>
      <c r="B2010" s="49" t="s">
        <v>10234</v>
      </c>
      <c r="C2010" s="49"/>
      <c r="D2010" s="49" t="s">
        <v>1264</v>
      </c>
      <c r="E2010" s="49" t="s">
        <v>2814</v>
      </c>
      <c r="F2010" s="49" t="s">
        <v>3188</v>
      </c>
      <c r="G2010" s="49" t="s">
        <v>2776</v>
      </c>
      <c r="H2010" s="49" t="s">
        <v>973</v>
      </c>
      <c r="I2010" s="50">
        <v>43462</v>
      </c>
      <c r="M2010" s="49" t="s">
        <v>10236</v>
      </c>
    </row>
    <row r="2011" spans="1:13" x14ac:dyDescent="0.35">
      <c r="A2011" s="49" t="s">
        <v>2954</v>
      </c>
      <c r="B2011" s="49" t="s">
        <v>2952</v>
      </c>
      <c r="C2011" s="49" t="s">
        <v>2953</v>
      </c>
      <c r="D2011" s="49" t="s">
        <v>1264</v>
      </c>
      <c r="E2011" s="49" t="s">
        <v>2899</v>
      </c>
      <c r="F2011" s="49" t="s">
        <v>2900</v>
      </c>
      <c r="G2011" s="49" t="s">
        <v>2901</v>
      </c>
      <c r="H2011" s="49" t="s">
        <v>980</v>
      </c>
      <c r="I2011" s="50">
        <v>35986</v>
      </c>
      <c r="J2011" s="50">
        <v>40102</v>
      </c>
      <c r="K2011" s="50">
        <v>45584</v>
      </c>
      <c r="M2011" s="49" t="s">
        <v>2955</v>
      </c>
    </row>
    <row r="2012" spans="1:13" x14ac:dyDescent="0.35">
      <c r="A2012" s="49" t="s">
        <v>2954</v>
      </c>
      <c r="B2012" s="49" t="s">
        <v>2956</v>
      </c>
      <c r="C2012" s="49" t="s">
        <v>2957</v>
      </c>
      <c r="D2012" s="49" t="s">
        <v>1264</v>
      </c>
      <c r="E2012" s="49" t="s">
        <v>2899</v>
      </c>
      <c r="F2012" s="49" t="s">
        <v>2900</v>
      </c>
      <c r="G2012" s="49" t="s">
        <v>2921</v>
      </c>
      <c r="H2012" s="49" t="s">
        <v>980</v>
      </c>
      <c r="I2012" s="50">
        <v>35986</v>
      </c>
      <c r="J2012" s="50">
        <v>36452</v>
      </c>
      <c r="K2012" s="50">
        <v>45583</v>
      </c>
      <c r="M2012" s="49" t="s">
        <v>2958</v>
      </c>
    </row>
    <row r="2013" spans="1:13" x14ac:dyDescent="0.35">
      <c r="A2013" s="49" t="s">
        <v>2954</v>
      </c>
      <c r="B2013" s="49" t="s">
        <v>11108</v>
      </c>
      <c r="C2013" s="49"/>
      <c r="D2013" s="49" t="s">
        <v>1264</v>
      </c>
      <c r="E2013" s="49" t="s">
        <v>2774</v>
      </c>
      <c r="F2013" s="49" t="s">
        <v>2900</v>
      </c>
      <c r="G2013" s="49" t="s">
        <v>2826</v>
      </c>
      <c r="H2013" s="49" t="s">
        <v>980</v>
      </c>
      <c r="I2013" s="50">
        <v>44810</v>
      </c>
      <c r="M2013" s="49" t="s">
        <v>11110</v>
      </c>
    </row>
    <row r="2014" spans="1:13" x14ac:dyDescent="0.35">
      <c r="A2014" s="49" t="s">
        <v>2954</v>
      </c>
      <c r="B2014" s="49" t="s">
        <v>11111</v>
      </c>
      <c r="C2014" s="49"/>
      <c r="D2014" s="49" t="s">
        <v>1264</v>
      </c>
      <c r="E2014" s="49" t="s">
        <v>2774</v>
      </c>
      <c r="F2014" s="49" t="s">
        <v>2900</v>
      </c>
      <c r="G2014" s="49" t="s">
        <v>2826</v>
      </c>
      <c r="H2014" s="49" t="s">
        <v>980</v>
      </c>
      <c r="I2014" s="50">
        <v>44810</v>
      </c>
      <c r="M2014" s="49" t="s">
        <v>11112</v>
      </c>
    </row>
    <row r="2015" spans="1:13" x14ac:dyDescent="0.35">
      <c r="A2015" s="49" t="s">
        <v>2954</v>
      </c>
      <c r="B2015" s="49" t="s">
        <v>11560</v>
      </c>
      <c r="C2015" s="49" t="s">
        <v>11561</v>
      </c>
      <c r="D2015" s="49" t="s">
        <v>1264</v>
      </c>
      <c r="E2015" s="49" t="s">
        <v>2774</v>
      </c>
      <c r="F2015" s="49" t="s">
        <v>2900</v>
      </c>
      <c r="G2015" s="49" t="s">
        <v>2776</v>
      </c>
      <c r="H2015" s="49" t="s">
        <v>980</v>
      </c>
      <c r="I2015" s="50">
        <v>45190</v>
      </c>
      <c r="M2015" s="49" t="s">
        <v>11562</v>
      </c>
    </row>
    <row r="2016" spans="1:13" x14ac:dyDescent="0.35">
      <c r="A2016" s="49" t="s">
        <v>387</v>
      </c>
      <c r="B2016" s="49" t="s">
        <v>11913</v>
      </c>
      <c r="C2016" s="49" t="s">
        <v>11914</v>
      </c>
      <c r="D2016" s="49" t="s">
        <v>1264</v>
      </c>
      <c r="E2016" s="49" t="s">
        <v>2774</v>
      </c>
      <c r="F2016" s="49" t="s">
        <v>4842</v>
      </c>
      <c r="G2016" s="49" t="s">
        <v>4891</v>
      </c>
      <c r="H2016" s="49" t="s">
        <v>2827</v>
      </c>
      <c r="I2016" s="50">
        <v>45090</v>
      </c>
      <c r="M2016" s="49" t="s">
        <v>11916</v>
      </c>
    </row>
    <row r="2017" spans="1:13" x14ac:dyDescent="0.35">
      <c r="A2017" s="49" t="s">
        <v>15383</v>
      </c>
      <c r="B2017" s="49" t="s">
        <v>3654</v>
      </c>
      <c r="C2017" s="49" t="s">
        <v>3582</v>
      </c>
      <c r="D2017" s="49" t="s">
        <v>1264</v>
      </c>
      <c r="E2017" s="49" t="s">
        <v>3443</v>
      </c>
      <c r="F2017" s="49" t="s">
        <v>2792</v>
      </c>
      <c r="G2017" s="49" t="s">
        <v>2787</v>
      </c>
      <c r="H2017" s="49" t="s">
        <v>980</v>
      </c>
      <c r="I2017" s="50">
        <v>43052</v>
      </c>
      <c r="J2017" s="50">
        <v>43179</v>
      </c>
      <c r="K2017" s="50">
        <v>45004</v>
      </c>
      <c r="M2017" s="49" t="s">
        <v>3656</v>
      </c>
    </row>
    <row r="2018" spans="1:13" x14ac:dyDescent="0.35">
      <c r="A2018" s="49" t="s">
        <v>15383</v>
      </c>
      <c r="B2018" s="49" t="s">
        <v>3657</v>
      </c>
      <c r="C2018" s="49"/>
      <c r="D2018" s="49" t="s">
        <v>1264</v>
      </c>
      <c r="E2018" s="49" t="s">
        <v>3443</v>
      </c>
      <c r="F2018" s="49" t="s">
        <v>3124</v>
      </c>
      <c r="G2018" s="49" t="s">
        <v>2787</v>
      </c>
      <c r="H2018" s="49" t="s">
        <v>980</v>
      </c>
      <c r="I2018" s="50">
        <v>43052</v>
      </c>
      <c r="J2018" s="50">
        <v>43179</v>
      </c>
      <c r="K2018" s="50">
        <v>45004</v>
      </c>
      <c r="M2018" s="49" t="s">
        <v>3658</v>
      </c>
    </row>
    <row r="2019" spans="1:13" x14ac:dyDescent="0.35">
      <c r="A2019" s="49" t="s">
        <v>14337</v>
      </c>
      <c r="B2019" s="49" t="s">
        <v>7245</v>
      </c>
      <c r="C2019" s="49" t="s">
        <v>7246</v>
      </c>
      <c r="D2019" s="49" t="s">
        <v>1264</v>
      </c>
      <c r="E2019" s="49" t="s">
        <v>2785</v>
      </c>
      <c r="F2019" s="49" t="s">
        <v>2792</v>
      </c>
      <c r="G2019" s="49" t="s">
        <v>2787</v>
      </c>
      <c r="H2019" s="49" t="s">
        <v>8</v>
      </c>
      <c r="I2019" s="50">
        <v>42771</v>
      </c>
      <c r="J2019" s="50">
        <v>43278</v>
      </c>
      <c r="K2019" s="50">
        <v>43642</v>
      </c>
      <c r="M2019" s="49" t="s">
        <v>7105</v>
      </c>
    </row>
    <row r="2020" spans="1:13" x14ac:dyDescent="0.35">
      <c r="A2020" s="49" t="s">
        <v>15384</v>
      </c>
      <c r="B2020" s="49" t="s">
        <v>5286</v>
      </c>
      <c r="C2020" s="49"/>
      <c r="D2020" s="49" t="s">
        <v>1264</v>
      </c>
      <c r="E2020" s="49" t="s">
        <v>3443</v>
      </c>
      <c r="F2020" s="49" t="s">
        <v>3124</v>
      </c>
      <c r="G2020" s="49" t="s">
        <v>4330</v>
      </c>
      <c r="H2020" s="49" t="s">
        <v>980</v>
      </c>
      <c r="I2020" s="50">
        <v>44896</v>
      </c>
    </row>
    <row r="2021" spans="1:13" x14ac:dyDescent="0.35">
      <c r="A2021" s="49" t="s">
        <v>15384</v>
      </c>
      <c r="B2021" s="49" t="s">
        <v>6678</v>
      </c>
      <c r="C2021" s="49"/>
      <c r="D2021" s="49" t="s">
        <v>1264</v>
      </c>
      <c r="E2021" s="49" t="s">
        <v>2908</v>
      </c>
      <c r="F2021" s="49" t="s">
        <v>2786</v>
      </c>
      <c r="G2021" s="49" t="s">
        <v>2776</v>
      </c>
      <c r="H2021" s="49" t="s">
        <v>8</v>
      </c>
      <c r="I2021" s="50">
        <v>43882</v>
      </c>
      <c r="M2021" s="49" t="s">
        <v>6679</v>
      </c>
    </row>
    <row r="2022" spans="1:13" x14ac:dyDescent="0.35">
      <c r="A2022" s="49" t="s">
        <v>15384</v>
      </c>
      <c r="B2022" s="49" t="s">
        <v>10002</v>
      </c>
      <c r="C2022" s="49"/>
      <c r="D2022" s="49" t="s">
        <v>1264</v>
      </c>
      <c r="E2022" s="49" t="s">
        <v>2785</v>
      </c>
      <c r="F2022" s="49" t="s">
        <v>2786</v>
      </c>
      <c r="G2022" s="49" t="s">
        <v>2776</v>
      </c>
      <c r="H2022" s="49" t="s">
        <v>8</v>
      </c>
      <c r="I2022" s="50">
        <v>43844</v>
      </c>
      <c r="M2022" s="49" t="s">
        <v>10003</v>
      </c>
    </row>
    <row r="2023" spans="1:13" x14ac:dyDescent="0.35">
      <c r="A2023" s="49" t="s">
        <v>15659</v>
      </c>
      <c r="B2023" s="49" t="s">
        <v>6339</v>
      </c>
      <c r="C2023" s="49" t="s">
        <v>6340</v>
      </c>
      <c r="D2023" s="49" t="s">
        <v>1264</v>
      </c>
      <c r="E2023" s="49" t="s">
        <v>2785</v>
      </c>
      <c r="F2023" s="49" t="s">
        <v>2805</v>
      </c>
      <c r="G2023" s="49" t="s">
        <v>2787</v>
      </c>
      <c r="H2023" s="49" t="s">
        <v>1062</v>
      </c>
      <c r="I2023" s="50">
        <v>45288</v>
      </c>
      <c r="J2023" s="50">
        <v>45342</v>
      </c>
      <c r="K2023" s="50">
        <v>45707</v>
      </c>
      <c r="M2023" s="49" t="s">
        <v>6342</v>
      </c>
    </row>
    <row r="2024" spans="1:13" x14ac:dyDescent="0.35">
      <c r="A2024" s="49" t="s">
        <v>15659</v>
      </c>
      <c r="B2024" s="49" t="s">
        <v>12107</v>
      </c>
      <c r="C2024" s="49"/>
      <c r="D2024" s="49" t="s">
        <v>1264</v>
      </c>
      <c r="E2024" s="49" t="s">
        <v>2908</v>
      </c>
      <c r="F2024" s="49" t="s">
        <v>2837</v>
      </c>
      <c r="G2024" s="49" t="s">
        <v>4891</v>
      </c>
      <c r="H2024" s="49" t="s">
        <v>980</v>
      </c>
      <c r="I2024" s="50">
        <v>45306</v>
      </c>
      <c r="M2024" s="49" t="s">
        <v>12108</v>
      </c>
    </row>
    <row r="2025" spans="1:13" x14ac:dyDescent="0.35">
      <c r="A2025" s="49" t="s">
        <v>15385</v>
      </c>
      <c r="B2025" s="49" t="s">
        <v>5410</v>
      </c>
      <c r="C2025" s="49"/>
      <c r="D2025" s="49" t="s">
        <v>1264</v>
      </c>
      <c r="E2025" s="49" t="s">
        <v>2814</v>
      </c>
      <c r="F2025" s="49" t="s">
        <v>3188</v>
      </c>
      <c r="G2025" s="49" t="s">
        <v>2787</v>
      </c>
      <c r="H2025" s="49" t="s">
        <v>973</v>
      </c>
      <c r="I2025" s="50">
        <v>44952</v>
      </c>
      <c r="J2025" s="50">
        <v>44960</v>
      </c>
      <c r="K2025" s="50">
        <v>45140</v>
      </c>
      <c r="M2025" s="49" t="s">
        <v>5412</v>
      </c>
    </row>
    <row r="2026" spans="1:13" x14ac:dyDescent="0.35">
      <c r="A2026" s="49" t="s">
        <v>15385</v>
      </c>
      <c r="B2026" s="49" t="s">
        <v>11192</v>
      </c>
      <c r="C2026" s="49"/>
      <c r="D2026" s="49" t="s">
        <v>1264</v>
      </c>
      <c r="E2026" s="49" t="s">
        <v>2986</v>
      </c>
      <c r="F2026" s="49" t="s">
        <v>2825</v>
      </c>
      <c r="G2026" s="49" t="s">
        <v>4891</v>
      </c>
      <c r="H2026" s="49" t="s">
        <v>2827</v>
      </c>
      <c r="I2026" s="50">
        <v>44887</v>
      </c>
      <c r="M2026" s="49" t="s">
        <v>3270</v>
      </c>
    </row>
    <row r="2027" spans="1:13" x14ac:dyDescent="0.35">
      <c r="A2027" s="49" t="s">
        <v>15385</v>
      </c>
      <c r="B2027" s="49" t="s">
        <v>11229</v>
      </c>
      <c r="C2027" s="49"/>
      <c r="D2027" s="49" t="s">
        <v>1264</v>
      </c>
      <c r="E2027" s="49" t="s">
        <v>2974</v>
      </c>
      <c r="F2027" s="49" t="s">
        <v>3188</v>
      </c>
      <c r="G2027" s="49" t="s">
        <v>2826</v>
      </c>
      <c r="H2027" s="49" t="s">
        <v>973</v>
      </c>
      <c r="I2027" s="50">
        <v>44924</v>
      </c>
      <c r="M2027" s="49" t="s">
        <v>11230</v>
      </c>
    </row>
    <row r="2028" spans="1:13" x14ac:dyDescent="0.35">
      <c r="A2028" s="49" t="s">
        <v>15009</v>
      </c>
      <c r="B2028" s="49" t="s">
        <v>3471</v>
      </c>
      <c r="C2028" s="49" t="s">
        <v>3472</v>
      </c>
      <c r="D2028" s="49" t="s">
        <v>1264</v>
      </c>
      <c r="E2028" s="49" t="s">
        <v>2774</v>
      </c>
      <c r="F2028" s="49" t="s">
        <v>2825</v>
      </c>
      <c r="G2028" s="49" t="s">
        <v>2787</v>
      </c>
      <c r="H2028" s="49" t="s">
        <v>2827</v>
      </c>
      <c r="I2028" s="50">
        <v>42411</v>
      </c>
      <c r="J2028" s="50">
        <v>43179</v>
      </c>
      <c r="K2028" s="50">
        <v>44640</v>
      </c>
      <c r="M2028" s="49" t="s">
        <v>3474</v>
      </c>
    </row>
    <row r="2029" spans="1:13" x14ac:dyDescent="0.35">
      <c r="A2029" s="49" t="s">
        <v>15009</v>
      </c>
      <c r="B2029" s="49" t="s">
        <v>10971</v>
      </c>
      <c r="C2029" s="49" t="s">
        <v>3354</v>
      </c>
      <c r="D2029" s="49" t="s">
        <v>1264</v>
      </c>
      <c r="E2029" s="49" t="s">
        <v>2814</v>
      </c>
      <c r="F2029" s="49" t="s">
        <v>2837</v>
      </c>
      <c r="G2029" s="49" t="s">
        <v>2776</v>
      </c>
      <c r="H2029" s="49" t="s">
        <v>980</v>
      </c>
      <c r="I2029" s="50">
        <v>44216</v>
      </c>
      <c r="M2029" s="49" t="s">
        <v>10972</v>
      </c>
    </row>
    <row r="2030" spans="1:13" x14ac:dyDescent="0.35">
      <c r="A2030" s="49" t="s">
        <v>15009</v>
      </c>
      <c r="B2030" s="49" t="s">
        <v>11041</v>
      </c>
      <c r="C2030" s="49"/>
      <c r="D2030" s="49" t="s">
        <v>1264</v>
      </c>
      <c r="E2030" s="49" t="s">
        <v>2774</v>
      </c>
      <c r="F2030" s="49" t="s">
        <v>4842</v>
      </c>
      <c r="G2030" s="49" t="s">
        <v>2776</v>
      </c>
      <c r="H2030" s="49" t="s">
        <v>2827</v>
      </c>
      <c r="I2030" s="50">
        <v>44714</v>
      </c>
      <c r="M2030" s="49" t="s">
        <v>11042</v>
      </c>
    </row>
    <row r="2031" spans="1:13" x14ac:dyDescent="0.35">
      <c r="A2031" s="49" t="s">
        <v>15009</v>
      </c>
      <c r="B2031" s="49" t="s">
        <v>11187</v>
      </c>
      <c r="C2031" s="49" t="s">
        <v>11188</v>
      </c>
      <c r="D2031" s="49" t="s">
        <v>1264</v>
      </c>
      <c r="E2031" s="49" t="s">
        <v>2774</v>
      </c>
      <c r="F2031" s="49" t="s">
        <v>4842</v>
      </c>
      <c r="G2031" s="49" t="s">
        <v>2776</v>
      </c>
      <c r="H2031" s="49" t="s">
        <v>2827</v>
      </c>
      <c r="I2031" s="50">
        <v>44895</v>
      </c>
      <c r="M2031" s="49" t="s">
        <v>11189</v>
      </c>
    </row>
    <row r="2032" spans="1:13" x14ac:dyDescent="0.35">
      <c r="A2032" s="49" t="s">
        <v>14164</v>
      </c>
      <c r="B2032" s="49" t="s">
        <v>4172</v>
      </c>
      <c r="C2032" s="49" t="s">
        <v>3768</v>
      </c>
      <c r="D2032" s="49" t="s">
        <v>1264</v>
      </c>
      <c r="E2032" s="49" t="s">
        <v>3443</v>
      </c>
      <c r="F2032" s="49" t="s">
        <v>3124</v>
      </c>
      <c r="G2032" s="49" t="s">
        <v>2901</v>
      </c>
      <c r="H2032" s="49" t="s">
        <v>980</v>
      </c>
      <c r="I2032" s="50">
        <v>43845</v>
      </c>
      <c r="J2032" s="50">
        <v>43879</v>
      </c>
      <c r="K2032" s="50">
        <v>45705</v>
      </c>
      <c r="M2032" s="49" t="s">
        <v>4121</v>
      </c>
    </row>
    <row r="2033" spans="1:13" x14ac:dyDescent="0.35">
      <c r="A2033" s="49" t="s">
        <v>15386</v>
      </c>
      <c r="B2033" s="49" t="s">
        <v>4772</v>
      </c>
      <c r="C2033" s="49"/>
      <c r="D2033" s="49" t="s">
        <v>1264</v>
      </c>
      <c r="E2033" s="49" t="s">
        <v>2814</v>
      </c>
      <c r="F2033" s="49" t="s">
        <v>4774</v>
      </c>
      <c r="G2033" s="49" t="s">
        <v>2776</v>
      </c>
      <c r="H2033" s="49" t="s">
        <v>3207</v>
      </c>
      <c r="I2033" s="50">
        <v>44630</v>
      </c>
      <c r="M2033" s="49" t="s">
        <v>4775</v>
      </c>
    </row>
    <row r="2034" spans="1:13" x14ac:dyDescent="0.35">
      <c r="A2034" s="49" t="s">
        <v>14258</v>
      </c>
      <c r="B2034" s="49" t="s">
        <v>5827</v>
      </c>
      <c r="C2034" s="49"/>
      <c r="D2034" s="49" t="s">
        <v>1264</v>
      </c>
      <c r="E2034" s="49" t="s">
        <v>3443</v>
      </c>
      <c r="F2034" s="49" t="s">
        <v>3124</v>
      </c>
      <c r="G2034" s="49" t="s">
        <v>4330</v>
      </c>
      <c r="H2034" s="49" t="s">
        <v>980</v>
      </c>
      <c r="I2034" s="50">
        <v>44803</v>
      </c>
    </row>
    <row r="2035" spans="1:13" x14ac:dyDescent="0.35">
      <c r="A2035" s="49" t="s">
        <v>14166</v>
      </c>
      <c r="B2035" s="49" t="s">
        <v>4194</v>
      </c>
      <c r="C2035" s="49"/>
      <c r="D2035" s="49" t="s">
        <v>1264</v>
      </c>
      <c r="E2035" s="49" t="s">
        <v>2814</v>
      </c>
      <c r="F2035" s="49" t="s">
        <v>4196</v>
      </c>
      <c r="G2035" s="49" t="s">
        <v>2787</v>
      </c>
      <c r="H2035" s="49" t="s">
        <v>973</v>
      </c>
      <c r="I2035" s="50">
        <v>44256</v>
      </c>
      <c r="J2035" s="50">
        <v>44279</v>
      </c>
      <c r="K2035" s="50">
        <v>44462</v>
      </c>
      <c r="M2035" s="49" t="s">
        <v>4197</v>
      </c>
    </row>
    <row r="2036" spans="1:13" x14ac:dyDescent="0.35">
      <c r="A2036" s="49" t="s">
        <v>14166</v>
      </c>
      <c r="B2036" s="49" t="s">
        <v>11096</v>
      </c>
      <c r="C2036" s="49"/>
      <c r="D2036" s="49" t="s">
        <v>1264</v>
      </c>
      <c r="E2036" s="49" t="s">
        <v>2974</v>
      </c>
      <c r="F2036" s="49" t="s">
        <v>4196</v>
      </c>
      <c r="G2036" s="49" t="s">
        <v>2826</v>
      </c>
      <c r="H2036" s="49" t="s">
        <v>973</v>
      </c>
      <c r="I2036" s="50">
        <v>44791</v>
      </c>
      <c r="M2036" s="49" t="s">
        <v>4197</v>
      </c>
    </row>
    <row r="2037" spans="1:13" x14ac:dyDescent="0.35">
      <c r="A2037" s="49" t="s">
        <v>15387</v>
      </c>
      <c r="B2037" s="49" t="s">
        <v>8537</v>
      </c>
      <c r="C2037" s="49" t="s">
        <v>8538</v>
      </c>
      <c r="D2037" s="49" t="s">
        <v>1264</v>
      </c>
      <c r="E2037" s="49" t="s">
        <v>2986</v>
      </c>
      <c r="F2037" s="49" t="s">
        <v>2825</v>
      </c>
      <c r="G2037" s="49" t="s">
        <v>2787</v>
      </c>
      <c r="H2037" s="49" t="s">
        <v>2827</v>
      </c>
      <c r="I2037" s="50">
        <v>42742</v>
      </c>
      <c r="J2037" s="50">
        <v>42955</v>
      </c>
      <c r="K2037" s="50">
        <v>44051</v>
      </c>
      <c r="M2037" s="49" t="s">
        <v>3270</v>
      </c>
    </row>
    <row r="2038" spans="1:13" x14ac:dyDescent="0.35">
      <c r="A2038" s="49" t="s">
        <v>15387</v>
      </c>
      <c r="B2038" s="49" t="s">
        <v>9039</v>
      </c>
      <c r="C2038" s="49" t="s">
        <v>9040</v>
      </c>
      <c r="D2038" s="49" t="s">
        <v>1264</v>
      </c>
      <c r="E2038" s="49" t="s">
        <v>2814</v>
      </c>
      <c r="F2038" s="49" t="s">
        <v>2825</v>
      </c>
      <c r="G2038" s="49" t="s">
        <v>2826</v>
      </c>
      <c r="H2038" s="49" t="s">
        <v>2827</v>
      </c>
      <c r="I2038" s="50">
        <v>42618</v>
      </c>
      <c r="J2038" s="50">
        <v>42717</v>
      </c>
      <c r="K2038" s="50">
        <v>42899</v>
      </c>
      <c r="M2038" s="49" t="s">
        <v>9042</v>
      </c>
    </row>
    <row r="2039" spans="1:13" x14ac:dyDescent="0.35">
      <c r="A2039" s="49" t="s">
        <v>15387</v>
      </c>
      <c r="B2039" s="49" t="s">
        <v>13626</v>
      </c>
      <c r="C2039" s="49" t="s">
        <v>3434</v>
      </c>
      <c r="D2039" s="49" t="s">
        <v>1264</v>
      </c>
      <c r="E2039" s="49" t="s">
        <v>2986</v>
      </c>
      <c r="F2039" s="49" t="s">
        <v>2825</v>
      </c>
      <c r="G2039" s="49" t="s">
        <v>2776</v>
      </c>
      <c r="H2039" s="49" t="s">
        <v>2827</v>
      </c>
      <c r="I2039" s="50">
        <v>43082</v>
      </c>
      <c r="M2039" s="49" t="s">
        <v>13627</v>
      </c>
    </row>
    <row r="2040" spans="1:13" x14ac:dyDescent="0.35">
      <c r="A2040" s="49" t="s">
        <v>15010</v>
      </c>
      <c r="B2040" s="49" t="s">
        <v>7389</v>
      </c>
      <c r="C2040" s="49"/>
      <c r="D2040" s="49" t="s">
        <v>1264</v>
      </c>
      <c r="E2040" s="49" t="s">
        <v>2814</v>
      </c>
      <c r="F2040" s="49" t="s">
        <v>2825</v>
      </c>
      <c r="G2040" s="49" t="s">
        <v>2787</v>
      </c>
      <c r="H2040" s="49" t="s">
        <v>2827</v>
      </c>
      <c r="I2040" s="50">
        <v>42902</v>
      </c>
      <c r="J2040" s="50">
        <v>43236</v>
      </c>
      <c r="K2040" s="50">
        <v>43388</v>
      </c>
      <c r="M2040" s="49" t="s">
        <v>3910</v>
      </c>
    </row>
    <row r="2041" spans="1:13" x14ac:dyDescent="0.35">
      <c r="A2041" s="49" t="s">
        <v>15010</v>
      </c>
      <c r="B2041" s="49" t="s">
        <v>10307</v>
      </c>
      <c r="C2041" s="49" t="s">
        <v>3933</v>
      </c>
      <c r="D2041" s="49" t="s">
        <v>1264</v>
      </c>
      <c r="E2041" s="49" t="s">
        <v>2814</v>
      </c>
      <c r="F2041" s="49" t="s">
        <v>2825</v>
      </c>
      <c r="G2041" s="49" t="s">
        <v>2776</v>
      </c>
      <c r="H2041" s="49" t="s">
        <v>2827</v>
      </c>
      <c r="I2041" s="50">
        <v>43430</v>
      </c>
      <c r="M2041" s="49" t="s">
        <v>10308</v>
      </c>
    </row>
    <row r="2042" spans="1:13" x14ac:dyDescent="0.35">
      <c r="A2042" s="49" t="s">
        <v>15010</v>
      </c>
      <c r="B2042" s="49" t="s">
        <v>13655</v>
      </c>
      <c r="C2042" s="49"/>
      <c r="D2042" s="49" t="s">
        <v>1264</v>
      </c>
      <c r="E2042" s="49" t="s">
        <v>2986</v>
      </c>
      <c r="F2042" s="49" t="s">
        <v>2825</v>
      </c>
      <c r="G2042" s="49" t="s">
        <v>2776</v>
      </c>
      <c r="H2042" s="49" t="s">
        <v>2827</v>
      </c>
      <c r="I2042" s="50">
        <v>42872</v>
      </c>
      <c r="M2042" s="49" t="s">
        <v>3270</v>
      </c>
    </row>
    <row r="2043" spans="1:13" x14ac:dyDescent="0.35">
      <c r="A2043" s="49" t="s">
        <v>15010</v>
      </c>
      <c r="B2043" s="49" t="s">
        <v>13788</v>
      </c>
      <c r="C2043" s="49"/>
      <c r="D2043" s="49" t="s">
        <v>1264</v>
      </c>
      <c r="E2043" s="49" t="s">
        <v>2974</v>
      </c>
      <c r="F2043" s="49" t="s">
        <v>2825</v>
      </c>
      <c r="G2043" s="49" t="s">
        <v>2776</v>
      </c>
      <c r="H2043" s="49" t="s">
        <v>2827</v>
      </c>
      <c r="I2043" s="50">
        <v>42905</v>
      </c>
      <c r="M2043" s="49" t="s">
        <v>3859</v>
      </c>
    </row>
    <row r="2044" spans="1:13" x14ac:dyDescent="0.35">
      <c r="A2044" s="49" t="s">
        <v>15010</v>
      </c>
      <c r="B2044" s="49" t="s">
        <v>13819</v>
      </c>
      <c r="C2044" s="49" t="s">
        <v>13820</v>
      </c>
      <c r="D2044" s="49" t="s">
        <v>1264</v>
      </c>
      <c r="E2044" s="49" t="s">
        <v>2774</v>
      </c>
      <c r="F2044" s="49" t="s">
        <v>2825</v>
      </c>
      <c r="G2044" s="49" t="s">
        <v>2776</v>
      </c>
      <c r="H2044" s="49" t="s">
        <v>2827</v>
      </c>
      <c r="I2044" s="50">
        <v>43545</v>
      </c>
      <c r="M2044" s="49" t="s">
        <v>13821</v>
      </c>
    </row>
    <row r="2045" spans="1:13" x14ac:dyDescent="0.35">
      <c r="A2045" s="49" t="s">
        <v>393</v>
      </c>
      <c r="B2045" s="49" t="s">
        <v>3041</v>
      </c>
      <c r="C2045" s="49" t="s">
        <v>3042</v>
      </c>
      <c r="D2045" s="49" t="s">
        <v>1264</v>
      </c>
      <c r="E2045" s="49" t="s">
        <v>2774</v>
      </c>
      <c r="F2045" s="49" t="s">
        <v>2825</v>
      </c>
      <c r="G2045" s="49" t="s">
        <v>2787</v>
      </c>
      <c r="H2045" s="49" t="s">
        <v>2827</v>
      </c>
      <c r="I2045" s="50">
        <v>39520</v>
      </c>
      <c r="J2045" s="50">
        <v>40128</v>
      </c>
      <c r="K2045" s="50">
        <v>45323</v>
      </c>
      <c r="M2045" s="49" t="s">
        <v>3044</v>
      </c>
    </row>
    <row r="2046" spans="1:13" x14ac:dyDescent="0.35">
      <c r="A2046" s="49" t="s">
        <v>393</v>
      </c>
      <c r="B2046" s="49" t="s">
        <v>12562</v>
      </c>
      <c r="C2046" s="49" t="s">
        <v>3042</v>
      </c>
      <c r="D2046" s="49" t="s">
        <v>1264</v>
      </c>
      <c r="E2046" s="49" t="s">
        <v>3413</v>
      </c>
      <c r="F2046" s="49" t="s">
        <v>2825</v>
      </c>
      <c r="G2046" s="49" t="s">
        <v>4891</v>
      </c>
      <c r="H2046" s="49" t="s">
        <v>2827</v>
      </c>
      <c r="I2046" s="50">
        <v>45450</v>
      </c>
      <c r="M2046" s="49" t="s">
        <v>3044</v>
      </c>
    </row>
    <row r="2047" spans="1:13" x14ac:dyDescent="0.35">
      <c r="A2047" s="49" t="s">
        <v>393</v>
      </c>
      <c r="B2047" s="49" t="s">
        <v>13551</v>
      </c>
      <c r="C2047" s="49"/>
      <c r="D2047" s="49" t="s">
        <v>1264</v>
      </c>
      <c r="E2047" s="49" t="s">
        <v>3413</v>
      </c>
      <c r="F2047" s="49" t="s">
        <v>2825</v>
      </c>
      <c r="G2047" s="49" t="s">
        <v>4891</v>
      </c>
      <c r="H2047" s="49" t="s">
        <v>2827</v>
      </c>
      <c r="I2047" s="52">
        <v>46161.420196759304</v>
      </c>
      <c r="M2047" s="49" t="s">
        <v>13552</v>
      </c>
    </row>
    <row r="2048" spans="1:13" x14ac:dyDescent="0.35">
      <c r="A2048" s="49" t="s">
        <v>14684</v>
      </c>
      <c r="B2048" s="49" t="s">
        <v>13869</v>
      </c>
      <c r="C2048" s="49"/>
      <c r="D2048" s="49" t="s">
        <v>1264</v>
      </c>
      <c r="E2048" s="49" t="s">
        <v>2774</v>
      </c>
      <c r="F2048" s="49" t="s">
        <v>2825</v>
      </c>
      <c r="G2048" s="49" t="s">
        <v>2776</v>
      </c>
      <c r="H2048" s="49" t="s">
        <v>2827</v>
      </c>
      <c r="I2048" s="50">
        <v>43554</v>
      </c>
      <c r="M2048" s="49" t="s">
        <v>13871</v>
      </c>
    </row>
    <row r="2049" spans="1:13" x14ac:dyDescent="0.35">
      <c r="A2049" s="49" t="s">
        <v>14806</v>
      </c>
      <c r="B2049" s="49" t="s">
        <v>3678</v>
      </c>
      <c r="C2049" s="49" t="s">
        <v>3679</v>
      </c>
      <c r="D2049" s="49" t="s">
        <v>1264</v>
      </c>
      <c r="E2049" s="49" t="s">
        <v>2986</v>
      </c>
      <c r="F2049" s="49" t="s">
        <v>3681</v>
      </c>
      <c r="G2049" s="49" t="s">
        <v>2820</v>
      </c>
      <c r="H2049" s="49" t="s">
        <v>2827</v>
      </c>
      <c r="I2049" s="50">
        <v>43126</v>
      </c>
      <c r="J2049" s="50">
        <v>43273</v>
      </c>
      <c r="K2049" s="50">
        <v>45465</v>
      </c>
      <c r="L2049" s="50">
        <v>44370</v>
      </c>
      <c r="M2049" s="49" t="s">
        <v>3682</v>
      </c>
    </row>
    <row r="2050" spans="1:13" x14ac:dyDescent="0.35">
      <c r="A2050" s="49" t="s">
        <v>14806</v>
      </c>
      <c r="B2050" s="49" t="s">
        <v>8896</v>
      </c>
      <c r="C2050" s="49"/>
      <c r="D2050" s="49" t="s">
        <v>1264</v>
      </c>
      <c r="E2050" s="49" t="s">
        <v>2814</v>
      </c>
      <c r="F2050" s="49" t="s">
        <v>4192</v>
      </c>
      <c r="G2050" s="49" t="s">
        <v>2787</v>
      </c>
      <c r="H2050" s="49" t="s">
        <v>2827</v>
      </c>
      <c r="I2050" s="50">
        <v>42809</v>
      </c>
      <c r="J2050" s="50">
        <v>42850</v>
      </c>
      <c r="K2050" s="50">
        <v>43033</v>
      </c>
      <c r="M2050" s="49" t="s">
        <v>8897</v>
      </c>
    </row>
    <row r="2051" spans="1:13" x14ac:dyDescent="0.35">
      <c r="A2051" s="49" t="s">
        <v>14806</v>
      </c>
      <c r="B2051" s="49" t="s">
        <v>10299</v>
      </c>
      <c r="C2051" s="49"/>
      <c r="D2051" s="49" t="s">
        <v>1264</v>
      </c>
      <c r="E2051" s="49" t="s">
        <v>2814</v>
      </c>
      <c r="F2051" s="49" t="s">
        <v>2825</v>
      </c>
      <c r="G2051" s="49" t="s">
        <v>2776</v>
      </c>
      <c r="H2051" s="49" t="s">
        <v>2827</v>
      </c>
      <c r="I2051" s="50">
        <v>42809</v>
      </c>
      <c r="M2051" s="49" t="s">
        <v>3470</v>
      </c>
    </row>
    <row r="2052" spans="1:13" x14ac:dyDescent="0.35">
      <c r="A2052" s="49" t="s">
        <v>14806</v>
      </c>
      <c r="B2052" s="49" t="s">
        <v>10395</v>
      </c>
      <c r="C2052" s="49" t="s">
        <v>7509</v>
      </c>
      <c r="D2052" s="49" t="s">
        <v>1264</v>
      </c>
      <c r="E2052" s="49" t="s">
        <v>2814</v>
      </c>
      <c r="F2052" s="49" t="s">
        <v>2825</v>
      </c>
      <c r="G2052" s="49" t="s">
        <v>2776</v>
      </c>
      <c r="H2052" s="49" t="s">
        <v>2827</v>
      </c>
      <c r="I2052" s="50">
        <v>43563</v>
      </c>
      <c r="M2052" s="49" t="s">
        <v>10396</v>
      </c>
    </row>
    <row r="2053" spans="1:13" x14ac:dyDescent="0.35">
      <c r="A2053" s="49" t="s">
        <v>14806</v>
      </c>
      <c r="B2053" s="49" t="s">
        <v>12036</v>
      </c>
      <c r="C2053" s="49"/>
      <c r="D2053" s="49" t="s">
        <v>1264</v>
      </c>
      <c r="E2053" s="49" t="s">
        <v>2986</v>
      </c>
      <c r="F2053" s="49" t="s">
        <v>2825</v>
      </c>
      <c r="G2053" s="49" t="s">
        <v>2776</v>
      </c>
      <c r="H2053" s="49" t="s">
        <v>2827</v>
      </c>
      <c r="I2053" s="50">
        <v>45294</v>
      </c>
      <c r="M2053" s="49" t="s">
        <v>3682</v>
      </c>
    </row>
    <row r="2054" spans="1:13" x14ac:dyDescent="0.35">
      <c r="A2054" s="49" t="s">
        <v>14806</v>
      </c>
      <c r="B2054" s="49" t="s">
        <v>12186</v>
      </c>
      <c r="C2054" s="49" t="s">
        <v>12187</v>
      </c>
      <c r="D2054" s="49" t="s">
        <v>1264</v>
      </c>
      <c r="E2054" s="49" t="s">
        <v>2986</v>
      </c>
      <c r="F2054" s="49" t="s">
        <v>2825</v>
      </c>
      <c r="G2054" s="49" t="s">
        <v>2776</v>
      </c>
      <c r="H2054" s="49" t="s">
        <v>2827</v>
      </c>
      <c r="I2054" s="50">
        <v>45335</v>
      </c>
      <c r="M2054" s="49" t="s">
        <v>3682</v>
      </c>
    </row>
    <row r="2055" spans="1:13" x14ac:dyDescent="0.35">
      <c r="A2055" s="49" t="s">
        <v>14806</v>
      </c>
      <c r="B2055" s="49" t="s">
        <v>12692</v>
      </c>
      <c r="C2055" s="49" t="s">
        <v>3679</v>
      </c>
      <c r="D2055" s="49" t="s">
        <v>1264</v>
      </c>
      <c r="E2055" s="49" t="s">
        <v>2986</v>
      </c>
      <c r="F2055" s="49" t="s">
        <v>2825</v>
      </c>
      <c r="G2055" s="49" t="s">
        <v>4891</v>
      </c>
      <c r="H2055" s="49" t="s">
        <v>2827</v>
      </c>
      <c r="I2055" s="50">
        <v>45426</v>
      </c>
      <c r="M2055" s="49" t="s">
        <v>12693</v>
      </c>
    </row>
    <row r="2056" spans="1:13" x14ac:dyDescent="0.35">
      <c r="A2056" s="49" t="s">
        <v>15388</v>
      </c>
      <c r="B2056" s="49" t="s">
        <v>9405</v>
      </c>
      <c r="C2056" s="49"/>
      <c r="D2056" s="49" t="s">
        <v>1264</v>
      </c>
      <c r="E2056" s="49" t="s">
        <v>2785</v>
      </c>
      <c r="F2056" s="49" t="s">
        <v>2792</v>
      </c>
      <c r="G2056" s="49" t="s">
        <v>2776</v>
      </c>
      <c r="H2056" s="49" t="s">
        <v>980</v>
      </c>
      <c r="I2056" s="50">
        <v>43749</v>
      </c>
      <c r="M2056" s="49" t="s">
        <v>9407</v>
      </c>
    </row>
    <row r="2057" spans="1:13" x14ac:dyDescent="0.35">
      <c r="A2057" s="49" t="s">
        <v>11472</v>
      </c>
      <c r="B2057" s="49" t="s">
        <v>11471</v>
      </c>
      <c r="C2057" s="49"/>
      <c r="D2057" s="49" t="s">
        <v>1264</v>
      </c>
      <c r="E2057" s="49" t="s">
        <v>2774</v>
      </c>
      <c r="F2057" s="49" t="s">
        <v>2900</v>
      </c>
      <c r="G2057" s="49" t="s">
        <v>2776</v>
      </c>
      <c r="H2057" s="49" t="s">
        <v>3229</v>
      </c>
      <c r="I2057" s="50">
        <v>45120</v>
      </c>
      <c r="M2057" s="49" t="s">
        <v>11473</v>
      </c>
    </row>
    <row r="2058" spans="1:13" x14ac:dyDescent="0.35">
      <c r="A2058" s="49" t="s">
        <v>397</v>
      </c>
      <c r="B2058" s="49" t="s">
        <v>3880</v>
      </c>
      <c r="C2058" s="49" t="s">
        <v>3881</v>
      </c>
      <c r="D2058" s="49" t="s">
        <v>1264</v>
      </c>
      <c r="E2058" s="49" t="s">
        <v>2785</v>
      </c>
      <c r="F2058" s="49" t="s">
        <v>2786</v>
      </c>
      <c r="G2058" s="49" t="s">
        <v>2787</v>
      </c>
      <c r="H2058" s="49" t="s">
        <v>980</v>
      </c>
      <c r="I2058" s="50">
        <v>43481</v>
      </c>
      <c r="J2058" s="50">
        <v>43571</v>
      </c>
      <c r="K2058" s="50">
        <v>44368</v>
      </c>
      <c r="M2058" s="49" t="s">
        <v>3883</v>
      </c>
    </row>
    <row r="2059" spans="1:13" ht="58" x14ac:dyDescent="0.35">
      <c r="A2059" s="49" t="s">
        <v>397</v>
      </c>
      <c r="B2059" s="49" t="s">
        <v>4390</v>
      </c>
      <c r="C2059" s="51" t="s">
        <v>4391</v>
      </c>
      <c r="D2059" s="49" t="s">
        <v>1264</v>
      </c>
      <c r="E2059" s="49" t="s">
        <v>2785</v>
      </c>
      <c r="F2059" s="49" t="s">
        <v>2805</v>
      </c>
      <c r="G2059" s="49" t="s">
        <v>2787</v>
      </c>
      <c r="H2059" s="49" t="s">
        <v>980</v>
      </c>
      <c r="I2059" s="50">
        <v>44755</v>
      </c>
      <c r="J2059" s="50">
        <v>44804</v>
      </c>
      <c r="K2059" s="50">
        <v>44806</v>
      </c>
      <c r="L2059" s="50">
        <v>45169</v>
      </c>
      <c r="M2059" s="49" t="s">
        <v>4392</v>
      </c>
    </row>
    <row r="2060" spans="1:13" x14ac:dyDescent="0.35">
      <c r="A2060" s="49" t="s">
        <v>397</v>
      </c>
      <c r="B2060" s="49" t="s">
        <v>4512</v>
      </c>
      <c r="C2060" s="49"/>
      <c r="D2060" s="49" t="s">
        <v>1264</v>
      </c>
      <c r="E2060" s="49" t="s">
        <v>2785</v>
      </c>
      <c r="F2060" s="49" t="s">
        <v>2786</v>
      </c>
      <c r="G2060" s="49" t="s">
        <v>2787</v>
      </c>
      <c r="H2060" s="49" t="s">
        <v>980</v>
      </c>
      <c r="I2060" s="50">
        <v>44435</v>
      </c>
      <c r="K2060" s="50">
        <v>44492</v>
      </c>
      <c r="M2060" s="49" t="s">
        <v>4513</v>
      </c>
    </row>
    <row r="2061" spans="1:13" x14ac:dyDescent="0.35">
      <c r="A2061" s="49" t="s">
        <v>397</v>
      </c>
      <c r="B2061" s="49" t="s">
        <v>4704</v>
      </c>
      <c r="C2061" s="49" t="s">
        <v>4705</v>
      </c>
      <c r="D2061" s="49" t="s">
        <v>1264</v>
      </c>
      <c r="E2061" s="49" t="s">
        <v>2785</v>
      </c>
      <c r="F2061" s="49" t="s">
        <v>2786</v>
      </c>
      <c r="G2061" s="49" t="s">
        <v>2787</v>
      </c>
      <c r="H2061" s="49" t="s">
        <v>980</v>
      </c>
      <c r="I2061" s="50">
        <v>44435</v>
      </c>
      <c r="K2061" s="50">
        <v>45511</v>
      </c>
      <c r="M2061" s="49" t="s">
        <v>4706</v>
      </c>
    </row>
    <row r="2062" spans="1:13" x14ac:dyDescent="0.35">
      <c r="A2062" s="49" t="s">
        <v>397</v>
      </c>
      <c r="B2062" s="49" t="s">
        <v>4866</v>
      </c>
      <c r="C2062" s="49" t="s">
        <v>3586</v>
      </c>
      <c r="D2062" s="49" t="s">
        <v>1264</v>
      </c>
      <c r="E2062" s="49" t="s">
        <v>2785</v>
      </c>
      <c r="F2062" s="49" t="s">
        <v>2786</v>
      </c>
      <c r="G2062" s="49" t="s">
        <v>2787</v>
      </c>
      <c r="H2062" s="49" t="s">
        <v>980</v>
      </c>
      <c r="I2062" s="50">
        <v>44614</v>
      </c>
      <c r="J2062" s="50">
        <v>44783</v>
      </c>
      <c r="K2062" s="50">
        <v>45428</v>
      </c>
      <c r="M2062" s="49" t="s">
        <v>4867</v>
      </c>
    </row>
    <row r="2063" spans="1:13" x14ac:dyDescent="0.35">
      <c r="A2063" s="49" t="s">
        <v>397</v>
      </c>
      <c r="B2063" s="49" t="s">
        <v>5581</v>
      </c>
      <c r="C2063" s="49" t="s">
        <v>3586</v>
      </c>
      <c r="D2063" s="49" t="s">
        <v>1264</v>
      </c>
      <c r="E2063" s="49" t="s">
        <v>2785</v>
      </c>
      <c r="F2063" s="49" t="s">
        <v>2786</v>
      </c>
      <c r="G2063" s="49" t="s">
        <v>2787</v>
      </c>
      <c r="H2063" s="49" t="s">
        <v>980</v>
      </c>
      <c r="I2063" s="50">
        <v>44916</v>
      </c>
      <c r="J2063" s="50">
        <v>45090</v>
      </c>
      <c r="K2063" s="50">
        <v>45455</v>
      </c>
      <c r="M2063" s="49" t="s">
        <v>5582</v>
      </c>
    </row>
    <row r="2064" spans="1:13" x14ac:dyDescent="0.35">
      <c r="A2064" s="49" t="s">
        <v>397</v>
      </c>
      <c r="B2064" s="49" t="s">
        <v>5839</v>
      </c>
      <c r="C2064" s="49" t="s">
        <v>5800</v>
      </c>
      <c r="D2064" s="49" t="s">
        <v>1264</v>
      </c>
      <c r="E2064" s="49" t="s">
        <v>2785</v>
      </c>
      <c r="F2064" s="49" t="s">
        <v>2786</v>
      </c>
      <c r="G2064" s="49" t="s">
        <v>2787</v>
      </c>
      <c r="H2064" s="49" t="s">
        <v>980</v>
      </c>
      <c r="I2064" s="50">
        <v>44984</v>
      </c>
      <c r="J2064" s="50">
        <v>45090</v>
      </c>
      <c r="K2064" s="50">
        <v>45455</v>
      </c>
      <c r="M2064" s="49" t="s">
        <v>5582</v>
      </c>
    </row>
    <row r="2065" spans="1:13" x14ac:dyDescent="0.35">
      <c r="A2065" s="49" t="s">
        <v>397</v>
      </c>
      <c r="B2065" s="49" t="s">
        <v>6933</v>
      </c>
      <c r="C2065" s="49" t="s">
        <v>4262</v>
      </c>
      <c r="D2065" s="49" t="s">
        <v>1264</v>
      </c>
      <c r="E2065" s="49" t="s">
        <v>2785</v>
      </c>
      <c r="F2065" s="49" t="s">
        <v>4048</v>
      </c>
      <c r="G2065" s="49" t="s">
        <v>4891</v>
      </c>
      <c r="H2065" s="49" t="s">
        <v>973</v>
      </c>
      <c r="I2065" s="52">
        <v>46150.5072685185</v>
      </c>
      <c r="M2065" s="49" t="s">
        <v>6934</v>
      </c>
    </row>
    <row r="2066" spans="1:13" x14ac:dyDescent="0.35">
      <c r="A2066" s="49" t="s">
        <v>397</v>
      </c>
      <c r="B2066" s="49" t="s">
        <v>7564</v>
      </c>
      <c r="C2066" s="49"/>
      <c r="D2066" s="49" t="s">
        <v>1264</v>
      </c>
      <c r="E2066" s="49" t="s">
        <v>2785</v>
      </c>
      <c r="F2066" s="49" t="s">
        <v>2786</v>
      </c>
      <c r="G2066" s="49" t="s">
        <v>2787</v>
      </c>
      <c r="H2066" s="49" t="s">
        <v>980</v>
      </c>
      <c r="I2066" s="50">
        <v>42867</v>
      </c>
      <c r="J2066" s="50">
        <v>42999</v>
      </c>
      <c r="K2066" s="50">
        <v>43179</v>
      </c>
      <c r="M2066" s="49" t="s">
        <v>6081</v>
      </c>
    </row>
    <row r="2067" spans="1:13" x14ac:dyDescent="0.35">
      <c r="A2067" s="49" t="s">
        <v>397</v>
      </c>
      <c r="B2067" s="49" t="s">
        <v>9442</v>
      </c>
      <c r="C2067" s="49" t="s">
        <v>3218</v>
      </c>
      <c r="D2067" s="49" t="s">
        <v>1264</v>
      </c>
      <c r="E2067" s="49" t="s">
        <v>2785</v>
      </c>
      <c r="F2067" s="49" t="s">
        <v>2805</v>
      </c>
      <c r="G2067" s="49" t="s">
        <v>2776</v>
      </c>
      <c r="H2067" s="49" t="s">
        <v>980</v>
      </c>
      <c r="I2067" s="50">
        <v>44026</v>
      </c>
      <c r="M2067" s="49" t="s">
        <v>6081</v>
      </c>
    </row>
    <row r="2068" spans="1:13" x14ac:dyDescent="0.35">
      <c r="A2068" s="49" t="s">
        <v>397</v>
      </c>
      <c r="B2068" s="49" t="s">
        <v>10001</v>
      </c>
      <c r="C2068" s="49" t="s">
        <v>6474</v>
      </c>
      <c r="D2068" s="49" t="s">
        <v>1264</v>
      </c>
      <c r="E2068" s="49" t="s">
        <v>2785</v>
      </c>
      <c r="F2068" s="49" t="s">
        <v>2805</v>
      </c>
      <c r="G2068" s="49" t="s">
        <v>2776</v>
      </c>
      <c r="H2068" s="49" t="s">
        <v>980</v>
      </c>
      <c r="I2068" s="50">
        <v>43840</v>
      </c>
      <c r="M2068" s="49" t="s">
        <v>6623</v>
      </c>
    </row>
    <row r="2069" spans="1:13" x14ac:dyDescent="0.35">
      <c r="A2069" s="49" t="s">
        <v>397</v>
      </c>
      <c r="B2069" s="49" t="s">
        <v>12374</v>
      </c>
      <c r="C2069" s="49" t="s">
        <v>3784</v>
      </c>
      <c r="D2069" s="49" t="s">
        <v>1264</v>
      </c>
      <c r="E2069" s="49" t="s">
        <v>2785</v>
      </c>
      <c r="F2069" s="49" t="s">
        <v>2805</v>
      </c>
      <c r="G2069" s="49" t="s">
        <v>4891</v>
      </c>
      <c r="H2069" s="49" t="s">
        <v>2827</v>
      </c>
      <c r="I2069" s="50">
        <v>45385</v>
      </c>
      <c r="M2069" s="49" t="s">
        <v>12375</v>
      </c>
    </row>
    <row r="2070" spans="1:13" x14ac:dyDescent="0.35">
      <c r="A2070" s="49" t="s">
        <v>397</v>
      </c>
      <c r="B2070" s="49" t="s">
        <v>12464</v>
      </c>
      <c r="C2070" s="49" t="s">
        <v>12401</v>
      </c>
      <c r="D2070" s="49" t="s">
        <v>1264</v>
      </c>
      <c r="E2070" s="49" t="s">
        <v>2908</v>
      </c>
      <c r="F2070" s="49" t="s">
        <v>2837</v>
      </c>
      <c r="G2070" s="49" t="s">
        <v>4891</v>
      </c>
      <c r="H2070" s="49" t="s">
        <v>2827</v>
      </c>
      <c r="I2070" s="50">
        <v>45370</v>
      </c>
      <c r="M2070" s="49" t="s">
        <v>12465</v>
      </c>
    </row>
    <row r="2071" spans="1:13" x14ac:dyDescent="0.35">
      <c r="A2071" s="49" t="s">
        <v>397</v>
      </c>
      <c r="B2071" s="49" t="s">
        <v>12524</v>
      </c>
      <c r="C2071" s="49" t="s">
        <v>11264</v>
      </c>
      <c r="D2071" s="49" t="s">
        <v>1264</v>
      </c>
      <c r="E2071" s="49" t="s">
        <v>2908</v>
      </c>
      <c r="F2071" s="49" t="s">
        <v>2837</v>
      </c>
      <c r="G2071" s="49" t="s">
        <v>4891</v>
      </c>
      <c r="H2071" s="49" t="s">
        <v>973</v>
      </c>
      <c r="I2071" s="50">
        <v>45428</v>
      </c>
      <c r="M2071" s="49" t="s">
        <v>12525</v>
      </c>
    </row>
    <row r="2072" spans="1:13" x14ac:dyDescent="0.35">
      <c r="A2072" s="49" t="s">
        <v>397</v>
      </c>
      <c r="B2072" s="49" t="s">
        <v>13006</v>
      </c>
      <c r="C2072" s="49" t="s">
        <v>5810</v>
      </c>
      <c r="D2072" s="49" t="s">
        <v>1264</v>
      </c>
      <c r="E2072" s="49" t="s">
        <v>2785</v>
      </c>
      <c r="F2072" s="49" t="s">
        <v>2805</v>
      </c>
      <c r="G2072" s="49" t="s">
        <v>4891</v>
      </c>
      <c r="H2072" s="49" t="s">
        <v>980</v>
      </c>
      <c r="I2072" s="52">
        <v>46008.596111111103</v>
      </c>
      <c r="M2072" s="49" t="s">
        <v>13007</v>
      </c>
    </row>
    <row r="2073" spans="1:13" x14ac:dyDescent="0.35">
      <c r="A2073" s="49" t="s">
        <v>397</v>
      </c>
      <c r="B2073" s="49" t="s">
        <v>13017</v>
      </c>
      <c r="C2073" s="49" t="s">
        <v>13018</v>
      </c>
      <c r="D2073" s="49" t="s">
        <v>1264</v>
      </c>
      <c r="E2073" s="49" t="s">
        <v>2785</v>
      </c>
      <c r="F2073" s="49" t="s">
        <v>2786</v>
      </c>
      <c r="G2073" s="49" t="s">
        <v>4891</v>
      </c>
      <c r="H2073" s="49" t="s">
        <v>980</v>
      </c>
      <c r="I2073" s="52">
        <v>46022.385289351798</v>
      </c>
      <c r="M2073" s="49" t="s">
        <v>13019</v>
      </c>
    </row>
    <row r="2074" spans="1:13" x14ac:dyDescent="0.35">
      <c r="A2074" s="49" t="s">
        <v>14451</v>
      </c>
      <c r="B2074" s="49" t="s">
        <v>8711</v>
      </c>
      <c r="C2074" s="49" t="s">
        <v>8712</v>
      </c>
      <c r="D2074" s="49" t="s">
        <v>1264</v>
      </c>
      <c r="E2074" s="49" t="s">
        <v>2774</v>
      </c>
      <c r="F2074" s="49" t="s">
        <v>2900</v>
      </c>
      <c r="G2074" s="49" t="s">
        <v>2776</v>
      </c>
      <c r="H2074" s="49" t="s">
        <v>2827</v>
      </c>
      <c r="I2074" s="50">
        <v>41345</v>
      </c>
      <c r="M2074" s="49" t="s">
        <v>8714</v>
      </c>
    </row>
    <row r="2075" spans="1:13" x14ac:dyDescent="0.35">
      <c r="A2075" s="49" t="s">
        <v>15389</v>
      </c>
      <c r="B2075" s="49" t="s">
        <v>13951</v>
      </c>
      <c r="C2075" s="49"/>
      <c r="D2075" s="49" t="s">
        <v>1264</v>
      </c>
      <c r="E2075" s="49" t="s">
        <v>2774</v>
      </c>
      <c r="G2075" s="49" t="s">
        <v>2776</v>
      </c>
      <c r="H2075" s="49" t="s">
        <v>2827</v>
      </c>
      <c r="I2075" s="50">
        <v>43087</v>
      </c>
      <c r="M2075" s="49" t="s">
        <v>13953</v>
      </c>
    </row>
    <row r="2076" spans="1:13" x14ac:dyDescent="0.35">
      <c r="A2076" s="49" t="s">
        <v>14102</v>
      </c>
      <c r="B2076" s="49" t="s">
        <v>3441</v>
      </c>
      <c r="C2076" s="49" t="s">
        <v>3123</v>
      </c>
      <c r="D2076" s="49" t="s">
        <v>1264</v>
      </c>
      <c r="E2076" s="49" t="s">
        <v>3443</v>
      </c>
      <c r="F2076" s="49" t="s">
        <v>3124</v>
      </c>
      <c r="G2076" s="49" t="s">
        <v>2921</v>
      </c>
      <c r="H2076" s="49" t="s">
        <v>980</v>
      </c>
      <c r="I2076" s="50">
        <v>42279</v>
      </c>
      <c r="J2076" s="50">
        <v>42466</v>
      </c>
      <c r="K2076" s="50">
        <v>44291</v>
      </c>
      <c r="M2076" s="49" t="s">
        <v>3444</v>
      </c>
    </row>
    <row r="2077" spans="1:13" x14ac:dyDescent="0.35">
      <c r="A2077" s="49" t="s">
        <v>9806</v>
      </c>
      <c r="B2077" s="49" t="s">
        <v>9804</v>
      </c>
      <c r="C2077" s="49" t="s">
        <v>9805</v>
      </c>
      <c r="D2077" s="49" t="s">
        <v>1264</v>
      </c>
      <c r="E2077" s="49" t="s">
        <v>2785</v>
      </c>
      <c r="F2077" s="49" t="s">
        <v>2786</v>
      </c>
      <c r="G2077" s="49" t="s">
        <v>2776</v>
      </c>
      <c r="H2077" s="49" t="s">
        <v>1062</v>
      </c>
      <c r="I2077" s="50">
        <v>42310</v>
      </c>
      <c r="M2077" s="49" t="s">
        <v>9807</v>
      </c>
    </row>
    <row r="2078" spans="1:13" x14ac:dyDescent="0.35">
      <c r="A2078" s="49" t="s">
        <v>9806</v>
      </c>
      <c r="B2078" s="49" t="s">
        <v>9831</v>
      </c>
      <c r="C2078" s="49"/>
      <c r="D2078" s="49" t="s">
        <v>1264</v>
      </c>
      <c r="E2078" s="49" t="s">
        <v>2785</v>
      </c>
      <c r="F2078" s="49" t="s">
        <v>2792</v>
      </c>
      <c r="G2078" s="49" t="s">
        <v>2776</v>
      </c>
      <c r="H2078" s="49" t="s">
        <v>1062</v>
      </c>
      <c r="I2078" s="50">
        <v>42562</v>
      </c>
      <c r="M2078" s="49" t="s">
        <v>9833</v>
      </c>
    </row>
    <row r="2079" spans="1:13" x14ac:dyDescent="0.35">
      <c r="A2079" s="49" t="s">
        <v>9806</v>
      </c>
      <c r="B2079" s="49" t="s">
        <v>10005</v>
      </c>
      <c r="C2079" s="49"/>
      <c r="D2079" s="49" t="s">
        <v>1264</v>
      </c>
      <c r="E2079" s="49" t="s">
        <v>2785</v>
      </c>
      <c r="F2079" s="49" t="s">
        <v>2786</v>
      </c>
      <c r="G2079" s="49" t="s">
        <v>2776</v>
      </c>
      <c r="H2079" s="49" t="s">
        <v>1062</v>
      </c>
      <c r="I2079" s="50">
        <v>41647</v>
      </c>
      <c r="M2079" s="49" t="s">
        <v>10006</v>
      </c>
    </row>
    <row r="2080" spans="1:13" x14ac:dyDescent="0.35">
      <c r="A2080" s="49" t="s">
        <v>9806</v>
      </c>
      <c r="B2080" s="49" t="s">
        <v>10011</v>
      </c>
      <c r="C2080" s="49" t="s">
        <v>10012</v>
      </c>
      <c r="D2080" s="49" t="s">
        <v>1264</v>
      </c>
      <c r="E2080" s="49" t="s">
        <v>2785</v>
      </c>
      <c r="F2080" s="49" t="s">
        <v>2786</v>
      </c>
      <c r="G2080" s="49" t="s">
        <v>2826</v>
      </c>
      <c r="H2080" s="49" t="s">
        <v>1062</v>
      </c>
      <c r="I2080" s="50">
        <v>41626</v>
      </c>
      <c r="M2080" s="49" t="s">
        <v>10013</v>
      </c>
    </row>
    <row r="2081" spans="1:13" x14ac:dyDescent="0.35">
      <c r="A2081" s="49" t="s">
        <v>15390</v>
      </c>
      <c r="B2081" s="49" t="s">
        <v>3833</v>
      </c>
      <c r="C2081" s="49" t="s">
        <v>3834</v>
      </c>
      <c r="D2081" s="49" t="s">
        <v>1264</v>
      </c>
      <c r="E2081" s="49" t="s">
        <v>2986</v>
      </c>
      <c r="F2081" s="49" t="s">
        <v>2825</v>
      </c>
      <c r="G2081" s="49" t="s">
        <v>2787</v>
      </c>
      <c r="H2081" s="49" t="s">
        <v>2827</v>
      </c>
      <c r="I2081" s="50">
        <v>43363</v>
      </c>
      <c r="J2081" s="50">
        <v>43433</v>
      </c>
      <c r="K2081" s="50">
        <v>44528</v>
      </c>
      <c r="M2081" s="49" t="s">
        <v>3270</v>
      </c>
    </row>
    <row r="2082" spans="1:13" x14ac:dyDescent="0.35">
      <c r="A2082" s="49" t="s">
        <v>15390</v>
      </c>
      <c r="B2082" s="49" t="s">
        <v>11922</v>
      </c>
      <c r="C2082" s="49" t="s">
        <v>11923</v>
      </c>
      <c r="D2082" s="49" t="s">
        <v>1264</v>
      </c>
      <c r="E2082" s="49" t="s">
        <v>2986</v>
      </c>
      <c r="F2082" s="49" t="s">
        <v>2825</v>
      </c>
      <c r="G2082" s="49" t="s">
        <v>4891</v>
      </c>
      <c r="H2082" s="49" t="s">
        <v>2827</v>
      </c>
      <c r="I2082" s="50">
        <v>45287</v>
      </c>
      <c r="M2082" s="49" t="s">
        <v>3270</v>
      </c>
    </row>
    <row r="2083" spans="1:13" x14ac:dyDescent="0.35">
      <c r="A2083" s="49" t="s">
        <v>15390</v>
      </c>
      <c r="B2083" s="49" t="s">
        <v>11999</v>
      </c>
      <c r="C2083" s="49" t="s">
        <v>12000</v>
      </c>
      <c r="D2083" s="49" t="s">
        <v>1264</v>
      </c>
      <c r="E2083" s="49" t="s">
        <v>2986</v>
      </c>
      <c r="F2083" s="49" t="s">
        <v>2825</v>
      </c>
      <c r="G2083" s="49" t="s">
        <v>4891</v>
      </c>
      <c r="H2083" s="49" t="s">
        <v>2827</v>
      </c>
      <c r="I2083" s="50">
        <v>45289</v>
      </c>
      <c r="M2083" s="49" t="s">
        <v>5565</v>
      </c>
    </row>
    <row r="2084" spans="1:13" x14ac:dyDescent="0.35">
      <c r="A2084" s="49" t="s">
        <v>15390</v>
      </c>
      <c r="B2084" s="49" t="s">
        <v>12001</v>
      </c>
      <c r="C2084" s="49" t="s">
        <v>12002</v>
      </c>
      <c r="D2084" s="49" t="s">
        <v>1264</v>
      </c>
      <c r="E2084" s="49" t="s">
        <v>2986</v>
      </c>
      <c r="F2084" s="49" t="s">
        <v>2825</v>
      </c>
      <c r="G2084" s="49" t="s">
        <v>4891</v>
      </c>
      <c r="H2084" s="49" t="s">
        <v>2827</v>
      </c>
      <c r="I2084" s="50">
        <v>45289</v>
      </c>
      <c r="M2084" s="49" t="s">
        <v>3270</v>
      </c>
    </row>
    <row r="2085" spans="1:13" x14ac:dyDescent="0.35">
      <c r="A2085" s="49" t="s">
        <v>15390</v>
      </c>
      <c r="B2085" s="49" t="s">
        <v>12431</v>
      </c>
      <c r="C2085" s="49"/>
      <c r="D2085" s="49" t="s">
        <v>1264</v>
      </c>
      <c r="E2085" s="49" t="s">
        <v>2814</v>
      </c>
      <c r="F2085" s="49" t="s">
        <v>2825</v>
      </c>
      <c r="G2085" s="49" t="s">
        <v>2776</v>
      </c>
      <c r="H2085" s="49" t="s">
        <v>2827</v>
      </c>
      <c r="I2085" s="50">
        <v>45418</v>
      </c>
      <c r="M2085" s="49" t="s">
        <v>8471</v>
      </c>
    </row>
    <row r="2086" spans="1:13" x14ac:dyDescent="0.35">
      <c r="A2086" s="49" t="s">
        <v>15390</v>
      </c>
      <c r="B2086" s="49" t="s">
        <v>13657</v>
      </c>
      <c r="C2086" s="49" t="s">
        <v>11923</v>
      </c>
      <c r="D2086" s="49" t="s">
        <v>1264</v>
      </c>
      <c r="E2086" s="49" t="s">
        <v>2986</v>
      </c>
      <c r="F2086" s="49" t="s">
        <v>2825</v>
      </c>
      <c r="G2086" s="49" t="s">
        <v>2776</v>
      </c>
      <c r="H2086" s="49" t="s">
        <v>2827</v>
      </c>
      <c r="I2086" s="50">
        <v>43360</v>
      </c>
      <c r="M2086" s="49" t="s">
        <v>13658</v>
      </c>
    </row>
    <row r="2087" spans="1:13" x14ac:dyDescent="0.35">
      <c r="A2087" s="49" t="s">
        <v>15391</v>
      </c>
      <c r="B2087" s="49" t="s">
        <v>10117</v>
      </c>
      <c r="C2087" s="49"/>
      <c r="D2087" s="49" t="s">
        <v>1264</v>
      </c>
      <c r="E2087" s="49" t="s">
        <v>2814</v>
      </c>
      <c r="F2087" s="49" t="s">
        <v>3010</v>
      </c>
      <c r="G2087" s="49" t="s">
        <v>2787</v>
      </c>
      <c r="H2087" s="49" t="s">
        <v>980</v>
      </c>
      <c r="I2087" s="50">
        <v>41620</v>
      </c>
      <c r="M2087" s="49" t="s">
        <v>10119</v>
      </c>
    </row>
    <row r="2088" spans="1:13" x14ac:dyDescent="0.35">
      <c r="A2088" s="49" t="s">
        <v>15391</v>
      </c>
      <c r="B2088" s="49" t="s">
        <v>10784</v>
      </c>
      <c r="C2088" s="49" t="s">
        <v>3894</v>
      </c>
      <c r="D2088" s="49" t="s">
        <v>1264</v>
      </c>
      <c r="E2088" s="49" t="s">
        <v>2908</v>
      </c>
      <c r="F2088" s="49" t="s">
        <v>3010</v>
      </c>
      <c r="G2088" s="49" t="s">
        <v>2776</v>
      </c>
      <c r="H2088" s="49" t="s">
        <v>980</v>
      </c>
      <c r="I2088" s="50">
        <v>41842</v>
      </c>
      <c r="M2088" s="49" t="s">
        <v>10785</v>
      </c>
    </row>
    <row r="2089" spans="1:13" x14ac:dyDescent="0.35">
      <c r="A2089" s="49" t="s">
        <v>15189</v>
      </c>
      <c r="B2089" s="49" t="s">
        <v>6266</v>
      </c>
      <c r="C2089" s="49"/>
      <c r="D2089" s="49" t="s">
        <v>1264</v>
      </c>
      <c r="E2089" s="49" t="s">
        <v>2986</v>
      </c>
      <c r="F2089" s="49" t="s">
        <v>2825</v>
      </c>
      <c r="G2089" s="49" t="s">
        <v>2901</v>
      </c>
      <c r="H2089" s="49" t="s">
        <v>2827</v>
      </c>
      <c r="I2089" s="50">
        <v>45296</v>
      </c>
      <c r="J2089" s="50">
        <v>45342</v>
      </c>
      <c r="K2089" s="50">
        <v>46437</v>
      </c>
      <c r="M2089" s="49" t="s">
        <v>6268</v>
      </c>
    </row>
    <row r="2090" spans="1:13" x14ac:dyDescent="0.35">
      <c r="A2090" s="49" t="s">
        <v>15189</v>
      </c>
      <c r="B2090" s="49" t="s">
        <v>12191</v>
      </c>
      <c r="C2090" s="49"/>
      <c r="D2090" s="49" t="s">
        <v>1264</v>
      </c>
      <c r="E2090" s="49" t="s">
        <v>2986</v>
      </c>
      <c r="F2090" s="49" t="s">
        <v>2825</v>
      </c>
      <c r="G2090" s="49" t="s">
        <v>4891</v>
      </c>
      <c r="H2090" s="49" t="s">
        <v>2827</v>
      </c>
      <c r="I2090" s="50">
        <v>45303</v>
      </c>
      <c r="M2090" s="49" t="s">
        <v>12192</v>
      </c>
    </row>
    <row r="2091" spans="1:13" x14ac:dyDescent="0.35">
      <c r="A2091" s="49" t="s">
        <v>14863</v>
      </c>
      <c r="B2091" s="49" t="s">
        <v>11343</v>
      </c>
      <c r="C2091" s="49"/>
      <c r="D2091" s="49" t="s">
        <v>1264</v>
      </c>
      <c r="E2091" s="49" t="s">
        <v>2986</v>
      </c>
      <c r="F2091" s="49" t="s">
        <v>2825</v>
      </c>
      <c r="G2091" s="49" t="s">
        <v>4891</v>
      </c>
      <c r="H2091" s="49" t="s">
        <v>2827</v>
      </c>
      <c r="I2091" s="50">
        <v>45035</v>
      </c>
      <c r="M2091" s="49" t="s">
        <v>11345</v>
      </c>
    </row>
    <row r="2092" spans="1:13" x14ac:dyDescent="0.35">
      <c r="A2092" s="49" t="s">
        <v>14929</v>
      </c>
      <c r="B2092" s="49" t="s">
        <v>7607</v>
      </c>
      <c r="C2092" s="49" t="s">
        <v>7608</v>
      </c>
      <c r="D2092" s="49" t="s">
        <v>1264</v>
      </c>
      <c r="E2092" s="49" t="s">
        <v>7057</v>
      </c>
      <c r="F2092" s="49" t="s">
        <v>2825</v>
      </c>
      <c r="G2092" s="49" t="s">
        <v>2787</v>
      </c>
      <c r="H2092" s="49" t="s">
        <v>2827</v>
      </c>
      <c r="I2092" s="50">
        <v>41985</v>
      </c>
      <c r="J2092" s="50">
        <v>42032</v>
      </c>
      <c r="K2092" s="50">
        <v>42762</v>
      </c>
      <c r="M2092" s="49" t="s">
        <v>3085</v>
      </c>
    </row>
    <row r="2093" spans="1:13" x14ac:dyDescent="0.35">
      <c r="A2093" s="49" t="s">
        <v>14929</v>
      </c>
      <c r="B2093" s="49" t="s">
        <v>13625</v>
      </c>
      <c r="C2093" s="49" t="s">
        <v>10683</v>
      </c>
      <c r="D2093" s="49" t="s">
        <v>1264</v>
      </c>
      <c r="E2093" s="49" t="s">
        <v>2986</v>
      </c>
      <c r="F2093" s="49" t="s">
        <v>2825</v>
      </c>
      <c r="G2093" s="49" t="s">
        <v>2776</v>
      </c>
      <c r="H2093" s="49" t="s">
        <v>2827</v>
      </c>
      <c r="I2093" s="50">
        <v>42727</v>
      </c>
      <c r="M2093" s="49" t="s">
        <v>3270</v>
      </c>
    </row>
    <row r="2094" spans="1:13" x14ac:dyDescent="0.35">
      <c r="A2094" s="49" t="s">
        <v>400</v>
      </c>
      <c r="B2094" s="49" t="s">
        <v>3999</v>
      </c>
      <c r="C2094" s="49" t="s">
        <v>4000</v>
      </c>
      <c r="D2094" s="49" t="s">
        <v>1264</v>
      </c>
      <c r="E2094" s="49" t="s">
        <v>2774</v>
      </c>
      <c r="F2094" s="49" t="s">
        <v>2825</v>
      </c>
      <c r="G2094" s="49" t="s">
        <v>2787</v>
      </c>
      <c r="H2094" s="49" t="s">
        <v>2827</v>
      </c>
      <c r="I2094" s="50">
        <v>43871</v>
      </c>
      <c r="J2094" s="50">
        <v>44075</v>
      </c>
      <c r="K2094" s="50">
        <v>45169</v>
      </c>
      <c r="M2094" s="49" t="s">
        <v>4002</v>
      </c>
    </row>
    <row r="2095" spans="1:13" x14ac:dyDescent="0.35">
      <c r="A2095" s="49" t="s">
        <v>400</v>
      </c>
      <c r="B2095" s="49" t="s">
        <v>4679</v>
      </c>
      <c r="C2095" s="49" t="s">
        <v>4680</v>
      </c>
      <c r="D2095" s="49" t="s">
        <v>1264</v>
      </c>
      <c r="E2095" s="49" t="s">
        <v>2986</v>
      </c>
      <c r="F2095" s="49" t="s">
        <v>2825</v>
      </c>
      <c r="G2095" s="49" t="s">
        <v>4330</v>
      </c>
      <c r="H2095" s="49" t="s">
        <v>2827</v>
      </c>
      <c r="I2095" s="50">
        <v>44546</v>
      </c>
      <c r="M2095" s="49" t="s">
        <v>4682</v>
      </c>
    </row>
    <row r="2096" spans="1:13" x14ac:dyDescent="0.35">
      <c r="A2096" s="49" t="s">
        <v>400</v>
      </c>
      <c r="B2096" s="49" t="s">
        <v>4695</v>
      </c>
      <c r="C2096" s="49" t="s">
        <v>4696</v>
      </c>
      <c r="D2096" s="49" t="s">
        <v>1264</v>
      </c>
      <c r="E2096" s="49" t="s">
        <v>2986</v>
      </c>
      <c r="F2096" s="49" t="s">
        <v>2825</v>
      </c>
      <c r="G2096" s="49" t="s">
        <v>4330</v>
      </c>
      <c r="H2096" s="49" t="s">
        <v>2827</v>
      </c>
      <c r="I2096" s="50">
        <v>44546</v>
      </c>
      <c r="M2096" s="49" t="s">
        <v>4697</v>
      </c>
    </row>
    <row r="2097" spans="1:13" x14ac:dyDescent="0.35">
      <c r="A2097" s="49" t="s">
        <v>400</v>
      </c>
      <c r="B2097" s="49" t="s">
        <v>4778</v>
      </c>
      <c r="C2097" s="49" t="s">
        <v>4779</v>
      </c>
      <c r="D2097" s="49" t="s">
        <v>1264</v>
      </c>
      <c r="E2097" s="49" t="s">
        <v>2986</v>
      </c>
      <c r="F2097" s="49" t="s">
        <v>2825</v>
      </c>
      <c r="G2097" s="49" t="s">
        <v>4330</v>
      </c>
      <c r="H2097" s="49" t="s">
        <v>2827</v>
      </c>
      <c r="I2097" s="50">
        <v>44546</v>
      </c>
      <c r="M2097" s="49" t="s">
        <v>4780</v>
      </c>
    </row>
    <row r="2098" spans="1:13" x14ac:dyDescent="0.35">
      <c r="A2098" s="49" t="s">
        <v>400</v>
      </c>
      <c r="B2098" s="49" t="s">
        <v>6172</v>
      </c>
      <c r="C2098" s="49"/>
      <c r="D2098" s="49" t="s">
        <v>1264</v>
      </c>
      <c r="E2098" s="49" t="s">
        <v>2974</v>
      </c>
      <c r="F2098" s="49" t="s">
        <v>2825</v>
      </c>
      <c r="G2098" s="49" t="s">
        <v>2901</v>
      </c>
      <c r="H2098" s="49" t="s">
        <v>2827</v>
      </c>
      <c r="I2098" s="50">
        <v>45294</v>
      </c>
      <c r="J2098" s="50">
        <v>45308</v>
      </c>
      <c r="K2098" s="50">
        <v>47134</v>
      </c>
      <c r="M2098" s="49" t="s">
        <v>6173</v>
      </c>
    </row>
    <row r="2099" spans="1:13" x14ac:dyDescent="0.35">
      <c r="A2099" s="49" t="s">
        <v>400</v>
      </c>
      <c r="B2099" s="49" t="s">
        <v>10940</v>
      </c>
      <c r="C2099" s="49" t="s">
        <v>10941</v>
      </c>
      <c r="D2099" s="49" t="s">
        <v>1264</v>
      </c>
      <c r="E2099" s="49" t="s">
        <v>2986</v>
      </c>
      <c r="F2099" s="49" t="s">
        <v>2825</v>
      </c>
      <c r="G2099" s="49" t="s">
        <v>4891</v>
      </c>
      <c r="H2099" s="49" t="s">
        <v>2827</v>
      </c>
      <c r="I2099" s="50">
        <v>44546</v>
      </c>
      <c r="M2099" s="49" t="s">
        <v>10942</v>
      </c>
    </row>
    <row r="2100" spans="1:13" x14ac:dyDescent="0.35">
      <c r="A2100" s="49" t="s">
        <v>400</v>
      </c>
      <c r="B2100" s="49" t="s">
        <v>10943</v>
      </c>
      <c r="C2100" s="49" t="s">
        <v>10944</v>
      </c>
      <c r="D2100" s="49" t="s">
        <v>1264</v>
      </c>
      <c r="E2100" s="49" t="s">
        <v>2986</v>
      </c>
      <c r="F2100" s="49" t="s">
        <v>2825</v>
      </c>
      <c r="G2100" s="49" t="s">
        <v>2776</v>
      </c>
      <c r="H2100" s="49" t="s">
        <v>2827</v>
      </c>
      <c r="I2100" s="50">
        <v>44546</v>
      </c>
      <c r="M2100" s="49" t="s">
        <v>10945</v>
      </c>
    </row>
    <row r="2101" spans="1:13" x14ac:dyDescent="0.35">
      <c r="A2101" s="49" t="s">
        <v>14155</v>
      </c>
      <c r="B2101" s="49" t="s">
        <v>4105</v>
      </c>
      <c r="C2101" s="49"/>
      <c r="D2101" s="49" t="s">
        <v>1264</v>
      </c>
      <c r="E2101" s="49" t="s">
        <v>2785</v>
      </c>
      <c r="F2101" s="49" t="s">
        <v>2786</v>
      </c>
      <c r="G2101" s="49" t="s">
        <v>2787</v>
      </c>
      <c r="H2101" s="49" t="s">
        <v>835</v>
      </c>
      <c r="I2101" s="50">
        <v>44048</v>
      </c>
      <c r="J2101" s="50">
        <v>44090</v>
      </c>
      <c r="K2101" s="50">
        <v>44454</v>
      </c>
      <c r="M2101" s="49" t="s">
        <v>4107</v>
      </c>
    </row>
    <row r="2102" spans="1:13" x14ac:dyDescent="0.35">
      <c r="A2102" s="49" t="s">
        <v>14155</v>
      </c>
      <c r="B2102" s="49" t="s">
        <v>5352</v>
      </c>
      <c r="C2102" s="49" t="s">
        <v>3135</v>
      </c>
      <c r="D2102" s="49" t="s">
        <v>1264</v>
      </c>
      <c r="E2102" s="49" t="s">
        <v>2785</v>
      </c>
      <c r="F2102" s="49" t="s">
        <v>2786</v>
      </c>
      <c r="G2102" s="49" t="s">
        <v>2787</v>
      </c>
      <c r="H2102" s="49" t="s">
        <v>835</v>
      </c>
      <c r="I2102" s="50">
        <v>44766</v>
      </c>
      <c r="K2102" s="50">
        <v>45511</v>
      </c>
      <c r="M2102" s="49" t="s">
        <v>5353</v>
      </c>
    </row>
    <row r="2103" spans="1:13" x14ac:dyDescent="0.35">
      <c r="A2103" s="49" t="s">
        <v>14155</v>
      </c>
      <c r="B2103" s="49" t="s">
        <v>7372</v>
      </c>
      <c r="C2103" s="49" t="s">
        <v>7373</v>
      </c>
      <c r="D2103" s="49" t="s">
        <v>1264</v>
      </c>
      <c r="E2103" s="49" t="s">
        <v>2785</v>
      </c>
      <c r="F2103" s="49" t="s">
        <v>2786</v>
      </c>
      <c r="G2103" s="49" t="s">
        <v>2787</v>
      </c>
      <c r="H2103" s="49" t="s">
        <v>4225</v>
      </c>
      <c r="I2103" s="50">
        <v>43524</v>
      </c>
      <c r="J2103" s="50">
        <v>43584</v>
      </c>
      <c r="K2103" s="50">
        <v>43766</v>
      </c>
      <c r="M2103" s="49" t="s">
        <v>7374</v>
      </c>
    </row>
    <row r="2104" spans="1:13" x14ac:dyDescent="0.35">
      <c r="A2104" s="49" t="s">
        <v>14155</v>
      </c>
      <c r="B2104" s="49" t="s">
        <v>7377</v>
      </c>
      <c r="C2104" s="49" t="s">
        <v>7378</v>
      </c>
      <c r="D2104" s="49" t="s">
        <v>1264</v>
      </c>
      <c r="E2104" s="49" t="s">
        <v>2785</v>
      </c>
      <c r="F2104" s="49" t="s">
        <v>2786</v>
      </c>
      <c r="G2104" s="49" t="s">
        <v>2787</v>
      </c>
      <c r="H2104" s="49" t="s">
        <v>4225</v>
      </c>
      <c r="I2104" s="50">
        <v>43524</v>
      </c>
      <c r="J2104" s="50">
        <v>43584</v>
      </c>
      <c r="K2104" s="50">
        <v>43766</v>
      </c>
      <c r="M2104" s="49" t="s">
        <v>7379</v>
      </c>
    </row>
    <row r="2105" spans="1:13" x14ac:dyDescent="0.35">
      <c r="A2105" s="49" t="s">
        <v>14155</v>
      </c>
      <c r="B2105" s="49" t="s">
        <v>7380</v>
      </c>
      <c r="C2105" s="49" t="s">
        <v>7269</v>
      </c>
      <c r="D2105" s="49" t="s">
        <v>1264</v>
      </c>
      <c r="E2105" s="49" t="s">
        <v>2785</v>
      </c>
      <c r="F2105" s="49" t="s">
        <v>2786</v>
      </c>
      <c r="G2105" s="49" t="s">
        <v>2787</v>
      </c>
      <c r="H2105" s="49" t="s">
        <v>4225</v>
      </c>
      <c r="I2105" s="50">
        <v>43524</v>
      </c>
      <c r="J2105" s="50">
        <v>43584</v>
      </c>
      <c r="K2105" s="50">
        <v>43766</v>
      </c>
      <c r="M2105" s="49" t="s">
        <v>7381</v>
      </c>
    </row>
    <row r="2106" spans="1:13" x14ac:dyDescent="0.35">
      <c r="A2106" s="49" t="s">
        <v>14155</v>
      </c>
      <c r="B2106" s="49" t="s">
        <v>13212</v>
      </c>
      <c r="C2106" s="49"/>
      <c r="D2106" s="49" t="s">
        <v>1264</v>
      </c>
      <c r="E2106" s="49" t="s">
        <v>2785</v>
      </c>
      <c r="F2106" s="49" t="s">
        <v>2786</v>
      </c>
      <c r="G2106" s="49" t="s">
        <v>4891</v>
      </c>
      <c r="H2106" s="49" t="s">
        <v>980</v>
      </c>
      <c r="I2106" s="52">
        <v>46078.368703703702</v>
      </c>
      <c r="M2106" s="49" t="s">
        <v>13213</v>
      </c>
    </row>
    <row r="2107" spans="1:13" x14ac:dyDescent="0.35">
      <c r="A2107" s="49" t="s">
        <v>14155</v>
      </c>
      <c r="B2107" s="49" t="s">
        <v>13214</v>
      </c>
      <c r="C2107" s="49"/>
      <c r="D2107" s="49" t="s">
        <v>1264</v>
      </c>
      <c r="E2107" s="49" t="s">
        <v>2785</v>
      </c>
      <c r="F2107" s="49" t="s">
        <v>2786</v>
      </c>
      <c r="G2107" s="49" t="s">
        <v>4891</v>
      </c>
      <c r="H2107" s="49" t="s">
        <v>835</v>
      </c>
      <c r="I2107" s="52">
        <v>46078.388912037</v>
      </c>
      <c r="M2107" s="49" t="s">
        <v>13215</v>
      </c>
    </row>
    <row r="2108" spans="1:13" x14ac:dyDescent="0.35">
      <c r="A2108" s="49" t="s">
        <v>14745</v>
      </c>
      <c r="B2108" s="49" t="s">
        <v>8325</v>
      </c>
      <c r="C2108" s="49" t="s">
        <v>3102</v>
      </c>
      <c r="D2108" s="49" t="s">
        <v>1264</v>
      </c>
      <c r="E2108" s="49" t="s">
        <v>2908</v>
      </c>
      <c r="F2108" s="49" t="s">
        <v>2939</v>
      </c>
      <c r="G2108" s="49" t="s">
        <v>2787</v>
      </c>
      <c r="H2108" s="49" t="s">
        <v>8</v>
      </c>
      <c r="I2108" s="50">
        <v>36266</v>
      </c>
      <c r="J2108" s="50">
        <v>36809</v>
      </c>
      <c r="K2108" s="50">
        <v>38634</v>
      </c>
      <c r="M2108" s="49" t="s">
        <v>7289</v>
      </c>
    </row>
    <row r="2109" spans="1:13" x14ac:dyDescent="0.35">
      <c r="A2109" s="49" t="s">
        <v>15392</v>
      </c>
      <c r="B2109" s="49" t="s">
        <v>13183</v>
      </c>
      <c r="C2109" s="49" t="s">
        <v>13184</v>
      </c>
      <c r="D2109" s="49" t="s">
        <v>1264</v>
      </c>
      <c r="E2109" s="49" t="s">
        <v>2986</v>
      </c>
      <c r="F2109" s="49" t="s">
        <v>2825</v>
      </c>
      <c r="G2109" s="49" t="s">
        <v>4891</v>
      </c>
      <c r="H2109" s="49" t="s">
        <v>2827</v>
      </c>
      <c r="I2109" s="52">
        <v>46034.065219907403</v>
      </c>
      <c r="M2109" s="49" t="s">
        <v>3270</v>
      </c>
    </row>
    <row r="2110" spans="1:13" x14ac:dyDescent="0.35">
      <c r="A2110" s="49" t="s">
        <v>15392</v>
      </c>
      <c r="B2110" s="49" t="s">
        <v>13186</v>
      </c>
      <c r="C2110" s="49" t="s">
        <v>13187</v>
      </c>
      <c r="D2110" s="49" t="s">
        <v>1264</v>
      </c>
      <c r="E2110" s="49" t="s">
        <v>2986</v>
      </c>
      <c r="F2110" s="49" t="s">
        <v>2825</v>
      </c>
      <c r="G2110" s="49" t="s">
        <v>4891</v>
      </c>
      <c r="H2110" s="49" t="s">
        <v>2827</v>
      </c>
      <c r="I2110" s="52">
        <v>46034.075231481504</v>
      </c>
      <c r="M2110" s="49" t="s">
        <v>10357</v>
      </c>
    </row>
    <row r="2111" spans="1:13" x14ac:dyDescent="0.35">
      <c r="A2111" s="49" t="s">
        <v>15392</v>
      </c>
      <c r="B2111" s="49" t="s">
        <v>13188</v>
      </c>
      <c r="C2111" s="49" t="s">
        <v>13189</v>
      </c>
      <c r="D2111" s="49" t="s">
        <v>1264</v>
      </c>
      <c r="E2111" s="49" t="s">
        <v>2986</v>
      </c>
      <c r="F2111" s="49" t="s">
        <v>2825</v>
      </c>
      <c r="G2111" s="49" t="s">
        <v>4891</v>
      </c>
      <c r="H2111" s="49" t="s">
        <v>2827</v>
      </c>
      <c r="I2111" s="52">
        <v>46034.084236111099</v>
      </c>
      <c r="M2111" s="49" t="s">
        <v>5948</v>
      </c>
    </row>
    <row r="2112" spans="1:13" x14ac:dyDescent="0.35">
      <c r="A2112" s="49" t="s">
        <v>14132</v>
      </c>
      <c r="B2112" s="49" t="s">
        <v>3778</v>
      </c>
      <c r="C2112" s="49" t="s">
        <v>3779</v>
      </c>
      <c r="D2112" s="49" t="s">
        <v>1264</v>
      </c>
      <c r="E2112" s="49" t="s">
        <v>2774</v>
      </c>
      <c r="F2112" s="49" t="s">
        <v>3781</v>
      </c>
      <c r="G2112" s="49" t="s">
        <v>2776</v>
      </c>
      <c r="H2112" s="49" t="s">
        <v>2827</v>
      </c>
      <c r="I2112" s="50">
        <v>43290</v>
      </c>
      <c r="J2112" s="50">
        <v>43410</v>
      </c>
      <c r="K2112" s="50">
        <v>44871</v>
      </c>
      <c r="M2112" s="49" t="s">
        <v>3782</v>
      </c>
    </row>
    <row r="2113" spans="1:13" x14ac:dyDescent="0.35">
      <c r="A2113" s="49" t="s">
        <v>14132</v>
      </c>
      <c r="B2113" s="49" t="s">
        <v>10575</v>
      </c>
      <c r="C2113" s="49"/>
      <c r="D2113" s="49" t="s">
        <v>1264</v>
      </c>
      <c r="E2113" s="49" t="s">
        <v>2814</v>
      </c>
      <c r="F2113" s="49" t="s">
        <v>4842</v>
      </c>
      <c r="G2113" s="49" t="s">
        <v>2776</v>
      </c>
      <c r="H2113" s="49" t="s">
        <v>2827</v>
      </c>
      <c r="I2113" s="50">
        <v>42888</v>
      </c>
      <c r="M2113" s="49" t="s">
        <v>10576</v>
      </c>
    </row>
    <row r="2114" spans="1:13" x14ac:dyDescent="0.35">
      <c r="A2114" s="49" t="s">
        <v>14930</v>
      </c>
      <c r="B2114" s="49" t="s">
        <v>8048</v>
      </c>
      <c r="C2114" s="49" t="s">
        <v>8049</v>
      </c>
      <c r="D2114" s="49" t="s">
        <v>1264</v>
      </c>
      <c r="E2114" s="49" t="s">
        <v>7057</v>
      </c>
      <c r="F2114" s="49" t="s">
        <v>8051</v>
      </c>
      <c r="G2114" s="49" t="s">
        <v>2826</v>
      </c>
      <c r="H2114" s="49" t="s">
        <v>973</v>
      </c>
      <c r="I2114" s="50">
        <v>38525</v>
      </c>
      <c r="J2114" s="50">
        <v>38639</v>
      </c>
      <c r="K2114" s="50">
        <v>39368</v>
      </c>
      <c r="M2114" s="49" t="s">
        <v>3270</v>
      </c>
    </row>
    <row r="2115" spans="1:13" x14ac:dyDescent="0.35">
      <c r="A2115" s="49" t="s">
        <v>14931</v>
      </c>
      <c r="B2115" s="49" t="s">
        <v>4790</v>
      </c>
      <c r="C2115" s="49" t="s">
        <v>4791</v>
      </c>
      <c r="D2115" s="49" t="s">
        <v>1264</v>
      </c>
      <c r="E2115" s="49" t="s">
        <v>2986</v>
      </c>
      <c r="F2115" s="49" t="s">
        <v>2825</v>
      </c>
      <c r="G2115" s="49" t="s">
        <v>2901</v>
      </c>
      <c r="H2115" s="49" t="s">
        <v>2827</v>
      </c>
      <c r="I2115" s="50">
        <v>44384</v>
      </c>
      <c r="J2115" s="50">
        <v>44642</v>
      </c>
      <c r="K2115" s="50">
        <v>45737</v>
      </c>
      <c r="M2115" s="49" t="s">
        <v>4793</v>
      </c>
    </row>
    <row r="2116" spans="1:13" x14ac:dyDescent="0.35">
      <c r="A2116" s="49" t="s">
        <v>15190</v>
      </c>
      <c r="B2116" s="49" t="s">
        <v>10278</v>
      </c>
      <c r="C2116" s="49"/>
      <c r="D2116" s="49" t="s">
        <v>1264</v>
      </c>
      <c r="E2116" s="49" t="s">
        <v>2814</v>
      </c>
      <c r="F2116" s="49" t="s">
        <v>2825</v>
      </c>
      <c r="G2116" s="49" t="s">
        <v>2776</v>
      </c>
      <c r="H2116" s="49" t="s">
        <v>2827</v>
      </c>
      <c r="I2116" s="50">
        <v>42756</v>
      </c>
      <c r="M2116" s="49" t="s">
        <v>4179</v>
      </c>
    </row>
    <row r="2117" spans="1:13" x14ac:dyDescent="0.35">
      <c r="A2117" s="49" t="s">
        <v>15011</v>
      </c>
      <c r="B2117" s="49" t="s">
        <v>13812</v>
      </c>
      <c r="C2117" s="49" t="s">
        <v>13813</v>
      </c>
      <c r="D2117" s="49" t="s">
        <v>1264</v>
      </c>
      <c r="E2117" s="49" t="s">
        <v>2774</v>
      </c>
      <c r="F2117" s="49" t="s">
        <v>2825</v>
      </c>
      <c r="G2117" s="49" t="s">
        <v>2787</v>
      </c>
      <c r="H2117" s="49" t="s">
        <v>2827</v>
      </c>
      <c r="I2117" s="50">
        <v>41684</v>
      </c>
      <c r="M2117" s="49" t="s">
        <v>13815</v>
      </c>
    </row>
    <row r="2118" spans="1:13" x14ac:dyDescent="0.35">
      <c r="A2118" s="49" t="s">
        <v>14367</v>
      </c>
      <c r="B2118" s="49" t="s">
        <v>7565</v>
      </c>
      <c r="C2118" s="49"/>
      <c r="D2118" s="49" t="s">
        <v>1264</v>
      </c>
      <c r="E2118" s="49" t="s">
        <v>2785</v>
      </c>
      <c r="F2118" s="49" t="s">
        <v>2792</v>
      </c>
      <c r="G2118" s="49" t="s">
        <v>2826</v>
      </c>
      <c r="H2118" s="49" t="s">
        <v>8</v>
      </c>
      <c r="I2118" s="50">
        <v>42920</v>
      </c>
      <c r="J2118" s="50">
        <v>43006</v>
      </c>
      <c r="K2118" s="50">
        <v>43186</v>
      </c>
      <c r="M2118" s="49" t="s">
        <v>7424</v>
      </c>
    </row>
    <row r="2119" spans="1:13" x14ac:dyDescent="0.35">
      <c r="A2119" s="49" t="s">
        <v>14659</v>
      </c>
      <c r="B2119" s="49" t="s">
        <v>13262</v>
      </c>
      <c r="C2119" s="49" t="s">
        <v>13263</v>
      </c>
      <c r="D2119" s="49" t="s">
        <v>1264</v>
      </c>
      <c r="E2119" s="49" t="s">
        <v>2986</v>
      </c>
      <c r="F2119" s="49" t="s">
        <v>2825</v>
      </c>
      <c r="G2119" s="49" t="s">
        <v>4891</v>
      </c>
      <c r="H2119" s="49" t="s">
        <v>2827</v>
      </c>
      <c r="I2119" s="52">
        <v>46055.696643518502</v>
      </c>
      <c r="M2119" s="49" t="s">
        <v>4892</v>
      </c>
    </row>
    <row r="2120" spans="1:13" x14ac:dyDescent="0.35">
      <c r="A2120" s="49" t="s">
        <v>14600</v>
      </c>
      <c r="B2120" s="49" t="s">
        <v>11309</v>
      </c>
      <c r="C2120" s="49"/>
      <c r="D2120" s="49" t="s">
        <v>1264</v>
      </c>
      <c r="E2120" s="49" t="s">
        <v>2785</v>
      </c>
      <c r="F2120" s="49" t="s">
        <v>2792</v>
      </c>
      <c r="G2120" s="49" t="s">
        <v>2776</v>
      </c>
      <c r="H2120" s="49" t="s">
        <v>980</v>
      </c>
      <c r="I2120" s="50">
        <v>45013</v>
      </c>
      <c r="M2120" s="49" t="s">
        <v>11311</v>
      </c>
    </row>
    <row r="2121" spans="1:13" x14ac:dyDescent="0.35">
      <c r="A2121" s="49" t="s">
        <v>5901</v>
      </c>
      <c r="B2121" s="49" t="s">
        <v>6440</v>
      </c>
      <c r="C2121" s="49" t="s">
        <v>6441</v>
      </c>
      <c r="D2121" s="49" t="s">
        <v>1264</v>
      </c>
      <c r="E2121" s="49" t="s">
        <v>2785</v>
      </c>
      <c r="F2121" s="49" t="s">
        <v>2792</v>
      </c>
      <c r="G2121" s="49" t="s">
        <v>2901</v>
      </c>
      <c r="H2121" s="49" t="s">
        <v>980</v>
      </c>
      <c r="I2121" s="50">
        <v>45357</v>
      </c>
      <c r="J2121" s="50">
        <v>45359</v>
      </c>
      <c r="K2121" s="50">
        <v>45723</v>
      </c>
      <c r="M2121" s="49" t="s">
        <v>6443</v>
      </c>
    </row>
    <row r="2122" spans="1:13" x14ac:dyDescent="0.35">
      <c r="A2122" s="49" t="s">
        <v>5901</v>
      </c>
      <c r="B2122" s="49" t="s">
        <v>6444</v>
      </c>
      <c r="C2122" s="49" t="s">
        <v>6445</v>
      </c>
      <c r="D2122" s="49" t="s">
        <v>1264</v>
      </c>
      <c r="E2122" s="49" t="s">
        <v>2785</v>
      </c>
      <c r="F2122" s="49" t="s">
        <v>2792</v>
      </c>
      <c r="G2122" s="49" t="s">
        <v>2901</v>
      </c>
      <c r="H2122" s="49" t="s">
        <v>980</v>
      </c>
      <c r="I2122" s="50">
        <v>45355</v>
      </c>
      <c r="J2122" s="50">
        <v>45359</v>
      </c>
      <c r="K2122" s="50">
        <v>45723</v>
      </c>
      <c r="M2122" s="49" t="s">
        <v>6446</v>
      </c>
    </row>
    <row r="2123" spans="1:13" x14ac:dyDescent="0.35">
      <c r="A2123" s="49" t="s">
        <v>5901</v>
      </c>
      <c r="B2123" s="49" t="s">
        <v>12205</v>
      </c>
      <c r="C2123" s="49" t="s">
        <v>12206</v>
      </c>
      <c r="D2123" s="49" t="s">
        <v>1264</v>
      </c>
      <c r="E2123" s="49" t="s">
        <v>2785</v>
      </c>
      <c r="F2123" s="49" t="s">
        <v>2792</v>
      </c>
      <c r="G2123" s="49" t="s">
        <v>4891</v>
      </c>
      <c r="H2123" s="49" t="s">
        <v>980</v>
      </c>
      <c r="I2123" s="50">
        <v>45357</v>
      </c>
      <c r="M2123" s="49" t="s">
        <v>11311</v>
      </c>
    </row>
    <row r="2124" spans="1:13" x14ac:dyDescent="0.35">
      <c r="A2124" s="49" t="s">
        <v>5901</v>
      </c>
      <c r="B2124" s="49" t="s">
        <v>5900</v>
      </c>
      <c r="C2124" s="49" t="s">
        <v>5901</v>
      </c>
      <c r="D2124" s="49" t="s">
        <v>1264</v>
      </c>
      <c r="E2124" s="49" t="s">
        <v>2785</v>
      </c>
      <c r="F2124" s="49" t="s">
        <v>2792</v>
      </c>
      <c r="G2124" s="49" t="s">
        <v>2787</v>
      </c>
      <c r="H2124" s="49" t="s">
        <v>980</v>
      </c>
      <c r="I2124" s="50">
        <v>45121</v>
      </c>
      <c r="J2124" s="50">
        <v>45211</v>
      </c>
      <c r="K2124" s="50">
        <v>45576</v>
      </c>
      <c r="M2124" s="49" t="s">
        <v>5903</v>
      </c>
    </row>
    <row r="2125" spans="1:13" x14ac:dyDescent="0.35">
      <c r="A2125" s="49" t="s">
        <v>5901</v>
      </c>
      <c r="B2125" s="49" t="s">
        <v>11043</v>
      </c>
      <c r="C2125" s="49" t="s">
        <v>7561</v>
      </c>
      <c r="D2125" s="49" t="s">
        <v>1264</v>
      </c>
      <c r="E2125" s="49" t="s">
        <v>2785</v>
      </c>
      <c r="F2125" s="49" t="s">
        <v>2792</v>
      </c>
      <c r="G2125" s="49" t="s">
        <v>2776</v>
      </c>
      <c r="H2125" s="49" t="s">
        <v>980</v>
      </c>
      <c r="I2125" s="50">
        <v>44646</v>
      </c>
      <c r="M2125" s="49" t="s">
        <v>11044</v>
      </c>
    </row>
    <row r="2126" spans="1:13" x14ac:dyDescent="0.35">
      <c r="A2126" s="49" t="s">
        <v>15191</v>
      </c>
      <c r="B2126" s="49" t="s">
        <v>6778</v>
      </c>
      <c r="C2126" s="49"/>
      <c r="D2126" s="49" t="s">
        <v>1264</v>
      </c>
      <c r="E2126" s="49" t="s">
        <v>2785</v>
      </c>
      <c r="F2126" s="49" t="s">
        <v>2792</v>
      </c>
      <c r="G2126" s="49" t="s">
        <v>2901</v>
      </c>
      <c r="H2126" s="49" t="s">
        <v>980</v>
      </c>
      <c r="I2126" s="52">
        <v>45940.499976851897</v>
      </c>
      <c r="J2126" s="50">
        <v>46013</v>
      </c>
      <c r="K2126" s="50">
        <v>46377</v>
      </c>
      <c r="M2126" s="49" t="s">
        <v>6780</v>
      </c>
    </row>
    <row r="2127" spans="1:13" x14ac:dyDescent="0.35">
      <c r="A2127" s="49" t="s">
        <v>15191</v>
      </c>
      <c r="B2127" s="49" t="s">
        <v>6781</v>
      </c>
      <c r="C2127" s="49"/>
      <c r="D2127" s="49" t="s">
        <v>1264</v>
      </c>
      <c r="E2127" s="49" t="s">
        <v>2785</v>
      </c>
      <c r="F2127" s="49" t="s">
        <v>2792</v>
      </c>
      <c r="G2127" s="49" t="s">
        <v>2901</v>
      </c>
      <c r="H2127" s="49" t="s">
        <v>980</v>
      </c>
      <c r="I2127" s="52">
        <v>45940.557187500002</v>
      </c>
      <c r="J2127" s="50">
        <v>46013</v>
      </c>
      <c r="K2127" s="50">
        <v>46377</v>
      </c>
      <c r="M2127" s="49" t="s">
        <v>6783</v>
      </c>
    </row>
    <row r="2128" spans="1:13" x14ac:dyDescent="0.35">
      <c r="A2128" s="49" t="s">
        <v>15191</v>
      </c>
      <c r="B2128" s="49" t="s">
        <v>6784</v>
      </c>
      <c r="C2128" s="49"/>
      <c r="D2128" s="49" t="s">
        <v>1264</v>
      </c>
      <c r="E2128" s="49" t="s">
        <v>2785</v>
      </c>
      <c r="F2128" s="49" t="s">
        <v>2792</v>
      </c>
      <c r="G2128" s="49" t="s">
        <v>2901</v>
      </c>
      <c r="H2128" s="49" t="s">
        <v>980</v>
      </c>
      <c r="I2128" s="52">
        <v>45940.580578703702</v>
      </c>
      <c r="J2128" s="50">
        <v>46013</v>
      </c>
      <c r="K2128" s="50">
        <v>46377</v>
      </c>
      <c r="M2128" s="49" t="s">
        <v>6785</v>
      </c>
    </row>
    <row r="2129" spans="1:13" x14ac:dyDescent="0.35">
      <c r="A2129" s="49" t="s">
        <v>15191</v>
      </c>
      <c r="B2129" s="49" t="s">
        <v>6786</v>
      </c>
      <c r="C2129" s="49"/>
      <c r="D2129" s="49" t="s">
        <v>1264</v>
      </c>
      <c r="E2129" s="49" t="s">
        <v>2785</v>
      </c>
      <c r="F2129" s="49" t="s">
        <v>2792</v>
      </c>
      <c r="G2129" s="49" t="s">
        <v>2901</v>
      </c>
      <c r="H2129" s="49" t="s">
        <v>980</v>
      </c>
      <c r="I2129" s="52">
        <v>45940.635891203703</v>
      </c>
      <c r="J2129" s="50">
        <v>45978</v>
      </c>
      <c r="K2129" s="50">
        <v>46342</v>
      </c>
      <c r="M2129" s="49" t="s">
        <v>6787</v>
      </c>
    </row>
    <row r="2130" spans="1:13" x14ac:dyDescent="0.35">
      <c r="A2130" s="49" t="s">
        <v>15191</v>
      </c>
      <c r="B2130" s="49" t="s">
        <v>6788</v>
      </c>
      <c r="C2130" s="49"/>
      <c r="D2130" s="49" t="s">
        <v>1264</v>
      </c>
      <c r="E2130" s="49" t="s">
        <v>2785</v>
      </c>
      <c r="F2130" s="49" t="s">
        <v>2786</v>
      </c>
      <c r="G2130" s="49" t="s">
        <v>2901</v>
      </c>
      <c r="H2130" s="49" t="s">
        <v>8</v>
      </c>
      <c r="I2130" s="52">
        <v>45940.651875000003</v>
      </c>
      <c r="J2130" s="50">
        <v>45978</v>
      </c>
      <c r="K2130" s="50">
        <v>46342</v>
      </c>
      <c r="M2130" s="49" t="s">
        <v>6789</v>
      </c>
    </row>
    <row r="2131" spans="1:13" x14ac:dyDescent="0.35">
      <c r="A2131" s="49" t="s">
        <v>15192</v>
      </c>
      <c r="B2131" s="49" t="s">
        <v>5688</v>
      </c>
      <c r="C2131" s="49"/>
      <c r="D2131" s="49" t="s">
        <v>1264</v>
      </c>
      <c r="E2131" s="49" t="s">
        <v>3443</v>
      </c>
      <c r="F2131" s="49" t="s">
        <v>3124</v>
      </c>
      <c r="G2131" s="49" t="s">
        <v>2901</v>
      </c>
      <c r="H2131" s="49" t="s">
        <v>980</v>
      </c>
      <c r="I2131" s="50">
        <v>45102</v>
      </c>
      <c r="J2131" s="50">
        <v>45117</v>
      </c>
      <c r="K2131" s="50">
        <v>46943</v>
      </c>
    </row>
    <row r="2132" spans="1:13" x14ac:dyDescent="0.35">
      <c r="A2132" s="49" t="s">
        <v>14685</v>
      </c>
      <c r="B2132" s="49" t="s">
        <v>13918</v>
      </c>
      <c r="C2132" s="49"/>
      <c r="D2132" s="49" t="s">
        <v>1264</v>
      </c>
      <c r="E2132" s="49" t="s">
        <v>2774</v>
      </c>
      <c r="F2132" s="49" t="s">
        <v>2825</v>
      </c>
      <c r="G2132" s="49" t="s">
        <v>2776</v>
      </c>
      <c r="H2132" s="49" t="s">
        <v>2827</v>
      </c>
      <c r="I2132" s="50">
        <v>43084</v>
      </c>
      <c r="M2132" s="49" t="s">
        <v>8292</v>
      </c>
    </row>
    <row r="2133" spans="1:13" x14ac:dyDescent="0.35">
      <c r="A2133" s="49" t="s">
        <v>15393</v>
      </c>
      <c r="B2133" s="49" t="s">
        <v>11214</v>
      </c>
      <c r="C2133" s="49"/>
      <c r="D2133" s="49" t="s">
        <v>1264</v>
      </c>
      <c r="E2133" s="49" t="s">
        <v>2774</v>
      </c>
      <c r="F2133" s="49" t="s">
        <v>4842</v>
      </c>
      <c r="G2133" s="49" t="s">
        <v>2776</v>
      </c>
      <c r="H2133" s="49" t="s">
        <v>2827</v>
      </c>
      <c r="I2133" s="50">
        <v>44911</v>
      </c>
      <c r="M2133" s="49" t="s">
        <v>3782</v>
      </c>
    </row>
    <row r="2134" spans="1:13" x14ac:dyDescent="0.35">
      <c r="A2134" s="49" t="s">
        <v>15394</v>
      </c>
      <c r="B2134" s="49" t="s">
        <v>13242</v>
      </c>
      <c r="C2134" s="49" t="s">
        <v>13243</v>
      </c>
      <c r="D2134" s="49" t="s">
        <v>1264</v>
      </c>
      <c r="E2134" s="49" t="s">
        <v>2785</v>
      </c>
      <c r="F2134" s="49" t="s">
        <v>2805</v>
      </c>
      <c r="G2134" s="49" t="s">
        <v>4891</v>
      </c>
      <c r="H2134" s="49" t="s">
        <v>1062</v>
      </c>
      <c r="I2134" s="52">
        <v>46087.521574074097</v>
      </c>
      <c r="M2134" s="49" t="s">
        <v>13245</v>
      </c>
    </row>
    <row r="2135" spans="1:13" x14ac:dyDescent="0.35">
      <c r="A2135" s="49" t="s">
        <v>15394</v>
      </c>
      <c r="B2135" s="49" t="s">
        <v>13249</v>
      </c>
      <c r="C2135" s="49" t="s">
        <v>13250</v>
      </c>
      <c r="D2135" s="49" t="s">
        <v>1264</v>
      </c>
      <c r="E2135" s="49" t="s">
        <v>2785</v>
      </c>
      <c r="F2135" s="49" t="s">
        <v>2805</v>
      </c>
      <c r="G2135" s="49" t="s">
        <v>4891</v>
      </c>
      <c r="H2135" s="49" t="s">
        <v>1062</v>
      </c>
      <c r="I2135" s="52">
        <v>46087.530451388899</v>
      </c>
      <c r="M2135" s="49" t="s">
        <v>13251</v>
      </c>
    </row>
    <row r="2136" spans="1:13" x14ac:dyDescent="0.35">
      <c r="A2136" s="49" t="s">
        <v>15394</v>
      </c>
      <c r="B2136" s="49" t="s">
        <v>13255</v>
      </c>
      <c r="C2136" s="49" t="s">
        <v>13256</v>
      </c>
      <c r="D2136" s="49" t="s">
        <v>1264</v>
      </c>
      <c r="E2136" s="49" t="s">
        <v>2785</v>
      </c>
      <c r="F2136" s="49" t="s">
        <v>2805</v>
      </c>
      <c r="G2136" s="49" t="s">
        <v>4891</v>
      </c>
      <c r="H2136" s="49" t="s">
        <v>1062</v>
      </c>
      <c r="I2136" s="52">
        <v>46090.401585648098</v>
      </c>
      <c r="M2136" s="49" t="s">
        <v>7427</v>
      </c>
    </row>
    <row r="2137" spans="1:13" x14ac:dyDescent="0.35">
      <c r="A2137" s="49" t="s">
        <v>14932</v>
      </c>
      <c r="B2137" s="49" t="s">
        <v>4335</v>
      </c>
      <c r="C2137" s="49"/>
      <c r="D2137" s="49" t="s">
        <v>1264</v>
      </c>
      <c r="E2137" s="49" t="s">
        <v>2986</v>
      </c>
      <c r="F2137" s="49" t="s">
        <v>2825</v>
      </c>
      <c r="G2137" s="49" t="s">
        <v>4330</v>
      </c>
      <c r="H2137" s="49" t="s">
        <v>2827</v>
      </c>
      <c r="I2137" s="50">
        <v>44076</v>
      </c>
      <c r="M2137" s="49" t="s">
        <v>4337</v>
      </c>
    </row>
    <row r="2138" spans="1:13" x14ac:dyDescent="0.35">
      <c r="A2138" s="49" t="s">
        <v>14932</v>
      </c>
      <c r="B2138" s="49" t="s">
        <v>9898</v>
      </c>
      <c r="C2138" s="49"/>
      <c r="D2138" s="49" t="s">
        <v>1264</v>
      </c>
      <c r="E2138" s="49" t="s">
        <v>7057</v>
      </c>
      <c r="F2138" s="49" t="s">
        <v>2825</v>
      </c>
      <c r="G2138" s="49" t="s">
        <v>2776</v>
      </c>
      <c r="H2138" s="49" t="s">
        <v>2827</v>
      </c>
      <c r="I2138" s="50">
        <v>42548</v>
      </c>
      <c r="M2138" s="49" t="s">
        <v>3100</v>
      </c>
    </row>
    <row r="2139" spans="1:13" x14ac:dyDescent="0.35">
      <c r="A2139" s="49" t="s">
        <v>14933</v>
      </c>
      <c r="B2139" s="49" t="s">
        <v>13649</v>
      </c>
      <c r="C2139" s="49" t="s">
        <v>13650</v>
      </c>
      <c r="D2139" s="49" t="s">
        <v>1264</v>
      </c>
      <c r="E2139" s="49" t="s">
        <v>2986</v>
      </c>
      <c r="F2139" s="49" t="s">
        <v>2825</v>
      </c>
      <c r="G2139" s="49" t="s">
        <v>2776</v>
      </c>
      <c r="H2139" s="49" t="s">
        <v>2827</v>
      </c>
      <c r="I2139" s="50">
        <v>43110</v>
      </c>
      <c r="M2139" s="49" t="s">
        <v>13652</v>
      </c>
    </row>
    <row r="2140" spans="1:13" x14ac:dyDescent="0.35">
      <c r="A2140" s="49" t="s">
        <v>14934</v>
      </c>
      <c r="B2140" s="49" t="s">
        <v>8873</v>
      </c>
      <c r="C2140" s="49"/>
      <c r="D2140" s="49" t="s">
        <v>1264</v>
      </c>
      <c r="E2140" s="49" t="s">
        <v>2814</v>
      </c>
      <c r="F2140" s="49" t="s">
        <v>2825</v>
      </c>
      <c r="G2140" s="49" t="s">
        <v>2826</v>
      </c>
      <c r="H2140" s="49" t="s">
        <v>2827</v>
      </c>
      <c r="I2140" s="50">
        <v>41450</v>
      </c>
      <c r="M2140" s="49" t="s">
        <v>8875</v>
      </c>
    </row>
    <row r="2141" spans="1:13" x14ac:dyDescent="0.35">
      <c r="A2141" s="49" t="s">
        <v>14935</v>
      </c>
      <c r="B2141" s="49" t="s">
        <v>7129</v>
      </c>
      <c r="C2141" s="49" t="s">
        <v>4305</v>
      </c>
      <c r="D2141" s="49" t="s">
        <v>1264</v>
      </c>
      <c r="E2141" s="49" t="s">
        <v>7057</v>
      </c>
      <c r="F2141" s="49" t="s">
        <v>2825</v>
      </c>
      <c r="G2141" s="49" t="s">
        <v>2787</v>
      </c>
      <c r="H2141" s="49" t="s">
        <v>2827</v>
      </c>
      <c r="I2141" s="50">
        <v>39993</v>
      </c>
      <c r="J2141" s="50">
        <v>41236</v>
      </c>
      <c r="K2141" s="50">
        <v>42569</v>
      </c>
      <c r="M2141" s="49" t="s">
        <v>7131</v>
      </c>
    </row>
    <row r="2142" spans="1:13" x14ac:dyDescent="0.35">
      <c r="A2142" s="49" t="s">
        <v>14936</v>
      </c>
      <c r="B2142" s="49" t="s">
        <v>5475</v>
      </c>
      <c r="C2142" s="49" t="s">
        <v>5476</v>
      </c>
      <c r="D2142" s="49" t="s">
        <v>1264</v>
      </c>
      <c r="E2142" s="49" t="s">
        <v>2986</v>
      </c>
      <c r="F2142" s="49" t="s">
        <v>2825</v>
      </c>
      <c r="G2142" s="49" t="s">
        <v>2901</v>
      </c>
      <c r="H2142" s="49" t="s">
        <v>2827</v>
      </c>
      <c r="I2142" s="50">
        <v>44867</v>
      </c>
      <c r="J2142" s="50">
        <v>45357</v>
      </c>
      <c r="K2142" s="50">
        <v>46451</v>
      </c>
      <c r="M2142" s="49" t="s">
        <v>3270</v>
      </c>
    </row>
    <row r="2143" spans="1:13" x14ac:dyDescent="0.35">
      <c r="A2143" s="49" t="s">
        <v>15012</v>
      </c>
      <c r="B2143" s="49" t="s">
        <v>7038</v>
      </c>
      <c r="C2143" s="49" t="s">
        <v>7039</v>
      </c>
      <c r="D2143" s="49" t="s">
        <v>1264</v>
      </c>
      <c r="E2143" s="49" t="s">
        <v>2785</v>
      </c>
      <c r="F2143" s="49" t="s">
        <v>2786</v>
      </c>
      <c r="G2143" s="49" t="s">
        <v>2787</v>
      </c>
      <c r="H2143" s="49" t="s">
        <v>980</v>
      </c>
      <c r="I2143" s="50">
        <v>43434</v>
      </c>
      <c r="J2143" s="50">
        <v>43469</v>
      </c>
      <c r="K2143" s="50">
        <v>43649</v>
      </c>
      <c r="M2143" s="49" t="s">
        <v>7041</v>
      </c>
    </row>
    <row r="2144" spans="1:13" x14ac:dyDescent="0.35">
      <c r="A2144" s="49" t="s">
        <v>15395</v>
      </c>
      <c r="B2144" s="49" t="s">
        <v>3365</v>
      </c>
      <c r="C2144" s="49" t="s">
        <v>3366</v>
      </c>
      <c r="D2144" s="49" t="s">
        <v>1264</v>
      </c>
      <c r="E2144" s="49" t="s">
        <v>2774</v>
      </c>
      <c r="F2144" s="49" t="s">
        <v>2900</v>
      </c>
      <c r="G2144" s="49" t="s">
        <v>2787</v>
      </c>
      <c r="H2144" s="49" t="s">
        <v>2832</v>
      </c>
      <c r="I2144" s="50">
        <v>41997</v>
      </c>
      <c r="J2144" s="50">
        <v>42233</v>
      </c>
      <c r="K2144" s="50">
        <v>45520</v>
      </c>
      <c r="M2144" s="49" t="s">
        <v>3367</v>
      </c>
    </row>
    <row r="2145" spans="1:13" x14ac:dyDescent="0.35">
      <c r="A2145" s="49" t="s">
        <v>15395</v>
      </c>
      <c r="B2145" s="49" t="s">
        <v>6104</v>
      </c>
      <c r="C2145" s="49" t="s">
        <v>6105</v>
      </c>
      <c r="D2145" s="49" t="s">
        <v>1264</v>
      </c>
      <c r="E2145" s="49" t="s">
        <v>2974</v>
      </c>
      <c r="F2145" s="49" t="s">
        <v>2900</v>
      </c>
      <c r="G2145" s="49" t="s">
        <v>2901</v>
      </c>
      <c r="H2145" s="49" t="s">
        <v>2832</v>
      </c>
      <c r="I2145" s="50">
        <v>45287</v>
      </c>
      <c r="J2145" s="50">
        <v>45294</v>
      </c>
      <c r="K2145" s="50">
        <v>47120</v>
      </c>
      <c r="M2145" s="49" t="s">
        <v>6107</v>
      </c>
    </row>
    <row r="2146" spans="1:13" x14ac:dyDescent="0.35">
      <c r="A2146" s="49" t="s">
        <v>15395</v>
      </c>
      <c r="B2146" s="49" t="s">
        <v>6108</v>
      </c>
      <c r="C2146" s="49" t="s">
        <v>6109</v>
      </c>
      <c r="D2146" s="49" t="s">
        <v>1264</v>
      </c>
      <c r="E2146" s="49" t="s">
        <v>2974</v>
      </c>
      <c r="F2146" s="49" t="s">
        <v>2900</v>
      </c>
      <c r="G2146" s="49" t="s">
        <v>2901</v>
      </c>
      <c r="H2146" s="49" t="s">
        <v>2832</v>
      </c>
      <c r="I2146" s="50">
        <v>45287</v>
      </c>
      <c r="J2146" s="50">
        <v>45294</v>
      </c>
      <c r="K2146" s="50">
        <v>47120</v>
      </c>
      <c r="M2146" s="49" t="s">
        <v>6110</v>
      </c>
    </row>
    <row r="2147" spans="1:13" x14ac:dyDescent="0.35">
      <c r="A2147" s="49" t="s">
        <v>14937</v>
      </c>
      <c r="B2147" s="49" t="s">
        <v>5570</v>
      </c>
      <c r="C2147" s="49" t="s">
        <v>5571</v>
      </c>
      <c r="D2147" s="49" t="s">
        <v>1264</v>
      </c>
      <c r="E2147" s="49" t="s">
        <v>2986</v>
      </c>
      <c r="F2147" s="49" t="s">
        <v>2825</v>
      </c>
      <c r="G2147" s="49" t="s">
        <v>2901</v>
      </c>
      <c r="H2147" s="49" t="s">
        <v>973</v>
      </c>
      <c r="I2147" s="50">
        <v>45071</v>
      </c>
      <c r="J2147" s="50">
        <v>45117</v>
      </c>
      <c r="K2147" s="50">
        <v>46212</v>
      </c>
      <c r="M2147" s="49" t="s">
        <v>5573</v>
      </c>
    </row>
    <row r="2148" spans="1:13" x14ac:dyDescent="0.35">
      <c r="A2148" s="49" t="s">
        <v>14937</v>
      </c>
      <c r="B2148" s="49" t="s">
        <v>12167</v>
      </c>
      <c r="C2148" s="49"/>
      <c r="D2148" s="49" t="s">
        <v>1264</v>
      </c>
      <c r="E2148" s="49" t="s">
        <v>2986</v>
      </c>
      <c r="F2148" s="49" t="s">
        <v>2825</v>
      </c>
      <c r="G2148" s="49" t="s">
        <v>4891</v>
      </c>
      <c r="H2148" s="49" t="s">
        <v>973</v>
      </c>
      <c r="I2148" s="50">
        <v>45331</v>
      </c>
      <c r="M2148" s="49" t="s">
        <v>12168</v>
      </c>
    </row>
    <row r="2149" spans="1:13" x14ac:dyDescent="0.35">
      <c r="A2149" s="49" t="s">
        <v>934</v>
      </c>
      <c r="B2149" s="49" t="s">
        <v>11554</v>
      </c>
      <c r="C2149" s="49"/>
      <c r="D2149" s="49" t="s">
        <v>1264</v>
      </c>
      <c r="E2149" s="49" t="s">
        <v>2986</v>
      </c>
      <c r="F2149" s="49" t="s">
        <v>2825</v>
      </c>
      <c r="G2149" s="49" t="s">
        <v>4891</v>
      </c>
      <c r="H2149" s="49" t="s">
        <v>2827</v>
      </c>
      <c r="I2149" s="50">
        <v>45175</v>
      </c>
      <c r="M2149" s="49" t="s">
        <v>11556</v>
      </c>
    </row>
    <row r="2150" spans="1:13" x14ac:dyDescent="0.35">
      <c r="A2150" s="49" t="s">
        <v>14377</v>
      </c>
      <c r="B2150" s="49" t="s">
        <v>7808</v>
      </c>
      <c r="C2150" s="49" t="s">
        <v>7809</v>
      </c>
      <c r="D2150" s="49" t="s">
        <v>1264</v>
      </c>
      <c r="E2150" s="49" t="s">
        <v>2774</v>
      </c>
      <c r="F2150" s="49" t="s">
        <v>3628</v>
      </c>
      <c r="G2150" s="49" t="s">
        <v>2787</v>
      </c>
      <c r="H2150" s="49" t="s">
        <v>2827</v>
      </c>
      <c r="I2150" s="50">
        <v>38980</v>
      </c>
      <c r="J2150" s="50">
        <v>39163</v>
      </c>
      <c r="K2150" s="50">
        <v>42450</v>
      </c>
      <c r="M2150" s="49" t="s">
        <v>7811</v>
      </c>
    </row>
    <row r="2151" spans="1:13" x14ac:dyDescent="0.35">
      <c r="A2151" s="49" t="s">
        <v>14377</v>
      </c>
      <c r="B2151" s="49" t="s">
        <v>10763</v>
      </c>
      <c r="C2151" s="49"/>
      <c r="D2151" s="49" t="s">
        <v>1264</v>
      </c>
      <c r="E2151" s="49" t="s">
        <v>2774</v>
      </c>
      <c r="F2151" s="49" t="s">
        <v>2825</v>
      </c>
      <c r="G2151" s="49" t="s">
        <v>2776</v>
      </c>
      <c r="H2151" s="49" t="s">
        <v>2827</v>
      </c>
      <c r="I2151" s="50">
        <v>41884</v>
      </c>
      <c r="M2151" s="49" t="s">
        <v>10764</v>
      </c>
    </row>
    <row r="2152" spans="1:13" x14ac:dyDescent="0.35">
      <c r="A2152" s="49" t="s">
        <v>14302</v>
      </c>
      <c r="B2152" s="49" t="s">
        <v>6641</v>
      </c>
      <c r="C2152" s="49" t="s">
        <v>6642</v>
      </c>
      <c r="D2152" s="49" t="s">
        <v>1264</v>
      </c>
      <c r="E2152" s="49" t="s">
        <v>3443</v>
      </c>
      <c r="F2152" s="49" t="s">
        <v>3124</v>
      </c>
      <c r="G2152" s="49" t="s">
        <v>2901</v>
      </c>
      <c r="H2152" s="49" t="s">
        <v>980</v>
      </c>
      <c r="I2152" s="50">
        <v>45439</v>
      </c>
      <c r="J2152" s="50">
        <v>45057</v>
      </c>
      <c r="K2152" s="50">
        <v>46883</v>
      </c>
    </row>
    <row r="2153" spans="1:13" x14ac:dyDescent="0.35">
      <c r="A2153" s="49" t="s">
        <v>14938</v>
      </c>
      <c r="B2153" s="49" t="s">
        <v>5949</v>
      </c>
      <c r="C2153" s="49" t="s">
        <v>5950</v>
      </c>
      <c r="D2153" s="49" t="s">
        <v>1264</v>
      </c>
      <c r="E2153" s="49" t="s">
        <v>2785</v>
      </c>
      <c r="F2153" s="49" t="s">
        <v>2792</v>
      </c>
      <c r="G2153" s="49" t="s">
        <v>2787</v>
      </c>
      <c r="H2153" s="49" t="s">
        <v>980</v>
      </c>
      <c r="I2153" s="50">
        <v>44979</v>
      </c>
      <c r="J2153" s="50">
        <v>45044</v>
      </c>
      <c r="K2153" s="50">
        <v>45511</v>
      </c>
      <c r="M2153" s="49" t="s">
        <v>5952</v>
      </c>
    </row>
    <row r="2154" spans="1:13" x14ac:dyDescent="0.35">
      <c r="A2154" s="49" t="s">
        <v>14938</v>
      </c>
      <c r="B2154" s="49" t="s">
        <v>6447</v>
      </c>
      <c r="C2154" s="49" t="s">
        <v>6448</v>
      </c>
      <c r="D2154" s="49" t="s">
        <v>1264</v>
      </c>
      <c r="E2154" s="49" t="s">
        <v>2785</v>
      </c>
      <c r="F2154" s="49" t="s">
        <v>2792</v>
      </c>
      <c r="G2154" s="49" t="s">
        <v>2787</v>
      </c>
      <c r="H2154" s="49" t="s">
        <v>980</v>
      </c>
      <c r="I2154" s="50">
        <v>45363</v>
      </c>
      <c r="J2154" s="50">
        <v>45364</v>
      </c>
      <c r="K2154" s="50">
        <v>45951</v>
      </c>
      <c r="M2154" s="49" t="s">
        <v>6449</v>
      </c>
    </row>
    <row r="2155" spans="1:13" x14ac:dyDescent="0.35">
      <c r="A2155" s="49" t="s">
        <v>14938</v>
      </c>
      <c r="B2155" s="49" t="s">
        <v>6964</v>
      </c>
      <c r="C2155" s="49" t="s">
        <v>6965</v>
      </c>
      <c r="D2155" s="49" t="s">
        <v>1264</v>
      </c>
      <c r="E2155" s="49" t="s">
        <v>2785</v>
      </c>
      <c r="F2155" s="49" t="s">
        <v>2792</v>
      </c>
      <c r="G2155" s="49" t="s">
        <v>4891</v>
      </c>
      <c r="H2155" s="49" t="s">
        <v>980</v>
      </c>
      <c r="I2155" s="52">
        <v>46111.649363425902</v>
      </c>
      <c r="M2155" s="49" t="s">
        <v>6967</v>
      </c>
    </row>
    <row r="2156" spans="1:13" x14ac:dyDescent="0.35">
      <c r="A2156" s="49" t="s">
        <v>14938</v>
      </c>
      <c r="B2156" s="49" t="s">
        <v>12937</v>
      </c>
      <c r="C2156" s="49" t="s">
        <v>5940</v>
      </c>
      <c r="D2156" s="49" t="s">
        <v>1264</v>
      </c>
      <c r="E2156" s="49" t="s">
        <v>2785</v>
      </c>
      <c r="F2156" s="49" t="s">
        <v>2792</v>
      </c>
      <c r="G2156" s="49" t="s">
        <v>4891</v>
      </c>
      <c r="H2156" s="49" t="s">
        <v>980</v>
      </c>
      <c r="I2156" s="52">
        <v>45950.62</v>
      </c>
      <c r="M2156" s="49" t="s">
        <v>6449</v>
      </c>
    </row>
    <row r="2157" spans="1:13" x14ac:dyDescent="0.35">
      <c r="A2157" s="49" t="s">
        <v>14938</v>
      </c>
      <c r="B2157" s="49" t="s">
        <v>12938</v>
      </c>
      <c r="C2157" s="49" t="s">
        <v>12939</v>
      </c>
      <c r="D2157" s="49" t="s">
        <v>1264</v>
      </c>
      <c r="E2157" s="49" t="s">
        <v>2785</v>
      </c>
      <c r="F2157" s="49" t="s">
        <v>2792</v>
      </c>
      <c r="G2157" s="49" t="s">
        <v>4891</v>
      </c>
      <c r="H2157" s="49" t="s">
        <v>980</v>
      </c>
      <c r="I2157" s="52">
        <v>45951.456087963001</v>
      </c>
      <c r="M2157" s="49" t="s">
        <v>12940</v>
      </c>
    </row>
    <row r="2158" spans="1:13" x14ac:dyDescent="0.35">
      <c r="A2158" s="49" t="s">
        <v>10169</v>
      </c>
      <c r="B2158" s="49" t="s">
        <v>10168</v>
      </c>
      <c r="C2158" s="49"/>
      <c r="D2158" s="49" t="s">
        <v>1264</v>
      </c>
      <c r="E2158" s="49" t="s">
        <v>2814</v>
      </c>
      <c r="F2158" s="49" t="s">
        <v>2825</v>
      </c>
      <c r="G2158" s="49" t="s">
        <v>2776</v>
      </c>
      <c r="H2158" s="49" t="s">
        <v>2827</v>
      </c>
      <c r="I2158" s="50">
        <v>42359</v>
      </c>
      <c r="M2158" s="49" t="s">
        <v>3470</v>
      </c>
    </row>
    <row r="2159" spans="1:13" x14ac:dyDescent="0.35">
      <c r="A2159" s="49" t="s">
        <v>14593</v>
      </c>
      <c r="B2159" s="49" t="s">
        <v>11132</v>
      </c>
      <c r="C2159" s="49" t="s">
        <v>11133</v>
      </c>
      <c r="D2159" s="49" t="s">
        <v>1264</v>
      </c>
      <c r="E2159" s="49" t="s">
        <v>2785</v>
      </c>
      <c r="F2159" s="49" t="s">
        <v>2792</v>
      </c>
      <c r="G2159" s="49" t="s">
        <v>2776</v>
      </c>
      <c r="H2159" s="49" t="s">
        <v>980</v>
      </c>
      <c r="I2159" s="50">
        <v>44762</v>
      </c>
      <c r="M2159" s="49" t="s">
        <v>11135</v>
      </c>
    </row>
    <row r="2160" spans="1:13" x14ac:dyDescent="0.35">
      <c r="A2160" s="49" t="s">
        <v>14131</v>
      </c>
      <c r="B2160" s="49" t="s">
        <v>3759</v>
      </c>
      <c r="C2160" s="49" t="s">
        <v>3760</v>
      </c>
      <c r="D2160" s="49" t="s">
        <v>1264</v>
      </c>
      <c r="E2160" s="49" t="s">
        <v>2774</v>
      </c>
      <c r="F2160" s="49" t="s">
        <v>3005</v>
      </c>
      <c r="G2160" s="49" t="s">
        <v>2901</v>
      </c>
      <c r="H2160" s="49" t="s">
        <v>980</v>
      </c>
      <c r="I2160" s="50">
        <v>43256</v>
      </c>
      <c r="J2160" s="50">
        <v>43390</v>
      </c>
      <c r="K2160" s="50">
        <v>45946</v>
      </c>
      <c r="M2160" s="49" t="s">
        <v>3762</v>
      </c>
    </row>
    <row r="2161" spans="1:13" x14ac:dyDescent="0.35">
      <c r="A2161" s="49" t="s">
        <v>14131</v>
      </c>
      <c r="B2161" s="49" t="s">
        <v>6076</v>
      </c>
      <c r="C2161" s="49" t="s">
        <v>6077</v>
      </c>
      <c r="D2161" s="49" t="s">
        <v>1264</v>
      </c>
      <c r="E2161" s="49" t="s">
        <v>2974</v>
      </c>
      <c r="F2161" s="49" t="s">
        <v>3005</v>
      </c>
      <c r="G2161" s="49" t="s">
        <v>2826</v>
      </c>
      <c r="H2161" s="49" t="s">
        <v>980</v>
      </c>
      <c r="I2161" s="50">
        <v>45271</v>
      </c>
      <c r="M2161" s="49" t="s">
        <v>6078</v>
      </c>
    </row>
    <row r="2162" spans="1:13" x14ac:dyDescent="0.35">
      <c r="A2162" s="49" t="s">
        <v>15396</v>
      </c>
      <c r="B2162" s="49" t="s">
        <v>6526</v>
      </c>
      <c r="C2162" s="49" t="s">
        <v>3615</v>
      </c>
      <c r="D2162" s="49" t="s">
        <v>1264</v>
      </c>
      <c r="E2162" s="49" t="s">
        <v>2908</v>
      </c>
      <c r="F2162" s="49" t="s">
        <v>3010</v>
      </c>
      <c r="G2162" s="49" t="s">
        <v>4330</v>
      </c>
      <c r="H2162" s="49" t="s">
        <v>980</v>
      </c>
      <c r="I2162" s="50">
        <v>45363</v>
      </c>
      <c r="M2162" s="49" t="s">
        <v>6528</v>
      </c>
    </row>
    <row r="2163" spans="1:13" x14ac:dyDescent="0.35">
      <c r="A2163" s="49" t="s">
        <v>15396</v>
      </c>
      <c r="B2163" s="49" t="s">
        <v>11935</v>
      </c>
      <c r="C2163" s="49" t="s">
        <v>3615</v>
      </c>
      <c r="D2163" s="49" t="s">
        <v>1264</v>
      </c>
      <c r="E2163" s="49" t="s">
        <v>2908</v>
      </c>
      <c r="F2163" s="49" t="s">
        <v>3010</v>
      </c>
      <c r="G2163" s="49" t="s">
        <v>2776</v>
      </c>
      <c r="H2163" s="49" t="s">
        <v>980</v>
      </c>
      <c r="I2163" s="50">
        <v>45299</v>
      </c>
      <c r="M2163" s="49" t="s">
        <v>11936</v>
      </c>
    </row>
    <row r="2164" spans="1:13" x14ac:dyDescent="0.35">
      <c r="A2164" s="49" t="s">
        <v>14315</v>
      </c>
      <c r="B2164" s="49" t="s">
        <v>6911</v>
      </c>
      <c r="C2164" s="49" t="s">
        <v>4262</v>
      </c>
      <c r="D2164" s="49" t="s">
        <v>1264</v>
      </c>
      <c r="E2164" s="49" t="s">
        <v>2785</v>
      </c>
      <c r="F2164" s="49" t="s">
        <v>2805</v>
      </c>
      <c r="G2164" s="49" t="s">
        <v>4891</v>
      </c>
      <c r="H2164" s="49" t="s">
        <v>973</v>
      </c>
      <c r="I2164" s="52">
        <v>46139.572094907402</v>
      </c>
      <c r="M2164" s="49" t="s">
        <v>3104</v>
      </c>
    </row>
    <row r="2165" spans="1:13" x14ac:dyDescent="0.35">
      <c r="A2165" s="49" t="s">
        <v>14315</v>
      </c>
      <c r="B2165" s="49" t="s">
        <v>12058</v>
      </c>
      <c r="C2165" s="49" t="s">
        <v>12059</v>
      </c>
      <c r="D2165" s="49" t="s">
        <v>1264</v>
      </c>
      <c r="E2165" s="49" t="s">
        <v>2785</v>
      </c>
      <c r="F2165" s="49" t="s">
        <v>4048</v>
      </c>
      <c r="G2165" s="49" t="s">
        <v>4891</v>
      </c>
      <c r="H2165" s="49" t="s">
        <v>973</v>
      </c>
      <c r="I2165" s="50">
        <v>45328</v>
      </c>
      <c r="M2165" s="49" t="s">
        <v>12060</v>
      </c>
    </row>
    <row r="2166" spans="1:13" x14ac:dyDescent="0.35">
      <c r="A2166" s="49" t="s">
        <v>11039</v>
      </c>
      <c r="B2166" s="49" t="s">
        <v>11038</v>
      </c>
      <c r="C2166" s="49"/>
      <c r="D2166" s="49" t="s">
        <v>1264</v>
      </c>
      <c r="E2166" s="49" t="s">
        <v>2814</v>
      </c>
      <c r="F2166" s="49" t="s">
        <v>4048</v>
      </c>
      <c r="G2166" s="49" t="s">
        <v>2826</v>
      </c>
      <c r="H2166" s="49" t="s">
        <v>8</v>
      </c>
      <c r="I2166" s="50">
        <v>44932</v>
      </c>
      <c r="M2166" s="49" t="s">
        <v>11040</v>
      </c>
    </row>
    <row r="2167" spans="1:13" x14ac:dyDescent="0.35">
      <c r="A2167" s="49" t="s">
        <v>11039</v>
      </c>
      <c r="B2167" s="49" t="s">
        <v>12047</v>
      </c>
      <c r="C2167" s="49" t="s">
        <v>5810</v>
      </c>
      <c r="D2167" s="49" t="s">
        <v>1264</v>
      </c>
      <c r="E2167" s="49" t="s">
        <v>2785</v>
      </c>
      <c r="F2167" s="49" t="s">
        <v>4611</v>
      </c>
      <c r="G2167" s="49" t="s">
        <v>4891</v>
      </c>
      <c r="H2167" s="49" t="s">
        <v>980</v>
      </c>
      <c r="I2167" s="50">
        <v>45320</v>
      </c>
      <c r="M2167" s="49" t="s">
        <v>12049</v>
      </c>
    </row>
    <row r="2168" spans="1:13" x14ac:dyDescent="0.35">
      <c r="A2168" s="49" t="s">
        <v>11039</v>
      </c>
      <c r="B2168" s="49" t="s">
        <v>12592</v>
      </c>
      <c r="C2168" s="49"/>
      <c r="D2168" s="49" t="s">
        <v>1264</v>
      </c>
      <c r="E2168" s="49" t="s">
        <v>2814</v>
      </c>
      <c r="F2168" s="49" t="s">
        <v>2939</v>
      </c>
      <c r="G2168" s="49" t="s">
        <v>2776</v>
      </c>
      <c r="H2168" s="49" t="s">
        <v>980</v>
      </c>
      <c r="I2168" s="50">
        <v>45456</v>
      </c>
      <c r="M2168" s="49" t="s">
        <v>12593</v>
      </c>
    </row>
    <row r="2169" spans="1:13" x14ac:dyDescent="0.35">
      <c r="A2169" s="49" t="s">
        <v>11039</v>
      </c>
      <c r="B2169" s="49" t="s">
        <v>12594</v>
      </c>
      <c r="C2169" s="49"/>
      <c r="D2169" s="49" t="s">
        <v>1264</v>
      </c>
      <c r="E2169" s="49" t="s">
        <v>2814</v>
      </c>
      <c r="F2169" s="49" t="s">
        <v>2805</v>
      </c>
      <c r="G2169" s="49" t="s">
        <v>4891</v>
      </c>
      <c r="H2169" s="49" t="s">
        <v>980</v>
      </c>
      <c r="I2169" s="50">
        <v>45456</v>
      </c>
      <c r="M2169" s="49" t="s">
        <v>12595</v>
      </c>
    </row>
    <row r="2170" spans="1:13" x14ac:dyDescent="0.35">
      <c r="A2170" s="49" t="s">
        <v>11039</v>
      </c>
      <c r="B2170" s="49" t="s">
        <v>12638</v>
      </c>
      <c r="C2170" s="49" t="s">
        <v>12639</v>
      </c>
      <c r="D2170" s="49" t="s">
        <v>1264</v>
      </c>
      <c r="E2170" s="49" t="s">
        <v>2814</v>
      </c>
      <c r="F2170" s="49" t="s">
        <v>2939</v>
      </c>
      <c r="G2170" s="49" t="s">
        <v>4891</v>
      </c>
      <c r="H2170" s="49" t="s">
        <v>980</v>
      </c>
      <c r="I2170" s="50">
        <v>45435</v>
      </c>
      <c r="M2170" s="49" t="s">
        <v>12593</v>
      </c>
    </row>
    <row r="2171" spans="1:13" x14ac:dyDescent="0.35">
      <c r="A2171" s="49" t="s">
        <v>14939</v>
      </c>
      <c r="B2171" s="49" t="s">
        <v>3564</v>
      </c>
      <c r="C2171" s="49" t="s">
        <v>3565</v>
      </c>
      <c r="D2171" s="49" t="s">
        <v>1264</v>
      </c>
      <c r="E2171" s="49" t="s">
        <v>2986</v>
      </c>
      <c r="F2171" s="49" t="s">
        <v>2825</v>
      </c>
      <c r="G2171" s="49" t="s">
        <v>2921</v>
      </c>
      <c r="H2171" s="49" t="s">
        <v>2827</v>
      </c>
      <c r="I2171" s="50">
        <v>42808</v>
      </c>
      <c r="J2171" s="50">
        <v>44249</v>
      </c>
      <c r="K2171" s="50">
        <v>45306</v>
      </c>
      <c r="M2171" s="49" t="s">
        <v>3270</v>
      </c>
    </row>
    <row r="2172" spans="1:13" x14ac:dyDescent="0.35">
      <c r="A2172" s="49" t="s">
        <v>14939</v>
      </c>
      <c r="B2172" s="49" t="s">
        <v>8717</v>
      </c>
      <c r="C2172" s="49"/>
      <c r="D2172" s="49" t="s">
        <v>1264</v>
      </c>
      <c r="E2172" s="49" t="s">
        <v>7057</v>
      </c>
      <c r="F2172" s="49" t="s">
        <v>2825</v>
      </c>
      <c r="G2172" s="49" t="s">
        <v>2776</v>
      </c>
      <c r="H2172" s="49" t="s">
        <v>2827</v>
      </c>
      <c r="I2172" s="50">
        <v>41288</v>
      </c>
      <c r="M2172" s="49" t="s">
        <v>8719</v>
      </c>
    </row>
    <row r="2173" spans="1:13" x14ac:dyDescent="0.35">
      <c r="A2173" s="49" t="s">
        <v>15397</v>
      </c>
      <c r="B2173" s="49" t="s">
        <v>4312</v>
      </c>
      <c r="C2173" s="49" t="s">
        <v>4313</v>
      </c>
      <c r="D2173" s="49" t="s">
        <v>1264</v>
      </c>
      <c r="E2173" s="49" t="s">
        <v>2986</v>
      </c>
      <c r="F2173" s="49" t="s">
        <v>2825</v>
      </c>
      <c r="G2173" s="49" t="s">
        <v>2787</v>
      </c>
      <c r="H2173" s="49" t="s">
        <v>2827</v>
      </c>
      <c r="I2173" s="50">
        <v>44032</v>
      </c>
      <c r="J2173" s="50">
        <v>44321</v>
      </c>
      <c r="K2173" s="50">
        <v>45416</v>
      </c>
      <c r="M2173" s="49" t="s">
        <v>4315</v>
      </c>
    </row>
    <row r="2174" spans="1:13" x14ac:dyDescent="0.35">
      <c r="A2174" s="49" t="s">
        <v>15397</v>
      </c>
      <c r="B2174" s="49" t="s">
        <v>4786</v>
      </c>
      <c r="C2174" s="49" t="s">
        <v>3275</v>
      </c>
      <c r="D2174" s="49" t="s">
        <v>1264</v>
      </c>
      <c r="E2174" s="49" t="s">
        <v>2986</v>
      </c>
      <c r="F2174" s="49" t="s">
        <v>2825</v>
      </c>
      <c r="G2174" s="49" t="s">
        <v>2901</v>
      </c>
      <c r="H2174" s="49" t="s">
        <v>2827</v>
      </c>
      <c r="I2174" s="50">
        <v>44546</v>
      </c>
      <c r="J2174" s="50">
        <v>44762</v>
      </c>
      <c r="K2174" s="50">
        <v>45857</v>
      </c>
      <c r="M2174" s="49" t="s">
        <v>4787</v>
      </c>
    </row>
    <row r="2175" spans="1:13" x14ac:dyDescent="0.35">
      <c r="A2175" s="49" t="s">
        <v>15397</v>
      </c>
      <c r="B2175" s="49" t="s">
        <v>5494</v>
      </c>
      <c r="C2175" s="49" t="s">
        <v>5495</v>
      </c>
      <c r="D2175" s="49" t="s">
        <v>1264</v>
      </c>
      <c r="E2175" s="49" t="s">
        <v>2774</v>
      </c>
      <c r="F2175" s="49" t="s">
        <v>2825</v>
      </c>
      <c r="G2175" s="49" t="s">
        <v>2901</v>
      </c>
      <c r="H2175" s="49" t="s">
        <v>2827</v>
      </c>
      <c r="I2175" s="50">
        <v>44887</v>
      </c>
      <c r="J2175" s="50">
        <v>45195</v>
      </c>
      <c r="K2175" s="50">
        <v>46655</v>
      </c>
      <c r="M2175" s="49" t="s">
        <v>5497</v>
      </c>
    </row>
    <row r="2176" spans="1:13" x14ac:dyDescent="0.35">
      <c r="A2176" s="49" t="s">
        <v>15397</v>
      </c>
      <c r="B2176" s="49" t="s">
        <v>8923</v>
      </c>
      <c r="C2176" s="49"/>
      <c r="D2176" s="49" t="s">
        <v>1264</v>
      </c>
      <c r="E2176" s="49" t="s">
        <v>2814</v>
      </c>
      <c r="F2176" s="49" t="s">
        <v>2825</v>
      </c>
      <c r="G2176" s="49" t="s">
        <v>2787</v>
      </c>
      <c r="H2176" s="49" t="s">
        <v>2827</v>
      </c>
      <c r="I2176" s="50">
        <v>43538</v>
      </c>
      <c r="J2176" s="50">
        <v>43551</v>
      </c>
      <c r="K2176" s="50">
        <v>43916</v>
      </c>
      <c r="M2176" s="49" t="s">
        <v>8924</v>
      </c>
    </row>
    <row r="2177" spans="1:13" x14ac:dyDescent="0.35">
      <c r="A2177" s="49" t="s">
        <v>15397</v>
      </c>
      <c r="B2177" s="49" t="s">
        <v>10048</v>
      </c>
      <c r="C2177" s="49"/>
      <c r="D2177" s="49" t="s">
        <v>1264</v>
      </c>
      <c r="E2177" s="49" t="s">
        <v>2974</v>
      </c>
      <c r="F2177" s="49" t="s">
        <v>2825</v>
      </c>
      <c r="G2177" s="49" t="s">
        <v>2776</v>
      </c>
      <c r="H2177" s="49" t="s">
        <v>2827</v>
      </c>
      <c r="I2177" s="50">
        <v>43910</v>
      </c>
      <c r="M2177" s="49" t="s">
        <v>10049</v>
      </c>
    </row>
    <row r="2178" spans="1:13" x14ac:dyDescent="0.35">
      <c r="A2178" s="49" t="s">
        <v>15397</v>
      </c>
      <c r="B2178" s="49" t="s">
        <v>10067</v>
      </c>
      <c r="C2178" s="49" t="s">
        <v>10068</v>
      </c>
      <c r="D2178" s="49" t="s">
        <v>1264</v>
      </c>
      <c r="E2178" s="49" t="s">
        <v>7057</v>
      </c>
      <c r="F2178" s="49" t="s">
        <v>2825</v>
      </c>
      <c r="G2178" s="49" t="s">
        <v>2776</v>
      </c>
      <c r="H2178" s="49" t="s">
        <v>2827</v>
      </c>
      <c r="I2178" s="50">
        <v>44106</v>
      </c>
      <c r="M2178" s="49" t="s">
        <v>10069</v>
      </c>
    </row>
    <row r="2179" spans="1:13" x14ac:dyDescent="0.35">
      <c r="A2179" s="49" t="s">
        <v>15397</v>
      </c>
      <c r="B2179" s="49" t="s">
        <v>13940</v>
      </c>
      <c r="C2179" s="49" t="s">
        <v>13941</v>
      </c>
      <c r="D2179" s="49" t="s">
        <v>1264</v>
      </c>
      <c r="E2179" s="49" t="s">
        <v>2774</v>
      </c>
      <c r="F2179" s="49" t="s">
        <v>2825</v>
      </c>
      <c r="G2179" s="49" t="s">
        <v>2776</v>
      </c>
      <c r="H2179" s="49" t="s">
        <v>2827</v>
      </c>
      <c r="I2179" s="50">
        <v>44032</v>
      </c>
      <c r="M2179" s="49" t="s">
        <v>7964</v>
      </c>
    </row>
    <row r="2180" spans="1:13" x14ac:dyDescent="0.35">
      <c r="A2180" s="49" t="s">
        <v>14940</v>
      </c>
      <c r="B2180" s="49" t="s">
        <v>3452</v>
      </c>
      <c r="C2180" s="49" t="s">
        <v>3453</v>
      </c>
      <c r="D2180" s="49" t="s">
        <v>1264</v>
      </c>
      <c r="E2180" s="49" t="s">
        <v>2986</v>
      </c>
      <c r="F2180" s="49" t="s">
        <v>2825</v>
      </c>
      <c r="G2180" s="49" t="s">
        <v>2787</v>
      </c>
      <c r="H2180" s="49" t="s">
        <v>2827</v>
      </c>
      <c r="I2180" s="50">
        <v>42368</v>
      </c>
      <c r="J2180" s="50">
        <v>43878</v>
      </c>
      <c r="K2180" s="50">
        <v>44953</v>
      </c>
      <c r="M2180" s="49" t="s">
        <v>3455</v>
      </c>
    </row>
    <row r="2181" spans="1:13" x14ac:dyDescent="0.35">
      <c r="A2181" s="49" t="s">
        <v>14940</v>
      </c>
      <c r="B2181" s="49" t="s">
        <v>7739</v>
      </c>
      <c r="C2181" s="49" t="s">
        <v>3453</v>
      </c>
      <c r="D2181" s="49" t="s">
        <v>1264</v>
      </c>
      <c r="E2181" s="49" t="s">
        <v>2814</v>
      </c>
      <c r="F2181" s="49" t="s">
        <v>2825</v>
      </c>
      <c r="G2181" s="49" t="s">
        <v>2787</v>
      </c>
      <c r="H2181" s="49" t="s">
        <v>2827</v>
      </c>
      <c r="I2181" s="50">
        <v>41928</v>
      </c>
      <c r="J2181" s="50">
        <v>42123</v>
      </c>
      <c r="K2181" s="50">
        <v>42305</v>
      </c>
      <c r="M2181" s="49" t="s">
        <v>7741</v>
      </c>
    </row>
    <row r="2182" spans="1:13" x14ac:dyDescent="0.35">
      <c r="A2182" s="49" t="s">
        <v>14940</v>
      </c>
      <c r="B2182" s="49" t="s">
        <v>8691</v>
      </c>
      <c r="C2182" s="49"/>
      <c r="D2182" s="49" t="s">
        <v>1264</v>
      </c>
      <c r="E2182" s="49" t="s">
        <v>7057</v>
      </c>
      <c r="F2182" s="49" t="s">
        <v>2825</v>
      </c>
      <c r="G2182" s="49" t="s">
        <v>2776</v>
      </c>
      <c r="H2182" s="49" t="s">
        <v>2827</v>
      </c>
      <c r="I2182" s="50">
        <v>41410</v>
      </c>
      <c r="M2182" s="49" t="s">
        <v>8350</v>
      </c>
    </row>
    <row r="2183" spans="1:13" x14ac:dyDescent="0.35">
      <c r="A2183" s="49" t="s">
        <v>14940</v>
      </c>
      <c r="B2183" s="49" t="s">
        <v>9879</v>
      </c>
      <c r="C2183" s="49" t="s">
        <v>9880</v>
      </c>
      <c r="D2183" s="49" t="s">
        <v>1264</v>
      </c>
      <c r="E2183" s="49" t="s">
        <v>7057</v>
      </c>
      <c r="F2183" s="49" t="s">
        <v>2825</v>
      </c>
      <c r="G2183" s="49" t="s">
        <v>2776</v>
      </c>
      <c r="H2183" s="49" t="s">
        <v>2827</v>
      </c>
      <c r="I2183" s="50">
        <v>41626</v>
      </c>
      <c r="M2183" s="49" t="s">
        <v>3270</v>
      </c>
    </row>
    <row r="2184" spans="1:13" x14ac:dyDescent="0.35">
      <c r="A2184" s="49" t="s">
        <v>1209</v>
      </c>
      <c r="B2184" s="49" t="s">
        <v>6718</v>
      </c>
      <c r="C2184" s="49" t="s">
        <v>4817</v>
      </c>
      <c r="D2184" s="49" t="s">
        <v>1264</v>
      </c>
      <c r="E2184" s="49" t="s">
        <v>2986</v>
      </c>
      <c r="F2184" s="49" t="s">
        <v>2825</v>
      </c>
      <c r="G2184" s="49" t="s">
        <v>4891</v>
      </c>
      <c r="H2184" s="49" t="s">
        <v>2827</v>
      </c>
      <c r="I2184" s="50">
        <v>45714</v>
      </c>
      <c r="M2184" s="49" t="s">
        <v>3270</v>
      </c>
    </row>
    <row r="2185" spans="1:13" x14ac:dyDescent="0.35">
      <c r="A2185" s="49" t="s">
        <v>1209</v>
      </c>
      <c r="B2185" s="49" t="s">
        <v>6720</v>
      </c>
      <c r="C2185" s="49" t="s">
        <v>6721</v>
      </c>
      <c r="D2185" s="49" t="s">
        <v>1264</v>
      </c>
      <c r="E2185" s="49" t="s">
        <v>2986</v>
      </c>
      <c r="F2185" s="49" t="s">
        <v>2825</v>
      </c>
      <c r="G2185" s="49" t="s">
        <v>4891</v>
      </c>
      <c r="H2185" s="49" t="s">
        <v>2827</v>
      </c>
      <c r="I2185" s="50">
        <v>45714</v>
      </c>
      <c r="M2185" s="49" t="s">
        <v>3270</v>
      </c>
    </row>
    <row r="2186" spans="1:13" x14ac:dyDescent="0.35">
      <c r="A2186" s="49" t="s">
        <v>14673</v>
      </c>
      <c r="B2186" s="49" t="s">
        <v>13691</v>
      </c>
      <c r="C2186" s="49"/>
      <c r="D2186" s="49" t="s">
        <v>1264</v>
      </c>
      <c r="E2186" s="49" t="s">
        <v>2986</v>
      </c>
      <c r="F2186" s="49" t="s">
        <v>2825</v>
      </c>
      <c r="G2186" s="49" t="s">
        <v>2776</v>
      </c>
      <c r="H2186" s="49" t="s">
        <v>2827</v>
      </c>
      <c r="I2186" s="50">
        <v>42877</v>
      </c>
      <c r="M2186" s="49" t="s">
        <v>3270</v>
      </c>
    </row>
    <row r="2187" spans="1:13" x14ac:dyDescent="0.35">
      <c r="A2187" s="49" t="s">
        <v>14673</v>
      </c>
      <c r="B2187" s="49" t="s">
        <v>13693</v>
      </c>
      <c r="C2187" s="49" t="s">
        <v>10563</v>
      </c>
      <c r="D2187" s="49" t="s">
        <v>1264</v>
      </c>
      <c r="E2187" s="49" t="s">
        <v>2986</v>
      </c>
      <c r="F2187" s="49" t="s">
        <v>2825</v>
      </c>
      <c r="G2187" s="49" t="s">
        <v>2776</v>
      </c>
      <c r="H2187" s="49" t="s">
        <v>2827</v>
      </c>
      <c r="I2187" s="50">
        <v>42874</v>
      </c>
      <c r="M2187" s="49" t="s">
        <v>3270</v>
      </c>
    </row>
    <row r="2188" spans="1:13" x14ac:dyDescent="0.35">
      <c r="A2188" s="49" t="s">
        <v>14941</v>
      </c>
      <c r="B2188" s="49" t="s">
        <v>10103</v>
      </c>
      <c r="C2188" s="49"/>
      <c r="D2188" s="49" t="s">
        <v>1264</v>
      </c>
      <c r="E2188" s="49" t="s">
        <v>2814</v>
      </c>
      <c r="F2188" s="49" t="s">
        <v>2825</v>
      </c>
      <c r="G2188" s="49" t="s">
        <v>2826</v>
      </c>
      <c r="H2188" s="49" t="s">
        <v>2827</v>
      </c>
      <c r="I2188" s="50">
        <v>41402</v>
      </c>
      <c r="J2188" s="50">
        <v>41502</v>
      </c>
      <c r="K2188" s="50">
        <v>41685</v>
      </c>
      <c r="M2188" s="49" t="s">
        <v>10105</v>
      </c>
    </row>
    <row r="2189" spans="1:13" x14ac:dyDescent="0.35">
      <c r="A2189" s="49" t="s">
        <v>14941</v>
      </c>
      <c r="B2189" s="49" t="s">
        <v>10512</v>
      </c>
      <c r="C2189" s="49"/>
      <c r="D2189" s="49" t="s">
        <v>1264</v>
      </c>
      <c r="E2189" s="49" t="s">
        <v>2814</v>
      </c>
      <c r="F2189" s="49" t="s">
        <v>2825</v>
      </c>
      <c r="G2189" s="49" t="s">
        <v>2776</v>
      </c>
      <c r="H2189" s="49" t="s">
        <v>2827</v>
      </c>
      <c r="I2189" s="50">
        <v>42842</v>
      </c>
      <c r="M2189" s="49" t="s">
        <v>10514</v>
      </c>
    </row>
    <row r="2190" spans="1:13" x14ac:dyDescent="0.35">
      <c r="A2190" s="49" t="s">
        <v>15398</v>
      </c>
      <c r="B2190" s="49" t="s">
        <v>5099</v>
      </c>
      <c r="C2190" s="49" t="s">
        <v>5100</v>
      </c>
      <c r="D2190" s="49" t="s">
        <v>1264</v>
      </c>
      <c r="E2190" s="49" t="s">
        <v>2785</v>
      </c>
      <c r="F2190" s="49" t="s">
        <v>2805</v>
      </c>
      <c r="G2190" s="49" t="s">
        <v>2787</v>
      </c>
      <c r="H2190" s="49" t="s">
        <v>1062</v>
      </c>
      <c r="I2190" s="50">
        <v>44685</v>
      </c>
      <c r="J2190" s="50">
        <v>44748</v>
      </c>
      <c r="K2190" s="50">
        <v>45428</v>
      </c>
      <c r="M2190" s="49" t="s">
        <v>5102</v>
      </c>
    </row>
    <row r="2191" spans="1:13" x14ac:dyDescent="0.35">
      <c r="A2191" s="49" t="s">
        <v>15398</v>
      </c>
      <c r="B2191" s="49" t="s">
        <v>5258</v>
      </c>
      <c r="C2191" s="49" t="s">
        <v>4817</v>
      </c>
      <c r="D2191" s="49" t="s">
        <v>1264</v>
      </c>
      <c r="E2191" s="49" t="s">
        <v>2986</v>
      </c>
      <c r="F2191" s="49" t="s">
        <v>2825</v>
      </c>
      <c r="G2191" s="49" t="s">
        <v>4330</v>
      </c>
      <c r="H2191" s="49" t="s">
        <v>2827</v>
      </c>
      <c r="I2191" s="50">
        <v>44546</v>
      </c>
      <c r="M2191" s="49" t="s">
        <v>5259</v>
      </c>
    </row>
    <row r="2192" spans="1:13" x14ac:dyDescent="0.35">
      <c r="A2192" s="49" t="s">
        <v>15398</v>
      </c>
      <c r="B2192" s="49" t="s">
        <v>6187</v>
      </c>
      <c r="C2192" s="49"/>
      <c r="D2192" s="49" t="s">
        <v>1264</v>
      </c>
      <c r="E2192" s="49" t="s">
        <v>2908</v>
      </c>
      <c r="F2192" s="49" t="s">
        <v>2837</v>
      </c>
      <c r="G2192" s="49" t="s">
        <v>2901</v>
      </c>
      <c r="H2192" s="49" t="s">
        <v>980</v>
      </c>
      <c r="I2192" s="50">
        <v>44887</v>
      </c>
      <c r="J2192" s="50">
        <v>45000</v>
      </c>
      <c r="K2192" s="50">
        <v>46826</v>
      </c>
      <c r="M2192" s="49" t="s">
        <v>6188</v>
      </c>
    </row>
    <row r="2193" spans="1:13" x14ac:dyDescent="0.35">
      <c r="A2193" s="49" t="s">
        <v>15398</v>
      </c>
      <c r="B2193" s="49" t="s">
        <v>11178</v>
      </c>
      <c r="C2193" s="49" t="s">
        <v>4809</v>
      </c>
      <c r="D2193" s="49" t="s">
        <v>1264</v>
      </c>
      <c r="E2193" s="49" t="s">
        <v>2986</v>
      </c>
      <c r="F2193" s="49" t="s">
        <v>2825</v>
      </c>
      <c r="G2193" s="49" t="s">
        <v>4891</v>
      </c>
      <c r="H2193" s="49" t="s">
        <v>2827</v>
      </c>
      <c r="I2193" s="50">
        <v>44876</v>
      </c>
      <c r="M2193" s="49" t="s">
        <v>11179</v>
      </c>
    </row>
    <row r="2194" spans="1:13" x14ac:dyDescent="0.35">
      <c r="A2194" s="49" t="s">
        <v>14508</v>
      </c>
      <c r="B2194" s="49" t="s">
        <v>9569</v>
      </c>
      <c r="C2194" s="49"/>
      <c r="D2194" s="49" t="s">
        <v>1264</v>
      </c>
      <c r="E2194" s="49" t="s">
        <v>2785</v>
      </c>
      <c r="F2194" s="49" t="s">
        <v>2786</v>
      </c>
      <c r="G2194" s="49" t="s">
        <v>2776</v>
      </c>
      <c r="H2194" s="49" t="s">
        <v>980</v>
      </c>
      <c r="I2194" s="50">
        <v>43346</v>
      </c>
      <c r="M2194" s="49" t="s">
        <v>9571</v>
      </c>
    </row>
    <row r="2195" spans="1:13" x14ac:dyDescent="0.35">
      <c r="A2195" s="49" t="s">
        <v>15399</v>
      </c>
      <c r="B2195" s="49" t="s">
        <v>11205</v>
      </c>
      <c r="C2195" s="49"/>
      <c r="D2195" s="49" t="s">
        <v>1264</v>
      </c>
      <c r="E2195" s="49" t="s">
        <v>2986</v>
      </c>
      <c r="F2195" s="49" t="s">
        <v>2825</v>
      </c>
      <c r="G2195" s="49" t="s">
        <v>4891</v>
      </c>
      <c r="H2195" s="49" t="s">
        <v>2827</v>
      </c>
      <c r="I2195" s="50">
        <v>44901</v>
      </c>
      <c r="M2195" s="49" t="s">
        <v>11207</v>
      </c>
    </row>
    <row r="2196" spans="1:13" x14ac:dyDescent="0.35">
      <c r="A2196" s="49" t="s">
        <v>14942</v>
      </c>
      <c r="B2196" s="49" t="s">
        <v>9493</v>
      </c>
      <c r="C2196" s="49" t="s">
        <v>7551</v>
      </c>
      <c r="D2196" s="49" t="s">
        <v>1264</v>
      </c>
      <c r="E2196" s="49" t="s">
        <v>2785</v>
      </c>
      <c r="F2196" s="49" t="s">
        <v>2792</v>
      </c>
      <c r="G2196" s="49" t="s">
        <v>2776</v>
      </c>
      <c r="H2196" s="49" t="s">
        <v>980</v>
      </c>
      <c r="I2196" s="50">
        <v>44032</v>
      </c>
      <c r="M2196" s="49" t="s">
        <v>9495</v>
      </c>
    </row>
    <row r="2197" spans="1:13" x14ac:dyDescent="0.35">
      <c r="A2197" s="49" t="s">
        <v>14465</v>
      </c>
      <c r="B2197" s="49" t="s">
        <v>8978</v>
      </c>
      <c r="C2197" s="49"/>
      <c r="D2197" s="49" t="s">
        <v>1264</v>
      </c>
      <c r="E2197" s="49" t="s">
        <v>2814</v>
      </c>
      <c r="F2197" s="49" t="s">
        <v>2825</v>
      </c>
      <c r="G2197" s="49" t="s">
        <v>2787</v>
      </c>
      <c r="H2197" s="49" t="s">
        <v>2827</v>
      </c>
      <c r="I2197" s="50">
        <v>42180</v>
      </c>
      <c r="J2197" s="50">
        <v>42201</v>
      </c>
      <c r="K2197" s="50">
        <v>42384</v>
      </c>
      <c r="M2197" s="49" t="s">
        <v>3470</v>
      </c>
    </row>
    <row r="2198" spans="1:13" x14ac:dyDescent="0.35">
      <c r="A2198" s="49" t="s">
        <v>14517</v>
      </c>
      <c r="B2198" s="49" t="s">
        <v>9656</v>
      </c>
      <c r="C2198" s="49" t="s">
        <v>3615</v>
      </c>
      <c r="D2198" s="49" t="s">
        <v>1264</v>
      </c>
      <c r="E2198" s="49" t="s">
        <v>2908</v>
      </c>
      <c r="F2198" s="49" t="s">
        <v>3010</v>
      </c>
      <c r="G2198" s="49" t="s">
        <v>2776</v>
      </c>
      <c r="H2198" s="49" t="s">
        <v>980</v>
      </c>
      <c r="I2198" s="50">
        <v>42390</v>
      </c>
      <c r="M2198" s="49" t="s">
        <v>9658</v>
      </c>
    </row>
    <row r="2199" spans="1:13" x14ac:dyDescent="0.35">
      <c r="A2199" s="49" t="s">
        <v>14943</v>
      </c>
      <c r="B2199" s="49" t="s">
        <v>6067</v>
      </c>
      <c r="C2199" s="49" t="s">
        <v>3768</v>
      </c>
      <c r="D2199" s="49" t="s">
        <v>1264</v>
      </c>
      <c r="E2199" s="49" t="s">
        <v>3443</v>
      </c>
      <c r="F2199" s="49" t="s">
        <v>3124</v>
      </c>
      <c r="G2199" s="49" t="s">
        <v>4330</v>
      </c>
      <c r="H2199" s="49" t="s">
        <v>980</v>
      </c>
      <c r="I2199" s="50">
        <v>45152</v>
      </c>
    </row>
    <row r="2200" spans="1:13" x14ac:dyDescent="0.35">
      <c r="A2200" s="49" t="s">
        <v>14944</v>
      </c>
      <c r="B2200" s="49" t="s">
        <v>6231</v>
      </c>
      <c r="C2200" s="49" t="s">
        <v>6232</v>
      </c>
      <c r="D2200" s="49" t="s">
        <v>1264</v>
      </c>
      <c r="E2200" s="49" t="s">
        <v>2986</v>
      </c>
      <c r="F2200" s="49" t="s">
        <v>2825</v>
      </c>
      <c r="G2200" s="49" t="s">
        <v>2901</v>
      </c>
      <c r="H2200" s="49" t="s">
        <v>2827</v>
      </c>
      <c r="I2200" s="50">
        <v>45012</v>
      </c>
      <c r="J2200" s="50">
        <v>45294</v>
      </c>
      <c r="K2200" s="50">
        <v>46389</v>
      </c>
      <c r="M2200" s="49" t="s">
        <v>3270</v>
      </c>
    </row>
    <row r="2201" spans="1:13" x14ac:dyDescent="0.35">
      <c r="A2201" s="49" t="s">
        <v>15400</v>
      </c>
      <c r="B2201" s="49" t="s">
        <v>5888</v>
      </c>
      <c r="C2201" s="49" t="s">
        <v>3962</v>
      </c>
      <c r="D2201" s="49" t="s">
        <v>1264</v>
      </c>
      <c r="E2201" s="49" t="s">
        <v>2785</v>
      </c>
      <c r="F2201" s="49" t="s">
        <v>2792</v>
      </c>
      <c r="G2201" s="49" t="s">
        <v>2787</v>
      </c>
      <c r="H2201" s="49" t="s">
        <v>980</v>
      </c>
      <c r="I2201" s="50">
        <v>44943</v>
      </c>
      <c r="J2201" s="50">
        <v>45063</v>
      </c>
      <c r="K2201" s="50">
        <v>45511</v>
      </c>
      <c r="M2201" s="49" t="s">
        <v>5890</v>
      </c>
    </row>
    <row r="2202" spans="1:13" x14ac:dyDescent="0.35">
      <c r="A2202" s="49" t="s">
        <v>15401</v>
      </c>
      <c r="B2202" s="49" t="s">
        <v>11319</v>
      </c>
      <c r="C2202" s="49" t="s">
        <v>3962</v>
      </c>
      <c r="D2202" s="49" t="s">
        <v>1264</v>
      </c>
      <c r="E2202" s="49" t="s">
        <v>2785</v>
      </c>
      <c r="F2202" s="49" t="s">
        <v>2792</v>
      </c>
      <c r="G2202" s="49" t="s">
        <v>2776</v>
      </c>
      <c r="H2202" s="49" t="s">
        <v>980</v>
      </c>
      <c r="I2202" s="50">
        <v>44975</v>
      </c>
      <c r="M2202" s="49" t="s">
        <v>5890</v>
      </c>
    </row>
    <row r="2203" spans="1:13" x14ac:dyDescent="0.35">
      <c r="A2203" s="49" t="s">
        <v>15402</v>
      </c>
      <c r="B2203" s="49" t="s">
        <v>13277</v>
      </c>
      <c r="C2203" s="49"/>
      <c r="D2203" s="49" t="s">
        <v>1264</v>
      </c>
      <c r="E2203" s="49" t="s">
        <v>2986</v>
      </c>
      <c r="F2203" s="49" t="s">
        <v>2825</v>
      </c>
      <c r="G2203" s="49" t="s">
        <v>4891</v>
      </c>
      <c r="H2203" s="49" t="s">
        <v>2827</v>
      </c>
      <c r="I2203" s="52">
        <v>46096.622719907398</v>
      </c>
      <c r="M2203" s="49" t="s">
        <v>3270</v>
      </c>
    </row>
    <row r="2204" spans="1:13" x14ac:dyDescent="0.35">
      <c r="A2204" s="49" t="s">
        <v>15402</v>
      </c>
      <c r="B2204" s="49" t="s">
        <v>13205</v>
      </c>
      <c r="C2204" s="49"/>
      <c r="D2204" s="49" t="s">
        <v>1264</v>
      </c>
      <c r="E2204" s="49" t="s">
        <v>2986</v>
      </c>
      <c r="F2204" s="49" t="s">
        <v>2825</v>
      </c>
      <c r="G2204" s="49" t="s">
        <v>4891</v>
      </c>
      <c r="H2204" s="49" t="s">
        <v>2827</v>
      </c>
      <c r="I2204" s="52">
        <v>46076.606076388904</v>
      </c>
      <c r="M2204" s="49" t="s">
        <v>3270</v>
      </c>
    </row>
    <row r="2205" spans="1:13" x14ac:dyDescent="0.35">
      <c r="A2205" s="49" t="s">
        <v>15193</v>
      </c>
      <c r="B2205" s="49" t="s">
        <v>13553</v>
      </c>
      <c r="C2205" s="49"/>
      <c r="D2205" s="49" t="s">
        <v>1264</v>
      </c>
      <c r="E2205" s="49" t="s">
        <v>2785</v>
      </c>
      <c r="F2205" s="49" t="s">
        <v>2786</v>
      </c>
      <c r="G2205" s="49" t="s">
        <v>4891</v>
      </c>
      <c r="H2205" s="49" t="s">
        <v>980</v>
      </c>
      <c r="I2205" s="52">
        <v>46161.437476851897</v>
      </c>
      <c r="M2205" s="49" t="s">
        <v>6439</v>
      </c>
    </row>
    <row r="2206" spans="1:13" x14ac:dyDescent="0.35">
      <c r="A2206" s="49" t="s">
        <v>14533</v>
      </c>
      <c r="B2206" s="49" t="s">
        <v>9884</v>
      </c>
      <c r="C2206" s="49" t="s">
        <v>9885</v>
      </c>
      <c r="D2206" s="49" t="s">
        <v>1264</v>
      </c>
      <c r="E2206" s="49" t="s">
        <v>7057</v>
      </c>
      <c r="F2206" s="49" t="s">
        <v>2825</v>
      </c>
      <c r="G2206" s="49" t="s">
        <v>2776</v>
      </c>
      <c r="H2206" s="49" t="s">
        <v>2827</v>
      </c>
      <c r="I2206" s="50">
        <v>41759</v>
      </c>
      <c r="M2206" s="49" t="s">
        <v>3270</v>
      </c>
    </row>
    <row r="2207" spans="1:13" x14ac:dyDescent="0.35">
      <c r="A2207" s="49" t="s">
        <v>423</v>
      </c>
      <c r="B2207" s="49" t="s">
        <v>5127</v>
      </c>
      <c r="C2207" s="49"/>
      <c r="D2207" s="49" t="s">
        <v>1264</v>
      </c>
      <c r="E2207" s="49" t="s">
        <v>2986</v>
      </c>
      <c r="F2207" s="49" t="s">
        <v>2825</v>
      </c>
      <c r="G2207" s="49" t="s">
        <v>2901</v>
      </c>
      <c r="H2207" s="49" t="s">
        <v>2827</v>
      </c>
      <c r="I2207" s="50">
        <v>44840</v>
      </c>
      <c r="J2207" s="50">
        <v>45315</v>
      </c>
      <c r="K2207" s="50">
        <v>46410</v>
      </c>
      <c r="M2207" s="49" t="s">
        <v>5129</v>
      </c>
    </row>
    <row r="2208" spans="1:13" x14ac:dyDescent="0.35">
      <c r="A2208" s="49" t="s">
        <v>426</v>
      </c>
      <c r="B2208" s="49" t="s">
        <v>11981</v>
      </c>
      <c r="C2208" s="49" t="s">
        <v>11982</v>
      </c>
      <c r="D2208" s="49" t="s">
        <v>1264</v>
      </c>
      <c r="E2208" s="49" t="s">
        <v>2785</v>
      </c>
      <c r="F2208" s="49" t="s">
        <v>2805</v>
      </c>
      <c r="G2208" s="49" t="s">
        <v>2776</v>
      </c>
      <c r="H2208" s="49" t="s">
        <v>973</v>
      </c>
      <c r="I2208" s="50">
        <v>45307</v>
      </c>
      <c r="M2208" s="49" t="s">
        <v>11984</v>
      </c>
    </row>
    <row r="2209" spans="1:13" x14ac:dyDescent="0.35">
      <c r="A2209" s="49" t="s">
        <v>14174</v>
      </c>
      <c r="B2209" s="49" t="s">
        <v>4265</v>
      </c>
      <c r="C2209" s="49"/>
      <c r="D2209" s="49" t="s">
        <v>1264</v>
      </c>
      <c r="E2209" s="49" t="s">
        <v>2785</v>
      </c>
      <c r="F2209" s="49" t="s">
        <v>2786</v>
      </c>
      <c r="G2209" s="49" t="s">
        <v>2787</v>
      </c>
      <c r="H2209" s="49" t="s">
        <v>8</v>
      </c>
      <c r="I2209" s="50">
        <v>43739</v>
      </c>
      <c r="J2209" s="50">
        <v>43777</v>
      </c>
      <c r="K2209" s="50">
        <v>45428</v>
      </c>
      <c r="M2209" s="49" t="s">
        <v>4267</v>
      </c>
    </row>
    <row r="2210" spans="1:13" x14ac:dyDescent="0.35">
      <c r="A2210" s="49" t="s">
        <v>14174</v>
      </c>
      <c r="B2210" s="49" t="s">
        <v>4268</v>
      </c>
      <c r="C2210" s="49" t="s">
        <v>4269</v>
      </c>
      <c r="D2210" s="49" t="s">
        <v>1264</v>
      </c>
      <c r="E2210" s="49" t="s">
        <v>2785</v>
      </c>
      <c r="F2210" s="49" t="s">
        <v>2786</v>
      </c>
      <c r="G2210" s="49" t="s">
        <v>2787</v>
      </c>
      <c r="H2210" s="49" t="s">
        <v>8</v>
      </c>
      <c r="I2210" s="50">
        <v>43845</v>
      </c>
      <c r="J2210" s="50">
        <v>44285</v>
      </c>
      <c r="K2210" s="50">
        <v>45428</v>
      </c>
      <c r="M2210" s="49" t="s">
        <v>4270</v>
      </c>
    </row>
    <row r="2211" spans="1:13" x14ac:dyDescent="0.35">
      <c r="A2211" s="49" t="s">
        <v>15403</v>
      </c>
      <c r="B2211" s="49" t="s">
        <v>13640</v>
      </c>
      <c r="C2211" s="49" t="s">
        <v>13641</v>
      </c>
      <c r="D2211" s="49" t="s">
        <v>1264</v>
      </c>
      <c r="E2211" s="49" t="s">
        <v>2986</v>
      </c>
      <c r="F2211" s="49" t="s">
        <v>2825</v>
      </c>
      <c r="G2211" s="49" t="s">
        <v>2776</v>
      </c>
      <c r="H2211" s="49" t="s">
        <v>2827</v>
      </c>
      <c r="I2211" s="50">
        <v>43313</v>
      </c>
      <c r="M2211" s="49" t="s">
        <v>3270</v>
      </c>
    </row>
    <row r="2212" spans="1:13" x14ac:dyDescent="0.35">
      <c r="A2212" s="49" t="s">
        <v>14787</v>
      </c>
      <c r="B2212" s="49" t="s">
        <v>11868</v>
      </c>
      <c r="C2212" s="49" t="s">
        <v>3075</v>
      </c>
      <c r="D2212" s="49" t="s">
        <v>1264</v>
      </c>
      <c r="E2212" s="49" t="s">
        <v>2785</v>
      </c>
      <c r="F2212" s="49" t="s">
        <v>2805</v>
      </c>
      <c r="G2212" s="49" t="s">
        <v>2776</v>
      </c>
      <c r="H2212" s="49" t="s">
        <v>2827</v>
      </c>
      <c r="I2212" s="50">
        <v>45208</v>
      </c>
      <c r="M2212" s="49" t="s">
        <v>3270</v>
      </c>
    </row>
    <row r="2213" spans="1:13" x14ac:dyDescent="0.35">
      <c r="A2213" s="49" t="s">
        <v>14416</v>
      </c>
      <c r="B2213" s="49" t="s">
        <v>8272</v>
      </c>
      <c r="C2213" s="49" t="s">
        <v>3102</v>
      </c>
      <c r="D2213" s="49" t="s">
        <v>1264</v>
      </c>
      <c r="E2213" s="49" t="s">
        <v>2908</v>
      </c>
      <c r="F2213" s="49" t="s">
        <v>2939</v>
      </c>
      <c r="G2213" s="49" t="s">
        <v>2787</v>
      </c>
      <c r="H2213" s="49" t="s">
        <v>8</v>
      </c>
      <c r="I2213" s="50">
        <v>36608</v>
      </c>
      <c r="J2213" s="50">
        <v>36795</v>
      </c>
      <c r="K2213" s="50">
        <v>42130</v>
      </c>
      <c r="M2213" s="49" t="s">
        <v>8274</v>
      </c>
    </row>
    <row r="2214" spans="1:13" x14ac:dyDescent="0.35">
      <c r="A2214" s="49" t="s">
        <v>14416</v>
      </c>
      <c r="B2214" s="49" t="s">
        <v>8333</v>
      </c>
      <c r="C2214" s="49" t="s">
        <v>3102</v>
      </c>
      <c r="D2214" s="49" t="s">
        <v>1264</v>
      </c>
      <c r="E2214" s="49" t="s">
        <v>2908</v>
      </c>
      <c r="F2214" s="49" t="s">
        <v>2939</v>
      </c>
      <c r="G2214" s="49" t="s">
        <v>2787</v>
      </c>
      <c r="H2214" s="49" t="s">
        <v>8</v>
      </c>
      <c r="I2214" s="50">
        <v>39231</v>
      </c>
      <c r="J2214" s="50">
        <v>35023</v>
      </c>
      <c r="K2214" s="50">
        <v>41200</v>
      </c>
      <c r="M2214" s="49" t="s">
        <v>8277</v>
      </c>
    </row>
    <row r="2215" spans="1:13" x14ac:dyDescent="0.35">
      <c r="A2215" s="49" t="s">
        <v>949</v>
      </c>
      <c r="B2215" s="49" t="s">
        <v>6463</v>
      </c>
      <c r="C2215" s="49" t="s">
        <v>6464</v>
      </c>
      <c r="D2215" s="49" t="s">
        <v>1264</v>
      </c>
      <c r="E2215" s="49" t="s">
        <v>2986</v>
      </c>
      <c r="F2215" s="49" t="s">
        <v>2825</v>
      </c>
      <c r="G2215" s="49" t="s">
        <v>2901</v>
      </c>
      <c r="H2215" s="49" t="s">
        <v>2827</v>
      </c>
      <c r="I2215" s="50">
        <v>45119</v>
      </c>
      <c r="J2215" s="50">
        <v>45357</v>
      </c>
      <c r="K2215" s="50">
        <v>46451</v>
      </c>
      <c r="M2215" s="49" t="s">
        <v>6466</v>
      </c>
    </row>
    <row r="2216" spans="1:13" x14ac:dyDescent="0.35">
      <c r="A2216" s="49" t="s">
        <v>949</v>
      </c>
      <c r="B2216" s="49" t="s">
        <v>12662</v>
      </c>
      <c r="C2216" s="49" t="s">
        <v>6605</v>
      </c>
      <c r="D2216" s="49" t="s">
        <v>1264</v>
      </c>
      <c r="E2216" s="49" t="s">
        <v>2986</v>
      </c>
      <c r="F2216" s="49" t="s">
        <v>2825</v>
      </c>
      <c r="G2216" s="49" t="s">
        <v>4891</v>
      </c>
      <c r="H2216" s="49" t="s">
        <v>2827</v>
      </c>
      <c r="I2216" s="50">
        <v>45539</v>
      </c>
      <c r="M2216" s="49" t="s">
        <v>12663</v>
      </c>
    </row>
    <row r="2217" spans="1:13" x14ac:dyDescent="0.35">
      <c r="A2217" s="49" t="s">
        <v>429</v>
      </c>
      <c r="B2217" s="49" t="s">
        <v>4982</v>
      </c>
      <c r="C2217" s="49"/>
      <c r="D2217" s="49" t="s">
        <v>1264</v>
      </c>
      <c r="E2217" s="49" t="s">
        <v>2974</v>
      </c>
      <c r="F2217" s="49" t="s">
        <v>2825</v>
      </c>
      <c r="G2217" s="49" t="s">
        <v>2901</v>
      </c>
      <c r="H2217" s="49" t="s">
        <v>2827</v>
      </c>
      <c r="I2217" s="50">
        <v>44770</v>
      </c>
      <c r="J2217" s="50">
        <v>44783</v>
      </c>
      <c r="K2217" s="50">
        <v>46608</v>
      </c>
      <c r="M2217" s="49" t="s">
        <v>3859</v>
      </c>
    </row>
    <row r="2218" spans="1:13" x14ac:dyDescent="0.35">
      <c r="A2218" s="49" t="s">
        <v>14214</v>
      </c>
      <c r="B2218" s="49" t="s">
        <v>4951</v>
      </c>
      <c r="C2218" s="49"/>
      <c r="D2218" s="49" t="s">
        <v>1264</v>
      </c>
      <c r="E2218" s="49" t="s">
        <v>2774</v>
      </c>
      <c r="F2218" s="49" t="s">
        <v>3005</v>
      </c>
      <c r="G2218" s="49" t="s">
        <v>4891</v>
      </c>
      <c r="H2218" s="49" t="s">
        <v>3229</v>
      </c>
      <c r="I2218" s="50">
        <v>44760</v>
      </c>
      <c r="M2218" s="49" t="s">
        <v>4953</v>
      </c>
    </row>
    <row r="2219" spans="1:13" x14ac:dyDescent="0.35">
      <c r="A2219" s="49" t="s">
        <v>10193</v>
      </c>
      <c r="B2219" s="49" t="s">
        <v>10192</v>
      </c>
      <c r="C2219" s="49" t="s">
        <v>873</v>
      </c>
      <c r="D2219" s="49" t="s">
        <v>1264</v>
      </c>
      <c r="E2219" s="49" t="s">
        <v>2814</v>
      </c>
      <c r="F2219" s="49" t="s">
        <v>2825</v>
      </c>
      <c r="G2219" s="49" t="s">
        <v>2787</v>
      </c>
      <c r="H2219" s="49" t="s">
        <v>2827</v>
      </c>
      <c r="I2219" s="50">
        <v>42374</v>
      </c>
      <c r="J2219" s="50">
        <v>42401</v>
      </c>
      <c r="K2219" s="50">
        <v>42583</v>
      </c>
      <c r="M2219" s="49" t="s">
        <v>3470</v>
      </c>
    </row>
    <row r="2220" spans="1:13" x14ac:dyDescent="0.35">
      <c r="A2220" s="49" t="s">
        <v>15404</v>
      </c>
      <c r="B2220" s="49" t="s">
        <v>8533</v>
      </c>
      <c r="C2220" s="49" t="s">
        <v>8534</v>
      </c>
      <c r="D2220" s="49" t="s">
        <v>1264</v>
      </c>
      <c r="E2220" s="49" t="s">
        <v>2774</v>
      </c>
      <c r="F2220" s="49" t="s">
        <v>2900</v>
      </c>
      <c r="G2220" s="49" t="s">
        <v>2975</v>
      </c>
      <c r="H2220" s="49" t="s">
        <v>3229</v>
      </c>
      <c r="I2220" s="50">
        <v>42633</v>
      </c>
      <c r="J2220" s="50">
        <v>43468</v>
      </c>
      <c r="K2220" s="50">
        <v>44929</v>
      </c>
      <c r="M2220" s="49" t="s">
        <v>8536</v>
      </c>
    </row>
    <row r="2221" spans="1:13" x14ac:dyDescent="0.35">
      <c r="A2221" s="49" t="s">
        <v>15194</v>
      </c>
      <c r="B2221" s="49" t="s">
        <v>7641</v>
      </c>
      <c r="C2221" s="49" t="s">
        <v>2818</v>
      </c>
      <c r="D2221" s="49" t="s">
        <v>1264</v>
      </c>
      <c r="E2221" s="49" t="s">
        <v>2785</v>
      </c>
      <c r="F2221" s="49" t="s">
        <v>2792</v>
      </c>
      <c r="G2221" s="49" t="s">
        <v>2787</v>
      </c>
      <c r="H2221" s="49" t="s">
        <v>8</v>
      </c>
      <c r="I2221" s="50">
        <v>42608</v>
      </c>
      <c r="J2221" s="50">
        <v>42628</v>
      </c>
      <c r="K2221" s="50">
        <v>43026</v>
      </c>
      <c r="M2221" s="49" t="s">
        <v>7643</v>
      </c>
    </row>
    <row r="2222" spans="1:13" x14ac:dyDescent="0.35">
      <c r="A2222" s="49" t="s">
        <v>15405</v>
      </c>
      <c r="B2222" s="49" t="s">
        <v>10088</v>
      </c>
      <c r="C2222" s="49"/>
      <c r="D2222" s="49" t="s">
        <v>1264</v>
      </c>
      <c r="E2222" s="49" t="s">
        <v>2986</v>
      </c>
      <c r="F2222" s="49" t="s">
        <v>2825</v>
      </c>
      <c r="G2222" s="49" t="s">
        <v>2776</v>
      </c>
      <c r="H2222" s="49" t="s">
        <v>2827</v>
      </c>
      <c r="I2222" s="50">
        <v>44154</v>
      </c>
      <c r="M2222" s="49" t="s">
        <v>10090</v>
      </c>
    </row>
    <row r="2223" spans="1:13" x14ac:dyDescent="0.35">
      <c r="A2223" s="49" t="s">
        <v>15660</v>
      </c>
      <c r="B2223" s="49" t="s">
        <v>12323</v>
      </c>
      <c r="C2223" s="49" t="s">
        <v>12324</v>
      </c>
      <c r="D2223" s="49" t="s">
        <v>1264</v>
      </c>
      <c r="E2223" s="49" t="s">
        <v>2785</v>
      </c>
      <c r="F2223" s="49" t="s">
        <v>2805</v>
      </c>
      <c r="G2223" s="49" t="s">
        <v>4891</v>
      </c>
      <c r="H2223" s="49" t="s">
        <v>1062</v>
      </c>
      <c r="I2223" s="50">
        <v>45377</v>
      </c>
      <c r="M2223" s="49" t="s">
        <v>12326</v>
      </c>
    </row>
    <row r="2224" spans="1:13" x14ac:dyDescent="0.35">
      <c r="A2224" s="49" t="s">
        <v>15406</v>
      </c>
      <c r="B2224" s="49" t="s">
        <v>8278</v>
      </c>
      <c r="C2224" s="49" t="s">
        <v>8279</v>
      </c>
      <c r="D2224" s="49" t="s">
        <v>1264</v>
      </c>
      <c r="E2224" s="49" t="s">
        <v>7057</v>
      </c>
      <c r="F2224" s="49" t="s">
        <v>2825</v>
      </c>
      <c r="G2224" s="49" t="s">
        <v>2787</v>
      </c>
      <c r="H2224" s="49" t="s">
        <v>2827</v>
      </c>
      <c r="I2224" s="50">
        <v>39567</v>
      </c>
      <c r="J2224" s="50">
        <v>40066</v>
      </c>
      <c r="K2224" s="50">
        <v>40795</v>
      </c>
      <c r="M2224" s="49" t="s">
        <v>8281</v>
      </c>
    </row>
    <row r="2225" spans="1:13" x14ac:dyDescent="0.35">
      <c r="A2225" s="49" t="s">
        <v>14720</v>
      </c>
      <c r="B2225" s="49" t="s">
        <v>7439</v>
      </c>
      <c r="C2225" s="49"/>
      <c r="D2225" s="49" t="s">
        <v>1264</v>
      </c>
      <c r="E2225" s="49" t="s">
        <v>2785</v>
      </c>
      <c r="F2225" s="49" t="s">
        <v>2792</v>
      </c>
      <c r="G2225" s="49" t="s">
        <v>2787</v>
      </c>
      <c r="H2225" s="49" t="s">
        <v>8</v>
      </c>
      <c r="I2225" s="50">
        <v>42410</v>
      </c>
      <c r="J2225" s="50">
        <v>42860</v>
      </c>
      <c r="K2225" s="50">
        <v>43043</v>
      </c>
      <c r="M2225" s="49" t="s">
        <v>7441</v>
      </c>
    </row>
    <row r="2226" spans="1:13" x14ac:dyDescent="0.35">
      <c r="A2226" s="49" t="s">
        <v>15195</v>
      </c>
      <c r="B2226" s="49" t="s">
        <v>3821</v>
      </c>
      <c r="C2226" s="49" t="s">
        <v>3768</v>
      </c>
      <c r="D2226" s="49" t="s">
        <v>1264</v>
      </c>
      <c r="E2226" s="49" t="s">
        <v>3443</v>
      </c>
      <c r="F2226" s="49" t="s">
        <v>3124</v>
      </c>
      <c r="G2226" s="49" t="s">
        <v>2787</v>
      </c>
      <c r="H2226" s="49" t="s">
        <v>980</v>
      </c>
      <c r="I2226" s="50">
        <v>43343</v>
      </c>
      <c r="J2226" s="50">
        <v>43390</v>
      </c>
      <c r="K2226" s="50">
        <v>45215</v>
      </c>
      <c r="M2226" s="49" t="s">
        <v>3823</v>
      </c>
    </row>
    <row r="2227" spans="1:13" x14ac:dyDescent="0.35">
      <c r="A2227" s="49" t="s">
        <v>14350</v>
      </c>
      <c r="B2227" s="49" t="s">
        <v>7442</v>
      </c>
      <c r="C2227" s="49" t="s">
        <v>7443</v>
      </c>
      <c r="D2227" s="49" t="s">
        <v>1264</v>
      </c>
      <c r="E2227" s="49" t="s">
        <v>7057</v>
      </c>
      <c r="F2227" s="49" t="s">
        <v>2825</v>
      </c>
      <c r="G2227" s="49" t="s">
        <v>2787</v>
      </c>
      <c r="H2227" s="49" t="s">
        <v>2827</v>
      </c>
      <c r="I2227" s="50">
        <v>40373</v>
      </c>
      <c r="J2227" s="50">
        <v>40935</v>
      </c>
      <c r="K2227" s="50">
        <v>41667</v>
      </c>
      <c r="M2227" s="49" t="s">
        <v>7445</v>
      </c>
    </row>
    <row r="2228" spans="1:13" x14ac:dyDescent="0.35">
      <c r="A2228" s="49" t="s">
        <v>15661</v>
      </c>
      <c r="B2228" s="49" t="s">
        <v>5939</v>
      </c>
      <c r="C2228" s="49" t="s">
        <v>5940</v>
      </c>
      <c r="D2228" s="49" t="s">
        <v>1264</v>
      </c>
      <c r="E2228" s="49" t="s">
        <v>2785</v>
      </c>
      <c r="F2228" s="49" t="s">
        <v>2786</v>
      </c>
      <c r="G2228" s="49" t="s">
        <v>2787</v>
      </c>
      <c r="H2228" s="49" t="s">
        <v>980</v>
      </c>
      <c r="I2228" s="50">
        <v>45141</v>
      </c>
      <c r="J2228" s="50">
        <v>45209</v>
      </c>
      <c r="K2228" s="50">
        <v>45574</v>
      </c>
      <c r="M2228" s="49" t="s">
        <v>5942</v>
      </c>
    </row>
    <row r="2229" spans="1:13" x14ac:dyDescent="0.35">
      <c r="A2229" s="49" t="s">
        <v>15013</v>
      </c>
      <c r="B2229" s="49" t="s">
        <v>13409</v>
      </c>
      <c r="C2229" s="49"/>
      <c r="D2229" s="49" t="s">
        <v>1264</v>
      </c>
      <c r="E2229" s="49" t="s">
        <v>2986</v>
      </c>
      <c r="F2229" s="49" t="s">
        <v>2825</v>
      </c>
      <c r="G2229" s="49" t="s">
        <v>4891</v>
      </c>
      <c r="H2229" s="49" t="s">
        <v>973</v>
      </c>
      <c r="I2229" s="52">
        <v>46125.451608796298</v>
      </c>
      <c r="M2229" s="49" t="s">
        <v>13411</v>
      </c>
    </row>
    <row r="2230" spans="1:13" x14ac:dyDescent="0.35">
      <c r="A2230" s="49" t="s">
        <v>15013</v>
      </c>
      <c r="B2230" s="49" t="s">
        <v>13418</v>
      </c>
      <c r="C2230" s="49"/>
      <c r="D2230" s="49" t="s">
        <v>1264</v>
      </c>
      <c r="E2230" s="49" t="s">
        <v>2986</v>
      </c>
      <c r="F2230" s="49" t="s">
        <v>2825</v>
      </c>
      <c r="G2230" s="49" t="s">
        <v>4891</v>
      </c>
      <c r="H2230" s="49" t="s">
        <v>973</v>
      </c>
      <c r="I2230" s="52">
        <v>46127.660983796297</v>
      </c>
      <c r="M2230" s="49" t="s">
        <v>13419</v>
      </c>
    </row>
    <row r="2231" spans="1:13" x14ac:dyDescent="0.35">
      <c r="A2231" s="49" t="s">
        <v>15014</v>
      </c>
      <c r="B2231" s="49" t="s">
        <v>12349</v>
      </c>
      <c r="C2231" s="49"/>
      <c r="D2231" s="49" t="s">
        <v>1264</v>
      </c>
      <c r="E2231" s="49" t="s">
        <v>2908</v>
      </c>
      <c r="F2231" s="49" t="s">
        <v>3010</v>
      </c>
      <c r="G2231" s="49" t="s">
        <v>2776</v>
      </c>
      <c r="H2231" s="49" t="s">
        <v>980</v>
      </c>
      <c r="I2231" s="50">
        <v>45379</v>
      </c>
      <c r="M2231" s="49" t="s">
        <v>12351</v>
      </c>
    </row>
    <row r="2232" spans="1:13" x14ac:dyDescent="0.35">
      <c r="A2232" s="49" t="s">
        <v>15014</v>
      </c>
      <c r="B2232" s="49" t="s">
        <v>12645</v>
      </c>
      <c r="C2232" s="49" t="s">
        <v>12646</v>
      </c>
      <c r="D2232" s="49" t="s">
        <v>1264</v>
      </c>
      <c r="E2232" s="49" t="s">
        <v>2986</v>
      </c>
      <c r="F2232" s="49" t="s">
        <v>2825</v>
      </c>
      <c r="G2232" s="49" t="s">
        <v>2776</v>
      </c>
      <c r="H2232" s="49" t="s">
        <v>973</v>
      </c>
      <c r="I2232" s="50">
        <v>45363</v>
      </c>
      <c r="M2232" s="49" t="s">
        <v>11684</v>
      </c>
    </row>
    <row r="2233" spans="1:13" x14ac:dyDescent="0.35">
      <c r="A2233" s="49" t="s">
        <v>15014</v>
      </c>
      <c r="B2233" s="49" t="s">
        <v>12649</v>
      </c>
      <c r="C2233" s="49" t="s">
        <v>5222</v>
      </c>
      <c r="D2233" s="49" t="s">
        <v>1264</v>
      </c>
      <c r="E2233" s="49" t="s">
        <v>2986</v>
      </c>
      <c r="F2233" s="49" t="s">
        <v>2825</v>
      </c>
      <c r="G2233" s="49" t="s">
        <v>2776</v>
      </c>
      <c r="H2233" s="49" t="s">
        <v>973</v>
      </c>
      <c r="I2233" s="50">
        <v>45372</v>
      </c>
      <c r="M2233" s="49" t="s">
        <v>11662</v>
      </c>
    </row>
    <row r="2234" spans="1:13" x14ac:dyDescent="0.35">
      <c r="A2234" s="49" t="s">
        <v>15014</v>
      </c>
      <c r="B2234" s="49" t="s">
        <v>12689</v>
      </c>
      <c r="C2234" s="49"/>
      <c r="D2234" s="49" t="s">
        <v>1264</v>
      </c>
      <c r="E2234" s="49" t="s">
        <v>2986</v>
      </c>
      <c r="F2234" s="49" t="s">
        <v>2825</v>
      </c>
      <c r="G2234" s="49" t="s">
        <v>4891</v>
      </c>
      <c r="H2234" s="49" t="s">
        <v>973</v>
      </c>
      <c r="I2234" s="50">
        <v>45372</v>
      </c>
      <c r="M2234" s="49" t="s">
        <v>12691</v>
      </c>
    </row>
    <row r="2235" spans="1:13" x14ac:dyDescent="0.35">
      <c r="A2235" s="49" t="s">
        <v>14430</v>
      </c>
      <c r="B2235" s="49" t="s">
        <v>8435</v>
      </c>
      <c r="C2235" s="49" t="s">
        <v>8436</v>
      </c>
      <c r="D2235" s="49" t="s">
        <v>1264</v>
      </c>
      <c r="E2235" s="49" t="s">
        <v>2774</v>
      </c>
      <c r="F2235" s="49" t="s">
        <v>2825</v>
      </c>
      <c r="G2235" s="49" t="s">
        <v>2787</v>
      </c>
      <c r="H2235" s="49" t="s">
        <v>2827</v>
      </c>
      <c r="I2235" s="50">
        <v>40486</v>
      </c>
      <c r="J2235" s="50">
        <v>40542</v>
      </c>
      <c r="K2235" s="50">
        <v>43826</v>
      </c>
      <c r="M2235" s="49" t="s">
        <v>8438</v>
      </c>
    </row>
    <row r="2236" spans="1:13" x14ac:dyDescent="0.35">
      <c r="A2236" s="49" t="s">
        <v>14430</v>
      </c>
      <c r="B2236" s="49" t="s">
        <v>8707</v>
      </c>
      <c r="C2236" s="49"/>
      <c r="D2236" s="49" t="s">
        <v>1264</v>
      </c>
      <c r="E2236" s="49" t="s">
        <v>2814</v>
      </c>
      <c r="F2236" s="49" t="s">
        <v>2825</v>
      </c>
      <c r="G2236" s="49" t="s">
        <v>2826</v>
      </c>
      <c r="H2236" s="49" t="s">
        <v>2827</v>
      </c>
      <c r="I2236" s="50">
        <v>41466</v>
      </c>
      <c r="M2236" s="49" t="s">
        <v>8708</v>
      </c>
    </row>
    <row r="2237" spans="1:13" x14ac:dyDescent="0.35">
      <c r="A2237" s="49" t="s">
        <v>14430</v>
      </c>
      <c r="B2237" s="49" t="s">
        <v>10789</v>
      </c>
      <c r="C2237" s="49"/>
      <c r="D2237" s="49" t="s">
        <v>1264</v>
      </c>
      <c r="E2237" s="49" t="s">
        <v>2814</v>
      </c>
      <c r="F2237" s="49" t="s">
        <v>2825</v>
      </c>
      <c r="G2237" s="49" t="s">
        <v>2826</v>
      </c>
      <c r="H2237" s="49" t="s">
        <v>2827</v>
      </c>
      <c r="I2237" s="50">
        <v>41556</v>
      </c>
      <c r="M2237" s="49" t="s">
        <v>10790</v>
      </c>
    </row>
    <row r="2238" spans="1:13" x14ac:dyDescent="0.35">
      <c r="A2238" s="49" t="s">
        <v>6213</v>
      </c>
      <c r="B2238" s="49" t="s">
        <v>6205</v>
      </c>
      <c r="C2238" s="49" t="s">
        <v>4877</v>
      </c>
      <c r="D2238" s="49" t="s">
        <v>1264</v>
      </c>
      <c r="E2238" s="49" t="s">
        <v>2986</v>
      </c>
      <c r="F2238" s="49" t="s">
        <v>2825</v>
      </c>
      <c r="G2238" s="49" t="s">
        <v>2901</v>
      </c>
      <c r="H2238" s="49" t="s">
        <v>2827</v>
      </c>
      <c r="I2238" s="50">
        <v>45299</v>
      </c>
      <c r="J2238" s="50">
        <v>45315</v>
      </c>
      <c r="K2238" s="50">
        <v>46410</v>
      </c>
      <c r="M2238" s="49" t="s">
        <v>6207</v>
      </c>
    </row>
    <row r="2239" spans="1:13" x14ac:dyDescent="0.35">
      <c r="A2239" s="49" t="s">
        <v>6213</v>
      </c>
      <c r="B2239" s="49" t="s">
        <v>6208</v>
      </c>
      <c r="C2239" s="49" t="s">
        <v>4809</v>
      </c>
      <c r="D2239" s="49" t="s">
        <v>1264</v>
      </c>
      <c r="E2239" s="49" t="s">
        <v>2986</v>
      </c>
      <c r="F2239" s="49" t="s">
        <v>2825</v>
      </c>
      <c r="G2239" s="49" t="s">
        <v>2901</v>
      </c>
      <c r="H2239" s="49" t="s">
        <v>2827</v>
      </c>
      <c r="I2239" s="50">
        <v>45299</v>
      </c>
      <c r="J2239" s="50">
        <v>45315</v>
      </c>
      <c r="K2239" s="50">
        <v>46410</v>
      </c>
      <c r="M2239" s="49" t="s">
        <v>6209</v>
      </c>
    </row>
    <row r="2240" spans="1:13" x14ac:dyDescent="0.35">
      <c r="A2240" s="49" t="s">
        <v>6213</v>
      </c>
      <c r="B2240" s="49" t="s">
        <v>6210</v>
      </c>
      <c r="C2240" s="49" t="s">
        <v>4817</v>
      </c>
      <c r="D2240" s="49" t="s">
        <v>1264</v>
      </c>
      <c r="E2240" s="49" t="s">
        <v>2986</v>
      </c>
      <c r="F2240" s="49" t="s">
        <v>2825</v>
      </c>
      <c r="G2240" s="49" t="s">
        <v>2901</v>
      </c>
      <c r="H2240" s="49" t="s">
        <v>2827</v>
      </c>
      <c r="I2240" s="50">
        <v>45299</v>
      </c>
      <c r="J2240" s="50">
        <v>45315</v>
      </c>
      <c r="K2240" s="50">
        <v>46410</v>
      </c>
      <c r="M2240" s="49" t="s">
        <v>6211</v>
      </c>
    </row>
    <row r="2241" spans="1:13" x14ac:dyDescent="0.35">
      <c r="A2241" s="49" t="s">
        <v>6213</v>
      </c>
      <c r="B2241" s="49" t="s">
        <v>6212</v>
      </c>
      <c r="C2241" s="49"/>
      <c r="D2241" s="49" t="s">
        <v>1264</v>
      </c>
      <c r="E2241" s="49" t="s">
        <v>2986</v>
      </c>
      <c r="F2241" s="49" t="s">
        <v>2825</v>
      </c>
      <c r="G2241" s="49" t="s">
        <v>2901</v>
      </c>
      <c r="H2241" s="49" t="s">
        <v>2827</v>
      </c>
      <c r="I2241" s="50">
        <v>45302</v>
      </c>
      <c r="J2241" s="50">
        <v>45315</v>
      </c>
      <c r="K2241" s="50">
        <v>46410</v>
      </c>
      <c r="M2241" s="49" t="s">
        <v>6214</v>
      </c>
    </row>
    <row r="2242" spans="1:13" x14ac:dyDescent="0.35">
      <c r="A2242" s="49" t="s">
        <v>6213</v>
      </c>
      <c r="B2242" s="49" t="s">
        <v>6215</v>
      </c>
      <c r="C2242" s="49"/>
      <c r="D2242" s="49" t="s">
        <v>1264</v>
      </c>
      <c r="E2242" s="49" t="s">
        <v>2986</v>
      </c>
      <c r="F2242" s="49" t="s">
        <v>2825</v>
      </c>
      <c r="G2242" s="49" t="s">
        <v>2901</v>
      </c>
      <c r="H2242" s="49" t="s">
        <v>2827</v>
      </c>
      <c r="I2242" s="50">
        <v>45299</v>
      </c>
      <c r="J2242" s="50">
        <v>45315</v>
      </c>
      <c r="K2242" s="50">
        <v>46410</v>
      </c>
      <c r="M2242" s="49" t="s">
        <v>6216</v>
      </c>
    </row>
    <row r="2243" spans="1:13" x14ac:dyDescent="0.35">
      <c r="A2243" s="49" t="s">
        <v>6213</v>
      </c>
      <c r="B2243" s="49" t="s">
        <v>11715</v>
      </c>
      <c r="C2243" s="49" t="s">
        <v>11716</v>
      </c>
      <c r="D2243" s="49" t="s">
        <v>1264</v>
      </c>
      <c r="E2243" s="49" t="s">
        <v>2986</v>
      </c>
      <c r="F2243" s="49" t="s">
        <v>2825</v>
      </c>
      <c r="G2243" s="49" t="s">
        <v>2776</v>
      </c>
      <c r="H2243" s="49" t="s">
        <v>2827</v>
      </c>
      <c r="I2243" s="50">
        <v>45254</v>
      </c>
      <c r="M2243" s="49" t="s">
        <v>11717</v>
      </c>
    </row>
    <row r="2244" spans="1:13" x14ac:dyDescent="0.35">
      <c r="A2244" s="49" t="s">
        <v>6213</v>
      </c>
      <c r="B2244" s="49" t="s">
        <v>11718</v>
      </c>
      <c r="C2244" s="49" t="s">
        <v>11719</v>
      </c>
      <c r="D2244" s="49" t="s">
        <v>1264</v>
      </c>
      <c r="E2244" s="49" t="s">
        <v>2986</v>
      </c>
      <c r="F2244" s="49" t="s">
        <v>2825</v>
      </c>
      <c r="G2244" s="49" t="s">
        <v>2776</v>
      </c>
      <c r="H2244" s="49" t="s">
        <v>2827</v>
      </c>
      <c r="I2244" s="50">
        <v>45254</v>
      </c>
      <c r="M2244" s="49" t="s">
        <v>11720</v>
      </c>
    </row>
    <row r="2245" spans="1:13" x14ac:dyDescent="0.35">
      <c r="A2245" s="49" t="s">
        <v>6213</v>
      </c>
      <c r="B2245" s="49" t="s">
        <v>11721</v>
      </c>
      <c r="C2245" s="49" t="s">
        <v>11722</v>
      </c>
      <c r="D2245" s="49" t="s">
        <v>1264</v>
      </c>
      <c r="E2245" s="49" t="s">
        <v>2986</v>
      </c>
      <c r="F2245" s="49" t="s">
        <v>2825</v>
      </c>
      <c r="G2245" s="49" t="s">
        <v>2776</v>
      </c>
      <c r="H2245" s="49" t="s">
        <v>2827</v>
      </c>
      <c r="I2245" s="50">
        <v>45254</v>
      </c>
      <c r="M2245" s="49" t="s">
        <v>11723</v>
      </c>
    </row>
    <row r="2246" spans="1:13" x14ac:dyDescent="0.35">
      <c r="A2246" s="49" t="s">
        <v>6213</v>
      </c>
      <c r="B2246" s="49" t="s">
        <v>11724</v>
      </c>
      <c r="C2246" s="49" t="s">
        <v>11725</v>
      </c>
      <c r="D2246" s="49" t="s">
        <v>1264</v>
      </c>
      <c r="E2246" s="49" t="s">
        <v>2986</v>
      </c>
      <c r="F2246" s="49" t="s">
        <v>2825</v>
      </c>
      <c r="G2246" s="49" t="s">
        <v>2776</v>
      </c>
      <c r="H2246" s="49" t="s">
        <v>2827</v>
      </c>
      <c r="I2246" s="50">
        <v>45254</v>
      </c>
      <c r="M2246" s="49" t="s">
        <v>11646</v>
      </c>
    </row>
    <row r="2247" spans="1:13" x14ac:dyDescent="0.35">
      <c r="A2247" s="49" t="s">
        <v>14291</v>
      </c>
      <c r="B2247" s="49" t="s">
        <v>6508</v>
      </c>
      <c r="C2247" s="49" t="s">
        <v>6509</v>
      </c>
      <c r="D2247" s="49" t="s">
        <v>1264</v>
      </c>
      <c r="E2247" s="49" t="s">
        <v>2774</v>
      </c>
      <c r="F2247" s="49" t="s">
        <v>3188</v>
      </c>
      <c r="G2247" s="49" t="s">
        <v>2901</v>
      </c>
      <c r="H2247" s="49" t="s">
        <v>2827</v>
      </c>
      <c r="I2247" s="50">
        <v>45176</v>
      </c>
      <c r="J2247" s="50">
        <v>45357</v>
      </c>
      <c r="K2247" s="50">
        <v>46817</v>
      </c>
      <c r="M2247" s="49" t="s">
        <v>6511</v>
      </c>
    </row>
    <row r="2248" spans="1:13" x14ac:dyDescent="0.35">
      <c r="A2248" s="49" t="s">
        <v>14291</v>
      </c>
      <c r="B2248" s="49" t="s">
        <v>11241</v>
      </c>
      <c r="C2248" s="49" t="s">
        <v>11242</v>
      </c>
      <c r="D2248" s="49" t="s">
        <v>1264</v>
      </c>
      <c r="E2248" s="49" t="s">
        <v>2774</v>
      </c>
      <c r="F2248" s="49" t="s">
        <v>2825</v>
      </c>
      <c r="G2248" s="49" t="s">
        <v>2776</v>
      </c>
      <c r="H2248" s="49" t="s">
        <v>2827</v>
      </c>
      <c r="I2248" s="50">
        <v>44942</v>
      </c>
      <c r="M2248" s="49" t="s">
        <v>11243</v>
      </c>
    </row>
    <row r="2249" spans="1:13" x14ac:dyDescent="0.35">
      <c r="A2249" s="49" t="s">
        <v>14945</v>
      </c>
      <c r="B2249" s="49" t="s">
        <v>11511</v>
      </c>
      <c r="C2249" s="49" t="s">
        <v>11512</v>
      </c>
      <c r="D2249" s="49" t="s">
        <v>1264</v>
      </c>
      <c r="E2249" s="49" t="s">
        <v>2986</v>
      </c>
      <c r="F2249" s="49" t="s">
        <v>2825</v>
      </c>
      <c r="G2249" s="49" t="s">
        <v>4891</v>
      </c>
      <c r="H2249" s="49" t="s">
        <v>973</v>
      </c>
      <c r="I2249" s="50">
        <v>45086</v>
      </c>
      <c r="M2249" s="49" t="s">
        <v>11514</v>
      </c>
    </row>
    <row r="2250" spans="1:13" x14ac:dyDescent="0.35">
      <c r="A2250" s="49" t="s">
        <v>14232</v>
      </c>
      <c r="B2250" s="49" t="s">
        <v>5284</v>
      </c>
      <c r="C2250" s="49"/>
      <c r="D2250" s="49" t="s">
        <v>1264</v>
      </c>
      <c r="E2250" s="49" t="s">
        <v>3443</v>
      </c>
      <c r="F2250" s="49" t="s">
        <v>3124</v>
      </c>
      <c r="G2250" s="49" t="s">
        <v>2901</v>
      </c>
      <c r="H2250" s="49" t="s">
        <v>980</v>
      </c>
      <c r="I2250" s="50">
        <v>44911</v>
      </c>
      <c r="J2250" s="50">
        <v>44918</v>
      </c>
      <c r="K2250" s="50">
        <v>46743</v>
      </c>
    </row>
    <row r="2251" spans="1:13" x14ac:dyDescent="0.35">
      <c r="A2251" s="49" t="s">
        <v>14607</v>
      </c>
      <c r="B2251" s="49" t="s">
        <v>11589</v>
      </c>
      <c r="C2251" s="49" t="s">
        <v>11590</v>
      </c>
      <c r="D2251" s="49" t="s">
        <v>1264</v>
      </c>
      <c r="E2251" s="49" t="s">
        <v>2986</v>
      </c>
      <c r="F2251" s="49" t="s">
        <v>2825</v>
      </c>
      <c r="G2251" s="49" t="s">
        <v>4891</v>
      </c>
      <c r="H2251" s="49" t="s">
        <v>2827</v>
      </c>
      <c r="I2251" s="50">
        <v>45190</v>
      </c>
      <c r="M2251" s="49" t="s">
        <v>11592</v>
      </c>
    </row>
    <row r="2252" spans="1:13" x14ac:dyDescent="0.35">
      <c r="A2252" s="49" t="s">
        <v>14946</v>
      </c>
      <c r="B2252" s="49" t="s">
        <v>7450</v>
      </c>
      <c r="C2252" s="49" t="s">
        <v>7451</v>
      </c>
      <c r="D2252" s="49" t="s">
        <v>1264</v>
      </c>
      <c r="E2252" s="49" t="s">
        <v>7057</v>
      </c>
      <c r="F2252" s="49" t="s">
        <v>2825</v>
      </c>
      <c r="G2252" s="49" t="s">
        <v>3997</v>
      </c>
      <c r="H2252" s="49" t="s">
        <v>2827</v>
      </c>
      <c r="I2252" s="50">
        <v>40778</v>
      </c>
      <c r="J2252" s="50">
        <v>40935</v>
      </c>
      <c r="K2252" s="50">
        <v>40934</v>
      </c>
      <c r="M2252" s="49" t="s">
        <v>3100</v>
      </c>
    </row>
    <row r="2253" spans="1:13" x14ac:dyDescent="0.35">
      <c r="A2253" s="49" t="s">
        <v>448</v>
      </c>
      <c r="B2253" s="49" t="s">
        <v>5835</v>
      </c>
      <c r="C2253" s="49" t="s">
        <v>5836</v>
      </c>
      <c r="D2253" s="49" t="s">
        <v>1264</v>
      </c>
      <c r="E2253" s="49" t="s">
        <v>2785</v>
      </c>
      <c r="F2253" s="49" t="s">
        <v>2792</v>
      </c>
      <c r="G2253" s="49" t="s">
        <v>2787</v>
      </c>
      <c r="H2253" s="49" t="s">
        <v>980</v>
      </c>
      <c r="I2253" s="50">
        <v>44917</v>
      </c>
      <c r="J2253" s="50">
        <v>45145</v>
      </c>
      <c r="K2253" s="50">
        <v>45510</v>
      </c>
      <c r="M2253" s="49" t="s">
        <v>5838</v>
      </c>
    </row>
    <row r="2254" spans="1:13" x14ac:dyDescent="0.35">
      <c r="A2254" s="49" t="s">
        <v>15407</v>
      </c>
      <c r="B2254" s="49" t="s">
        <v>6762</v>
      </c>
      <c r="C2254" s="49" t="s">
        <v>6763</v>
      </c>
      <c r="D2254" s="49" t="s">
        <v>1264</v>
      </c>
      <c r="E2254" s="49" t="s">
        <v>2785</v>
      </c>
      <c r="F2254" s="49" t="s">
        <v>2805</v>
      </c>
      <c r="G2254" s="49" t="s">
        <v>2901</v>
      </c>
      <c r="H2254" s="49" t="s">
        <v>4225</v>
      </c>
      <c r="I2254" s="52">
        <v>45875.416666666701</v>
      </c>
      <c r="J2254" s="50">
        <v>45995</v>
      </c>
      <c r="K2254" s="50">
        <v>46359</v>
      </c>
      <c r="M2254" s="49" t="s">
        <v>6765</v>
      </c>
    </row>
    <row r="2255" spans="1:13" x14ac:dyDescent="0.35">
      <c r="A2255" s="49" t="s">
        <v>453</v>
      </c>
      <c r="B2255" s="49" t="s">
        <v>11377</v>
      </c>
      <c r="C2255" s="49"/>
      <c r="D2255" s="49" t="s">
        <v>1264</v>
      </c>
      <c r="E2255" s="49" t="s">
        <v>2814</v>
      </c>
      <c r="F2255" s="49" t="s">
        <v>2837</v>
      </c>
      <c r="G2255" s="49" t="s">
        <v>2776</v>
      </c>
      <c r="H2255" s="49" t="s">
        <v>980</v>
      </c>
      <c r="I2255" s="50">
        <v>45057</v>
      </c>
      <c r="M2255" s="49" t="s">
        <v>11379</v>
      </c>
    </row>
    <row r="2256" spans="1:13" x14ac:dyDescent="0.35">
      <c r="A2256" s="49" t="s">
        <v>453</v>
      </c>
      <c r="B2256" s="49" t="s">
        <v>11442</v>
      </c>
      <c r="C2256" s="49"/>
      <c r="D2256" s="49" t="s">
        <v>1264</v>
      </c>
      <c r="E2256" s="49" t="s">
        <v>2908</v>
      </c>
      <c r="F2256" s="49" t="s">
        <v>2837</v>
      </c>
      <c r="G2256" s="49" t="s">
        <v>2776</v>
      </c>
      <c r="H2256" s="49" t="s">
        <v>980</v>
      </c>
      <c r="I2256" s="50">
        <v>45103</v>
      </c>
      <c r="M2256" s="49" t="s">
        <v>11443</v>
      </c>
    </row>
    <row r="2257" spans="1:13" x14ac:dyDescent="0.35">
      <c r="A2257" s="49" t="s">
        <v>15408</v>
      </c>
      <c r="B2257" s="49" t="s">
        <v>3437</v>
      </c>
      <c r="C2257" s="49" t="s">
        <v>3438</v>
      </c>
      <c r="D2257" s="49" t="s">
        <v>1264</v>
      </c>
      <c r="E2257" s="49" t="s">
        <v>2908</v>
      </c>
      <c r="F2257" s="49" t="s">
        <v>2939</v>
      </c>
      <c r="G2257" s="49" t="s">
        <v>2901</v>
      </c>
      <c r="H2257" s="49" t="s">
        <v>980</v>
      </c>
      <c r="I2257" s="50">
        <v>42268</v>
      </c>
      <c r="J2257" s="50">
        <v>42460</v>
      </c>
      <c r="K2257" s="50">
        <v>46110</v>
      </c>
      <c r="L2257" s="50">
        <v>44286</v>
      </c>
      <c r="M2257" s="49" t="s">
        <v>3440</v>
      </c>
    </row>
    <row r="2258" spans="1:13" x14ac:dyDescent="0.35">
      <c r="A2258" s="49" t="s">
        <v>15408</v>
      </c>
      <c r="B2258" s="49" t="s">
        <v>7047</v>
      </c>
      <c r="C2258" s="49" t="s">
        <v>4677</v>
      </c>
      <c r="D2258" s="49" t="s">
        <v>1264</v>
      </c>
      <c r="E2258" s="49" t="s">
        <v>2785</v>
      </c>
      <c r="F2258" s="49" t="s">
        <v>2792</v>
      </c>
      <c r="G2258" s="49" t="s">
        <v>2787</v>
      </c>
      <c r="H2258" s="49" t="s">
        <v>8</v>
      </c>
      <c r="I2258" s="50">
        <v>41968</v>
      </c>
      <c r="J2258" s="50">
        <v>42018</v>
      </c>
      <c r="K2258" s="50">
        <v>42198</v>
      </c>
      <c r="M2258" s="49" t="s">
        <v>7049</v>
      </c>
    </row>
    <row r="2259" spans="1:13" x14ac:dyDescent="0.35">
      <c r="A2259" s="49" t="s">
        <v>15408</v>
      </c>
      <c r="B2259" s="49" t="s">
        <v>7745</v>
      </c>
      <c r="C2259" s="49" t="s">
        <v>7746</v>
      </c>
      <c r="D2259" s="49" t="s">
        <v>1264</v>
      </c>
      <c r="E2259" s="49" t="s">
        <v>2785</v>
      </c>
      <c r="F2259" s="49" t="s">
        <v>2792</v>
      </c>
      <c r="G2259" s="49" t="s">
        <v>2787</v>
      </c>
      <c r="H2259" s="49" t="s">
        <v>8</v>
      </c>
      <c r="I2259" s="50">
        <v>42247</v>
      </c>
      <c r="J2259" s="50">
        <v>42618</v>
      </c>
      <c r="K2259" s="50">
        <v>42798</v>
      </c>
      <c r="M2259" s="49" t="s">
        <v>7747</v>
      </c>
    </row>
    <row r="2260" spans="1:13" x14ac:dyDescent="0.35">
      <c r="A2260" s="49" t="s">
        <v>15408</v>
      </c>
      <c r="B2260" s="49" t="s">
        <v>8900</v>
      </c>
      <c r="C2260" s="49" t="s">
        <v>3420</v>
      </c>
      <c r="D2260" s="49" t="s">
        <v>1264</v>
      </c>
      <c r="E2260" s="49" t="s">
        <v>2814</v>
      </c>
      <c r="F2260" s="49" t="s">
        <v>2939</v>
      </c>
      <c r="G2260" s="49" t="s">
        <v>2787</v>
      </c>
      <c r="H2260" s="49" t="s">
        <v>980</v>
      </c>
      <c r="I2260" s="50">
        <v>42061</v>
      </c>
      <c r="J2260" s="50">
        <v>42080</v>
      </c>
      <c r="K2260" s="50">
        <v>42263</v>
      </c>
      <c r="M2260" s="49" t="s">
        <v>8901</v>
      </c>
    </row>
    <row r="2261" spans="1:13" x14ac:dyDescent="0.35">
      <c r="A2261" s="49" t="s">
        <v>15408</v>
      </c>
      <c r="B2261" s="49" t="s">
        <v>9790</v>
      </c>
      <c r="C2261" s="49" t="s">
        <v>9791</v>
      </c>
      <c r="D2261" s="49" t="s">
        <v>1264</v>
      </c>
      <c r="E2261" s="49" t="s">
        <v>2785</v>
      </c>
      <c r="F2261" s="49" t="s">
        <v>2792</v>
      </c>
      <c r="G2261" s="49" t="s">
        <v>2776</v>
      </c>
      <c r="H2261" s="49" t="s">
        <v>8</v>
      </c>
      <c r="I2261" s="50">
        <v>42290</v>
      </c>
      <c r="M2261" s="49" t="s">
        <v>9792</v>
      </c>
    </row>
    <row r="2262" spans="1:13" x14ac:dyDescent="0.35">
      <c r="A2262" s="49" t="s">
        <v>14113</v>
      </c>
      <c r="B2262" s="49" t="s">
        <v>3570</v>
      </c>
      <c r="C2262" s="49"/>
      <c r="D2262" s="49" t="s">
        <v>1264</v>
      </c>
      <c r="E2262" s="49" t="s">
        <v>3443</v>
      </c>
      <c r="F2262" s="49" t="s">
        <v>3124</v>
      </c>
      <c r="G2262" s="49" t="s">
        <v>2787</v>
      </c>
      <c r="H2262" s="49" t="s">
        <v>980</v>
      </c>
      <c r="I2262" s="50">
        <v>42830</v>
      </c>
      <c r="J2262" s="50">
        <v>43179</v>
      </c>
      <c r="K2262" s="50">
        <v>45004</v>
      </c>
      <c r="M2262" s="49" t="s">
        <v>3572</v>
      </c>
    </row>
    <row r="2263" spans="1:13" x14ac:dyDescent="0.35">
      <c r="A2263" s="49" t="s">
        <v>14485</v>
      </c>
      <c r="B2263" s="49" t="s">
        <v>9295</v>
      </c>
      <c r="C2263" s="49"/>
      <c r="D2263" s="49" t="s">
        <v>1264</v>
      </c>
      <c r="E2263" s="49" t="s">
        <v>2908</v>
      </c>
      <c r="F2263" s="49" t="s">
        <v>2837</v>
      </c>
      <c r="G2263" s="49" t="s">
        <v>2776</v>
      </c>
      <c r="H2263" s="49" t="s">
        <v>2827</v>
      </c>
      <c r="I2263" s="50">
        <v>43174</v>
      </c>
      <c r="M2263" s="49" t="s">
        <v>9297</v>
      </c>
    </row>
    <row r="2264" spans="1:13" x14ac:dyDescent="0.35">
      <c r="A2264" s="49" t="s">
        <v>14628</v>
      </c>
      <c r="B2264" s="49" t="s">
        <v>12330</v>
      </c>
      <c r="C2264" s="49" t="s">
        <v>12331</v>
      </c>
      <c r="D2264" s="49" t="s">
        <v>1264</v>
      </c>
      <c r="E2264" s="49" t="s">
        <v>2908</v>
      </c>
      <c r="F2264" s="49" t="s">
        <v>4048</v>
      </c>
      <c r="G2264" s="49" t="s">
        <v>4891</v>
      </c>
      <c r="H2264" s="49" t="s">
        <v>973</v>
      </c>
      <c r="I2264" s="50">
        <v>45377</v>
      </c>
      <c r="M2264" s="49" t="s">
        <v>12333</v>
      </c>
    </row>
    <row r="2265" spans="1:13" x14ac:dyDescent="0.35">
      <c r="A2265" s="49" t="s">
        <v>14628</v>
      </c>
      <c r="B2265" s="49" t="s">
        <v>12569</v>
      </c>
      <c r="C2265" s="49"/>
      <c r="D2265" s="49" t="s">
        <v>1264</v>
      </c>
      <c r="E2265" s="49" t="s">
        <v>2908</v>
      </c>
      <c r="F2265" s="49" t="s">
        <v>4048</v>
      </c>
      <c r="G2265" s="49" t="s">
        <v>4891</v>
      </c>
      <c r="H2265" s="49" t="s">
        <v>2832</v>
      </c>
      <c r="I2265" s="50">
        <v>45399</v>
      </c>
      <c r="M2265" s="49" t="s">
        <v>12282</v>
      </c>
    </row>
    <row r="2266" spans="1:13" x14ac:dyDescent="0.35">
      <c r="A2266" s="49" t="s">
        <v>456</v>
      </c>
      <c r="B2266" s="49" t="s">
        <v>4278</v>
      </c>
      <c r="C2266" s="49" t="s">
        <v>3218</v>
      </c>
      <c r="D2266" s="49" t="s">
        <v>1264</v>
      </c>
      <c r="E2266" s="49" t="s">
        <v>2785</v>
      </c>
      <c r="F2266" s="49" t="s">
        <v>2786</v>
      </c>
      <c r="G2266" s="49" t="s">
        <v>2787</v>
      </c>
      <c r="H2266" s="49" t="s">
        <v>980</v>
      </c>
      <c r="I2266" s="50">
        <v>43901</v>
      </c>
      <c r="K2266" s="50">
        <v>45510</v>
      </c>
      <c r="M2266" s="49" t="s">
        <v>4280</v>
      </c>
    </row>
    <row r="2267" spans="1:13" x14ac:dyDescent="0.35">
      <c r="A2267" s="49" t="s">
        <v>456</v>
      </c>
      <c r="B2267" s="49" t="s">
        <v>4727</v>
      </c>
      <c r="C2267" s="49" t="s">
        <v>3218</v>
      </c>
      <c r="D2267" s="49" t="s">
        <v>1264</v>
      </c>
      <c r="E2267" s="49" t="s">
        <v>2785</v>
      </c>
      <c r="F2267" s="49" t="s">
        <v>2786</v>
      </c>
      <c r="G2267" s="49" t="s">
        <v>2787</v>
      </c>
      <c r="H2267" s="49" t="s">
        <v>980</v>
      </c>
      <c r="I2267" s="50">
        <v>44468</v>
      </c>
      <c r="J2267" s="50">
        <v>44572</v>
      </c>
      <c r="K2267" s="50">
        <v>45428</v>
      </c>
      <c r="M2267" s="49" t="s">
        <v>4728</v>
      </c>
    </row>
    <row r="2268" spans="1:13" x14ac:dyDescent="0.35">
      <c r="A2268" s="49" t="s">
        <v>456</v>
      </c>
      <c r="B2268" s="49" t="s">
        <v>6455</v>
      </c>
      <c r="C2268" s="49" t="s">
        <v>5905</v>
      </c>
      <c r="D2268" s="49" t="s">
        <v>1264</v>
      </c>
      <c r="E2268" s="49" t="s">
        <v>2785</v>
      </c>
      <c r="F2268" s="49" t="s">
        <v>2786</v>
      </c>
      <c r="G2268" s="49" t="s">
        <v>4330</v>
      </c>
      <c r="H2268" s="49" t="s">
        <v>980</v>
      </c>
      <c r="I2268" s="50">
        <v>45358</v>
      </c>
      <c r="M2268" s="49" t="s">
        <v>6456</v>
      </c>
    </row>
    <row r="2269" spans="1:13" x14ac:dyDescent="0.35">
      <c r="A2269" s="49" t="s">
        <v>456</v>
      </c>
      <c r="B2269" s="49" t="s">
        <v>6893</v>
      </c>
      <c r="C2269" s="49" t="s">
        <v>6474</v>
      </c>
      <c r="D2269" s="49" t="s">
        <v>1264</v>
      </c>
      <c r="E2269" s="49" t="s">
        <v>2785</v>
      </c>
      <c r="F2269" s="49" t="s">
        <v>2786</v>
      </c>
      <c r="G2269" s="49" t="s">
        <v>2901</v>
      </c>
      <c r="H2269" s="49" t="s">
        <v>980</v>
      </c>
      <c r="I2269" s="52">
        <v>45891.609791666699</v>
      </c>
      <c r="J2269" s="50">
        <v>45929</v>
      </c>
      <c r="K2269" s="50">
        <v>46293</v>
      </c>
      <c r="M2269" s="49" t="s">
        <v>6894</v>
      </c>
    </row>
    <row r="2270" spans="1:13" x14ac:dyDescent="0.35">
      <c r="A2270" s="49" t="s">
        <v>456</v>
      </c>
      <c r="B2270" s="49" t="s">
        <v>6624</v>
      </c>
      <c r="C2270" s="49" t="s">
        <v>6625</v>
      </c>
      <c r="D2270" s="49" t="s">
        <v>1264</v>
      </c>
      <c r="E2270" s="49" t="s">
        <v>2785</v>
      </c>
      <c r="F2270" s="49" t="s">
        <v>2786</v>
      </c>
      <c r="G2270" s="49" t="s">
        <v>4330</v>
      </c>
      <c r="H2270" s="49" t="s">
        <v>980</v>
      </c>
      <c r="I2270" s="50">
        <v>45418</v>
      </c>
      <c r="M2270" s="49" t="s">
        <v>6627</v>
      </c>
    </row>
    <row r="2271" spans="1:13" x14ac:dyDescent="0.35">
      <c r="A2271" s="49" t="s">
        <v>456</v>
      </c>
      <c r="B2271" s="49" t="s">
        <v>12916</v>
      </c>
      <c r="C2271" s="49" t="s">
        <v>6474</v>
      </c>
      <c r="D2271" s="49" t="s">
        <v>1264</v>
      </c>
      <c r="E2271" s="49" t="s">
        <v>2785</v>
      </c>
      <c r="F2271" s="49" t="s">
        <v>2786</v>
      </c>
      <c r="G2271" s="49" t="s">
        <v>4891</v>
      </c>
      <c r="H2271" s="49" t="s">
        <v>980</v>
      </c>
      <c r="I2271" s="52">
        <v>45891.604675925897</v>
      </c>
      <c r="M2271" s="49" t="s">
        <v>12917</v>
      </c>
    </row>
    <row r="2272" spans="1:13" x14ac:dyDescent="0.35">
      <c r="A2272" s="49" t="s">
        <v>15409</v>
      </c>
      <c r="B2272" s="49" t="s">
        <v>6052</v>
      </c>
      <c r="C2272" s="49" t="s">
        <v>6040</v>
      </c>
      <c r="D2272" s="49" t="s">
        <v>1264</v>
      </c>
      <c r="E2272" s="49" t="s">
        <v>3443</v>
      </c>
      <c r="F2272" s="49" t="s">
        <v>3124</v>
      </c>
      <c r="G2272" s="49" t="s">
        <v>2901</v>
      </c>
      <c r="H2272" s="49" t="s">
        <v>980</v>
      </c>
      <c r="I2272" s="50">
        <v>45154</v>
      </c>
      <c r="J2272" s="50">
        <v>45195</v>
      </c>
      <c r="K2272" s="50">
        <v>47021</v>
      </c>
    </row>
    <row r="2273" spans="1:13" x14ac:dyDescent="0.35">
      <c r="A2273" s="49" t="s">
        <v>15409</v>
      </c>
      <c r="B2273" s="49" t="s">
        <v>6156</v>
      </c>
      <c r="C2273" s="49"/>
      <c r="D2273" s="49" t="s">
        <v>1264</v>
      </c>
      <c r="E2273" s="49" t="s">
        <v>2986</v>
      </c>
      <c r="F2273" s="49" t="s">
        <v>2825</v>
      </c>
      <c r="G2273" s="49" t="s">
        <v>4330</v>
      </c>
      <c r="H2273" s="49" t="s">
        <v>2827</v>
      </c>
      <c r="I2273" s="50">
        <v>45303</v>
      </c>
      <c r="M2273" s="49" t="s">
        <v>6157</v>
      </c>
    </row>
    <row r="2274" spans="1:13" x14ac:dyDescent="0.35">
      <c r="A2274" s="49" t="s">
        <v>15409</v>
      </c>
      <c r="B2274" s="49" t="s">
        <v>12650</v>
      </c>
      <c r="C2274" s="49"/>
      <c r="D2274" s="49" t="s">
        <v>1264</v>
      </c>
      <c r="E2274" s="49" t="s">
        <v>2986</v>
      </c>
      <c r="F2274" s="49" t="s">
        <v>2825</v>
      </c>
      <c r="G2274" s="49" t="s">
        <v>4891</v>
      </c>
      <c r="H2274" s="49" t="s">
        <v>2827</v>
      </c>
      <c r="I2274" s="50">
        <v>45336</v>
      </c>
      <c r="M2274" s="49" t="s">
        <v>12652</v>
      </c>
    </row>
    <row r="2275" spans="1:13" x14ac:dyDescent="0.35">
      <c r="A2275" s="49" t="s">
        <v>15409</v>
      </c>
      <c r="B2275" s="49" t="s">
        <v>13210</v>
      </c>
      <c r="C2275" s="49"/>
      <c r="D2275" s="49" t="s">
        <v>1264</v>
      </c>
      <c r="E2275" s="49" t="s">
        <v>2986</v>
      </c>
      <c r="F2275" s="49" t="s">
        <v>2825</v>
      </c>
      <c r="G2275" s="49" t="s">
        <v>4891</v>
      </c>
      <c r="H2275" s="49" t="s">
        <v>2827</v>
      </c>
      <c r="I2275" s="52">
        <v>46077.596712963001</v>
      </c>
      <c r="M2275" s="49" t="s">
        <v>13211</v>
      </c>
    </row>
    <row r="2276" spans="1:13" x14ac:dyDescent="0.35">
      <c r="A2276" s="49" t="s">
        <v>15409</v>
      </c>
      <c r="B2276" s="49" t="s">
        <v>13424</v>
      </c>
      <c r="C2276" s="49"/>
      <c r="D2276" s="49" t="s">
        <v>1264</v>
      </c>
      <c r="E2276" s="49" t="s">
        <v>2986</v>
      </c>
      <c r="F2276" s="49" t="s">
        <v>2825</v>
      </c>
      <c r="G2276" s="49" t="s">
        <v>4891</v>
      </c>
      <c r="H2276" s="49" t="s">
        <v>2827</v>
      </c>
      <c r="I2276" s="52">
        <v>46128.583043981504</v>
      </c>
      <c r="M2276" s="49" t="s">
        <v>13425</v>
      </c>
    </row>
    <row r="2277" spans="1:13" x14ac:dyDescent="0.35">
      <c r="A2277" s="49" t="s">
        <v>14134</v>
      </c>
      <c r="B2277" s="49" t="s">
        <v>3824</v>
      </c>
      <c r="C2277" s="49"/>
      <c r="D2277" s="49" t="s">
        <v>1264</v>
      </c>
      <c r="E2277" s="49" t="s">
        <v>3443</v>
      </c>
      <c r="F2277" s="49" t="s">
        <v>3124</v>
      </c>
      <c r="G2277" s="49" t="s">
        <v>2787</v>
      </c>
      <c r="H2277" s="49" t="s">
        <v>980</v>
      </c>
      <c r="I2277" s="50">
        <v>43356</v>
      </c>
      <c r="J2277" s="50">
        <v>43558</v>
      </c>
      <c r="K2277" s="50">
        <v>45384</v>
      </c>
      <c r="M2277" s="49" t="s">
        <v>3826</v>
      </c>
    </row>
    <row r="2278" spans="1:13" x14ac:dyDescent="0.35">
      <c r="A2278" s="49" t="s">
        <v>15410</v>
      </c>
      <c r="B2278" s="49" t="s">
        <v>3581</v>
      </c>
      <c r="C2278" s="49" t="s">
        <v>3582</v>
      </c>
      <c r="D2278" s="49" t="s">
        <v>1264</v>
      </c>
      <c r="E2278" s="49" t="s">
        <v>3443</v>
      </c>
      <c r="F2278" s="49" t="s">
        <v>3124</v>
      </c>
      <c r="G2278" s="49" t="s">
        <v>2787</v>
      </c>
      <c r="H2278" s="49" t="s">
        <v>980</v>
      </c>
      <c r="I2278" s="50">
        <v>42892</v>
      </c>
      <c r="J2278" s="50">
        <v>43362</v>
      </c>
      <c r="K2278" s="50">
        <v>45187</v>
      </c>
      <c r="M2278" s="49" t="s">
        <v>3584</v>
      </c>
    </row>
    <row r="2279" spans="1:13" x14ac:dyDescent="0.35">
      <c r="A2279" s="49" t="s">
        <v>14496</v>
      </c>
      <c r="B2279" s="49" t="s">
        <v>9418</v>
      </c>
      <c r="C2279" s="49" t="s">
        <v>9419</v>
      </c>
      <c r="D2279" s="49" t="s">
        <v>1264</v>
      </c>
      <c r="E2279" s="49" t="s">
        <v>2785</v>
      </c>
      <c r="F2279" s="49" t="s">
        <v>2792</v>
      </c>
      <c r="G2279" s="49" t="s">
        <v>2776</v>
      </c>
      <c r="H2279" s="49" t="s">
        <v>980</v>
      </c>
      <c r="I2279" s="50">
        <v>43873</v>
      </c>
      <c r="M2279" s="49" t="s">
        <v>9421</v>
      </c>
    </row>
    <row r="2280" spans="1:13" x14ac:dyDescent="0.35">
      <c r="A2280" s="49" t="s">
        <v>14225</v>
      </c>
      <c r="B2280" s="49" t="s">
        <v>5094</v>
      </c>
      <c r="C2280" s="49" t="s">
        <v>873</v>
      </c>
      <c r="D2280" s="49" t="s">
        <v>1264</v>
      </c>
      <c r="E2280" s="49" t="s">
        <v>2785</v>
      </c>
      <c r="F2280" s="49" t="s">
        <v>3898</v>
      </c>
      <c r="G2280" s="49" t="s">
        <v>2787</v>
      </c>
      <c r="H2280" s="49" t="s">
        <v>2827</v>
      </c>
      <c r="I2280" s="50">
        <v>44384</v>
      </c>
      <c r="K2280" s="50">
        <v>45511</v>
      </c>
      <c r="M2280" s="49" t="s">
        <v>5096</v>
      </c>
    </row>
    <row r="2281" spans="1:13" x14ac:dyDescent="0.35">
      <c r="A2281" s="49" t="s">
        <v>14225</v>
      </c>
      <c r="B2281" s="49" t="s">
        <v>11928</v>
      </c>
      <c r="C2281" s="49"/>
      <c r="D2281" s="49" t="s">
        <v>1264</v>
      </c>
      <c r="E2281" s="49" t="s">
        <v>2814</v>
      </c>
      <c r="F2281" s="49" t="s">
        <v>3188</v>
      </c>
      <c r="G2281" s="49" t="s">
        <v>4891</v>
      </c>
      <c r="H2281" s="49" t="s">
        <v>973</v>
      </c>
      <c r="I2281" s="50">
        <v>45303</v>
      </c>
      <c r="M2281" s="49" t="s">
        <v>11929</v>
      </c>
    </row>
    <row r="2282" spans="1:13" x14ac:dyDescent="0.35">
      <c r="A2282" s="49" t="s">
        <v>14225</v>
      </c>
      <c r="B2282" s="49" t="s">
        <v>11930</v>
      </c>
      <c r="C2282" s="49"/>
      <c r="D2282" s="49" t="s">
        <v>1264</v>
      </c>
      <c r="E2282" s="49" t="s">
        <v>2774</v>
      </c>
      <c r="F2282" s="49" t="s">
        <v>4842</v>
      </c>
      <c r="G2282" s="49" t="s">
        <v>2776</v>
      </c>
      <c r="H2282" s="49" t="s">
        <v>2827</v>
      </c>
      <c r="I2282" s="50">
        <v>45303</v>
      </c>
      <c r="M2282" s="49" t="s">
        <v>11931</v>
      </c>
    </row>
    <row r="2283" spans="1:13" x14ac:dyDescent="0.35">
      <c r="A2283" s="49" t="s">
        <v>14645</v>
      </c>
      <c r="B2283" s="49" t="s">
        <v>12921</v>
      </c>
      <c r="C2283" s="49"/>
      <c r="D2283" s="49" t="s">
        <v>1264</v>
      </c>
      <c r="E2283" s="49" t="s">
        <v>2986</v>
      </c>
      <c r="F2283" s="49" t="s">
        <v>2825</v>
      </c>
      <c r="G2283" s="49" t="s">
        <v>4891</v>
      </c>
      <c r="H2283" s="49" t="s">
        <v>2827</v>
      </c>
      <c r="I2283" s="52">
        <v>45906.489768518499</v>
      </c>
      <c r="M2283" s="49" t="s">
        <v>10719</v>
      </c>
    </row>
    <row r="2284" spans="1:13" x14ac:dyDescent="0.35">
      <c r="A2284" s="49" t="s">
        <v>15687</v>
      </c>
      <c r="B2284" s="49" t="s">
        <v>5674</v>
      </c>
      <c r="C2284" s="49"/>
      <c r="D2284" s="49" t="s">
        <v>1264</v>
      </c>
      <c r="E2284" s="49" t="s">
        <v>2814</v>
      </c>
      <c r="F2284" s="49" t="s">
        <v>2837</v>
      </c>
      <c r="G2284" s="49" t="s">
        <v>2776</v>
      </c>
      <c r="H2284" s="49" t="s">
        <v>980</v>
      </c>
      <c r="I2284" s="50">
        <v>45133</v>
      </c>
      <c r="M2284" s="49" t="s">
        <v>5676</v>
      </c>
    </row>
    <row r="2285" spans="1:13" x14ac:dyDescent="0.35">
      <c r="A2285" s="49" t="s">
        <v>15411</v>
      </c>
      <c r="B2285" s="49" t="s">
        <v>9369</v>
      </c>
      <c r="C2285" s="49"/>
      <c r="D2285" s="49" t="s">
        <v>1264</v>
      </c>
      <c r="E2285" s="49" t="s">
        <v>2785</v>
      </c>
      <c r="F2285" s="49" t="s">
        <v>2837</v>
      </c>
      <c r="G2285" s="49" t="s">
        <v>2776</v>
      </c>
      <c r="H2285" s="49" t="s">
        <v>2827</v>
      </c>
      <c r="I2285" s="50">
        <v>43592</v>
      </c>
      <c r="M2285" s="49" t="s">
        <v>9371</v>
      </c>
    </row>
    <row r="2286" spans="1:13" x14ac:dyDescent="0.35">
      <c r="A2286" s="49" t="s">
        <v>11262</v>
      </c>
      <c r="B2286" s="49" t="s">
        <v>4930</v>
      </c>
      <c r="C2286" s="49" t="s">
        <v>4931</v>
      </c>
      <c r="D2286" s="49" t="s">
        <v>1264</v>
      </c>
      <c r="E2286" s="49" t="s">
        <v>2814</v>
      </c>
      <c r="F2286" s="49" t="s">
        <v>2900</v>
      </c>
      <c r="G2286" s="49" t="s">
        <v>2787</v>
      </c>
      <c r="H2286" s="49" t="s">
        <v>980</v>
      </c>
      <c r="I2286" s="50">
        <v>44756</v>
      </c>
      <c r="J2286" s="50">
        <v>44784</v>
      </c>
      <c r="K2286" s="50">
        <v>45520</v>
      </c>
      <c r="M2286" s="49" t="s">
        <v>4933</v>
      </c>
    </row>
    <row r="2287" spans="1:13" x14ac:dyDescent="0.35">
      <c r="A2287" s="49" t="s">
        <v>11262</v>
      </c>
      <c r="B2287" s="49" t="s">
        <v>10991</v>
      </c>
      <c r="C2287" s="49" t="s">
        <v>10992</v>
      </c>
      <c r="D2287" s="49" t="s">
        <v>1264</v>
      </c>
      <c r="E2287" s="49" t="s">
        <v>2814</v>
      </c>
      <c r="F2287" s="49" t="s">
        <v>2900</v>
      </c>
      <c r="G2287" s="49" t="s">
        <v>2787</v>
      </c>
      <c r="H2287" s="49" t="s">
        <v>980</v>
      </c>
      <c r="I2287" s="50">
        <v>44613</v>
      </c>
      <c r="J2287" s="50">
        <v>44620</v>
      </c>
      <c r="K2287" s="50">
        <v>45520</v>
      </c>
      <c r="M2287" s="49" t="s">
        <v>10993</v>
      </c>
    </row>
    <row r="2288" spans="1:13" x14ac:dyDescent="0.35">
      <c r="A2288" s="49" t="s">
        <v>11262</v>
      </c>
      <c r="B2288" s="49" t="s">
        <v>11252</v>
      </c>
      <c r="C2288" s="49" t="s">
        <v>10992</v>
      </c>
      <c r="D2288" s="49" t="s">
        <v>1264</v>
      </c>
      <c r="E2288" s="49" t="s">
        <v>2774</v>
      </c>
      <c r="F2288" s="49" t="s">
        <v>2900</v>
      </c>
      <c r="G2288" s="49" t="s">
        <v>4891</v>
      </c>
      <c r="H2288" s="49" t="s">
        <v>980</v>
      </c>
      <c r="I2288" s="50">
        <v>44960</v>
      </c>
      <c r="M2288" s="49" t="s">
        <v>11253</v>
      </c>
    </row>
    <row r="2289" spans="1:13" x14ac:dyDescent="0.35">
      <c r="A2289" s="49" t="s">
        <v>11262</v>
      </c>
      <c r="B2289" s="49" t="s">
        <v>11261</v>
      </c>
      <c r="C2289" s="49"/>
      <c r="D2289" s="49" t="s">
        <v>1264</v>
      </c>
      <c r="E2289" s="49" t="s">
        <v>2774</v>
      </c>
      <c r="F2289" s="49" t="s">
        <v>2900</v>
      </c>
      <c r="G2289" s="49" t="s">
        <v>2776</v>
      </c>
      <c r="H2289" s="49" t="s">
        <v>980</v>
      </c>
      <c r="I2289" s="50">
        <v>44960</v>
      </c>
      <c r="M2289" s="49" t="s">
        <v>4933</v>
      </c>
    </row>
    <row r="2290" spans="1:13" x14ac:dyDescent="0.35">
      <c r="A2290" s="49" t="s">
        <v>15015</v>
      </c>
      <c r="B2290" s="49" t="s">
        <v>4482</v>
      </c>
      <c r="C2290" s="49"/>
      <c r="D2290" s="49" t="s">
        <v>1264</v>
      </c>
      <c r="E2290" s="49" t="s">
        <v>2785</v>
      </c>
      <c r="F2290" s="49" t="s">
        <v>2792</v>
      </c>
      <c r="G2290" s="49" t="s">
        <v>2787</v>
      </c>
      <c r="H2290" s="49" t="s">
        <v>8</v>
      </c>
      <c r="I2290" s="50">
        <v>44372</v>
      </c>
      <c r="J2290" s="50">
        <v>44449</v>
      </c>
      <c r="K2290" s="50">
        <v>45428</v>
      </c>
      <c r="M2290" s="49" t="s">
        <v>4484</v>
      </c>
    </row>
    <row r="2291" spans="1:13" x14ac:dyDescent="0.35">
      <c r="A2291" s="49" t="s">
        <v>15015</v>
      </c>
      <c r="B2291" s="49" t="s">
        <v>10851</v>
      </c>
      <c r="C2291" s="49" t="s">
        <v>6982</v>
      </c>
      <c r="D2291" s="49" t="s">
        <v>1264</v>
      </c>
      <c r="E2291" s="49" t="s">
        <v>2785</v>
      </c>
      <c r="F2291" s="49" t="s">
        <v>2792</v>
      </c>
      <c r="G2291" s="49" t="s">
        <v>2826</v>
      </c>
      <c r="H2291" s="49" t="s">
        <v>8</v>
      </c>
      <c r="I2291" s="50">
        <v>44372</v>
      </c>
      <c r="M2291" s="49" t="s">
        <v>4484</v>
      </c>
    </row>
    <row r="2292" spans="1:13" x14ac:dyDescent="0.35">
      <c r="A2292" s="49" t="s">
        <v>14212</v>
      </c>
      <c r="B2292" s="49" t="s">
        <v>4944</v>
      </c>
      <c r="C2292" s="49" t="s">
        <v>3768</v>
      </c>
      <c r="D2292" s="49" t="s">
        <v>1264</v>
      </c>
      <c r="E2292" s="49" t="s">
        <v>3443</v>
      </c>
      <c r="F2292" s="49" t="s">
        <v>3124</v>
      </c>
      <c r="G2292" s="49" t="s">
        <v>4330</v>
      </c>
      <c r="H2292" s="49" t="s">
        <v>980</v>
      </c>
      <c r="I2292" s="50">
        <v>44387</v>
      </c>
    </row>
    <row r="2293" spans="1:13" x14ac:dyDescent="0.35">
      <c r="A2293" s="49" t="s">
        <v>14365</v>
      </c>
      <c r="B2293" s="49" t="s">
        <v>7550</v>
      </c>
      <c r="C2293" s="49" t="s">
        <v>7551</v>
      </c>
      <c r="D2293" s="49" t="s">
        <v>1264</v>
      </c>
      <c r="E2293" s="49" t="s">
        <v>2785</v>
      </c>
      <c r="F2293" s="49" t="s">
        <v>2792</v>
      </c>
      <c r="G2293" s="49" t="s">
        <v>2787</v>
      </c>
      <c r="H2293" s="49" t="s">
        <v>980</v>
      </c>
      <c r="I2293" s="50">
        <v>42465</v>
      </c>
      <c r="J2293" s="50">
        <v>42563</v>
      </c>
      <c r="K2293" s="50">
        <v>42746</v>
      </c>
      <c r="M2293" s="49" t="s">
        <v>7553</v>
      </c>
    </row>
    <row r="2294" spans="1:13" x14ac:dyDescent="0.35">
      <c r="A2294" s="49" t="s">
        <v>15412</v>
      </c>
      <c r="B2294" s="49" t="s">
        <v>5210</v>
      </c>
      <c r="C2294" s="49"/>
      <c r="D2294" s="49" t="s">
        <v>1264</v>
      </c>
      <c r="E2294" s="49" t="s">
        <v>2908</v>
      </c>
      <c r="F2294" s="49" t="s">
        <v>2939</v>
      </c>
      <c r="G2294" s="49" t="s">
        <v>2787</v>
      </c>
      <c r="H2294" s="49" t="s">
        <v>980</v>
      </c>
      <c r="I2294" s="50">
        <v>44728</v>
      </c>
      <c r="J2294" s="50">
        <v>43633</v>
      </c>
      <c r="K2294" s="50">
        <v>45459</v>
      </c>
      <c r="M2294" s="49" t="s">
        <v>3876</v>
      </c>
    </row>
    <row r="2295" spans="1:13" x14ac:dyDescent="0.35">
      <c r="A2295" s="49" t="s">
        <v>15412</v>
      </c>
      <c r="B2295" s="49" t="s">
        <v>6142</v>
      </c>
      <c r="C2295" s="49"/>
      <c r="D2295" s="49" t="s">
        <v>1264</v>
      </c>
      <c r="E2295" s="49" t="s">
        <v>2908</v>
      </c>
      <c r="F2295" s="49" t="s">
        <v>2939</v>
      </c>
      <c r="G2295" s="49" t="s">
        <v>2901</v>
      </c>
      <c r="H2295" s="49" t="s">
        <v>980</v>
      </c>
      <c r="I2295" s="50">
        <v>44518</v>
      </c>
      <c r="J2295" s="50">
        <v>44470</v>
      </c>
      <c r="K2295" s="50">
        <v>46295</v>
      </c>
      <c r="M2295" s="49" t="s">
        <v>6143</v>
      </c>
    </row>
    <row r="2296" spans="1:13" x14ac:dyDescent="0.35">
      <c r="A2296" s="49" t="s">
        <v>15413</v>
      </c>
      <c r="B2296" s="49" t="s">
        <v>12495</v>
      </c>
      <c r="C2296" s="49" t="s">
        <v>12496</v>
      </c>
      <c r="D2296" s="49" t="s">
        <v>1264</v>
      </c>
      <c r="E2296" s="49" t="s">
        <v>2785</v>
      </c>
      <c r="F2296" s="49" t="s">
        <v>2792</v>
      </c>
      <c r="G2296" s="49" t="s">
        <v>4891</v>
      </c>
      <c r="H2296" s="49" t="s">
        <v>3207</v>
      </c>
      <c r="I2296" s="50">
        <v>45420</v>
      </c>
      <c r="M2296" s="49" t="s">
        <v>12498</v>
      </c>
    </row>
    <row r="2297" spans="1:13" x14ac:dyDescent="0.35">
      <c r="A2297" s="49" t="s">
        <v>14392</v>
      </c>
      <c r="B2297" s="49" t="s">
        <v>7961</v>
      </c>
      <c r="C2297" s="49" t="s">
        <v>7962</v>
      </c>
      <c r="D2297" s="49" t="s">
        <v>1264</v>
      </c>
      <c r="E2297" s="49" t="s">
        <v>2774</v>
      </c>
      <c r="F2297" s="49" t="s">
        <v>3598</v>
      </c>
      <c r="G2297" s="49" t="s">
        <v>2975</v>
      </c>
      <c r="H2297" s="49" t="s">
        <v>2827</v>
      </c>
      <c r="I2297" s="50">
        <v>38766</v>
      </c>
      <c r="J2297" s="50">
        <v>39246</v>
      </c>
      <c r="K2297" s="50">
        <v>42534</v>
      </c>
      <c r="M2297" s="49" t="s">
        <v>7964</v>
      </c>
    </row>
    <row r="2298" spans="1:13" x14ac:dyDescent="0.35">
      <c r="A2298" s="49" t="s">
        <v>14074</v>
      </c>
      <c r="B2298" s="49" t="s">
        <v>3007</v>
      </c>
      <c r="C2298" s="49" t="s">
        <v>3008</v>
      </c>
      <c r="D2298" s="49" t="s">
        <v>1264</v>
      </c>
      <c r="E2298" s="49" t="s">
        <v>2908</v>
      </c>
      <c r="F2298" s="49" t="s">
        <v>3010</v>
      </c>
      <c r="G2298" s="49" t="s">
        <v>2921</v>
      </c>
      <c r="H2298" s="49" t="s">
        <v>980</v>
      </c>
      <c r="I2298" s="50">
        <v>38889</v>
      </c>
      <c r="J2298" s="50">
        <v>39024</v>
      </c>
      <c r="K2298" s="50">
        <v>44296</v>
      </c>
      <c r="M2298" s="49" t="s">
        <v>3011</v>
      </c>
    </row>
    <row r="2299" spans="1:13" x14ac:dyDescent="0.35">
      <c r="A2299" s="49" t="s">
        <v>14078</v>
      </c>
      <c r="B2299" s="49" t="s">
        <v>3045</v>
      </c>
      <c r="C2299" s="49" t="s">
        <v>3046</v>
      </c>
      <c r="D2299" s="49" t="s">
        <v>1264</v>
      </c>
      <c r="E2299" s="49" t="s">
        <v>2974</v>
      </c>
      <c r="F2299" s="49" t="s">
        <v>2825</v>
      </c>
      <c r="G2299" s="49" t="s">
        <v>2787</v>
      </c>
      <c r="H2299" s="49" t="s">
        <v>2827</v>
      </c>
      <c r="I2299" s="50">
        <v>39530</v>
      </c>
      <c r="J2299" s="50">
        <v>39688</v>
      </c>
      <c r="K2299" s="50">
        <v>44801</v>
      </c>
      <c r="M2299" s="49" t="s">
        <v>3048</v>
      </c>
    </row>
    <row r="2300" spans="1:13" x14ac:dyDescent="0.35">
      <c r="A2300" s="49" t="s">
        <v>14947</v>
      </c>
      <c r="B2300" s="49" t="s">
        <v>6803</v>
      </c>
      <c r="C2300" s="49"/>
      <c r="D2300" s="49" t="s">
        <v>1264</v>
      </c>
      <c r="E2300" s="49" t="s">
        <v>2785</v>
      </c>
      <c r="F2300" s="49" t="s">
        <v>2792</v>
      </c>
      <c r="G2300" s="49" t="s">
        <v>2901</v>
      </c>
      <c r="H2300" s="49" t="s">
        <v>980</v>
      </c>
      <c r="I2300" s="52">
        <v>45973.574976851902</v>
      </c>
      <c r="J2300" s="50">
        <v>46013</v>
      </c>
      <c r="K2300" s="50">
        <v>46377</v>
      </c>
      <c r="M2300" s="49" t="s">
        <v>6805</v>
      </c>
    </row>
    <row r="2301" spans="1:13" x14ac:dyDescent="0.35">
      <c r="A2301" s="49" t="s">
        <v>14947</v>
      </c>
      <c r="B2301" s="49" t="s">
        <v>6926</v>
      </c>
      <c r="C2301" s="49" t="s">
        <v>4555</v>
      </c>
      <c r="D2301" s="49" t="s">
        <v>1264</v>
      </c>
      <c r="E2301" s="49" t="s">
        <v>2785</v>
      </c>
      <c r="F2301" s="49" t="s">
        <v>2792</v>
      </c>
      <c r="G2301" s="49" t="s">
        <v>4891</v>
      </c>
      <c r="H2301" s="49" t="s">
        <v>980</v>
      </c>
      <c r="I2301" s="52">
        <v>46146.461354166699</v>
      </c>
      <c r="M2301" s="49" t="s">
        <v>6927</v>
      </c>
    </row>
    <row r="2302" spans="1:13" x14ac:dyDescent="0.35">
      <c r="A2302" s="49" t="s">
        <v>14947</v>
      </c>
      <c r="B2302" s="49" t="s">
        <v>12387</v>
      </c>
      <c r="C2302" s="49" t="s">
        <v>12388</v>
      </c>
      <c r="D2302" s="49" t="s">
        <v>1264</v>
      </c>
      <c r="E2302" s="49" t="s">
        <v>2785</v>
      </c>
      <c r="F2302" s="49" t="s">
        <v>2792</v>
      </c>
      <c r="G2302" s="49" t="s">
        <v>4891</v>
      </c>
      <c r="H2302" s="49" t="s">
        <v>857</v>
      </c>
      <c r="I2302" s="50">
        <v>45390</v>
      </c>
      <c r="M2302" s="49" t="s">
        <v>12390</v>
      </c>
    </row>
    <row r="2303" spans="1:13" x14ac:dyDescent="0.35">
      <c r="A2303" s="49" t="s">
        <v>14947</v>
      </c>
      <c r="B2303" s="49" t="s">
        <v>13290</v>
      </c>
      <c r="C2303" s="49"/>
      <c r="D2303" s="49" t="s">
        <v>1264</v>
      </c>
      <c r="E2303" s="49" t="s">
        <v>2785</v>
      </c>
      <c r="F2303" s="49" t="s">
        <v>2792</v>
      </c>
      <c r="G2303" s="49" t="s">
        <v>4891</v>
      </c>
      <c r="H2303" s="49" t="s">
        <v>864</v>
      </c>
      <c r="I2303" s="52">
        <v>46097.4273958333</v>
      </c>
      <c r="M2303" s="49" t="s">
        <v>13291</v>
      </c>
    </row>
    <row r="2304" spans="1:13" x14ac:dyDescent="0.35">
      <c r="A2304" s="49" t="s">
        <v>14099</v>
      </c>
      <c r="B2304" s="49" t="s">
        <v>3375</v>
      </c>
      <c r="C2304" s="49" t="s">
        <v>2937</v>
      </c>
      <c r="D2304" s="49" t="s">
        <v>1264</v>
      </c>
      <c r="E2304" s="49" t="s">
        <v>2908</v>
      </c>
      <c r="F2304" s="49" t="s">
        <v>2939</v>
      </c>
      <c r="G2304" s="49" t="s">
        <v>2921</v>
      </c>
      <c r="H2304" s="49" t="s">
        <v>980</v>
      </c>
      <c r="I2304" s="50">
        <v>42009</v>
      </c>
      <c r="J2304" s="50">
        <v>42054</v>
      </c>
      <c r="K2304" s="50">
        <v>43879</v>
      </c>
      <c r="M2304" s="49" t="s">
        <v>3377</v>
      </c>
    </row>
    <row r="2305" spans="1:13" x14ac:dyDescent="0.35">
      <c r="A2305" s="49" t="s">
        <v>15414</v>
      </c>
      <c r="B2305" s="49" t="s">
        <v>8484</v>
      </c>
      <c r="C2305" s="49" t="s">
        <v>3784</v>
      </c>
      <c r="D2305" s="49" t="s">
        <v>1264</v>
      </c>
      <c r="E2305" s="49" t="s">
        <v>2908</v>
      </c>
      <c r="F2305" s="49" t="s">
        <v>2837</v>
      </c>
      <c r="G2305" s="49" t="s">
        <v>2787</v>
      </c>
      <c r="H2305" s="49" t="s">
        <v>2827</v>
      </c>
      <c r="I2305" s="50">
        <v>40844</v>
      </c>
      <c r="J2305" s="50">
        <v>40864</v>
      </c>
      <c r="K2305" s="50">
        <v>42690</v>
      </c>
      <c r="M2305" s="49" t="s">
        <v>3270</v>
      </c>
    </row>
    <row r="2306" spans="1:13" x14ac:dyDescent="0.35">
      <c r="A2306" s="49" t="s">
        <v>15414</v>
      </c>
      <c r="B2306" s="49" t="s">
        <v>8559</v>
      </c>
      <c r="C2306" s="49" t="s">
        <v>8560</v>
      </c>
      <c r="D2306" s="49" t="s">
        <v>1264</v>
      </c>
      <c r="E2306" s="49" t="s">
        <v>2908</v>
      </c>
      <c r="F2306" s="49" t="s">
        <v>2786</v>
      </c>
      <c r="G2306" s="49" t="s">
        <v>2787</v>
      </c>
      <c r="H2306" s="49" t="s">
        <v>980</v>
      </c>
      <c r="I2306" s="50">
        <v>40882</v>
      </c>
      <c r="J2306" s="50">
        <v>40886</v>
      </c>
      <c r="K2306" s="50">
        <v>42712</v>
      </c>
      <c r="M2306" s="49" t="s">
        <v>8561</v>
      </c>
    </row>
    <row r="2307" spans="1:13" x14ac:dyDescent="0.35">
      <c r="A2307" s="49" t="s">
        <v>462</v>
      </c>
      <c r="B2307" s="49" t="s">
        <v>10948</v>
      </c>
      <c r="C2307" s="49" t="s">
        <v>10949</v>
      </c>
      <c r="D2307" s="49" t="s">
        <v>1264</v>
      </c>
      <c r="E2307" s="49" t="s">
        <v>2986</v>
      </c>
      <c r="F2307" s="49" t="s">
        <v>2825</v>
      </c>
      <c r="G2307" s="49" t="s">
        <v>4891</v>
      </c>
      <c r="H2307" s="49" t="s">
        <v>2827</v>
      </c>
      <c r="I2307" s="50">
        <v>44572</v>
      </c>
      <c r="M2307" s="49" t="s">
        <v>5155</v>
      </c>
    </row>
    <row r="2308" spans="1:13" x14ac:dyDescent="0.35">
      <c r="A2308" s="49" t="s">
        <v>13885</v>
      </c>
      <c r="B2308" s="49" t="s">
        <v>5160</v>
      </c>
      <c r="C2308" s="49" t="s">
        <v>5161</v>
      </c>
      <c r="D2308" s="49" t="s">
        <v>1264</v>
      </c>
      <c r="E2308" s="49" t="s">
        <v>2785</v>
      </c>
      <c r="F2308" s="49" t="s">
        <v>2786</v>
      </c>
      <c r="G2308" s="49" t="s">
        <v>4330</v>
      </c>
      <c r="H2308" s="49" t="s">
        <v>980</v>
      </c>
      <c r="I2308" s="50">
        <v>44837</v>
      </c>
      <c r="M2308" s="49" t="s">
        <v>5163</v>
      </c>
    </row>
    <row r="2309" spans="1:13" x14ac:dyDescent="0.35">
      <c r="A2309" s="49" t="s">
        <v>13885</v>
      </c>
      <c r="B2309" s="49" t="s">
        <v>6010</v>
      </c>
      <c r="C2309" s="49" t="s">
        <v>6011</v>
      </c>
      <c r="D2309" s="49" t="s">
        <v>1264</v>
      </c>
      <c r="E2309" s="49" t="s">
        <v>2785</v>
      </c>
      <c r="F2309" s="49" t="s">
        <v>2792</v>
      </c>
      <c r="G2309" s="49" t="s">
        <v>4330</v>
      </c>
      <c r="H2309" s="49" t="s">
        <v>980</v>
      </c>
      <c r="I2309" s="50">
        <v>45189</v>
      </c>
      <c r="M2309" s="49" t="s">
        <v>6013</v>
      </c>
    </row>
    <row r="2310" spans="1:13" x14ac:dyDescent="0.35">
      <c r="A2310" s="49" t="s">
        <v>15415</v>
      </c>
      <c r="B2310" s="49" t="s">
        <v>6908</v>
      </c>
      <c r="C2310" s="49"/>
      <c r="D2310" s="49" t="s">
        <v>1264</v>
      </c>
      <c r="E2310" s="49" t="s">
        <v>2814</v>
      </c>
      <c r="F2310" s="49" t="s">
        <v>5002</v>
      </c>
      <c r="G2310" s="49" t="s">
        <v>2901</v>
      </c>
      <c r="H2310" s="49" t="s">
        <v>980</v>
      </c>
      <c r="I2310" s="52">
        <v>45986.4399305556</v>
      </c>
      <c r="J2310" s="50">
        <v>46000</v>
      </c>
      <c r="K2310" s="50">
        <v>46181</v>
      </c>
      <c r="M2310" s="49" t="s">
        <v>6910</v>
      </c>
    </row>
    <row r="2311" spans="1:13" x14ac:dyDescent="0.35">
      <c r="A2311" s="49" t="s">
        <v>15416</v>
      </c>
      <c r="B2311" s="49" t="s">
        <v>4419</v>
      </c>
      <c r="C2311" s="49" t="s">
        <v>4420</v>
      </c>
      <c r="D2311" s="49" t="s">
        <v>1264</v>
      </c>
      <c r="E2311" s="49" t="s">
        <v>2814</v>
      </c>
      <c r="F2311" s="49" t="s">
        <v>3005</v>
      </c>
      <c r="G2311" s="49" t="s">
        <v>2787</v>
      </c>
      <c r="H2311" s="49" t="s">
        <v>980</v>
      </c>
      <c r="I2311" s="50">
        <v>44370</v>
      </c>
      <c r="J2311" s="50">
        <v>44392</v>
      </c>
      <c r="K2311" s="50">
        <v>44575</v>
      </c>
      <c r="M2311" s="49" t="s">
        <v>4422</v>
      </c>
    </row>
    <row r="2312" spans="1:13" x14ac:dyDescent="0.35">
      <c r="A2312" s="49" t="s">
        <v>15416</v>
      </c>
      <c r="B2312" s="49" t="s">
        <v>4831</v>
      </c>
      <c r="C2312" s="49"/>
      <c r="D2312" s="49" t="s">
        <v>1264</v>
      </c>
      <c r="E2312" s="49" t="s">
        <v>2814</v>
      </c>
      <c r="F2312" s="49" t="s">
        <v>3005</v>
      </c>
      <c r="G2312" s="49" t="s">
        <v>2787</v>
      </c>
      <c r="H2312" s="49" t="s">
        <v>980</v>
      </c>
      <c r="I2312" s="50">
        <v>44692</v>
      </c>
      <c r="J2312" s="50">
        <v>44693</v>
      </c>
      <c r="K2312" s="50">
        <v>44876</v>
      </c>
      <c r="M2312" s="49" t="s">
        <v>4832</v>
      </c>
    </row>
    <row r="2313" spans="1:13" x14ac:dyDescent="0.35">
      <c r="A2313" s="49" t="s">
        <v>15416</v>
      </c>
      <c r="B2313" s="49" t="s">
        <v>5114</v>
      </c>
      <c r="C2313" s="49"/>
      <c r="D2313" s="49" t="s">
        <v>1264</v>
      </c>
      <c r="E2313" s="49" t="s">
        <v>3443</v>
      </c>
      <c r="F2313" s="49" t="s">
        <v>3124</v>
      </c>
      <c r="G2313" s="49" t="s">
        <v>4330</v>
      </c>
      <c r="H2313" s="49" t="s">
        <v>980</v>
      </c>
      <c r="I2313" s="50">
        <v>44423</v>
      </c>
    </row>
    <row r="2314" spans="1:13" x14ac:dyDescent="0.35">
      <c r="A2314" s="49" t="s">
        <v>15416</v>
      </c>
      <c r="B2314" s="49" t="s">
        <v>7243</v>
      </c>
      <c r="C2314" s="49" t="s">
        <v>2849</v>
      </c>
      <c r="D2314" s="49" t="s">
        <v>1264</v>
      </c>
      <c r="E2314" s="49" t="s">
        <v>2785</v>
      </c>
      <c r="F2314" s="49" t="s">
        <v>2792</v>
      </c>
      <c r="G2314" s="49" t="s">
        <v>2787</v>
      </c>
      <c r="H2314" s="49" t="s">
        <v>980</v>
      </c>
      <c r="I2314" s="50">
        <v>43592</v>
      </c>
      <c r="J2314" s="50">
        <v>43921</v>
      </c>
      <c r="K2314" s="50">
        <v>44285</v>
      </c>
      <c r="M2314" s="49" t="s">
        <v>7244</v>
      </c>
    </row>
    <row r="2315" spans="1:13" x14ac:dyDescent="0.35">
      <c r="A2315" s="49" t="s">
        <v>15016</v>
      </c>
      <c r="B2315" s="49" t="s">
        <v>5074</v>
      </c>
      <c r="C2315" s="49"/>
      <c r="D2315" s="49" t="s">
        <v>1264</v>
      </c>
      <c r="E2315" s="49" t="s">
        <v>3443</v>
      </c>
      <c r="F2315" s="49" t="s">
        <v>3124</v>
      </c>
      <c r="G2315" s="49" t="s">
        <v>2901</v>
      </c>
      <c r="H2315" s="49" t="s">
        <v>980</v>
      </c>
      <c r="I2315" s="50">
        <v>44752</v>
      </c>
      <c r="J2315" s="50">
        <v>44778</v>
      </c>
      <c r="K2315" s="50">
        <v>46603</v>
      </c>
    </row>
    <row r="2316" spans="1:13" x14ac:dyDescent="0.35">
      <c r="A2316" s="49" t="s">
        <v>14256</v>
      </c>
      <c r="B2316" s="49" t="s">
        <v>5809</v>
      </c>
      <c r="C2316" s="49" t="s">
        <v>5810</v>
      </c>
      <c r="D2316" s="49" t="s">
        <v>1264</v>
      </c>
      <c r="E2316" s="49" t="s">
        <v>2785</v>
      </c>
      <c r="F2316" s="49" t="s">
        <v>2786</v>
      </c>
      <c r="G2316" s="49" t="s">
        <v>4330</v>
      </c>
      <c r="H2316" s="49" t="s">
        <v>980</v>
      </c>
      <c r="I2316" s="50">
        <v>45058</v>
      </c>
      <c r="M2316" s="49" t="s">
        <v>5812</v>
      </c>
    </row>
    <row r="2317" spans="1:13" x14ac:dyDescent="0.35">
      <c r="A2317" s="49" t="s">
        <v>14184</v>
      </c>
      <c r="B2317" s="49" t="s">
        <v>4429</v>
      </c>
      <c r="C2317" s="49"/>
      <c r="D2317" s="49" t="s">
        <v>1264</v>
      </c>
      <c r="E2317" s="49" t="s">
        <v>2814</v>
      </c>
      <c r="F2317" s="49" t="s">
        <v>2837</v>
      </c>
      <c r="G2317" s="49" t="s">
        <v>2776</v>
      </c>
      <c r="H2317" s="49" t="s">
        <v>980</v>
      </c>
      <c r="I2317" s="50">
        <v>44158</v>
      </c>
      <c r="M2317" s="49" t="s">
        <v>4431</v>
      </c>
    </row>
    <row r="2318" spans="1:13" x14ac:dyDescent="0.35">
      <c r="A2318" s="49" t="s">
        <v>14184</v>
      </c>
      <c r="B2318" s="49" t="s">
        <v>5009</v>
      </c>
      <c r="C2318" s="49"/>
      <c r="D2318" s="49" t="s">
        <v>1264</v>
      </c>
      <c r="E2318" s="49" t="s">
        <v>2908</v>
      </c>
      <c r="F2318" s="49" t="s">
        <v>2837</v>
      </c>
      <c r="G2318" s="49" t="s">
        <v>4330</v>
      </c>
      <c r="H2318" s="49" t="s">
        <v>980</v>
      </c>
      <c r="I2318" s="50">
        <v>43938</v>
      </c>
      <c r="M2318" s="49" t="s">
        <v>5010</v>
      </c>
    </row>
    <row r="2319" spans="1:13" x14ac:dyDescent="0.35">
      <c r="A2319" s="49" t="s">
        <v>14184</v>
      </c>
      <c r="B2319" s="49" t="s">
        <v>10309</v>
      </c>
      <c r="C2319" s="49" t="s">
        <v>3354</v>
      </c>
      <c r="D2319" s="49" t="s">
        <v>1264</v>
      </c>
      <c r="E2319" s="49" t="s">
        <v>2814</v>
      </c>
      <c r="F2319" s="49" t="s">
        <v>2837</v>
      </c>
      <c r="G2319" s="49" t="s">
        <v>2776</v>
      </c>
      <c r="H2319" s="49" t="s">
        <v>980</v>
      </c>
      <c r="I2319" s="50">
        <v>43426</v>
      </c>
      <c r="M2319" s="49" t="s">
        <v>10310</v>
      </c>
    </row>
    <row r="2320" spans="1:13" x14ac:dyDescent="0.35">
      <c r="A2320" s="49" t="s">
        <v>14184</v>
      </c>
      <c r="B2320" s="49" t="s">
        <v>10311</v>
      </c>
      <c r="C2320" s="49"/>
      <c r="D2320" s="49" t="s">
        <v>1264</v>
      </c>
      <c r="E2320" s="49" t="s">
        <v>2814</v>
      </c>
      <c r="F2320" s="49" t="s">
        <v>2837</v>
      </c>
      <c r="G2320" s="49" t="s">
        <v>2776</v>
      </c>
      <c r="H2320" s="49" t="s">
        <v>980</v>
      </c>
      <c r="I2320" s="50">
        <v>43433</v>
      </c>
      <c r="M2320" s="49" t="s">
        <v>10312</v>
      </c>
    </row>
    <row r="2321" spans="1:13" x14ac:dyDescent="0.35">
      <c r="A2321" s="49" t="s">
        <v>14184</v>
      </c>
      <c r="B2321" s="49" t="s">
        <v>10672</v>
      </c>
      <c r="C2321" s="49"/>
      <c r="D2321" s="49" t="s">
        <v>1264</v>
      </c>
      <c r="E2321" s="49" t="s">
        <v>2908</v>
      </c>
      <c r="F2321" s="49" t="s">
        <v>2837</v>
      </c>
      <c r="G2321" s="49" t="s">
        <v>2776</v>
      </c>
      <c r="H2321" s="49" t="s">
        <v>980</v>
      </c>
      <c r="I2321" s="50">
        <v>44040</v>
      </c>
      <c r="M2321" s="49" t="s">
        <v>10673</v>
      </c>
    </row>
    <row r="2322" spans="1:13" x14ac:dyDescent="0.35">
      <c r="A2322" s="49" t="s">
        <v>14184</v>
      </c>
      <c r="B2322" s="49" t="s">
        <v>12010</v>
      </c>
      <c r="C2322" s="49"/>
      <c r="D2322" s="49" t="s">
        <v>1264</v>
      </c>
      <c r="E2322" s="49" t="s">
        <v>2986</v>
      </c>
      <c r="F2322" s="49" t="s">
        <v>2825</v>
      </c>
      <c r="G2322" s="49" t="s">
        <v>4891</v>
      </c>
      <c r="H2322" s="49" t="s">
        <v>2827</v>
      </c>
      <c r="I2322" s="50">
        <v>45294</v>
      </c>
      <c r="M2322" s="49" t="s">
        <v>12011</v>
      </c>
    </row>
    <row r="2323" spans="1:13" x14ac:dyDescent="0.35">
      <c r="A2323" s="49" t="s">
        <v>14184</v>
      </c>
      <c r="B2323" s="49" t="s">
        <v>12086</v>
      </c>
      <c r="C2323" s="49" t="s">
        <v>3768</v>
      </c>
      <c r="D2323" s="49" t="s">
        <v>1264</v>
      </c>
      <c r="E2323" s="49" t="s">
        <v>3443</v>
      </c>
      <c r="F2323" s="49" t="s">
        <v>3124</v>
      </c>
      <c r="G2323" s="49" t="s">
        <v>4891</v>
      </c>
      <c r="H2323" s="49" t="s">
        <v>980</v>
      </c>
      <c r="I2323" s="50">
        <v>45318</v>
      </c>
    </row>
    <row r="2324" spans="1:13" x14ac:dyDescent="0.35">
      <c r="A2324" s="49" t="s">
        <v>15662</v>
      </c>
      <c r="B2324" s="49" t="s">
        <v>4319</v>
      </c>
      <c r="C2324" s="49"/>
      <c r="D2324" s="49" t="s">
        <v>1264</v>
      </c>
      <c r="E2324" s="49" t="s">
        <v>2785</v>
      </c>
      <c r="F2324" s="49" t="s">
        <v>2792</v>
      </c>
      <c r="G2324" s="49" t="s">
        <v>2787</v>
      </c>
      <c r="H2324" s="49" t="s">
        <v>980</v>
      </c>
      <c r="I2324" s="50">
        <v>43803</v>
      </c>
      <c r="J2324" s="50">
        <v>43913</v>
      </c>
      <c r="K2324" s="50">
        <v>44642</v>
      </c>
      <c r="M2324" s="49" t="s">
        <v>4321</v>
      </c>
    </row>
    <row r="2325" spans="1:13" x14ac:dyDescent="0.35">
      <c r="A2325" s="49" t="s">
        <v>15662</v>
      </c>
      <c r="B2325" s="49" t="s">
        <v>9993</v>
      </c>
      <c r="C2325" s="49"/>
      <c r="D2325" s="49" t="s">
        <v>1264</v>
      </c>
      <c r="E2325" s="49" t="s">
        <v>2785</v>
      </c>
      <c r="F2325" s="49" t="s">
        <v>2792</v>
      </c>
      <c r="G2325" s="49" t="s">
        <v>2776</v>
      </c>
      <c r="H2325" s="49" t="s">
        <v>980</v>
      </c>
      <c r="I2325" s="50">
        <v>43720</v>
      </c>
      <c r="M2325" s="49" t="s">
        <v>9994</v>
      </c>
    </row>
    <row r="2326" spans="1:13" x14ac:dyDescent="0.35">
      <c r="A2326" s="49" t="s">
        <v>15662</v>
      </c>
      <c r="B2326" s="49" t="s">
        <v>10214</v>
      </c>
      <c r="C2326" s="49"/>
      <c r="D2326" s="49" t="s">
        <v>1264</v>
      </c>
      <c r="E2326" s="49" t="s">
        <v>2814</v>
      </c>
      <c r="F2326" s="49" t="s">
        <v>2837</v>
      </c>
      <c r="G2326" s="49" t="s">
        <v>2776</v>
      </c>
      <c r="H2326" s="49" t="s">
        <v>980</v>
      </c>
      <c r="I2326" s="50">
        <v>43383</v>
      </c>
      <c r="M2326" s="49" t="s">
        <v>10215</v>
      </c>
    </row>
    <row r="2327" spans="1:13" x14ac:dyDescent="0.35">
      <c r="A2327" s="49" t="s">
        <v>14595</v>
      </c>
      <c r="B2327" s="49" t="s">
        <v>11146</v>
      </c>
      <c r="C2327" s="49"/>
      <c r="D2327" s="49" t="s">
        <v>1264</v>
      </c>
      <c r="E2327" s="49" t="s">
        <v>2908</v>
      </c>
      <c r="F2327" s="49" t="s">
        <v>2837</v>
      </c>
      <c r="G2327" s="49" t="s">
        <v>4891</v>
      </c>
      <c r="H2327" s="49" t="s">
        <v>2827</v>
      </c>
      <c r="I2327" s="50">
        <v>44819</v>
      </c>
      <c r="M2327" s="49" t="s">
        <v>11148</v>
      </c>
    </row>
    <row r="2328" spans="1:13" x14ac:dyDescent="0.35">
      <c r="A2328" s="49" t="s">
        <v>14090</v>
      </c>
      <c r="B2328" s="49" t="s">
        <v>3237</v>
      </c>
      <c r="C2328" s="49" t="s">
        <v>3227</v>
      </c>
      <c r="D2328" s="49" t="s">
        <v>1264</v>
      </c>
      <c r="E2328" s="49" t="s">
        <v>2908</v>
      </c>
      <c r="F2328" s="49" t="s">
        <v>2939</v>
      </c>
      <c r="G2328" s="49" t="s">
        <v>2787</v>
      </c>
      <c r="H2328" s="49" t="s">
        <v>3229</v>
      </c>
      <c r="I2328" s="50">
        <v>41170</v>
      </c>
      <c r="J2328" s="50">
        <v>43072</v>
      </c>
      <c r="K2328" s="50">
        <v>45303</v>
      </c>
      <c r="M2328" s="49" t="s">
        <v>3239</v>
      </c>
    </row>
    <row r="2329" spans="1:13" x14ac:dyDescent="0.35">
      <c r="A2329" s="49" t="s">
        <v>14090</v>
      </c>
      <c r="B2329" s="49" t="s">
        <v>8637</v>
      </c>
      <c r="C2329" s="49" t="s">
        <v>8638</v>
      </c>
      <c r="D2329" s="49" t="s">
        <v>1264</v>
      </c>
      <c r="E2329" s="49" t="s">
        <v>2774</v>
      </c>
      <c r="F2329" s="49" t="s">
        <v>2900</v>
      </c>
      <c r="G2329" s="49" t="s">
        <v>2787</v>
      </c>
      <c r="H2329" s="49" t="s">
        <v>980</v>
      </c>
      <c r="I2329" s="50">
        <v>41466</v>
      </c>
      <c r="J2329" s="50">
        <v>41576</v>
      </c>
      <c r="K2329" s="50">
        <v>43766</v>
      </c>
      <c r="M2329" s="49" t="s">
        <v>8639</v>
      </c>
    </row>
    <row r="2330" spans="1:13" x14ac:dyDescent="0.35">
      <c r="A2330" s="49" t="s">
        <v>14090</v>
      </c>
      <c r="B2330" s="49" t="s">
        <v>8730</v>
      </c>
      <c r="C2330" s="49"/>
      <c r="D2330" s="49" t="s">
        <v>1264</v>
      </c>
      <c r="E2330" s="49" t="s">
        <v>2908</v>
      </c>
      <c r="F2330" s="49" t="s">
        <v>2939</v>
      </c>
      <c r="G2330" s="49" t="s">
        <v>2776</v>
      </c>
      <c r="H2330" s="49" t="s">
        <v>980</v>
      </c>
      <c r="I2330" s="50">
        <v>41170</v>
      </c>
      <c r="M2330" s="49" t="s">
        <v>8731</v>
      </c>
    </row>
    <row r="2331" spans="1:13" x14ac:dyDescent="0.35">
      <c r="A2331" s="49" t="s">
        <v>14567</v>
      </c>
      <c r="B2331" s="49" t="s">
        <v>10579</v>
      </c>
      <c r="C2331" s="49"/>
      <c r="D2331" s="49" t="s">
        <v>1264</v>
      </c>
      <c r="E2331" s="49" t="s">
        <v>2814</v>
      </c>
      <c r="F2331" s="49" t="s">
        <v>10581</v>
      </c>
      <c r="G2331" s="49" t="s">
        <v>2776</v>
      </c>
      <c r="H2331" s="49" t="s">
        <v>980</v>
      </c>
      <c r="I2331" s="50">
        <v>42627</v>
      </c>
      <c r="M2331" s="49" t="s">
        <v>3470</v>
      </c>
    </row>
    <row r="2332" spans="1:13" x14ac:dyDescent="0.35">
      <c r="A2332" s="49" t="s">
        <v>15196</v>
      </c>
      <c r="B2332" s="49" t="s">
        <v>10322</v>
      </c>
      <c r="C2332" s="49"/>
      <c r="D2332" s="49" t="s">
        <v>1264</v>
      </c>
      <c r="E2332" s="49" t="s">
        <v>2814</v>
      </c>
      <c r="F2332" s="49" t="s">
        <v>10324</v>
      </c>
      <c r="G2332" s="49" t="s">
        <v>2776</v>
      </c>
      <c r="H2332" s="49" t="s">
        <v>2827</v>
      </c>
      <c r="I2332" s="50">
        <v>43159</v>
      </c>
      <c r="M2332" s="49" t="s">
        <v>10325</v>
      </c>
    </row>
    <row r="2333" spans="1:13" x14ac:dyDescent="0.35">
      <c r="A2333" s="49" t="s">
        <v>15197</v>
      </c>
      <c r="B2333" s="49" t="s">
        <v>3945</v>
      </c>
      <c r="C2333" s="49" t="s">
        <v>3946</v>
      </c>
      <c r="D2333" s="49" t="s">
        <v>1264</v>
      </c>
      <c r="E2333" s="49" t="s">
        <v>2774</v>
      </c>
      <c r="F2333" s="49" t="s">
        <v>3188</v>
      </c>
      <c r="G2333" s="49" t="s">
        <v>2921</v>
      </c>
      <c r="H2333" s="49" t="s">
        <v>973</v>
      </c>
      <c r="I2333" s="50">
        <v>43790</v>
      </c>
      <c r="J2333" s="50">
        <v>43978</v>
      </c>
      <c r="K2333" s="50">
        <v>45438</v>
      </c>
      <c r="M2333" s="49" t="s">
        <v>3948</v>
      </c>
    </row>
    <row r="2334" spans="1:13" x14ac:dyDescent="0.35">
      <c r="A2334" s="49" t="s">
        <v>15197</v>
      </c>
      <c r="B2334" s="49" t="s">
        <v>11194</v>
      </c>
      <c r="C2334" s="49" t="s">
        <v>3021</v>
      </c>
      <c r="D2334" s="49" t="s">
        <v>1264</v>
      </c>
      <c r="E2334" s="49" t="s">
        <v>2774</v>
      </c>
      <c r="F2334" s="49" t="s">
        <v>2900</v>
      </c>
      <c r="G2334" s="49" t="s">
        <v>4891</v>
      </c>
      <c r="H2334" s="49" t="s">
        <v>2832</v>
      </c>
      <c r="I2334" s="50">
        <v>44881</v>
      </c>
      <c r="M2334" s="49" t="s">
        <v>11195</v>
      </c>
    </row>
    <row r="2335" spans="1:13" x14ac:dyDescent="0.35">
      <c r="A2335" s="49" t="s">
        <v>15197</v>
      </c>
      <c r="B2335" s="49" t="s">
        <v>11196</v>
      </c>
      <c r="C2335" s="49" t="s">
        <v>11197</v>
      </c>
      <c r="D2335" s="49" t="s">
        <v>1264</v>
      </c>
      <c r="E2335" s="49" t="s">
        <v>2774</v>
      </c>
      <c r="F2335" s="49" t="s">
        <v>3188</v>
      </c>
      <c r="G2335" s="49" t="s">
        <v>2776</v>
      </c>
      <c r="H2335" s="49" t="s">
        <v>973</v>
      </c>
      <c r="I2335" s="50">
        <v>44893</v>
      </c>
      <c r="M2335" s="49" t="s">
        <v>11198</v>
      </c>
    </row>
    <row r="2336" spans="1:13" x14ac:dyDescent="0.35">
      <c r="A2336" s="49" t="s">
        <v>15197</v>
      </c>
      <c r="B2336" s="49" t="s">
        <v>11329</v>
      </c>
      <c r="C2336" s="49" t="s">
        <v>11330</v>
      </c>
      <c r="D2336" s="49" t="s">
        <v>1264</v>
      </c>
      <c r="E2336" s="49" t="s">
        <v>2814</v>
      </c>
      <c r="F2336" s="49" t="s">
        <v>3005</v>
      </c>
      <c r="G2336" s="49" t="s">
        <v>2776</v>
      </c>
      <c r="H2336" s="49" t="s">
        <v>980</v>
      </c>
      <c r="I2336" s="50">
        <v>45030</v>
      </c>
      <c r="M2336" s="49" t="s">
        <v>11332</v>
      </c>
    </row>
    <row r="2337" spans="1:13" x14ac:dyDescent="0.35">
      <c r="A2337" s="49" t="s">
        <v>15197</v>
      </c>
      <c r="B2337" s="49" t="s">
        <v>11698</v>
      </c>
      <c r="C2337" s="49" t="s">
        <v>11330</v>
      </c>
      <c r="D2337" s="49" t="s">
        <v>1264</v>
      </c>
      <c r="E2337" s="49" t="s">
        <v>2974</v>
      </c>
      <c r="F2337" s="49" t="s">
        <v>3005</v>
      </c>
      <c r="G2337" s="49" t="s">
        <v>2776</v>
      </c>
      <c r="H2337" s="49" t="s">
        <v>8</v>
      </c>
      <c r="I2337" s="50">
        <v>45251</v>
      </c>
      <c r="M2337" s="49" t="s">
        <v>11699</v>
      </c>
    </row>
    <row r="2338" spans="1:13" x14ac:dyDescent="0.35">
      <c r="A2338" s="49" t="s">
        <v>15417</v>
      </c>
      <c r="B2338" s="49" t="s">
        <v>11731</v>
      </c>
      <c r="C2338" s="49" t="s">
        <v>11732</v>
      </c>
      <c r="D2338" s="49" t="s">
        <v>1264</v>
      </c>
      <c r="E2338" s="49" t="s">
        <v>2986</v>
      </c>
      <c r="F2338" s="49" t="s">
        <v>2825</v>
      </c>
      <c r="G2338" s="49" t="s">
        <v>2776</v>
      </c>
      <c r="H2338" s="49" t="s">
        <v>2827</v>
      </c>
      <c r="I2338" s="50">
        <v>45245</v>
      </c>
      <c r="M2338" s="49" t="s">
        <v>11734</v>
      </c>
    </row>
    <row r="2339" spans="1:13" x14ac:dyDescent="0.35">
      <c r="A2339" s="49" t="s">
        <v>14678</v>
      </c>
      <c r="B2339" s="49" t="s">
        <v>13742</v>
      </c>
      <c r="C2339" s="49"/>
      <c r="D2339" s="49" t="s">
        <v>1264</v>
      </c>
      <c r="E2339" s="49" t="s">
        <v>2908</v>
      </c>
      <c r="F2339" s="49" t="s">
        <v>2939</v>
      </c>
      <c r="G2339" s="49" t="s">
        <v>2776</v>
      </c>
      <c r="H2339" s="49" t="s">
        <v>980</v>
      </c>
      <c r="I2339" s="50">
        <v>41890</v>
      </c>
      <c r="M2339" s="49" t="s">
        <v>13744</v>
      </c>
    </row>
    <row r="2340" spans="1:13" x14ac:dyDescent="0.35">
      <c r="A2340" s="49" t="s">
        <v>14711</v>
      </c>
      <c r="B2340" s="49" t="s">
        <v>6998</v>
      </c>
      <c r="C2340" s="49" t="s">
        <v>6999</v>
      </c>
      <c r="D2340" s="49" t="s">
        <v>1264</v>
      </c>
      <c r="E2340" s="49" t="s">
        <v>2785</v>
      </c>
      <c r="F2340" s="49" t="s">
        <v>2792</v>
      </c>
      <c r="G2340" s="49" t="s">
        <v>2776</v>
      </c>
      <c r="H2340" s="49" t="s">
        <v>8</v>
      </c>
      <c r="I2340" s="50">
        <v>41185</v>
      </c>
      <c r="M2340" s="49" t="s">
        <v>7001</v>
      </c>
    </row>
    <row r="2341" spans="1:13" x14ac:dyDescent="0.35">
      <c r="A2341" s="49" t="s">
        <v>14668</v>
      </c>
      <c r="B2341" s="49" t="s">
        <v>13441</v>
      </c>
      <c r="C2341" s="49" t="s">
        <v>6807</v>
      </c>
      <c r="D2341" s="49" t="s">
        <v>1264</v>
      </c>
      <c r="E2341" s="49" t="s">
        <v>2785</v>
      </c>
      <c r="F2341" s="49" t="s">
        <v>2792</v>
      </c>
      <c r="G2341" s="49" t="s">
        <v>4891</v>
      </c>
      <c r="H2341" s="49" t="s">
        <v>857</v>
      </c>
      <c r="I2341" s="52">
        <v>46133.426932870403</v>
      </c>
      <c r="M2341" s="49" t="s">
        <v>13443</v>
      </c>
    </row>
    <row r="2342" spans="1:13" x14ac:dyDescent="0.35">
      <c r="A2342" s="49" t="s">
        <v>15418</v>
      </c>
      <c r="B2342" s="49" t="s">
        <v>13666</v>
      </c>
      <c r="C2342" s="49" t="s">
        <v>8556</v>
      </c>
      <c r="D2342" s="49" t="s">
        <v>1264</v>
      </c>
      <c r="E2342" s="49" t="s">
        <v>2986</v>
      </c>
      <c r="F2342" s="49" t="s">
        <v>2825</v>
      </c>
      <c r="G2342" s="49" t="s">
        <v>2776</v>
      </c>
      <c r="H2342" s="49" t="s">
        <v>2827</v>
      </c>
      <c r="I2342" s="50">
        <v>43229</v>
      </c>
      <c r="M2342" s="49" t="s">
        <v>10318</v>
      </c>
    </row>
    <row r="2343" spans="1:13" x14ac:dyDescent="0.35">
      <c r="A2343" s="49" t="s">
        <v>15418</v>
      </c>
      <c r="B2343" s="49" t="s">
        <v>13791</v>
      </c>
      <c r="C2343" s="49" t="s">
        <v>8556</v>
      </c>
      <c r="D2343" s="49" t="s">
        <v>1264</v>
      </c>
      <c r="E2343" s="49" t="s">
        <v>2974</v>
      </c>
      <c r="F2343" s="49" t="s">
        <v>2825</v>
      </c>
      <c r="G2343" s="49" t="s">
        <v>2776</v>
      </c>
      <c r="H2343" s="49" t="s">
        <v>973</v>
      </c>
      <c r="I2343" s="50">
        <v>43297</v>
      </c>
      <c r="M2343" s="49" t="s">
        <v>13793</v>
      </c>
    </row>
    <row r="2344" spans="1:13" x14ac:dyDescent="0.35">
      <c r="A2344" s="49" t="s">
        <v>15418</v>
      </c>
      <c r="B2344" s="49" t="s">
        <v>13867</v>
      </c>
      <c r="C2344" s="49" t="s">
        <v>6881</v>
      </c>
      <c r="D2344" s="49" t="s">
        <v>1264</v>
      </c>
      <c r="E2344" s="49" t="s">
        <v>2774</v>
      </c>
      <c r="F2344" s="49" t="s">
        <v>2825</v>
      </c>
      <c r="G2344" s="49" t="s">
        <v>2776</v>
      </c>
      <c r="H2344" s="49" t="s">
        <v>2827</v>
      </c>
      <c r="I2344" s="50">
        <v>43361</v>
      </c>
      <c r="M2344" s="49" t="s">
        <v>13868</v>
      </c>
    </row>
    <row r="2345" spans="1:13" x14ac:dyDescent="0.35">
      <c r="A2345" s="49" t="s">
        <v>475</v>
      </c>
      <c r="B2345" s="49" t="s">
        <v>7786</v>
      </c>
      <c r="C2345" s="49" t="s">
        <v>7787</v>
      </c>
      <c r="D2345" s="49" t="s">
        <v>1264</v>
      </c>
      <c r="E2345" s="49" t="s">
        <v>7057</v>
      </c>
      <c r="F2345" s="49" t="s">
        <v>2825</v>
      </c>
      <c r="G2345" s="49" t="s">
        <v>2787</v>
      </c>
      <c r="H2345" s="49" t="s">
        <v>2827</v>
      </c>
      <c r="I2345" s="50">
        <v>41953</v>
      </c>
      <c r="J2345" s="50">
        <v>42040</v>
      </c>
      <c r="K2345" s="50">
        <v>42770</v>
      </c>
      <c r="M2345" s="49" t="s">
        <v>7788</v>
      </c>
    </row>
    <row r="2346" spans="1:13" x14ac:dyDescent="0.35">
      <c r="A2346" s="49" t="s">
        <v>475</v>
      </c>
      <c r="B2346" s="49" t="s">
        <v>8463</v>
      </c>
      <c r="C2346" s="49" t="s">
        <v>8464</v>
      </c>
      <c r="D2346" s="49" t="s">
        <v>1264</v>
      </c>
      <c r="E2346" s="49" t="s">
        <v>7057</v>
      </c>
      <c r="F2346" s="49" t="s">
        <v>2825</v>
      </c>
      <c r="G2346" s="49" t="s">
        <v>2787</v>
      </c>
      <c r="H2346" s="49" t="s">
        <v>2827</v>
      </c>
      <c r="I2346" s="50">
        <v>41407</v>
      </c>
      <c r="J2346" s="50">
        <v>41479</v>
      </c>
      <c r="K2346" s="50">
        <v>42939</v>
      </c>
      <c r="M2346" s="49" t="s">
        <v>8466</v>
      </c>
    </row>
    <row r="2347" spans="1:13" x14ac:dyDescent="0.35">
      <c r="A2347" s="49" t="s">
        <v>14611</v>
      </c>
      <c r="B2347" s="49" t="s">
        <v>11679</v>
      </c>
      <c r="C2347" s="49"/>
      <c r="D2347" s="49" t="s">
        <v>1264</v>
      </c>
      <c r="E2347" s="49" t="s">
        <v>2974</v>
      </c>
      <c r="F2347" s="49" t="s">
        <v>2825</v>
      </c>
      <c r="G2347" s="49" t="s">
        <v>2776</v>
      </c>
      <c r="H2347" s="49" t="s">
        <v>2827</v>
      </c>
      <c r="I2347" s="50">
        <v>45243</v>
      </c>
      <c r="M2347" s="49" t="s">
        <v>11681</v>
      </c>
    </row>
    <row r="2348" spans="1:13" x14ac:dyDescent="0.35">
      <c r="A2348" s="49" t="s">
        <v>13624</v>
      </c>
      <c r="B2348" s="49" t="s">
        <v>13623</v>
      </c>
      <c r="C2348" s="49" t="s">
        <v>10683</v>
      </c>
      <c r="D2348" s="49" t="s">
        <v>1264</v>
      </c>
      <c r="E2348" s="49" t="s">
        <v>2986</v>
      </c>
      <c r="F2348" s="49" t="s">
        <v>2825</v>
      </c>
      <c r="G2348" s="49" t="s">
        <v>2776</v>
      </c>
      <c r="H2348" s="49" t="s">
        <v>2827</v>
      </c>
      <c r="I2348" s="50">
        <v>43090</v>
      </c>
      <c r="M2348" s="49" t="s">
        <v>11720</v>
      </c>
    </row>
    <row r="2349" spans="1:13" x14ac:dyDescent="0.35">
      <c r="A2349" s="49" t="s">
        <v>15198</v>
      </c>
      <c r="B2349" s="49" t="s">
        <v>11782</v>
      </c>
      <c r="C2349" s="49"/>
      <c r="D2349" s="49" t="s">
        <v>1264</v>
      </c>
      <c r="E2349" s="49" t="s">
        <v>2774</v>
      </c>
      <c r="F2349" s="49" t="s">
        <v>4842</v>
      </c>
      <c r="G2349" s="49" t="s">
        <v>4891</v>
      </c>
      <c r="H2349" s="49" t="s">
        <v>973</v>
      </c>
      <c r="I2349" s="50">
        <v>45267</v>
      </c>
      <c r="M2349" s="49" t="s">
        <v>11784</v>
      </c>
    </row>
    <row r="2350" spans="1:13" x14ac:dyDescent="0.35">
      <c r="A2350" s="49" t="s">
        <v>15198</v>
      </c>
      <c r="B2350" s="49" t="s">
        <v>3105</v>
      </c>
      <c r="C2350" s="49" t="s">
        <v>3106</v>
      </c>
      <c r="D2350" s="49" t="s">
        <v>1264</v>
      </c>
      <c r="E2350" s="49" t="s">
        <v>2974</v>
      </c>
      <c r="F2350" s="49" t="s">
        <v>3108</v>
      </c>
      <c r="G2350" s="49" t="s">
        <v>2787</v>
      </c>
      <c r="H2350" s="49" t="s">
        <v>2827</v>
      </c>
      <c r="I2350" s="50">
        <v>40088</v>
      </c>
      <c r="J2350" s="50">
        <v>40130</v>
      </c>
      <c r="K2350" s="50">
        <v>45638</v>
      </c>
      <c r="M2350" s="49" t="s">
        <v>3109</v>
      </c>
    </row>
    <row r="2351" spans="1:13" x14ac:dyDescent="0.35">
      <c r="A2351" s="49" t="s">
        <v>15198</v>
      </c>
      <c r="B2351" s="49" t="s">
        <v>11386</v>
      </c>
      <c r="C2351" s="49"/>
      <c r="D2351" s="49" t="s">
        <v>1264</v>
      </c>
      <c r="E2351" s="49" t="s">
        <v>2974</v>
      </c>
      <c r="F2351" s="49" t="s">
        <v>2825</v>
      </c>
      <c r="G2351" s="49" t="s">
        <v>2826</v>
      </c>
      <c r="H2351" s="49" t="s">
        <v>2827</v>
      </c>
      <c r="I2351" s="50">
        <v>45062</v>
      </c>
      <c r="M2351" s="49" t="s">
        <v>11387</v>
      </c>
    </row>
    <row r="2352" spans="1:13" x14ac:dyDescent="0.35">
      <c r="A2352" s="49" t="s">
        <v>14948</v>
      </c>
      <c r="B2352" s="49" t="s">
        <v>13547</v>
      </c>
      <c r="C2352" s="49" t="s">
        <v>13548</v>
      </c>
      <c r="D2352" s="49" t="s">
        <v>1264</v>
      </c>
      <c r="E2352" s="49" t="s">
        <v>2986</v>
      </c>
      <c r="F2352" s="49" t="s">
        <v>2825</v>
      </c>
      <c r="G2352" s="49" t="s">
        <v>4891</v>
      </c>
      <c r="H2352" s="49" t="s">
        <v>2827</v>
      </c>
      <c r="I2352" s="52">
        <v>45875.800902777803</v>
      </c>
      <c r="M2352" s="49" t="s">
        <v>13550</v>
      </c>
    </row>
    <row r="2353" spans="1:13" x14ac:dyDescent="0.35">
      <c r="A2353" s="49" t="s">
        <v>14432</v>
      </c>
      <c r="B2353" s="49" t="s">
        <v>8447</v>
      </c>
      <c r="C2353" s="49" t="s">
        <v>8448</v>
      </c>
      <c r="D2353" s="49" t="s">
        <v>1264</v>
      </c>
      <c r="E2353" s="49" t="s">
        <v>2774</v>
      </c>
      <c r="F2353" s="49" t="s">
        <v>3628</v>
      </c>
      <c r="G2353" s="49" t="s">
        <v>2975</v>
      </c>
      <c r="H2353" s="49" t="s">
        <v>973</v>
      </c>
      <c r="I2353" s="50">
        <v>39353</v>
      </c>
      <c r="J2353" s="50">
        <v>39430</v>
      </c>
      <c r="K2353" s="50">
        <v>40527</v>
      </c>
      <c r="M2353" s="49" t="s">
        <v>8450</v>
      </c>
    </row>
    <row r="2354" spans="1:13" x14ac:dyDescent="0.35">
      <c r="A2354" s="49" t="s">
        <v>15419</v>
      </c>
      <c r="B2354" s="49" t="s">
        <v>13173</v>
      </c>
      <c r="C2354" s="49"/>
      <c r="D2354" s="49" t="s">
        <v>1264</v>
      </c>
      <c r="E2354" s="49" t="s">
        <v>2986</v>
      </c>
      <c r="F2354" s="49" t="s">
        <v>2825</v>
      </c>
      <c r="G2354" s="49" t="s">
        <v>4891</v>
      </c>
      <c r="H2354" s="49" t="s">
        <v>2827</v>
      </c>
      <c r="I2354" s="52">
        <v>46071.525543981501</v>
      </c>
    </row>
    <row r="2355" spans="1:13" x14ac:dyDescent="0.35">
      <c r="A2355" s="49" t="s">
        <v>15419</v>
      </c>
      <c r="B2355" s="49" t="s">
        <v>13190</v>
      </c>
      <c r="C2355" s="49" t="s">
        <v>13191</v>
      </c>
      <c r="D2355" s="49" t="s">
        <v>1264</v>
      </c>
      <c r="E2355" s="49" t="s">
        <v>2986</v>
      </c>
      <c r="F2355" s="49" t="s">
        <v>2825</v>
      </c>
      <c r="G2355" s="49" t="s">
        <v>4891</v>
      </c>
      <c r="H2355" s="49" t="s">
        <v>2827</v>
      </c>
      <c r="I2355" s="52">
        <v>46034.088125000002</v>
      </c>
      <c r="M2355" s="49" t="s">
        <v>13192</v>
      </c>
    </row>
    <row r="2356" spans="1:13" x14ac:dyDescent="0.35">
      <c r="A2356" s="49" t="s">
        <v>14202</v>
      </c>
      <c r="B2356" s="49" t="s">
        <v>4751</v>
      </c>
      <c r="C2356" s="49"/>
      <c r="D2356" s="49" t="s">
        <v>1264</v>
      </c>
      <c r="E2356" s="49" t="s">
        <v>2774</v>
      </c>
      <c r="F2356" s="49" t="s">
        <v>2900</v>
      </c>
      <c r="G2356" s="49" t="s">
        <v>2901</v>
      </c>
      <c r="H2356" s="49" t="s">
        <v>3229</v>
      </c>
      <c r="I2356" s="50">
        <v>44459</v>
      </c>
      <c r="J2356" s="50">
        <v>44615</v>
      </c>
      <c r="K2356" s="50">
        <v>46075</v>
      </c>
      <c r="M2356" s="49" t="s">
        <v>4753</v>
      </c>
    </row>
    <row r="2357" spans="1:13" x14ac:dyDescent="0.35">
      <c r="A2357" s="49" t="s">
        <v>15199</v>
      </c>
      <c r="B2357" s="49" t="s">
        <v>12797</v>
      </c>
      <c r="C2357" s="49" t="s">
        <v>12798</v>
      </c>
      <c r="D2357" s="49" t="s">
        <v>1264</v>
      </c>
      <c r="E2357" s="49" t="s">
        <v>2986</v>
      </c>
      <c r="F2357" s="49" t="s">
        <v>2825</v>
      </c>
      <c r="G2357" s="49" t="s">
        <v>4891</v>
      </c>
      <c r="H2357" s="49" t="s">
        <v>2827</v>
      </c>
      <c r="I2357" s="50">
        <v>45504</v>
      </c>
      <c r="M2357" s="49" t="s">
        <v>11514</v>
      </c>
    </row>
    <row r="2358" spans="1:13" x14ac:dyDescent="0.35">
      <c r="A2358" s="49" t="s">
        <v>15199</v>
      </c>
      <c r="B2358" s="49" t="s">
        <v>12808</v>
      </c>
      <c r="C2358" s="49" t="s">
        <v>12809</v>
      </c>
      <c r="D2358" s="49" t="s">
        <v>1264</v>
      </c>
      <c r="E2358" s="49" t="s">
        <v>2986</v>
      </c>
      <c r="F2358" s="49" t="s">
        <v>2825</v>
      </c>
      <c r="G2358" s="49" t="s">
        <v>4891</v>
      </c>
      <c r="H2358" s="49" t="s">
        <v>2827</v>
      </c>
      <c r="I2358" s="50">
        <v>45504</v>
      </c>
      <c r="M2358" s="49" t="s">
        <v>5051</v>
      </c>
    </row>
    <row r="2359" spans="1:13" x14ac:dyDescent="0.35">
      <c r="A2359" s="49" t="s">
        <v>15199</v>
      </c>
      <c r="B2359" s="49" t="s">
        <v>12548</v>
      </c>
      <c r="C2359" s="49"/>
      <c r="D2359" s="49" t="s">
        <v>1264</v>
      </c>
      <c r="E2359" s="49" t="s">
        <v>2814</v>
      </c>
      <c r="F2359" s="49" t="s">
        <v>2825</v>
      </c>
      <c r="G2359" s="49" t="s">
        <v>2776</v>
      </c>
      <c r="H2359" s="49" t="s">
        <v>2827</v>
      </c>
      <c r="I2359" s="50">
        <v>45434</v>
      </c>
      <c r="M2359" s="49" t="s">
        <v>12550</v>
      </c>
    </row>
    <row r="2360" spans="1:13" x14ac:dyDescent="0.35">
      <c r="A2360" s="49" t="s">
        <v>15199</v>
      </c>
      <c r="B2360" s="49" t="s">
        <v>12556</v>
      </c>
      <c r="C2360" s="49"/>
      <c r="D2360" s="49" t="s">
        <v>1264</v>
      </c>
      <c r="E2360" s="49" t="s">
        <v>2814</v>
      </c>
      <c r="F2360" s="49" t="s">
        <v>2825</v>
      </c>
      <c r="G2360" s="49" t="s">
        <v>2776</v>
      </c>
      <c r="H2360" s="49" t="s">
        <v>2827</v>
      </c>
      <c r="I2360" s="50">
        <v>45442</v>
      </c>
      <c r="M2360" s="49" t="s">
        <v>12550</v>
      </c>
    </row>
    <row r="2361" spans="1:13" x14ac:dyDescent="0.35">
      <c r="A2361" s="49" t="s">
        <v>14443</v>
      </c>
      <c r="B2361" s="49" t="s">
        <v>8578</v>
      </c>
      <c r="C2361" s="49" t="s">
        <v>6573</v>
      </c>
      <c r="D2361" s="49" t="s">
        <v>1264</v>
      </c>
      <c r="E2361" s="49" t="s">
        <v>2908</v>
      </c>
      <c r="F2361" s="49" t="s">
        <v>3010</v>
      </c>
      <c r="G2361" s="49" t="s">
        <v>2787</v>
      </c>
      <c r="H2361" s="49" t="s">
        <v>980</v>
      </c>
      <c r="I2361" s="50">
        <v>31563</v>
      </c>
      <c r="J2361" s="50">
        <v>31735</v>
      </c>
      <c r="K2361" s="50">
        <v>39907</v>
      </c>
      <c r="M2361" s="49" t="s">
        <v>3477</v>
      </c>
    </row>
    <row r="2362" spans="1:13" x14ac:dyDescent="0.35">
      <c r="A2362" s="49" t="s">
        <v>14272</v>
      </c>
      <c r="B2362" s="49" t="s">
        <v>6144</v>
      </c>
      <c r="C2362" s="49" t="s">
        <v>6145</v>
      </c>
      <c r="D2362" s="49" t="s">
        <v>1264</v>
      </c>
      <c r="E2362" s="49" t="s">
        <v>2785</v>
      </c>
      <c r="F2362" s="49" t="s">
        <v>2805</v>
      </c>
      <c r="G2362" s="49" t="s">
        <v>4330</v>
      </c>
      <c r="H2362" s="49" t="s">
        <v>973</v>
      </c>
      <c r="I2362" s="50">
        <v>45287</v>
      </c>
      <c r="M2362" s="49" t="s">
        <v>4892</v>
      </c>
    </row>
    <row r="2363" spans="1:13" x14ac:dyDescent="0.35">
      <c r="A2363" s="49" t="s">
        <v>14272</v>
      </c>
      <c r="B2363" s="49" t="s">
        <v>12213</v>
      </c>
      <c r="C2363" s="49" t="s">
        <v>12214</v>
      </c>
      <c r="D2363" s="49" t="s">
        <v>1264</v>
      </c>
      <c r="E2363" s="49" t="s">
        <v>2908</v>
      </c>
      <c r="F2363" s="49" t="s">
        <v>3124</v>
      </c>
      <c r="G2363" s="49" t="s">
        <v>4891</v>
      </c>
      <c r="H2363" s="49" t="s">
        <v>980</v>
      </c>
      <c r="I2363" s="50">
        <v>45357</v>
      </c>
      <c r="M2363" s="49" t="s">
        <v>12215</v>
      </c>
    </row>
    <row r="2364" spans="1:13" x14ac:dyDescent="0.35">
      <c r="A2364" s="49" t="s">
        <v>14272</v>
      </c>
      <c r="B2364" s="49" t="s">
        <v>12142</v>
      </c>
      <c r="C2364" s="49" t="s">
        <v>12143</v>
      </c>
      <c r="D2364" s="49" t="s">
        <v>1264</v>
      </c>
      <c r="E2364" s="49" t="s">
        <v>2908</v>
      </c>
      <c r="F2364" s="49" t="s">
        <v>3648</v>
      </c>
      <c r="G2364" s="49" t="s">
        <v>4891</v>
      </c>
      <c r="H2364" s="49" t="s">
        <v>980</v>
      </c>
      <c r="I2364" s="50">
        <v>45272</v>
      </c>
      <c r="M2364" s="49" t="s">
        <v>12145</v>
      </c>
    </row>
    <row r="2365" spans="1:13" x14ac:dyDescent="0.35">
      <c r="A2365" s="49" t="s">
        <v>14704</v>
      </c>
      <c r="B2365" s="49" t="s">
        <v>5512</v>
      </c>
      <c r="C2365" s="49" t="s">
        <v>5513</v>
      </c>
      <c r="D2365" s="49" t="s">
        <v>1264</v>
      </c>
      <c r="E2365" s="49" t="s">
        <v>2873</v>
      </c>
      <c r="F2365" s="49" t="s">
        <v>2792</v>
      </c>
      <c r="G2365" s="49" t="s">
        <v>2787</v>
      </c>
      <c r="H2365" s="49" t="s">
        <v>864</v>
      </c>
      <c r="I2365" s="50">
        <v>45031</v>
      </c>
      <c r="J2365" s="50">
        <v>45044</v>
      </c>
      <c r="K2365" s="50">
        <v>45409</v>
      </c>
      <c r="M2365" s="49" t="s">
        <v>5515</v>
      </c>
    </row>
    <row r="2366" spans="1:13" x14ac:dyDescent="0.35">
      <c r="A2366" s="49" t="s">
        <v>15017</v>
      </c>
      <c r="B2366" s="49" t="s">
        <v>6809</v>
      </c>
      <c r="C2366" s="49" t="s">
        <v>6810</v>
      </c>
      <c r="D2366" s="49" t="s">
        <v>1264</v>
      </c>
      <c r="E2366" s="49" t="s">
        <v>2873</v>
      </c>
      <c r="F2366" s="49" t="s">
        <v>2792</v>
      </c>
      <c r="G2366" s="49" t="s">
        <v>2901</v>
      </c>
      <c r="H2366" s="49" t="s">
        <v>3229</v>
      </c>
      <c r="I2366" s="52">
        <v>45978.556203703702</v>
      </c>
      <c r="J2366" s="50">
        <v>46014</v>
      </c>
      <c r="K2366" s="50">
        <v>46378</v>
      </c>
      <c r="M2366" s="49" t="s">
        <v>6812</v>
      </c>
    </row>
    <row r="2367" spans="1:13" x14ac:dyDescent="0.35">
      <c r="A2367" s="49" t="s">
        <v>15017</v>
      </c>
      <c r="B2367" s="49" t="s">
        <v>6841</v>
      </c>
      <c r="C2367" s="49" t="s">
        <v>6842</v>
      </c>
      <c r="D2367" s="49" t="s">
        <v>1264</v>
      </c>
      <c r="E2367" s="49" t="s">
        <v>2873</v>
      </c>
      <c r="F2367" s="49" t="s">
        <v>2792</v>
      </c>
      <c r="G2367" s="49" t="s">
        <v>2901</v>
      </c>
      <c r="H2367" s="49" t="s">
        <v>3229</v>
      </c>
      <c r="I2367" s="52">
        <v>45978.571701388901</v>
      </c>
      <c r="J2367" s="50">
        <v>46014</v>
      </c>
      <c r="K2367" s="50">
        <v>46378</v>
      </c>
      <c r="M2367" s="49" t="s">
        <v>6843</v>
      </c>
    </row>
    <row r="2368" spans="1:13" x14ac:dyDescent="0.35">
      <c r="A2368" s="49" t="s">
        <v>14789</v>
      </c>
      <c r="B2368" s="49" t="s">
        <v>12130</v>
      </c>
      <c r="C2368" s="49" t="s">
        <v>3461</v>
      </c>
      <c r="D2368" s="49" t="s">
        <v>1264</v>
      </c>
      <c r="E2368" s="49" t="s">
        <v>2873</v>
      </c>
      <c r="F2368" s="49" t="s">
        <v>2786</v>
      </c>
      <c r="G2368" s="49" t="s">
        <v>2776</v>
      </c>
      <c r="H2368" s="49" t="s">
        <v>980</v>
      </c>
      <c r="I2368" s="50">
        <v>45314</v>
      </c>
      <c r="M2368" s="49" t="s">
        <v>12132</v>
      </c>
    </row>
    <row r="2369" spans="1:13" x14ac:dyDescent="0.35">
      <c r="A2369" s="49" t="s">
        <v>14310</v>
      </c>
      <c r="B2369" s="49" t="s">
        <v>6770</v>
      </c>
      <c r="C2369" s="49"/>
      <c r="D2369" s="49" t="s">
        <v>1264</v>
      </c>
      <c r="E2369" s="49" t="s">
        <v>2873</v>
      </c>
      <c r="F2369" s="49" t="s">
        <v>2786</v>
      </c>
      <c r="G2369" s="49" t="s">
        <v>4891</v>
      </c>
      <c r="H2369" s="49" t="s">
        <v>3207</v>
      </c>
      <c r="I2369" s="52">
        <v>45732.919189814798</v>
      </c>
    </row>
    <row r="2370" spans="1:13" x14ac:dyDescent="0.35">
      <c r="A2370" s="49" t="s">
        <v>14312</v>
      </c>
      <c r="B2370" s="49" t="s">
        <v>6862</v>
      </c>
      <c r="C2370" s="49"/>
      <c r="D2370" s="49" t="s">
        <v>1264</v>
      </c>
      <c r="E2370" s="49" t="s">
        <v>2873</v>
      </c>
      <c r="F2370" s="49" t="s">
        <v>2792</v>
      </c>
      <c r="G2370" s="49" t="s">
        <v>2901</v>
      </c>
      <c r="H2370" s="49" t="s">
        <v>864</v>
      </c>
      <c r="I2370" s="50">
        <v>45825</v>
      </c>
      <c r="J2370" s="50">
        <v>45826</v>
      </c>
      <c r="K2370" s="50">
        <v>46190</v>
      </c>
      <c r="M2370" s="49" t="s">
        <v>6864</v>
      </c>
    </row>
    <row r="2371" spans="1:13" x14ac:dyDescent="0.35">
      <c r="A2371" s="49" t="s">
        <v>14260</v>
      </c>
      <c r="B2371" s="49" t="s">
        <v>5848</v>
      </c>
      <c r="C2371" s="49" t="s">
        <v>5849</v>
      </c>
      <c r="D2371" s="49" t="s">
        <v>1264</v>
      </c>
      <c r="E2371" s="49" t="s">
        <v>2785</v>
      </c>
      <c r="F2371" s="49" t="s">
        <v>2792</v>
      </c>
      <c r="G2371" s="49" t="s">
        <v>4330</v>
      </c>
      <c r="H2371" s="49" t="s">
        <v>864</v>
      </c>
      <c r="I2371" s="50">
        <v>44923</v>
      </c>
      <c r="M2371" s="49" t="s">
        <v>5851</v>
      </c>
    </row>
    <row r="2372" spans="1:13" x14ac:dyDescent="0.35">
      <c r="A2372" s="49" t="s">
        <v>14707</v>
      </c>
      <c r="B2372" s="49" t="s">
        <v>6834</v>
      </c>
      <c r="C2372" s="49" t="s">
        <v>6835</v>
      </c>
      <c r="D2372" s="49" t="s">
        <v>1264</v>
      </c>
      <c r="E2372" s="49" t="s">
        <v>2873</v>
      </c>
      <c r="F2372" s="49" t="s">
        <v>2792</v>
      </c>
      <c r="G2372" s="49" t="s">
        <v>2901</v>
      </c>
      <c r="H2372" s="49" t="s">
        <v>2806</v>
      </c>
      <c r="I2372" s="52">
        <v>45912.491759259297</v>
      </c>
      <c r="J2372" s="50">
        <v>45946</v>
      </c>
      <c r="K2372" s="50">
        <v>46310</v>
      </c>
      <c r="M2372" s="49" t="s">
        <v>6837</v>
      </c>
    </row>
    <row r="2373" spans="1:13" x14ac:dyDescent="0.35">
      <c r="A2373" s="49" t="s">
        <v>14707</v>
      </c>
      <c r="B2373" s="49" t="s">
        <v>6838</v>
      </c>
      <c r="C2373" s="49" t="s">
        <v>6839</v>
      </c>
      <c r="D2373" s="49" t="s">
        <v>1264</v>
      </c>
      <c r="E2373" s="49" t="s">
        <v>2873</v>
      </c>
      <c r="F2373" s="49" t="s">
        <v>2792</v>
      </c>
      <c r="G2373" s="49" t="s">
        <v>2901</v>
      </c>
      <c r="H2373" s="49" t="s">
        <v>2806</v>
      </c>
      <c r="I2373" s="52">
        <v>45912.587800925903</v>
      </c>
      <c r="J2373" s="50">
        <v>45946</v>
      </c>
      <c r="K2373" s="50">
        <v>46310</v>
      </c>
      <c r="M2373" s="49" t="s">
        <v>6840</v>
      </c>
    </row>
    <row r="2374" spans="1:13" x14ac:dyDescent="0.35">
      <c r="A2374" s="49" t="s">
        <v>14791</v>
      </c>
      <c r="B2374" s="49" t="s">
        <v>12308</v>
      </c>
      <c r="C2374" s="49" t="s">
        <v>12309</v>
      </c>
      <c r="D2374" s="49" t="s">
        <v>1264</v>
      </c>
      <c r="E2374" s="49" t="s">
        <v>2873</v>
      </c>
      <c r="F2374" s="49" t="s">
        <v>2786</v>
      </c>
      <c r="G2374" s="49" t="s">
        <v>2901</v>
      </c>
      <c r="H2374" s="49" t="s">
        <v>3207</v>
      </c>
      <c r="I2374" s="50">
        <v>45371</v>
      </c>
      <c r="J2374" s="50">
        <v>45372</v>
      </c>
      <c r="K2374" s="50">
        <v>45736</v>
      </c>
      <c r="M2374" s="49" t="s">
        <v>12311</v>
      </c>
    </row>
    <row r="2375" spans="1:13" x14ac:dyDescent="0.35">
      <c r="A2375" s="49" t="s">
        <v>15018</v>
      </c>
      <c r="B2375" s="49" t="s">
        <v>12860</v>
      </c>
      <c r="C2375" s="49"/>
      <c r="D2375" s="49" t="s">
        <v>1264</v>
      </c>
      <c r="E2375" s="49" t="s">
        <v>2873</v>
      </c>
      <c r="G2375" s="49" t="s">
        <v>4891</v>
      </c>
      <c r="H2375" s="49" t="s">
        <v>4225</v>
      </c>
      <c r="I2375" s="50">
        <v>45826</v>
      </c>
      <c r="M2375" s="49" t="s">
        <v>12862</v>
      </c>
    </row>
    <row r="2376" spans="1:13" x14ac:dyDescent="0.35">
      <c r="A2376" s="49" t="s">
        <v>15018</v>
      </c>
      <c r="B2376" s="49" t="s">
        <v>12863</v>
      </c>
      <c r="C2376" s="49"/>
      <c r="D2376" s="49" t="s">
        <v>1264</v>
      </c>
      <c r="E2376" s="49" t="s">
        <v>2873</v>
      </c>
      <c r="F2376" s="49" t="s">
        <v>2792</v>
      </c>
      <c r="G2376" s="49" t="s">
        <v>4891</v>
      </c>
      <c r="H2376" s="49" t="s">
        <v>4225</v>
      </c>
      <c r="I2376" s="50">
        <v>45826</v>
      </c>
      <c r="M2376" s="49" t="s">
        <v>12864</v>
      </c>
    </row>
    <row r="2377" spans="1:13" x14ac:dyDescent="0.35">
      <c r="A2377" s="49" t="s">
        <v>15018</v>
      </c>
      <c r="B2377" s="49" t="s">
        <v>12865</v>
      </c>
      <c r="C2377" s="49"/>
      <c r="D2377" s="49" t="s">
        <v>1264</v>
      </c>
      <c r="E2377" s="49" t="s">
        <v>2873</v>
      </c>
      <c r="G2377" s="49" t="s">
        <v>4891</v>
      </c>
      <c r="H2377" s="49" t="s">
        <v>4225</v>
      </c>
      <c r="I2377" s="50">
        <v>45826</v>
      </c>
      <c r="M2377" s="49" t="s">
        <v>12866</v>
      </c>
    </row>
    <row r="2378" spans="1:13" x14ac:dyDescent="0.35">
      <c r="A2378" s="49" t="s">
        <v>14790</v>
      </c>
      <c r="B2378" s="49" t="s">
        <v>12289</v>
      </c>
      <c r="C2378" s="49" t="s">
        <v>12290</v>
      </c>
      <c r="D2378" s="49" t="s">
        <v>1264</v>
      </c>
      <c r="E2378" s="49" t="s">
        <v>2873</v>
      </c>
      <c r="F2378" s="49" t="s">
        <v>2786</v>
      </c>
      <c r="G2378" s="49" t="s">
        <v>2901</v>
      </c>
      <c r="H2378" s="49" t="s">
        <v>3207</v>
      </c>
      <c r="I2378" s="50">
        <v>45365</v>
      </c>
      <c r="J2378" s="50">
        <v>45369</v>
      </c>
      <c r="K2378" s="50">
        <v>45733</v>
      </c>
      <c r="M2378" s="49" t="s">
        <v>12292</v>
      </c>
    </row>
    <row r="2379" spans="1:13" x14ac:dyDescent="0.35">
      <c r="A2379" s="49" t="s">
        <v>15019</v>
      </c>
      <c r="B2379" s="49" t="s">
        <v>6399</v>
      </c>
      <c r="C2379" s="49" t="s">
        <v>6400</v>
      </c>
      <c r="D2379" s="49" t="s">
        <v>1264</v>
      </c>
      <c r="E2379" s="49" t="s">
        <v>2785</v>
      </c>
      <c r="F2379" s="49" t="s">
        <v>2792</v>
      </c>
      <c r="G2379" s="49" t="s">
        <v>4330</v>
      </c>
      <c r="H2379" s="49" t="s">
        <v>864</v>
      </c>
      <c r="I2379" s="50">
        <v>45002</v>
      </c>
      <c r="M2379" s="49" t="s">
        <v>6402</v>
      </c>
    </row>
    <row r="2380" spans="1:13" x14ac:dyDescent="0.35">
      <c r="A2380" s="49" t="s">
        <v>14108</v>
      </c>
      <c r="B2380" s="49" t="s">
        <v>3533</v>
      </c>
      <c r="C2380" s="49" t="s">
        <v>3534</v>
      </c>
      <c r="D2380" s="49" t="s">
        <v>1264</v>
      </c>
      <c r="E2380" s="49" t="s">
        <v>2908</v>
      </c>
      <c r="F2380" s="49" t="s">
        <v>2837</v>
      </c>
      <c r="G2380" s="49" t="s">
        <v>2787</v>
      </c>
      <c r="H2380" s="49" t="s">
        <v>2827</v>
      </c>
      <c r="I2380" s="50">
        <v>42717</v>
      </c>
      <c r="J2380" s="50">
        <v>42977</v>
      </c>
      <c r="K2380" s="50">
        <v>44802</v>
      </c>
      <c r="M2380" s="49" t="s">
        <v>3536</v>
      </c>
    </row>
    <row r="2381" spans="1:13" x14ac:dyDescent="0.35">
      <c r="A2381" s="49" t="s">
        <v>14800</v>
      </c>
      <c r="B2381" s="49" t="s">
        <v>3433</v>
      </c>
      <c r="C2381" s="49" t="s">
        <v>3434</v>
      </c>
      <c r="D2381" s="49" t="s">
        <v>1264</v>
      </c>
      <c r="E2381" s="49" t="s">
        <v>3413</v>
      </c>
      <c r="F2381" s="49" t="s">
        <v>2825</v>
      </c>
      <c r="G2381" s="49" t="s">
        <v>2901</v>
      </c>
      <c r="H2381" s="49" t="s">
        <v>2827</v>
      </c>
      <c r="I2381" s="50">
        <v>42227</v>
      </c>
      <c r="J2381" s="50">
        <v>42929</v>
      </c>
      <c r="K2381" s="50">
        <v>46580</v>
      </c>
      <c r="M2381" s="49" t="s">
        <v>3436</v>
      </c>
    </row>
    <row r="2382" spans="1:13" x14ac:dyDescent="0.35">
      <c r="A2382" s="49" t="s">
        <v>15420</v>
      </c>
      <c r="B2382" s="49" t="s">
        <v>5680</v>
      </c>
      <c r="C2382" s="49" t="s">
        <v>5681</v>
      </c>
      <c r="D2382" s="49" t="s">
        <v>1264</v>
      </c>
      <c r="E2382" s="49" t="s">
        <v>2814</v>
      </c>
      <c r="F2382" s="49" t="s">
        <v>3124</v>
      </c>
      <c r="G2382" s="49" t="s">
        <v>2787</v>
      </c>
      <c r="H2382" s="49" t="s">
        <v>980</v>
      </c>
      <c r="I2382" s="50">
        <v>45120</v>
      </c>
      <c r="J2382" s="50">
        <v>45142</v>
      </c>
      <c r="K2382" s="50">
        <v>45325</v>
      </c>
      <c r="M2382" s="49" t="s">
        <v>5683</v>
      </c>
    </row>
    <row r="2383" spans="1:13" x14ac:dyDescent="0.35">
      <c r="A2383" s="49" t="s">
        <v>15420</v>
      </c>
      <c r="B2383" s="49" t="s">
        <v>11954</v>
      </c>
      <c r="C2383" s="49" t="s">
        <v>11955</v>
      </c>
      <c r="D2383" s="49" t="s">
        <v>1264</v>
      </c>
      <c r="E2383" s="49" t="s">
        <v>2986</v>
      </c>
      <c r="F2383" s="49" t="s">
        <v>2825</v>
      </c>
      <c r="G2383" s="49" t="s">
        <v>2776</v>
      </c>
      <c r="H2383" s="49" t="s">
        <v>2827</v>
      </c>
      <c r="I2383" s="50">
        <v>45250</v>
      </c>
      <c r="M2383" s="49" t="s">
        <v>11957</v>
      </c>
    </row>
    <row r="2384" spans="1:13" x14ac:dyDescent="0.35">
      <c r="A2384" s="49" t="s">
        <v>15420</v>
      </c>
      <c r="B2384" s="49" t="s">
        <v>12340</v>
      </c>
      <c r="C2384" s="49" t="s">
        <v>3768</v>
      </c>
      <c r="D2384" s="49" t="s">
        <v>1264</v>
      </c>
      <c r="E2384" s="49" t="s">
        <v>3443</v>
      </c>
      <c r="F2384" s="49" t="s">
        <v>3124</v>
      </c>
      <c r="G2384" s="49" t="s">
        <v>4891</v>
      </c>
      <c r="H2384" s="49" t="s">
        <v>980</v>
      </c>
      <c r="I2384" s="50">
        <v>45378</v>
      </c>
    </row>
    <row r="2385" spans="1:13" x14ac:dyDescent="0.35">
      <c r="A2385" s="49" t="s">
        <v>10256</v>
      </c>
      <c r="B2385" s="49" t="s">
        <v>10255</v>
      </c>
      <c r="C2385" s="49"/>
      <c r="D2385" s="49" t="s">
        <v>1264</v>
      </c>
      <c r="E2385" s="49" t="s">
        <v>2814</v>
      </c>
      <c r="F2385" s="49" t="s">
        <v>2825</v>
      </c>
      <c r="G2385" s="49" t="s">
        <v>2776</v>
      </c>
      <c r="H2385" s="49" t="s">
        <v>2827</v>
      </c>
      <c r="I2385" s="50">
        <v>42461</v>
      </c>
      <c r="M2385" s="49" t="s">
        <v>3470</v>
      </c>
    </row>
    <row r="2386" spans="1:13" x14ac:dyDescent="0.35">
      <c r="A2386" s="49" t="s">
        <v>10256</v>
      </c>
      <c r="B2386" s="49" t="s">
        <v>13653</v>
      </c>
      <c r="C2386" s="49" t="s">
        <v>13654</v>
      </c>
      <c r="D2386" s="49" t="s">
        <v>1264</v>
      </c>
      <c r="E2386" s="49" t="s">
        <v>2986</v>
      </c>
      <c r="F2386" s="49" t="s">
        <v>2825</v>
      </c>
      <c r="G2386" s="49" t="s">
        <v>2787</v>
      </c>
      <c r="H2386" s="49" t="s">
        <v>2827</v>
      </c>
      <c r="I2386" s="50">
        <v>42814</v>
      </c>
      <c r="M2386" s="49" t="s">
        <v>3270</v>
      </c>
    </row>
    <row r="2387" spans="1:13" x14ac:dyDescent="0.35">
      <c r="A2387" s="49" t="s">
        <v>14376</v>
      </c>
      <c r="B2387" s="49" t="s">
        <v>7805</v>
      </c>
      <c r="C2387" s="49" t="s">
        <v>3784</v>
      </c>
      <c r="D2387" s="49" t="s">
        <v>1264</v>
      </c>
      <c r="E2387" s="49" t="s">
        <v>2774</v>
      </c>
      <c r="F2387" s="49" t="s">
        <v>3598</v>
      </c>
      <c r="G2387" s="49" t="s">
        <v>2975</v>
      </c>
      <c r="H2387" s="49" t="s">
        <v>2827</v>
      </c>
      <c r="I2387" s="50">
        <v>38980</v>
      </c>
      <c r="J2387" s="50">
        <v>39163</v>
      </c>
      <c r="K2387" s="50">
        <v>42541</v>
      </c>
      <c r="M2387" s="49" t="s">
        <v>7807</v>
      </c>
    </row>
    <row r="2388" spans="1:13" x14ac:dyDescent="0.35">
      <c r="A2388" s="49" t="s">
        <v>14765</v>
      </c>
      <c r="B2388" s="49" t="s">
        <v>9845</v>
      </c>
      <c r="C2388" s="49"/>
      <c r="D2388" s="49" t="s">
        <v>1264</v>
      </c>
      <c r="E2388" s="49" t="s">
        <v>2785</v>
      </c>
      <c r="F2388" s="49" t="s">
        <v>2792</v>
      </c>
      <c r="G2388" s="49" t="s">
        <v>2776</v>
      </c>
      <c r="H2388" s="49" t="s">
        <v>8</v>
      </c>
      <c r="I2388" s="50">
        <v>42068</v>
      </c>
      <c r="M2388" s="49" t="s">
        <v>7804</v>
      </c>
    </row>
    <row r="2389" spans="1:13" x14ac:dyDescent="0.35">
      <c r="A2389" s="49" t="s">
        <v>14177</v>
      </c>
      <c r="B2389" s="49" t="s">
        <v>4292</v>
      </c>
      <c r="C2389" s="49" t="s">
        <v>4293</v>
      </c>
      <c r="D2389" s="49" t="s">
        <v>1264</v>
      </c>
      <c r="E2389" s="49" t="s">
        <v>2785</v>
      </c>
      <c r="F2389" s="49" t="s">
        <v>2786</v>
      </c>
      <c r="G2389" s="49" t="s">
        <v>2787</v>
      </c>
      <c r="H2389" s="49" t="s">
        <v>980</v>
      </c>
      <c r="I2389" s="50">
        <v>43804</v>
      </c>
      <c r="J2389" s="50">
        <v>43881</v>
      </c>
      <c r="K2389" s="50">
        <v>45511</v>
      </c>
      <c r="M2389" s="49" t="s">
        <v>4295</v>
      </c>
    </row>
    <row r="2390" spans="1:13" x14ac:dyDescent="0.35">
      <c r="A2390" s="49" t="s">
        <v>14762</v>
      </c>
      <c r="B2390" s="49" t="s">
        <v>9827</v>
      </c>
      <c r="C2390" s="49"/>
      <c r="D2390" s="49" t="s">
        <v>1264</v>
      </c>
      <c r="E2390" s="49" t="s">
        <v>2785</v>
      </c>
      <c r="F2390" s="49" t="s">
        <v>2792</v>
      </c>
      <c r="G2390" s="49" t="s">
        <v>2776</v>
      </c>
      <c r="H2390" s="49" t="s">
        <v>8</v>
      </c>
      <c r="I2390" s="50">
        <v>42528</v>
      </c>
      <c r="M2390" s="49" t="s">
        <v>3444</v>
      </c>
    </row>
    <row r="2391" spans="1:13" x14ac:dyDescent="0.35">
      <c r="A2391" s="49" t="s">
        <v>14347</v>
      </c>
      <c r="B2391" s="49" t="s">
        <v>7422</v>
      </c>
      <c r="C2391" s="49" t="s">
        <v>2867</v>
      </c>
      <c r="D2391" s="49" t="s">
        <v>1264</v>
      </c>
      <c r="E2391" s="49" t="s">
        <v>2785</v>
      </c>
      <c r="F2391" s="49" t="s">
        <v>2792</v>
      </c>
      <c r="G2391" s="49" t="s">
        <v>2787</v>
      </c>
      <c r="H2391" s="49" t="s">
        <v>8</v>
      </c>
      <c r="I2391" s="50">
        <v>42366</v>
      </c>
      <c r="J2391" s="50">
        <v>42527</v>
      </c>
      <c r="K2391" s="50">
        <v>42709</v>
      </c>
      <c r="M2391" s="49" t="s">
        <v>7424</v>
      </c>
    </row>
    <row r="2392" spans="1:13" x14ac:dyDescent="0.35">
      <c r="A2392" s="49" t="s">
        <v>260</v>
      </c>
      <c r="B2392" s="49" t="s">
        <v>10154</v>
      </c>
      <c r="C2392" s="49" t="s">
        <v>10155</v>
      </c>
      <c r="D2392" s="49" t="s">
        <v>1264</v>
      </c>
      <c r="E2392" s="49" t="s">
        <v>2814</v>
      </c>
      <c r="F2392" s="49" t="s">
        <v>2825</v>
      </c>
      <c r="G2392" s="49" t="s">
        <v>2776</v>
      </c>
      <c r="H2392" s="49" t="s">
        <v>2827</v>
      </c>
      <c r="I2392" s="50">
        <v>42669</v>
      </c>
      <c r="M2392" s="49" t="s">
        <v>3470</v>
      </c>
    </row>
    <row r="2393" spans="1:13" x14ac:dyDescent="0.35">
      <c r="A2393" s="49" t="s">
        <v>10386</v>
      </c>
      <c r="B2393" s="49" t="s">
        <v>10385</v>
      </c>
      <c r="C2393" s="49"/>
      <c r="D2393" s="49" t="s">
        <v>1264</v>
      </c>
      <c r="E2393" s="49" t="s">
        <v>2814</v>
      </c>
      <c r="F2393" s="49" t="s">
        <v>2825</v>
      </c>
      <c r="G2393" s="49" t="s">
        <v>2776</v>
      </c>
      <c r="H2393" s="49" t="s">
        <v>2827</v>
      </c>
      <c r="I2393" s="50">
        <v>42751</v>
      </c>
      <c r="M2393" s="49" t="s">
        <v>3470</v>
      </c>
    </row>
    <row r="2394" spans="1:13" x14ac:dyDescent="0.35">
      <c r="A2394" s="49" t="s">
        <v>14773</v>
      </c>
      <c r="B2394" s="49" t="s">
        <v>10182</v>
      </c>
      <c r="C2394" s="49"/>
      <c r="D2394" s="49" t="s">
        <v>1264</v>
      </c>
      <c r="E2394" s="49" t="s">
        <v>2814</v>
      </c>
      <c r="F2394" s="49" t="s">
        <v>2825</v>
      </c>
      <c r="G2394" s="49" t="s">
        <v>2776</v>
      </c>
      <c r="H2394" s="49" t="s">
        <v>2827</v>
      </c>
      <c r="I2394" s="50">
        <v>42304</v>
      </c>
      <c r="M2394" s="49" t="s">
        <v>3470</v>
      </c>
    </row>
    <row r="2395" spans="1:13" x14ac:dyDescent="0.35">
      <c r="A2395" s="49" t="s">
        <v>14564</v>
      </c>
      <c r="B2395" s="49" t="s">
        <v>10486</v>
      </c>
      <c r="C2395" s="49"/>
      <c r="D2395" s="49" t="s">
        <v>1264</v>
      </c>
      <c r="E2395" s="49" t="s">
        <v>2814</v>
      </c>
      <c r="F2395" s="49" t="s">
        <v>2825</v>
      </c>
      <c r="G2395" s="49" t="s">
        <v>2776</v>
      </c>
      <c r="H2395" s="49" t="s">
        <v>2827</v>
      </c>
      <c r="I2395" s="50">
        <v>42650</v>
      </c>
      <c r="M2395" s="49" t="s">
        <v>10488</v>
      </c>
    </row>
    <row r="2396" spans="1:13" x14ac:dyDescent="0.35">
      <c r="A2396" s="49" t="s">
        <v>14735</v>
      </c>
      <c r="B2396" s="49" t="s">
        <v>7921</v>
      </c>
      <c r="C2396" s="49" t="s">
        <v>3008</v>
      </c>
      <c r="D2396" s="49" t="s">
        <v>1264</v>
      </c>
      <c r="E2396" s="49" t="s">
        <v>2908</v>
      </c>
      <c r="F2396" s="49" t="s">
        <v>2939</v>
      </c>
      <c r="G2396" s="49" t="s">
        <v>2787</v>
      </c>
      <c r="H2396" s="49" t="s">
        <v>980</v>
      </c>
      <c r="I2396" s="50">
        <v>39352</v>
      </c>
      <c r="J2396" s="50">
        <v>38082</v>
      </c>
      <c r="K2396" s="50">
        <v>41818</v>
      </c>
      <c r="M2396" s="49" t="s">
        <v>7923</v>
      </c>
    </row>
    <row r="2397" spans="1:13" x14ac:dyDescent="0.35">
      <c r="A2397" s="49" t="s">
        <v>14735</v>
      </c>
      <c r="B2397" s="49" t="s">
        <v>8115</v>
      </c>
      <c r="C2397" s="49" t="s">
        <v>8116</v>
      </c>
      <c r="D2397" s="49" t="s">
        <v>1264</v>
      </c>
      <c r="E2397" s="49" t="s">
        <v>2908</v>
      </c>
      <c r="F2397" s="49" t="s">
        <v>2939</v>
      </c>
      <c r="G2397" s="49" t="s">
        <v>2826</v>
      </c>
      <c r="H2397" s="49" t="s">
        <v>980</v>
      </c>
      <c r="I2397" s="50">
        <v>37743</v>
      </c>
      <c r="J2397" s="50">
        <v>36039</v>
      </c>
      <c r="K2397" s="50">
        <v>38562</v>
      </c>
      <c r="M2397" s="49" t="s">
        <v>3477</v>
      </c>
    </row>
    <row r="2398" spans="1:13" x14ac:dyDescent="0.35">
      <c r="A2398" s="49" t="s">
        <v>14739</v>
      </c>
      <c r="B2398" s="49" t="s">
        <v>8162</v>
      </c>
      <c r="C2398" s="49" t="s">
        <v>8163</v>
      </c>
      <c r="D2398" s="49" t="s">
        <v>1264</v>
      </c>
      <c r="E2398" s="49" t="s">
        <v>2908</v>
      </c>
      <c r="F2398" s="49" t="s">
        <v>2939</v>
      </c>
      <c r="G2398" s="49" t="s">
        <v>2787</v>
      </c>
      <c r="H2398" s="49" t="s">
        <v>8</v>
      </c>
      <c r="I2398" s="50">
        <v>28333</v>
      </c>
      <c r="J2398" s="50">
        <v>29046</v>
      </c>
      <c r="K2398" s="50">
        <v>37864</v>
      </c>
      <c r="M2398" s="49" t="s">
        <v>8165</v>
      </c>
    </row>
    <row r="2399" spans="1:13" x14ac:dyDescent="0.35">
      <c r="A2399" s="49" t="s">
        <v>14777</v>
      </c>
      <c r="B2399" s="49" t="s">
        <v>10504</v>
      </c>
      <c r="C2399" s="49"/>
      <c r="D2399" s="49" t="s">
        <v>1264</v>
      </c>
      <c r="E2399" s="49" t="s">
        <v>2814</v>
      </c>
      <c r="F2399" s="49" t="s">
        <v>2825</v>
      </c>
      <c r="G2399" s="49" t="s">
        <v>2776</v>
      </c>
      <c r="H2399" s="49" t="s">
        <v>2827</v>
      </c>
      <c r="I2399" s="50">
        <v>42094</v>
      </c>
      <c r="M2399" s="49" t="s">
        <v>7750</v>
      </c>
    </row>
    <row r="2400" spans="1:13" x14ac:dyDescent="0.35">
      <c r="A2400" s="49" t="s">
        <v>14354</v>
      </c>
      <c r="B2400" s="49" t="s">
        <v>7477</v>
      </c>
      <c r="C2400" s="49" t="s">
        <v>7478</v>
      </c>
      <c r="D2400" s="49" t="s">
        <v>1264</v>
      </c>
      <c r="E2400" s="49" t="s">
        <v>2785</v>
      </c>
      <c r="F2400" s="49" t="s">
        <v>2792</v>
      </c>
      <c r="G2400" s="49" t="s">
        <v>2787</v>
      </c>
      <c r="H2400" s="49" t="s">
        <v>980</v>
      </c>
      <c r="I2400" s="50">
        <v>42424</v>
      </c>
      <c r="J2400" s="50">
        <v>42537</v>
      </c>
      <c r="K2400" s="50">
        <v>42719</v>
      </c>
      <c r="M2400" s="49" t="s">
        <v>7480</v>
      </c>
    </row>
    <row r="2401" spans="1:13" x14ac:dyDescent="0.35">
      <c r="A2401" s="49" t="s">
        <v>14354</v>
      </c>
      <c r="B2401" s="49" t="s">
        <v>8774</v>
      </c>
      <c r="C2401" s="49" t="s">
        <v>8775</v>
      </c>
      <c r="D2401" s="49" t="s">
        <v>1264</v>
      </c>
      <c r="E2401" s="49" t="s">
        <v>2785</v>
      </c>
      <c r="F2401" s="49" t="s">
        <v>2792</v>
      </c>
      <c r="G2401" s="49" t="s">
        <v>2787</v>
      </c>
      <c r="H2401" s="49" t="s">
        <v>980</v>
      </c>
      <c r="I2401" s="50">
        <v>41323</v>
      </c>
      <c r="J2401" s="50">
        <v>41324</v>
      </c>
      <c r="K2401" s="50">
        <v>41504</v>
      </c>
      <c r="M2401" s="49" t="s">
        <v>8777</v>
      </c>
    </row>
    <row r="2402" spans="1:13" x14ac:dyDescent="0.35">
      <c r="A2402" s="49" t="s">
        <v>14523</v>
      </c>
      <c r="B2402" s="49" t="s">
        <v>9708</v>
      </c>
      <c r="C2402" s="49" t="s">
        <v>9709</v>
      </c>
      <c r="D2402" s="49" t="s">
        <v>1264</v>
      </c>
      <c r="E2402" s="49" t="s">
        <v>2785</v>
      </c>
      <c r="F2402" s="49" t="s">
        <v>2792</v>
      </c>
      <c r="G2402" s="49" t="s">
        <v>2776</v>
      </c>
      <c r="H2402" s="49" t="s">
        <v>8</v>
      </c>
      <c r="I2402" s="50">
        <v>41216</v>
      </c>
      <c r="M2402" s="49" t="s">
        <v>9711</v>
      </c>
    </row>
    <row r="2403" spans="1:13" x14ac:dyDescent="0.35">
      <c r="A2403" s="49" t="s">
        <v>14786</v>
      </c>
      <c r="B2403" s="49" t="s">
        <v>10787</v>
      </c>
      <c r="C2403" s="49"/>
      <c r="D2403" s="49" t="s">
        <v>1264</v>
      </c>
      <c r="E2403" s="49" t="s">
        <v>2908</v>
      </c>
      <c r="F2403" s="49" t="s">
        <v>2837</v>
      </c>
      <c r="G2403" s="49" t="s">
        <v>2776</v>
      </c>
      <c r="H2403" s="49" t="s">
        <v>2827</v>
      </c>
      <c r="I2403" s="50">
        <v>41573</v>
      </c>
      <c r="M2403" s="49" t="s">
        <v>3876</v>
      </c>
    </row>
    <row r="2404" spans="1:13" x14ac:dyDescent="0.35">
      <c r="A2404" s="49" t="s">
        <v>15664</v>
      </c>
      <c r="B2404" s="49" t="s">
        <v>6586</v>
      </c>
      <c r="C2404" s="49" t="s">
        <v>6587</v>
      </c>
      <c r="D2404" s="49" t="s">
        <v>1264</v>
      </c>
      <c r="E2404" s="49" t="s">
        <v>2785</v>
      </c>
      <c r="F2404" s="49" t="s">
        <v>2792</v>
      </c>
      <c r="G2404" s="49" t="s">
        <v>4330</v>
      </c>
      <c r="H2404" s="49" t="s">
        <v>864</v>
      </c>
      <c r="I2404" s="50">
        <v>45373</v>
      </c>
      <c r="M2404" s="49" t="s">
        <v>6589</v>
      </c>
    </row>
    <row r="2405" spans="1:13" x14ac:dyDescent="0.35">
      <c r="A2405" s="49" t="s">
        <v>15664</v>
      </c>
      <c r="B2405" s="49" t="s">
        <v>6888</v>
      </c>
      <c r="C2405" s="49"/>
      <c r="D2405" s="49" t="s">
        <v>1264</v>
      </c>
      <c r="E2405" s="49" t="s">
        <v>2785</v>
      </c>
      <c r="F2405" s="49" t="s">
        <v>2792</v>
      </c>
      <c r="G2405" s="49" t="s">
        <v>2901</v>
      </c>
      <c r="H2405" s="49" t="s">
        <v>864</v>
      </c>
      <c r="I2405" s="52">
        <v>46008.604363425897</v>
      </c>
      <c r="J2405" s="50">
        <v>45988</v>
      </c>
      <c r="K2405" s="50">
        <v>46352</v>
      </c>
      <c r="M2405" s="49" t="s">
        <v>6889</v>
      </c>
    </row>
    <row r="2406" spans="1:13" x14ac:dyDescent="0.35">
      <c r="A2406" s="49" t="s">
        <v>15663</v>
      </c>
      <c r="B2406" s="49" t="s">
        <v>6343</v>
      </c>
      <c r="C2406" s="49" t="s">
        <v>6344</v>
      </c>
      <c r="D2406" s="49" t="s">
        <v>1264</v>
      </c>
      <c r="E2406" s="49" t="s">
        <v>2785</v>
      </c>
      <c r="F2406" s="49" t="s">
        <v>2792</v>
      </c>
      <c r="G2406" s="49" t="s">
        <v>4330</v>
      </c>
      <c r="H2406" s="49" t="s">
        <v>4225</v>
      </c>
      <c r="I2406" s="50">
        <v>45337</v>
      </c>
      <c r="M2406" s="49" t="s">
        <v>6346</v>
      </c>
    </row>
    <row r="2407" spans="1:13" x14ac:dyDescent="0.35">
      <c r="A2407" s="49" t="s">
        <v>14562</v>
      </c>
      <c r="B2407" s="49" t="s">
        <v>8986</v>
      </c>
      <c r="C2407" s="49" t="s">
        <v>2863</v>
      </c>
      <c r="D2407" s="49" t="s">
        <v>1264</v>
      </c>
      <c r="E2407" s="49" t="s">
        <v>2814</v>
      </c>
      <c r="F2407" s="49" t="s">
        <v>2825</v>
      </c>
      <c r="G2407" s="49" t="s">
        <v>2787</v>
      </c>
      <c r="H2407" s="49" t="s">
        <v>2827</v>
      </c>
      <c r="I2407" s="50">
        <v>42165</v>
      </c>
      <c r="J2407" s="50">
        <v>42207</v>
      </c>
      <c r="K2407" s="50">
        <v>42390</v>
      </c>
      <c r="M2407" s="49" t="s">
        <v>3470</v>
      </c>
    </row>
    <row r="2408" spans="1:13" x14ac:dyDescent="0.35">
      <c r="A2408" s="49" t="s">
        <v>14562</v>
      </c>
      <c r="B2408" s="49" t="s">
        <v>10410</v>
      </c>
      <c r="C2408" s="49"/>
      <c r="D2408" s="49" t="s">
        <v>1264</v>
      </c>
      <c r="E2408" s="49" t="s">
        <v>2814</v>
      </c>
      <c r="F2408" s="49" t="s">
        <v>2825</v>
      </c>
      <c r="G2408" s="49" t="s">
        <v>2776</v>
      </c>
      <c r="H2408" s="49" t="s">
        <v>2827</v>
      </c>
      <c r="I2408" s="50">
        <v>42442</v>
      </c>
      <c r="M2408" s="49" t="s">
        <v>3470</v>
      </c>
    </row>
    <row r="2409" spans="1:13" x14ac:dyDescent="0.35">
      <c r="A2409" s="49" t="s">
        <v>10442</v>
      </c>
      <c r="B2409" s="49" t="s">
        <v>10441</v>
      </c>
      <c r="C2409" s="49"/>
      <c r="D2409" s="49" t="s">
        <v>1264</v>
      </c>
      <c r="E2409" s="49" t="s">
        <v>2814</v>
      </c>
      <c r="F2409" s="49" t="s">
        <v>2825</v>
      </c>
      <c r="G2409" s="49" t="s">
        <v>2776</v>
      </c>
      <c r="H2409" s="49" t="s">
        <v>2827</v>
      </c>
      <c r="I2409" s="50">
        <v>42346</v>
      </c>
      <c r="M2409" s="49" t="s">
        <v>3470</v>
      </c>
    </row>
    <row r="2410" spans="1:13" x14ac:dyDescent="0.35">
      <c r="A2410" s="49" t="s">
        <v>15177</v>
      </c>
      <c r="B2410" s="49" t="s">
        <v>3975</v>
      </c>
      <c r="C2410" s="49" t="s">
        <v>3976</v>
      </c>
      <c r="D2410" s="49" t="s">
        <v>1264</v>
      </c>
      <c r="E2410" s="49" t="s">
        <v>2785</v>
      </c>
      <c r="F2410" s="49" t="s">
        <v>2792</v>
      </c>
      <c r="G2410" s="49" t="s">
        <v>2787</v>
      </c>
      <c r="H2410" s="49" t="s">
        <v>980</v>
      </c>
      <c r="I2410" s="50">
        <v>43839</v>
      </c>
      <c r="J2410" s="50">
        <v>44200</v>
      </c>
      <c r="K2410" s="50">
        <v>44564</v>
      </c>
      <c r="M2410" s="49" t="s">
        <v>3978</v>
      </c>
    </row>
    <row r="2411" spans="1:13" x14ac:dyDescent="0.35">
      <c r="A2411" s="49" t="s">
        <v>15072</v>
      </c>
      <c r="B2411" s="49" t="s">
        <v>10997</v>
      </c>
      <c r="C2411" s="49" t="s">
        <v>5797</v>
      </c>
      <c r="D2411" s="49" t="s">
        <v>1264</v>
      </c>
      <c r="E2411" s="49" t="s">
        <v>2785</v>
      </c>
      <c r="F2411" s="49" t="s">
        <v>2792</v>
      </c>
      <c r="G2411" s="49" t="s">
        <v>2776</v>
      </c>
      <c r="H2411" s="49" t="s">
        <v>857</v>
      </c>
      <c r="I2411" s="50">
        <v>44517</v>
      </c>
      <c r="M2411" s="49" t="s">
        <v>10999</v>
      </c>
    </row>
    <row r="2412" spans="1:13" x14ac:dyDescent="0.35">
      <c r="A2412" s="49" t="s">
        <v>483</v>
      </c>
      <c r="B2412" s="49" t="s">
        <v>3625</v>
      </c>
      <c r="C2412" s="49" t="s">
        <v>3626</v>
      </c>
      <c r="D2412" s="49" t="s">
        <v>1264</v>
      </c>
      <c r="E2412" s="49" t="s">
        <v>2774</v>
      </c>
      <c r="F2412" s="49" t="s">
        <v>3628</v>
      </c>
      <c r="G2412" s="49" t="s">
        <v>2921</v>
      </c>
      <c r="H2412" s="49" t="s">
        <v>2827</v>
      </c>
      <c r="I2412" s="50">
        <v>43006</v>
      </c>
      <c r="J2412" s="50">
        <v>43256</v>
      </c>
      <c r="K2412" s="50">
        <v>45813</v>
      </c>
      <c r="M2412" s="49" t="s">
        <v>3629</v>
      </c>
    </row>
    <row r="2413" spans="1:13" x14ac:dyDescent="0.35">
      <c r="A2413" s="49" t="s">
        <v>10165</v>
      </c>
      <c r="B2413" s="49" t="s">
        <v>10164</v>
      </c>
      <c r="C2413" s="49" t="s">
        <v>2863</v>
      </c>
      <c r="D2413" s="49" t="s">
        <v>1264</v>
      </c>
      <c r="E2413" s="49" t="s">
        <v>2814</v>
      </c>
      <c r="F2413" s="49" t="s">
        <v>2825</v>
      </c>
      <c r="G2413" s="49" t="s">
        <v>2776</v>
      </c>
      <c r="H2413" s="49" t="s">
        <v>2827</v>
      </c>
      <c r="I2413" s="50">
        <v>42341</v>
      </c>
      <c r="M2413" s="49" t="s">
        <v>3470</v>
      </c>
    </row>
    <row r="2414" spans="1:13" x14ac:dyDescent="0.35">
      <c r="A2414" s="49" t="s">
        <v>14949</v>
      </c>
      <c r="B2414" s="49" t="s">
        <v>8674</v>
      </c>
      <c r="C2414" s="49" t="s">
        <v>8675</v>
      </c>
      <c r="D2414" s="49" t="s">
        <v>1264</v>
      </c>
      <c r="E2414" s="49" t="s">
        <v>2986</v>
      </c>
      <c r="F2414" s="49" t="s">
        <v>2825</v>
      </c>
      <c r="G2414" s="49" t="s">
        <v>2787</v>
      </c>
      <c r="H2414" s="49" t="s">
        <v>2827</v>
      </c>
      <c r="I2414" s="50">
        <v>42965</v>
      </c>
      <c r="J2414" s="50">
        <v>43096</v>
      </c>
      <c r="K2414" s="50">
        <v>44192</v>
      </c>
      <c r="M2414" s="49" t="s">
        <v>8677</v>
      </c>
    </row>
    <row r="2415" spans="1:13" x14ac:dyDescent="0.35">
      <c r="A2415" s="49" t="s">
        <v>493</v>
      </c>
      <c r="B2415" s="49" t="s">
        <v>4851</v>
      </c>
      <c r="C2415" s="49" t="s">
        <v>4852</v>
      </c>
      <c r="D2415" s="49" t="s">
        <v>1264</v>
      </c>
      <c r="E2415" s="49" t="s">
        <v>2986</v>
      </c>
      <c r="F2415" s="49" t="s">
        <v>2825</v>
      </c>
      <c r="G2415" s="49" t="s">
        <v>2901</v>
      </c>
      <c r="H2415" s="49" t="s">
        <v>2827</v>
      </c>
      <c r="I2415" s="50">
        <v>44662</v>
      </c>
      <c r="J2415" s="50">
        <v>44762</v>
      </c>
      <c r="K2415" s="50">
        <v>45857</v>
      </c>
      <c r="M2415" s="49" t="s">
        <v>4854</v>
      </c>
    </row>
    <row r="2416" spans="1:13" ht="43.5" x14ac:dyDescent="0.35">
      <c r="A2416" s="49" t="s">
        <v>493</v>
      </c>
      <c r="B2416" s="49" t="s">
        <v>5032</v>
      </c>
      <c r="C2416" s="51" t="s">
        <v>5033</v>
      </c>
      <c r="D2416" s="49" t="s">
        <v>1264</v>
      </c>
      <c r="E2416" s="49" t="s">
        <v>2774</v>
      </c>
      <c r="F2416" s="49" t="s">
        <v>2825</v>
      </c>
      <c r="G2416" s="49" t="s">
        <v>2901</v>
      </c>
      <c r="H2416" s="49" t="s">
        <v>2827</v>
      </c>
      <c r="I2416" s="50">
        <v>44789</v>
      </c>
      <c r="J2416" s="50">
        <v>45006</v>
      </c>
      <c r="K2416" s="50">
        <v>46466</v>
      </c>
      <c r="M2416" s="49" t="s">
        <v>5034</v>
      </c>
    </row>
    <row r="2417" spans="1:13" x14ac:dyDescent="0.35">
      <c r="A2417" s="49" t="s">
        <v>15421</v>
      </c>
      <c r="B2417" s="49" t="s">
        <v>13020</v>
      </c>
      <c r="C2417" s="49"/>
      <c r="D2417" s="49" t="s">
        <v>1264</v>
      </c>
      <c r="E2417" s="49" t="s">
        <v>2986</v>
      </c>
      <c r="F2417" s="49" t="s">
        <v>2825</v>
      </c>
      <c r="G2417" s="49" t="s">
        <v>4891</v>
      </c>
      <c r="H2417" s="49" t="s">
        <v>2827</v>
      </c>
      <c r="I2417" s="52">
        <v>46027.501875000002</v>
      </c>
      <c r="M2417" s="49" t="s">
        <v>13022</v>
      </c>
    </row>
    <row r="2418" spans="1:13" x14ac:dyDescent="0.35">
      <c r="A2418" s="49" t="s">
        <v>14114</v>
      </c>
      <c r="B2418" s="49" t="s">
        <v>3585</v>
      </c>
      <c r="C2418" s="49" t="s">
        <v>3586</v>
      </c>
      <c r="D2418" s="49" t="s">
        <v>1264</v>
      </c>
      <c r="E2418" s="49" t="s">
        <v>2785</v>
      </c>
      <c r="F2418" s="49" t="s">
        <v>2786</v>
      </c>
      <c r="G2418" s="49" t="s">
        <v>2787</v>
      </c>
      <c r="H2418" s="49" t="s">
        <v>980</v>
      </c>
      <c r="I2418" s="50">
        <v>42894</v>
      </c>
      <c r="J2418" s="50">
        <v>42937</v>
      </c>
      <c r="K2418" s="50">
        <v>45510</v>
      </c>
      <c r="M2418" s="49" t="s">
        <v>3588</v>
      </c>
    </row>
    <row r="2419" spans="1:13" x14ac:dyDescent="0.35">
      <c r="A2419" s="49" t="s">
        <v>14234</v>
      </c>
      <c r="B2419" s="49" t="s">
        <v>5377</v>
      </c>
      <c r="C2419" s="49"/>
      <c r="D2419" s="49" t="s">
        <v>1264</v>
      </c>
      <c r="E2419" s="49" t="s">
        <v>3443</v>
      </c>
      <c r="F2419" s="49" t="s">
        <v>3124</v>
      </c>
      <c r="G2419" s="49" t="s">
        <v>2901</v>
      </c>
      <c r="H2419" s="49" t="s">
        <v>980</v>
      </c>
      <c r="I2419" s="50">
        <v>43702</v>
      </c>
      <c r="J2419" s="50">
        <v>43854</v>
      </c>
      <c r="K2419" s="50">
        <v>45680</v>
      </c>
    </row>
    <row r="2420" spans="1:13" x14ac:dyDescent="0.35">
      <c r="A2420" s="49" t="s">
        <v>14267</v>
      </c>
      <c r="B2420" s="49" t="s">
        <v>6039</v>
      </c>
      <c r="C2420" s="49" t="s">
        <v>6040</v>
      </c>
      <c r="D2420" s="49" t="s">
        <v>1264</v>
      </c>
      <c r="E2420" s="49" t="s">
        <v>3443</v>
      </c>
      <c r="F2420" s="49" t="s">
        <v>3124</v>
      </c>
      <c r="G2420" s="49" t="s">
        <v>2901</v>
      </c>
      <c r="H2420" s="49" t="s">
        <v>980</v>
      </c>
      <c r="I2420" s="50">
        <v>45181</v>
      </c>
      <c r="J2420" s="50">
        <v>45194</v>
      </c>
      <c r="K2420" s="50">
        <v>47020</v>
      </c>
    </row>
    <row r="2421" spans="1:13" x14ac:dyDescent="0.35">
      <c r="A2421" s="49" t="s">
        <v>15073</v>
      </c>
      <c r="B2421" s="49" t="s">
        <v>3086</v>
      </c>
      <c r="C2421" s="49" t="s">
        <v>2942</v>
      </c>
      <c r="D2421" s="49" t="s">
        <v>1264</v>
      </c>
      <c r="E2421" s="49" t="s">
        <v>2908</v>
      </c>
      <c r="F2421" s="49" t="s">
        <v>2939</v>
      </c>
      <c r="G2421" s="49" t="s">
        <v>2787</v>
      </c>
      <c r="H2421" s="49" t="s">
        <v>980</v>
      </c>
      <c r="I2421" s="50">
        <v>40014</v>
      </c>
      <c r="J2421" s="50">
        <v>43515</v>
      </c>
      <c r="K2421" s="50">
        <v>45341</v>
      </c>
      <c r="M2421" s="49" t="s">
        <v>3088</v>
      </c>
    </row>
    <row r="2422" spans="1:13" x14ac:dyDescent="0.35">
      <c r="A2422" s="49" t="s">
        <v>15073</v>
      </c>
      <c r="B2422" s="49" t="s">
        <v>3089</v>
      </c>
      <c r="C2422" s="49" t="s">
        <v>3090</v>
      </c>
      <c r="D2422" s="49" t="s">
        <v>1264</v>
      </c>
      <c r="E2422" s="49" t="s">
        <v>2974</v>
      </c>
      <c r="F2422" s="49" t="s">
        <v>3091</v>
      </c>
      <c r="G2422" s="49" t="s">
        <v>2787</v>
      </c>
      <c r="H2422" s="49" t="s">
        <v>973</v>
      </c>
      <c r="I2422" s="50">
        <v>40030</v>
      </c>
      <c r="J2422" s="50">
        <v>40112</v>
      </c>
      <c r="K2422" s="50">
        <v>44494</v>
      </c>
      <c r="M2422" s="49" t="s">
        <v>3092</v>
      </c>
    </row>
    <row r="2423" spans="1:13" x14ac:dyDescent="0.35">
      <c r="A2423" s="49" t="s">
        <v>15073</v>
      </c>
      <c r="B2423" s="49" t="s">
        <v>3093</v>
      </c>
      <c r="C2423" s="49" t="s">
        <v>3094</v>
      </c>
      <c r="D2423" s="49" t="s">
        <v>1264</v>
      </c>
      <c r="E2423" s="49" t="s">
        <v>2974</v>
      </c>
      <c r="F2423" s="49" t="s">
        <v>3095</v>
      </c>
      <c r="G2423" s="49" t="s">
        <v>2787</v>
      </c>
      <c r="H2423" s="49" t="s">
        <v>973</v>
      </c>
      <c r="I2423" s="50">
        <v>40030</v>
      </c>
      <c r="J2423" s="50">
        <v>40112</v>
      </c>
      <c r="K2423" s="50">
        <v>44466</v>
      </c>
      <c r="M2423" s="49" t="s">
        <v>3096</v>
      </c>
    </row>
    <row r="2424" spans="1:13" x14ac:dyDescent="0.35">
      <c r="A2424" s="49" t="s">
        <v>15073</v>
      </c>
      <c r="B2424" s="49" t="s">
        <v>3122</v>
      </c>
      <c r="C2424" s="49" t="s">
        <v>3123</v>
      </c>
      <c r="D2424" s="49" t="s">
        <v>1264</v>
      </c>
      <c r="E2424" s="49" t="s">
        <v>2974</v>
      </c>
      <c r="F2424" s="49" t="s">
        <v>3124</v>
      </c>
      <c r="G2424" s="49" t="s">
        <v>2921</v>
      </c>
      <c r="H2424" s="49" t="s">
        <v>980</v>
      </c>
      <c r="I2424" s="50">
        <v>40262</v>
      </c>
      <c r="J2424" s="50">
        <v>43283</v>
      </c>
      <c r="K2424" s="50">
        <v>45108</v>
      </c>
      <c r="M2424" s="49" t="s">
        <v>3125</v>
      </c>
    </row>
    <row r="2425" spans="1:13" x14ac:dyDescent="0.35">
      <c r="A2425" s="49" t="s">
        <v>15073</v>
      </c>
      <c r="B2425" s="49" t="s">
        <v>3163</v>
      </c>
      <c r="C2425" s="49" t="s">
        <v>3164</v>
      </c>
      <c r="D2425" s="49" t="s">
        <v>1264</v>
      </c>
      <c r="E2425" s="49" t="s">
        <v>2774</v>
      </c>
      <c r="F2425" s="49" t="s">
        <v>2900</v>
      </c>
      <c r="G2425" s="49" t="s">
        <v>2787</v>
      </c>
      <c r="H2425" s="49" t="s">
        <v>2832</v>
      </c>
      <c r="I2425" s="50">
        <v>40728</v>
      </c>
      <c r="J2425" s="50">
        <v>43612</v>
      </c>
      <c r="K2425" s="50">
        <v>44678</v>
      </c>
      <c r="M2425" s="49" t="s">
        <v>3165</v>
      </c>
    </row>
    <row r="2426" spans="1:13" x14ac:dyDescent="0.35">
      <c r="A2426" s="49" t="s">
        <v>15073</v>
      </c>
      <c r="B2426" s="49" t="s">
        <v>3198</v>
      </c>
      <c r="C2426" s="49" t="s">
        <v>3199</v>
      </c>
      <c r="D2426" s="49" t="s">
        <v>1264</v>
      </c>
      <c r="E2426" s="49" t="s">
        <v>2974</v>
      </c>
      <c r="F2426" s="49" t="s">
        <v>2900</v>
      </c>
      <c r="G2426" s="49" t="s">
        <v>2787</v>
      </c>
      <c r="H2426" s="49" t="s">
        <v>2832</v>
      </c>
      <c r="I2426" s="50">
        <v>40918</v>
      </c>
      <c r="J2426" s="50">
        <v>40940</v>
      </c>
      <c r="K2426" s="50">
        <v>45416</v>
      </c>
      <c r="M2426" s="49" t="s">
        <v>3200</v>
      </c>
    </row>
    <row r="2427" spans="1:13" x14ac:dyDescent="0.35">
      <c r="A2427" s="49" t="s">
        <v>15073</v>
      </c>
      <c r="B2427" s="49" t="s">
        <v>3513</v>
      </c>
      <c r="C2427" s="49" t="s">
        <v>3514</v>
      </c>
      <c r="D2427" s="49" t="s">
        <v>1264</v>
      </c>
      <c r="E2427" s="49" t="s">
        <v>2774</v>
      </c>
      <c r="F2427" s="49" t="s">
        <v>3010</v>
      </c>
      <c r="G2427" s="49" t="s">
        <v>2921</v>
      </c>
      <c r="H2427" s="49" t="s">
        <v>973</v>
      </c>
      <c r="I2427" s="50">
        <v>42571</v>
      </c>
      <c r="J2427" s="50">
        <v>42635</v>
      </c>
      <c r="K2427" s="50">
        <v>44825</v>
      </c>
      <c r="M2427" s="49" t="s">
        <v>3515</v>
      </c>
    </row>
    <row r="2428" spans="1:13" x14ac:dyDescent="0.35">
      <c r="A2428" s="49" t="s">
        <v>15073</v>
      </c>
      <c r="B2428" s="49" t="s">
        <v>7014</v>
      </c>
      <c r="C2428" s="49"/>
      <c r="D2428" s="49" t="s">
        <v>1264</v>
      </c>
      <c r="E2428" s="49" t="s">
        <v>2785</v>
      </c>
      <c r="F2428" s="49" t="s">
        <v>2786</v>
      </c>
      <c r="G2428" s="49" t="s">
        <v>2776</v>
      </c>
      <c r="H2428" s="49" t="s">
        <v>980</v>
      </c>
      <c r="I2428" s="50">
        <v>41074</v>
      </c>
      <c r="M2428" s="49" t="s">
        <v>7015</v>
      </c>
    </row>
    <row r="2429" spans="1:13" x14ac:dyDescent="0.35">
      <c r="A2429" s="49" t="s">
        <v>15073</v>
      </c>
      <c r="B2429" s="49" t="s">
        <v>8096</v>
      </c>
      <c r="C2429" s="49" t="s">
        <v>8097</v>
      </c>
      <c r="D2429" s="49" t="s">
        <v>1264</v>
      </c>
      <c r="E2429" s="49" t="s">
        <v>2974</v>
      </c>
      <c r="F2429" s="49" t="s">
        <v>2900</v>
      </c>
      <c r="G2429" s="49" t="s">
        <v>2975</v>
      </c>
      <c r="H2429" s="49" t="s">
        <v>980</v>
      </c>
      <c r="I2429" s="50">
        <v>39890</v>
      </c>
      <c r="J2429" s="50">
        <v>39993</v>
      </c>
      <c r="K2429" s="50">
        <v>41088</v>
      </c>
      <c r="M2429" s="49" t="s">
        <v>8098</v>
      </c>
    </row>
    <row r="2430" spans="1:13" x14ac:dyDescent="0.35">
      <c r="A2430" s="49" t="s">
        <v>15073</v>
      </c>
      <c r="B2430" s="49" t="s">
        <v>8223</v>
      </c>
      <c r="C2430" s="49" t="s">
        <v>3063</v>
      </c>
      <c r="D2430" s="49" t="s">
        <v>1264</v>
      </c>
      <c r="E2430" s="49" t="s">
        <v>2908</v>
      </c>
      <c r="F2430" s="49" t="s">
        <v>2837</v>
      </c>
      <c r="G2430" s="49" t="s">
        <v>2826</v>
      </c>
      <c r="H2430" s="49" t="s">
        <v>980</v>
      </c>
      <c r="I2430" s="50">
        <v>39703</v>
      </c>
      <c r="J2430" s="50">
        <v>39703</v>
      </c>
      <c r="K2430" s="50">
        <v>39986</v>
      </c>
      <c r="M2430" s="49" t="s">
        <v>8224</v>
      </c>
    </row>
    <row r="2431" spans="1:13" x14ac:dyDescent="0.35">
      <c r="A2431" s="49" t="s">
        <v>15073</v>
      </c>
      <c r="B2431" s="49" t="s">
        <v>8402</v>
      </c>
      <c r="C2431" s="49" t="s">
        <v>8403</v>
      </c>
      <c r="D2431" s="49" t="s">
        <v>1264</v>
      </c>
      <c r="E2431" s="49" t="s">
        <v>2974</v>
      </c>
      <c r="F2431" s="49" t="s">
        <v>2775</v>
      </c>
      <c r="G2431" s="49" t="s">
        <v>2826</v>
      </c>
      <c r="H2431" s="49" t="s">
        <v>2827</v>
      </c>
      <c r="I2431" s="50">
        <v>39700</v>
      </c>
      <c r="J2431" s="50">
        <v>39786</v>
      </c>
      <c r="K2431" s="50">
        <v>40881</v>
      </c>
      <c r="M2431" s="49" t="s">
        <v>8404</v>
      </c>
    </row>
    <row r="2432" spans="1:13" x14ac:dyDescent="0.35">
      <c r="A2432" s="49" t="s">
        <v>15073</v>
      </c>
      <c r="B2432" s="49" t="s">
        <v>12113</v>
      </c>
      <c r="C2432" s="49"/>
      <c r="D2432" s="49" t="s">
        <v>1264</v>
      </c>
      <c r="E2432" s="49" t="s">
        <v>2908</v>
      </c>
      <c r="F2432" s="49" t="s">
        <v>2837</v>
      </c>
      <c r="G2432" s="49" t="s">
        <v>4891</v>
      </c>
      <c r="H2432" s="49" t="s">
        <v>980</v>
      </c>
      <c r="I2432" s="50">
        <v>45306</v>
      </c>
      <c r="M2432" s="49" t="s">
        <v>12114</v>
      </c>
    </row>
    <row r="2433" spans="1:13" x14ac:dyDescent="0.35">
      <c r="A2433" s="49" t="s">
        <v>15422</v>
      </c>
      <c r="B2433" s="49" t="s">
        <v>5639</v>
      </c>
      <c r="C2433" s="49" t="s">
        <v>5640</v>
      </c>
      <c r="D2433" s="49" t="s">
        <v>1264</v>
      </c>
      <c r="E2433" s="49" t="s">
        <v>2814</v>
      </c>
      <c r="F2433" s="49" t="s">
        <v>2837</v>
      </c>
      <c r="G2433" s="49" t="s">
        <v>2787</v>
      </c>
      <c r="H2433" s="49" t="s">
        <v>980</v>
      </c>
      <c r="I2433" s="50">
        <v>45077</v>
      </c>
      <c r="J2433" s="50">
        <v>45100</v>
      </c>
      <c r="K2433" s="50">
        <v>45282</v>
      </c>
      <c r="M2433" s="49" t="s">
        <v>5642</v>
      </c>
    </row>
    <row r="2434" spans="1:13" x14ac:dyDescent="0.35">
      <c r="A2434" s="49" t="s">
        <v>15422</v>
      </c>
      <c r="B2434" s="49" t="s">
        <v>5643</v>
      </c>
      <c r="C2434" s="49" t="s">
        <v>5644</v>
      </c>
      <c r="D2434" s="49" t="s">
        <v>1264</v>
      </c>
      <c r="E2434" s="49" t="s">
        <v>2814</v>
      </c>
      <c r="F2434" s="49" t="s">
        <v>2837</v>
      </c>
      <c r="G2434" s="49" t="s">
        <v>2787</v>
      </c>
      <c r="H2434" s="49" t="s">
        <v>980</v>
      </c>
      <c r="I2434" s="50">
        <v>45084</v>
      </c>
      <c r="J2434" s="50">
        <v>45100</v>
      </c>
      <c r="K2434" s="50">
        <v>45282</v>
      </c>
      <c r="M2434" s="49" t="s">
        <v>5645</v>
      </c>
    </row>
    <row r="2435" spans="1:13" x14ac:dyDescent="0.35">
      <c r="A2435" s="49" t="s">
        <v>15422</v>
      </c>
      <c r="B2435" s="49" t="s">
        <v>11403</v>
      </c>
      <c r="C2435" s="49"/>
      <c r="D2435" s="49" t="s">
        <v>1264</v>
      </c>
      <c r="E2435" s="49" t="s">
        <v>2814</v>
      </c>
      <c r="F2435" s="49" t="s">
        <v>4259</v>
      </c>
      <c r="G2435" s="49" t="s">
        <v>4891</v>
      </c>
      <c r="H2435" s="49" t="s">
        <v>980</v>
      </c>
      <c r="I2435" s="50">
        <v>45084</v>
      </c>
      <c r="M2435" s="49" t="s">
        <v>11405</v>
      </c>
    </row>
    <row r="2436" spans="1:13" x14ac:dyDescent="0.35">
      <c r="A2436" s="49" t="s">
        <v>15422</v>
      </c>
      <c r="B2436" s="49" t="s">
        <v>12148</v>
      </c>
      <c r="C2436" s="49"/>
      <c r="D2436" s="49" t="s">
        <v>1264</v>
      </c>
      <c r="E2436" s="49" t="s">
        <v>2814</v>
      </c>
      <c r="F2436" s="49" t="s">
        <v>2837</v>
      </c>
      <c r="G2436" s="49" t="s">
        <v>2826</v>
      </c>
      <c r="H2436" s="49" t="s">
        <v>980</v>
      </c>
      <c r="I2436" s="50">
        <v>45348</v>
      </c>
      <c r="M2436" s="49" t="s">
        <v>8040</v>
      </c>
    </row>
    <row r="2437" spans="1:13" x14ac:dyDescent="0.35">
      <c r="A2437" s="49" t="s">
        <v>14950</v>
      </c>
      <c r="B2437" s="49" t="s">
        <v>3830</v>
      </c>
      <c r="C2437" s="49"/>
      <c r="D2437" s="49" t="s">
        <v>1264</v>
      </c>
      <c r="E2437" s="49" t="s">
        <v>2908</v>
      </c>
      <c r="F2437" s="49" t="s">
        <v>2837</v>
      </c>
      <c r="G2437" s="49" t="s">
        <v>2921</v>
      </c>
      <c r="H2437" s="49" t="s">
        <v>980</v>
      </c>
      <c r="I2437" s="50">
        <v>43360</v>
      </c>
      <c r="J2437" s="50">
        <v>43543</v>
      </c>
      <c r="K2437" s="50">
        <v>45369</v>
      </c>
      <c r="M2437" s="49" t="s">
        <v>3832</v>
      </c>
    </row>
    <row r="2438" spans="1:13" x14ac:dyDescent="0.35">
      <c r="A2438" s="49" t="s">
        <v>14950</v>
      </c>
      <c r="B2438" s="49" t="s">
        <v>8984</v>
      </c>
      <c r="C2438" s="49"/>
      <c r="D2438" s="49" t="s">
        <v>1264</v>
      </c>
      <c r="E2438" s="49" t="s">
        <v>2814</v>
      </c>
      <c r="F2438" s="49" t="s">
        <v>8985</v>
      </c>
      <c r="G2438" s="49" t="s">
        <v>2787</v>
      </c>
      <c r="H2438" s="49" t="s">
        <v>980</v>
      </c>
      <c r="I2438" s="50">
        <v>42179</v>
      </c>
      <c r="J2438" s="50">
        <v>42202</v>
      </c>
      <c r="K2438" s="50">
        <v>42385</v>
      </c>
      <c r="M2438" s="49" t="s">
        <v>3470</v>
      </c>
    </row>
    <row r="2439" spans="1:13" x14ac:dyDescent="0.35">
      <c r="A2439" s="49" t="s">
        <v>14950</v>
      </c>
      <c r="B2439" s="49" t="s">
        <v>10135</v>
      </c>
      <c r="C2439" s="49" t="s">
        <v>10136</v>
      </c>
      <c r="D2439" s="49" t="s">
        <v>1264</v>
      </c>
      <c r="E2439" s="49" t="s">
        <v>2814</v>
      </c>
      <c r="F2439" s="49" t="s">
        <v>2825</v>
      </c>
      <c r="G2439" s="49" t="s">
        <v>2776</v>
      </c>
      <c r="H2439" s="49" t="s">
        <v>980</v>
      </c>
      <c r="I2439" s="50">
        <v>42728</v>
      </c>
      <c r="M2439" s="49" t="s">
        <v>10138</v>
      </c>
    </row>
    <row r="2440" spans="1:13" x14ac:dyDescent="0.35">
      <c r="A2440" s="49" t="s">
        <v>14950</v>
      </c>
      <c r="B2440" s="49" t="s">
        <v>10401</v>
      </c>
      <c r="C2440" s="49"/>
      <c r="D2440" s="49" t="s">
        <v>1264</v>
      </c>
      <c r="E2440" s="49" t="s">
        <v>2814</v>
      </c>
      <c r="F2440" s="49" t="s">
        <v>2837</v>
      </c>
      <c r="G2440" s="49" t="s">
        <v>2776</v>
      </c>
      <c r="H2440" s="49" t="s">
        <v>2827</v>
      </c>
      <c r="I2440" s="50">
        <v>42849</v>
      </c>
      <c r="M2440" s="49" t="s">
        <v>10402</v>
      </c>
    </row>
    <row r="2441" spans="1:13" x14ac:dyDescent="0.35">
      <c r="A2441" s="49" t="s">
        <v>14561</v>
      </c>
      <c r="B2441" s="49" t="s">
        <v>10405</v>
      </c>
      <c r="C2441" s="49" t="s">
        <v>2863</v>
      </c>
      <c r="D2441" s="49" t="s">
        <v>1264</v>
      </c>
      <c r="E2441" s="49" t="s">
        <v>2814</v>
      </c>
      <c r="G2441" s="49" t="s">
        <v>2787</v>
      </c>
      <c r="H2441" s="49" t="s">
        <v>2827</v>
      </c>
      <c r="I2441" s="50">
        <v>42041</v>
      </c>
      <c r="J2441" s="50">
        <v>42174</v>
      </c>
      <c r="K2441" s="50">
        <v>42356</v>
      </c>
      <c r="M2441" s="49" t="s">
        <v>10407</v>
      </c>
    </row>
    <row r="2442" spans="1:13" x14ac:dyDescent="0.35">
      <c r="A2442" s="49" t="s">
        <v>15200</v>
      </c>
      <c r="B2442" s="49" t="s">
        <v>5686</v>
      </c>
      <c r="C2442" s="49"/>
      <c r="D2442" s="49" t="s">
        <v>1264</v>
      </c>
      <c r="E2442" s="49" t="s">
        <v>3443</v>
      </c>
      <c r="F2442" s="49" t="s">
        <v>3124</v>
      </c>
      <c r="G2442" s="49" t="s">
        <v>2901</v>
      </c>
      <c r="H2442" s="49" t="s">
        <v>980</v>
      </c>
      <c r="I2442" s="50">
        <v>45063</v>
      </c>
      <c r="J2442" s="50">
        <v>45090</v>
      </c>
      <c r="K2442" s="50">
        <v>46916</v>
      </c>
    </row>
    <row r="2443" spans="1:13" x14ac:dyDescent="0.35">
      <c r="A2443" s="49" t="s">
        <v>10195</v>
      </c>
      <c r="B2443" s="49" t="s">
        <v>10194</v>
      </c>
      <c r="C2443" s="49"/>
      <c r="D2443" s="49" t="s">
        <v>1264</v>
      </c>
      <c r="E2443" s="49" t="s">
        <v>2814</v>
      </c>
      <c r="F2443" s="49" t="s">
        <v>2825</v>
      </c>
      <c r="G2443" s="49" t="s">
        <v>2776</v>
      </c>
      <c r="H2443" s="49" t="s">
        <v>2827</v>
      </c>
      <c r="I2443" s="50">
        <v>42381</v>
      </c>
      <c r="M2443" s="49" t="s">
        <v>10196</v>
      </c>
    </row>
    <row r="2444" spans="1:13" x14ac:dyDescent="0.35">
      <c r="A2444" s="49" t="s">
        <v>10195</v>
      </c>
      <c r="B2444" s="49" t="s">
        <v>10345</v>
      </c>
      <c r="C2444" s="49"/>
      <c r="D2444" s="49" t="s">
        <v>1264</v>
      </c>
      <c r="E2444" s="49" t="s">
        <v>2814</v>
      </c>
      <c r="F2444" s="49" t="s">
        <v>2825</v>
      </c>
      <c r="G2444" s="49" t="s">
        <v>2776</v>
      </c>
      <c r="H2444" s="49" t="s">
        <v>2827</v>
      </c>
      <c r="I2444" s="50">
        <v>42461</v>
      </c>
      <c r="M2444" s="49" t="s">
        <v>10346</v>
      </c>
    </row>
    <row r="2445" spans="1:13" x14ac:dyDescent="0.35">
      <c r="A2445" s="49" t="s">
        <v>14163</v>
      </c>
      <c r="B2445" s="49" t="s">
        <v>4163</v>
      </c>
      <c r="C2445" s="49"/>
      <c r="D2445" s="49" t="s">
        <v>1264</v>
      </c>
      <c r="E2445" s="49" t="s">
        <v>2814</v>
      </c>
      <c r="F2445" s="49" t="s">
        <v>3898</v>
      </c>
      <c r="G2445" s="49" t="s">
        <v>2787</v>
      </c>
      <c r="H2445" s="49" t="s">
        <v>2827</v>
      </c>
      <c r="I2445" s="50">
        <v>44172</v>
      </c>
      <c r="J2445" s="50">
        <v>44264</v>
      </c>
      <c r="K2445" s="50">
        <v>44447</v>
      </c>
      <c r="M2445" s="49" t="s">
        <v>4165</v>
      </c>
    </row>
    <row r="2446" spans="1:13" x14ac:dyDescent="0.35">
      <c r="A2446" s="49" t="s">
        <v>495</v>
      </c>
      <c r="B2446" s="49" t="s">
        <v>4009</v>
      </c>
      <c r="C2446" s="49" t="s">
        <v>4010</v>
      </c>
      <c r="D2446" s="49" t="s">
        <v>1264</v>
      </c>
      <c r="E2446" s="49" t="s">
        <v>2774</v>
      </c>
      <c r="F2446" s="49" t="s">
        <v>2825</v>
      </c>
      <c r="G2446" s="49" t="s">
        <v>2921</v>
      </c>
      <c r="H2446" s="49" t="s">
        <v>2827</v>
      </c>
      <c r="I2446" s="50">
        <v>43882</v>
      </c>
      <c r="J2446" s="50">
        <v>43886</v>
      </c>
      <c r="K2446" s="50">
        <v>45346</v>
      </c>
      <c r="M2446" s="49" t="s">
        <v>4012</v>
      </c>
    </row>
    <row r="2447" spans="1:13" x14ac:dyDescent="0.35">
      <c r="A2447" s="49" t="s">
        <v>10523</v>
      </c>
      <c r="B2447" s="49" t="s">
        <v>10522</v>
      </c>
      <c r="C2447" s="49"/>
      <c r="D2447" s="49" t="s">
        <v>1264</v>
      </c>
      <c r="E2447" s="49" t="s">
        <v>2814</v>
      </c>
      <c r="F2447" s="49" t="s">
        <v>2825</v>
      </c>
      <c r="G2447" s="49" t="s">
        <v>2776</v>
      </c>
      <c r="H2447" s="49" t="s">
        <v>2827</v>
      </c>
      <c r="I2447" s="50">
        <v>42874</v>
      </c>
      <c r="M2447" s="49" t="s">
        <v>3470</v>
      </c>
    </row>
    <row r="2448" spans="1:13" x14ac:dyDescent="0.35">
      <c r="A2448" s="49" t="s">
        <v>14172</v>
      </c>
      <c r="B2448" s="49" t="s">
        <v>4242</v>
      </c>
      <c r="C2448" s="49" t="s">
        <v>2867</v>
      </c>
      <c r="D2448" s="49" t="s">
        <v>1264</v>
      </c>
      <c r="E2448" s="49" t="s">
        <v>2785</v>
      </c>
      <c r="F2448" s="49" t="s">
        <v>2792</v>
      </c>
      <c r="G2448" s="49" t="s">
        <v>2787</v>
      </c>
      <c r="H2448" s="49" t="s">
        <v>8</v>
      </c>
      <c r="I2448" s="50">
        <v>44168</v>
      </c>
      <c r="J2448" s="50">
        <v>44328</v>
      </c>
      <c r="K2448" s="50">
        <v>45428</v>
      </c>
      <c r="M2448" s="49" t="s">
        <v>4244</v>
      </c>
    </row>
    <row r="2449" spans="1:13" x14ac:dyDescent="0.35">
      <c r="A2449" s="49" t="s">
        <v>14172</v>
      </c>
      <c r="B2449" s="49" t="s">
        <v>7616</v>
      </c>
      <c r="C2449" s="49" t="s">
        <v>2867</v>
      </c>
      <c r="D2449" s="49" t="s">
        <v>1264</v>
      </c>
      <c r="E2449" s="49" t="s">
        <v>2785</v>
      </c>
      <c r="F2449" s="49" t="s">
        <v>2792</v>
      </c>
      <c r="G2449" s="49" t="s">
        <v>2787</v>
      </c>
      <c r="H2449" s="49" t="s">
        <v>8</v>
      </c>
      <c r="I2449" s="50">
        <v>42954</v>
      </c>
      <c r="J2449" s="50">
        <v>43468</v>
      </c>
      <c r="K2449" s="50">
        <v>43648</v>
      </c>
      <c r="M2449" s="49" t="s">
        <v>7617</v>
      </c>
    </row>
    <row r="2450" spans="1:13" x14ac:dyDescent="0.35">
      <c r="A2450" s="49" t="s">
        <v>14172</v>
      </c>
      <c r="B2450" s="49" t="s">
        <v>7675</v>
      </c>
      <c r="C2450" s="49" t="s">
        <v>2867</v>
      </c>
      <c r="D2450" s="49" t="s">
        <v>1264</v>
      </c>
      <c r="E2450" s="49" t="s">
        <v>2785</v>
      </c>
      <c r="F2450" s="49" t="s">
        <v>2792</v>
      </c>
      <c r="G2450" s="49" t="s">
        <v>2787</v>
      </c>
      <c r="H2450" s="49" t="s">
        <v>8</v>
      </c>
      <c r="I2450" s="50">
        <v>42413</v>
      </c>
      <c r="J2450" s="50">
        <v>42641</v>
      </c>
      <c r="K2450" s="50">
        <v>42821</v>
      </c>
      <c r="M2450" s="49" t="s">
        <v>7676</v>
      </c>
    </row>
    <row r="2451" spans="1:13" x14ac:dyDescent="0.35">
      <c r="A2451" s="49" t="s">
        <v>14172</v>
      </c>
      <c r="B2451" s="49" t="s">
        <v>8817</v>
      </c>
      <c r="C2451" s="49" t="s">
        <v>5355</v>
      </c>
      <c r="D2451" s="49" t="s">
        <v>1264</v>
      </c>
      <c r="E2451" s="49" t="s">
        <v>2785</v>
      </c>
      <c r="F2451" s="49" t="s">
        <v>2792</v>
      </c>
      <c r="G2451" s="49" t="s">
        <v>2787</v>
      </c>
      <c r="H2451" s="49" t="s">
        <v>8</v>
      </c>
      <c r="I2451" s="50">
        <v>41705</v>
      </c>
      <c r="J2451" s="50">
        <v>41345</v>
      </c>
      <c r="K2451" s="50">
        <v>41942</v>
      </c>
      <c r="M2451" s="49" t="s">
        <v>8818</v>
      </c>
    </row>
    <row r="2452" spans="1:13" x14ac:dyDescent="0.35">
      <c r="A2452" s="49" t="s">
        <v>14951</v>
      </c>
      <c r="B2452" s="49" t="s">
        <v>13559</v>
      </c>
      <c r="C2452" s="49"/>
      <c r="D2452" s="49" t="s">
        <v>1264</v>
      </c>
      <c r="E2452" s="49" t="s">
        <v>2986</v>
      </c>
      <c r="F2452" s="49" t="s">
        <v>2825</v>
      </c>
      <c r="G2452" s="49" t="s">
        <v>4891</v>
      </c>
      <c r="H2452" s="49" t="s">
        <v>2827</v>
      </c>
      <c r="I2452" s="52">
        <v>46141.489745370403</v>
      </c>
      <c r="M2452" s="49" t="s">
        <v>13561</v>
      </c>
    </row>
    <row r="2453" spans="1:13" x14ac:dyDescent="0.35">
      <c r="A2453" s="49" t="s">
        <v>14727</v>
      </c>
      <c r="B2453" s="49" t="s">
        <v>7778</v>
      </c>
      <c r="C2453" s="49" t="s">
        <v>7779</v>
      </c>
      <c r="D2453" s="49" t="s">
        <v>1264</v>
      </c>
      <c r="E2453" s="49" t="s">
        <v>2785</v>
      </c>
      <c r="F2453" s="49" t="s">
        <v>2792</v>
      </c>
      <c r="G2453" s="49" t="s">
        <v>2787</v>
      </c>
      <c r="H2453" s="49" t="s">
        <v>8</v>
      </c>
      <c r="I2453" s="50">
        <v>41613</v>
      </c>
      <c r="J2453" s="50">
        <v>41617</v>
      </c>
      <c r="K2453" s="50">
        <v>44333</v>
      </c>
      <c r="M2453" s="49" t="s">
        <v>7781</v>
      </c>
    </row>
    <row r="2454" spans="1:13" x14ac:dyDescent="0.35">
      <c r="A2454" s="49" t="s">
        <v>14727</v>
      </c>
      <c r="B2454" s="49" t="s">
        <v>8823</v>
      </c>
      <c r="C2454" s="49" t="s">
        <v>8824</v>
      </c>
      <c r="D2454" s="49" t="s">
        <v>1264</v>
      </c>
      <c r="E2454" s="49" t="s">
        <v>2785</v>
      </c>
      <c r="F2454" s="49" t="s">
        <v>2792</v>
      </c>
      <c r="G2454" s="49" t="s">
        <v>2826</v>
      </c>
      <c r="H2454" s="49" t="s">
        <v>8</v>
      </c>
      <c r="I2454" s="50">
        <v>41057</v>
      </c>
      <c r="J2454" s="50">
        <v>41102</v>
      </c>
      <c r="K2454" s="50">
        <v>41531</v>
      </c>
      <c r="M2454" s="49" t="s">
        <v>8825</v>
      </c>
    </row>
    <row r="2455" spans="1:13" x14ac:dyDescent="0.35">
      <c r="A2455" s="49" t="s">
        <v>14391</v>
      </c>
      <c r="B2455" s="49" t="s">
        <v>7957</v>
      </c>
      <c r="C2455" s="49" t="s">
        <v>7958</v>
      </c>
      <c r="D2455" s="49" t="s">
        <v>1264</v>
      </c>
      <c r="E2455" s="49" t="s">
        <v>2974</v>
      </c>
      <c r="F2455" s="49" t="s">
        <v>2900</v>
      </c>
      <c r="G2455" s="49" t="s">
        <v>2975</v>
      </c>
      <c r="H2455" s="49" t="s">
        <v>980</v>
      </c>
      <c r="I2455" s="50">
        <v>39720</v>
      </c>
      <c r="J2455" s="50">
        <v>39905</v>
      </c>
      <c r="K2455" s="50">
        <v>41919</v>
      </c>
      <c r="M2455" s="49" t="s">
        <v>7960</v>
      </c>
    </row>
    <row r="2456" spans="1:13" x14ac:dyDescent="0.35">
      <c r="A2456" s="49" t="s">
        <v>15665</v>
      </c>
      <c r="B2456" s="49" t="s">
        <v>6336</v>
      </c>
      <c r="C2456" s="49" t="s">
        <v>3354</v>
      </c>
      <c r="D2456" s="49" t="s">
        <v>1264</v>
      </c>
      <c r="E2456" s="49" t="s">
        <v>2908</v>
      </c>
      <c r="F2456" s="49" t="s">
        <v>2837</v>
      </c>
      <c r="G2456" s="49" t="s">
        <v>4330</v>
      </c>
      <c r="H2456" s="49" t="s">
        <v>980</v>
      </c>
      <c r="I2456" s="50">
        <v>45324</v>
      </c>
      <c r="M2456" s="49" t="s">
        <v>6338</v>
      </c>
    </row>
    <row r="2457" spans="1:13" x14ac:dyDescent="0.35">
      <c r="A2457" s="49" t="s">
        <v>14382</v>
      </c>
      <c r="B2457" s="49" t="s">
        <v>7863</v>
      </c>
      <c r="C2457" s="49" t="s">
        <v>7864</v>
      </c>
      <c r="D2457" s="49" t="s">
        <v>1264</v>
      </c>
      <c r="E2457" s="49" t="s">
        <v>2774</v>
      </c>
      <c r="F2457" s="49" t="s">
        <v>3598</v>
      </c>
      <c r="G2457" s="49" t="s">
        <v>2826</v>
      </c>
      <c r="H2457" s="49" t="s">
        <v>973</v>
      </c>
      <c r="I2457" s="50">
        <v>39482</v>
      </c>
      <c r="J2457" s="50">
        <v>39535</v>
      </c>
      <c r="K2457" s="50">
        <v>40629</v>
      </c>
      <c r="M2457" s="49" t="s">
        <v>7866</v>
      </c>
    </row>
    <row r="2458" spans="1:13" x14ac:dyDescent="0.35">
      <c r="A2458" s="49" t="s">
        <v>1032</v>
      </c>
      <c r="B2458" s="49" t="s">
        <v>4543</v>
      </c>
      <c r="C2458" s="49" t="s">
        <v>4544</v>
      </c>
      <c r="D2458" s="49" t="s">
        <v>1264</v>
      </c>
      <c r="E2458" s="49" t="s">
        <v>2785</v>
      </c>
      <c r="F2458" s="49" t="s">
        <v>2786</v>
      </c>
      <c r="G2458" s="49" t="s">
        <v>2787</v>
      </c>
      <c r="H2458" s="49" t="s">
        <v>980</v>
      </c>
      <c r="I2458" s="50">
        <v>44468</v>
      </c>
      <c r="J2458" s="50">
        <v>44550</v>
      </c>
      <c r="K2458" s="50">
        <v>45428</v>
      </c>
      <c r="M2458" s="49" t="s">
        <v>4546</v>
      </c>
    </row>
    <row r="2459" spans="1:13" x14ac:dyDescent="0.35">
      <c r="A2459" s="49" t="s">
        <v>15201</v>
      </c>
      <c r="B2459" s="49" t="s">
        <v>6751</v>
      </c>
      <c r="C2459" s="49"/>
      <c r="D2459" s="49" t="s">
        <v>1264</v>
      </c>
      <c r="E2459" s="49" t="s">
        <v>2785</v>
      </c>
      <c r="F2459" s="49" t="s">
        <v>2786</v>
      </c>
      <c r="G2459" s="49" t="s">
        <v>4891</v>
      </c>
      <c r="H2459" s="49" t="s">
        <v>8</v>
      </c>
      <c r="I2459" s="52">
        <v>45841.707974536999</v>
      </c>
      <c r="M2459" s="49" t="s">
        <v>6753</v>
      </c>
    </row>
    <row r="2460" spans="1:13" x14ac:dyDescent="0.35">
      <c r="A2460" s="49" t="s">
        <v>14165</v>
      </c>
      <c r="B2460" s="49" t="s">
        <v>4189</v>
      </c>
      <c r="C2460" s="49" t="s">
        <v>4190</v>
      </c>
      <c r="D2460" s="49" t="s">
        <v>1264</v>
      </c>
      <c r="E2460" s="49" t="s">
        <v>2814</v>
      </c>
      <c r="F2460" s="49" t="s">
        <v>4192</v>
      </c>
      <c r="G2460" s="49" t="s">
        <v>2787</v>
      </c>
      <c r="H2460" s="49" t="s">
        <v>980</v>
      </c>
      <c r="I2460" s="50">
        <v>44229</v>
      </c>
      <c r="J2460" s="50">
        <v>44250</v>
      </c>
      <c r="K2460" s="50">
        <v>44430</v>
      </c>
      <c r="M2460" s="49" t="s">
        <v>4193</v>
      </c>
    </row>
    <row r="2461" spans="1:13" x14ac:dyDescent="0.35">
      <c r="A2461" s="49" t="s">
        <v>15202</v>
      </c>
      <c r="B2461" s="49" t="s">
        <v>10477</v>
      </c>
      <c r="C2461" s="49"/>
      <c r="D2461" s="49" t="s">
        <v>1264</v>
      </c>
      <c r="E2461" s="49" t="s">
        <v>2814</v>
      </c>
      <c r="F2461" s="49" t="s">
        <v>2825</v>
      </c>
      <c r="G2461" s="49" t="s">
        <v>2776</v>
      </c>
      <c r="H2461" s="49" t="s">
        <v>2827</v>
      </c>
      <c r="I2461" s="50">
        <v>43503</v>
      </c>
      <c r="M2461" s="49" t="s">
        <v>10479</v>
      </c>
    </row>
    <row r="2462" spans="1:13" x14ac:dyDescent="0.35">
      <c r="A2462" s="49" t="s">
        <v>15202</v>
      </c>
      <c r="B2462" s="49" t="s">
        <v>13704</v>
      </c>
      <c r="C2462" s="49" t="s">
        <v>13705</v>
      </c>
      <c r="D2462" s="49" t="s">
        <v>1264</v>
      </c>
      <c r="E2462" s="49" t="s">
        <v>2986</v>
      </c>
      <c r="F2462" s="49" t="s">
        <v>2825</v>
      </c>
      <c r="G2462" s="49" t="s">
        <v>2776</v>
      </c>
      <c r="H2462" s="49" t="s">
        <v>2827</v>
      </c>
      <c r="I2462" s="50">
        <v>43353</v>
      </c>
      <c r="M2462" s="49" t="s">
        <v>3270</v>
      </c>
    </row>
    <row r="2463" spans="1:13" x14ac:dyDescent="0.35">
      <c r="A2463" s="49" t="s">
        <v>15423</v>
      </c>
      <c r="B2463" s="49" t="s">
        <v>11642</v>
      </c>
      <c r="C2463" s="49" t="s">
        <v>10206</v>
      </c>
      <c r="D2463" s="49" t="s">
        <v>1264</v>
      </c>
      <c r="E2463" s="49" t="s">
        <v>2785</v>
      </c>
      <c r="F2463" s="49" t="s">
        <v>4048</v>
      </c>
      <c r="G2463" s="49" t="s">
        <v>2776</v>
      </c>
      <c r="H2463" s="49" t="s">
        <v>2827</v>
      </c>
      <c r="I2463" s="50">
        <v>45069</v>
      </c>
      <c r="M2463" s="49" t="s">
        <v>11644</v>
      </c>
    </row>
    <row r="2464" spans="1:13" x14ac:dyDescent="0.35">
      <c r="A2464" s="49" t="s">
        <v>14287</v>
      </c>
      <c r="B2464" s="49" t="s">
        <v>6385</v>
      </c>
      <c r="C2464" s="49" t="s">
        <v>5800</v>
      </c>
      <c r="D2464" s="49" t="s">
        <v>1264</v>
      </c>
      <c r="E2464" s="49" t="s">
        <v>2785</v>
      </c>
      <c r="F2464" s="49" t="s">
        <v>2786</v>
      </c>
      <c r="G2464" s="49" t="s">
        <v>4330</v>
      </c>
      <c r="H2464" s="49" t="s">
        <v>980</v>
      </c>
      <c r="I2464" s="50">
        <v>45342</v>
      </c>
      <c r="M2464" s="49" t="s">
        <v>6387</v>
      </c>
    </row>
    <row r="2465" spans="1:13" x14ac:dyDescent="0.35">
      <c r="A2465" s="49" t="s">
        <v>15020</v>
      </c>
      <c r="B2465" s="49" t="s">
        <v>5282</v>
      </c>
      <c r="C2465" s="49"/>
      <c r="D2465" s="49" t="s">
        <v>1264</v>
      </c>
      <c r="E2465" s="49" t="s">
        <v>3443</v>
      </c>
      <c r="F2465" s="49" t="s">
        <v>3124</v>
      </c>
      <c r="G2465" s="49" t="s">
        <v>2901</v>
      </c>
      <c r="H2465" s="49" t="s">
        <v>980</v>
      </c>
      <c r="I2465" s="50">
        <v>44898</v>
      </c>
      <c r="J2465" s="50">
        <v>44930</v>
      </c>
      <c r="K2465" s="50">
        <v>46755</v>
      </c>
    </row>
    <row r="2466" spans="1:13" x14ac:dyDescent="0.35">
      <c r="A2466" s="49" t="s">
        <v>15424</v>
      </c>
      <c r="B2466" s="49" t="s">
        <v>7428</v>
      </c>
      <c r="C2466" s="49" t="s">
        <v>3586</v>
      </c>
      <c r="D2466" s="49" t="s">
        <v>1264</v>
      </c>
      <c r="E2466" s="49" t="s">
        <v>2785</v>
      </c>
      <c r="F2466" s="49" t="s">
        <v>2786</v>
      </c>
      <c r="G2466" s="49" t="s">
        <v>2787</v>
      </c>
      <c r="H2466" s="49" t="s">
        <v>980</v>
      </c>
      <c r="I2466" s="50">
        <v>43028</v>
      </c>
      <c r="J2466" s="50">
        <v>43256</v>
      </c>
      <c r="K2466" s="50">
        <v>43438</v>
      </c>
      <c r="M2466" s="49" t="s">
        <v>7430</v>
      </c>
    </row>
    <row r="2467" spans="1:13" x14ac:dyDescent="0.35">
      <c r="A2467" s="49" t="s">
        <v>15424</v>
      </c>
      <c r="B2467" s="49" t="s">
        <v>9515</v>
      </c>
      <c r="C2467" s="49"/>
      <c r="D2467" s="49" t="s">
        <v>1264</v>
      </c>
      <c r="E2467" s="49" t="s">
        <v>2785</v>
      </c>
      <c r="F2467" s="49" t="s">
        <v>2786</v>
      </c>
      <c r="G2467" s="49" t="s">
        <v>2776</v>
      </c>
      <c r="H2467" s="49" t="s">
        <v>980</v>
      </c>
      <c r="I2467" s="50">
        <v>42836</v>
      </c>
      <c r="M2467" s="49" t="s">
        <v>9516</v>
      </c>
    </row>
    <row r="2468" spans="1:13" x14ac:dyDescent="0.35">
      <c r="A2468" s="49" t="s">
        <v>14719</v>
      </c>
      <c r="B2468" s="49" t="s">
        <v>7410</v>
      </c>
      <c r="C2468" s="49" t="s">
        <v>7411</v>
      </c>
      <c r="D2468" s="49" t="s">
        <v>1264</v>
      </c>
      <c r="E2468" s="49" t="s">
        <v>2785</v>
      </c>
      <c r="F2468" s="49" t="s">
        <v>2792</v>
      </c>
      <c r="G2468" s="49" t="s">
        <v>2787</v>
      </c>
      <c r="H2468" s="49" t="s">
        <v>980</v>
      </c>
      <c r="I2468" s="50">
        <v>41066</v>
      </c>
      <c r="J2468" s="50">
        <v>42226</v>
      </c>
      <c r="K2468" s="50">
        <v>42409</v>
      </c>
      <c r="M2468" s="49" t="s">
        <v>7413</v>
      </c>
    </row>
    <row r="2469" spans="1:13" x14ac:dyDescent="0.35">
      <c r="A2469" s="49" t="s">
        <v>15021</v>
      </c>
      <c r="B2469" s="49" t="s">
        <v>5306</v>
      </c>
      <c r="C2469" s="49"/>
      <c r="D2469" s="49" t="s">
        <v>1264</v>
      </c>
      <c r="E2469" s="49" t="s">
        <v>2974</v>
      </c>
      <c r="F2469" s="49" t="s">
        <v>2825</v>
      </c>
      <c r="G2469" s="49" t="s">
        <v>2901</v>
      </c>
      <c r="H2469" s="49" t="s">
        <v>2827</v>
      </c>
      <c r="I2469" s="50">
        <v>44817</v>
      </c>
      <c r="J2469" s="50">
        <v>44820</v>
      </c>
      <c r="K2469" s="50">
        <v>46645</v>
      </c>
      <c r="M2469" s="49" t="s">
        <v>5308</v>
      </c>
    </row>
    <row r="2470" spans="1:13" x14ac:dyDescent="0.35">
      <c r="A2470" s="49" t="s">
        <v>15021</v>
      </c>
      <c r="B2470" s="49" t="s">
        <v>6322</v>
      </c>
      <c r="C2470" s="49"/>
      <c r="D2470" s="49" t="s">
        <v>1264</v>
      </c>
      <c r="E2470" s="49" t="s">
        <v>2986</v>
      </c>
      <c r="F2470" s="49" t="s">
        <v>2825</v>
      </c>
      <c r="G2470" s="49" t="s">
        <v>4330</v>
      </c>
      <c r="H2470" s="49" t="s">
        <v>2827</v>
      </c>
      <c r="I2470" s="50">
        <v>44941</v>
      </c>
      <c r="M2470" s="49" t="s">
        <v>6323</v>
      </c>
    </row>
    <row r="2471" spans="1:13" x14ac:dyDescent="0.35">
      <c r="A2471" s="49" t="s">
        <v>15021</v>
      </c>
      <c r="B2471" s="49" t="s">
        <v>11658</v>
      </c>
      <c r="C2471" s="49"/>
      <c r="D2471" s="49" t="s">
        <v>1264</v>
      </c>
      <c r="E2471" s="49" t="s">
        <v>2986</v>
      </c>
      <c r="F2471" s="49" t="s">
        <v>2825</v>
      </c>
      <c r="G2471" s="49" t="s">
        <v>2776</v>
      </c>
      <c r="H2471" s="49" t="s">
        <v>2827</v>
      </c>
      <c r="I2471" s="50">
        <v>45224</v>
      </c>
      <c r="M2471" s="49" t="s">
        <v>6209</v>
      </c>
    </row>
    <row r="2472" spans="1:13" x14ac:dyDescent="0.35">
      <c r="A2472" s="49" t="s">
        <v>15021</v>
      </c>
      <c r="B2472" s="49" t="s">
        <v>11846</v>
      </c>
      <c r="C2472" s="49" t="s">
        <v>4809</v>
      </c>
      <c r="D2472" s="49" t="s">
        <v>1264</v>
      </c>
      <c r="E2472" s="49" t="s">
        <v>2986</v>
      </c>
      <c r="F2472" s="49" t="s">
        <v>2825</v>
      </c>
      <c r="G2472" s="49" t="s">
        <v>4891</v>
      </c>
      <c r="H2472" s="49" t="s">
        <v>973</v>
      </c>
      <c r="I2472" s="50">
        <v>45271</v>
      </c>
      <c r="M2472" s="49" t="s">
        <v>11847</v>
      </c>
    </row>
    <row r="2473" spans="1:13" x14ac:dyDescent="0.35">
      <c r="A2473" s="49" t="s">
        <v>15021</v>
      </c>
      <c r="B2473" s="49" t="s">
        <v>11851</v>
      </c>
      <c r="C2473" s="49" t="s">
        <v>4817</v>
      </c>
      <c r="D2473" s="49" t="s">
        <v>1264</v>
      </c>
      <c r="E2473" s="49" t="s">
        <v>2986</v>
      </c>
      <c r="F2473" s="49" t="s">
        <v>2825</v>
      </c>
      <c r="G2473" s="49" t="s">
        <v>4891</v>
      </c>
      <c r="H2473" s="49" t="s">
        <v>973</v>
      </c>
      <c r="I2473" s="50">
        <v>45271</v>
      </c>
      <c r="M2473" s="49" t="s">
        <v>11852</v>
      </c>
    </row>
    <row r="2474" spans="1:13" x14ac:dyDescent="0.35">
      <c r="A2474" s="49" t="s">
        <v>14536</v>
      </c>
      <c r="B2474" s="49" t="s">
        <v>9908</v>
      </c>
      <c r="C2474" s="49" t="s">
        <v>949</v>
      </c>
      <c r="D2474" s="49" t="s">
        <v>1264</v>
      </c>
      <c r="E2474" s="49" t="s">
        <v>7057</v>
      </c>
      <c r="F2474" s="49" t="s">
        <v>2825</v>
      </c>
      <c r="G2474" s="49" t="s">
        <v>2776</v>
      </c>
      <c r="H2474" s="49" t="s">
        <v>2827</v>
      </c>
      <c r="I2474" s="50">
        <v>42644</v>
      </c>
      <c r="M2474" s="49" t="s">
        <v>3270</v>
      </c>
    </row>
    <row r="2475" spans="1:13" x14ac:dyDescent="0.35">
      <c r="A2475" s="49" t="s">
        <v>15022</v>
      </c>
      <c r="B2475" s="49" t="s">
        <v>5379</v>
      </c>
      <c r="C2475" s="49" t="s">
        <v>3962</v>
      </c>
      <c r="D2475" s="49" t="s">
        <v>1264</v>
      </c>
      <c r="E2475" s="49" t="s">
        <v>2785</v>
      </c>
      <c r="F2475" s="49" t="s">
        <v>2792</v>
      </c>
      <c r="G2475" s="49" t="s">
        <v>2787</v>
      </c>
      <c r="H2475" s="49" t="s">
        <v>980</v>
      </c>
      <c r="I2475" s="50">
        <v>44242</v>
      </c>
      <c r="K2475" s="50">
        <v>45510</v>
      </c>
      <c r="M2475" s="49" t="s">
        <v>5381</v>
      </c>
    </row>
    <row r="2476" spans="1:13" x14ac:dyDescent="0.35">
      <c r="A2476" s="49" t="s">
        <v>15022</v>
      </c>
      <c r="B2476" s="49" t="s">
        <v>9489</v>
      </c>
      <c r="C2476" s="49"/>
      <c r="D2476" s="49" t="s">
        <v>1264</v>
      </c>
      <c r="E2476" s="49" t="s">
        <v>2785</v>
      </c>
      <c r="F2476" s="49" t="s">
        <v>2792</v>
      </c>
      <c r="G2476" s="49" t="s">
        <v>2776</v>
      </c>
      <c r="H2476" s="49" t="s">
        <v>980</v>
      </c>
      <c r="I2476" s="50">
        <v>43727</v>
      </c>
      <c r="M2476" s="49" t="s">
        <v>9490</v>
      </c>
    </row>
    <row r="2477" spans="1:13" x14ac:dyDescent="0.35">
      <c r="A2477" s="49" t="s">
        <v>15022</v>
      </c>
      <c r="B2477" s="49" t="s">
        <v>10900</v>
      </c>
      <c r="C2477" s="49"/>
      <c r="D2477" s="49" t="s">
        <v>1264</v>
      </c>
      <c r="E2477" s="49" t="s">
        <v>2785</v>
      </c>
      <c r="F2477" s="49" t="s">
        <v>2792</v>
      </c>
      <c r="G2477" s="49" t="s">
        <v>2776</v>
      </c>
      <c r="H2477" s="49" t="s">
        <v>980</v>
      </c>
      <c r="I2477" s="50">
        <v>44509</v>
      </c>
      <c r="M2477" s="49" t="s">
        <v>10901</v>
      </c>
    </row>
    <row r="2478" spans="1:13" x14ac:dyDescent="0.35">
      <c r="A2478" s="49" t="s">
        <v>14952</v>
      </c>
      <c r="B2478" s="49" t="s">
        <v>13076</v>
      </c>
      <c r="C2478" s="49"/>
      <c r="D2478" s="49" t="s">
        <v>1264</v>
      </c>
      <c r="E2478" s="49" t="s">
        <v>2785</v>
      </c>
      <c r="F2478" s="49" t="s">
        <v>2792</v>
      </c>
      <c r="G2478" s="49" t="s">
        <v>4891</v>
      </c>
      <c r="H2478" s="49" t="s">
        <v>3207</v>
      </c>
      <c r="I2478" s="52">
        <v>46034.700405092597</v>
      </c>
      <c r="M2478" s="49" t="s">
        <v>2788</v>
      </c>
    </row>
    <row r="2479" spans="1:13" x14ac:dyDescent="0.35">
      <c r="A2479" s="49" t="s">
        <v>15023</v>
      </c>
      <c r="B2479" s="49" t="s">
        <v>12499</v>
      </c>
      <c r="C2479" s="49" t="s">
        <v>5800</v>
      </c>
      <c r="D2479" s="49" t="s">
        <v>1264</v>
      </c>
      <c r="E2479" s="49" t="s">
        <v>2785</v>
      </c>
      <c r="F2479" s="49" t="s">
        <v>2786</v>
      </c>
      <c r="G2479" s="49" t="s">
        <v>4891</v>
      </c>
      <c r="H2479" s="49" t="s">
        <v>8</v>
      </c>
      <c r="I2479" s="50">
        <v>45420</v>
      </c>
      <c r="M2479" s="49" t="s">
        <v>12501</v>
      </c>
    </row>
    <row r="2480" spans="1:13" x14ac:dyDescent="0.35">
      <c r="A2480" s="49" t="s">
        <v>15425</v>
      </c>
      <c r="B2480" s="49" t="s">
        <v>6378</v>
      </c>
      <c r="C2480" s="49" t="s">
        <v>6379</v>
      </c>
      <c r="D2480" s="49" t="s">
        <v>1264</v>
      </c>
      <c r="E2480" s="49" t="s">
        <v>2785</v>
      </c>
      <c r="F2480" s="49" t="s">
        <v>2786</v>
      </c>
      <c r="G2480" s="49" t="s">
        <v>2901</v>
      </c>
      <c r="H2480" s="49" t="s">
        <v>8</v>
      </c>
      <c r="I2480" s="50">
        <v>45337</v>
      </c>
      <c r="J2480" s="50">
        <v>45348</v>
      </c>
      <c r="K2480" s="50">
        <v>45713</v>
      </c>
      <c r="M2480" s="49" t="s">
        <v>6381</v>
      </c>
    </row>
    <row r="2481" spans="1:13" x14ac:dyDescent="0.35">
      <c r="A2481" s="49" t="s">
        <v>15425</v>
      </c>
      <c r="B2481" s="49" t="s">
        <v>12211</v>
      </c>
      <c r="C2481" s="49" t="s">
        <v>3214</v>
      </c>
      <c r="D2481" s="49" t="s">
        <v>1264</v>
      </c>
      <c r="E2481" s="49" t="s">
        <v>2785</v>
      </c>
      <c r="F2481" s="49" t="s">
        <v>2786</v>
      </c>
      <c r="G2481" s="49" t="s">
        <v>2776</v>
      </c>
      <c r="H2481" s="49" t="s">
        <v>980</v>
      </c>
      <c r="I2481" s="50">
        <v>45357</v>
      </c>
      <c r="M2481" s="49" t="s">
        <v>12212</v>
      </c>
    </row>
    <row r="2482" spans="1:13" x14ac:dyDescent="0.35">
      <c r="A2482" s="49" t="s">
        <v>14107</v>
      </c>
      <c r="B2482" s="49" t="s">
        <v>3527</v>
      </c>
      <c r="C2482" s="49" t="s">
        <v>3354</v>
      </c>
      <c r="D2482" s="49" t="s">
        <v>1264</v>
      </c>
      <c r="E2482" s="49" t="s">
        <v>2908</v>
      </c>
      <c r="F2482" s="49" t="s">
        <v>2939</v>
      </c>
      <c r="G2482" s="49" t="s">
        <v>2787</v>
      </c>
      <c r="H2482" s="49" t="s">
        <v>980</v>
      </c>
      <c r="I2482" s="50">
        <v>42641</v>
      </c>
      <c r="J2482" s="50">
        <v>42667</v>
      </c>
      <c r="K2482" s="50">
        <v>44492</v>
      </c>
      <c r="M2482" s="49" t="s">
        <v>3529</v>
      </c>
    </row>
    <row r="2483" spans="1:13" x14ac:dyDescent="0.35">
      <c r="A2483" s="49" t="s">
        <v>14953</v>
      </c>
      <c r="B2483" s="49" t="s">
        <v>11092</v>
      </c>
      <c r="C2483" s="49" t="s">
        <v>11093</v>
      </c>
      <c r="D2483" s="49" t="s">
        <v>1264</v>
      </c>
      <c r="E2483" s="49" t="s">
        <v>2986</v>
      </c>
      <c r="F2483" s="49" t="s">
        <v>2825</v>
      </c>
      <c r="G2483" s="49" t="s">
        <v>2776</v>
      </c>
      <c r="H2483" s="49" t="s">
        <v>2827</v>
      </c>
      <c r="I2483" s="50">
        <v>44764</v>
      </c>
      <c r="M2483" s="49" t="s">
        <v>11095</v>
      </c>
    </row>
    <row r="2484" spans="1:13" x14ac:dyDescent="0.35">
      <c r="A2484" s="49" t="s">
        <v>15056</v>
      </c>
      <c r="B2484" s="49" t="s">
        <v>5336</v>
      </c>
      <c r="C2484" s="49" t="s">
        <v>2849</v>
      </c>
      <c r="D2484" s="49" t="s">
        <v>1264</v>
      </c>
      <c r="E2484" s="49" t="s">
        <v>2785</v>
      </c>
      <c r="F2484" s="49" t="s">
        <v>2792</v>
      </c>
      <c r="G2484" s="49" t="s">
        <v>2787</v>
      </c>
      <c r="H2484" s="49" t="s">
        <v>980</v>
      </c>
      <c r="I2484" s="50">
        <v>44284</v>
      </c>
      <c r="J2484" s="50">
        <v>44973</v>
      </c>
      <c r="K2484" s="50">
        <v>45337</v>
      </c>
      <c r="M2484" s="49" t="s">
        <v>5338</v>
      </c>
    </row>
    <row r="2485" spans="1:13" x14ac:dyDescent="0.35">
      <c r="A2485" s="49" t="s">
        <v>15056</v>
      </c>
      <c r="B2485" s="49" t="s">
        <v>12155</v>
      </c>
      <c r="C2485" s="49" t="s">
        <v>2818</v>
      </c>
      <c r="D2485" s="49" t="s">
        <v>1264</v>
      </c>
      <c r="E2485" s="49" t="s">
        <v>2908</v>
      </c>
      <c r="F2485" s="49" t="s">
        <v>2792</v>
      </c>
      <c r="G2485" s="49" t="s">
        <v>4891</v>
      </c>
      <c r="H2485" s="49" t="s">
        <v>8</v>
      </c>
      <c r="I2485" s="50">
        <v>45348</v>
      </c>
      <c r="M2485" s="49" t="s">
        <v>12156</v>
      </c>
    </row>
    <row r="2486" spans="1:13" x14ac:dyDescent="0.35">
      <c r="A2486" s="49" t="s">
        <v>4083</v>
      </c>
      <c r="B2486" s="49" t="s">
        <v>4082</v>
      </c>
      <c r="C2486" s="49" t="s">
        <v>2884</v>
      </c>
      <c r="D2486" s="49" t="s">
        <v>1264</v>
      </c>
      <c r="E2486" s="49" t="s">
        <v>2785</v>
      </c>
      <c r="F2486" s="49" t="s">
        <v>2792</v>
      </c>
      <c r="G2486" s="49" t="s">
        <v>2787</v>
      </c>
      <c r="H2486" s="49" t="s">
        <v>8</v>
      </c>
      <c r="I2486" s="50">
        <v>44020</v>
      </c>
      <c r="J2486" s="50">
        <v>44165</v>
      </c>
      <c r="K2486" s="50">
        <v>44530</v>
      </c>
      <c r="M2486" s="49" t="s">
        <v>4084</v>
      </c>
    </row>
    <row r="2487" spans="1:13" x14ac:dyDescent="0.35">
      <c r="A2487" s="49" t="s">
        <v>14118</v>
      </c>
      <c r="B2487" s="49" t="s">
        <v>3632</v>
      </c>
      <c r="C2487" s="49" t="s">
        <v>2937</v>
      </c>
      <c r="D2487" s="49" t="s">
        <v>1264</v>
      </c>
      <c r="E2487" s="49" t="s">
        <v>2908</v>
      </c>
      <c r="F2487" s="49" t="s">
        <v>2939</v>
      </c>
      <c r="G2487" s="49" t="s">
        <v>2975</v>
      </c>
      <c r="H2487" s="49" t="s">
        <v>980</v>
      </c>
      <c r="I2487" s="50">
        <v>43026</v>
      </c>
      <c r="J2487" s="50">
        <v>43179</v>
      </c>
      <c r="K2487" s="50">
        <v>44449</v>
      </c>
      <c r="M2487" s="49" t="s">
        <v>3634</v>
      </c>
    </row>
    <row r="2488" spans="1:13" x14ac:dyDescent="0.35">
      <c r="A2488" s="49" t="s">
        <v>15426</v>
      </c>
      <c r="B2488" s="49" t="s">
        <v>5232</v>
      </c>
      <c r="C2488" s="49"/>
      <c r="D2488" s="49" t="s">
        <v>1264</v>
      </c>
      <c r="E2488" s="49" t="s">
        <v>2785</v>
      </c>
      <c r="F2488" s="49" t="s">
        <v>2805</v>
      </c>
      <c r="G2488" s="49" t="s">
        <v>2787</v>
      </c>
      <c r="H2488" s="49" t="s">
        <v>8</v>
      </c>
      <c r="I2488" s="50">
        <v>44896</v>
      </c>
      <c r="J2488" s="50">
        <v>44930</v>
      </c>
      <c r="K2488" s="50">
        <v>45294</v>
      </c>
      <c r="M2488" s="49" t="s">
        <v>5234</v>
      </c>
    </row>
    <row r="2489" spans="1:13" x14ac:dyDescent="0.35">
      <c r="A2489" s="49" t="s">
        <v>15426</v>
      </c>
      <c r="B2489" s="49" t="s">
        <v>6004</v>
      </c>
      <c r="C2489" s="49" t="s">
        <v>6005</v>
      </c>
      <c r="D2489" s="49" t="s">
        <v>1264</v>
      </c>
      <c r="E2489" s="49" t="s">
        <v>2785</v>
      </c>
      <c r="F2489" s="49" t="s">
        <v>2805</v>
      </c>
      <c r="G2489" s="49" t="s">
        <v>2787</v>
      </c>
      <c r="H2489" s="49" t="s">
        <v>973</v>
      </c>
      <c r="I2489" s="50">
        <v>45188</v>
      </c>
      <c r="J2489" s="50">
        <v>45230</v>
      </c>
      <c r="K2489" s="50">
        <v>45595</v>
      </c>
      <c r="M2489" s="49" t="s">
        <v>6006</v>
      </c>
    </row>
    <row r="2490" spans="1:13" x14ac:dyDescent="0.35">
      <c r="A2490" s="49" t="s">
        <v>15426</v>
      </c>
      <c r="B2490" s="49" t="s">
        <v>6621</v>
      </c>
      <c r="C2490" s="49"/>
      <c r="D2490" s="49" t="s">
        <v>1264</v>
      </c>
      <c r="E2490" s="49" t="s">
        <v>2986</v>
      </c>
      <c r="F2490" s="49" t="s">
        <v>2825</v>
      </c>
      <c r="G2490" s="49" t="s">
        <v>4330</v>
      </c>
      <c r="H2490" s="49" t="s">
        <v>2827</v>
      </c>
      <c r="I2490" s="50">
        <v>45328</v>
      </c>
      <c r="M2490" s="49" t="s">
        <v>6157</v>
      </c>
    </row>
    <row r="2491" spans="1:13" x14ac:dyDescent="0.35">
      <c r="A2491" s="49" t="s">
        <v>15426</v>
      </c>
      <c r="B2491" s="49" t="s">
        <v>6890</v>
      </c>
      <c r="C2491" s="49"/>
      <c r="D2491" s="49" t="s">
        <v>1264</v>
      </c>
      <c r="E2491" s="49" t="s">
        <v>2785</v>
      </c>
      <c r="F2491" s="49" t="s">
        <v>2805</v>
      </c>
      <c r="G2491" s="49" t="s">
        <v>2901</v>
      </c>
      <c r="H2491" s="49" t="s">
        <v>8</v>
      </c>
      <c r="I2491" s="52">
        <v>45989.631759259297</v>
      </c>
      <c r="J2491" s="50">
        <v>46014</v>
      </c>
      <c r="K2491" s="50">
        <v>46378</v>
      </c>
      <c r="M2491" s="49" t="s">
        <v>6891</v>
      </c>
    </row>
    <row r="2492" spans="1:13" x14ac:dyDescent="0.35">
      <c r="A2492" s="49" t="s">
        <v>15426</v>
      </c>
      <c r="B2492" s="49" t="s">
        <v>6892</v>
      </c>
      <c r="C2492" s="49"/>
      <c r="D2492" s="49" t="s">
        <v>1264</v>
      </c>
      <c r="E2492" s="49" t="s">
        <v>2785</v>
      </c>
      <c r="F2492" s="49" t="s">
        <v>2786</v>
      </c>
      <c r="G2492" s="49" t="s">
        <v>2901</v>
      </c>
      <c r="H2492" s="49" t="s">
        <v>8</v>
      </c>
      <c r="I2492" s="52">
        <v>45989.625960648104</v>
      </c>
      <c r="J2492" s="50">
        <v>46014</v>
      </c>
      <c r="K2492" s="50">
        <v>46378</v>
      </c>
      <c r="M2492" s="49" t="s">
        <v>6891</v>
      </c>
    </row>
    <row r="2493" spans="1:13" x14ac:dyDescent="0.35">
      <c r="A2493" s="49" t="s">
        <v>15426</v>
      </c>
      <c r="B2493" s="49" t="s">
        <v>11227</v>
      </c>
      <c r="C2493" s="49"/>
      <c r="D2493" s="49" t="s">
        <v>1264</v>
      </c>
      <c r="E2493" s="49" t="s">
        <v>2785</v>
      </c>
      <c r="F2493" s="49" t="s">
        <v>2805</v>
      </c>
      <c r="G2493" s="49" t="s">
        <v>2776</v>
      </c>
      <c r="H2493" s="49" t="s">
        <v>2827</v>
      </c>
      <c r="I2493" s="50">
        <v>44923</v>
      </c>
      <c r="M2493" s="49" t="s">
        <v>11228</v>
      </c>
    </row>
    <row r="2494" spans="1:13" x14ac:dyDescent="0.35">
      <c r="A2494" s="49" t="s">
        <v>15426</v>
      </c>
      <c r="B2494" s="49" t="s">
        <v>12502</v>
      </c>
      <c r="C2494" s="49" t="s">
        <v>5503</v>
      </c>
      <c r="D2494" s="49" t="s">
        <v>1264</v>
      </c>
      <c r="E2494" s="49" t="s">
        <v>2785</v>
      </c>
      <c r="F2494" s="49" t="s">
        <v>2805</v>
      </c>
      <c r="G2494" s="49" t="s">
        <v>4891</v>
      </c>
      <c r="H2494" s="49" t="s">
        <v>8</v>
      </c>
      <c r="I2494" s="50">
        <v>45422</v>
      </c>
      <c r="M2494" s="49" t="s">
        <v>12503</v>
      </c>
    </row>
    <row r="2495" spans="1:13" x14ac:dyDescent="0.35">
      <c r="A2495" s="49" t="s">
        <v>15426</v>
      </c>
      <c r="B2495" s="49" t="s">
        <v>12958</v>
      </c>
      <c r="C2495" s="49"/>
      <c r="D2495" s="49" t="s">
        <v>1264</v>
      </c>
      <c r="E2495" s="49" t="s">
        <v>2785</v>
      </c>
      <c r="F2495" s="49" t="s">
        <v>2805</v>
      </c>
      <c r="G2495" s="49" t="s">
        <v>4891</v>
      </c>
      <c r="H2495" s="49" t="s">
        <v>3717</v>
      </c>
      <c r="I2495" s="52">
        <v>45975.441215277802</v>
      </c>
      <c r="M2495" s="49" t="s">
        <v>12959</v>
      </c>
    </row>
    <row r="2496" spans="1:13" x14ac:dyDescent="0.35">
      <c r="A2496" s="49" t="s">
        <v>15426</v>
      </c>
      <c r="B2496" s="49" t="s">
        <v>13588</v>
      </c>
      <c r="C2496" s="49"/>
      <c r="D2496" s="49" t="s">
        <v>1264</v>
      </c>
      <c r="E2496" s="49" t="s">
        <v>2986</v>
      </c>
      <c r="F2496" s="49" t="s">
        <v>2825</v>
      </c>
      <c r="G2496" s="49" t="s">
        <v>4891</v>
      </c>
      <c r="H2496" s="49" t="s">
        <v>2827</v>
      </c>
      <c r="I2496" s="52">
        <v>46129.689560185201</v>
      </c>
      <c r="M2496" s="49" t="s">
        <v>6157</v>
      </c>
    </row>
    <row r="2497" spans="1:13" x14ac:dyDescent="0.35">
      <c r="A2497" s="49" t="s">
        <v>14617</v>
      </c>
      <c r="B2497" s="49" t="s">
        <v>11803</v>
      </c>
      <c r="C2497" s="49" t="s">
        <v>11804</v>
      </c>
      <c r="D2497" s="49" t="s">
        <v>1264</v>
      </c>
      <c r="E2497" s="49" t="s">
        <v>2986</v>
      </c>
      <c r="F2497" s="49" t="s">
        <v>2825</v>
      </c>
      <c r="G2497" s="49" t="s">
        <v>4891</v>
      </c>
      <c r="H2497" s="49" t="s">
        <v>2827</v>
      </c>
      <c r="I2497" s="50">
        <v>45271</v>
      </c>
      <c r="M2497" s="49" t="s">
        <v>3270</v>
      </c>
    </row>
    <row r="2498" spans="1:13" x14ac:dyDescent="0.35">
      <c r="A2498" s="49" t="s">
        <v>14617</v>
      </c>
      <c r="B2498" s="49" t="s">
        <v>12056</v>
      </c>
      <c r="C2498" s="49" t="s">
        <v>11804</v>
      </c>
      <c r="D2498" s="49" t="s">
        <v>1264</v>
      </c>
      <c r="E2498" s="49" t="s">
        <v>2986</v>
      </c>
      <c r="F2498" s="49" t="s">
        <v>2825</v>
      </c>
      <c r="G2498" s="49" t="s">
        <v>4891</v>
      </c>
      <c r="H2498" s="49" t="s">
        <v>2827</v>
      </c>
      <c r="I2498" s="50">
        <v>45302</v>
      </c>
      <c r="M2498" s="49" t="s">
        <v>12057</v>
      </c>
    </row>
    <row r="2499" spans="1:13" x14ac:dyDescent="0.35">
      <c r="A2499" s="49" t="s">
        <v>14954</v>
      </c>
      <c r="B2499" s="49" t="s">
        <v>6096</v>
      </c>
      <c r="C2499" s="49" t="s">
        <v>6097</v>
      </c>
      <c r="D2499" s="49" t="s">
        <v>1264</v>
      </c>
      <c r="E2499" s="49" t="s">
        <v>2986</v>
      </c>
      <c r="F2499" s="49" t="s">
        <v>2825</v>
      </c>
      <c r="G2499" s="49" t="s">
        <v>4330</v>
      </c>
      <c r="H2499" s="49" t="s">
        <v>2827</v>
      </c>
      <c r="I2499" s="50">
        <v>44489</v>
      </c>
      <c r="M2499" s="49" t="s">
        <v>6099</v>
      </c>
    </row>
    <row r="2500" spans="1:13" x14ac:dyDescent="0.35">
      <c r="A2500" s="49" t="s">
        <v>15427</v>
      </c>
      <c r="B2500" s="49" t="s">
        <v>5164</v>
      </c>
      <c r="C2500" s="49"/>
      <c r="D2500" s="49" t="s">
        <v>1264</v>
      </c>
      <c r="E2500" s="49" t="s">
        <v>3443</v>
      </c>
      <c r="F2500" s="49" t="s">
        <v>3124</v>
      </c>
      <c r="G2500" s="49" t="s">
        <v>2901</v>
      </c>
      <c r="H2500" s="49" t="s">
        <v>980</v>
      </c>
      <c r="I2500" s="50">
        <v>44814</v>
      </c>
      <c r="J2500" s="50">
        <v>44872</v>
      </c>
      <c r="K2500" s="50">
        <v>46697</v>
      </c>
    </row>
    <row r="2501" spans="1:13" x14ac:dyDescent="0.35">
      <c r="A2501" s="49" t="s">
        <v>15427</v>
      </c>
      <c r="B2501" s="49" t="s">
        <v>11120</v>
      </c>
      <c r="C2501" s="49"/>
      <c r="D2501" s="49" t="s">
        <v>1264</v>
      </c>
      <c r="E2501" s="49" t="s">
        <v>2986</v>
      </c>
      <c r="F2501" s="49" t="s">
        <v>2825</v>
      </c>
      <c r="G2501" s="49" t="s">
        <v>4891</v>
      </c>
      <c r="H2501" s="49" t="s">
        <v>2827</v>
      </c>
      <c r="I2501" s="50">
        <v>44816</v>
      </c>
      <c r="M2501" s="49" t="s">
        <v>11121</v>
      </c>
    </row>
    <row r="2502" spans="1:13" x14ac:dyDescent="0.35">
      <c r="A2502" s="49" t="s">
        <v>15428</v>
      </c>
      <c r="B2502" s="49" t="s">
        <v>6176</v>
      </c>
      <c r="C2502" s="49"/>
      <c r="D2502" s="49" t="s">
        <v>1264</v>
      </c>
      <c r="E2502" s="49" t="s">
        <v>3443</v>
      </c>
      <c r="F2502" s="49" t="s">
        <v>3124</v>
      </c>
      <c r="G2502" s="49" t="s">
        <v>2901</v>
      </c>
      <c r="H2502" s="49" t="s">
        <v>980</v>
      </c>
      <c r="I2502" s="50">
        <v>44809</v>
      </c>
      <c r="J2502" s="50">
        <v>44872</v>
      </c>
      <c r="K2502" s="50">
        <v>46697</v>
      </c>
    </row>
    <row r="2503" spans="1:13" x14ac:dyDescent="0.35">
      <c r="A2503" s="49" t="s">
        <v>15428</v>
      </c>
      <c r="B2503" s="49" t="s">
        <v>11824</v>
      </c>
      <c r="C2503" s="49" t="s">
        <v>11825</v>
      </c>
      <c r="D2503" s="49" t="s">
        <v>1264</v>
      </c>
      <c r="E2503" s="49" t="s">
        <v>2785</v>
      </c>
      <c r="F2503" s="49" t="s">
        <v>2805</v>
      </c>
      <c r="G2503" s="49" t="s">
        <v>4891</v>
      </c>
      <c r="H2503" s="49" t="s">
        <v>973</v>
      </c>
      <c r="I2503" s="50">
        <v>45288</v>
      </c>
      <c r="M2503" s="49" t="s">
        <v>11826</v>
      </c>
    </row>
    <row r="2504" spans="1:13" x14ac:dyDescent="0.35">
      <c r="A2504" s="49" t="s">
        <v>15428</v>
      </c>
      <c r="B2504" s="49" t="s">
        <v>11827</v>
      </c>
      <c r="C2504" s="49" t="s">
        <v>6340</v>
      </c>
      <c r="D2504" s="49" t="s">
        <v>1264</v>
      </c>
      <c r="E2504" s="49" t="s">
        <v>2785</v>
      </c>
      <c r="F2504" s="49" t="s">
        <v>2805</v>
      </c>
      <c r="G2504" s="49" t="s">
        <v>4891</v>
      </c>
      <c r="H2504" s="49" t="s">
        <v>1062</v>
      </c>
      <c r="I2504" s="50">
        <v>45288</v>
      </c>
      <c r="M2504" s="49" t="s">
        <v>11828</v>
      </c>
    </row>
    <row r="2505" spans="1:13" x14ac:dyDescent="0.35">
      <c r="A2505" s="49" t="s">
        <v>15203</v>
      </c>
      <c r="B2505" s="49" t="s">
        <v>5859</v>
      </c>
      <c r="C2505" s="49" t="s">
        <v>2849</v>
      </c>
      <c r="D2505" s="49" t="s">
        <v>1264</v>
      </c>
      <c r="E2505" s="49" t="s">
        <v>2785</v>
      </c>
      <c r="F2505" s="49" t="s">
        <v>2792</v>
      </c>
      <c r="G2505" s="49" t="s">
        <v>2776</v>
      </c>
      <c r="H2505" s="49" t="s">
        <v>980</v>
      </c>
      <c r="I2505" s="50">
        <v>44993</v>
      </c>
      <c r="M2505" s="49" t="s">
        <v>5861</v>
      </c>
    </row>
    <row r="2506" spans="1:13" x14ac:dyDescent="0.35">
      <c r="A2506" s="49" t="s">
        <v>14192</v>
      </c>
      <c r="B2506" s="49" t="s">
        <v>4554</v>
      </c>
      <c r="C2506" s="49" t="s">
        <v>4555</v>
      </c>
      <c r="D2506" s="49" t="s">
        <v>1264</v>
      </c>
      <c r="E2506" s="49" t="s">
        <v>2785</v>
      </c>
      <c r="F2506" s="49" t="s">
        <v>2792</v>
      </c>
      <c r="G2506" s="49" t="s">
        <v>2787</v>
      </c>
      <c r="H2506" s="49" t="s">
        <v>980</v>
      </c>
      <c r="I2506" s="50">
        <v>44496</v>
      </c>
      <c r="J2506" s="50">
        <v>44784</v>
      </c>
      <c r="K2506" s="50">
        <v>45428</v>
      </c>
      <c r="M2506" s="49" t="s">
        <v>4557</v>
      </c>
    </row>
    <row r="2507" spans="1:13" x14ac:dyDescent="0.35">
      <c r="A2507" s="49" t="s">
        <v>15024</v>
      </c>
      <c r="B2507" s="49" t="s">
        <v>12383</v>
      </c>
      <c r="C2507" s="49" t="s">
        <v>12384</v>
      </c>
      <c r="D2507" s="49" t="s">
        <v>1264</v>
      </c>
      <c r="E2507" s="49" t="s">
        <v>2908</v>
      </c>
      <c r="F2507" s="49" t="s">
        <v>3010</v>
      </c>
      <c r="G2507" s="49" t="s">
        <v>4891</v>
      </c>
      <c r="H2507" s="49" t="s">
        <v>980</v>
      </c>
      <c r="I2507" s="50">
        <v>45390</v>
      </c>
      <c r="M2507" s="49" t="s">
        <v>12386</v>
      </c>
    </row>
    <row r="2508" spans="1:13" x14ac:dyDescent="0.35">
      <c r="A2508" s="49" t="s">
        <v>15024</v>
      </c>
      <c r="B2508" s="49" t="s">
        <v>12755</v>
      </c>
      <c r="C2508" s="49" t="s">
        <v>3586</v>
      </c>
      <c r="D2508" s="49" t="s">
        <v>1264</v>
      </c>
      <c r="E2508" s="49" t="s">
        <v>2785</v>
      </c>
      <c r="F2508" s="49" t="s">
        <v>2786</v>
      </c>
      <c r="G2508" s="49" t="s">
        <v>2776</v>
      </c>
      <c r="H2508" s="49" t="s">
        <v>980</v>
      </c>
      <c r="I2508" s="50">
        <v>45470</v>
      </c>
      <c r="M2508" s="49" t="s">
        <v>12757</v>
      </c>
    </row>
    <row r="2509" spans="1:13" x14ac:dyDescent="0.35">
      <c r="A2509" s="49" t="s">
        <v>513</v>
      </c>
      <c r="B2509" s="49" t="s">
        <v>4672</v>
      </c>
      <c r="C2509" s="49" t="s">
        <v>4673</v>
      </c>
      <c r="D2509" s="49" t="s">
        <v>1264</v>
      </c>
      <c r="E2509" s="49" t="s">
        <v>2785</v>
      </c>
      <c r="F2509" s="49" t="s">
        <v>2786</v>
      </c>
      <c r="G2509" s="49" t="s">
        <v>2787</v>
      </c>
      <c r="H2509" s="49" t="s">
        <v>8</v>
      </c>
      <c r="I2509" s="50">
        <v>44543</v>
      </c>
      <c r="K2509" s="50">
        <v>45510</v>
      </c>
      <c r="M2509" s="49" t="s">
        <v>4675</v>
      </c>
    </row>
    <row r="2510" spans="1:13" x14ac:dyDescent="0.35">
      <c r="A2510" s="49" t="s">
        <v>14404</v>
      </c>
      <c r="B2510" s="49" t="s">
        <v>8104</v>
      </c>
      <c r="C2510" s="49" t="s">
        <v>8105</v>
      </c>
      <c r="D2510" s="49" t="s">
        <v>1264</v>
      </c>
      <c r="E2510" s="49" t="s">
        <v>2974</v>
      </c>
      <c r="F2510" s="49" t="s">
        <v>2825</v>
      </c>
      <c r="G2510" s="49" t="s">
        <v>2787</v>
      </c>
      <c r="H2510" s="49" t="s">
        <v>973</v>
      </c>
      <c r="I2510" s="50">
        <v>37636</v>
      </c>
      <c r="J2510" s="50">
        <v>38215</v>
      </c>
      <c r="K2510" s="50">
        <v>39310</v>
      </c>
      <c r="M2510" s="49" t="s">
        <v>8107</v>
      </c>
    </row>
    <row r="2511" spans="1:13" x14ac:dyDescent="0.35">
      <c r="A2511" s="49" t="s">
        <v>15429</v>
      </c>
      <c r="B2511" s="49" t="s">
        <v>5815</v>
      </c>
      <c r="C2511" s="49"/>
      <c r="D2511" s="49" t="s">
        <v>1264</v>
      </c>
      <c r="E2511" s="49" t="s">
        <v>3443</v>
      </c>
      <c r="F2511" s="49" t="s">
        <v>3124</v>
      </c>
      <c r="G2511" s="49" t="s">
        <v>4330</v>
      </c>
      <c r="H2511" s="49" t="s">
        <v>980</v>
      </c>
      <c r="I2511" s="50">
        <v>45127</v>
      </c>
    </row>
    <row r="2512" spans="1:13" x14ac:dyDescent="0.35">
      <c r="A2512" s="49" t="s">
        <v>15429</v>
      </c>
      <c r="B2512" s="49" t="s">
        <v>11476</v>
      </c>
      <c r="C2512" s="49" t="s">
        <v>3768</v>
      </c>
      <c r="D2512" s="49" t="s">
        <v>1264</v>
      </c>
      <c r="E2512" s="49" t="s">
        <v>3443</v>
      </c>
      <c r="F2512" s="49" t="s">
        <v>3124</v>
      </c>
      <c r="G2512" s="49" t="s">
        <v>4891</v>
      </c>
      <c r="H2512" s="49" t="s">
        <v>980</v>
      </c>
      <c r="I2512" s="50">
        <v>45093</v>
      </c>
    </row>
    <row r="2513" spans="1:13" x14ac:dyDescent="0.35">
      <c r="A2513" s="49" t="s">
        <v>14207</v>
      </c>
      <c r="B2513" s="49" t="s">
        <v>4869</v>
      </c>
      <c r="C2513" s="49" t="s">
        <v>4870</v>
      </c>
      <c r="D2513" s="49" t="s">
        <v>1264</v>
      </c>
      <c r="E2513" s="49" t="s">
        <v>2774</v>
      </c>
      <c r="F2513" s="49" t="s">
        <v>2825</v>
      </c>
      <c r="G2513" s="49" t="s">
        <v>2901</v>
      </c>
      <c r="H2513" s="49" t="s">
        <v>2827</v>
      </c>
      <c r="I2513" s="50">
        <v>44642</v>
      </c>
      <c r="J2513" s="50">
        <v>44719</v>
      </c>
      <c r="K2513" s="50">
        <v>46179</v>
      </c>
      <c r="M2513" s="49" t="s">
        <v>3137</v>
      </c>
    </row>
    <row r="2514" spans="1:13" x14ac:dyDescent="0.35">
      <c r="A2514" s="49" t="s">
        <v>14583</v>
      </c>
      <c r="B2514" s="49" t="s">
        <v>10766</v>
      </c>
      <c r="C2514" s="49"/>
      <c r="D2514" s="49" t="s">
        <v>1264</v>
      </c>
      <c r="E2514" s="49" t="s">
        <v>2774</v>
      </c>
      <c r="F2514" s="49" t="s">
        <v>3648</v>
      </c>
      <c r="G2514" s="49" t="s">
        <v>2776</v>
      </c>
      <c r="H2514" s="49" t="s">
        <v>3229</v>
      </c>
      <c r="I2514" s="50">
        <v>41648</v>
      </c>
      <c r="M2514" s="49" t="s">
        <v>10768</v>
      </c>
    </row>
    <row r="2515" spans="1:13" x14ac:dyDescent="0.35">
      <c r="A2515" s="49" t="s">
        <v>14504</v>
      </c>
      <c r="B2515" s="49" t="s">
        <v>9525</v>
      </c>
      <c r="C2515" s="49" t="s">
        <v>9526</v>
      </c>
      <c r="D2515" s="49" t="s">
        <v>1264</v>
      </c>
      <c r="E2515" s="49" t="s">
        <v>2785</v>
      </c>
      <c r="F2515" s="49" t="s">
        <v>2786</v>
      </c>
      <c r="G2515" s="49" t="s">
        <v>2776</v>
      </c>
      <c r="H2515" s="49" t="s">
        <v>8</v>
      </c>
      <c r="I2515" s="50">
        <v>44004</v>
      </c>
      <c r="M2515" s="49" t="s">
        <v>9528</v>
      </c>
    </row>
    <row r="2516" spans="1:13" x14ac:dyDescent="0.35">
      <c r="A2516" s="49" t="s">
        <v>14490</v>
      </c>
      <c r="B2516" s="49" t="s">
        <v>9329</v>
      </c>
      <c r="C2516" s="49"/>
      <c r="D2516" s="49" t="s">
        <v>1264</v>
      </c>
      <c r="E2516" s="49" t="s">
        <v>2785</v>
      </c>
      <c r="F2516" s="49" t="s">
        <v>2792</v>
      </c>
      <c r="G2516" s="49" t="s">
        <v>2776</v>
      </c>
      <c r="H2516" s="49" t="s">
        <v>980</v>
      </c>
      <c r="I2516" s="50">
        <v>43892</v>
      </c>
      <c r="M2516" s="49" t="s">
        <v>9331</v>
      </c>
    </row>
    <row r="2517" spans="1:13" x14ac:dyDescent="0.35">
      <c r="A2517" s="49" t="s">
        <v>14490</v>
      </c>
      <c r="B2517" s="49" t="s">
        <v>10000</v>
      </c>
      <c r="C2517" s="49"/>
      <c r="D2517" s="49" t="s">
        <v>1264</v>
      </c>
      <c r="E2517" s="49" t="s">
        <v>2785</v>
      </c>
      <c r="F2517" s="49" t="s">
        <v>2792</v>
      </c>
      <c r="G2517" s="49" t="s">
        <v>2776</v>
      </c>
      <c r="H2517" s="49" t="s">
        <v>980</v>
      </c>
      <c r="I2517" s="50">
        <v>43803</v>
      </c>
      <c r="M2517" s="49" t="s">
        <v>4283</v>
      </c>
    </row>
    <row r="2518" spans="1:13" x14ac:dyDescent="0.35">
      <c r="A2518" s="49" t="s">
        <v>14374</v>
      </c>
      <c r="B2518" s="49" t="s">
        <v>7670</v>
      </c>
      <c r="C2518" s="49" t="s">
        <v>7671</v>
      </c>
      <c r="D2518" s="49" t="s">
        <v>1264</v>
      </c>
      <c r="E2518" s="49" t="s">
        <v>2774</v>
      </c>
      <c r="F2518" s="49" t="s">
        <v>7673</v>
      </c>
      <c r="G2518" s="49" t="s">
        <v>2826</v>
      </c>
      <c r="H2518" s="49" t="s">
        <v>2827</v>
      </c>
      <c r="I2518" s="50">
        <v>40912</v>
      </c>
      <c r="J2518" s="50">
        <v>40947</v>
      </c>
      <c r="K2518" s="50">
        <v>41816</v>
      </c>
      <c r="M2518" s="49" t="s">
        <v>7674</v>
      </c>
    </row>
    <row r="2519" spans="1:13" x14ac:dyDescent="0.35">
      <c r="A2519" s="49" t="s">
        <v>14374</v>
      </c>
      <c r="B2519" s="49" t="s">
        <v>13899</v>
      </c>
      <c r="C2519" s="49" t="s">
        <v>5173</v>
      </c>
      <c r="D2519" s="49" t="s">
        <v>1264</v>
      </c>
      <c r="E2519" s="49" t="s">
        <v>2774</v>
      </c>
      <c r="F2519" s="49" t="s">
        <v>13900</v>
      </c>
      <c r="G2519" s="49" t="s">
        <v>2787</v>
      </c>
      <c r="H2519" s="49" t="s">
        <v>2827</v>
      </c>
      <c r="I2519" s="50">
        <v>42152</v>
      </c>
      <c r="M2519" s="49" t="s">
        <v>7674</v>
      </c>
    </row>
    <row r="2520" spans="1:13" x14ac:dyDescent="0.35">
      <c r="A2520" s="49" t="s">
        <v>15430</v>
      </c>
      <c r="B2520" s="49" t="s">
        <v>8684</v>
      </c>
      <c r="C2520" s="49" t="s">
        <v>8685</v>
      </c>
      <c r="D2520" s="49" t="s">
        <v>1264</v>
      </c>
      <c r="E2520" s="49" t="s">
        <v>3443</v>
      </c>
      <c r="F2520" s="49" t="s">
        <v>3124</v>
      </c>
      <c r="G2520" s="49" t="s">
        <v>2901</v>
      </c>
      <c r="H2520" s="49" t="s">
        <v>980</v>
      </c>
      <c r="I2520" s="50">
        <v>44125</v>
      </c>
      <c r="J2520" s="50">
        <v>44179</v>
      </c>
      <c r="K2520" s="50">
        <v>46004</v>
      </c>
      <c r="M2520" s="49" t="s">
        <v>8687</v>
      </c>
    </row>
    <row r="2521" spans="1:13" x14ac:dyDescent="0.35">
      <c r="A2521" s="49" t="s">
        <v>516</v>
      </c>
      <c r="B2521" s="49" t="s">
        <v>5288</v>
      </c>
      <c r="C2521" s="49" t="s">
        <v>5289</v>
      </c>
      <c r="D2521" s="49" t="s">
        <v>1264</v>
      </c>
      <c r="E2521" s="49" t="s">
        <v>2785</v>
      </c>
      <c r="F2521" s="49" t="s">
        <v>4048</v>
      </c>
      <c r="G2521" s="49" t="s">
        <v>2787</v>
      </c>
      <c r="H2521" s="49" t="s">
        <v>2827</v>
      </c>
      <c r="I2521" s="50">
        <v>44754</v>
      </c>
      <c r="K2521" s="50">
        <v>45511</v>
      </c>
      <c r="M2521" s="49" t="s">
        <v>5291</v>
      </c>
    </row>
    <row r="2522" spans="1:13" x14ac:dyDescent="0.35">
      <c r="A2522" s="49" t="s">
        <v>516</v>
      </c>
      <c r="B2522" s="49" t="s">
        <v>6796</v>
      </c>
      <c r="C2522" s="49"/>
      <c r="D2522" s="49" t="s">
        <v>1264</v>
      </c>
      <c r="E2522" s="49" t="s">
        <v>2785</v>
      </c>
      <c r="F2522" s="49" t="s">
        <v>4611</v>
      </c>
      <c r="G2522" s="49" t="s">
        <v>4891</v>
      </c>
      <c r="H2522" s="49" t="s">
        <v>980</v>
      </c>
      <c r="I2522" s="52">
        <v>45973.449664351901</v>
      </c>
      <c r="M2522" s="49" t="s">
        <v>6797</v>
      </c>
    </row>
    <row r="2523" spans="1:13" x14ac:dyDescent="0.35">
      <c r="A2523" s="49" t="s">
        <v>516</v>
      </c>
      <c r="B2523" s="49" t="s">
        <v>6816</v>
      </c>
      <c r="C2523" s="49"/>
      <c r="D2523" s="49" t="s">
        <v>1264</v>
      </c>
      <c r="E2523" s="49" t="s">
        <v>2785</v>
      </c>
      <c r="F2523" s="49" t="s">
        <v>2805</v>
      </c>
      <c r="G2523" s="49" t="s">
        <v>2901</v>
      </c>
      <c r="H2523" s="49" t="s">
        <v>864</v>
      </c>
      <c r="I2523" s="52">
        <v>46010.428263888898</v>
      </c>
      <c r="J2523" s="50">
        <v>46014</v>
      </c>
      <c r="K2523" s="50">
        <v>46378</v>
      </c>
      <c r="M2523" s="49" t="s">
        <v>6817</v>
      </c>
    </row>
    <row r="2524" spans="1:13" x14ac:dyDescent="0.35">
      <c r="A2524" s="49" t="s">
        <v>516</v>
      </c>
      <c r="B2524" s="49" t="s">
        <v>11088</v>
      </c>
      <c r="C2524" s="49" t="s">
        <v>6594</v>
      </c>
      <c r="D2524" s="49" t="s">
        <v>1264</v>
      </c>
      <c r="E2524" s="49" t="s">
        <v>2785</v>
      </c>
      <c r="F2524" s="49" t="s">
        <v>4611</v>
      </c>
      <c r="G2524" s="49" t="s">
        <v>2776</v>
      </c>
      <c r="H2524" s="49" t="s">
        <v>980</v>
      </c>
      <c r="I2524" s="50">
        <v>44768</v>
      </c>
      <c r="M2524" s="49" t="s">
        <v>11089</v>
      </c>
    </row>
    <row r="2525" spans="1:13" x14ac:dyDescent="0.35">
      <c r="A2525" s="49" t="s">
        <v>516</v>
      </c>
      <c r="B2525" s="49" t="s">
        <v>12526</v>
      </c>
      <c r="C2525" s="49" t="s">
        <v>3218</v>
      </c>
      <c r="D2525" s="49" t="s">
        <v>1264</v>
      </c>
      <c r="E2525" s="49" t="s">
        <v>2785</v>
      </c>
      <c r="F2525" s="49" t="s">
        <v>4611</v>
      </c>
      <c r="G2525" s="49" t="s">
        <v>2776</v>
      </c>
      <c r="H2525" s="49" t="s">
        <v>980</v>
      </c>
      <c r="I2525" s="50">
        <v>45428</v>
      </c>
      <c r="M2525" s="49" t="s">
        <v>12527</v>
      </c>
    </row>
    <row r="2526" spans="1:13" x14ac:dyDescent="0.35">
      <c r="A2526" s="49" t="s">
        <v>516</v>
      </c>
      <c r="B2526" s="49" t="s">
        <v>12615</v>
      </c>
      <c r="C2526" s="49" t="s">
        <v>12616</v>
      </c>
      <c r="D2526" s="49" t="s">
        <v>1264</v>
      </c>
      <c r="E2526" s="49" t="s">
        <v>2785</v>
      </c>
      <c r="F2526" s="49" t="s">
        <v>4048</v>
      </c>
      <c r="G2526" s="49" t="s">
        <v>4891</v>
      </c>
      <c r="H2526" s="49" t="s">
        <v>864</v>
      </c>
      <c r="I2526" s="50">
        <v>45482</v>
      </c>
      <c r="M2526" s="49" t="s">
        <v>12617</v>
      </c>
    </row>
    <row r="2527" spans="1:13" x14ac:dyDescent="0.35">
      <c r="A2527" s="49" t="s">
        <v>516</v>
      </c>
      <c r="B2527" s="49" t="s">
        <v>13008</v>
      </c>
      <c r="C2527" s="49"/>
      <c r="D2527" s="49" t="s">
        <v>1264</v>
      </c>
      <c r="E2527" s="49" t="s">
        <v>2785</v>
      </c>
      <c r="F2527" s="49" t="s">
        <v>2792</v>
      </c>
      <c r="G2527" s="49" t="s">
        <v>4891</v>
      </c>
      <c r="H2527" s="49" t="s">
        <v>864</v>
      </c>
      <c r="I2527" s="52">
        <v>46009.4195833333</v>
      </c>
      <c r="M2527" s="49" t="s">
        <v>13009</v>
      </c>
    </row>
    <row r="2528" spans="1:13" x14ac:dyDescent="0.35">
      <c r="A2528" s="49" t="s">
        <v>516</v>
      </c>
      <c r="B2528" s="49" t="s">
        <v>13545</v>
      </c>
      <c r="C2528" s="49"/>
      <c r="D2528" s="49" t="s">
        <v>1264</v>
      </c>
      <c r="E2528" s="49" t="s">
        <v>2785</v>
      </c>
      <c r="F2528" s="49" t="s">
        <v>4048</v>
      </c>
      <c r="G2528" s="49" t="s">
        <v>4891</v>
      </c>
      <c r="H2528" s="49" t="s">
        <v>2827</v>
      </c>
      <c r="I2528" s="52">
        <v>46160.676747685196</v>
      </c>
      <c r="M2528" s="49" t="s">
        <v>13546</v>
      </c>
    </row>
    <row r="2529" spans="1:13" x14ac:dyDescent="0.35">
      <c r="A2529" s="49" t="s">
        <v>14081</v>
      </c>
      <c r="B2529" s="49" t="s">
        <v>3110</v>
      </c>
      <c r="C2529" s="49" t="s">
        <v>3111</v>
      </c>
      <c r="D2529" s="49" t="s">
        <v>1264</v>
      </c>
      <c r="E2529" s="49" t="s">
        <v>2774</v>
      </c>
      <c r="F2529" s="49" t="s">
        <v>2825</v>
      </c>
      <c r="G2529" s="49" t="s">
        <v>2921</v>
      </c>
      <c r="H2529" s="49" t="s">
        <v>2827</v>
      </c>
      <c r="I2529" s="50">
        <v>40134</v>
      </c>
      <c r="J2529" s="50">
        <v>43500</v>
      </c>
      <c r="K2529" s="50">
        <v>44960</v>
      </c>
      <c r="M2529" s="49" t="s">
        <v>3113</v>
      </c>
    </row>
    <row r="2530" spans="1:13" x14ac:dyDescent="0.35">
      <c r="A2530" s="49" t="s">
        <v>14081</v>
      </c>
      <c r="B2530" s="49" t="s">
        <v>8177</v>
      </c>
      <c r="C2530" s="49" t="s">
        <v>8178</v>
      </c>
      <c r="D2530" s="49" t="s">
        <v>1264</v>
      </c>
      <c r="E2530" s="49" t="s">
        <v>2774</v>
      </c>
      <c r="F2530" s="49" t="s">
        <v>2825</v>
      </c>
      <c r="G2530" s="49" t="s">
        <v>2787</v>
      </c>
      <c r="H2530" s="49" t="s">
        <v>2827</v>
      </c>
      <c r="I2530" s="50">
        <v>40029</v>
      </c>
      <c r="J2530" s="50">
        <v>40038</v>
      </c>
      <c r="K2530" s="50">
        <v>44056</v>
      </c>
      <c r="M2530" s="49" t="s">
        <v>8179</v>
      </c>
    </row>
    <row r="2531" spans="1:13" x14ac:dyDescent="0.35">
      <c r="A2531" s="49" t="s">
        <v>14081</v>
      </c>
      <c r="B2531" s="49" t="s">
        <v>8180</v>
      </c>
      <c r="C2531" s="49" t="s">
        <v>8181</v>
      </c>
      <c r="D2531" s="49" t="s">
        <v>1264</v>
      </c>
      <c r="E2531" s="49" t="s">
        <v>2774</v>
      </c>
      <c r="F2531" s="49" t="s">
        <v>2825</v>
      </c>
      <c r="G2531" s="49" t="s">
        <v>2787</v>
      </c>
      <c r="H2531" s="49" t="s">
        <v>2827</v>
      </c>
      <c r="I2531" s="50">
        <v>40029</v>
      </c>
      <c r="J2531" s="50">
        <v>40038</v>
      </c>
      <c r="K2531" s="50">
        <v>42228</v>
      </c>
      <c r="M2531" s="49" t="s">
        <v>8182</v>
      </c>
    </row>
    <row r="2532" spans="1:13" x14ac:dyDescent="0.35">
      <c r="A2532" s="49" t="s">
        <v>14639</v>
      </c>
      <c r="B2532" s="49" t="s">
        <v>12632</v>
      </c>
      <c r="C2532" s="49" t="s">
        <v>5492</v>
      </c>
      <c r="D2532" s="49" t="s">
        <v>1264</v>
      </c>
      <c r="E2532" s="49" t="s">
        <v>2774</v>
      </c>
      <c r="F2532" s="49" t="s">
        <v>2825</v>
      </c>
      <c r="G2532" s="49" t="s">
        <v>4891</v>
      </c>
      <c r="H2532" s="49" t="s">
        <v>2827</v>
      </c>
      <c r="I2532" s="50">
        <v>45516</v>
      </c>
      <c r="M2532" s="49" t="s">
        <v>3766</v>
      </c>
    </row>
    <row r="2533" spans="1:13" x14ac:dyDescent="0.35">
      <c r="A2533" s="49" t="s">
        <v>15431</v>
      </c>
      <c r="B2533" s="49" t="s">
        <v>3943</v>
      </c>
      <c r="C2533" s="49"/>
      <c r="D2533" s="49" t="s">
        <v>1264</v>
      </c>
      <c r="E2533" s="49" t="s">
        <v>3443</v>
      </c>
      <c r="F2533" s="49" t="s">
        <v>3124</v>
      </c>
      <c r="G2533" s="49" t="s">
        <v>2787</v>
      </c>
      <c r="H2533" s="49" t="s">
        <v>980</v>
      </c>
      <c r="I2533" s="50">
        <v>43760</v>
      </c>
      <c r="J2533" s="50">
        <v>43798</v>
      </c>
      <c r="K2533" s="50">
        <v>45624</v>
      </c>
      <c r="M2533" s="49" t="s">
        <v>3470</v>
      </c>
    </row>
    <row r="2534" spans="1:13" x14ac:dyDescent="0.35">
      <c r="A2534" s="49" t="s">
        <v>15431</v>
      </c>
      <c r="B2534" s="49" t="s">
        <v>12885</v>
      </c>
      <c r="C2534" s="49"/>
      <c r="D2534" s="49" t="s">
        <v>1264</v>
      </c>
      <c r="E2534" s="49" t="s">
        <v>2908</v>
      </c>
      <c r="F2534" s="49" t="s">
        <v>2837</v>
      </c>
      <c r="G2534" s="49" t="s">
        <v>4891</v>
      </c>
      <c r="H2534" s="49" t="s">
        <v>2827</v>
      </c>
      <c r="I2534" s="50">
        <v>45828</v>
      </c>
      <c r="M2534" s="49" t="s">
        <v>12886</v>
      </c>
    </row>
    <row r="2535" spans="1:13" x14ac:dyDescent="0.35">
      <c r="A2535" s="49" t="s">
        <v>12486</v>
      </c>
      <c r="B2535" s="49" t="s">
        <v>6388</v>
      </c>
      <c r="C2535" s="49" t="s">
        <v>4555</v>
      </c>
      <c r="D2535" s="49" t="s">
        <v>1264</v>
      </c>
      <c r="E2535" s="49" t="s">
        <v>2908</v>
      </c>
      <c r="F2535" s="49" t="s">
        <v>2837</v>
      </c>
      <c r="G2535" s="49" t="s">
        <v>4330</v>
      </c>
      <c r="H2535" s="49" t="s">
        <v>980</v>
      </c>
      <c r="I2535" s="50">
        <v>45278</v>
      </c>
      <c r="M2535" s="49" t="s">
        <v>6390</v>
      </c>
    </row>
    <row r="2536" spans="1:13" x14ac:dyDescent="0.35">
      <c r="A2536" s="49" t="s">
        <v>12486</v>
      </c>
      <c r="B2536" s="49" t="s">
        <v>12485</v>
      </c>
      <c r="C2536" s="49" t="s">
        <v>4555</v>
      </c>
      <c r="D2536" s="49" t="s">
        <v>1264</v>
      </c>
      <c r="E2536" s="49" t="s">
        <v>2908</v>
      </c>
      <c r="F2536" s="49" t="s">
        <v>2837</v>
      </c>
      <c r="G2536" s="49" t="s">
        <v>4891</v>
      </c>
      <c r="H2536" s="49" t="s">
        <v>980</v>
      </c>
      <c r="I2536" s="50">
        <v>45420</v>
      </c>
      <c r="M2536" s="49" t="s">
        <v>12487</v>
      </c>
    </row>
    <row r="2537" spans="1:13" x14ac:dyDescent="0.35">
      <c r="A2537" s="49" t="s">
        <v>15204</v>
      </c>
      <c r="B2537" s="49" t="s">
        <v>6577</v>
      </c>
      <c r="C2537" s="49" t="s">
        <v>3768</v>
      </c>
      <c r="D2537" s="49" t="s">
        <v>1264</v>
      </c>
      <c r="E2537" s="49" t="s">
        <v>3443</v>
      </c>
      <c r="F2537" s="49" t="s">
        <v>3124</v>
      </c>
      <c r="G2537" s="49" t="s">
        <v>4330</v>
      </c>
      <c r="H2537" s="49" t="s">
        <v>980</v>
      </c>
      <c r="I2537" s="50">
        <v>45405</v>
      </c>
    </row>
    <row r="2538" spans="1:13" x14ac:dyDescent="0.35">
      <c r="A2538" s="49" t="s">
        <v>15432</v>
      </c>
      <c r="B2538" s="49" t="s">
        <v>10546</v>
      </c>
      <c r="C2538" s="49" t="s">
        <v>10547</v>
      </c>
      <c r="D2538" s="49" t="s">
        <v>1264</v>
      </c>
      <c r="E2538" s="49" t="s">
        <v>2814</v>
      </c>
      <c r="F2538" s="49" t="s">
        <v>2939</v>
      </c>
      <c r="G2538" s="49" t="s">
        <v>2776</v>
      </c>
      <c r="H2538" s="49" t="s">
        <v>8</v>
      </c>
      <c r="I2538" s="50">
        <v>42902</v>
      </c>
      <c r="M2538" s="49" t="s">
        <v>10549</v>
      </c>
    </row>
    <row r="2539" spans="1:13" x14ac:dyDescent="0.35">
      <c r="A2539" s="49" t="s">
        <v>15433</v>
      </c>
      <c r="B2539" s="49" t="s">
        <v>5855</v>
      </c>
      <c r="C2539" s="49" t="s">
        <v>5856</v>
      </c>
      <c r="D2539" s="49" t="s">
        <v>1264</v>
      </c>
      <c r="E2539" s="49" t="s">
        <v>2785</v>
      </c>
      <c r="F2539" s="49" t="s">
        <v>4048</v>
      </c>
      <c r="G2539" s="49" t="s">
        <v>2787</v>
      </c>
      <c r="H2539" s="49" t="s">
        <v>2832</v>
      </c>
      <c r="I2539" s="50">
        <v>45117</v>
      </c>
      <c r="J2539" s="50">
        <v>45240</v>
      </c>
      <c r="K2539" s="50">
        <v>45605</v>
      </c>
      <c r="M2539" s="49" t="s">
        <v>5858</v>
      </c>
    </row>
    <row r="2540" spans="1:13" x14ac:dyDescent="0.35">
      <c r="A2540" s="49" t="s">
        <v>14767</v>
      </c>
      <c r="B2540" s="49" t="s">
        <v>9916</v>
      </c>
      <c r="C2540" s="49"/>
      <c r="D2540" s="49" t="s">
        <v>1264</v>
      </c>
      <c r="E2540" s="49" t="s">
        <v>7057</v>
      </c>
      <c r="F2540" s="49" t="s">
        <v>2825</v>
      </c>
      <c r="G2540" s="49" t="s">
        <v>2776</v>
      </c>
      <c r="H2540" s="49" t="s">
        <v>2827</v>
      </c>
      <c r="I2540" s="50">
        <v>42275</v>
      </c>
      <c r="M2540" s="49" t="s">
        <v>3270</v>
      </c>
    </row>
    <row r="2541" spans="1:13" x14ac:dyDescent="0.35">
      <c r="A2541" s="49" t="s">
        <v>10392</v>
      </c>
      <c r="B2541" s="49" t="s">
        <v>10391</v>
      </c>
      <c r="C2541" s="49" t="s">
        <v>5940</v>
      </c>
      <c r="D2541" s="49" t="s">
        <v>1264</v>
      </c>
      <c r="E2541" s="49" t="s">
        <v>2814</v>
      </c>
      <c r="F2541" s="49" t="s">
        <v>2805</v>
      </c>
      <c r="G2541" s="49" t="s">
        <v>2776</v>
      </c>
      <c r="H2541" s="49" t="s">
        <v>980</v>
      </c>
      <c r="I2541" s="50">
        <v>42720</v>
      </c>
      <c r="M2541" s="49" t="s">
        <v>10393</v>
      </c>
    </row>
    <row r="2542" spans="1:13" x14ac:dyDescent="0.35">
      <c r="A2542" s="49" t="s">
        <v>15434</v>
      </c>
      <c r="B2542" s="49" t="s">
        <v>3378</v>
      </c>
      <c r="C2542" s="49" t="s">
        <v>2937</v>
      </c>
      <c r="D2542" s="49" t="s">
        <v>1264</v>
      </c>
      <c r="E2542" s="49" t="s">
        <v>2908</v>
      </c>
      <c r="F2542" s="49" t="s">
        <v>2939</v>
      </c>
      <c r="G2542" s="49" t="s">
        <v>2901</v>
      </c>
      <c r="H2542" s="49" t="s">
        <v>980</v>
      </c>
      <c r="I2542" s="50">
        <v>42010</v>
      </c>
      <c r="J2542" s="50">
        <v>42054</v>
      </c>
      <c r="K2542" s="50">
        <v>45706</v>
      </c>
      <c r="M2542" s="49" t="s">
        <v>3380</v>
      </c>
    </row>
    <row r="2543" spans="1:13" x14ac:dyDescent="0.35">
      <c r="A2543" s="49" t="s">
        <v>10363</v>
      </c>
      <c r="B2543" s="49" t="s">
        <v>10362</v>
      </c>
      <c r="C2543" s="49"/>
      <c r="D2543" s="49" t="s">
        <v>1264</v>
      </c>
      <c r="E2543" s="49" t="s">
        <v>2814</v>
      </c>
      <c r="F2543" s="49" t="s">
        <v>2825</v>
      </c>
      <c r="G2543" s="49" t="s">
        <v>2776</v>
      </c>
      <c r="H2543" s="49" t="s">
        <v>2827</v>
      </c>
      <c r="I2543" s="50">
        <v>42423</v>
      </c>
      <c r="M2543" s="49" t="s">
        <v>3470</v>
      </c>
    </row>
    <row r="2544" spans="1:13" x14ac:dyDescent="0.35">
      <c r="A2544" s="49" t="s">
        <v>677</v>
      </c>
      <c r="B2544" s="49" t="s">
        <v>8836</v>
      </c>
      <c r="C2544" s="49" t="s">
        <v>8837</v>
      </c>
      <c r="D2544" s="49" t="s">
        <v>1264</v>
      </c>
      <c r="E2544" s="49" t="s">
        <v>2785</v>
      </c>
      <c r="F2544" s="49" t="s">
        <v>2792</v>
      </c>
      <c r="G2544" s="49" t="s">
        <v>2787</v>
      </c>
      <c r="H2544" s="49" t="s">
        <v>8</v>
      </c>
      <c r="I2544" s="50">
        <v>41453</v>
      </c>
      <c r="J2544" s="50">
        <v>41467</v>
      </c>
      <c r="K2544" s="50">
        <v>42080</v>
      </c>
      <c r="M2544" s="49" t="s">
        <v>8839</v>
      </c>
    </row>
    <row r="2545" spans="1:13" x14ac:dyDescent="0.35">
      <c r="A2545" s="49" t="s">
        <v>14361</v>
      </c>
      <c r="B2545" s="49" t="s">
        <v>7525</v>
      </c>
      <c r="C2545" s="49" t="s">
        <v>7526</v>
      </c>
      <c r="D2545" s="49" t="s">
        <v>1264</v>
      </c>
      <c r="E2545" s="49" t="s">
        <v>2785</v>
      </c>
      <c r="F2545" s="49" t="s">
        <v>2786</v>
      </c>
      <c r="G2545" s="49" t="s">
        <v>2787</v>
      </c>
      <c r="H2545" s="49" t="s">
        <v>4225</v>
      </c>
      <c r="I2545" s="50">
        <v>42516</v>
      </c>
      <c r="J2545" s="50">
        <v>42551</v>
      </c>
      <c r="K2545" s="50">
        <v>42733</v>
      </c>
      <c r="M2545" s="49" t="s">
        <v>7528</v>
      </c>
    </row>
    <row r="2546" spans="1:13" x14ac:dyDescent="0.35">
      <c r="A2546" s="49" t="s">
        <v>10483</v>
      </c>
      <c r="B2546" s="49" t="s">
        <v>10482</v>
      </c>
      <c r="C2546" s="49" t="s">
        <v>2863</v>
      </c>
      <c r="D2546" s="49" t="s">
        <v>1264</v>
      </c>
      <c r="E2546" s="49" t="s">
        <v>2814</v>
      </c>
      <c r="F2546" s="49" t="s">
        <v>2825</v>
      </c>
      <c r="G2546" s="49" t="s">
        <v>2776</v>
      </c>
      <c r="H2546" s="49" t="s">
        <v>2827</v>
      </c>
      <c r="I2546" s="50">
        <v>42425</v>
      </c>
      <c r="M2546" s="49" t="s">
        <v>10484</v>
      </c>
    </row>
    <row r="2547" spans="1:13" x14ac:dyDescent="0.35">
      <c r="A2547" s="49" t="s">
        <v>10281</v>
      </c>
      <c r="B2547" s="49" t="s">
        <v>10280</v>
      </c>
      <c r="C2547" s="49"/>
      <c r="D2547" s="49" t="s">
        <v>1264</v>
      </c>
      <c r="E2547" s="49" t="s">
        <v>2814</v>
      </c>
      <c r="F2547" s="49" t="s">
        <v>2825</v>
      </c>
      <c r="G2547" s="49" t="s">
        <v>2776</v>
      </c>
      <c r="H2547" s="49" t="s">
        <v>2827</v>
      </c>
      <c r="I2547" s="50">
        <v>42730</v>
      </c>
      <c r="M2547" s="49" t="s">
        <v>3470</v>
      </c>
    </row>
    <row r="2548" spans="1:13" x14ac:dyDescent="0.35">
      <c r="A2548" s="49" t="s">
        <v>15025</v>
      </c>
      <c r="B2548" s="49" t="s">
        <v>8779</v>
      </c>
      <c r="C2548" s="49" t="s">
        <v>8780</v>
      </c>
      <c r="D2548" s="49" t="s">
        <v>1264</v>
      </c>
      <c r="E2548" s="49" t="s">
        <v>2785</v>
      </c>
      <c r="F2548" s="49" t="s">
        <v>2792</v>
      </c>
      <c r="G2548" s="49" t="s">
        <v>2787</v>
      </c>
      <c r="H2548" s="49" t="s">
        <v>8</v>
      </c>
      <c r="I2548" s="50">
        <v>41410</v>
      </c>
      <c r="J2548" s="50">
        <v>41449</v>
      </c>
      <c r="K2548" s="50">
        <v>41631</v>
      </c>
      <c r="M2548" s="49" t="s">
        <v>7754</v>
      </c>
    </row>
    <row r="2549" spans="1:13" x14ac:dyDescent="0.35">
      <c r="A2549" s="49" t="s">
        <v>14772</v>
      </c>
      <c r="B2549" s="49" t="s">
        <v>10120</v>
      </c>
      <c r="C2549" s="49"/>
      <c r="D2549" s="49" t="s">
        <v>1264</v>
      </c>
      <c r="E2549" s="49" t="s">
        <v>2814</v>
      </c>
      <c r="F2549" s="49" t="s">
        <v>2939</v>
      </c>
      <c r="G2549" s="49" t="s">
        <v>2787</v>
      </c>
      <c r="H2549" s="49" t="s">
        <v>3229</v>
      </c>
      <c r="I2549" s="50">
        <v>41435</v>
      </c>
      <c r="M2549" s="49" t="s">
        <v>10122</v>
      </c>
    </row>
    <row r="2550" spans="1:13" x14ac:dyDescent="0.35">
      <c r="A2550" s="49" t="s">
        <v>14732</v>
      </c>
      <c r="B2550" s="49" t="s">
        <v>7851</v>
      </c>
      <c r="C2550" s="49" t="s">
        <v>7852</v>
      </c>
      <c r="D2550" s="49" t="s">
        <v>1264</v>
      </c>
      <c r="E2550" s="49" t="s">
        <v>7057</v>
      </c>
      <c r="F2550" s="49" t="s">
        <v>2825</v>
      </c>
      <c r="G2550" s="49" t="s">
        <v>2787</v>
      </c>
      <c r="H2550" s="49" t="s">
        <v>2827</v>
      </c>
      <c r="I2550" s="50">
        <v>42102</v>
      </c>
      <c r="J2550" s="50">
        <v>42423</v>
      </c>
      <c r="K2550" s="50">
        <v>43154</v>
      </c>
      <c r="M2550" s="49" t="s">
        <v>7854</v>
      </c>
    </row>
    <row r="2551" spans="1:13" x14ac:dyDescent="0.35">
      <c r="A2551" s="49" t="s">
        <v>14109</v>
      </c>
      <c r="B2551" s="49" t="s">
        <v>3544</v>
      </c>
      <c r="C2551" s="49" t="s">
        <v>3468</v>
      </c>
      <c r="D2551" s="49" t="s">
        <v>1264</v>
      </c>
      <c r="E2551" s="49" t="s">
        <v>3443</v>
      </c>
      <c r="F2551" s="49" t="s">
        <v>3124</v>
      </c>
      <c r="G2551" s="49" t="s">
        <v>2901</v>
      </c>
      <c r="H2551" s="49" t="s">
        <v>980</v>
      </c>
      <c r="I2551" s="50">
        <v>42719</v>
      </c>
      <c r="J2551" s="50">
        <v>43083</v>
      </c>
      <c r="K2551" s="50">
        <v>46733</v>
      </c>
      <c r="L2551" s="50">
        <v>44909</v>
      </c>
      <c r="M2551" s="49" t="s">
        <v>3546</v>
      </c>
    </row>
    <row r="2552" spans="1:13" x14ac:dyDescent="0.35">
      <c r="A2552" s="49" t="s">
        <v>15666</v>
      </c>
      <c r="B2552" s="49" t="s">
        <v>5659</v>
      </c>
      <c r="C2552" s="49"/>
      <c r="D2552" s="49" t="s">
        <v>1264</v>
      </c>
      <c r="E2552" s="49" t="s">
        <v>2986</v>
      </c>
      <c r="F2552" s="49" t="s">
        <v>2825</v>
      </c>
      <c r="G2552" s="49" t="s">
        <v>4330</v>
      </c>
      <c r="H2552" s="49" t="s">
        <v>2827</v>
      </c>
      <c r="I2552" s="50">
        <v>45097</v>
      </c>
      <c r="M2552" s="49" t="s">
        <v>5660</v>
      </c>
    </row>
    <row r="2553" spans="1:13" x14ac:dyDescent="0.35">
      <c r="A2553" s="49" t="s">
        <v>15666</v>
      </c>
      <c r="B2553" s="49" t="s">
        <v>6364</v>
      </c>
      <c r="C2553" s="49" t="s">
        <v>4555</v>
      </c>
      <c r="D2553" s="49" t="s">
        <v>1264</v>
      </c>
      <c r="E2553" s="49" t="s">
        <v>2908</v>
      </c>
      <c r="F2553" s="49" t="s">
        <v>2837</v>
      </c>
      <c r="G2553" s="49" t="s">
        <v>4330</v>
      </c>
      <c r="H2553" s="49" t="s">
        <v>980</v>
      </c>
      <c r="I2553" s="50">
        <v>45191</v>
      </c>
      <c r="M2553" s="49" t="s">
        <v>6366</v>
      </c>
    </row>
    <row r="2554" spans="1:13" x14ac:dyDescent="0.35">
      <c r="A2554" s="49" t="s">
        <v>15666</v>
      </c>
      <c r="B2554" s="49" t="s">
        <v>11391</v>
      </c>
      <c r="C2554" s="49"/>
      <c r="D2554" s="49" t="s">
        <v>1264</v>
      </c>
      <c r="E2554" s="49" t="s">
        <v>2814</v>
      </c>
      <c r="F2554" s="49" t="s">
        <v>2837</v>
      </c>
      <c r="G2554" s="49" t="s">
        <v>4891</v>
      </c>
      <c r="H2554" s="49" t="s">
        <v>980</v>
      </c>
      <c r="I2554" s="50">
        <v>45068</v>
      </c>
      <c r="M2554" s="49" t="s">
        <v>11392</v>
      </c>
    </row>
    <row r="2555" spans="1:13" x14ac:dyDescent="0.35">
      <c r="A2555" s="49" t="s">
        <v>15666</v>
      </c>
      <c r="B2555" s="49" t="s">
        <v>11613</v>
      </c>
      <c r="C2555" s="49"/>
      <c r="D2555" s="49" t="s">
        <v>1264</v>
      </c>
      <c r="E2555" s="49" t="s">
        <v>2814</v>
      </c>
      <c r="F2555" s="49" t="s">
        <v>2837</v>
      </c>
      <c r="G2555" s="49" t="s">
        <v>4891</v>
      </c>
      <c r="H2555" s="49" t="s">
        <v>980</v>
      </c>
      <c r="I2555" s="50">
        <v>45209</v>
      </c>
      <c r="M2555" s="49" t="s">
        <v>11614</v>
      </c>
    </row>
    <row r="2556" spans="1:13" x14ac:dyDescent="0.35">
      <c r="A2556" s="49" t="s">
        <v>14342</v>
      </c>
      <c r="B2556" s="49" t="s">
        <v>7354</v>
      </c>
      <c r="C2556" s="49" t="s">
        <v>2849</v>
      </c>
      <c r="D2556" s="49" t="s">
        <v>1264</v>
      </c>
      <c r="E2556" s="49" t="s">
        <v>2785</v>
      </c>
      <c r="F2556" s="49" t="s">
        <v>2792</v>
      </c>
      <c r="G2556" s="49" t="s">
        <v>2787</v>
      </c>
      <c r="H2556" s="49" t="s">
        <v>980</v>
      </c>
      <c r="I2556" s="50">
        <v>43448</v>
      </c>
      <c r="J2556" s="50">
        <v>43224</v>
      </c>
      <c r="K2556" s="50">
        <v>43407</v>
      </c>
      <c r="M2556" s="49" t="s">
        <v>7356</v>
      </c>
    </row>
    <row r="2557" spans="1:13" x14ac:dyDescent="0.35">
      <c r="A2557" s="49" t="s">
        <v>14363</v>
      </c>
      <c r="B2557" s="49" t="s">
        <v>7541</v>
      </c>
      <c r="C2557" s="49" t="s">
        <v>5996</v>
      </c>
      <c r="D2557" s="49" t="s">
        <v>1264</v>
      </c>
      <c r="E2557" s="49" t="s">
        <v>2785</v>
      </c>
      <c r="F2557" s="49" t="s">
        <v>2792</v>
      </c>
      <c r="G2557" s="49" t="s">
        <v>2787</v>
      </c>
      <c r="H2557" s="49" t="s">
        <v>980</v>
      </c>
      <c r="I2557" s="50">
        <v>42039</v>
      </c>
      <c r="J2557" s="50">
        <v>42194</v>
      </c>
      <c r="K2557" s="50">
        <v>42377</v>
      </c>
      <c r="M2557" s="49" t="s">
        <v>3470</v>
      </c>
    </row>
    <row r="2558" spans="1:13" x14ac:dyDescent="0.35">
      <c r="A2558" s="49" t="s">
        <v>14742</v>
      </c>
      <c r="B2558" s="49" t="s">
        <v>8299</v>
      </c>
      <c r="C2558" s="49" t="s">
        <v>8300</v>
      </c>
      <c r="D2558" s="49" t="s">
        <v>1264</v>
      </c>
      <c r="E2558" s="49" t="s">
        <v>2908</v>
      </c>
      <c r="F2558" s="49" t="s">
        <v>2805</v>
      </c>
      <c r="G2558" s="49" t="s">
        <v>2787</v>
      </c>
      <c r="H2558" s="49" t="s">
        <v>980</v>
      </c>
      <c r="I2558" s="50">
        <v>34646</v>
      </c>
      <c r="J2558" s="50">
        <v>35727</v>
      </c>
      <c r="K2558" s="50">
        <v>39497</v>
      </c>
      <c r="M2558" s="49" t="s">
        <v>8302</v>
      </c>
    </row>
    <row r="2559" spans="1:13" x14ac:dyDescent="0.35">
      <c r="A2559" s="49" t="s">
        <v>10400</v>
      </c>
      <c r="B2559" s="49" t="s">
        <v>10399</v>
      </c>
      <c r="C2559" s="49"/>
      <c r="D2559" s="49" t="s">
        <v>1264</v>
      </c>
      <c r="E2559" s="49" t="s">
        <v>2814</v>
      </c>
      <c r="F2559" s="49" t="s">
        <v>2825</v>
      </c>
      <c r="G2559" s="49" t="s">
        <v>2776</v>
      </c>
      <c r="H2559" s="49" t="s">
        <v>2827</v>
      </c>
      <c r="I2559" s="50">
        <v>42882</v>
      </c>
      <c r="M2559" s="49" t="s">
        <v>3470</v>
      </c>
    </row>
    <row r="2560" spans="1:13" x14ac:dyDescent="0.35">
      <c r="A2560" s="49" t="s">
        <v>14705</v>
      </c>
      <c r="B2560" s="49" t="s">
        <v>5912</v>
      </c>
      <c r="C2560" s="49" t="s">
        <v>5913</v>
      </c>
      <c r="D2560" s="49" t="s">
        <v>1264</v>
      </c>
      <c r="E2560" s="49" t="s">
        <v>2785</v>
      </c>
      <c r="F2560" s="49" t="s">
        <v>2792</v>
      </c>
      <c r="G2560" s="49" t="s">
        <v>4330</v>
      </c>
      <c r="H2560" s="49" t="s">
        <v>980</v>
      </c>
      <c r="I2560" s="50">
        <v>45224</v>
      </c>
      <c r="M2560" s="49" t="s">
        <v>5915</v>
      </c>
    </row>
    <row r="2561" spans="1:13" x14ac:dyDescent="0.35">
      <c r="A2561" s="49" t="s">
        <v>14705</v>
      </c>
      <c r="B2561" s="49" t="s">
        <v>6695</v>
      </c>
      <c r="C2561" s="49"/>
      <c r="D2561" s="49" t="s">
        <v>1264</v>
      </c>
      <c r="E2561" s="49" t="s">
        <v>2785</v>
      </c>
      <c r="F2561" s="49" t="s">
        <v>2792</v>
      </c>
      <c r="G2561" s="49" t="s">
        <v>2787</v>
      </c>
      <c r="H2561" s="49" t="s">
        <v>8</v>
      </c>
      <c r="I2561" s="50">
        <v>41164</v>
      </c>
      <c r="M2561" s="49" t="s">
        <v>6697</v>
      </c>
    </row>
    <row r="2562" spans="1:13" x14ac:dyDescent="0.35">
      <c r="A2562" s="49" t="s">
        <v>14755</v>
      </c>
      <c r="B2562" s="49" t="s">
        <v>8902</v>
      </c>
      <c r="C2562" s="49" t="s">
        <v>3420</v>
      </c>
      <c r="D2562" s="49" t="s">
        <v>1264</v>
      </c>
      <c r="E2562" s="49" t="s">
        <v>2814</v>
      </c>
      <c r="F2562" s="49" t="s">
        <v>2939</v>
      </c>
      <c r="G2562" s="49" t="s">
        <v>2787</v>
      </c>
      <c r="H2562" s="49" t="s">
        <v>980</v>
      </c>
      <c r="I2562" s="50">
        <v>42062</v>
      </c>
      <c r="J2562" s="50">
        <v>42080</v>
      </c>
      <c r="K2562" s="50">
        <v>42263</v>
      </c>
      <c r="M2562" s="49" t="s">
        <v>8895</v>
      </c>
    </row>
    <row r="2563" spans="1:13" x14ac:dyDescent="0.35">
      <c r="A2563" s="49" t="s">
        <v>10223</v>
      </c>
      <c r="B2563" s="49" t="s">
        <v>10222</v>
      </c>
      <c r="C2563" s="49" t="s">
        <v>3636</v>
      </c>
      <c r="D2563" s="49" t="s">
        <v>1264</v>
      </c>
      <c r="E2563" s="49" t="s">
        <v>2814</v>
      </c>
      <c r="F2563" s="49" t="s">
        <v>2825</v>
      </c>
      <c r="G2563" s="49" t="s">
        <v>2776</v>
      </c>
      <c r="H2563" s="49" t="s">
        <v>2827</v>
      </c>
      <c r="I2563" s="50">
        <v>42700</v>
      </c>
      <c r="M2563" s="49" t="s">
        <v>7015</v>
      </c>
    </row>
    <row r="2564" spans="1:13" x14ac:dyDescent="0.35">
      <c r="A2564" s="49" t="s">
        <v>75</v>
      </c>
      <c r="B2564" s="49" t="s">
        <v>10014</v>
      </c>
      <c r="C2564" s="49"/>
      <c r="D2564" s="49" t="s">
        <v>1264</v>
      </c>
      <c r="E2564" s="49" t="s">
        <v>2785</v>
      </c>
      <c r="F2564" s="49" t="s">
        <v>2792</v>
      </c>
      <c r="G2564" s="49" t="s">
        <v>2826</v>
      </c>
      <c r="H2564" s="49" t="s">
        <v>8</v>
      </c>
      <c r="I2564" s="50">
        <v>41656</v>
      </c>
      <c r="M2564" s="49" t="s">
        <v>10016</v>
      </c>
    </row>
    <row r="2565" spans="1:13" x14ac:dyDescent="0.35">
      <c r="A2565" s="49" t="s">
        <v>75</v>
      </c>
      <c r="B2565" s="49" t="s">
        <v>7759</v>
      </c>
      <c r="C2565" s="49" t="s">
        <v>7760</v>
      </c>
      <c r="D2565" s="49" t="s">
        <v>1264</v>
      </c>
      <c r="E2565" s="49" t="s">
        <v>2785</v>
      </c>
      <c r="F2565" s="49" t="s">
        <v>2792</v>
      </c>
      <c r="G2565" s="49" t="s">
        <v>2787</v>
      </c>
      <c r="H2565" s="49" t="s">
        <v>8</v>
      </c>
      <c r="I2565" s="50">
        <v>41837</v>
      </c>
      <c r="J2565" s="50">
        <v>42328</v>
      </c>
      <c r="K2565" s="50">
        <v>42509</v>
      </c>
      <c r="M2565" s="49" t="s">
        <v>7762</v>
      </c>
    </row>
    <row r="2566" spans="1:13" x14ac:dyDescent="0.35">
      <c r="A2566" s="49" t="s">
        <v>1058</v>
      </c>
      <c r="B2566" s="49" t="s">
        <v>5292</v>
      </c>
      <c r="C2566" s="49" t="s">
        <v>3586</v>
      </c>
      <c r="D2566" s="49" t="s">
        <v>1264</v>
      </c>
      <c r="E2566" s="49" t="s">
        <v>2785</v>
      </c>
      <c r="F2566" s="49" t="s">
        <v>2786</v>
      </c>
      <c r="G2566" s="49" t="s">
        <v>2787</v>
      </c>
      <c r="H2566" s="49" t="s">
        <v>980</v>
      </c>
      <c r="I2566" s="50">
        <v>44721</v>
      </c>
      <c r="J2566" s="50">
        <v>44925</v>
      </c>
      <c r="K2566" s="50">
        <v>45589</v>
      </c>
      <c r="M2566" s="49" t="s">
        <v>5294</v>
      </c>
    </row>
    <row r="2567" spans="1:13" x14ac:dyDescent="0.35">
      <c r="A2567" s="49" t="s">
        <v>14117</v>
      </c>
      <c r="B2567" s="49" t="s">
        <v>3630</v>
      </c>
      <c r="C2567" s="49" t="s">
        <v>3582</v>
      </c>
      <c r="D2567" s="49" t="s">
        <v>1264</v>
      </c>
      <c r="E2567" s="49" t="s">
        <v>3443</v>
      </c>
      <c r="F2567" s="49" t="s">
        <v>2792</v>
      </c>
      <c r="G2567" s="49" t="s">
        <v>2787</v>
      </c>
      <c r="H2567" s="49" t="s">
        <v>980</v>
      </c>
      <c r="I2567" s="50">
        <v>43006</v>
      </c>
      <c r="J2567" s="50">
        <v>43096</v>
      </c>
      <c r="K2567" s="50">
        <v>44921</v>
      </c>
      <c r="M2567" s="49" t="s">
        <v>3526</v>
      </c>
    </row>
    <row r="2568" spans="1:13" x14ac:dyDescent="0.35">
      <c r="A2568" s="49" t="s">
        <v>15435</v>
      </c>
      <c r="B2568" s="49" t="s">
        <v>3614</v>
      </c>
      <c r="C2568" s="49" t="s">
        <v>3615</v>
      </c>
      <c r="D2568" s="49" t="s">
        <v>1264</v>
      </c>
      <c r="E2568" s="49" t="s">
        <v>2908</v>
      </c>
      <c r="F2568" s="49" t="s">
        <v>3010</v>
      </c>
      <c r="G2568" s="49" t="s">
        <v>2787</v>
      </c>
      <c r="H2568" s="49" t="s">
        <v>980</v>
      </c>
      <c r="I2568" s="50">
        <v>42975</v>
      </c>
      <c r="J2568" s="50">
        <v>43445</v>
      </c>
      <c r="K2568" s="50">
        <v>45270</v>
      </c>
      <c r="M2568" s="49" t="s">
        <v>3617</v>
      </c>
    </row>
    <row r="2569" spans="1:13" x14ac:dyDescent="0.35">
      <c r="A2569" s="49" t="s">
        <v>15435</v>
      </c>
      <c r="B2569" s="49" t="s">
        <v>3710</v>
      </c>
      <c r="C2569" s="49" t="s">
        <v>3468</v>
      </c>
      <c r="D2569" s="49" t="s">
        <v>1264</v>
      </c>
      <c r="E2569" s="49" t="s">
        <v>3443</v>
      </c>
      <c r="F2569" s="49" t="s">
        <v>3124</v>
      </c>
      <c r="G2569" s="49" t="s">
        <v>2787</v>
      </c>
      <c r="H2569" s="49" t="s">
        <v>980</v>
      </c>
      <c r="I2569" s="50">
        <v>43193</v>
      </c>
      <c r="J2569" s="50">
        <v>43263</v>
      </c>
      <c r="K2569" s="50">
        <v>45088</v>
      </c>
      <c r="M2569" s="49" t="s">
        <v>3711</v>
      </c>
    </row>
    <row r="2570" spans="1:13" x14ac:dyDescent="0.35">
      <c r="A2570" s="49" t="s">
        <v>15435</v>
      </c>
      <c r="B2570" s="49" t="s">
        <v>9342</v>
      </c>
      <c r="C2570" s="49"/>
      <c r="D2570" s="49" t="s">
        <v>1264</v>
      </c>
      <c r="E2570" s="49" t="s">
        <v>2785</v>
      </c>
      <c r="F2570" s="49" t="s">
        <v>2786</v>
      </c>
      <c r="G2570" s="49" t="s">
        <v>2776</v>
      </c>
      <c r="H2570" s="49" t="s">
        <v>980</v>
      </c>
      <c r="I2570" s="50">
        <v>42985</v>
      </c>
      <c r="M2570" s="49" t="s">
        <v>9343</v>
      </c>
    </row>
    <row r="2571" spans="1:13" x14ac:dyDescent="0.35">
      <c r="A2571" s="49" t="s">
        <v>15435</v>
      </c>
      <c r="B2571" s="49" t="s">
        <v>10127</v>
      </c>
      <c r="C2571" s="49"/>
      <c r="D2571" s="49" t="s">
        <v>1264</v>
      </c>
      <c r="E2571" s="49" t="s">
        <v>2814</v>
      </c>
      <c r="F2571" s="49" t="s">
        <v>2837</v>
      </c>
      <c r="G2571" s="49" t="s">
        <v>2776</v>
      </c>
      <c r="H2571" s="49" t="s">
        <v>980</v>
      </c>
      <c r="I2571" s="50">
        <v>43467</v>
      </c>
      <c r="M2571" s="49" t="s">
        <v>10128</v>
      </c>
    </row>
    <row r="2572" spans="1:13" x14ac:dyDescent="0.35">
      <c r="A2572" s="49" t="s">
        <v>15436</v>
      </c>
      <c r="B2572" s="49" t="s">
        <v>8360</v>
      </c>
      <c r="C2572" s="49" t="s">
        <v>8361</v>
      </c>
      <c r="D2572" s="49" t="s">
        <v>1264</v>
      </c>
      <c r="E2572" s="49" t="s">
        <v>2774</v>
      </c>
      <c r="F2572" s="49" t="s">
        <v>2969</v>
      </c>
      <c r="G2572" s="49" t="s">
        <v>2787</v>
      </c>
      <c r="H2572" s="49" t="s">
        <v>2827</v>
      </c>
      <c r="I2572" s="50">
        <v>41146</v>
      </c>
      <c r="J2572" s="50">
        <v>41537</v>
      </c>
      <c r="K2572" s="50">
        <v>42632</v>
      </c>
      <c r="M2572" s="49" t="s">
        <v>8363</v>
      </c>
    </row>
    <row r="2573" spans="1:13" x14ac:dyDescent="0.35">
      <c r="A2573" s="49" t="s">
        <v>15436</v>
      </c>
      <c r="B2573" s="49" t="s">
        <v>8364</v>
      </c>
      <c r="C2573" s="49" t="s">
        <v>8365</v>
      </c>
      <c r="D2573" s="49" t="s">
        <v>1264</v>
      </c>
      <c r="E2573" s="49" t="s">
        <v>2774</v>
      </c>
      <c r="F2573" s="49" t="s">
        <v>3648</v>
      </c>
      <c r="G2573" s="49" t="s">
        <v>2787</v>
      </c>
      <c r="H2573" s="49" t="s">
        <v>3229</v>
      </c>
      <c r="I2573" s="50">
        <v>41253</v>
      </c>
      <c r="J2573" s="50">
        <v>41450</v>
      </c>
      <c r="K2573" s="50">
        <v>42545</v>
      </c>
      <c r="M2573" s="49" t="s">
        <v>8366</v>
      </c>
    </row>
    <row r="2574" spans="1:13" x14ac:dyDescent="0.35">
      <c r="A2574" s="49" t="s">
        <v>15436</v>
      </c>
      <c r="B2574" s="49" t="s">
        <v>8367</v>
      </c>
      <c r="C2574" s="49" t="s">
        <v>8368</v>
      </c>
      <c r="D2574" s="49" t="s">
        <v>1264</v>
      </c>
      <c r="E2574" s="49" t="s">
        <v>2774</v>
      </c>
      <c r="F2574" s="49" t="s">
        <v>2900</v>
      </c>
      <c r="G2574" s="49" t="s">
        <v>2826</v>
      </c>
      <c r="H2574" s="49" t="s">
        <v>3229</v>
      </c>
      <c r="I2574" s="50">
        <v>41207</v>
      </c>
      <c r="J2574" s="50">
        <v>41450</v>
      </c>
      <c r="K2574" s="50">
        <v>42545</v>
      </c>
      <c r="M2574" s="49" t="s">
        <v>8369</v>
      </c>
    </row>
    <row r="2575" spans="1:13" x14ac:dyDescent="0.35">
      <c r="A2575" s="49" t="s">
        <v>15436</v>
      </c>
      <c r="B2575" s="49" t="s">
        <v>8522</v>
      </c>
      <c r="C2575" s="49" t="s">
        <v>8523</v>
      </c>
      <c r="D2575" s="49" t="s">
        <v>1264</v>
      </c>
      <c r="E2575" s="49" t="s">
        <v>2774</v>
      </c>
      <c r="F2575" s="49" t="s">
        <v>2825</v>
      </c>
      <c r="G2575" s="49" t="s">
        <v>2787</v>
      </c>
      <c r="H2575" s="49" t="s">
        <v>2827</v>
      </c>
      <c r="I2575" s="50">
        <v>41596</v>
      </c>
      <c r="J2575" s="50">
        <v>41880</v>
      </c>
      <c r="K2575" s="50">
        <v>42975</v>
      </c>
      <c r="M2575" s="49" t="s">
        <v>8524</v>
      </c>
    </row>
    <row r="2576" spans="1:13" x14ac:dyDescent="0.35">
      <c r="A2576" s="49" t="s">
        <v>15436</v>
      </c>
      <c r="B2576" s="49" t="s">
        <v>9207</v>
      </c>
      <c r="C2576" s="49"/>
      <c r="D2576" s="49" t="s">
        <v>1264</v>
      </c>
      <c r="E2576" s="49" t="s">
        <v>2908</v>
      </c>
      <c r="F2576" s="49" t="s">
        <v>2837</v>
      </c>
      <c r="G2576" s="49" t="s">
        <v>2776</v>
      </c>
      <c r="H2576" s="49" t="s">
        <v>2827</v>
      </c>
      <c r="I2576" s="50">
        <v>43118</v>
      </c>
      <c r="M2576" s="49" t="s">
        <v>3470</v>
      </c>
    </row>
    <row r="2577" spans="1:13" x14ac:dyDescent="0.35">
      <c r="A2577" s="49" t="s">
        <v>15436</v>
      </c>
      <c r="B2577" s="49" t="s">
        <v>10795</v>
      </c>
      <c r="C2577" s="49"/>
      <c r="D2577" s="49" t="s">
        <v>1264</v>
      </c>
      <c r="E2577" s="49" t="s">
        <v>2814</v>
      </c>
      <c r="F2577" s="49" t="s">
        <v>2805</v>
      </c>
      <c r="G2577" s="49" t="s">
        <v>2776</v>
      </c>
      <c r="H2577" s="49" t="s">
        <v>3717</v>
      </c>
      <c r="I2577" s="50">
        <v>44294</v>
      </c>
      <c r="M2577" s="49" t="s">
        <v>10796</v>
      </c>
    </row>
    <row r="2578" spans="1:13" x14ac:dyDescent="0.35">
      <c r="A2578" s="49" t="s">
        <v>15436</v>
      </c>
      <c r="B2578" s="49" t="s">
        <v>13930</v>
      </c>
      <c r="C2578" s="49" t="s">
        <v>13931</v>
      </c>
      <c r="D2578" s="49" t="s">
        <v>1264</v>
      </c>
      <c r="E2578" s="49" t="s">
        <v>2774</v>
      </c>
      <c r="F2578" s="49" t="s">
        <v>2900</v>
      </c>
      <c r="G2578" s="49" t="s">
        <v>2776</v>
      </c>
      <c r="H2578" s="49" t="s">
        <v>2832</v>
      </c>
      <c r="I2578" s="50">
        <v>41996</v>
      </c>
      <c r="M2578" s="49" t="s">
        <v>13933</v>
      </c>
    </row>
    <row r="2579" spans="1:13" x14ac:dyDescent="0.35">
      <c r="A2579" s="49" t="s">
        <v>15436</v>
      </c>
      <c r="B2579" s="49" t="s">
        <v>13978</v>
      </c>
      <c r="C2579" s="49"/>
      <c r="D2579" s="49" t="s">
        <v>1264</v>
      </c>
      <c r="E2579" s="49" t="s">
        <v>2774</v>
      </c>
      <c r="F2579" s="49" t="s">
        <v>2900</v>
      </c>
      <c r="G2579" s="49" t="s">
        <v>2776</v>
      </c>
      <c r="H2579" s="49" t="s">
        <v>2832</v>
      </c>
      <c r="I2579" s="50">
        <v>43815</v>
      </c>
      <c r="M2579" s="49" t="s">
        <v>13979</v>
      </c>
    </row>
    <row r="2580" spans="1:13" x14ac:dyDescent="0.35">
      <c r="A2580" s="49" t="s">
        <v>14173</v>
      </c>
      <c r="B2580" s="49" t="s">
        <v>4261</v>
      </c>
      <c r="C2580" s="49" t="s">
        <v>4262</v>
      </c>
      <c r="D2580" s="49" t="s">
        <v>1264</v>
      </c>
      <c r="E2580" s="49" t="s">
        <v>2785</v>
      </c>
      <c r="F2580" s="49" t="s">
        <v>4048</v>
      </c>
      <c r="G2580" s="49" t="s">
        <v>2787</v>
      </c>
      <c r="H2580" s="49" t="s">
        <v>973</v>
      </c>
      <c r="I2580" s="50">
        <v>43573</v>
      </c>
      <c r="J2580" s="50">
        <v>43826</v>
      </c>
      <c r="K2580" s="50">
        <v>45511</v>
      </c>
      <c r="M2580" s="49" t="s">
        <v>4264</v>
      </c>
    </row>
    <row r="2581" spans="1:13" x14ac:dyDescent="0.35">
      <c r="A2581" s="49" t="s">
        <v>14173</v>
      </c>
      <c r="B2581" s="49" t="s">
        <v>5957</v>
      </c>
      <c r="C2581" s="49" t="s">
        <v>4262</v>
      </c>
      <c r="D2581" s="49" t="s">
        <v>1264</v>
      </c>
      <c r="E2581" s="49" t="s">
        <v>2785</v>
      </c>
      <c r="F2581" s="49" t="s">
        <v>2805</v>
      </c>
      <c r="G2581" s="49" t="s">
        <v>2787</v>
      </c>
      <c r="H2581" s="49" t="s">
        <v>973</v>
      </c>
      <c r="I2581" s="50">
        <v>45013</v>
      </c>
      <c r="J2581" s="50">
        <v>45077</v>
      </c>
      <c r="K2581" s="50">
        <v>45442</v>
      </c>
      <c r="M2581" s="49" t="s">
        <v>4264</v>
      </c>
    </row>
    <row r="2582" spans="1:13" x14ac:dyDescent="0.35">
      <c r="A2582" s="49" t="s">
        <v>14173</v>
      </c>
      <c r="B2582" s="49" t="s">
        <v>7420</v>
      </c>
      <c r="C2582" s="49" t="s">
        <v>4231</v>
      </c>
      <c r="D2582" s="49" t="s">
        <v>1264</v>
      </c>
      <c r="E2582" s="49" t="s">
        <v>2785</v>
      </c>
      <c r="F2582" s="49" t="s">
        <v>3898</v>
      </c>
      <c r="G2582" s="49" t="s">
        <v>2787</v>
      </c>
      <c r="H2582" s="49" t="s">
        <v>2827</v>
      </c>
      <c r="I2582" s="50">
        <v>43571</v>
      </c>
      <c r="J2582" s="50">
        <v>43607</v>
      </c>
      <c r="K2582" s="50">
        <v>43790</v>
      </c>
      <c r="M2582" s="49" t="s">
        <v>7421</v>
      </c>
    </row>
    <row r="2583" spans="1:13" x14ac:dyDescent="0.35">
      <c r="A2583" s="49" t="s">
        <v>15437</v>
      </c>
      <c r="B2583" s="49" t="s">
        <v>9204</v>
      </c>
      <c r="C2583" s="49"/>
      <c r="D2583" s="49" t="s">
        <v>1264</v>
      </c>
      <c r="E2583" s="49" t="s">
        <v>2908</v>
      </c>
      <c r="F2583" s="49" t="s">
        <v>3898</v>
      </c>
      <c r="G2583" s="49" t="s">
        <v>2776</v>
      </c>
      <c r="H2583" s="49" t="s">
        <v>2827</v>
      </c>
      <c r="I2583" s="50">
        <v>44242</v>
      </c>
      <c r="M2583" s="49" t="s">
        <v>9206</v>
      </c>
    </row>
    <row r="2584" spans="1:13" x14ac:dyDescent="0.35">
      <c r="A2584" s="49" t="s">
        <v>14456</v>
      </c>
      <c r="B2584" s="49" t="s">
        <v>8830</v>
      </c>
      <c r="C2584" s="49"/>
      <c r="D2584" s="49" t="s">
        <v>1264</v>
      </c>
      <c r="E2584" s="49" t="s">
        <v>2785</v>
      </c>
      <c r="F2584" s="49" t="s">
        <v>2792</v>
      </c>
      <c r="G2584" s="49" t="s">
        <v>2787</v>
      </c>
      <c r="H2584" s="49" t="s">
        <v>2832</v>
      </c>
      <c r="I2584" s="50">
        <v>41439</v>
      </c>
      <c r="J2584" s="50">
        <v>41449</v>
      </c>
      <c r="K2584" s="50">
        <v>41631</v>
      </c>
      <c r="M2584" s="49" t="s">
        <v>8832</v>
      </c>
    </row>
    <row r="2585" spans="1:13" x14ac:dyDescent="0.35">
      <c r="A2585" s="49" t="s">
        <v>15438</v>
      </c>
      <c r="B2585" s="49" t="s">
        <v>5694</v>
      </c>
      <c r="C2585" s="49" t="s">
        <v>5695</v>
      </c>
      <c r="D2585" s="49" t="s">
        <v>1264</v>
      </c>
      <c r="E2585" s="49" t="s">
        <v>2774</v>
      </c>
      <c r="F2585" s="49" t="s">
        <v>3681</v>
      </c>
      <c r="G2585" s="49" t="s">
        <v>2901</v>
      </c>
      <c r="H2585" s="49" t="s">
        <v>2827</v>
      </c>
      <c r="I2585" s="50">
        <v>44790</v>
      </c>
      <c r="J2585" s="50">
        <v>45117</v>
      </c>
      <c r="K2585" s="50">
        <v>46577</v>
      </c>
      <c r="M2585" s="49" t="s">
        <v>5697</v>
      </c>
    </row>
    <row r="2586" spans="1:13" x14ac:dyDescent="0.35">
      <c r="A2586" s="49" t="s">
        <v>14694</v>
      </c>
      <c r="B2586" s="49" t="s">
        <v>14006</v>
      </c>
      <c r="C2586" s="49"/>
      <c r="D2586" s="49" t="s">
        <v>1264</v>
      </c>
      <c r="E2586" s="49" t="s">
        <v>2785</v>
      </c>
      <c r="F2586" s="49" t="s">
        <v>2792</v>
      </c>
      <c r="G2586" s="49" t="s">
        <v>2787</v>
      </c>
      <c r="H2586" s="49" t="s">
        <v>8</v>
      </c>
      <c r="I2586" s="50">
        <v>42180</v>
      </c>
      <c r="M2586" s="49" t="s">
        <v>3470</v>
      </c>
    </row>
    <row r="2587" spans="1:13" x14ac:dyDescent="0.35">
      <c r="A2587" s="49" t="s">
        <v>14458</v>
      </c>
      <c r="B2587" s="49" t="s">
        <v>8865</v>
      </c>
      <c r="C2587" s="49"/>
      <c r="D2587" s="49" t="s">
        <v>1264</v>
      </c>
      <c r="E2587" s="49" t="s">
        <v>2974</v>
      </c>
      <c r="F2587" s="49" t="s">
        <v>2825</v>
      </c>
      <c r="G2587" s="49" t="s">
        <v>2826</v>
      </c>
      <c r="H2587" s="49" t="s">
        <v>2827</v>
      </c>
      <c r="I2587" s="50">
        <v>43885</v>
      </c>
      <c r="M2587" s="49" t="s">
        <v>8867</v>
      </c>
    </row>
    <row r="2588" spans="1:13" x14ac:dyDescent="0.35">
      <c r="A2588" s="49" t="s">
        <v>14436</v>
      </c>
      <c r="B2588" s="49" t="s">
        <v>8493</v>
      </c>
      <c r="C2588" s="49" t="s">
        <v>8156</v>
      </c>
      <c r="D2588" s="49" t="s">
        <v>1264</v>
      </c>
      <c r="E2588" s="49" t="s">
        <v>2774</v>
      </c>
      <c r="F2588" s="49" t="s">
        <v>2900</v>
      </c>
      <c r="G2588" s="49" t="s">
        <v>2975</v>
      </c>
      <c r="H2588" s="49" t="s">
        <v>2832</v>
      </c>
      <c r="I2588" s="50">
        <v>41869</v>
      </c>
      <c r="J2588" s="50">
        <v>42179</v>
      </c>
      <c r="K2588" s="50">
        <v>44369</v>
      </c>
      <c r="M2588" s="49" t="s">
        <v>8495</v>
      </c>
    </row>
    <row r="2589" spans="1:13" x14ac:dyDescent="0.35">
      <c r="A2589" s="49" t="s">
        <v>14366</v>
      </c>
      <c r="B2589" s="49" t="s">
        <v>7557</v>
      </c>
      <c r="C2589" s="49"/>
      <c r="D2589" s="49" t="s">
        <v>1264</v>
      </c>
      <c r="E2589" s="49" t="s">
        <v>2785</v>
      </c>
      <c r="F2589" s="49" t="s">
        <v>2792</v>
      </c>
      <c r="G2589" s="49" t="s">
        <v>2787</v>
      </c>
      <c r="H2589" s="49" t="s">
        <v>980</v>
      </c>
      <c r="I2589" s="50">
        <v>42940</v>
      </c>
      <c r="J2589" s="50">
        <v>42998</v>
      </c>
      <c r="K2589" s="50">
        <v>43178</v>
      </c>
      <c r="M2589" s="49" t="s">
        <v>7559</v>
      </c>
    </row>
    <row r="2590" spans="1:13" x14ac:dyDescent="0.35">
      <c r="A2590" s="49" t="s">
        <v>15205</v>
      </c>
      <c r="B2590" s="49" t="s">
        <v>9465</v>
      </c>
      <c r="C2590" s="49"/>
      <c r="D2590" s="49" t="s">
        <v>1264</v>
      </c>
      <c r="E2590" s="49" t="s">
        <v>2785</v>
      </c>
      <c r="F2590" s="49" t="s">
        <v>2792</v>
      </c>
      <c r="G2590" s="49" t="s">
        <v>2776</v>
      </c>
      <c r="H2590" s="49" t="s">
        <v>8</v>
      </c>
      <c r="I2590" s="50">
        <v>44028</v>
      </c>
      <c r="M2590" s="49" t="s">
        <v>9467</v>
      </c>
    </row>
    <row r="2591" spans="1:13" x14ac:dyDescent="0.35">
      <c r="A2591" s="49" t="s">
        <v>15348</v>
      </c>
      <c r="B2591" s="49" t="s">
        <v>4322</v>
      </c>
      <c r="C2591" s="49"/>
      <c r="D2591" s="49" t="s">
        <v>1264</v>
      </c>
      <c r="E2591" s="49" t="s">
        <v>2785</v>
      </c>
      <c r="F2591" s="49" t="s">
        <v>2792</v>
      </c>
      <c r="G2591" s="49" t="s">
        <v>2787</v>
      </c>
      <c r="H2591" s="49" t="s">
        <v>980</v>
      </c>
      <c r="I2591" s="50">
        <v>43769</v>
      </c>
      <c r="K2591" s="50">
        <v>44289</v>
      </c>
      <c r="M2591" s="49" t="s">
        <v>4324</v>
      </c>
    </row>
    <row r="2592" spans="1:13" x14ac:dyDescent="0.35">
      <c r="A2592" s="49" t="s">
        <v>14425</v>
      </c>
      <c r="B2592" s="49" t="s">
        <v>8390</v>
      </c>
      <c r="C2592" s="49" t="s">
        <v>8391</v>
      </c>
      <c r="D2592" s="49" t="s">
        <v>1264</v>
      </c>
      <c r="E2592" s="49" t="s">
        <v>2774</v>
      </c>
      <c r="F2592" s="49" t="s">
        <v>3598</v>
      </c>
      <c r="G2592" s="49" t="s">
        <v>2826</v>
      </c>
      <c r="H2592" s="49" t="s">
        <v>973</v>
      </c>
      <c r="I2592" s="50">
        <v>38023</v>
      </c>
      <c r="J2592" s="50">
        <v>38317</v>
      </c>
      <c r="K2592" s="50">
        <v>39411</v>
      </c>
      <c r="M2592" s="49" t="s">
        <v>8393</v>
      </c>
    </row>
    <row r="2593" spans="1:13" x14ac:dyDescent="0.35">
      <c r="A2593" s="49" t="s">
        <v>14780</v>
      </c>
      <c r="B2593" s="49" t="s">
        <v>10535</v>
      </c>
      <c r="C2593" s="49" t="s">
        <v>2863</v>
      </c>
      <c r="D2593" s="49" t="s">
        <v>1264</v>
      </c>
      <c r="E2593" s="49" t="s">
        <v>2814</v>
      </c>
      <c r="F2593" s="49" t="s">
        <v>2825</v>
      </c>
      <c r="G2593" s="49" t="s">
        <v>2776</v>
      </c>
      <c r="H2593" s="49" t="s">
        <v>2827</v>
      </c>
      <c r="I2593" s="50">
        <v>42430</v>
      </c>
      <c r="M2593" s="49" t="s">
        <v>10537</v>
      </c>
    </row>
    <row r="2594" spans="1:13" x14ac:dyDescent="0.35">
      <c r="A2594" s="49" t="s">
        <v>14462</v>
      </c>
      <c r="B2594" s="49" t="s">
        <v>8919</v>
      </c>
      <c r="C2594" s="49"/>
      <c r="D2594" s="49" t="s">
        <v>1264</v>
      </c>
      <c r="E2594" s="49" t="s">
        <v>2814</v>
      </c>
      <c r="F2594" s="49" t="s">
        <v>2825</v>
      </c>
      <c r="G2594" s="49" t="s">
        <v>2787</v>
      </c>
      <c r="H2594" s="49" t="s">
        <v>2827</v>
      </c>
      <c r="I2594" s="50">
        <v>43532</v>
      </c>
      <c r="J2594" s="50">
        <v>43536</v>
      </c>
      <c r="K2594" s="50">
        <v>43938</v>
      </c>
      <c r="M2594" s="49" t="s">
        <v>3859</v>
      </c>
    </row>
    <row r="2595" spans="1:13" x14ac:dyDescent="0.35">
      <c r="A2595" s="49" t="s">
        <v>14462</v>
      </c>
      <c r="B2595" s="49" t="s">
        <v>10446</v>
      </c>
      <c r="C2595" s="49"/>
      <c r="D2595" s="49" t="s">
        <v>1264</v>
      </c>
      <c r="E2595" s="49" t="s">
        <v>2814</v>
      </c>
      <c r="F2595" s="49" t="s">
        <v>2825</v>
      </c>
      <c r="G2595" s="49" t="s">
        <v>2776</v>
      </c>
      <c r="H2595" s="49" t="s">
        <v>2827</v>
      </c>
      <c r="I2595" s="50">
        <v>44000</v>
      </c>
      <c r="M2595" s="49" t="s">
        <v>3859</v>
      </c>
    </row>
    <row r="2596" spans="1:13" x14ac:dyDescent="0.35">
      <c r="A2596" s="49" t="s">
        <v>6459</v>
      </c>
      <c r="B2596" s="49" t="s">
        <v>5586</v>
      </c>
      <c r="C2596" s="49" t="s">
        <v>5587</v>
      </c>
      <c r="D2596" s="49" t="s">
        <v>1264</v>
      </c>
      <c r="E2596" s="49" t="s">
        <v>2986</v>
      </c>
      <c r="F2596" s="49" t="s">
        <v>2825</v>
      </c>
      <c r="G2596" s="49" t="s">
        <v>4330</v>
      </c>
      <c r="H2596" s="49" t="s">
        <v>2827</v>
      </c>
      <c r="I2596" s="50">
        <v>45071</v>
      </c>
      <c r="M2596" s="49" t="s">
        <v>5589</v>
      </c>
    </row>
    <row r="2597" spans="1:13" x14ac:dyDescent="0.35">
      <c r="A2597" s="49" t="s">
        <v>6459</v>
      </c>
      <c r="B2597" s="49" t="s">
        <v>6457</v>
      </c>
      <c r="C2597" s="49" t="s">
        <v>6458</v>
      </c>
      <c r="D2597" s="49" t="s">
        <v>1264</v>
      </c>
      <c r="E2597" s="49" t="s">
        <v>3443</v>
      </c>
      <c r="F2597" s="49" t="s">
        <v>3124</v>
      </c>
      <c r="G2597" s="49" t="s">
        <v>2901</v>
      </c>
      <c r="H2597" s="49" t="s">
        <v>980</v>
      </c>
      <c r="I2597" s="50">
        <v>45355</v>
      </c>
      <c r="J2597" s="50">
        <v>45362</v>
      </c>
      <c r="K2597" s="50">
        <v>45726</v>
      </c>
    </row>
    <row r="2598" spans="1:13" x14ac:dyDescent="0.35">
      <c r="A2598" s="49" t="s">
        <v>6459</v>
      </c>
      <c r="B2598" s="49" t="s">
        <v>11599</v>
      </c>
      <c r="C2598" s="49" t="s">
        <v>3075</v>
      </c>
      <c r="D2598" s="49" t="s">
        <v>1264</v>
      </c>
      <c r="E2598" s="49" t="s">
        <v>2908</v>
      </c>
      <c r="F2598" s="49" t="s">
        <v>2837</v>
      </c>
      <c r="G2598" s="49" t="s">
        <v>4891</v>
      </c>
      <c r="H2598" s="49" t="s">
        <v>973</v>
      </c>
      <c r="I2598" s="50">
        <v>45050</v>
      </c>
      <c r="M2598" s="49" t="s">
        <v>11600</v>
      </c>
    </row>
    <row r="2599" spans="1:13" x14ac:dyDescent="0.35">
      <c r="A2599" s="49" t="s">
        <v>6459</v>
      </c>
      <c r="B2599" s="49" t="s">
        <v>12275</v>
      </c>
      <c r="C2599" s="49" t="s">
        <v>12276</v>
      </c>
      <c r="D2599" s="49" t="s">
        <v>1264</v>
      </c>
      <c r="E2599" s="49" t="s">
        <v>2908</v>
      </c>
      <c r="F2599" s="49" t="s">
        <v>2837</v>
      </c>
      <c r="G2599" s="49" t="s">
        <v>4891</v>
      </c>
      <c r="H2599" s="49" t="s">
        <v>980</v>
      </c>
      <c r="I2599" s="50">
        <v>45365</v>
      </c>
      <c r="M2599" s="49" t="s">
        <v>12277</v>
      </c>
    </row>
    <row r="2600" spans="1:13" x14ac:dyDescent="0.35">
      <c r="A2600" s="49" t="s">
        <v>523</v>
      </c>
      <c r="B2600" s="49" t="s">
        <v>4886</v>
      </c>
      <c r="C2600" s="49"/>
      <c r="D2600" s="49" t="s">
        <v>1264</v>
      </c>
      <c r="E2600" s="49" t="s">
        <v>2986</v>
      </c>
      <c r="F2600" s="49" t="s">
        <v>2825</v>
      </c>
      <c r="G2600" s="49" t="s">
        <v>2901</v>
      </c>
      <c r="H2600" s="49" t="s">
        <v>2827</v>
      </c>
      <c r="I2600" s="50">
        <v>44692</v>
      </c>
      <c r="J2600" s="50">
        <v>45080</v>
      </c>
      <c r="K2600" s="50">
        <v>46175</v>
      </c>
      <c r="M2600" s="49" t="s">
        <v>4888</v>
      </c>
    </row>
    <row r="2601" spans="1:13" x14ac:dyDescent="0.35">
      <c r="A2601" s="49" t="s">
        <v>523</v>
      </c>
      <c r="B2601" s="49" t="s">
        <v>5272</v>
      </c>
      <c r="C2601" s="49" t="s">
        <v>3768</v>
      </c>
      <c r="D2601" s="49" t="s">
        <v>1264</v>
      </c>
      <c r="E2601" s="49" t="s">
        <v>3443</v>
      </c>
      <c r="F2601" s="49" t="s">
        <v>3124</v>
      </c>
      <c r="G2601" s="49" t="s">
        <v>2901</v>
      </c>
      <c r="H2601" s="49" t="s">
        <v>980</v>
      </c>
      <c r="I2601" s="50">
        <v>44715</v>
      </c>
      <c r="J2601" s="50">
        <v>44879</v>
      </c>
      <c r="K2601" s="50">
        <v>46704</v>
      </c>
    </row>
    <row r="2602" spans="1:13" x14ac:dyDescent="0.35">
      <c r="A2602" s="49" t="s">
        <v>523</v>
      </c>
      <c r="B2602" s="49" t="s">
        <v>5324</v>
      </c>
      <c r="C2602" s="49" t="s">
        <v>5325</v>
      </c>
      <c r="D2602" s="49" t="s">
        <v>1264</v>
      </c>
      <c r="E2602" s="49" t="s">
        <v>2908</v>
      </c>
      <c r="F2602" s="49" t="s">
        <v>2837</v>
      </c>
      <c r="G2602" s="49" t="s">
        <v>2901</v>
      </c>
      <c r="H2602" s="49" t="s">
        <v>2827</v>
      </c>
      <c r="I2602" s="50">
        <v>44715</v>
      </c>
      <c r="J2602" s="50">
        <v>44904</v>
      </c>
      <c r="K2602" s="50">
        <v>46729</v>
      </c>
      <c r="M2602" s="49" t="s">
        <v>5326</v>
      </c>
    </row>
    <row r="2603" spans="1:13" x14ac:dyDescent="0.35">
      <c r="A2603" s="49" t="s">
        <v>523</v>
      </c>
      <c r="B2603" s="49" t="s">
        <v>5439</v>
      </c>
      <c r="C2603" s="49"/>
      <c r="D2603" s="49" t="s">
        <v>1264</v>
      </c>
      <c r="E2603" s="49" t="s">
        <v>2974</v>
      </c>
      <c r="F2603" s="49" t="s">
        <v>2825</v>
      </c>
      <c r="G2603" s="49" t="s">
        <v>2901</v>
      </c>
      <c r="H2603" s="49" t="s">
        <v>2827</v>
      </c>
      <c r="I2603" s="50">
        <v>44767</v>
      </c>
      <c r="J2603" s="50">
        <v>44789</v>
      </c>
      <c r="K2603" s="50">
        <v>46614</v>
      </c>
      <c r="M2603" s="49" t="s">
        <v>5440</v>
      </c>
    </row>
    <row r="2604" spans="1:13" x14ac:dyDescent="0.35">
      <c r="A2604" s="49" t="s">
        <v>523</v>
      </c>
      <c r="B2604" s="49" t="s">
        <v>11306</v>
      </c>
      <c r="C2604" s="49" t="s">
        <v>11307</v>
      </c>
      <c r="D2604" s="49" t="s">
        <v>1264</v>
      </c>
      <c r="E2604" s="49" t="s">
        <v>2774</v>
      </c>
      <c r="F2604" s="49" t="s">
        <v>4842</v>
      </c>
      <c r="G2604" s="49" t="s">
        <v>4891</v>
      </c>
      <c r="H2604" s="49" t="s">
        <v>2827</v>
      </c>
      <c r="I2604" s="50">
        <v>45009</v>
      </c>
      <c r="M2604" s="49" t="s">
        <v>11308</v>
      </c>
    </row>
    <row r="2605" spans="1:13" x14ac:dyDescent="0.35">
      <c r="A2605" s="49" t="s">
        <v>742</v>
      </c>
      <c r="B2605" s="49" t="s">
        <v>10626</v>
      </c>
      <c r="C2605" s="49"/>
      <c r="D2605" s="49" t="s">
        <v>1264</v>
      </c>
      <c r="E2605" s="49" t="s">
        <v>2814</v>
      </c>
      <c r="F2605" s="49" t="s">
        <v>8985</v>
      </c>
      <c r="G2605" s="49" t="s">
        <v>2776</v>
      </c>
      <c r="H2605" s="49" t="s">
        <v>980</v>
      </c>
      <c r="I2605" s="50">
        <v>42590</v>
      </c>
      <c r="M2605" s="49" t="s">
        <v>3470</v>
      </c>
    </row>
    <row r="2606" spans="1:13" x14ac:dyDescent="0.35">
      <c r="A2606" s="49" t="s">
        <v>742</v>
      </c>
      <c r="B2606" s="49" t="s">
        <v>10627</v>
      </c>
      <c r="C2606" s="49"/>
      <c r="D2606" s="49" t="s">
        <v>1264</v>
      </c>
      <c r="E2606" s="49" t="s">
        <v>2814</v>
      </c>
      <c r="F2606" s="49" t="s">
        <v>2825</v>
      </c>
      <c r="G2606" s="49" t="s">
        <v>2776</v>
      </c>
      <c r="H2606" s="49" t="s">
        <v>2827</v>
      </c>
      <c r="I2606" s="50">
        <v>42590</v>
      </c>
      <c r="M2606" s="49" t="s">
        <v>3470</v>
      </c>
    </row>
    <row r="2607" spans="1:13" x14ac:dyDescent="0.35">
      <c r="A2607" s="49" t="s">
        <v>15026</v>
      </c>
      <c r="B2607" s="49" t="s">
        <v>8916</v>
      </c>
      <c r="C2607" s="49" t="s">
        <v>3420</v>
      </c>
      <c r="D2607" s="49" t="s">
        <v>1264</v>
      </c>
      <c r="E2607" s="49" t="s">
        <v>2814</v>
      </c>
      <c r="F2607" s="49" t="s">
        <v>2939</v>
      </c>
      <c r="G2607" s="49" t="s">
        <v>2787</v>
      </c>
      <c r="H2607" s="49" t="s">
        <v>980</v>
      </c>
      <c r="I2607" s="50">
        <v>41716</v>
      </c>
      <c r="J2607" s="50">
        <v>41738</v>
      </c>
      <c r="K2607" s="50">
        <v>41920</v>
      </c>
      <c r="M2607" s="49" t="s">
        <v>8918</v>
      </c>
    </row>
    <row r="2608" spans="1:13" x14ac:dyDescent="0.35">
      <c r="A2608" s="49" t="s">
        <v>14096</v>
      </c>
      <c r="B2608" s="49" t="s">
        <v>3340</v>
      </c>
      <c r="C2608" s="49" t="s">
        <v>3341</v>
      </c>
      <c r="D2608" s="49" t="s">
        <v>1264</v>
      </c>
      <c r="E2608" s="49" t="s">
        <v>2986</v>
      </c>
      <c r="F2608" s="49" t="s">
        <v>2825</v>
      </c>
      <c r="G2608" s="49" t="s">
        <v>2787</v>
      </c>
      <c r="H2608" s="49" t="s">
        <v>2827</v>
      </c>
      <c r="I2608" s="50">
        <v>41705</v>
      </c>
      <c r="J2608" s="50">
        <v>41808</v>
      </c>
      <c r="K2608" s="50">
        <v>43634</v>
      </c>
      <c r="M2608" s="49" t="s">
        <v>3270</v>
      </c>
    </row>
    <row r="2609" spans="1:13" x14ac:dyDescent="0.35">
      <c r="A2609" s="49" t="s">
        <v>14096</v>
      </c>
      <c r="B2609" s="49" t="s">
        <v>6600</v>
      </c>
      <c r="C2609" s="49"/>
      <c r="D2609" s="49" t="s">
        <v>1264</v>
      </c>
      <c r="E2609" s="49" t="s">
        <v>2974</v>
      </c>
      <c r="F2609" s="49" t="s">
        <v>2825</v>
      </c>
      <c r="G2609" s="49" t="s">
        <v>2901</v>
      </c>
      <c r="H2609" s="49" t="s">
        <v>2827</v>
      </c>
      <c r="I2609" s="50">
        <v>44747</v>
      </c>
      <c r="J2609" s="50">
        <v>44811</v>
      </c>
      <c r="K2609" s="50">
        <v>46636</v>
      </c>
      <c r="M2609" s="49" t="s">
        <v>6601</v>
      </c>
    </row>
    <row r="2610" spans="1:13" x14ac:dyDescent="0.35">
      <c r="A2610" s="49" t="s">
        <v>14096</v>
      </c>
      <c r="B2610" s="49" t="s">
        <v>10059</v>
      </c>
      <c r="C2610" s="49"/>
      <c r="D2610" s="49" t="s">
        <v>1264</v>
      </c>
      <c r="E2610" s="49" t="s">
        <v>2974</v>
      </c>
      <c r="F2610" s="49" t="s">
        <v>2825</v>
      </c>
      <c r="G2610" s="49" t="s">
        <v>2776</v>
      </c>
      <c r="H2610" s="49" t="s">
        <v>2827</v>
      </c>
      <c r="I2610" s="50">
        <v>42576</v>
      </c>
      <c r="M2610" s="49" t="s">
        <v>10060</v>
      </c>
    </row>
    <row r="2611" spans="1:13" x14ac:dyDescent="0.35">
      <c r="A2611" s="49" t="s">
        <v>14096</v>
      </c>
      <c r="B2611" s="49" t="s">
        <v>11674</v>
      </c>
      <c r="C2611" s="49"/>
      <c r="D2611" s="49" t="s">
        <v>1264</v>
      </c>
      <c r="E2611" s="49" t="s">
        <v>2774</v>
      </c>
      <c r="F2611" s="49" t="s">
        <v>4842</v>
      </c>
      <c r="G2611" s="49" t="s">
        <v>2776</v>
      </c>
      <c r="H2611" s="49" t="s">
        <v>2827</v>
      </c>
      <c r="I2611" s="50">
        <v>45240</v>
      </c>
      <c r="M2611" s="49" t="s">
        <v>11675</v>
      </c>
    </row>
    <row r="2612" spans="1:13" x14ac:dyDescent="0.35">
      <c r="A2612" s="49" t="s">
        <v>14096</v>
      </c>
      <c r="B2612" s="49" t="s">
        <v>12026</v>
      </c>
      <c r="C2612" s="49"/>
      <c r="D2612" s="49" t="s">
        <v>1264</v>
      </c>
      <c r="E2612" s="49" t="s">
        <v>2986</v>
      </c>
      <c r="F2612" s="49" t="s">
        <v>2825</v>
      </c>
      <c r="G2612" s="49" t="s">
        <v>2776</v>
      </c>
      <c r="H2612" s="49" t="s">
        <v>2827</v>
      </c>
      <c r="I2612" s="50">
        <v>45306</v>
      </c>
      <c r="M2612" s="49" t="s">
        <v>12027</v>
      </c>
    </row>
    <row r="2613" spans="1:13" x14ac:dyDescent="0.35">
      <c r="A2613" s="49" t="s">
        <v>14768</v>
      </c>
      <c r="B2613" s="49" t="s">
        <v>9962</v>
      </c>
      <c r="C2613" s="49"/>
      <c r="D2613" s="49" t="s">
        <v>1264</v>
      </c>
      <c r="E2613" s="49" t="s">
        <v>7057</v>
      </c>
      <c r="F2613" s="49" t="s">
        <v>2825</v>
      </c>
      <c r="G2613" s="49" t="s">
        <v>2776</v>
      </c>
      <c r="H2613" s="49" t="s">
        <v>2827</v>
      </c>
      <c r="I2613" s="50">
        <v>42604</v>
      </c>
      <c r="M2613" s="49" t="s">
        <v>8587</v>
      </c>
    </row>
    <row r="2614" spans="1:13" x14ac:dyDescent="0.35">
      <c r="A2614" s="49" t="s">
        <v>14463</v>
      </c>
      <c r="B2614" s="49" t="s">
        <v>8953</v>
      </c>
      <c r="C2614" s="49"/>
      <c r="D2614" s="49" t="s">
        <v>1264</v>
      </c>
      <c r="E2614" s="49" t="s">
        <v>2814</v>
      </c>
      <c r="F2614" s="49" t="s">
        <v>2825</v>
      </c>
      <c r="G2614" s="49" t="s">
        <v>2787</v>
      </c>
      <c r="H2614" s="49" t="s">
        <v>2827</v>
      </c>
      <c r="I2614" s="50">
        <v>42135</v>
      </c>
      <c r="J2614" s="50">
        <v>42152</v>
      </c>
      <c r="K2614" s="50">
        <v>42335</v>
      </c>
      <c r="M2614" s="49" t="s">
        <v>8955</v>
      </c>
    </row>
    <row r="2615" spans="1:13" x14ac:dyDescent="0.35">
      <c r="A2615" s="49" t="s">
        <v>15074</v>
      </c>
      <c r="B2615" s="49" t="s">
        <v>4358</v>
      </c>
      <c r="C2615" s="49"/>
      <c r="D2615" s="49" t="s">
        <v>1264</v>
      </c>
      <c r="E2615" s="49" t="s">
        <v>2785</v>
      </c>
      <c r="F2615" s="49" t="s">
        <v>2786</v>
      </c>
      <c r="G2615" s="49" t="s">
        <v>2787</v>
      </c>
      <c r="H2615" s="49" t="s">
        <v>980</v>
      </c>
      <c r="I2615" s="50">
        <v>44278</v>
      </c>
      <c r="K2615" s="50">
        <v>45510</v>
      </c>
      <c r="M2615" s="49" t="s">
        <v>4360</v>
      </c>
    </row>
    <row r="2616" spans="1:13" x14ac:dyDescent="0.35">
      <c r="A2616" s="49" t="s">
        <v>14195</v>
      </c>
      <c r="B2616" s="49" t="s">
        <v>4634</v>
      </c>
      <c r="C2616" s="49"/>
      <c r="D2616" s="49" t="s">
        <v>1264</v>
      </c>
      <c r="E2616" s="49" t="s">
        <v>2785</v>
      </c>
      <c r="F2616" s="49" t="s">
        <v>2792</v>
      </c>
      <c r="G2616" s="49" t="s">
        <v>2787</v>
      </c>
      <c r="H2616" s="49" t="s">
        <v>980</v>
      </c>
      <c r="I2616" s="50">
        <v>44302</v>
      </c>
      <c r="J2616" s="50">
        <v>44614</v>
      </c>
      <c r="K2616" s="50">
        <v>45428</v>
      </c>
      <c r="M2616" s="49" t="s">
        <v>4636</v>
      </c>
    </row>
    <row r="2617" spans="1:13" x14ac:dyDescent="0.35">
      <c r="A2617" s="49" t="s">
        <v>14195</v>
      </c>
      <c r="B2617" s="49" t="s">
        <v>4639</v>
      </c>
      <c r="C2617" s="49" t="s">
        <v>3962</v>
      </c>
      <c r="D2617" s="49" t="s">
        <v>1264</v>
      </c>
      <c r="E2617" s="49" t="s">
        <v>2785</v>
      </c>
      <c r="F2617" s="49" t="s">
        <v>2792</v>
      </c>
      <c r="G2617" s="49" t="s">
        <v>2787</v>
      </c>
      <c r="H2617" s="49" t="s">
        <v>980</v>
      </c>
      <c r="I2617" s="50">
        <v>44320</v>
      </c>
      <c r="J2617" s="50">
        <v>44971</v>
      </c>
      <c r="K2617" s="50">
        <v>45335</v>
      </c>
      <c r="M2617" s="49" t="s">
        <v>4640</v>
      </c>
    </row>
    <row r="2618" spans="1:13" x14ac:dyDescent="0.35">
      <c r="A2618" s="49" t="s">
        <v>14200</v>
      </c>
      <c r="B2618" s="49" t="s">
        <v>4745</v>
      </c>
      <c r="C2618" s="49" t="s">
        <v>3881</v>
      </c>
      <c r="D2618" s="49" t="s">
        <v>1264</v>
      </c>
      <c r="E2618" s="49" t="s">
        <v>2785</v>
      </c>
      <c r="F2618" s="49" t="s">
        <v>2786</v>
      </c>
      <c r="G2618" s="49" t="s">
        <v>2787</v>
      </c>
      <c r="H2618" s="49" t="s">
        <v>980</v>
      </c>
      <c r="I2618" s="50">
        <v>44292</v>
      </c>
      <c r="K2618" s="50">
        <v>45510</v>
      </c>
      <c r="M2618" s="49" t="s">
        <v>4747</v>
      </c>
    </row>
    <row r="2619" spans="1:13" x14ac:dyDescent="0.35">
      <c r="A2619" s="49" t="s">
        <v>14955</v>
      </c>
      <c r="B2619" s="49" t="s">
        <v>10896</v>
      </c>
      <c r="C2619" s="49" t="s">
        <v>10897</v>
      </c>
      <c r="D2619" s="49" t="s">
        <v>1264</v>
      </c>
      <c r="E2619" s="49" t="s">
        <v>2986</v>
      </c>
      <c r="F2619" s="49" t="s">
        <v>2825</v>
      </c>
      <c r="G2619" s="49" t="s">
        <v>4891</v>
      </c>
      <c r="H2619" s="49" t="s">
        <v>2827</v>
      </c>
      <c r="I2619" s="50">
        <v>44461</v>
      </c>
      <c r="M2619" s="49" t="s">
        <v>10899</v>
      </c>
    </row>
    <row r="2620" spans="1:13" x14ac:dyDescent="0.35">
      <c r="A2620" s="49" t="s">
        <v>15206</v>
      </c>
      <c r="B2620" s="49" t="s">
        <v>9502</v>
      </c>
      <c r="C2620" s="49" t="s">
        <v>9503</v>
      </c>
      <c r="D2620" s="49" t="s">
        <v>1264</v>
      </c>
      <c r="E2620" s="49" t="s">
        <v>2785</v>
      </c>
      <c r="F2620" s="49" t="s">
        <v>2792</v>
      </c>
      <c r="G2620" s="49" t="s">
        <v>2776</v>
      </c>
      <c r="H2620" s="49" t="s">
        <v>8</v>
      </c>
      <c r="I2620" s="50">
        <v>43601</v>
      </c>
      <c r="M2620" s="49" t="s">
        <v>9505</v>
      </c>
    </row>
    <row r="2621" spans="1:13" x14ac:dyDescent="0.35">
      <c r="A2621" s="49" t="s">
        <v>15206</v>
      </c>
      <c r="B2621" s="49" t="s">
        <v>9600</v>
      </c>
      <c r="C2621" s="49"/>
      <c r="D2621" s="49" t="s">
        <v>1264</v>
      </c>
      <c r="E2621" s="49" t="s">
        <v>2785</v>
      </c>
      <c r="F2621" s="49" t="s">
        <v>2792</v>
      </c>
      <c r="G2621" s="49" t="s">
        <v>2776</v>
      </c>
      <c r="H2621" s="49" t="s">
        <v>8</v>
      </c>
      <c r="I2621" s="50">
        <v>43409</v>
      </c>
      <c r="M2621" s="49" t="s">
        <v>9601</v>
      </c>
    </row>
    <row r="2622" spans="1:13" x14ac:dyDescent="0.35">
      <c r="A2622" s="49" t="s">
        <v>15027</v>
      </c>
      <c r="B2622" s="49" t="s">
        <v>8238</v>
      </c>
      <c r="C2622" s="49" t="s">
        <v>8239</v>
      </c>
      <c r="D2622" s="49" t="s">
        <v>1264</v>
      </c>
      <c r="E2622" s="49" t="s">
        <v>2908</v>
      </c>
      <c r="F2622" s="49" t="s">
        <v>3010</v>
      </c>
      <c r="G2622" s="49" t="s">
        <v>2826</v>
      </c>
      <c r="H2622" s="49" t="s">
        <v>980</v>
      </c>
      <c r="I2622" s="50">
        <v>38639</v>
      </c>
      <c r="J2622" s="50">
        <v>35689</v>
      </c>
      <c r="K2622" s="50">
        <v>38639</v>
      </c>
      <c r="M2622" s="49" t="s">
        <v>8241</v>
      </c>
    </row>
    <row r="2623" spans="1:13" x14ac:dyDescent="0.35">
      <c r="A2623" s="49" t="s">
        <v>14624</v>
      </c>
      <c r="B2623" s="49" t="s">
        <v>12252</v>
      </c>
      <c r="C2623" s="49" t="s">
        <v>3615</v>
      </c>
      <c r="D2623" s="49" t="s">
        <v>1264</v>
      </c>
      <c r="E2623" s="49" t="s">
        <v>2785</v>
      </c>
      <c r="F2623" s="49" t="s">
        <v>3010</v>
      </c>
      <c r="G2623" s="49" t="s">
        <v>4891</v>
      </c>
      <c r="H2623" s="49" t="s">
        <v>980</v>
      </c>
      <c r="I2623" s="50">
        <v>45363</v>
      </c>
      <c r="M2623" s="49" t="s">
        <v>12254</v>
      </c>
    </row>
    <row r="2624" spans="1:13" x14ac:dyDescent="0.35">
      <c r="A2624" s="49" t="s">
        <v>14396</v>
      </c>
      <c r="B2624" s="49" t="s">
        <v>8023</v>
      </c>
      <c r="C2624" s="49" t="s">
        <v>8024</v>
      </c>
      <c r="D2624" s="49" t="s">
        <v>1264</v>
      </c>
      <c r="E2624" s="49" t="s">
        <v>2908</v>
      </c>
      <c r="F2624" s="49" t="s">
        <v>2837</v>
      </c>
      <c r="G2624" s="49" t="s">
        <v>2826</v>
      </c>
      <c r="H2624" s="49" t="s">
        <v>980</v>
      </c>
      <c r="I2624" s="50">
        <v>35041</v>
      </c>
      <c r="J2624" s="50">
        <v>35975</v>
      </c>
      <c r="K2624" s="50">
        <v>39115</v>
      </c>
      <c r="M2624" s="49" t="s">
        <v>8026</v>
      </c>
    </row>
    <row r="2625" spans="1:13" x14ac:dyDescent="0.35">
      <c r="A2625" s="49" t="s">
        <v>14396</v>
      </c>
      <c r="B2625" s="49" t="s">
        <v>8093</v>
      </c>
      <c r="C2625" s="49" t="s">
        <v>8094</v>
      </c>
      <c r="D2625" s="49" t="s">
        <v>1264</v>
      </c>
      <c r="E2625" s="49" t="s">
        <v>2908</v>
      </c>
      <c r="F2625" s="49" t="s">
        <v>2837</v>
      </c>
      <c r="G2625" s="49" t="s">
        <v>2826</v>
      </c>
      <c r="H2625" s="49" t="s">
        <v>980</v>
      </c>
      <c r="I2625" s="50">
        <v>32779</v>
      </c>
      <c r="J2625" s="50">
        <v>33032</v>
      </c>
      <c r="K2625" s="50">
        <v>39986</v>
      </c>
      <c r="M2625" s="49" t="s">
        <v>8095</v>
      </c>
    </row>
    <row r="2626" spans="1:13" x14ac:dyDescent="0.35">
      <c r="A2626" s="49" t="s">
        <v>14396</v>
      </c>
      <c r="B2626" s="49" t="s">
        <v>8251</v>
      </c>
      <c r="C2626" s="49" t="s">
        <v>8252</v>
      </c>
      <c r="D2626" s="49" t="s">
        <v>1264</v>
      </c>
      <c r="E2626" s="49" t="s">
        <v>2908</v>
      </c>
      <c r="F2626" s="49" t="s">
        <v>2939</v>
      </c>
      <c r="G2626" s="49" t="s">
        <v>2826</v>
      </c>
      <c r="H2626" s="49" t="s">
        <v>980</v>
      </c>
      <c r="I2626" s="50">
        <v>35024</v>
      </c>
      <c r="J2626" s="50">
        <v>35384</v>
      </c>
      <c r="K2626" s="50">
        <v>40024</v>
      </c>
      <c r="M2626" s="49" t="s">
        <v>8253</v>
      </c>
    </row>
    <row r="2627" spans="1:13" x14ac:dyDescent="0.35">
      <c r="A2627" s="49" t="s">
        <v>14717</v>
      </c>
      <c r="B2627" s="49" t="s">
        <v>7331</v>
      </c>
      <c r="C2627" s="49" t="s">
        <v>7332</v>
      </c>
      <c r="D2627" s="49" t="s">
        <v>1264</v>
      </c>
      <c r="E2627" s="49" t="s">
        <v>2908</v>
      </c>
      <c r="F2627" s="49" t="s">
        <v>3010</v>
      </c>
      <c r="G2627" s="49" t="s">
        <v>2787</v>
      </c>
      <c r="H2627" s="49" t="s">
        <v>980</v>
      </c>
      <c r="I2627" s="50">
        <v>41441</v>
      </c>
      <c r="J2627" s="50">
        <v>41655</v>
      </c>
      <c r="K2627" s="50">
        <v>43480</v>
      </c>
      <c r="M2627" s="49" t="s">
        <v>7334</v>
      </c>
    </row>
    <row r="2628" spans="1:13" x14ac:dyDescent="0.35">
      <c r="A2628" s="49" t="s">
        <v>14301</v>
      </c>
      <c r="B2628" s="49" t="s">
        <v>6638</v>
      </c>
      <c r="C2628" s="49"/>
      <c r="D2628" s="49" t="s">
        <v>1264</v>
      </c>
      <c r="E2628" s="49" t="s">
        <v>2908</v>
      </c>
      <c r="F2628" s="49" t="s">
        <v>3010</v>
      </c>
      <c r="G2628" s="49" t="s">
        <v>2901</v>
      </c>
      <c r="H2628" s="49" t="s">
        <v>980</v>
      </c>
      <c r="I2628" s="50">
        <v>45007</v>
      </c>
      <c r="J2628" s="50">
        <v>45054</v>
      </c>
      <c r="K2628" s="50">
        <v>46880</v>
      </c>
      <c r="M2628" s="49" t="s">
        <v>6640</v>
      </c>
    </row>
    <row r="2629" spans="1:13" x14ac:dyDescent="0.35">
      <c r="A2629" s="49" t="s">
        <v>997</v>
      </c>
      <c r="B2629" s="49" t="s">
        <v>4063</v>
      </c>
      <c r="C2629" s="49" t="s">
        <v>3962</v>
      </c>
      <c r="D2629" s="49" t="s">
        <v>1264</v>
      </c>
      <c r="E2629" s="49" t="s">
        <v>2785</v>
      </c>
      <c r="F2629" s="49" t="s">
        <v>2792</v>
      </c>
      <c r="G2629" s="49" t="s">
        <v>2787</v>
      </c>
      <c r="H2629" s="49" t="s">
        <v>980</v>
      </c>
      <c r="I2629" s="50">
        <v>44006</v>
      </c>
      <c r="J2629" s="50">
        <v>44103</v>
      </c>
      <c r="K2629" s="50">
        <v>44468</v>
      </c>
      <c r="M2629" s="49" t="s">
        <v>4065</v>
      </c>
    </row>
    <row r="2630" spans="1:13" x14ac:dyDescent="0.35">
      <c r="A2630" s="49" t="s">
        <v>997</v>
      </c>
      <c r="B2630" s="49" t="s">
        <v>4575</v>
      </c>
      <c r="C2630" s="49" t="s">
        <v>4576</v>
      </c>
      <c r="D2630" s="49" t="s">
        <v>1264</v>
      </c>
      <c r="E2630" s="49" t="s">
        <v>2785</v>
      </c>
      <c r="F2630" s="49" t="s">
        <v>2792</v>
      </c>
      <c r="G2630" s="49" t="s">
        <v>2787</v>
      </c>
      <c r="H2630" s="49" t="s">
        <v>980</v>
      </c>
      <c r="I2630" s="50">
        <v>44503</v>
      </c>
      <c r="J2630" s="50">
        <v>44540</v>
      </c>
      <c r="K2630" s="50">
        <v>45428</v>
      </c>
      <c r="M2630" s="49" t="s">
        <v>4577</v>
      </c>
    </row>
    <row r="2631" spans="1:13" x14ac:dyDescent="0.35">
      <c r="A2631" s="49" t="s">
        <v>997</v>
      </c>
      <c r="B2631" s="49" t="s">
        <v>4868</v>
      </c>
      <c r="C2631" s="49" t="s">
        <v>4576</v>
      </c>
      <c r="D2631" s="49" t="s">
        <v>1264</v>
      </c>
      <c r="E2631" s="49" t="s">
        <v>2785</v>
      </c>
      <c r="F2631" s="49" t="s">
        <v>2792</v>
      </c>
      <c r="G2631" s="49" t="s">
        <v>2787</v>
      </c>
      <c r="H2631" s="49" t="s">
        <v>980</v>
      </c>
      <c r="I2631" s="50">
        <v>44676</v>
      </c>
      <c r="J2631" s="50">
        <v>44748</v>
      </c>
      <c r="K2631" s="50">
        <v>45505</v>
      </c>
      <c r="M2631" s="49" t="s">
        <v>4289</v>
      </c>
    </row>
    <row r="2632" spans="1:13" x14ac:dyDescent="0.35">
      <c r="A2632" s="49" t="s">
        <v>997</v>
      </c>
      <c r="B2632" s="49" t="s">
        <v>11785</v>
      </c>
      <c r="C2632" s="49" t="s">
        <v>3768</v>
      </c>
      <c r="D2632" s="49" t="s">
        <v>1264</v>
      </c>
      <c r="E2632" s="49" t="s">
        <v>3443</v>
      </c>
      <c r="F2632" s="49" t="s">
        <v>3124</v>
      </c>
      <c r="G2632" s="49" t="s">
        <v>4891</v>
      </c>
      <c r="H2632" s="49" t="s">
        <v>980</v>
      </c>
      <c r="I2632" s="50">
        <v>45182</v>
      </c>
    </row>
    <row r="2633" spans="1:13" x14ac:dyDescent="0.35">
      <c r="A2633" s="49" t="s">
        <v>15439</v>
      </c>
      <c r="B2633" s="49" t="s">
        <v>4308</v>
      </c>
      <c r="C2633" s="49" t="s">
        <v>4309</v>
      </c>
      <c r="D2633" s="49" t="s">
        <v>1264</v>
      </c>
      <c r="E2633" s="49" t="s">
        <v>2814</v>
      </c>
      <c r="F2633" s="49" t="s">
        <v>2825</v>
      </c>
      <c r="G2633" s="49" t="s">
        <v>2787</v>
      </c>
      <c r="H2633" s="49" t="s">
        <v>2827</v>
      </c>
      <c r="I2633" s="50">
        <v>44326</v>
      </c>
      <c r="J2633" s="50">
        <v>44342</v>
      </c>
      <c r="K2633" s="50">
        <v>44525</v>
      </c>
      <c r="M2633" s="49" t="s">
        <v>4311</v>
      </c>
    </row>
    <row r="2634" spans="1:13" x14ac:dyDescent="0.35">
      <c r="A2634" s="49" t="s">
        <v>15439</v>
      </c>
      <c r="B2634" s="49" t="s">
        <v>4416</v>
      </c>
      <c r="C2634" s="49" t="s">
        <v>4417</v>
      </c>
      <c r="D2634" s="49" t="s">
        <v>1264</v>
      </c>
      <c r="E2634" s="49" t="s">
        <v>2986</v>
      </c>
      <c r="F2634" s="49" t="s">
        <v>2825</v>
      </c>
      <c r="G2634" s="49" t="s">
        <v>2921</v>
      </c>
      <c r="H2634" s="49" t="s">
        <v>2827</v>
      </c>
      <c r="I2634" s="50">
        <v>44251</v>
      </c>
      <c r="J2634" s="50">
        <v>44413</v>
      </c>
      <c r="K2634" s="50">
        <v>45508</v>
      </c>
      <c r="M2634" s="49" t="s">
        <v>4418</v>
      </c>
    </row>
    <row r="2635" spans="1:13" x14ac:dyDescent="0.35">
      <c r="A2635" s="49" t="s">
        <v>15439</v>
      </c>
      <c r="B2635" s="49" t="s">
        <v>11149</v>
      </c>
      <c r="C2635" s="49" t="s">
        <v>11150</v>
      </c>
      <c r="D2635" s="49" t="s">
        <v>1264</v>
      </c>
      <c r="E2635" s="49" t="s">
        <v>2986</v>
      </c>
      <c r="F2635" s="49" t="s">
        <v>2825</v>
      </c>
      <c r="G2635" s="49" t="s">
        <v>4891</v>
      </c>
      <c r="H2635" s="49" t="s">
        <v>2827</v>
      </c>
      <c r="I2635" s="50">
        <v>44839</v>
      </c>
      <c r="M2635" s="49" t="s">
        <v>11151</v>
      </c>
    </row>
    <row r="2636" spans="1:13" x14ac:dyDescent="0.35">
      <c r="A2636" s="49" t="s">
        <v>15439</v>
      </c>
      <c r="B2636" s="49" t="s">
        <v>11728</v>
      </c>
      <c r="C2636" s="49" t="s">
        <v>11729</v>
      </c>
      <c r="D2636" s="49" t="s">
        <v>1264</v>
      </c>
      <c r="E2636" s="49" t="s">
        <v>2986</v>
      </c>
      <c r="F2636" s="49" t="s">
        <v>2825</v>
      </c>
      <c r="G2636" s="49" t="s">
        <v>4891</v>
      </c>
      <c r="H2636" s="49" t="s">
        <v>2827</v>
      </c>
      <c r="I2636" s="50">
        <v>45233</v>
      </c>
      <c r="M2636" s="49" t="s">
        <v>11151</v>
      </c>
    </row>
    <row r="2637" spans="1:13" x14ac:dyDescent="0.35">
      <c r="A2637" s="49" t="s">
        <v>15439</v>
      </c>
      <c r="B2637" s="49" t="s">
        <v>12102</v>
      </c>
      <c r="C2637" s="49" t="s">
        <v>12103</v>
      </c>
      <c r="D2637" s="49" t="s">
        <v>1264</v>
      </c>
      <c r="E2637" s="49" t="s">
        <v>2974</v>
      </c>
      <c r="F2637" s="49" t="s">
        <v>2825</v>
      </c>
      <c r="G2637" s="49" t="s">
        <v>2776</v>
      </c>
      <c r="H2637" s="49" t="s">
        <v>2827</v>
      </c>
      <c r="I2637" s="50">
        <v>45336</v>
      </c>
      <c r="M2637" s="49" t="s">
        <v>3455</v>
      </c>
    </row>
    <row r="2638" spans="1:13" x14ac:dyDescent="0.35">
      <c r="A2638" s="49" t="s">
        <v>15440</v>
      </c>
      <c r="B2638" s="49" t="s">
        <v>3789</v>
      </c>
      <c r="C2638" s="49" t="s">
        <v>3790</v>
      </c>
      <c r="D2638" s="49" t="s">
        <v>1264</v>
      </c>
      <c r="E2638" s="49" t="s">
        <v>2774</v>
      </c>
      <c r="F2638" s="49" t="s">
        <v>2825</v>
      </c>
      <c r="G2638" s="49" t="s">
        <v>2901</v>
      </c>
      <c r="H2638" s="49" t="s">
        <v>2827</v>
      </c>
      <c r="I2638" s="50">
        <v>43297</v>
      </c>
      <c r="J2638" s="50">
        <v>43501</v>
      </c>
      <c r="K2638" s="50">
        <v>46058</v>
      </c>
      <c r="M2638" s="49" t="s">
        <v>3792</v>
      </c>
    </row>
    <row r="2639" spans="1:13" x14ac:dyDescent="0.35">
      <c r="A2639" s="49" t="s">
        <v>15440</v>
      </c>
      <c r="B2639" s="49" t="s">
        <v>4840</v>
      </c>
      <c r="C2639" s="49" t="s">
        <v>4841</v>
      </c>
      <c r="D2639" s="49" t="s">
        <v>1264</v>
      </c>
      <c r="E2639" s="49" t="s">
        <v>2774</v>
      </c>
      <c r="F2639" s="49" t="s">
        <v>4842</v>
      </c>
      <c r="G2639" s="49" t="s">
        <v>2901</v>
      </c>
      <c r="H2639" s="49" t="s">
        <v>2827</v>
      </c>
      <c r="I2639" s="50">
        <v>43066</v>
      </c>
      <c r="J2639" s="50">
        <v>43229</v>
      </c>
      <c r="K2639" s="50">
        <v>45785</v>
      </c>
      <c r="M2639" s="49" t="s">
        <v>4843</v>
      </c>
    </row>
    <row r="2640" spans="1:13" x14ac:dyDescent="0.35">
      <c r="A2640" s="49" t="s">
        <v>15440</v>
      </c>
      <c r="B2640" s="49" t="s">
        <v>5333</v>
      </c>
      <c r="C2640" s="49" t="s">
        <v>5334</v>
      </c>
      <c r="D2640" s="49" t="s">
        <v>1264</v>
      </c>
      <c r="E2640" s="49" t="s">
        <v>2974</v>
      </c>
      <c r="F2640" s="49" t="s">
        <v>4842</v>
      </c>
      <c r="G2640" s="49" t="s">
        <v>2901</v>
      </c>
      <c r="H2640" s="49" t="s">
        <v>2827</v>
      </c>
      <c r="I2640" s="50">
        <v>44796</v>
      </c>
      <c r="J2640" s="50">
        <v>44797</v>
      </c>
      <c r="K2640" s="50">
        <v>46622</v>
      </c>
      <c r="M2640" s="49" t="s">
        <v>5335</v>
      </c>
    </row>
    <row r="2641" spans="1:13" x14ac:dyDescent="0.35">
      <c r="A2641" s="49" t="s">
        <v>15440</v>
      </c>
      <c r="B2641" s="49" t="s">
        <v>9303</v>
      </c>
      <c r="C2641" s="49"/>
      <c r="D2641" s="49" t="s">
        <v>1264</v>
      </c>
      <c r="E2641" s="49" t="s">
        <v>2908</v>
      </c>
      <c r="F2641" s="49" t="s">
        <v>2837</v>
      </c>
      <c r="G2641" s="49" t="s">
        <v>2776</v>
      </c>
      <c r="H2641" s="49" t="s">
        <v>2827</v>
      </c>
      <c r="I2641" s="50">
        <v>43096</v>
      </c>
      <c r="M2641" s="49" t="s">
        <v>9304</v>
      </c>
    </row>
    <row r="2642" spans="1:13" x14ac:dyDescent="0.35">
      <c r="A2642" s="49" t="s">
        <v>15440</v>
      </c>
      <c r="B2642" s="49" t="s">
        <v>10070</v>
      </c>
      <c r="C2642" s="49" t="s">
        <v>10071</v>
      </c>
      <c r="D2642" s="49" t="s">
        <v>1264</v>
      </c>
      <c r="E2642" s="49" t="s">
        <v>7057</v>
      </c>
      <c r="F2642" s="49" t="s">
        <v>2825</v>
      </c>
      <c r="G2642" s="49" t="s">
        <v>2776</v>
      </c>
      <c r="H2642" s="49" t="s">
        <v>2827</v>
      </c>
      <c r="I2642" s="50">
        <v>44182</v>
      </c>
      <c r="M2642" s="49" t="s">
        <v>10072</v>
      </c>
    </row>
    <row r="2643" spans="1:13" x14ac:dyDescent="0.35">
      <c r="A2643" s="49" t="s">
        <v>539</v>
      </c>
      <c r="B2643" s="49" t="s">
        <v>11492</v>
      </c>
      <c r="C2643" s="49" t="s">
        <v>11493</v>
      </c>
      <c r="D2643" s="49" t="s">
        <v>1264</v>
      </c>
      <c r="E2643" s="49" t="s">
        <v>2974</v>
      </c>
      <c r="F2643" s="49" t="s">
        <v>2825</v>
      </c>
      <c r="G2643" s="49" t="s">
        <v>2826</v>
      </c>
      <c r="H2643" s="49" t="s">
        <v>2827</v>
      </c>
      <c r="I2643" s="50">
        <v>45134</v>
      </c>
      <c r="M2643" s="49" t="s">
        <v>11495</v>
      </c>
    </row>
    <row r="2644" spans="1:13" x14ac:dyDescent="0.35">
      <c r="A2644" s="49" t="s">
        <v>539</v>
      </c>
      <c r="B2644" s="49" t="s">
        <v>11735</v>
      </c>
      <c r="C2644" s="49"/>
      <c r="D2644" s="49" t="s">
        <v>1264</v>
      </c>
      <c r="E2644" s="49" t="s">
        <v>2986</v>
      </c>
      <c r="F2644" s="49" t="s">
        <v>2825</v>
      </c>
      <c r="G2644" s="49" t="s">
        <v>2776</v>
      </c>
      <c r="H2644" s="49" t="s">
        <v>2827</v>
      </c>
      <c r="I2644" s="50">
        <v>45233</v>
      </c>
      <c r="M2644" s="49" t="s">
        <v>11736</v>
      </c>
    </row>
    <row r="2645" spans="1:13" x14ac:dyDescent="0.35">
      <c r="A2645" s="49" t="s">
        <v>539</v>
      </c>
      <c r="B2645" s="49" t="s">
        <v>11743</v>
      </c>
      <c r="C2645" s="49"/>
      <c r="D2645" s="49" t="s">
        <v>1264</v>
      </c>
      <c r="E2645" s="49" t="s">
        <v>2986</v>
      </c>
      <c r="F2645" s="49" t="s">
        <v>2825</v>
      </c>
      <c r="G2645" s="49" t="s">
        <v>2776</v>
      </c>
      <c r="H2645" s="49" t="s">
        <v>2827</v>
      </c>
      <c r="I2645" s="50">
        <v>45237</v>
      </c>
      <c r="M2645" s="49" t="s">
        <v>11744</v>
      </c>
    </row>
    <row r="2646" spans="1:13" x14ac:dyDescent="0.35">
      <c r="A2646" s="49" t="s">
        <v>539</v>
      </c>
      <c r="B2646" s="49" t="s">
        <v>12216</v>
      </c>
      <c r="C2646" s="49" t="s">
        <v>12217</v>
      </c>
      <c r="D2646" s="49" t="s">
        <v>1264</v>
      </c>
      <c r="E2646" s="49" t="s">
        <v>2986</v>
      </c>
      <c r="F2646" s="49" t="s">
        <v>2825</v>
      </c>
      <c r="G2646" s="49" t="s">
        <v>2776</v>
      </c>
      <c r="H2646" s="49" t="s">
        <v>2827</v>
      </c>
      <c r="I2646" s="50">
        <v>45324</v>
      </c>
      <c r="M2646" s="49" t="s">
        <v>12218</v>
      </c>
    </row>
    <row r="2647" spans="1:13" x14ac:dyDescent="0.35">
      <c r="A2647" s="49" t="s">
        <v>539</v>
      </c>
      <c r="B2647" s="49" t="s">
        <v>12226</v>
      </c>
      <c r="C2647" s="49" t="s">
        <v>12227</v>
      </c>
      <c r="D2647" s="49" t="s">
        <v>1264</v>
      </c>
      <c r="E2647" s="49" t="s">
        <v>2986</v>
      </c>
      <c r="F2647" s="49" t="s">
        <v>2825</v>
      </c>
      <c r="G2647" s="49" t="s">
        <v>2776</v>
      </c>
      <c r="H2647" s="49" t="s">
        <v>2827</v>
      </c>
      <c r="I2647" s="50">
        <v>45324</v>
      </c>
      <c r="M2647" s="49" t="s">
        <v>12228</v>
      </c>
    </row>
    <row r="2648" spans="1:13" x14ac:dyDescent="0.35">
      <c r="A2648" s="49" t="s">
        <v>539</v>
      </c>
      <c r="B2648" s="49" t="s">
        <v>12229</v>
      </c>
      <c r="C2648" s="49" t="s">
        <v>12230</v>
      </c>
      <c r="D2648" s="49" t="s">
        <v>1264</v>
      </c>
      <c r="E2648" s="49" t="s">
        <v>2986</v>
      </c>
      <c r="F2648" s="49" t="s">
        <v>2825</v>
      </c>
      <c r="G2648" s="49" t="s">
        <v>2776</v>
      </c>
      <c r="H2648" s="49" t="s">
        <v>2827</v>
      </c>
      <c r="I2648" s="50">
        <v>45324</v>
      </c>
      <c r="M2648" s="49" t="s">
        <v>12231</v>
      </c>
    </row>
    <row r="2649" spans="1:13" x14ac:dyDescent="0.35">
      <c r="A2649" s="49" t="s">
        <v>539</v>
      </c>
      <c r="B2649" s="49" t="s">
        <v>12232</v>
      </c>
      <c r="C2649" s="49" t="s">
        <v>12233</v>
      </c>
      <c r="D2649" s="49" t="s">
        <v>1264</v>
      </c>
      <c r="E2649" s="49" t="s">
        <v>2986</v>
      </c>
      <c r="F2649" s="49" t="s">
        <v>2825</v>
      </c>
      <c r="G2649" s="49" t="s">
        <v>2776</v>
      </c>
      <c r="H2649" s="49" t="s">
        <v>2827</v>
      </c>
      <c r="I2649" s="50">
        <v>45324</v>
      </c>
    </row>
    <row r="2650" spans="1:13" x14ac:dyDescent="0.35">
      <c r="A2650" s="49" t="s">
        <v>15441</v>
      </c>
      <c r="B2650" s="49" t="s">
        <v>10319</v>
      </c>
      <c r="C2650" s="49"/>
      <c r="D2650" s="49" t="s">
        <v>1264</v>
      </c>
      <c r="E2650" s="49" t="s">
        <v>2814</v>
      </c>
      <c r="F2650" s="49" t="s">
        <v>2825</v>
      </c>
      <c r="G2650" s="49" t="s">
        <v>2776</v>
      </c>
      <c r="H2650" s="49" t="s">
        <v>2827</v>
      </c>
      <c r="I2650" s="50">
        <v>43372</v>
      </c>
      <c r="M2650" s="49" t="s">
        <v>3270</v>
      </c>
    </row>
    <row r="2651" spans="1:13" x14ac:dyDescent="0.35">
      <c r="A2651" s="49" t="s">
        <v>14956</v>
      </c>
      <c r="B2651" s="49" t="s">
        <v>5878</v>
      </c>
      <c r="C2651" s="49" t="s">
        <v>5879</v>
      </c>
      <c r="D2651" s="49" t="s">
        <v>1264</v>
      </c>
      <c r="E2651" s="49" t="s">
        <v>2785</v>
      </c>
      <c r="F2651" s="49" t="s">
        <v>2792</v>
      </c>
      <c r="G2651" s="49" t="s">
        <v>4330</v>
      </c>
      <c r="H2651" s="49" t="s">
        <v>980</v>
      </c>
      <c r="I2651" s="50">
        <v>44789</v>
      </c>
      <c r="M2651" s="49" t="s">
        <v>5881</v>
      </c>
    </row>
    <row r="2652" spans="1:13" x14ac:dyDescent="0.35">
      <c r="A2652" s="49" t="s">
        <v>14956</v>
      </c>
      <c r="B2652" s="49" t="s">
        <v>6452</v>
      </c>
      <c r="C2652" s="49" t="s">
        <v>6453</v>
      </c>
      <c r="D2652" s="49" t="s">
        <v>1264</v>
      </c>
      <c r="E2652" s="49" t="s">
        <v>2785</v>
      </c>
      <c r="F2652" s="49" t="s">
        <v>2792</v>
      </c>
      <c r="G2652" s="49" t="s">
        <v>2901</v>
      </c>
      <c r="H2652" s="49" t="s">
        <v>980</v>
      </c>
      <c r="I2652" s="50">
        <v>45358</v>
      </c>
      <c r="J2652" s="50">
        <v>45363</v>
      </c>
      <c r="K2652" s="50">
        <v>45727</v>
      </c>
      <c r="M2652" s="49" t="s">
        <v>6454</v>
      </c>
    </row>
    <row r="2653" spans="1:13" x14ac:dyDescent="0.35">
      <c r="A2653" s="49" t="s">
        <v>14712</v>
      </c>
      <c r="B2653" s="49" t="s">
        <v>7002</v>
      </c>
      <c r="C2653" s="49"/>
      <c r="D2653" s="49" t="s">
        <v>1264</v>
      </c>
      <c r="E2653" s="49" t="s">
        <v>2814</v>
      </c>
      <c r="F2653" s="49" t="s">
        <v>2825</v>
      </c>
      <c r="G2653" s="49" t="s">
        <v>2826</v>
      </c>
      <c r="H2653" s="49" t="s">
        <v>2827</v>
      </c>
      <c r="I2653" s="50">
        <v>41115</v>
      </c>
      <c r="M2653" s="49" t="s">
        <v>7004</v>
      </c>
    </row>
    <row r="2654" spans="1:13" x14ac:dyDescent="0.35">
      <c r="A2654" s="49" t="s">
        <v>15442</v>
      </c>
      <c r="B2654" s="49" t="s">
        <v>5750</v>
      </c>
      <c r="C2654" s="49" t="s">
        <v>5751</v>
      </c>
      <c r="D2654" s="49" t="s">
        <v>1264</v>
      </c>
      <c r="E2654" s="49" t="s">
        <v>2986</v>
      </c>
      <c r="F2654" s="49" t="s">
        <v>2825</v>
      </c>
      <c r="G2654" s="49" t="s">
        <v>4330</v>
      </c>
      <c r="H2654" s="49" t="s">
        <v>973</v>
      </c>
      <c r="I2654" s="50">
        <v>45166</v>
      </c>
      <c r="M2654" s="49" t="s">
        <v>5753</v>
      </c>
    </row>
    <row r="2655" spans="1:13" x14ac:dyDescent="0.35">
      <c r="A2655" s="49" t="s">
        <v>15442</v>
      </c>
      <c r="B2655" s="49" t="s">
        <v>11383</v>
      </c>
      <c r="C2655" s="49" t="s">
        <v>5717</v>
      </c>
      <c r="D2655" s="49" t="s">
        <v>1264</v>
      </c>
      <c r="E2655" s="49" t="s">
        <v>2986</v>
      </c>
      <c r="F2655" s="49" t="s">
        <v>2825</v>
      </c>
      <c r="G2655" s="49" t="s">
        <v>2776</v>
      </c>
      <c r="H2655" s="49" t="s">
        <v>2827</v>
      </c>
      <c r="I2655" s="50">
        <v>45058</v>
      </c>
      <c r="M2655" s="49" t="s">
        <v>11385</v>
      </c>
    </row>
    <row r="2656" spans="1:13" x14ac:dyDescent="0.35">
      <c r="A2656" s="49" t="s">
        <v>15442</v>
      </c>
      <c r="B2656" s="49" t="s">
        <v>11414</v>
      </c>
      <c r="C2656" s="49" t="s">
        <v>11415</v>
      </c>
      <c r="D2656" s="49" t="s">
        <v>1264</v>
      </c>
      <c r="E2656" s="49" t="s">
        <v>2986</v>
      </c>
      <c r="F2656" s="49" t="s">
        <v>2825</v>
      </c>
      <c r="G2656" s="49" t="s">
        <v>2776</v>
      </c>
      <c r="H2656" s="49" t="s">
        <v>973</v>
      </c>
      <c r="I2656" s="50">
        <v>45092</v>
      </c>
      <c r="M2656" s="49" t="s">
        <v>11416</v>
      </c>
    </row>
    <row r="2657" spans="1:13" x14ac:dyDescent="0.35">
      <c r="A2657" s="49" t="s">
        <v>15442</v>
      </c>
      <c r="B2657" s="49" t="s">
        <v>11417</v>
      </c>
      <c r="C2657" s="49"/>
      <c r="D2657" s="49" t="s">
        <v>1264</v>
      </c>
      <c r="E2657" s="49" t="s">
        <v>2986</v>
      </c>
      <c r="F2657" s="49" t="s">
        <v>2825</v>
      </c>
      <c r="G2657" s="49" t="s">
        <v>2776</v>
      </c>
      <c r="H2657" s="49" t="s">
        <v>973</v>
      </c>
      <c r="I2657" s="50">
        <v>45097</v>
      </c>
      <c r="M2657" s="49" t="s">
        <v>11418</v>
      </c>
    </row>
    <row r="2658" spans="1:13" x14ac:dyDescent="0.35">
      <c r="A2658" s="49" t="s">
        <v>15442</v>
      </c>
      <c r="B2658" s="49" t="s">
        <v>11438</v>
      </c>
      <c r="C2658" s="49" t="s">
        <v>11439</v>
      </c>
      <c r="D2658" s="49" t="s">
        <v>1264</v>
      </c>
      <c r="E2658" s="49" t="s">
        <v>2986</v>
      </c>
      <c r="F2658" s="49" t="s">
        <v>2825</v>
      </c>
      <c r="G2658" s="49" t="s">
        <v>2776</v>
      </c>
      <c r="H2658" s="49" t="s">
        <v>973</v>
      </c>
      <c r="I2658" s="50">
        <v>45100</v>
      </c>
      <c r="M2658" s="49" t="s">
        <v>5992</v>
      </c>
    </row>
    <row r="2659" spans="1:13" x14ac:dyDescent="0.35">
      <c r="A2659" s="49" t="s">
        <v>15442</v>
      </c>
      <c r="B2659" s="49" t="s">
        <v>11440</v>
      </c>
      <c r="C2659" s="49" t="s">
        <v>11441</v>
      </c>
      <c r="D2659" s="49" t="s">
        <v>1264</v>
      </c>
      <c r="E2659" s="49" t="s">
        <v>2986</v>
      </c>
      <c r="F2659" s="49" t="s">
        <v>2825</v>
      </c>
      <c r="G2659" s="49" t="s">
        <v>2776</v>
      </c>
      <c r="H2659" s="49" t="s">
        <v>973</v>
      </c>
      <c r="I2659" s="50">
        <v>45100</v>
      </c>
      <c r="M2659" s="49" t="s">
        <v>5994</v>
      </c>
    </row>
    <row r="2660" spans="1:13" x14ac:dyDescent="0.35">
      <c r="A2660" s="49" t="s">
        <v>15442</v>
      </c>
      <c r="B2660" s="49" t="s">
        <v>11709</v>
      </c>
      <c r="C2660" s="49"/>
      <c r="D2660" s="49" t="s">
        <v>1264</v>
      </c>
      <c r="E2660" s="49" t="s">
        <v>2986</v>
      </c>
      <c r="F2660" s="49" t="s">
        <v>2825</v>
      </c>
      <c r="G2660" s="49" t="s">
        <v>2776</v>
      </c>
      <c r="H2660" s="49" t="s">
        <v>973</v>
      </c>
      <c r="I2660" s="50">
        <v>45233</v>
      </c>
      <c r="M2660" s="49" t="s">
        <v>11710</v>
      </c>
    </row>
    <row r="2661" spans="1:13" x14ac:dyDescent="0.35">
      <c r="A2661" s="49" t="s">
        <v>15442</v>
      </c>
      <c r="B2661" s="49" t="s">
        <v>11711</v>
      </c>
      <c r="C2661" s="49" t="s">
        <v>4817</v>
      </c>
      <c r="D2661" s="49" t="s">
        <v>1264</v>
      </c>
      <c r="E2661" s="49" t="s">
        <v>2986</v>
      </c>
      <c r="F2661" s="49" t="s">
        <v>2825</v>
      </c>
      <c r="G2661" s="49" t="s">
        <v>2776</v>
      </c>
      <c r="H2661" s="49" t="s">
        <v>973</v>
      </c>
      <c r="I2661" s="50">
        <v>45233</v>
      </c>
      <c r="M2661" s="49" t="s">
        <v>11712</v>
      </c>
    </row>
    <row r="2662" spans="1:13" x14ac:dyDescent="0.35">
      <c r="A2662" s="49" t="s">
        <v>15442</v>
      </c>
      <c r="B2662" s="49" t="s">
        <v>11838</v>
      </c>
      <c r="C2662" s="49" t="s">
        <v>11839</v>
      </c>
      <c r="D2662" s="49" t="s">
        <v>1264</v>
      </c>
      <c r="E2662" s="49" t="s">
        <v>2986</v>
      </c>
      <c r="F2662" s="49" t="s">
        <v>2825</v>
      </c>
      <c r="G2662" s="49" t="s">
        <v>2776</v>
      </c>
      <c r="H2662" s="49" t="s">
        <v>2827</v>
      </c>
      <c r="I2662" s="50">
        <v>45278</v>
      </c>
      <c r="M2662" s="49" t="s">
        <v>11840</v>
      </c>
    </row>
    <row r="2663" spans="1:13" x14ac:dyDescent="0.35">
      <c r="A2663" s="49" t="s">
        <v>14289</v>
      </c>
      <c r="B2663" s="49" t="s">
        <v>6435</v>
      </c>
      <c r="C2663" s="49" t="s">
        <v>3615</v>
      </c>
      <c r="D2663" s="49" t="s">
        <v>1264</v>
      </c>
      <c r="E2663" s="49" t="s">
        <v>2785</v>
      </c>
      <c r="F2663" s="49" t="s">
        <v>2786</v>
      </c>
      <c r="G2663" s="49" t="s">
        <v>2901</v>
      </c>
      <c r="H2663" s="49" t="s">
        <v>980</v>
      </c>
      <c r="I2663" s="50">
        <v>45358</v>
      </c>
      <c r="J2663" s="50">
        <v>45385</v>
      </c>
      <c r="K2663" s="50">
        <v>45749</v>
      </c>
      <c r="M2663" s="49" t="s">
        <v>6437</v>
      </c>
    </row>
    <row r="2664" spans="1:13" x14ac:dyDescent="0.35">
      <c r="A2664" s="49" t="s">
        <v>14289</v>
      </c>
      <c r="B2664" s="49" t="s">
        <v>12312</v>
      </c>
      <c r="C2664" s="49"/>
      <c r="D2664" s="49" t="s">
        <v>1264</v>
      </c>
      <c r="E2664" s="49" t="s">
        <v>2908</v>
      </c>
      <c r="F2664" s="49" t="s">
        <v>3010</v>
      </c>
      <c r="G2664" s="49" t="s">
        <v>4891</v>
      </c>
      <c r="H2664" s="49" t="s">
        <v>980</v>
      </c>
      <c r="I2664" s="50">
        <v>45372</v>
      </c>
      <c r="M2664" s="49" t="s">
        <v>6437</v>
      </c>
    </row>
    <row r="2665" spans="1:13" x14ac:dyDescent="0.35">
      <c r="A2665" s="49" t="s">
        <v>14957</v>
      </c>
      <c r="B2665" s="49" t="s">
        <v>12553</v>
      </c>
      <c r="C2665" s="49" t="s">
        <v>3075</v>
      </c>
      <c r="D2665" s="49" t="s">
        <v>1264</v>
      </c>
      <c r="E2665" s="49" t="s">
        <v>2908</v>
      </c>
      <c r="F2665" s="49" t="s">
        <v>2837</v>
      </c>
      <c r="G2665" s="49" t="s">
        <v>4891</v>
      </c>
      <c r="H2665" s="49" t="s">
        <v>2827</v>
      </c>
      <c r="I2665" s="50">
        <v>45435</v>
      </c>
      <c r="M2665" s="49" t="s">
        <v>12555</v>
      </c>
    </row>
    <row r="2666" spans="1:13" x14ac:dyDescent="0.35">
      <c r="A2666" s="49" t="s">
        <v>14957</v>
      </c>
      <c r="B2666" s="49" t="s">
        <v>12770</v>
      </c>
      <c r="C2666" s="49" t="s">
        <v>12771</v>
      </c>
      <c r="D2666" s="49" t="s">
        <v>1264</v>
      </c>
      <c r="E2666" s="49" t="s">
        <v>2908</v>
      </c>
      <c r="F2666" s="49" t="s">
        <v>2837</v>
      </c>
      <c r="G2666" s="49" t="s">
        <v>4891</v>
      </c>
      <c r="H2666" s="49" t="s">
        <v>2827</v>
      </c>
      <c r="I2666" s="50">
        <v>45554</v>
      </c>
      <c r="M2666" s="49" t="s">
        <v>12555</v>
      </c>
    </row>
    <row r="2667" spans="1:13" x14ac:dyDescent="0.35">
      <c r="A2667" s="49" t="s">
        <v>14958</v>
      </c>
      <c r="B2667" s="49" t="s">
        <v>4441</v>
      </c>
      <c r="C2667" s="49" t="s">
        <v>4442</v>
      </c>
      <c r="D2667" s="49" t="s">
        <v>1264</v>
      </c>
      <c r="E2667" s="49" t="s">
        <v>2785</v>
      </c>
      <c r="F2667" s="49" t="s">
        <v>2792</v>
      </c>
      <c r="G2667" s="49" t="s">
        <v>2787</v>
      </c>
      <c r="H2667" s="49" t="s">
        <v>980</v>
      </c>
      <c r="I2667" s="50">
        <v>44112</v>
      </c>
      <c r="J2667" s="50">
        <v>44411</v>
      </c>
      <c r="K2667" s="50">
        <v>45428</v>
      </c>
      <c r="M2667" s="49" t="s">
        <v>4444</v>
      </c>
    </row>
    <row r="2668" spans="1:13" x14ac:dyDescent="0.35">
      <c r="A2668" s="49" t="s">
        <v>14398</v>
      </c>
      <c r="B2668" s="49" t="s">
        <v>8031</v>
      </c>
      <c r="C2668" s="49" t="s">
        <v>8032</v>
      </c>
      <c r="D2668" s="49" t="s">
        <v>1264</v>
      </c>
      <c r="E2668" s="49" t="s">
        <v>2908</v>
      </c>
      <c r="F2668" s="49" t="s">
        <v>2939</v>
      </c>
      <c r="G2668" s="49" t="s">
        <v>2826</v>
      </c>
      <c r="H2668" s="49" t="s">
        <v>980</v>
      </c>
      <c r="I2668" s="50">
        <v>32035</v>
      </c>
      <c r="J2668" s="50">
        <v>32626</v>
      </c>
      <c r="K2668" s="50">
        <v>37514</v>
      </c>
      <c r="M2668" s="49" t="s">
        <v>8034</v>
      </c>
    </row>
    <row r="2669" spans="1:13" x14ac:dyDescent="0.35">
      <c r="A2669" s="49" t="s">
        <v>3334</v>
      </c>
      <c r="B2669" s="49" t="s">
        <v>3332</v>
      </c>
      <c r="C2669" s="49" t="s">
        <v>3333</v>
      </c>
      <c r="D2669" s="49" t="s">
        <v>1264</v>
      </c>
      <c r="E2669" s="49" t="s">
        <v>2774</v>
      </c>
      <c r="F2669" s="49" t="s">
        <v>2825</v>
      </c>
      <c r="G2669" s="49" t="s">
        <v>2826</v>
      </c>
      <c r="H2669" s="49" t="s">
        <v>2827</v>
      </c>
      <c r="I2669" s="50">
        <v>41470</v>
      </c>
      <c r="J2669" s="50">
        <v>41576</v>
      </c>
      <c r="K2669" s="50">
        <v>45106</v>
      </c>
      <c r="M2669" s="49" t="s">
        <v>3335</v>
      </c>
    </row>
    <row r="2670" spans="1:13" x14ac:dyDescent="0.35">
      <c r="A2670" s="49" t="s">
        <v>14154</v>
      </c>
      <c r="B2670" s="49" t="s">
        <v>4097</v>
      </c>
      <c r="C2670" s="49" t="s">
        <v>4098</v>
      </c>
      <c r="D2670" s="49" t="s">
        <v>1264</v>
      </c>
      <c r="E2670" s="49" t="s">
        <v>2785</v>
      </c>
      <c r="F2670" s="49" t="s">
        <v>2792</v>
      </c>
      <c r="G2670" s="49" t="s">
        <v>2787</v>
      </c>
      <c r="H2670" s="49" t="s">
        <v>835</v>
      </c>
      <c r="I2670" s="50">
        <v>44034</v>
      </c>
      <c r="J2670" s="50">
        <v>44580</v>
      </c>
      <c r="K2670" s="50">
        <v>45309</v>
      </c>
      <c r="M2670" s="49" t="s">
        <v>4100</v>
      </c>
    </row>
    <row r="2671" spans="1:13" x14ac:dyDescent="0.35">
      <c r="A2671" s="49" t="s">
        <v>14636</v>
      </c>
      <c r="B2671" s="49" t="s">
        <v>12575</v>
      </c>
      <c r="C2671" s="49"/>
      <c r="D2671" s="49" t="s">
        <v>1264</v>
      </c>
      <c r="E2671" s="49" t="s">
        <v>2785</v>
      </c>
      <c r="F2671" s="49" t="s">
        <v>2792</v>
      </c>
      <c r="G2671" s="49" t="s">
        <v>4891</v>
      </c>
      <c r="H2671" s="49" t="s">
        <v>980</v>
      </c>
      <c r="I2671" s="50">
        <v>45434</v>
      </c>
      <c r="M2671" s="49" t="s">
        <v>12577</v>
      </c>
    </row>
    <row r="2672" spans="1:13" x14ac:dyDescent="0.35">
      <c r="A2672" s="49" t="s">
        <v>545</v>
      </c>
      <c r="B2672" s="49" t="s">
        <v>5530</v>
      </c>
      <c r="C2672" s="49"/>
      <c r="D2672" s="49" t="s">
        <v>1264</v>
      </c>
      <c r="E2672" s="49" t="s">
        <v>2986</v>
      </c>
      <c r="F2672" s="49" t="s">
        <v>2825</v>
      </c>
      <c r="G2672" s="49" t="s">
        <v>2901</v>
      </c>
      <c r="H2672" s="49" t="s">
        <v>2827</v>
      </c>
      <c r="I2672" s="50">
        <v>44960</v>
      </c>
      <c r="J2672" s="50">
        <v>45041</v>
      </c>
      <c r="K2672" s="50">
        <v>46136</v>
      </c>
      <c r="M2672" s="49" t="s">
        <v>5532</v>
      </c>
    </row>
    <row r="2673" spans="1:13" x14ac:dyDescent="0.35">
      <c r="A2673" s="49" t="s">
        <v>15667</v>
      </c>
      <c r="B2673" s="49" t="s">
        <v>3138</v>
      </c>
      <c r="C2673" s="49" t="s">
        <v>3139</v>
      </c>
      <c r="D2673" s="49" t="s">
        <v>1264</v>
      </c>
      <c r="E2673" s="49" t="s">
        <v>2986</v>
      </c>
      <c r="F2673" s="49" t="s">
        <v>2825</v>
      </c>
      <c r="G2673" s="49" t="s">
        <v>2787</v>
      </c>
      <c r="H2673" s="49" t="s">
        <v>2827</v>
      </c>
      <c r="I2673" s="50">
        <v>40386</v>
      </c>
      <c r="J2673" s="50">
        <v>40582</v>
      </c>
      <c r="K2673" s="50">
        <v>41312</v>
      </c>
      <c r="M2673" s="49" t="s">
        <v>3141</v>
      </c>
    </row>
    <row r="2674" spans="1:13" x14ac:dyDescent="0.35">
      <c r="A2674" s="49" t="s">
        <v>14471</v>
      </c>
      <c r="B2674" s="49" t="s">
        <v>9043</v>
      </c>
      <c r="C2674" s="49"/>
      <c r="D2674" s="49" t="s">
        <v>1264</v>
      </c>
      <c r="E2674" s="49" t="s">
        <v>2814</v>
      </c>
      <c r="F2674" s="49" t="s">
        <v>2825</v>
      </c>
      <c r="G2674" s="49" t="s">
        <v>2787</v>
      </c>
      <c r="H2674" s="49" t="s">
        <v>2827</v>
      </c>
      <c r="I2674" s="50">
        <v>41914</v>
      </c>
      <c r="J2674" s="50">
        <v>41912</v>
      </c>
      <c r="K2674" s="50">
        <v>42092</v>
      </c>
      <c r="M2674" s="49" t="s">
        <v>9045</v>
      </c>
    </row>
    <row r="2675" spans="1:13" x14ac:dyDescent="0.35">
      <c r="A2675" s="49" t="s">
        <v>15443</v>
      </c>
      <c r="B2675" s="49" t="s">
        <v>9213</v>
      </c>
      <c r="C2675" s="49"/>
      <c r="D2675" s="49" t="s">
        <v>1264</v>
      </c>
      <c r="E2675" s="49" t="s">
        <v>2908</v>
      </c>
      <c r="F2675" s="49" t="s">
        <v>3108</v>
      </c>
      <c r="G2675" s="49" t="s">
        <v>2776</v>
      </c>
      <c r="H2675" s="49" t="s">
        <v>2827</v>
      </c>
      <c r="I2675" s="50">
        <v>43116</v>
      </c>
      <c r="M2675" s="49" t="s">
        <v>3470</v>
      </c>
    </row>
    <row r="2676" spans="1:13" x14ac:dyDescent="0.35">
      <c r="A2676" s="49" t="s">
        <v>15443</v>
      </c>
      <c r="B2676" s="49" t="s">
        <v>9241</v>
      </c>
      <c r="C2676" s="49"/>
      <c r="D2676" s="49" t="s">
        <v>1264</v>
      </c>
      <c r="E2676" s="49" t="s">
        <v>2908</v>
      </c>
      <c r="F2676" s="49" t="s">
        <v>3898</v>
      </c>
      <c r="G2676" s="49" t="s">
        <v>2776</v>
      </c>
      <c r="H2676" s="49" t="s">
        <v>2827</v>
      </c>
      <c r="I2676" s="50">
        <v>43378</v>
      </c>
      <c r="M2676" s="49" t="s">
        <v>9242</v>
      </c>
    </row>
    <row r="2677" spans="1:13" x14ac:dyDescent="0.35">
      <c r="A2677" s="49" t="s">
        <v>15443</v>
      </c>
      <c r="B2677" s="49" t="s">
        <v>10697</v>
      </c>
      <c r="C2677" s="49"/>
      <c r="D2677" s="49" t="s">
        <v>1264</v>
      </c>
      <c r="E2677" s="49" t="s">
        <v>2908</v>
      </c>
      <c r="F2677" s="49" t="s">
        <v>3108</v>
      </c>
      <c r="G2677" s="49" t="s">
        <v>4891</v>
      </c>
      <c r="H2677" s="49" t="s">
        <v>2827</v>
      </c>
      <c r="I2677" s="50">
        <v>43339</v>
      </c>
      <c r="M2677" s="49" t="s">
        <v>3270</v>
      </c>
    </row>
    <row r="2678" spans="1:13" x14ac:dyDescent="0.35">
      <c r="A2678" s="49" t="s">
        <v>14959</v>
      </c>
      <c r="B2678" s="49" t="s">
        <v>12660</v>
      </c>
      <c r="C2678" s="49" t="s">
        <v>4859</v>
      </c>
      <c r="D2678" s="49" t="s">
        <v>1264</v>
      </c>
      <c r="E2678" s="49" t="s">
        <v>2986</v>
      </c>
      <c r="F2678" s="49" t="s">
        <v>2825</v>
      </c>
      <c r="G2678" s="49" t="s">
        <v>4891</v>
      </c>
      <c r="H2678" s="49" t="s">
        <v>2827</v>
      </c>
      <c r="I2678" s="50">
        <v>45378</v>
      </c>
      <c r="M2678" s="49" t="s">
        <v>5948</v>
      </c>
    </row>
    <row r="2679" spans="1:13" x14ac:dyDescent="0.35">
      <c r="A2679" s="49" t="s">
        <v>13719</v>
      </c>
      <c r="B2679" s="49" t="s">
        <v>13718</v>
      </c>
      <c r="C2679" s="49"/>
      <c r="D2679" s="49" t="s">
        <v>1264</v>
      </c>
      <c r="E2679" s="49" t="s">
        <v>2986</v>
      </c>
      <c r="F2679" s="49" t="s">
        <v>2825</v>
      </c>
      <c r="G2679" s="49" t="s">
        <v>2776</v>
      </c>
      <c r="H2679" s="49" t="s">
        <v>2827</v>
      </c>
      <c r="I2679" s="50">
        <v>42755</v>
      </c>
      <c r="M2679" s="49" t="s">
        <v>3470</v>
      </c>
    </row>
    <row r="2680" spans="1:13" x14ac:dyDescent="0.35">
      <c r="A2680" s="49" t="s">
        <v>15444</v>
      </c>
      <c r="B2680" s="49" t="s">
        <v>13824</v>
      </c>
      <c r="C2680" s="49" t="s">
        <v>12835</v>
      </c>
      <c r="D2680" s="49" t="s">
        <v>1264</v>
      </c>
      <c r="E2680" s="49" t="s">
        <v>2774</v>
      </c>
      <c r="F2680" s="49" t="s">
        <v>2825</v>
      </c>
      <c r="G2680" s="49" t="s">
        <v>2776</v>
      </c>
      <c r="H2680" s="49" t="s">
        <v>2827</v>
      </c>
      <c r="I2680" s="50">
        <v>43446</v>
      </c>
      <c r="M2680" s="49" t="s">
        <v>13826</v>
      </c>
    </row>
    <row r="2681" spans="1:13" x14ac:dyDescent="0.35">
      <c r="A2681" s="49" t="s">
        <v>14960</v>
      </c>
      <c r="B2681" s="49" t="s">
        <v>10231</v>
      </c>
      <c r="C2681" s="49"/>
      <c r="D2681" s="49" t="s">
        <v>1264</v>
      </c>
      <c r="E2681" s="49" t="s">
        <v>2814</v>
      </c>
      <c r="F2681" s="49" t="s">
        <v>2825</v>
      </c>
      <c r="G2681" s="49" t="s">
        <v>2787</v>
      </c>
      <c r="H2681" s="49" t="s">
        <v>2827</v>
      </c>
      <c r="I2681" s="50">
        <v>42324</v>
      </c>
      <c r="M2681" s="49" t="s">
        <v>10233</v>
      </c>
    </row>
    <row r="2682" spans="1:13" x14ac:dyDescent="0.35">
      <c r="A2682" s="49" t="s">
        <v>14960</v>
      </c>
      <c r="B2682" s="49" t="s">
        <v>10718</v>
      </c>
      <c r="C2682" s="49"/>
      <c r="D2682" s="49" t="s">
        <v>1264</v>
      </c>
      <c r="E2682" s="49" t="s">
        <v>2986</v>
      </c>
      <c r="F2682" s="49" t="s">
        <v>2825</v>
      </c>
      <c r="G2682" s="49" t="s">
        <v>2776</v>
      </c>
      <c r="H2682" s="49" t="s">
        <v>2827</v>
      </c>
      <c r="I2682" s="50">
        <v>41990</v>
      </c>
      <c r="M2682" s="49" t="s">
        <v>10719</v>
      </c>
    </row>
    <row r="2683" spans="1:13" x14ac:dyDescent="0.35">
      <c r="A2683" s="49" t="s">
        <v>14244</v>
      </c>
      <c r="B2683" s="49" t="s">
        <v>5632</v>
      </c>
      <c r="C2683" s="49" t="s">
        <v>5633</v>
      </c>
      <c r="D2683" s="49" t="s">
        <v>1264</v>
      </c>
      <c r="E2683" s="49" t="s">
        <v>2774</v>
      </c>
      <c r="F2683" s="49" t="s">
        <v>2825</v>
      </c>
      <c r="G2683" s="49" t="s">
        <v>2901</v>
      </c>
      <c r="H2683" s="49" t="s">
        <v>2827</v>
      </c>
      <c r="I2683" s="50">
        <v>45083</v>
      </c>
      <c r="J2683" s="50">
        <v>45112</v>
      </c>
      <c r="K2683" s="50">
        <v>46572</v>
      </c>
      <c r="M2683" s="49" t="s">
        <v>5635</v>
      </c>
    </row>
    <row r="2684" spans="1:13" x14ac:dyDescent="0.35">
      <c r="A2684" s="49" t="s">
        <v>14244</v>
      </c>
      <c r="B2684" s="49" t="s">
        <v>5961</v>
      </c>
      <c r="C2684" s="49" t="s">
        <v>5962</v>
      </c>
      <c r="D2684" s="49" t="s">
        <v>1264</v>
      </c>
      <c r="E2684" s="49" t="s">
        <v>2974</v>
      </c>
      <c r="F2684" s="49" t="s">
        <v>2825</v>
      </c>
      <c r="G2684" s="49" t="s">
        <v>2901</v>
      </c>
      <c r="H2684" s="49" t="s">
        <v>2827</v>
      </c>
      <c r="I2684" s="50">
        <v>45210</v>
      </c>
      <c r="J2684" s="50">
        <v>45224</v>
      </c>
      <c r="K2684" s="50">
        <v>47050</v>
      </c>
      <c r="M2684" s="49" t="s">
        <v>5963</v>
      </c>
    </row>
    <row r="2685" spans="1:13" x14ac:dyDescent="0.35">
      <c r="A2685" s="49" t="s">
        <v>14244</v>
      </c>
      <c r="B2685" s="49" t="s">
        <v>5964</v>
      </c>
      <c r="C2685" s="49" t="s">
        <v>5965</v>
      </c>
      <c r="D2685" s="49" t="s">
        <v>1264</v>
      </c>
      <c r="E2685" s="49" t="s">
        <v>2974</v>
      </c>
      <c r="F2685" s="49" t="s">
        <v>2825</v>
      </c>
      <c r="G2685" s="49" t="s">
        <v>2901</v>
      </c>
      <c r="H2685" s="49" t="s">
        <v>2827</v>
      </c>
      <c r="I2685" s="50">
        <v>45218</v>
      </c>
      <c r="J2685" s="50">
        <v>45226</v>
      </c>
      <c r="K2685" s="50">
        <v>47052</v>
      </c>
      <c r="M2685" s="49" t="s">
        <v>5966</v>
      </c>
    </row>
    <row r="2686" spans="1:13" x14ac:dyDescent="0.35">
      <c r="A2686" s="49" t="s">
        <v>14244</v>
      </c>
      <c r="B2686" s="49" t="s">
        <v>11884</v>
      </c>
      <c r="C2686" s="49"/>
      <c r="D2686" s="49" t="s">
        <v>1264</v>
      </c>
      <c r="E2686" s="49" t="s">
        <v>3413</v>
      </c>
      <c r="F2686" s="49" t="s">
        <v>2825</v>
      </c>
      <c r="G2686" s="49" t="s">
        <v>2776</v>
      </c>
      <c r="H2686" s="49" t="s">
        <v>2827</v>
      </c>
      <c r="I2686" s="50">
        <v>45271</v>
      </c>
      <c r="M2686" s="49" t="s">
        <v>11885</v>
      </c>
    </row>
    <row r="2687" spans="1:13" x14ac:dyDescent="0.35">
      <c r="A2687" s="49" t="s">
        <v>15445</v>
      </c>
      <c r="B2687" s="49" t="s">
        <v>4644</v>
      </c>
      <c r="C2687" s="49" t="s">
        <v>4645</v>
      </c>
      <c r="D2687" s="49" t="s">
        <v>1264</v>
      </c>
      <c r="E2687" s="49" t="s">
        <v>2814</v>
      </c>
      <c r="F2687" s="49" t="s">
        <v>2825</v>
      </c>
      <c r="G2687" s="49" t="s">
        <v>2787</v>
      </c>
      <c r="H2687" s="49" t="s">
        <v>2827</v>
      </c>
      <c r="I2687" s="50">
        <v>44543</v>
      </c>
      <c r="J2687" s="50">
        <v>44581</v>
      </c>
      <c r="K2687" s="50">
        <v>44761</v>
      </c>
      <c r="M2687" s="49" t="s">
        <v>4647</v>
      </c>
    </row>
    <row r="2688" spans="1:13" x14ac:dyDescent="0.35">
      <c r="A2688" s="49" t="s">
        <v>15445</v>
      </c>
      <c r="B2688" s="49" t="s">
        <v>4711</v>
      </c>
      <c r="C2688" s="49" t="s">
        <v>4712</v>
      </c>
      <c r="D2688" s="49" t="s">
        <v>1264</v>
      </c>
      <c r="E2688" s="49" t="s">
        <v>2814</v>
      </c>
      <c r="F2688" s="49" t="s">
        <v>2825</v>
      </c>
      <c r="G2688" s="49" t="s">
        <v>2787</v>
      </c>
      <c r="H2688" s="49" t="s">
        <v>2827</v>
      </c>
      <c r="I2688" s="50">
        <v>44543</v>
      </c>
      <c r="J2688" s="50">
        <v>44587</v>
      </c>
      <c r="K2688" s="50">
        <v>44767</v>
      </c>
      <c r="M2688" s="49" t="s">
        <v>4713</v>
      </c>
    </row>
    <row r="2689" spans="1:13" x14ac:dyDescent="0.35">
      <c r="A2689" s="49" t="s">
        <v>15445</v>
      </c>
      <c r="B2689" s="49" t="s">
        <v>4896</v>
      </c>
      <c r="C2689" s="49" t="s">
        <v>4897</v>
      </c>
      <c r="D2689" s="49" t="s">
        <v>1264</v>
      </c>
      <c r="E2689" s="49" t="s">
        <v>2986</v>
      </c>
      <c r="F2689" s="49" t="s">
        <v>2825</v>
      </c>
      <c r="G2689" s="49" t="s">
        <v>2901</v>
      </c>
      <c r="H2689" s="49" t="s">
        <v>2827</v>
      </c>
      <c r="I2689" s="50">
        <v>44509</v>
      </c>
      <c r="J2689" s="50">
        <v>44704</v>
      </c>
      <c r="K2689" s="50">
        <v>45799</v>
      </c>
      <c r="M2689" s="49" t="s">
        <v>4898</v>
      </c>
    </row>
    <row r="2690" spans="1:13" x14ac:dyDescent="0.35">
      <c r="A2690" s="49" t="s">
        <v>15445</v>
      </c>
      <c r="B2690" s="49" t="s">
        <v>6347</v>
      </c>
      <c r="C2690" s="49" t="s">
        <v>6348</v>
      </c>
      <c r="D2690" s="49" t="s">
        <v>1264</v>
      </c>
      <c r="E2690" s="49" t="s">
        <v>2974</v>
      </c>
      <c r="F2690" s="49" t="s">
        <v>2825</v>
      </c>
      <c r="G2690" s="49" t="s">
        <v>2901</v>
      </c>
      <c r="H2690" s="49" t="s">
        <v>2827</v>
      </c>
      <c r="I2690" s="50">
        <v>45190</v>
      </c>
      <c r="J2690" s="50">
        <v>45334</v>
      </c>
      <c r="K2690" s="50">
        <v>47160</v>
      </c>
      <c r="M2690" s="49" t="s">
        <v>6349</v>
      </c>
    </row>
    <row r="2691" spans="1:13" x14ac:dyDescent="0.35">
      <c r="A2691" s="49" t="s">
        <v>15445</v>
      </c>
      <c r="B2691" s="49" t="s">
        <v>11050</v>
      </c>
      <c r="C2691" s="49" t="s">
        <v>3354</v>
      </c>
      <c r="D2691" s="49" t="s">
        <v>1264</v>
      </c>
      <c r="E2691" s="49" t="s">
        <v>2908</v>
      </c>
      <c r="F2691" s="49" t="s">
        <v>2837</v>
      </c>
      <c r="G2691" s="49" t="s">
        <v>4891</v>
      </c>
      <c r="H2691" s="49" t="s">
        <v>980</v>
      </c>
      <c r="I2691" s="50">
        <v>44741</v>
      </c>
      <c r="M2691" s="49" t="s">
        <v>11051</v>
      </c>
    </row>
    <row r="2692" spans="1:13" x14ac:dyDescent="0.35">
      <c r="A2692" s="49" t="s">
        <v>15445</v>
      </c>
      <c r="B2692" s="49" t="s">
        <v>11370</v>
      </c>
      <c r="C2692" s="49" t="s">
        <v>11371</v>
      </c>
      <c r="D2692" s="49" t="s">
        <v>1264</v>
      </c>
      <c r="E2692" s="49" t="s">
        <v>2814</v>
      </c>
      <c r="F2692" s="49" t="s">
        <v>2825</v>
      </c>
      <c r="G2692" s="49" t="s">
        <v>4891</v>
      </c>
      <c r="H2692" s="49" t="s">
        <v>2827</v>
      </c>
      <c r="I2692" s="50">
        <v>45056</v>
      </c>
      <c r="M2692" s="49" t="s">
        <v>11372</v>
      </c>
    </row>
    <row r="2693" spans="1:13" x14ac:dyDescent="0.35">
      <c r="A2693" s="49" t="s">
        <v>15445</v>
      </c>
      <c r="B2693" s="49" t="s">
        <v>11373</v>
      </c>
      <c r="C2693" s="49" t="s">
        <v>4351</v>
      </c>
      <c r="D2693" s="49" t="s">
        <v>1264</v>
      </c>
      <c r="E2693" s="49" t="s">
        <v>2814</v>
      </c>
      <c r="F2693" s="49" t="s">
        <v>2825</v>
      </c>
      <c r="G2693" s="49" t="s">
        <v>2826</v>
      </c>
      <c r="H2693" s="49" t="s">
        <v>2827</v>
      </c>
      <c r="I2693" s="50">
        <v>45056</v>
      </c>
      <c r="M2693" s="49" t="s">
        <v>11374</v>
      </c>
    </row>
    <row r="2694" spans="1:13" x14ac:dyDescent="0.35">
      <c r="A2694" s="49" t="s">
        <v>15445</v>
      </c>
      <c r="B2694" s="49" t="s">
        <v>11406</v>
      </c>
      <c r="C2694" s="49"/>
      <c r="D2694" s="49" t="s">
        <v>1264</v>
      </c>
      <c r="E2694" s="49" t="s">
        <v>2814</v>
      </c>
      <c r="F2694" s="49" t="s">
        <v>2825</v>
      </c>
      <c r="G2694" s="49" t="s">
        <v>2776</v>
      </c>
      <c r="H2694" s="49" t="s">
        <v>973</v>
      </c>
      <c r="I2694" s="50">
        <v>45084</v>
      </c>
      <c r="M2694" s="49" t="s">
        <v>11407</v>
      </c>
    </row>
    <row r="2695" spans="1:13" x14ac:dyDescent="0.35">
      <c r="A2695" s="49" t="s">
        <v>15445</v>
      </c>
      <c r="B2695" s="49" t="s">
        <v>11431</v>
      </c>
      <c r="C2695" s="49" t="s">
        <v>4305</v>
      </c>
      <c r="D2695" s="49" t="s">
        <v>1264</v>
      </c>
      <c r="E2695" s="49" t="s">
        <v>2986</v>
      </c>
      <c r="F2695" s="49" t="s">
        <v>2825</v>
      </c>
      <c r="G2695" s="49" t="s">
        <v>2776</v>
      </c>
      <c r="H2695" s="49" t="s">
        <v>2827</v>
      </c>
      <c r="I2695" s="50">
        <v>45092</v>
      </c>
      <c r="M2695" s="49" t="s">
        <v>11432</v>
      </c>
    </row>
    <row r="2696" spans="1:13" x14ac:dyDescent="0.35">
      <c r="A2696" s="49" t="s">
        <v>15445</v>
      </c>
      <c r="B2696" s="49" t="s">
        <v>11515</v>
      </c>
      <c r="C2696" s="49"/>
      <c r="D2696" s="49" t="s">
        <v>1264</v>
      </c>
      <c r="E2696" s="49" t="s">
        <v>2986</v>
      </c>
      <c r="F2696" s="49" t="s">
        <v>2825</v>
      </c>
      <c r="G2696" s="49" t="s">
        <v>4891</v>
      </c>
      <c r="H2696" s="49" t="s">
        <v>2827</v>
      </c>
      <c r="I2696" s="50">
        <v>45152</v>
      </c>
      <c r="M2696" s="49" t="s">
        <v>11516</v>
      </c>
    </row>
    <row r="2697" spans="1:13" x14ac:dyDescent="0.35">
      <c r="A2697" s="49" t="s">
        <v>15445</v>
      </c>
      <c r="B2697" s="49" t="s">
        <v>11543</v>
      </c>
      <c r="C2697" s="49" t="s">
        <v>3670</v>
      </c>
      <c r="D2697" s="49" t="s">
        <v>1264</v>
      </c>
      <c r="E2697" s="49" t="s">
        <v>2986</v>
      </c>
      <c r="F2697" s="49" t="s">
        <v>2825</v>
      </c>
      <c r="G2697" s="49" t="s">
        <v>4891</v>
      </c>
      <c r="H2697" s="49" t="s">
        <v>2827</v>
      </c>
      <c r="I2697" s="50">
        <v>45147</v>
      </c>
      <c r="M2697" s="49" t="s">
        <v>11544</v>
      </c>
    </row>
    <row r="2698" spans="1:13" x14ac:dyDescent="0.35">
      <c r="A2698" s="49" t="s">
        <v>15445</v>
      </c>
      <c r="B2698" s="49" t="s">
        <v>11563</v>
      </c>
      <c r="C2698" s="49" t="s">
        <v>11564</v>
      </c>
      <c r="D2698" s="49" t="s">
        <v>1264</v>
      </c>
      <c r="E2698" s="49" t="s">
        <v>2974</v>
      </c>
      <c r="F2698" s="49" t="s">
        <v>2825</v>
      </c>
      <c r="G2698" s="49" t="s">
        <v>2776</v>
      </c>
      <c r="H2698" s="49" t="s">
        <v>2827</v>
      </c>
      <c r="I2698" s="50">
        <v>45190</v>
      </c>
      <c r="M2698" s="49" t="s">
        <v>11565</v>
      </c>
    </row>
    <row r="2699" spans="1:13" x14ac:dyDescent="0.35">
      <c r="A2699" s="49" t="s">
        <v>15445</v>
      </c>
      <c r="B2699" s="49" t="s">
        <v>11611</v>
      </c>
      <c r="C2699" s="49"/>
      <c r="D2699" s="49" t="s">
        <v>1264</v>
      </c>
      <c r="E2699" s="49" t="s">
        <v>2986</v>
      </c>
      <c r="F2699" s="49" t="s">
        <v>2825</v>
      </c>
      <c r="G2699" s="49" t="s">
        <v>2776</v>
      </c>
      <c r="H2699" s="49" t="s">
        <v>2827</v>
      </c>
      <c r="I2699" s="50">
        <v>45152</v>
      </c>
      <c r="M2699" s="49" t="s">
        <v>11612</v>
      </c>
    </row>
    <row r="2700" spans="1:13" x14ac:dyDescent="0.35">
      <c r="A2700" s="49" t="s">
        <v>15445</v>
      </c>
      <c r="B2700" s="49" t="s">
        <v>11944</v>
      </c>
      <c r="C2700" s="49"/>
      <c r="D2700" s="49" t="s">
        <v>1264</v>
      </c>
      <c r="E2700" s="49" t="s">
        <v>2986</v>
      </c>
      <c r="F2700" s="49" t="s">
        <v>2825</v>
      </c>
      <c r="G2700" s="49" t="s">
        <v>4891</v>
      </c>
      <c r="H2700" s="49" t="s">
        <v>2827</v>
      </c>
      <c r="I2700" s="50">
        <v>45274</v>
      </c>
      <c r="M2700" s="49" t="s">
        <v>11945</v>
      </c>
    </row>
    <row r="2701" spans="1:13" x14ac:dyDescent="0.35">
      <c r="A2701" s="49" t="s">
        <v>15445</v>
      </c>
      <c r="B2701" s="49" t="s">
        <v>13371</v>
      </c>
      <c r="C2701" s="49"/>
      <c r="D2701" s="49" t="s">
        <v>1264</v>
      </c>
      <c r="E2701" s="49" t="s">
        <v>2814</v>
      </c>
      <c r="F2701" s="49" t="s">
        <v>2825</v>
      </c>
      <c r="G2701" s="49" t="s">
        <v>4891</v>
      </c>
      <c r="H2701" s="49" t="s">
        <v>2827</v>
      </c>
      <c r="I2701" s="52">
        <v>46114.516412037003</v>
      </c>
      <c r="M2701" s="49" t="s">
        <v>13372</v>
      </c>
    </row>
    <row r="2702" spans="1:13" x14ac:dyDescent="0.35">
      <c r="A2702" s="49" t="s">
        <v>14288</v>
      </c>
      <c r="B2702" s="49" t="s">
        <v>6421</v>
      </c>
      <c r="C2702" s="49"/>
      <c r="D2702" s="49" t="s">
        <v>1264</v>
      </c>
      <c r="E2702" s="49" t="s">
        <v>2814</v>
      </c>
      <c r="F2702" s="49" t="s">
        <v>2825</v>
      </c>
      <c r="G2702" s="49" t="s">
        <v>2787</v>
      </c>
      <c r="H2702" s="49" t="s">
        <v>2827</v>
      </c>
      <c r="I2702" s="50">
        <v>45236</v>
      </c>
      <c r="J2702" s="50">
        <v>45351</v>
      </c>
      <c r="K2702" s="50">
        <v>45532</v>
      </c>
      <c r="M2702" s="49" t="s">
        <v>6423</v>
      </c>
    </row>
    <row r="2703" spans="1:13" x14ac:dyDescent="0.35">
      <c r="A2703" s="49" t="s">
        <v>14961</v>
      </c>
      <c r="B2703" s="49" t="s">
        <v>12202</v>
      </c>
      <c r="C2703" s="49"/>
      <c r="D2703" s="49" t="s">
        <v>1264</v>
      </c>
      <c r="E2703" s="49" t="s">
        <v>2986</v>
      </c>
      <c r="F2703" s="49" t="s">
        <v>2825</v>
      </c>
      <c r="G2703" s="49" t="s">
        <v>4891</v>
      </c>
      <c r="H2703" s="49" t="s">
        <v>2827</v>
      </c>
      <c r="I2703" s="50">
        <v>45351</v>
      </c>
      <c r="M2703" s="49" t="s">
        <v>12204</v>
      </c>
    </row>
    <row r="2704" spans="1:13" x14ac:dyDescent="0.35">
      <c r="A2704" s="49" t="s">
        <v>15446</v>
      </c>
      <c r="B2704" s="49" t="s">
        <v>9704</v>
      </c>
      <c r="C2704" s="49"/>
      <c r="D2704" s="49" t="s">
        <v>1264</v>
      </c>
      <c r="E2704" s="49" t="s">
        <v>2908</v>
      </c>
      <c r="F2704" s="49" t="s">
        <v>2837</v>
      </c>
      <c r="G2704" s="49" t="s">
        <v>2776</v>
      </c>
      <c r="H2704" s="49" t="s">
        <v>2827</v>
      </c>
      <c r="I2704" s="50">
        <v>42760</v>
      </c>
      <c r="M2704" s="49" t="s">
        <v>3270</v>
      </c>
    </row>
    <row r="2705" spans="1:13" x14ac:dyDescent="0.35">
      <c r="A2705" s="49" t="s">
        <v>14655</v>
      </c>
      <c r="B2705" s="49" t="s">
        <v>13193</v>
      </c>
      <c r="C2705" s="49"/>
      <c r="D2705" s="49" t="s">
        <v>1264</v>
      </c>
      <c r="E2705" s="49" t="s">
        <v>2986</v>
      </c>
      <c r="F2705" s="49" t="s">
        <v>2825</v>
      </c>
      <c r="G2705" s="49" t="s">
        <v>4891</v>
      </c>
      <c r="H2705" s="49" t="s">
        <v>2827</v>
      </c>
      <c r="I2705" s="52">
        <v>46034.549178240697</v>
      </c>
      <c r="M2705" s="49" t="s">
        <v>13195</v>
      </c>
    </row>
    <row r="2706" spans="1:13" x14ac:dyDescent="0.35">
      <c r="A2706" s="49" t="s">
        <v>14435</v>
      </c>
      <c r="B2706" s="49" t="s">
        <v>8477</v>
      </c>
      <c r="C2706" s="49" t="s">
        <v>8478</v>
      </c>
      <c r="D2706" s="49" t="s">
        <v>1264</v>
      </c>
      <c r="E2706" s="49" t="s">
        <v>2908</v>
      </c>
      <c r="F2706" s="49" t="s">
        <v>2837</v>
      </c>
      <c r="G2706" s="49" t="s">
        <v>2826</v>
      </c>
      <c r="H2706" s="49" t="s">
        <v>980</v>
      </c>
      <c r="I2706" s="50">
        <v>32000</v>
      </c>
      <c r="J2706" s="50">
        <v>32791</v>
      </c>
      <c r="K2706" s="50">
        <v>40066</v>
      </c>
      <c r="M2706" s="49" t="s">
        <v>3477</v>
      </c>
    </row>
    <row r="2707" spans="1:13" x14ac:dyDescent="0.35">
      <c r="A2707" s="49" t="s">
        <v>14435</v>
      </c>
      <c r="B2707" s="49" t="s">
        <v>8480</v>
      </c>
      <c r="C2707" s="49" t="s">
        <v>2891</v>
      </c>
      <c r="D2707" s="49" t="s">
        <v>1264</v>
      </c>
      <c r="E2707" s="49" t="s">
        <v>2908</v>
      </c>
      <c r="F2707" s="49" t="s">
        <v>2837</v>
      </c>
      <c r="G2707" s="49" t="s">
        <v>2787</v>
      </c>
      <c r="H2707" s="49" t="s">
        <v>980</v>
      </c>
      <c r="I2707" s="50">
        <v>32000</v>
      </c>
      <c r="J2707" s="50">
        <v>32791</v>
      </c>
      <c r="K2707" s="50">
        <v>34616</v>
      </c>
      <c r="M2707" s="49" t="s">
        <v>8481</v>
      </c>
    </row>
    <row r="2708" spans="1:13" x14ac:dyDescent="0.35">
      <c r="A2708" s="49" t="s">
        <v>14116</v>
      </c>
      <c r="B2708" s="49" t="s">
        <v>3618</v>
      </c>
      <c r="C2708" s="49" t="s">
        <v>3619</v>
      </c>
      <c r="D2708" s="49" t="s">
        <v>1264</v>
      </c>
      <c r="E2708" s="49" t="s">
        <v>2908</v>
      </c>
      <c r="F2708" s="49" t="s">
        <v>3108</v>
      </c>
      <c r="G2708" s="49" t="s">
        <v>2787</v>
      </c>
      <c r="H2708" s="49" t="s">
        <v>2827</v>
      </c>
      <c r="I2708" s="50">
        <v>42998</v>
      </c>
      <c r="J2708" s="50">
        <v>43139</v>
      </c>
      <c r="K2708" s="50">
        <v>44964</v>
      </c>
      <c r="M2708" s="49" t="s">
        <v>3621</v>
      </c>
    </row>
    <row r="2709" spans="1:13" x14ac:dyDescent="0.35">
      <c r="A2709" s="49" t="s">
        <v>14116</v>
      </c>
      <c r="B2709" s="49" t="s">
        <v>9079</v>
      </c>
      <c r="C2709" s="49" t="s">
        <v>9080</v>
      </c>
      <c r="D2709" s="49" t="s">
        <v>1264</v>
      </c>
      <c r="E2709" s="49" t="s">
        <v>2899</v>
      </c>
      <c r="F2709" s="49" t="s">
        <v>3108</v>
      </c>
      <c r="G2709" s="49" t="s">
        <v>2975</v>
      </c>
      <c r="H2709" s="49" t="s">
        <v>973</v>
      </c>
      <c r="I2709" s="50">
        <v>36920</v>
      </c>
      <c r="J2709" s="50">
        <v>38414</v>
      </c>
      <c r="K2709" s="50">
        <v>47545</v>
      </c>
      <c r="M2709" s="49" t="s">
        <v>9082</v>
      </c>
    </row>
    <row r="2710" spans="1:13" x14ac:dyDescent="0.35">
      <c r="A2710" s="49" t="s">
        <v>14116</v>
      </c>
      <c r="B2710" s="49" t="s">
        <v>9481</v>
      </c>
      <c r="C2710" s="49"/>
      <c r="D2710" s="49" t="s">
        <v>1264</v>
      </c>
      <c r="E2710" s="49" t="s">
        <v>2785</v>
      </c>
      <c r="F2710" s="49" t="s">
        <v>3253</v>
      </c>
      <c r="G2710" s="49" t="s">
        <v>2776</v>
      </c>
      <c r="H2710" s="49" t="s">
        <v>2827</v>
      </c>
      <c r="I2710" s="50">
        <v>42860</v>
      </c>
      <c r="M2710" s="49" t="s">
        <v>9482</v>
      </c>
    </row>
    <row r="2711" spans="1:13" x14ac:dyDescent="0.35">
      <c r="A2711" s="49" t="s">
        <v>14116</v>
      </c>
      <c r="B2711" s="49" t="s">
        <v>9985</v>
      </c>
      <c r="C2711" s="49" t="s">
        <v>9986</v>
      </c>
      <c r="D2711" s="49" t="s">
        <v>1264</v>
      </c>
      <c r="E2711" s="49" t="s">
        <v>2908</v>
      </c>
      <c r="F2711" s="49" t="s">
        <v>2939</v>
      </c>
      <c r="G2711" s="49" t="s">
        <v>2776</v>
      </c>
      <c r="H2711" s="49" t="s">
        <v>980</v>
      </c>
      <c r="I2711" s="50">
        <v>41737</v>
      </c>
      <c r="M2711" s="49" t="s">
        <v>9987</v>
      </c>
    </row>
    <row r="2712" spans="1:13" x14ac:dyDescent="0.35">
      <c r="A2712" s="49" t="s">
        <v>14116</v>
      </c>
      <c r="B2712" s="49" t="s">
        <v>10156</v>
      </c>
      <c r="C2712" s="49" t="s">
        <v>3251</v>
      </c>
      <c r="D2712" s="49" t="s">
        <v>1264</v>
      </c>
      <c r="E2712" s="49" t="s">
        <v>2814</v>
      </c>
      <c r="F2712" s="49" t="s">
        <v>3253</v>
      </c>
      <c r="G2712" s="49" t="s">
        <v>2776</v>
      </c>
      <c r="H2712" s="49" t="s">
        <v>2827</v>
      </c>
      <c r="I2712" s="50">
        <v>42649</v>
      </c>
      <c r="M2712" s="49" t="s">
        <v>3470</v>
      </c>
    </row>
    <row r="2713" spans="1:13" x14ac:dyDescent="0.35">
      <c r="A2713" s="49" t="s">
        <v>14116</v>
      </c>
      <c r="B2713" s="49" t="s">
        <v>10779</v>
      </c>
      <c r="C2713" s="49" t="s">
        <v>10780</v>
      </c>
      <c r="D2713" s="49" t="s">
        <v>1264</v>
      </c>
      <c r="E2713" s="49" t="s">
        <v>2908</v>
      </c>
      <c r="F2713" s="49" t="s">
        <v>2939</v>
      </c>
      <c r="G2713" s="49" t="s">
        <v>2776</v>
      </c>
      <c r="H2713" s="49" t="s">
        <v>980</v>
      </c>
      <c r="I2713" s="50">
        <v>41523</v>
      </c>
      <c r="M2713" s="49" t="s">
        <v>10781</v>
      </c>
    </row>
    <row r="2714" spans="1:13" x14ac:dyDescent="0.35">
      <c r="A2714" s="49" t="s">
        <v>12516</v>
      </c>
      <c r="B2714" s="49" t="s">
        <v>12514</v>
      </c>
      <c r="C2714" s="49" t="s">
        <v>12515</v>
      </c>
      <c r="D2714" s="49" t="s">
        <v>1264</v>
      </c>
      <c r="E2714" s="49" t="s">
        <v>2908</v>
      </c>
      <c r="F2714" s="49" t="s">
        <v>2837</v>
      </c>
      <c r="G2714" s="49" t="s">
        <v>4891</v>
      </c>
      <c r="H2714" s="49" t="s">
        <v>980</v>
      </c>
      <c r="I2714" s="50">
        <v>45427</v>
      </c>
      <c r="M2714" s="49" t="s">
        <v>12517</v>
      </c>
    </row>
    <row r="2715" spans="1:13" x14ac:dyDescent="0.35">
      <c r="A2715" s="49" t="s">
        <v>12516</v>
      </c>
      <c r="B2715" s="49" t="s">
        <v>12531</v>
      </c>
      <c r="C2715" s="49" t="s">
        <v>3776</v>
      </c>
      <c r="D2715" s="49" t="s">
        <v>1264</v>
      </c>
      <c r="E2715" s="49" t="s">
        <v>2908</v>
      </c>
      <c r="F2715" s="49" t="s">
        <v>2837</v>
      </c>
      <c r="G2715" s="49" t="s">
        <v>4891</v>
      </c>
      <c r="H2715" s="49" t="s">
        <v>973</v>
      </c>
      <c r="I2715" s="50">
        <v>45428</v>
      </c>
      <c r="M2715" s="49" t="s">
        <v>12533</v>
      </c>
    </row>
    <row r="2716" spans="1:13" x14ac:dyDescent="0.35">
      <c r="A2716" s="49" t="s">
        <v>14507</v>
      </c>
      <c r="B2716" s="49" t="s">
        <v>9547</v>
      </c>
      <c r="C2716" s="49" t="s">
        <v>9548</v>
      </c>
      <c r="D2716" s="49" t="s">
        <v>1264</v>
      </c>
      <c r="E2716" s="49" t="s">
        <v>2785</v>
      </c>
      <c r="F2716" s="49" t="s">
        <v>2792</v>
      </c>
      <c r="G2716" s="49" t="s">
        <v>2776</v>
      </c>
      <c r="H2716" s="49" t="s">
        <v>980</v>
      </c>
      <c r="I2716" s="50">
        <v>43887</v>
      </c>
      <c r="M2716" s="49" t="s">
        <v>9550</v>
      </c>
    </row>
    <row r="2717" spans="1:13" x14ac:dyDescent="0.35">
      <c r="A2717" s="49" t="s">
        <v>15447</v>
      </c>
      <c r="B2717" s="49" t="s">
        <v>4209</v>
      </c>
      <c r="C2717" s="49"/>
      <c r="D2717" s="49" t="s">
        <v>1264</v>
      </c>
      <c r="E2717" s="49" t="s">
        <v>2774</v>
      </c>
      <c r="F2717" s="49" t="s">
        <v>2780</v>
      </c>
      <c r="G2717" s="49" t="s">
        <v>2776</v>
      </c>
      <c r="H2717" s="49" t="s">
        <v>8</v>
      </c>
      <c r="I2717" s="50">
        <v>40798</v>
      </c>
      <c r="M2717" s="49" t="s">
        <v>4211</v>
      </c>
    </row>
    <row r="2718" spans="1:13" x14ac:dyDescent="0.35">
      <c r="A2718" s="49" t="s">
        <v>15447</v>
      </c>
      <c r="B2718" s="49" t="s">
        <v>8754</v>
      </c>
      <c r="C2718" s="49"/>
      <c r="D2718" s="49" t="s">
        <v>1264</v>
      </c>
      <c r="E2718" s="49" t="s">
        <v>2908</v>
      </c>
      <c r="F2718" s="49" t="s">
        <v>2805</v>
      </c>
      <c r="G2718" s="49" t="s">
        <v>2776</v>
      </c>
      <c r="H2718" s="49" t="s">
        <v>980</v>
      </c>
      <c r="I2718" s="50">
        <v>40934</v>
      </c>
      <c r="M2718" s="49" t="s">
        <v>8755</v>
      </c>
    </row>
    <row r="2719" spans="1:13" x14ac:dyDescent="0.35">
      <c r="A2719" s="49" t="s">
        <v>14415</v>
      </c>
      <c r="B2719" s="49" t="s">
        <v>8261</v>
      </c>
      <c r="C2719" s="49" t="s">
        <v>8262</v>
      </c>
      <c r="D2719" s="49" t="s">
        <v>1264</v>
      </c>
      <c r="E2719" s="49" t="s">
        <v>2774</v>
      </c>
      <c r="F2719" s="49" t="s">
        <v>2825</v>
      </c>
      <c r="G2719" s="49" t="s">
        <v>2826</v>
      </c>
      <c r="H2719" s="49" t="s">
        <v>2827</v>
      </c>
      <c r="I2719" s="50">
        <v>39735</v>
      </c>
      <c r="J2719" s="50">
        <v>39735</v>
      </c>
      <c r="K2719" s="50">
        <v>40829</v>
      </c>
      <c r="M2719" s="49" t="s">
        <v>8264</v>
      </c>
    </row>
    <row r="2720" spans="1:13" x14ac:dyDescent="0.35">
      <c r="A2720" s="49" t="s">
        <v>14415</v>
      </c>
      <c r="B2720" s="49" t="s">
        <v>8265</v>
      </c>
      <c r="C2720" s="49" t="s">
        <v>8266</v>
      </c>
      <c r="D2720" s="49" t="s">
        <v>1264</v>
      </c>
      <c r="E2720" s="49" t="s">
        <v>2774</v>
      </c>
      <c r="F2720" s="49" t="s">
        <v>8267</v>
      </c>
      <c r="G2720" s="49" t="s">
        <v>2975</v>
      </c>
      <c r="H2720" s="49" t="s">
        <v>973</v>
      </c>
      <c r="I2720" s="50">
        <v>39708</v>
      </c>
      <c r="J2720" s="50">
        <v>39735</v>
      </c>
      <c r="K2720" s="50">
        <v>41940</v>
      </c>
      <c r="M2720" s="49" t="s">
        <v>8268</v>
      </c>
    </row>
    <row r="2721" spans="1:13" x14ac:dyDescent="0.35">
      <c r="A2721" s="49" t="s">
        <v>14415</v>
      </c>
      <c r="B2721" s="49" t="s">
        <v>8510</v>
      </c>
      <c r="C2721" s="49" t="s">
        <v>8511</v>
      </c>
      <c r="D2721" s="49" t="s">
        <v>1264</v>
      </c>
      <c r="E2721" s="49" t="s">
        <v>2774</v>
      </c>
      <c r="F2721" s="49" t="s">
        <v>5254</v>
      </c>
      <c r="G2721" s="49" t="s">
        <v>2787</v>
      </c>
      <c r="H2721" s="49" t="s">
        <v>973</v>
      </c>
      <c r="I2721" s="50">
        <v>40837</v>
      </c>
      <c r="J2721" s="50">
        <v>40877</v>
      </c>
      <c r="K2721" s="50">
        <v>41972</v>
      </c>
      <c r="M2721" s="49" t="s">
        <v>8512</v>
      </c>
    </row>
    <row r="2722" spans="1:13" x14ac:dyDescent="0.35">
      <c r="A2722" s="49" t="s">
        <v>14483</v>
      </c>
      <c r="B2722" s="49" t="s">
        <v>9277</v>
      </c>
      <c r="C2722" s="49"/>
      <c r="D2722" s="49" t="s">
        <v>1264</v>
      </c>
      <c r="E2722" s="49" t="s">
        <v>2908</v>
      </c>
      <c r="F2722" s="49" t="s">
        <v>2837</v>
      </c>
      <c r="G2722" s="49" t="s">
        <v>2776</v>
      </c>
      <c r="H2722" s="49" t="s">
        <v>973</v>
      </c>
      <c r="I2722" s="50">
        <v>43202</v>
      </c>
      <c r="M2722" s="49" t="s">
        <v>9279</v>
      </c>
    </row>
    <row r="2723" spans="1:13" x14ac:dyDescent="0.35">
      <c r="A2723" s="49" t="s">
        <v>15448</v>
      </c>
      <c r="B2723" s="49" t="s">
        <v>4177</v>
      </c>
      <c r="C2723" s="49"/>
      <c r="D2723" s="49" t="s">
        <v>1264</v>
      </c>
      <c r="E2723" s="49" t="s">
        <v>2814</v>
      </c>
      <c r="F2723" s="49" t="s">
        <v>2825</v>
      </c>
      <c r="G2723" s="49" t="s">
        <v>2787</v>
      </c>
      <c r="H2723" s="49" t="s">
        <v>2827</v>
      </c>
      <c r="I2723" s="50">
        <v>44215</v>
      </c>
      <c r="J2723" s="50">
        <v>44258</v>
      </c>
      <c r="K2723" s="50">
        <v>44441</v>
      </c>
      <c r="M2723" s="49" t="s">
        <v>4179</v>
      </c>
    </row>
    <row r="2724" spans="1:13" x14ac:dyDescent="0.35">
      <c r="A2724" s="49" t="s">
        <v>15448</v>
      </c>
      <c r="B2724" s="49" t="s">
        <v>9051</v>
      </c>
      <c r="C2724" s="49" t="s">
        <v>873</v>
      </c>
      <c r="D2724" s="49" t="s">
        <v>1264</v>
      </c>
      <c r="E2724" s="49" t="s">
        <v>2814</v>
      </c>
      <c r="F2724" s="49" t="s">
        <v>2825</v>
      </c>
      <c r="G2724" s="49" t="s">
        <v>2776</v>
      </c>
      <c r="H2724" s="49" t="s">
        <v>2827</v>
      </c>
      <c r="I2724" s="50">
        <v>42051</v>
      </c>
      <c r="M2724" s="49" t="s">
        <v>9052</v>
      </c>
    </row>
    <row r="2725" spans="1:13" x14ac:dyDescent="0.35">
      <c r="A2725" s="49" t="s">
        <v>15448</v>
      </c>
      <c r="B2725" s="49" t="s">
        <v>9428</v>
      </c>
      <c r="C2725" s="49"/>
      <c r="D2725" s="49" t="s">
        <v>1264</v>
      </c>
      <c r="E2725" s="49" t="s">
        <v>2785</v>
      </c>
      <c r="F2725" s="49" t="s">
        <v>3253</v>
      </c>
      <c r="G2725" s="49" t="s">
        <v>2776</v>
      </c>
      <c r="H2725" s="49" t="s">
        <v>2827</v>
      </c>
      <c r="I2725" s="50">
        <v>43003</v>
      </c>
      <c r="M2725" s="49" t="s">
        <v>9429</v>
      </c>
    </row>
    <row r="2726" spans="1:13" x14ac:dyDescent="0.35">
      <c r="A2726" s="49" t="s">
        <v>15448</v>
      </c>
      <c r="B2726" s="49" t="s">
        <v>10883</v>
      </c>
      <c r="C2726" s="49" t="s">
        <v>10884</v>
      </c>
      <c r="D2726" s="49" t="s">
        <v>1264</v>
      </c>
      <c r="E2726" s="49" t="s">
        <v>2986</v>
      </c>
      <c r="F2726" s="49" t="s">
        <v>2825</v>
      </c>
      <c r="G2726" s="49" t="s">
        <v>2776</v>
      </c>
      <c r="H2726" s="49" t="s">
        <v>2827</v>
      </c>
      <c r="I2726" s="50">
        <v>44527</v>
      </c>
      <c r="M2726" s="49" t="s">
        <v>5051</v>
      </c>
    </row>
    <row r="2727" spans="1:13" x14ac:dyDescent="0.35">
      <c r="A2727" s="49" t="s">
        <v>14525</v>
      </c>
      <c r="B2727" s="49" t="s">
        <v>9753</v>
      </c>
      <c r="C2727" s="49" t="s">
        <v>966</v>
      </c>
      <c r="D2727" s="49" t="s">
        <v>1264</v>
      </c>
      <c r="E2727" s="49" t="s">
        <v>2785</v>
      </c>
      <c r="F2727" s="49" t="s">
        <v>5423</v>
      </c>
      <c r="G2727" s="49" t="s">
        <v>2776</v>
      </c>
      <c r="H2727" s="49" t="s">
        <v>980</v>
      </c>
      <c r="I2727" s="50">
        <v>42461</v>
      </c>
      <c r="M2727" s="49" t="s">
        <v>3470</v>
      </c>
    </row>
    <row r="2728" spans="1:13" x14ac:dyDescent="0.35">
      <c r="A2728" s="49" t="s">
        <v>15449</v>
      </c>
      <c r="B2728" s="49" t="s">
        <v>3537</v>
      </c>
      <c r="C2728" s="49" t="s">
        <v>3123</v>
      </c>
      <c r="D2728" s="49" t="s">
        <v>1264</v>
      </c>
      <c r="E2728" s="49" t="s">
        <v>3443</v>
      </c>
      <c r="F2728" s="49" t="s">
        <v>3124</v>
      </c>
      <c r="G2728" s="49" t="s">
        <v>2787</v>
      </c>
      <c r="H2728" s="49" t="s">
        <v>980</v>
      </c>
      <c r="I2728" s="50">
        <v>42718</v>
      </c>
      <c r="J2728" s="50">
        <v>42955</v>
      </c>
      <c r="K2728" s="50">
        <v>44780</v>
      </c>
      <c r="M2728" s="49" t="s">
        <v>3539</v>
      </c>
    </row>
    <row r="2729" spans="1:13" x14ac:dyDescent="0.35">
      <c r="A2729" s="49" t="s">
        <v>15449</v>
      </c>
      <c r="B2729" s="49" t="s">
        <v>9529</v>
      </c>
      <c r="C2729" s="49"/>
      <c r="D2729" s="49" t="s">
        <v>1264</v>
      </c>
      <c r="E2729" s="49" t="s">
        <v>2785</v>
      </c>
      <c r="F2729" s="49" t="s">
        <v>2786</v>
      </c>
      <c r="G2729" s="49" t="s">
        <v>2776</v>
      </c>
      <c r="H2729" s="49" t="s">
        <v>980</v>
      </c>
      <c r="I2729" s="50">
        <v>43194</v>
      </c>
      <c r="M2729" s="49" t="s">
        <v>9530</v>
      </c>
    </row>
    <row r="2730" spans="1:13" x14ac:dyDescent="0.35">
      <c r="A2730" s="49" t="s">
        <v>15207</v>
      </c>
      <c r="B2730" s="49" t="s">
        <v>10079</v>
      </c>
      <c r="C2730" s="49" t="s">
        <v>10080</v>
      </c>
      <c r="D2730" s="49" t="s">
        <v>1264</v>
      </c>
      <c r="E2730" s="49" t="s">
        <v>7057</v>
      </c>
      <c r="F2730" s="49" t="s">
        <v>2825</v>
      </c>
      <c r="G2730" s="49" t="s">
        <v>2776</v>
      </c>
      <c r="H2730" s="49" t="s">
        <v>2827</v>
      </c>
      <c r="I2730" s="50">
        <v>44109</v>
      </c>
      <c r="M2730" s="49" t="s">
        <v>3270</v>
      </c>
    </row>
    <row r="2731" spans="1:13" x14ac:dyDescent="0.35">
      <c r="A2731" s="49" t="s">
        <v>15207</v>
      </c>
      <c r="B2731" s="49" t="s">
        <v>10485</v>
      </c>
      <c r="C2731" s="49" t="s">
        <v>10080</v>
      </c>
      <c r="D2731" s="49" t="s">
        <v>1264</v>
      </c>
      <c r="E2731" s="49" t="s">
        <v>2814</v>
      </c>
      <c r="F2731" s="49" t="s">
        <v>2825</v>
      </c>
      <c r="G2731" s="49" t="s">
        <v>2776</v>
      </c>
      <c r="H2731" s="49" t="s">
        <v>2827</v>
      </c>
      <c r="I2731" s="50">
        <v>43592</v>
      </c>
      <c r="M2731" s="49" t="s">
        <v>3270</v>
      </c>
    </row>
    <row r="2732" spans="1:13" x14ac:dyDescent="0.35">
      <c r="A2732" s="49" t="s">
        <v>14364</v>
      </c>
      <c r="B2732" s="49" t="s">
        <v>7543</v>
      </c>
      <c r="C2732" s="49" t="s">
        <v>7544</v>
      </c>
      <c r="D2732" s="49" t="s">
        <v>1264</v>
      </c>
      <c r="E2732" s="49" t="s">
        <v>2774</v>
      </c>
      <c r="F2732" s="49" t="s">
        <v>3598</v>
      </c>
      <c r="G2732" s="49" t="s">
        <v>2826</v>
      </c>
      <c r="H2732" s="49" t="s">
        <v>973</v>
      </c>
      <c r="I2732" s="50">
        <v>38169</v>
      </c>
      <c r="J2732" s="50">
        <v>38415</v>
      </c>
      <c r="K2732" s="50">
        <v>39803</v>
      </c>
    </row>
    <row r="2733" spans="1:13" x14ac:dyDescent="0.35">
      <c r="A2733" s="49" t="s">
        <v>9093</v>
      </c>
      <c r="B2733" s="49" t="s">
        <v>9091</v>
      </c>
      <c r="C2733" s="49" t="s">
        <v>9092</v>
      </c>
      <c r="D2733" s="49" t="s">
        <v>1264</v>
      </c>
      <c r="E2733" s="49" t="s">
        <v>2899</v>
      </c>
      <c r="F2733" s="49" t="s">
        <v>2825</v>
      </c>
      <c r="G2733" s="49" t="s">
        <v>2826</v>
      </c>
      <c r="H2733" s="49" t="s">
        <v>2827</v>
      </c>
      <c r="I2733" s="50">
        <v>40046</v>
      </c>
      <c r="J2733" s="50">
        <v>40204</v>
      </c>
      <c r="K2733" s="50">
        <v>45682</v>
      </c>
      <c r="M2733" s="49" t="s">
        <v>9094</v>
      </c>
    </row>
    <row r="2734" spans="1:13" x14ac:dyDescent="0.35">
      <c r="A2734" s="49" t="s">
        <v>15450</v>
      </c>
      <c r="B2734" s="49" t="s">
        <v>10588</v>
      </c>
      <c r="C2734" s="49" t="s">
        <v>3075</v>
      </c>
      <c r="D2734" s="49" t="s">
        <v>1264</v>
      </c>
      <c r="E2734" s="49" t="s">
        <v>2814</v>
      </c>
      <c r="F2734" s="49" t="s">
        <v>2825</v>
      </c>
      <c r="G2734" s="49" t="s">
        <v>2776</v>
      </c>
      <c r="H2734" s="49" t="s">
        <v>2827</v>
      </c>
      <c r="I2734" s="50">
        <v>43623</v>
      </c>
      <c r="M2734" s="49" t="s">
        <v>10590</v>
      </c>
    </row>
    <row r="2735" spans="1:13" x14ac:dyDescent="0.35">
      <c r="A2735" s="49" t="s">
        <v>14962</v>
      </c>
      <c r="B2735" s="49" t="s">
        <v>3178</v>
      </c>
      <c r="C2735" s="49" t="s">
        <v>3179</v>
      </c>
      <c r="D2735" s="49" t="s">
        <v>1264</v>
      </c>
      <c r="E2735" s="49" t="s">
        <v>2986</v>
      </c>
      <c r="F2735" s="49" t="s">
        <v>2825</v>
      </c>
      <c r="G2735" s="49" t="s">
        <v>2787</v>
      </c>
      <c r="H2735" s="49" t="s">
        <v>2827</v>
      </c>
      <c r="I2735" s="50">
        <v>40864</v>
      </c>
      <c r="J2735" s="50">
        <v>41879</v>
      </c>
      <c r="K2735" s="50">
        <v>42609</v>
      </c>
      <c r="M2735" s="49" t="s">
        <v>3181</v>
      </c>
    </row>
    <row r="2736" spans="1:13" x14ac:dyDescent="0.35">
      <c r="A2736" s="49" t="s">
        <v>14962</v>
      </c>
      <c r="B2736" s="49" t="s">
        <v>10885</v>
      </c>
      <c r="C2736" s="49" t="s">
        <v>10886</v>
      </c>
      <c r="D2736" s="49" t="s">
        <v>1264</v>
      </c>
      <c r="E2736" s="49" t="s">
        <v>2986</v>
      </c>
      <c r="F2736" s="49" t="s">
        <v>2825</v>
      </c>
      <c r="G2736" s="49" t="s">
        <v>4891</v>
      </c>
      <c r="H2736" s="49" t="s">
        <v>2827</v>
      </c>
      <c r="I2736" s="50">
        <v>44517</v>
      </c>
      <c r="M2736" s="49" t="s">
        <v>10887</v>
      </c>
    </row>
    <row r="2737" spans="1:13" x14ac:dyDescent="0.35">
      <c r="A2737" s="49" t="s">
        <v>14962</v>
      </c>
      <c r="B2737" s="49" t="s">
        <v>13404</v>
      </c>
      <c r="C2737" s="49"/>
      <c r="D2737" s="49" t="s">
        <v>1264</v>
      </c>
      <c r="E2737" s="49" t="s">
        <v>2986</v>
      </c>
      <c r="F2737" s="49" t="s">
        <v>2825</v>
      </c>
      <c r="G2737" s="49" t="s">
        <v>4891</v>
      </c>
      <c r="H2737" s="49" t="s">
        <v>2827</v>
      </c>
      <c r="I2737" s="52">
        <v>46122.523634259298</v>
      </c>
      <c r="M2737" s="49" t="s">
        <v>13405</v>
      </c>
    </row>
    <row r="2738" spans="1:13" x14ac:dyDescent="0.35">
      <c r="A2738" s="49" t="s">
        <v>14656</v>
      </c>
      <c r="B2738" s="49" t="s">
        <v>13196</v>
      </c>
      <c r="C2738" s="49"/>
      <c r="D2738" s="49" t="s">
        <v>1264</v>
      </c>
      <c r="E2738" s="49" t="s">
        <v>2986</v>
      </c>
      <c r="F2738" s="49" t="s">
        <v>2825</v>
      </c>
      <c r="G2738" s="49" t="s">
        <v>4891</v>
      </c>
      <c r="H2738" s="49" t="s">
        <v>2827</v>
      </c>
      <c r="I2738" s="52">
        <v>46045.564247685201</v>
      </c>
      <c r="M2738" s="49" t="s">
        <v>13198</v>
      </c>
    </row>
    <row r="2739" spans="1:13" x14ac:dyDescent="0.35">
      <c r="A2739" s="49" t="s">
        <v>14656</v>
      </c>
      <c r="B2739" s="49" t="s">
        <v>13199</v>
      </c>
      <c r="C2739" s="49" t="s">
        <v>13200</v>
      </c>
      <c r="D2739" s="49" t="s">
        <v>1264</v>
      </c>
      <c r="E2739" s="49" t="s">
        <v>2986</v>
      </c>
      <c r="F2739" s="49" t="s">
        <v>2825</v>
      </c>
      <c r="G2739" s="49" t="s">
        <v>4891</v>
      </c>
      <c r="H2739" s="49" t="s">
        <v>2827</v>
      </c>
      <c r="I2739" s="52">
        <v>46045.583888888897</v>
      </c>
      <c r="M2739" s="49" t="s">
        <v>4960</v>
      </c>
    </row>
    <row r="2740" spans="1:13" x14ac:dyDescent="0.35">
      <c r="A2740" s="49" t="s">
        <v>14656</v>
      </c>
      <c r="B2740" s="49" t="s">
        <v>13202</v>
      </c>
      <c r="C2740" s="49" t="s">
        <v>13203</v>
      </c>
      <c r="D2740" s="49" t="s">
        <v>1264</v>
      </c>
      <c r="E2740" s="49" t="s">
        <v>2986</v>
      </c>
      <c r="F2740" s="49" t="s">
        <v>2825</v>
      </c>
      <c r="G2740" s="49" t="s">
        <v>4891</v>
      </c>
      <c r="H2740" s="49" t="s">
        <v>973</v>
      </c>
      <c r="I2740" s="52">
        <v>46045.5968055556</v>
      </c>
      <c r="M2740" s="49" t="s">
        <v>13204</v>
      </c>
    </row>
    <row r="2741" spans="1:13" x14ac:dyDescent="0.35">
      <c r="A2741" s="49" t="s">
        <v>14585</v>
      </c>
      <c r="B2741" s="49" t="s">
        <v>10805</v>
      </c>
      <c r="C2741" s="49"/>
      <c r="D2741" s="49" t="s">
        <v>1264</v>
      </c>
      <c r="E2741" s="49" t="s">
        <v>2785</v>
      </c>
      <c r="F2741" s="49" t="s">
        <v>2792</v>
      </c>
      <c r="G2741" s="49" t="s">
        <v>2776</v>
      </c>
      <c r="H2741" s="49" t="s">
        <v>980</v>
      </c>
      <c r="I2741" s="50">
        <v>44187</v>
      </c>
      <c r="M2741" s="49" t="s">
        <v>10807</v>
      </c>
    </row>
    <row r="2742" spans="1:13" x14ac:dyDescent="0.35">
      <c r="A2742" s="49" t="s">
        <v>14531</v>
      </c>
      <c r="B2742" s="49" t="s">
        <v>9851</v>
      </c>
      <c r="C2742" s="49" t="s">
        <v>9852</v>
      </c>
      <c r="D2742" s="49" t="s">
        <v>1264</v>
      </c>
      <c r="E2742" s="49" t="s">
        <v>2785</v>
      </c>
      <c r="F2742" s="49" t="s">
        <v>2786</v>
      </c>
      <c r="G2742" s="49" t="s">
        <v>2776</v>
      </c>
      <c r="H2742" s="49" t="s">
        <v>2832</v>
      </c>
      <c r="I2742" s="50">
        <v>42425</v>
      </c>
      <c r="M2742" s="49" t="s">
        <v>9854</v>
      </c>
    </row>
    <row r="2743" spans="1:13" x14ac:dyDescent="0.35">
      <c r="A2743" s="49" t="s">
        <v>14716</v>
      </c>
      <c r="B2743" s="49" t="s">
        <v>7318</v>
      </c>
      <c r="C2743" s="49" t="s">
        <v>5617</v>
      </c>
      <c r="D2743" s="49" t="s">
        <v>1264</v>
      </c>
      <c r="E2743" s="49" t="s">
        <v>2785</v>
      </c>
      <c r="F2743" s="49" t="s">
        <v>2792</v>
      </c>
      <c r="G2743" s="49" t="s">
        <v>2787</v>
      </c>
      <c r="H2743" s="49" t="s">
        <v>8</v>
      </c>
      <c r="I2743" s="50">
        <v>42432</v>
      </c>
      <c r="J2743" s="50">
        <v>42471</v>
      </c>
      <c r="K2743" s="50">
        <v>42653</v>
      </c>
      <c r="M2743" s="49" t="s">
        <v>7320</v>
      </c>
    </row>
    <row r="2744" spans="1:13" x14ac:dyDescent="0.35">
      <c r="A2744" s="49" t="s">
        <v>14716</v>
      </c>
      <c r="B2744" s="49" t="s">
        <v>10032</v>
      </c>
      <c r="C2744" s="49"/>
      <c r="D2744" s="49" t="s">
        <v>1264</v>
      </c>
      <c r="E2744" s="49" t="s">
        <v>2785</v>
      </c>
      <c r="F2744" s="49" t="s">
        <v>2792</v>
      </c>
      <c r="G2744" s="49" t="s">
        <v>2826</v>
      </c>
      <c r="H2744" s="49" t="s">
        <v>8</v>
      </c>
      <c r="I2744" s="50">
        <v>41715</v>
      </c>
      <c r="M2744" s="49" t="s">
        <v>10033</v>
      </c>
    </row>
    <row r="2745" spans="1:13" x14ac:dyDescent="0.35">
      <c r="A2745" s="49" t="s">
        <v>14771</v>
      </c>
      <c r="B2745" s="49" t="s">
        <v>10038</v>
      </c>
      <c r="C2745" s="49"/>
      <c r="D2745" s="49" t="s">
        <v>1264</v>
      </c>
      <c r="E2745" s="49" t="s">
        <v>2785</v>
      </c>
      <c r="F2745" s="49" t="s">
        <v>2792</v>
      </c>
      <c r="G2745" s="49" t="s">
        <v>2776</v>
      </c>
      <c r="H2745" s="49" t="s">
        <v>8</v>
      </c>
      <c r="I2745" s="50">
        <v>41878</v>
      </c>
      <c r="M2745" s="49" t="s">
        <v>10040</v>
      </c>
    </row>
    <row r="2746" spans="1:13" x14ac:dyDescent="0.35">
      <c r="A2746" s="49" t="s">
        <v>14554</v>
      </c>
      <c r="B2746" s="49" t="s">
        <v>10219</v>
      </c>
      <c r="C2746" s="49" t="s">
        <v>10206</v>
      </c>
      <c r="D2746" s="49" t="s">
        <v>1264</v>
      </c>
      <c r="E2746" s="49" t="s">
        <v>2814</v>
      </c>
      <c r="F2746" s="49" t="s">
        <v>2825</v>
      </c>
      <c r="G2746" s="49" t="s">
        <v>2776</v>
      </c>
      <c r="H2746" s="49" t="s">
        <v>2827</v>
      </c>
      <c r="I2746" s="50">
        <v>42542</v>
      </c>
      <c r="M2746" s="49" t="s">
        <v>10221</v>
      </c>
    </row>
    <row r="2747" spans="1:13" x14ac:dyDescent="0.35">
      <c r="A2747" s="49" t="s">
        <v>310</v>
      </c>
      <c r="B2747" s="49" t="s">
        <v>7751</v>
      </c>
      <c r="C2747" s="49" t="s">
        <v>7752</v>
      </c>
      <c r="D2747" s="49" t="s">
        <v>1264</v>
      </c>
      <c r="E2747" s="49" t="s">
        <v>2785</v>
      </c>
      <c r="F2747" s="49" t="s">
        <v>2792</v>
      </c>
      <c r="G2747" s="49" t="s">
        <v>2787</v>
      </c>
      <c r="H2747" s="49" t="s">
        <v>8</v>
      </c>
      <c r="I2747" s="50">
        <v>41901</v>
      </c>
      <c r="J2747" s="50">
        <v>41962</v>
      </c>
      <c r="K2747" s="50">
        <v>42142</v>
      </c>
      <c r="M2747" s="49" t="s">
        <v>7754</v>
      </c>
    </row>
    <row r="2748" spans="1:13" x14ac:dyDescent="0.35">
      <c r="A2748" s="49" t="s">
        <v>14535</v>
      </c>
      <c r="B2748" s="49" t="s">
        <v>9899</v>
      </c>
      <c r="C2748" s="49"/>
      <c r="D2748" s="49" t="s">
        <v>1264</v>
      </c>
      <c r="E2748" s="49" t="s">
        <v>7057</v>
      </c>
      <c r="F2748" s="49" t="s">
        <v>2825</v>
      </c>
      <c r="G2748" s="49" t="s">
        <v>2776</v>
      </c>
      <c r="H2748" s="49" t="s">
        <v>2827</v>
      </c>
      <c r="I2748" s="50">
        <v>42548</v>
      </c>
      <c r="M2748" s="49" t="s">
        <v>9901</v>
      </c>
    </row>
    <row r="2749" spans="1:13" x14ac:dyDescent="0.35">
      <c r="A2749" s="49" t="s">
        <v>15028</v>
      </c>
      <c r="B2749" s="49" t="s">
        <v>8840</v>
      </c>
      <c r="C2749" s="49" t="s">
        <v>8841</v>
      </c>
      <c r="D2749" s="49" t="s">
        <v>1264</v>
      </c>
      <c r="E2749" s="49" t="s">
        <v>2785</v>
      </c>
      <c r="F2749" s="49" t="s">
        <v>2792</v>
      </c>
      <c r="G2749" s="49" t="s">
        <v>2787</v>
      </c>
      <c r="H2749" s="49" t="s">
        <v>980</v>
      </c>
      <c r="I2749" s="50">
        <v>41433</v>
      </c>
      <c r="J2749" s="50">
        <v>41474</v>
      </c>
      <c r="K2749" s="50">
        <v>41657</v>
      </c>
      <c r="M2749" s="49" t="s">
        <v>8843</v>
      </c>
    </row>
    <row r="2750" spans="1:13" x14ac:dyDescent="0.35">
      <c r="A2750" s="49" t="s">
        <v>14341</v>
      </c>
      <c r="B2750" s="49" t="s">
        <v>7335</v>
      </c>
      <c r="C2750" s="49" t="s">
        <v>5503</v>
      </c>
      <c r="D2750" s="49" t="s">
        <v>1264</v>
      </c>
      <c r="E2750" s="49" t="s">
        <v>2785</v>
      </c>
      <c r="F2750" s="49" t="s">
        <v>2786</v>
      </c>
      <c r="G2750" s="49" t="s">
        <v>2787</v>
      </c>
      <c r="H2750" s="49" t="s">
        <v>8</v>
      </c>
      <c r="I2750" s="50">
        <v>43031</v>
      </c>
      <c r="J2750" s="50">
        <v>43570</v>
      </c>
      <c r="K2750" s="50">
        <v>43752</v>
      </c>
      <c r="M2750" s="49" t="s">
        <v>7337</v>
      </c>
    </row>
    <row r="2751" spans="1:13" x14ac:dyDescent="0.35">
      <c r="A2751" s="49" t="s">
        <v>1060</v>
      </c>
      <c r="B2751" s="49" t="s">
        <v>5115</v>
      </c>
      <c r="C2751" s="49"/>
      <c r="D2751" s="49" t="s">
        <v>1264</v>
      </c>
      <c r="E2751" s="49" t="s">
        <v>2908</v>
      </c>
      <c r="F2751" s="49" t="s">
        <v>3010</v>
      </c>
      <c r="G2751" s="49" t="s">
        <v>2901</v>
      </c>
      <c r="H2751" s="49" t="s">
        <v>980</v>
      </c>
      <c r="I2751" s="50">
        <v>44420</v>
      </c>
      <c r="J2751" s="50">
        <v>44811</v>
      </c>
      <c r="K2751" s="50">
        <v>46636</v>
      </c>
      <c r="M2751" s="49" t="s">
        <v>5117</v>
      </c>
    </row>
    <row r="2752" spans="1:13" x14ac:dyDescent="0.35">
      <c r="A2752" s="49" t="s">
        <v>1060</v>
      </c>
      <c r="B2752" s="49" t="s">
        <v>12123</v>
      </c>
      <c r="C2752" s="49" t="s">
        <v>6573</v>
      </c>
      <c r="D2752" s="49" t="s">
        <v>1264</v>
      </c>
      <c r="E2752" s="49" t="s">
        <v>2785</v>
      </c>
      <c r="F2752" s="49" t="s">
        <v>2786</v>
      </c>
      <c r="G2752" s="49" t="s">
        <v>2776</v>
      </c>
      <c r="H2752" s="49" t="s">
        <v>980</v>
      </c>
      <c r="I2752" s="50">
        <v>44962</v>
      </c>
      <c r="M2752" s="49" t="s">
        <v>12125</v>
      </c>
    </row>
    <row r="2753" spans="1:13" x14ac:dyDescent="0.35">
      <c r="A2753" s="49" t="s">
        <v>14963</v>
      </c>
      <c r="B2753" s="49" t="s">
        <v>4227</v>
      </c>
      <c r="C2753" s="49"/>
      <c r="D2753" s="49" t="s">
        <v>1264</v>
      </c>
      <c r="E2753" s="49" t="s">
        <v>2908</v>
      </c>
      <c r="F2753" s="49" t="s">
        <v>2786</v>
      </c>
      <c r="G2753" s="49" t="s">
        <v>2787</v>
      </c>
      <c r="H2753" s="49" t="s">
        <v>980</v>
      </c>
      <c r="I2753" s="50">
        <v>43543</v>
      </c>
      <c r="J2753" s="50">
        <v>43623</v>
      </c>
      <c r="K2753" s="50">
        <v>43988</v>
      </c>
      <c r="M2753" s="49" t="s">
        <v>4229</v>
      </c>
    </row>
    <row r="2754" spans="1:13" x14ac:dyDescent="0.35">
      <c r="A2754" s="49" t="s">
        <v>14963</v>
      </c>
      <c r="B2754" s="49" t="s">
        <v>6992</v>
      </c>
      <c r="C2754" s="49" t="s">
        <v>3768</v>
      </c>
      <c r="D2754" s="49" t="s">
        <v>1264</v>
      </c>
      <c r="E2754" s="49" t="s">
        <v>3443</v>
      </c>
      <c r="F2754" s="49" t="s">
        <v>3124</v>
      </c>
      <c r="G2754" s="49" t="s">
        <v>4891</v>
      </c>
      <c r="H2754" s="49" t="s">
        <v>980</v>
      </c>
      <c r="I2754" s="50">
        <v>44182</v>
      </c>
      <c r="M2754" s="49" t="s">
        <v>3444</v>
      </c>
    </row>
    <row r="2755" spans="1:13" x14ac:dyDescent="0.35">
      <c r="A2755" s="49" t="s">
        <v>14521</v>
      </c>
      <c r="B2755" s="49" t="s">
        <v>9685</v>
      </c>
      <c r="C2755" s="49" t="s">
        <v>3503</v>
      </c>
      <c r="D2755" s="49" t="s">
        <v>1264</v>
      </c>
      <c r="E2755" s="49" t="s">
        <v>3443</v>
      </c>
      <c r="F2755" s="49" t="s">
        <v>3124</v>
      </c>
      <c r="G2755" s="49" t="s">
        <v>2776</v>
      </c>
      <c r="H2755" s="49" t="s">
        <v>980</v>
      </c>
      <c r="I2755" s="50">
        <v>42411</v>
      </c>
      <c r="M2755" s="49" t="s">
        <v>6129</v>
      </c>
    </row>
    <row r="2756" spans="1:13" x14ac:dyDescent="0.35">
      <c r="A2756" s="49" t="s">
        <v>15451</v>
      </c>
      <c r="B2756" s="49" t="s">
        <v>12255</v>
      </c>
      <c r="C2756" s="49" t="s">
        <v>12256</v>
      </c>
      <c r="D2756" s="49" t="s">
        <v>1264</v>
      </c>
      <c r="E2756" s="49" t="s">
        <v>2774</v>
      </c>
      <c r="F2756" s="49" t="s">
        <v>2900</v>
      </c>
      <c r="G2756" s="49" t="s">
        <v>4891</v>
      </c>
      <c r="H2756" s="49" t="s">
        <v>2832</v>
      </c>
      <c r="I2756" s="50">
        <v>45362</v>
      </c>
      <c r="M2756" s="49" t="s">
        <v>12258</v>
      </c>
    </row>
    <row r="2757" spans="1:13" x14ac:dyDescent="0.35">
      <c r="A2757" s="49" t="s">
        <v>15075</v>
      </c>
      <c r="B2757" s="49" t="s">
        <v>7042</v>
      </c>
      <c r="C2757" s="49"/>
      <c r="D2757" s="49" t="s">
        <v>1264</v>
      </c>
      <c r="E2757" s="49" t="s">
        <v>2785</v>
      </c>
      <c r="F2757" s="49" t="s">
        <v>2792</v>
      </c>
      <c r="G2757" s="49" t="s">
        <v>2826</v>
      </c>
      <c r="H2757" s="49" t="s">
        <v>8</v>
      </c>
      <c r="I2757" s="50">
        <v>43033</v>
      </c>
      <c r="J2757" s="50">
        <v>43122</v>
      </c>
      <c r="K2757" s="50">
        <v>43302</v>
      </c>
      <c r="M2757" s="49" t="s">
        <v>7044</v>
      </c>
    </row>
    <row r="2758" spans="1:13" x14ac:dyDescent="0.35">
      <c r="A2758" s="49" t="s">
        <v>15075</v>
      </c>
      <c r="B2758" s="49" t="s">
        <v>7693</v>
      </c>
      <c r="C2758" s="49" t="s">
        <v>7164</v>
      </c>
      <c r="D2758" s="49" t="s">
        <v>1264</v>
      </c>
      <c r="E2758" s="49" t="s">
        <v>2785</v>
      </c>
      <c r="F2758" s="49" t="s">
        <v>2792</v>
      </c>
      <c r="G2758" s="49" t="s">
        <v>2787</v>
      </c>
      <c r="H2758" s="49" t="s">
        <v>8</v>
      </c>
      <c r="I2758" s="50">
        <v>42537</v>
      </c>
      <c r="J2758" s="50">
        <v>42646</v>
      </c>
      <c r="K2758" s="50">
        <v>42827</v>
      </c>
      <c r="M2758" s="49" t="s">
        <v>7694</v>
      </c>
    </row>
    <row r="2759" spans="1:13" x14ac:dyDescent="0.35">
      <c r="A2759" s="49" t="s">
        <v>15075</v>
      </c>
      <c r="B2759" s="49" t="s">
        <v>9506</v>
      </c>
      <c r="C2759" s="49"/>
      <c r="D2759" s="49" t="s">
        <v>1264</v>
      </c>
      <c r="E2759" s="49" t="s">
        <v>2785</v>
      </c>
      <c r="F2759" s="49" t="s">
        <v>2792</v>
      </c>
      <c r="G2759" s="49" t="s">
        <v>2776</v>
      </c>
      <c r="H2759" s="49" t="s">
        <v>8</v>
      </c>
      <c r="I2759" s="50">
        <v>42886</v>
      </c>
      <c r="M2759" s="49" t="s">
        <v>9507</v>
      </c>
    </row>
    <row r="2760" spans="1:13" x14ac:dyDescent="0.35">
      <c r="A2760" s="49" t="s">
        <v>15075</v>
      </c>
      <c r="B2760" s="49" t="s">
        <v>9602</v>
      </c>
      <c r="C2760" s="49"/>
      <c r="D2760" s="49" t="s">
        <v>1264</v>
      </c>
      <c r="E2760" s="49" t="s">
        <v>2785</v>
      </c>
      <c r="F2760" s="49" t="s">
        <v>2792</v>
      </c>
      <c r="G2760" s="49" t="s">
        <v>2776</v>
      </c>
      <c r="H2760" s="49" t="s">
        <v>8</v>
      </c>
      <c r="I2760" s="50">
        <v>43305</v>
      </c>
      <c r="M2760" s="49" t="s">
        <v>9603</v>
      </c>
    </row>
    <row r="2761" spans="1:13" x14ac:dyDescent="0.35">
      <c r="A2761" s="49" t="s">
        <v>14359</v>
      </c>
      <c r="B2761" s="49" t="s">
        <v>7508</v>
      </c>
      <c r="C2761" s="49" t="s">
        <v>7509</v>
      </c>
      <c r="D2761" s="49" t="s">
        <v>1264</v>
      </c>
      <c r="E2761" s="49" t="s">
        <v>2774</v>
      </c>
      <c r="F2761" s="49" t="s">
        <v>2825</v>
      </c>
      <c r="G2761" s="49" t="s">
        <v>2787</v>
      </c>
      <c r="H2761" s="49" t="s">
        <v>973</v>
      </c>
      <c r="I2761" s="50">
        <v>40878</v>
      </c>
      <c r="J2761" s="50">
        <v>40940</v>
      </c>
      <c r="K2761" s="50">
        <v>43862</v>
      </c>
      <c r="M2761" s="49" t="s">
        <v>7511</v>
      </c>
    </row>
    <row r="2762" spans="1:13" x14ac:dyDescent="0.35">
      <c r="A2762" s="49" t="s">
        <v>14359</v>
      </c>
      <c r="B2762" s="49" t="s">
        <v>9925</v>
      </c>
      <c r="C2762" s="49" t="s">
        <v>9926</v>
      </c>
      <c r="D2762" s="49" t="s">
        <v>1264</v>
      </c>
      <c r="E2762" s="49" t="s">
        <v>7057</v>
      </c>
      <c r="F2762" s="49" t="s">
        <v>2825</v>
      </c>
      <c r="G2762" s="49" t="s">
        <v>2776</v>
      </c>
      <c r="H2762" s="49" t="s">
        <v>973</v>
      </c>
      <c r="I2762" s="50">
        <v>42278</v>
      </c>
      <c r="M2762" s="49" t="s">
        <v>9927</v>
      </c>
    </row>
    <row r="2763" spans="1:13" x14ac:dyDescent="0.35">
      <c r="A2763" s="49" t="s">
        <v>14357</v>
      </c>
      <c r="B2763" s="49" t="s">
        <v>7497</v>
      </c>
      <c r="C2763" s="49" t="s">
        <v>7498</v>
      </c>
      <c r="D2763" s="49" t="s">
        <v>1264</v>
      </c>
      <c r="E2763" s="49" t="s">
        <v>2774</v>
      </c>
      <c r="F2763" s="49" t="s">
        <v>2780</v>
      </c>
      <c r="G2763" s="49" t="s">
        <v>2975</v>
      </c>
      <c r="H2763" s="49" t="s">
        <v>980</v>
      </c>
      <c r="I2763" s="50">
        <v>40935</v>
      </c>
      <c r="J2763" s="50">
        <v>40935</v>
      </c>
      <c r="K2763" s="50">
        <v>41789</v>
      </c>
      <c r="M2763" s="49" t="s">
        <v>7500</v>
      </c>
    </row>
    <row r="2764" spans="1:13" x14ac:dyDescent="0.35">
      <c r="A2764" s="49" t="s">
        <v>14357</v>
      </c>
      <c r="B2764" s="49" t="s">
        <v>7501</v>
      </c>
      <c r="C2764" s="49" t="s">
        <v>7502</v>
      </c>
      <c r="D2764" s="49" t="s">
        <v>1264</v>
      </c>
      <c r="E2764" s="49" t="s">
        <v>2774</v>
      </c>
      <c r="F2764" s="49" t="s">
        <v>2780</v>
      </c>
      <c r="G2764" s="49" t="s">
        <v>2975</v>
      </c>
      <c r="H2764" s="49" t="s">
        <v>1062</v>
      </c>
      <c r="I2764" s="50">
        <v>40935</v>
      </c>
      <c r="J2764" s="50">
        <v>40939</v>
      </c>
      <c r="K2764" s="50">
        <v>41789</v>
      </c>
      <c r="M2764" s="49" t="s">
        <v>7503</v>
      </c>
    </row>
    <row r="2765" spans="1:13" x14ac:dyDescent="0.35">
      <c r="A2765" s="49" t="s">
        <v>15452</v>
      </c>
      <c r="B2765" s="49" t="s">
        <v>6373</v>
      </c>
      <c r="C2765" s="49" t="s">
        <v>3768</v>
      </c>
      <c r="D2765" s="49" t="s">
        <v>1264</v>
      </c>
      <c r="E2765" s="49" t="s">
        <v>3443</v>
      </c>
      <c r="F2765" s="49" t="s">
        <v>3124</v>
      </c>
      <c r="G2765" s="49" t="s">
        <v>4330</v>
      </c>
      <c r="H2765" s="49" t="s">
        <v>980</v>
      </c>
      <c r="I2765" s="50">
        <v>45348</v>
      </c>
    </row>
    <row r="2766" spans="1:13" x14ac:dyDescent="0.35">
      <c r="A2766" s="49" t="s">
        <v>14358</v>
      </c>
      <c r="B2766" s="49" t="s">
        <v>7504</v>
      </c>
      <c r="C2766" s="49" t="s">
        <v>7505</v>
      </c>
      <c r="D2766" s="49" t="s">
        <v>1264</v>
      </c>
      <c r="E2766" s="49" t="s">
        <v>2774</v>
      </c>
      <c r="F2766" s="49" t="s">
        <v>2825</v>
      </c>
      <c r="G2766" s="49" t="s">
        <v>2975</v>
      </c>
      <c r="H2766" s="49" t="s">
        <v>973</v>
      </c>
      <c r="I2766" s="50">
        <v>40863</v>
      </c>
      <c r="J2766" s="50">
        <v>40940</v>
      </c>
      <c r="K2766" s="50">
        <v>42035</v>
      </c>
      <c r="M2766" s="49" t="s">
        <v>7507</v>
      </c>
    </row>
    <row r="2767" spans="1:13" x14ac:dyDescent="0.35">
      <c r="A2767" s="49" t="s">
        <v>14360</v>
      </c>
      <c r="B2767" s="49" t="s">
        <v>7520</v>
      </c>
      <c r="C2767" s="49" t="s">
        <v>7280</v>
      </c>
      <c r="D2767" s="49" t="s">
        <v>1264</v>
      </c>
      <c r="E2767" s="49" t="s">
        <v>2785</v>
      </c>
      <c r="F2767" s="49" t="s">
        <v>2792</v>
      </c>
      <c r="G2767" s="49" t="s">
        <v>2787</v>
      </c>
      <c r="H2767" s="49" t="s">
        <v>980</v>
      </c>
      <c r="I2767" s="50">
        <v>41453</v>
      </c>
      <c r="J2767" s="50">
        <v>42186</v>
      </c>
      <c r="K2767" s="50">
        <v>42369</v>
      </c>
      <c r="M2767" s="49" t="s">
        <v>7522</v>
      </c>
    </row>
    <row r="2768" spans="1:13" x14ac:dyDescent="0.35">
      <c r="A2768" s="49" t="s">
        <v>15029</v>
      </c>
      <c r="B2768" s="49" t="s">
        <v>10875</v>
      </c>
      <c r="C2768" s="49" t="s">
        <v>7133</v>
      </c>
      <c r="D2768" s="49" t="s">
        <v>1264</v>
      </c>
      <c r="E2768" s="49" t="s">
        <v>2785</v>
      </c>
      <c r="F2768" s="49" t="s">
        <v>2792</v>
      </c>
      <c r="G2768" s="49" t="s">
        <v>2776</v>
      </c>
      <c r="H2768" s="49" t="s">
        <v>980</v>
      </c>
      <c r="I2768" s="50">
        <v>44495</v>
      </c>
      <c r="M2768" s="49" t="s">
        <v>10877</v>
      </c>
    </row>
    <row r="2769" spans="1:13" x14ac:dyDescent="0.35">
      <c r="A2769" s="49" t="s">
        <v>15030</v>
      </c>
      <c r="B2769" s="49" t="s">
        <v>9822</v>
      </c>
      <c r="C2769" s="49"/>
      <c r="D2769" s="49" t="s">
        <v>1264</v>
      </c>
      <c r="E2769" s="49" t="s">
        <v>2785</v>
      </c>
      <c r="F2769" s="49" t="s">
        <v>2792</v>
      </c>
      <c r="G2769" s="49" t="s">
        <v>2776</v>
      </c>
      <c r="H2769" s="49" t="s">
        <v>980</v>
      </c>
      <c r="I2769" s="50">
        <v>42471</v>
      </c>
      <c r="M2769" s="49" t="s">
        <v>3691</v>
      </c>
    </row>
    <row r="2770" spans="1:13" x14ac:dyDescent="0.35">
      <c r="A2770" s="49" t="s">
        <v>14713</v>
      </c>
      <c r="B2770" s="49" t="s">
        <v>7005</v>
      </c>
      <c r="C2770" s="49" t="s">
        <v>5789</v>
      </c>
      <c r="D2770" s="49" t="s">
        <v>1264</v>
      </c>
      <c r="E2770" s="49" t="s">
        <v>2785</v>
      </c>
      <c r="F2770" s="49" t="s">
        <v>2792</v>
      </c>
      <c r="G2770" s="49" t="s">
        <v>2787</v>
      </c>
      <c r="H2770" s="49" t="s">
        <v>980</v>
      </c>
      <c r="I2770" s="50">
        <v>41282</v>
      </c>
      <c r="J2770" s="50">
        <v>41282</v>
      </c>
      <c r="K2770" s="50">
        <v>41462</v>
      </c>
      <c r="M2770" s="49" t="s">
        <v>7007</v>
      </c>
    </row>
    <row r="2771" spans="1:13" x14ac:dyDescent="0.35">
      <c r="A2771" s="49" t="s">
        <v>14713</v>
      </c>
      <c r="B2771" s="49" t="s">
        <v>7279</v>
      </c>
      <c r="C2771" s="49" t="s">
        <v>7280</v>
      </c>
      <c r="D2771" s="49" t="s">
        <v>1264</v>
      </c>
      <c r="E2771" s="49" t="s">
        <v>2785</v>
      </c>
      <c r="F2771" s="49" t="s">
        <v>2792</v>
      </c>
      <c r="G2771" s="49" t="s">
        <v>2787</v>
      </c>
      <c r="H2771" s="49" t="s">
        <v>980</v>
      </c>
      <c r="I2771" s="50">
        <v>42439</v>
      </c>
      <c r="J2771" s="50">
        <v>42634</v>
      </c>
      <c r="K2771" s="50">
        <v>42814</v>
      </c>
      <c r="M2771" s="49" t="s">
        <v>7281</v>
      </c>
    </row>
    <row r="2772" spans="1:13" x14ac:dyDescent="0.35">
      <c r="A2772" s="49" t="s">
        <v>14750</v>
      </c>
      <c r="B2772" s="49" t="s">
        <v>8798</v>
      </c>
      <c r="C2772" s="49" t="s">
        <v>2867</v>
      </c>
      <c r="D2772" s="49" t="s">
        <v>1264</v>
      </c>
      <c r="E2772" s="49" t="s">
        <v>2785</v>
      </c>
      <c r="F2772" s="49" t="s">
        <v>2792</v>
      </c>
      <c r="G2772" s="49" t="s">
        <v>2787</v>
      </c>
      <c r="H2772" s="49" t="s">
        <v>8</v>
      </c>
      <c r="I2772" s="50">
        <v>42681</v>
      </c>
      <c r="J2772" s="50">
        <v>42706</v>
      </c>
      <c r="K2772" s="50">
        <v>42887</v>
      </c>
      <c r="M2772" s="49" t="s">
        <v>7322</v>
      </c>
    </row>
    <row r="2773" spans="1:13" x14ac:dyDescent="0.35">
      <c r="A2773" s="49" t="s">
        <v>15076</v>
      </c>
      <c r="B2773" s="49" t="s">
        <v>10075</v>
      </c>
      <c r="C2773" s="49" t="s">
        <v>10076</v>
      </c>
      <c r="D2773" s="49" t="s">
        <v>1264</v>
      </c>
      <c r="E2773" s="49" t="s">
        <v>2986</v>
      </c>
      <c r="F2773" s="49" t="s">
        <v>2825</v>
      </c>
      <c r="G2773" s="49" t="s">
        <v>2776</v>
      </c>
      <c r="H2773" s="49" t="s">
        <v>2827</v>
      </c>
      <c r="I2773" s="50">
        <v>44048</v>
      </c>
      <c r="M2773" s="49" t="s">
        <v>10078</v>
      </c>
    </row>
    <row r="2774" spans="1:13" x14ac:dyDescent="0.35">
      <c r="A2774" s="49" t="s">
        <v>14701</v>
      </c>
      <c r="B2774" s="49" t="s">
        <v>3392</v>
      </c>
      <c r="C2774" s="49" t="s">
        <v>2942</v>
      </c>
      <c r="D2774" s="49" t="s">
        <v>1264</v>
      </c>
      <c r="E2774" s="49" t="s">
        <v>2908</v>
      </c>
      <c r="F2774" s="49" t="s">
        <v>2939</v>
      </c>
      <c r="G2774" s="49" t="s">
        <v>2787</v>
      </c>
      <c r="H2774" s="49" t="s">
        <v>980</v>
      </c>
      <c r="I2774" s="50">
        <v>42013</v>
      </c>
      <c r="J2774" s="50">
        <v>42054</v>
      </c>
      <c r="K2774" s="50">
        <v>43879</v>
      </c>
      <c r="M2774" s="49" t="s">
        <v>3394</v>
      </c>
    </row>
    <row r="2775" spans="1:13" x14ac:dyDescent="0.35">
      <c r="A2775" s="49" t="s">
        <v>14238</v>
      </c>
      <c r="B2775" s="49" t="s">
        <v>5431</v>
      </c>
      <c r="C2775" s="49" t="s">
        <v>5432</v>
      </c>
      <c r="D2775" s="49" t="s">
        <v>1264</v>
      </c>
      <c r="E2775" s="49" t="s">
        <v>2986</v>
      </c>
      <c r="F2775" s="49" t="s">
        <v>2825</v>
      </c>
      <c r="G2775" s="49" t="s">
        <v>2901</v>
      </c>
      <c r="H2775" s="49" t="s">
        <v>2827</v>
      </c>
      <c r="I2775" s="50">
        <v>45006</v>
      </c>
      <c r="J2775" s="50">
        <v>45041</v>
      </c>
      <c r="K2775" s="50">
        <v>46136</v>
      </c>
      <c r="M2775" s="49" t="s">
        <v>5434</v>
      </c>
    </row>
    <row r="2776" spans="1:13" x14ac:dyDescent="0.35">
      <c r="A2776" s="49" t="s">
        <v>14964</v>
      </c>
      <c r="B2776" s="49" t="s">
        <v>4387</v>
      </c>
      <c r="C2776" s="49"/>
      <c r="D2776" s="49" t="s">
        <v>1264</v>
      </c>
      <c r="E2776" s="49" t="s">
        <v>3443</v>
      </c>
      <c r="F2776" s="49" t="s">
        <v>3124</v>
      </c>
      <c r="G2776" s="49" t="s">
        <v>4330</v>
      </c>
      <c r="H2776" s="49" t="s">
        <v>980</v>
      </c>
      <c r="I2776" s="50">
        <v>44181</v>
      </c>
      <c r="M2776" s="49" t="s">
        <v>4389</v>
      </c>
    </row>
    <row r="2777" spans="1:13" x14ac:dyDescent="0.35">
      <c r="A2777" s="49" t="s">
        <v>14964</v>
      </c>
      <c r="B2777" s="49" t="s">
        <v>7906</v>
      </c>
      <c r="C2777" s="49" t="s">
        <v>7907</v>
      </c>
      <c r="D2777" s="49" t="s">
        <v>1264</v>
      </c>
      <c r="E2777" s="49" t="s">
        <v>2908</v>
      </c>
      <c r="F2777" s="49" t="s">
        <v>2837</v>
      </c>
      <c r="G2777" s="49" t="s">
        <v>2826</v>
      </c>
      <c r="H2777" s="49" t="s">
        <v>980</v>
      </c>
      <c r="I2777" s="50">
        <v>37728</v>
      </c>
      <c r="J2777" s="50">
        <v>38082</v>
      </c>
      <c r="K2777" s="50">
        <v>44620</v>
      </c>
      <c r="M2777" s="49" t="s">
        <v>7908</v>
      </c>
    </row>
    <row r="2778" spans="1:13" x14ac:dyDescent="0.35">
      <c r="A2778" s="49" t="s">
        <v>14766</v>
      </c>
      <c r="B2778" s="49" t="s">
        <v>9866</v>
      </c>
      <c r="C2778" s="49"/>
      <c r="D2778" s="49" t="s">
        <v>1264</v>
      </c>
      <c r="E2778" s="49" t="s">
        <v>2785</v>
      </c>
      <c r="F2778" s="49" t="s">
        <v>2786</v>
      </c>
      <c r="G2778" s="49" t="s">
        <v>2776</v>
      </c>
      <c r="H2778" s="49" t="s">
        <v>1062</v>
      </c>
      <c r="I2778" s="50">
        <v>42318</v>
      </c>
      <c r="M2778" s="49" t="s">
        <v>3470</v>
      </c>
    </row>
    <row r="2779" spans="1:13" x14ac:dyDescent="0.35">
      <c r="A2779" s="49" t="s">
        <v>14965</v>
      </c>
      <c r="B2779" s="49" t="s">
        <v>10558</v>
      </c>
      <c r="C2779" s="49"/>
      <c r="D2779" s="49" t="s">
        <v>1264</v>
      </c>
      <c r="E2779" s="49" t="s">
        <v>2814</v>
      </c>
      <c r="F2779" s="49" t="s">
        <v>2825</v>
      </c>
      <c r="G2779" s="49" t="s">
        <v>2776</v>
      </c>
      <c r="H2779" s="49" t="s">
        <v>2827</v>
      </c>
      <c r="I2779" s="50">
        <v>42264</v>
      </c>
      <c r="M2779" s="49" t="s">
        <v>3470</v>
      </c>
    </row>
    <row r="2780" spans="1:13" x14ac:dyDescent="0.35">
      <c r="A2780" s="49" t="s">
        <v>14965</v>
      </c>
      <c r="B2780" s="49" t="s">
        <v>13730</v>
      </c>
      <c r="C2780" s="49" t="s">
        <v>3416</v>
      </c>
      <c r="D2780" s="49" t="s">
        <v>1264</v>
      </c>
      <c r="E2780" s="49" t="s">
        <v>2986</v>
      </c>
      <c r="F2780" s="49" t="s">
        <v>2825</v>
      </c>
      <c r="G2780" s="49" t="s">
        <v>2776</v>
      </c>
      <c r="H2780" s="49" t="s">
        <v>2827</v>
      </c>
      <c r="I2780" s="50">
        <v>42696</v>
      </c>
      <c r="M2780" s="49" t="s">
        <v>3270</v>
      </c>
    </row>
    <row r="2781" spans="1:13" x14ac:dyDescent="0.35">
      <c r="A2781" s="49" t="s">
        <v>3446</v>
      </c>
      <c r="B2781" s="49" t="s">
        <v>3445</v>
      </c>
      <c r="C2781" s="49" t="s">
        <v>3399</v>
      </c>
      <c r="D2781" s="49" t="s">
        <v>1264</v>
      </c>
      <c r="E2781" s="49" t="s">
        <v>2899</v>
      </c>
      <c r="F2781" s="49" t="s">
        <v>2825</v>
      </c>
      <c r="G2781" s="49" t="s">
        <v>2901</v>
      </c>
      <c r="H2781" s="49" t="s">
        <v>2827</v>
      </c>
      <c r="I2781" s="50">
        <v>42297</v>
      </c>
      <c r="J2781" s="50">
        <v>42565</v>
      </c>
      <c r="K2781" s="50">
        <v>48043</v>
      </c>
      <c r="M2781" s="49" t="s">
        <v>3447</v>
      </c>
    </row>
    <row r="2782" spans="1:13" x14ac:dyDescent="0.35">
      <c r="A2782" s="49" t="s">
        <v>14306</v>
      </c>
      <c r="B2782" s="49" t="s">
        <v>6680</v>
      </c>
      <c r="C2782" s="49"/>
      <c r="D2782" s="49" t="s">
        <v>1264</v>
      </c>
      <c r="E2782" s="49" t="s">
        <v>2785</v>
      </c>
      <c r="F2782" s="49" t="s">
        <v>2786</v>
      </c>
      <c r="G2782" s="49" t="s">
        <v>4330</v>
      </c>
      <c r="H2782" s="49" t="s">
        <v>980</v>
      </c>
      <c r="I2782" s="50">
        <v>45454</v>
      </c>
      <c r="M2782" s="49" t="s">
        <v>6682</v>
      </c>
    </row>
    <row r="2783" spans="1:13" x14ac:dyDescent="0.35">
      <c r="A2783" s="49" t="s">
        <v>14306</v>
      </c>
      <c r="B2783" s="49" t="s">
        <v>6683</v>
      </c>
      <c r="C2783" s="49"/>
      <c r="D2783" s="49" t="s">
        <v>1264</v>
      </c>
      <c r="E2783" s="49" t="s">
        <v>2785</v>
      </c>
      <c r="F2783" s="49" t="s">
        <v>2786</v>
      </c>
      <c r="G2783" s="49" t="s">
        <v>4330</v>
      </c>
      <c r="H2783" s="49" t="s">
        <v>980</v>
      </c>
      <c r="I2783" s="50">
        <v>45454</v>
      </c>
      <c r="M2783" s="49" t="s">
        <v>6684</v>
      </c>
    </row>
    <row r="2784" spans="1:13" x14ac:dyDescent="0.35">
      <c r="A2784" s="49" t="s">
        <v>14306</v>
      </c>
      <c r="B2784" s="49" t="s">
        <v>6685</v>
      </c>
      <c r="C2784" s="49"/>
      <c r="D2784" s="49" t="s">
        <v>1264</v>
      </c>
      <c r="E2784" s="49" t="s">
        <v>2785</v>
      </c>
      <c r="F2784" s="49" t="s">
        <v>2786</v>
      </c>
      <c r="G2784" s="49" t="s">
        <v>4330</v>
      </c>
      <c r="H2784" s="49" t="s">
        <v>980</v>
      </c>
      <c r="I2784" s="50">
        <v>45454</v>
      </c>
      <c r="M2784" s="49" t="s">
        <v>6686</v>
      </c>
    </row>
    <row r="2785" spans="1:13" x14ac:dyDescent="0.35">
      <c r="A2785" s="49" t="s">
        <v>14306</v>
      </c>
      <c r="B2785" s="49" t="s">
        <v>6687</v>
      </c>
      <c r="C2785" s="49"/>
      <c r="D2785" s="49" t="s">
        <v>1264</v>
      </c>
      <c r="E2785" s="49" t="s">
        <v>2785</v>
      </c>
      <c r="F2785" s="49" t="s">
        <v>2786</v>
      </c>
      <c r="G2785" s="49" t="s">
        <v>4330</v>
      </c>
      <c r="H2785" s="49" t="s">
        <v>980</v>
      </c>
      <c r="I2785" s="50">
        <v>45454</v>
      </c>
      <c r="M2785" s="49" t="s">
        <v>6688</v>
      </c>
    </row>
    <row r="2786" spans="1:13" x14ac:dyDescent="0.35">
      <c r="A2786" s="49" t="s">
        <v>15453</v>
      </c>
      <c r="B2786" s="49" t="s">
        <v>8084</v>
      </c>
      <c r="C2786" s="49" t="s">
        <v>3449</v>
      </c>
      <c r="D2786" s="49" t="s">
        <v>1264</v>
      </c>
      <c r="E2786" s="49" t="s">
        <v>2774</v>
      </c>
      <c r="F2786" s="49" t="s">
        <v>2900</v>
      </c>
      <c r="G2786" s="49" t="s">
        <v>2975</v>
      </c>
      <c r="H2786" s="49" t="s">
        <v>3229</v>
      </c>
      <c r="I2786" s="50">
        <v>40714</v>
      </c>
      <c r="J2786" s="50">
        <v>40745</v>
      </c>
      <c r="K2786" s="50">
        <v>42935</v>
      </c>
      <c r="M2786" s="49" t="s">
        <v>8086</v>
      </c>
    </row>
    <row r="2787" spans="1:13" x14ac:dyDescent="0.35">
      <c r="A2787" s="49" t="s">
        <v>15453</v>
      </c>
      <c r="B2787" s="49" t="s">
        <v>8169</v>
      </c>
      <c r="C2787" s="49" t="s">
        <v>8170</v>
      </c>
      <c r="D2787" s="49" t="s">
        <v>1264</v>
      </c>
      <c r="E2787" s="49" t="s">
        <v>2774</v>
      </c>
      <c r="F2787" s="49" t="s">
        <v>2900</v>
      </c>
      <c r="G2787" s="49" t="s">
        <v>2975</v>
      </c>
      <c r="H2787" s="49" t="s">
        <v>3207</v>
      </c>
      <c r="I2787" s="50">
        <v>40714</v>
      </c>
      <c r="J2787" s="50">
        <v>40745</v>
      </c>
      <c r="K2787" s="50">
        <v>42276</v>
      </c>
      <c r="M2787" s="49" t="s">
        <v>8171</v>
      </c>
    </row>
    <row r="2788" spans="1:13" x14ac:dyDescent="0.35">
      <c r="A2788" s="49" t="s">
        <v>15453</v>
      </c>
      <c r="B2788" s="49" t="s">
        <v>8172</v>
      </c>
      <c r="C2788" s="49" t="s">
        <v>8173</v>
      </c>
      <c r="D2788" s="49" t="s">
        <v>1264</v>
      </c>
      <c r="E2788" s="49" t="s">
        <v>2774</v>
      </c>
      <c r="F2788" s="49" t="s">
        <v>2900</v>
      </c>
      <c r="G2788" s="49" t="s">
        <v>2975</v>
      </c>
      <c r="H2788" s="49" t="s">
        <v>3229</v>
      </c>
      <c r="I2788" s="50">
        <v>40714</v>
      </c>
      <c r="J2788" s="50">
        <v>40745</v>
      </c>
      <c r="K2788" s="50">
        <v>42276</v>
      </c>
      <c r="M2788" s="49" t="s">
        <v>8086</v>
      </c>
    </row>
    <row r="2789" spans="1:13" x14ac:dyDescent="0.35">
      <c r="A2789" s="49" t="s">
        <v>564</v>
      </c>
      <c r="B2789" s="49" t="s">
        <v>10634</v>
      </c>
      <c r="C2789" s="49"/>
      <c r="D2789" s="49" t="s">
        <v>1264</v>
      </c>
      <c r="E2789" s="49" t="s">
        <v>2814</v>
      </c>
      <c r="F2789" s="49" t="s">
        <v>2939</v>
      </c>
      <c r="G2789" s="49" t="s">
        <v>2776</v>
      </c>
      <c r="H2789" s="49" t="s">
        <v>2827</v>
      </c>
      <c r="I2789" s="50">
        <v>42804</v>
      </c>
      <c r="M2789" s="49" t="s">
        <v>10635</v>
      </c>
    </row>
    <row r="2790" spans="1:13" x14ac:dyDescent="0.35">
      <c r="A2790" s="49" t="s">
        <v>564</v>
      </c>
      <c r="B2790" s="49" t="s">
        <v>11700</v>
      </c>
      <c r="C2790" s="49"/>
      <c r="D2790" s="49" t="s">
        <v>1264</v>
      </c>
      <c r="E2790" s="49" t="s">
        <v>2774</v>
      </c>
      <c r="F2790" s="49" t="s">
        <v>2900</v>
      </c>
      <c r="G2790" s="49" t="s">
        <v>4891</v>
      </c>
      <c r="H2790" s="49" t="s">
        <v>980</v>
      </c>
      <c r="I2790" s="50">
        <v>45252</v>
      </c>
      <c r="M2790" s="49" t="s">
        <v>11702</v>
      </c>
    </row>
    <row r="2791" spans="1:13" x14ac:dyDescent="0.35">
      <c r="A2791" s="49" t="s">
        <v>10351</v>
      </c>
      <c r="B2791" s="49" t="s">
        <v>10350</v>
      </c>
      <c r="C2791" s="49"/>
      <c r="D2791" s="49" t="s">
        <v>1264</v>
      </c>
      <c r="E2791" s="49" t="s">
        <v>2814</v>
      </c>
      <c r="F2791" s="49" t="s">
        <v>2825</v>
      </c>
      <c r="G2791" s="49" t="s">
        <v>2776</v>
      </c>
      <c r="H2791" s="49" t="s">
        <v>2827</v>
      </c>
      <c r="I2791" s="50">
        <v>42892</v>
      </c>
      <c r="M2791" s="49" t="s">
        <v>3270</v>
      </c>
    </row>
    <row r="2792" spans="1:13" x14ac:dyDescent="0.35">
      <c r="A2792" s="49" t="s">
        <v>10351</v>
      </c>
      <c r="B2792" s="49" t="s">
        <v>10530</v>
      </c>
      <c r="C2792" s="49"/>
      <c r="D2792" s="49" t="s">
        <v>1264</v>
      </c>
      <c r="E2792" s="49" t="s">
        <v>2814</v>
      </c>
      <c r="F2792" s="49" t="s">
        <v>2825</v>
      </c>
      <c r="G2792" s="49" t="s">
        <v>2776</v>
      </c>
      <c r="H2792" s="49" t="s">
        <v>2827</v>
      </c>
      <c r="I2792" s="50">
        <v>42699</v>
      </c>
      <c r="M2792" s="49" t="s">
        <v>3100</v>
      </c>
    </row>
    <row r="2793" spans="1:13" x14ac:dyDescent="0.35">
      <c r="A2793" s="49" t="s">
        <v>14086</v>
      </c>
      <c r="B2793" s="49" t="s">
        <v>3174</v>
      </c>
      <c r="C2793" s="49" t="s">
        <v>3175</v>
      </c>
      <c r="D2793" s="49" t="s">
        <v>1264</v>
      </c>
      <c r="E2793" s="49" t="s">
        <v>2774</v>
      </c>
      <c r="F2793" s="49" t="s">
        <v>2900</v>
      </c>
      <c r="G2793" s="49" t="s">
        <v>2975</v>
      </c>
      <c r="H2793" s="49" t="s">
        <v>980</v>
      </c>
      <c r="I2793" s="50">
        <v>40802</v>
      </c>
      <c r="J2793" s="50">
        <v>40991</v>
      </c>
      <c r="K2793" s="50">
        <v>42085</v>
      </c>
      <c r="M2793" s="49" t="s">
        <v>3177</v>
      </c>
    </row>
    <row r="2794" spans="1:13" x14ac:dyDescent="0.35">
      <c r="A2794" s="49" t="s">
        <v>14086</v>
      </c>
      <c r="B2794" s="49" t="s">
        <v>9050</v>
      </c>
      <c r="C2794" s="49" t="s">
        <v>3175</v>
      </c>
      <c r="D2794" s="49" t="s">
        <v>1264</v>
      </c>
      <c r="E2794" s="49" t="s">
        <v>2814</v>
      </c>
      <c r="F2794" s="49" t="s">
        <v>8985</v>
      </c>
      <c r="G2794" s="49" t="s">
        <v>2826</v>
      </c>
      <c r="H2794" s="49" t="s">
        <v>980</v>
      </c>
      <c r="I2794" s="50">
        <v>40802</v>
      </c>
      <c r="M2794" s="49" t="s">
        <v>3177</v>
      </c>
    </row>
    <row r="2795" spans="1:13" x14ac:dyDescent="0.35">
      <c r="A2795" s="49" t="s">
        <v>11267</v>
      </c>
      <c r="B2795" s="49" t="s">
        <v>11266</v>
      </c>
      <c r="C2795" s="49"/>
      <c r="D2795" s="49" t="s">
        <v>1264</v>
      </c>
      <c r="E2795" s="49" t="s">
        <v>2814</v>
      </c>
      <c r="F2795" s="49" t="s">
        <v>2825</v>
      </c>
      <c r="G2795" s="49" t="s">
        <v>4891</v>
      </c>
      <c r="H2795" s="49" t="s">
        <v>2827</v>
      </c>
      <c r="I2795" s="50">
        <v>44974</v>
      </c>
      <c r="M2795" s="49" t="s">
        <v>11268</v>
      </c>
    </row>
    <row r="2796" spans="1:13" x14ac:dyDescent="0.35">
      <c r="A2796" s="49" t="s">
        <v>15454</v>
      </c>
      <c r="B2796" s="49" t="s">
        <v>8947</v>
      </c>
      <c r="C2796" s="49" t="s">
        <v>8948</v>
      </c>
      <c r="D2796" s="49" t="s">
        <v>1264</v>
      </c>
      <c r="E2796" s="49" t="s">
        <v>2814</v>
      </c>
      <c r="F2796" s="49" t="s">
        <v>2825</v>
      </c>
      <c r="G2796" s="49" t="s">
        <v>2787</v>
      </c>
      <c r="H2796" s="49" t="s">
        <v>2827</v>
      </c>
      <c r="I2796" s="50">
        <v>42128</v>
      </c>
      <c r="J2796" s="50">
        <v>42152</v>
      </c>
      <c r="K2796" s="50">
        <v>42335</v>
      </c>
      <c r="M2796" s="49" t="s">
        <v>7400</v>
      </c>
    </row>
    <row r="2797" spans="1:13" x14ac:dyDescent="0.35">
      <c r="A2797" s="49" t="s">
        <v>15454</v>
      </c>
      <c r="B2797" s="49" t="s">
        <v>10190</v>
      </c>
      <c r="C2797" s="49"/>
      <c r="D2797" s="49" t="s">
        <v>1264</v>
      </c>
      <c r="E2797" s="49" t="s">
        <v>2814</v>
      </c>
      <c r="F2797" s="49" t="s">
        <v>2825</v>
      </c>
      <c r="G2797" s="49" t="s">
        <v>2776</v>
      </c>
      <c r="H2797" s="49" t="s">
        <v>2827</v>
      </c>
      <c r="I2797" s="50">
        <v>42353</v>
      </c>
      <c r="M2797" s="49" t="s">
        <v>3470</v>
      </c>
    </row>
    <row r="2798" spans="1:13" x14ac:dyDescent="0.35">
      <c r="A2798" s="49" t="s">
        <v>14138</v>
      </c>
      <c r="B2798" s="49" t="s">
        <v>3888</v>
      </c>
      <c r="C2798" s="49" t="s">
        <v>2937</v>
      </c>
      <c r="D2798" s="49" t="s">
        <v>1264</v>
      </c>
      <c r="E2798" s="49" t="s">
        <v>2908</v>
      </c>
      <c r="F2798" s="49" t="s">
        <v>2939</v>
      </c>
      <c r="G2798" s="49" t="s">
        <v>2787</v>
      </c>
      <c r="H2798" s="49" t="s">
        <v>980</v>
      </c>
      <c r="I2798" s="50">
        <v>43483</v>
      </c>
      <c r="J2798" s="50">
        <v>43493</v>
      </c>
      <c r="K2798" s="50">
        <v>45319</v>
      </c>
      <c r="M2798" s="49" t="s">
        <v>3871</v>
      </c>
    </row>
    <row r="2799" spans="1:13" x14ac:dyDescent="0.35">
      <c r="A2799" s="49" t="s">
        <v>15455</v>
      </c>
      <c r="B2799" s="49" t="s">
        <v>13406</v>
      </c>
      <c r="C2799" s="49"/>
      <c r="D2799" s="49" t="s">
        <v>1264</v>
      </c>
      <c r="E2799" s="49" t="s">
        <v>2986</v>
      </c>
      <c r="F2799" s="49" t="s">
        <v>2825</v>
      </c>
      <c r="G2799" s="49" t="s">
        <v>4891</v>
      </c>
      <c r="H2799" s="49" t="s">
        <v>2827</v>
      </c>
      <c r="I2799" s="52">
        <v>46122.531574074099</v>
      </c>
      <c r="M2799" s="49" t="s">
        <v>13408</v>
      </c>
    </row>
    <row r="2800" spans="1:13" x14ac:dyDescent="0.35">
      <c r="A2800" s="49" t="s">
        <v>15668</v>
      </c>
      <c r="B2800" s="49" t="s">
        <v>12064</v>
      </c>
      <c r="C2800" s="49" t="s">
        <v>12065</v>
      </c>
      <c r="D2800" s="49" t="s">
        <v>1264</v>
      </c>
      <c r="E2800" s="49" t="s">
        <v>2908</v>
      </c>
      <c r="F2800" s="49" t="s">
        <v>2837</v>
      </c>
      <c r="G2800" s="49" t="s">
        <v>4891</v>
      </c>
      <c r="H2800" s="49" t="s">
        <v>980</v>
      </c>
      <c r="I2800" s="50">
        <v>45321</v>
      </c>
      <c r="M2800" s="49" t="s">
        <v>12067</v>
      </c>
    </row>
    <row r="2801" spans="1:13" x14ac:dyDescent="0.35">
      <c r="A2801" s="49" t="s">
        <v>15668</v>
      </c>
      <c r="B2801" s="49" t="s">
        <v>12305</v>
      </c>
      <c r="C2801" s="49"/>
      <c r="D2801" s="49" t="s">
        <v>1264</v>
      </c>
      <c r="E2801" s="49" t="s">
        <v>2908</v>
      </c>
      <c r="F2801" s="49" t="s">
        <v>2837</v>
      </c>
      <c r="G2801" s="49" t="s">
        <v>4891</v>
      </c>
      <c r="H2801" s="49" t="s">
        <v>8</v>
      </c>
      <c r="I2801" s="50">
        <v>45370</v>
      </c>
      <c r="M2801" s="49" t="s">
        <v>3638</v>
      </c>
    </row>
    <row r="2802" spans="1:13" x14ac:dyDescent="0.35">
      <c r="A2802" s="49" t="s">
        <v>15208</v>
      </c>
      <c r="B2802" s="49" t="s">
        <v>13783</v>
      </c>
      <c r="C2802" s="49"/>
      <c r="D2802" s="49" t="s">
        <v>1264</v>
      </c>
      <c r="E2802" s="49" t="s">
        <v>2974</v>
      </c>
      <c r="F2802" s="49" t="s">
        <v>3108</v>
      </c>
      <c r="G2802" s="49" t="s">
        <v>2776</v>
      </c>
      <c r="H2802" s="49" t="s">
        <v>2827</v>
      </c>
      <c r="I2802" s="50">
        <v>42471</v>
      </c>
      <c r="M2802" s="49" t="s">
        <v>3470</v>
      </c>
    </row>
    <row r="2803" spans="1:13" x14ac:dyDescent="0.35">
      <c r="A2803" s="49" t="s">
        <v>14120</v>
      </c>
      <c r="B2803" s="49" t="s">
        <v>3645</v>
      </c>
      <c r="C2803" s="49" t="s">
        <v>3646</v>
      </c>
      <c r="D2803" s="49" t="s">
        <v>1264</v>
      </c>
      <c r="E2803" s="49" t="s">
        <v>2774</v>
      </c>
      <c r="F2803" s="49" t="s">
        <v>3648</v>
      </c>
      <c r="G2803" s="49" t="s">
        <v>2921</v>
      </c>
      <c r="H2803" s="49" t="s">
        <v>980</v>
      </c>
      <c r="I2803" s="50">
        <v>43034</v>
      </c>
      <c r="J2803" s="50">
        <v>43210</v>
      </c>
      <c r="K2803" s="50">
        <v>44671</v>
      </c>
      <c r="M2803" s="49" t="s">
        <v>3649</v>
      </c>
    </row>
    <row r="2804" spans="1:13" x14ac:dyDescent="0.35">
      <c r="A2804" s="49" t="s">
        <v>14120</v>
      </c>
      <c r="B2804" s="49" t="s">
        <v>7554</v>
      </c>
      <c r="C2804" s="49" t="s">
        <v>7555</v>
      </c>
      <c r="D2804" s="49" t="s">
        <v>1264</v>
      </c>
      <c r="E2804" s="49" t="s">
        <v>2774</v>
      </c>
      <c r="F2804" s="49" t="s">
        <v>3648</v>
      </c>
      <c r="G2804" s="49" t="s">
        <v>2975</v>
      </c>
      <c r="H2804" s="49" t="s">
        <v>980</v>
      </c>
      <c r="I2804" s="50">
        <v>40819</v>
      </c>
      <c r="J2804" s="50">
        <v>40941</v>
      </c>
      <c r="K2804" s="50">
        <v>42178</v>
      </c>
      <c r="M2804" s="49" t="s">
        <v>7556</v>
      </c>
    </row>
    <row r="2805" spans="1:13" x14ac:dyDescent="0.35">
      <c r="A2805" s="49" t="s">
        <v>14619</v>
      </c>
      <c r="B2805" s="49" t="s">
        <v>11877</v>
      </c>
      <c r="C2805" s="49" t="s">
        <v>3075</v>
      </c>
      <c r="D2805" s="49" t="s">
        <v>1264</v>
      </c>
      <c r="E2805" s="49" t="s">
        <v>2908</v>
      </c>
      <c r="F2805" s="49" t="s">
        <v>2837</v>
      </c>
      <c r="G2805" s="49" t="s">
        <v>4891</v>
      </c>
      <c r="H2805" s="49" t="s">
        <v>2827</v>
      </c>
      <c r="I2805" s="50">
        <v>45216</v>
      </c>
      <c r="M2805" s="49" t="s">
        <v>11879</v>
      </c>
    </row>
    <row r="2806" spans="1:13" x14ac:dyDescent="0.35">
      <c r="A2806" s="49" t="s">
        <v>2904</v>
      </c>
      <c r="B2806" s="49" t="s">
        <v>2903</v>
      </c>
      <c r="C2806" s="49"/>
      <c r="D2806" s="49" t="s">
        <v>1264</v>
      </c>
      <c r="E2806" s="49" t="s">
        <v>2899</v>
      </c>
      <c r="F2806" s="49" t="s">
        <v>2900</v>
      </c>
      <c r="G2806" s="49" t="s">
        <v>2901</v>
      </c>
      <c r="H2806" s="49" t="s">
        <v>980</v>
      </c>
      <c r="I2806" s="50">
        <v>28857</v>
      </c>
      <c r="J2806" s="50">
        <v>42084</v>
      </c>
      <c r="K2806" s="50">
        <v>55519</v>
      </c>
      <c r="M2806" s="49" t="s">
        <v>2905</v>
      </c>
    </row>
    <row r="2807" spans="1:13" x14ac:dyDescent="0.35">
      <c r="A2807" s="49" t="s">
        <v>14452</v>
      </c>
      <c r="B2807" s="49" t="s">
        <v>8723</v>
      </c>
      <c r="C2807" s="49" t="s">
        <v>8724</v>
      </c>
      <c r="D2807" s="49" t="s">
        <v>1264</v>
      </c>
      <c r="E2807" s="49" t="s">
        <v>2774</v>
      </c>
      <c r="F2807" s="49" t="s">
        <v>8726</v>
      </c>
      <c r="G2807" s="49" t="s">
        <v>2776</v>
      </c>
      <c r="H2807" s="49" t="s">
        <v>2827</v>
      </c>
      <c r="I2807" s="50">
        <v>41463</v>
      </c>
      <c r="M2807" s="49" t="s">
        <v>8727</v>
      </c>
    </row>
    <row r="2808" spans="1:13" x14ac:dyDescent="0.35">
      <c r="A2808" s="49" t="s">
        <v>14692</v>
      </c>
      <c r="B2808" s="49" t="s">
        <v>13992</v>
      </c>
      <c r="C2808" s="49"/>
      <c r="D2808" s="49" t="s">
        <v>1264</v>
      </c>
      <c r="E2808" s="49" t="s">
        <v>2774</v>
      </c>
      <c r="F2808" s="49" t="s">
        <v>5254</v>
      </c>
      <c r="G2808" s="49" t="s">
        <v>2776</v>
      </c>
      <c r="H2808" s="49" t="s">
        <v>2827</v>
      </c>
      <c r="I2808" s="50">
        <v>40837</v>
      </c>
      <c r="M2808" s="49" t="s">
        <v>13994</v>
      </c>
    </row>
    <row r="2809" spans="1:13" x14ac:dyDescent="0.35">
      <c r="A2809" s="49" t="s">
        <v>14130</v>
      </c>
      <c r="B2809" s="49" t="s">
        <v>3756</v>
      </c>
      <c r="C2809" s="49" t="s">
        <v>3468</v>
      </c>
      <c r="D2809" s="49" t="s">
        <v>1264</v>
      </c>
      <c r="E2809" s="49" t="s">
        <v>3443</v>
      </c>
      <c r="F2809" s="49" t="s">
        <v>3124</v>
      </c>
      <c r="G2809" s="49" t="s">
        <v>2921</v>
      </c>
      <c r="H2809" s="49" t="s">
        <v>980</v>
      </c>
      <c r="I2809" s="50">
        <v>43251</v>
      </c>
      <c r="J2809" s="50">
        <v>43307</v>
      </c>
      <c r="K2809" s="50">
        <v>45132</v>
      </c>
      <c r="M2809" s="49" t="s">
        <v>3758</v>
      </c>
    </row>
    <row r="2810" spans="1:13" x14ac:dyDescent="0.35">
      <c r="A2810" s="49" t="s">
        <v>14966</v>
      </c>
      <c r="B2810" s="49" t="s">
        <v>7459</v>
      </c>
      <c r="C2810" s="49" t="s">
        <v>7460</v>
      </c>
      <c r="D2810" s="49" t="s">
        <v>1264</v>
      </c>
      <c r="E2810" s="49" t="s">
        <v>7057</v>
      </c>
      <c r="F2810" s="49" t="s">
        <v>2825</v>
      </c>
      <c r="G2810" s="49" t="s">
        <v>2787</v>
      </c>
      <c r="H2810" s="49" t="s">
        <v>2827</v>
      </c>
      <c r="I2810" s="50">
        <v>40438</v>
      </c>
      <c r="J2810" s="50">
        <v>40935</v>
      </c>
      <c r="K2810" s="50">
        <v>42565</v>
      </c>
      <c r="M2810" s="49" t="s">
        <v>3270</v>
      </c>
    </row>
    <row r="2811" spans="1:13" x14ac:dyDescent="0.35">
      <c r="A2811" s="49" t="s">
        <v>15456</v>
      </c>
      <c r="B2811" s="49" t="s">
        <v>6362</v>
      </c>
      <c r="C2811" s="49" t="s">
        <v>3768</v>
      </c>
      <c r="D2811" s="49" t="s">
        <v>1264</v>
      </c>
      <c r="E2811" s="49" t="s">
        <v>3443</v>
      </c>
      <c r="F2811" s="49" t="s">
        <v>3124</v>
      </c>
      <c r="G2811" s="49" t="s">
        <v>2901</v>
      </c>
      <c r="H2811" s="49" t="s">
        <v>980</v>
      </c>
      <c r="I2811" s="50">
        <v>45320</v>
      </c>
      <c r="J2811" s="50">
        <v>45324</v>
      </c>
      <c r="K2811" s="50">
        <v>47150</v>
      </c>
    </row>
    <row r="2812" spans="1:13" x14ac:dyDescent="0.35">
      <c r="A2812" s="49" t="s">
        <v>14482</v>
      </c>
      <c r="B2812" s="49" t="s">
        <v>9264</v>
      </c>
      <c r="C2812" s="49" t="s">
        <v>9265</v>
      </c>
      <c r="D2812" s="49" t="s">
        <v>1264</v>
      </c>
      <c r="E2812" s="49" t="s">
        <v>2908</v>
      </c>
      <c r="F2812" s="49" t="s">
        <v>3898</v>
      </c>
      <c r="G2812" s="49" t="s">
        <v>2776</v>
      </c>
      <c r="H2812" s="49" t="s">
        <v>2827</v>
      </c>
      <c r="I2812" s="50">
        <v>44126</v>
      </c>
      <c r="M2812" s="49" t="s">
        <v>9267</v>
      </c>
    </row>
    <row r="2813" spans="1:13" x14ac:dyDescent="0.35">
      <c r="A2813" s="49" t="s">
        <v>567</v>
      </c>
      <c r="B2813" s="49" t="s">
        <v>8876</v>
      </c>
      <c r="C2813" s="49"/>
      <c r="D2813" s="49" t="s">
        <v>1264</v>
      </c>
      <c r="E2813" s="49" t="s">
        <v>2814</v>
      </c>
      <c r="F2813" s="49" t="s">
        <v>2780</v>
      </c>
      <c r="G2813" s="49" t="s">
        <v>2826</v>
      </c>
      <c r="H2813" s="49" t="s">
        <v>980</v>
      </c>
      <c r="I2813" s="50">
        <v>41332</v>
      </c>
      <c r="M2813" s="49" t="s">
        <v>7018</v>
      </c>
    </row>
    <row r="2814" spans="1:13" x14ac:dyDescent="0.35">
      <c r="A2814" s="49" t="s">
        <v>3992</v>
      </c>
      <c r="B2814" s="49" t="s">
        <v>3990</v>
      </c>
      <c r="C2814" s="49" t="s">
        <v>3991</v>
      </c>
      <c r="D2814" s="49" t="s">
        <v>1264</v>
      </c>
      <c r="E2814" s="49" t="s">
        <v>2774</v>
      </c>
      <c r="F2814" s="49" t="s">
        <v>3598</v>
      </c>
      <c r="G2814" s="49" t="s">
        <v>2921</v>
      </c>
      <c r="H2814" s="49" t="s">
        <v>2827</v>
      </c>
      <c r="I2814" s="50">
        <v>43867</v>
      </c>
      <c r="J2814" s="50">
        <v>44068</v>
      </c>
      <c r="K2814" s="50">
        <v>46623</v>
      </c>
      <c r="M2814" s="49" t="s">
        <v>3993</v>
      </c>
    </row>
    <row r="2815" spans="1:13" x14ac:dyDescent="0.35">
      <c r="A2815" s="49" t="s">
        <v>15209</v>
      </c>
      <c r="B2815" s="49" t="s">
        <v>6570</v>
      </c>
      <c r="C2815" s="49" t="s">
        <v>3768</v>
      </c>
      <c r="D2815" s="49" t="s">
        <v>1264</v>
      </c>
      <c r="E2815" s="49" t="s">
        <v>3443</v>
      </c>
      <c r="F2815" s="49" t="s">
        <v>3124</v>
      </c>
      <c r="G2815" s="49" t="s">
        <v>4330</v>
      </c>
      <c r="H2815" s="49" t="s">
        <v>980</v>
      </c>
      <c r="I2815" s="50">
        <v>45404</v>
      </c>
    </row>
    <row r="2816" spans="1:13" x14ac:dyDescent="0.35">
      <c r="A2816" s="49" t="s">
        <v>14331</v>
      </c>
      <c r="B2816" s="49" t="s">
        <v>7170</v>
      </c>
      <c r="C2816" s="49" t="s">
        <v>7171</v>
      </c>
      <c r="D2816" s="49" t="s">
        <v>1264</v>
      </c>
      <c r="E2816" s="49" t="s">
        <v>2814</v>
      </c>
      <c r="F2816" s="49" t="s">
        <v>2825</v>
      </c>
      <c r="G2816" s="49" t="s">
        <v>2787</v>
      </c>
      <c r="H2816" s="49" t="s">
        <v>2827</v>
      </c>
      <c r="I2816" s="50">
        <v>42058</v>
      </c>
      <c r="J2816" s="50">
        <v>42069</v>
      </c>
      <c r="K2816" s="50">
        <v>42252</v>
      </c>
      <c r="M2816" s="49" t="s">
        <v>7173</v>
      </c>
    </row>
    <row r="2817" spans="1:13" x14ac:dyDescent="0.35">
      <c r="A2817" s="49" t="s">
        <v>14331</v>
      </c>
      <c r="B2817" s="49" t="s">
        <v>13778</v>
      </c>
      <c r="C2817" s="49" t="s">
        <v>13779</v>
      </c>
      <c r="D2817" s="49" t="s">
        <v>1264</v>
      </c>
      <c r="E2817" s="49" t="s">
        <v>2974</v>
      </c>
      <c r="F2817" s="49" t="s">
        <v>2825</v>
      </c>
      <c r="G2817" s="49" t="s">
        <v>2776</v>
      </c>
      <c r="H2817" s="49" t="s">
        <v>2827</v>
      </c>
      <c r="I2817" s="50">
        <v>42215</v>
      </c>
      <c r="M2817" s="49" t="s">
        <v>13780</v>
      </c>
    </row>
    <row r="2818" spans="1:13" x14ac:dyDescent="0.35">
      <c r="A2818" s="49" t="s">
        <v>13523</v>
      </c>
      <c r="B2818" s="49" t="s">
        <v>9374</v>
      </c>
      <c r="C2818" s="49" t="s">
        <v>2849</v>
      </c>
      <c r="D2818" s="49" t="s">
        <v>1264</v>
      </c>
      <c r="E2818" s="49" t="s">
        <v>2785</v>
      </c>
      <c r="F2818" s="49" t="s">
        <v>2792</v>
      </c>
      <c r="G2818" s="49" t="s">
        <v>2776</v>
      </c>
      <c r="H2818" s="49" t="s">
        <v>980</v>
      </c>
      <c r="I2818" s="50">
        <v>44082</v>
      </c>
      <c r="M2818" s="49" t="s">
        <v>9376</v>
      </c>
    </row>
    <row r="2819" spans="1:13" x14ac:dyDescent="0.35">
      <c r="A2819" s="49" t="s">
        <v>13523</v>
      </c>
      <c r="B2819" s="49" t="s">
        <v>13522</v>
      </c>
      <c r="C2819" s="49"/>
      <c r="D2819" s="49" t="s">
        <v>1264</v>
      </c>
      <c r="E2819" s="49" t="s">
        <v>2785</v>
      </c>
      <c r="F2819" s="49" t="s">
        <v>2792</v>
      </c>
      <c r="G2819" s="49" t="s">
        <v>4891</v>
      </c>
      <c r="H2819" s="49" t="s">
        <v>980</v>
      </c>
      <c r="I2819" s="52">
        <v>46147.526932870402</v>
      </c>
      <c r="M2819" s="49" t="s">
        <v>12527</v>
      </c>
    </row>
    <row r="2820" spans="1:13" x14ac:dyDescent="0.35">
      <c r="A2820" s="49" t="s">
        <v>15249</v>
      </c>
      <c r="B2820" s="49" t="s">
        <v>4347</v>
      </c>
      <c r="C2820" s="49"/>
      <c r="D2820" s="49" t="s">
        <v>1264</v>
      </c>
      <c r="E2820" s="49" t="s">
        <v>2814</v>
      </c>
      <c r="F2820" s="49" t="s">
        <v>2786</v>
      </c>
      <c r="G2820" s="49" t="s">
        <v>2787</v>
      </c>
      <c r="H2820" s="49" t="s">
        <v>980</v>
      </c>
      <c r="I2820" s="50">
        <v>44327</v>
      </c>
      <c r="J2820" s="50">
        <v>44362</v>
      </c>
      <c r="K2820" s="50">
        <v>44544</v>
      </c>
      <c r="M2820" s="49" t="s">
        <v>4349</v>
      </c>
    </row>
    <row r="2821" spans="1:13" ht="29" x14ac:dyDescent="0.35">
      <c r="A2821" s="49" t="s">
        <v>15249</v>
      </c>
      <c r="B2821" s="49" t="s">
        <v>4984</v>
      </c>
      <c r="C2821" s="51" t="s">
        <v>4985</v>
      </c>
      <c r="D2821" s="49" t="s">
        <v>1264</v>
      </c>
      <c r="E2821" s="49" t="s">
        <v>3443</v>
      </c>
      <c r="F2821" s="49" t="s">
        <v>3124</v>
      </c>
      <c r="G2821" s="49" t="s">
        <v>4330</v>
      </c>
      <c r="H2821" s="49" t="s">
        <v>980</v>
      </c>
      <c r="I2821" s="50">
        <v>44750</v>
      </c>
    </row>
    <row r="2822" spans="1:13" x14ac:dyDescent="0.35">
      <c r="A2822" s="49" t="s">
        <v>15210</v>
      </c>
      <c r="B2822" s="49" t="s">
        <v>4709</v>
      </c>
      <c r="C2822" s="49"/>
      <c r="D2822" s="49" t="s">
        <v>1264</v>
      </c>
      <c r="E2822" s="49" t="s">
        <v>3443</v>
      </c>
      <c r="F2822" s="49" t="s">
        <v>3124</v>
      </c>
      <c r="G2822" s="49" t="s">
        <v>2921</v>
      </c>
      <c r="H2822" s="49" t="s">
        <v>980</v>
      </c>
      <c r="I2822" s="50">
        <v>44305</v>
      </c>
      <c r="J2822" s="50">
        <v>44326</v>
      </c>
      <c r="K2822" s="50">
        <v>46151</v>
      </c>
    </row>
    <row r="2823" spans="1:13" x14ac:dyDescent="0.35">
      <c r="A2823" s="49" t="s">
        <v>15210</v>
      </c>
      <c r="B2823" s="49" t="s">
        <v>8936</v>
      </c>
      <c r="C2823" s="49"/>
      <c r="D2823" s="49" t="s">
        <v>1264</v>
      </c>
      <c r="E2823" s="49" t="s">
        <v>2814</v>
      </c>
      <c r="F2823" s="49" t="s">
        <v>2825</v>
      </c>
      <c r="G2823" s="49" t="s">
        <v>2787</v>
      </c>
      <c r="H2823" s="49" t="s">
        <v>2827</v>
      </c>
      <c r="I2823" s="50">
        <v>43580</v>
      </c>
      <c r="J2823" s="50">
        <v>43592</v>
      </c>
      <c r="K2823" s="50">
        <v>44141</v>
      </c>
      <c r="M2823" s="49" t="s">
        <v>8937</v>
      </c>
    </row>
    <row r="2824" spans="1:13" x14ac:dyDescent="0.35">
      <c r="A2824" s="49" t="s">
        <v>15210</v>
      </c>
      <c r="B2824" s="49" t="s">
        <v>10073</v>
      </c>
      <c r="C2824" s="49" t="s">
        <v>10074</v>
      </c>
      <c r="D2824" s="49" t="s">
        <v>1264</v>
      </c>
      <c r="E2824" s="49" t="s">
        <v>2986</v>
      </c>
      <c r="F2824" s="49" t="s">
        <v>2825</v>
      </c>
      <c r="G2824" s="49" t="s">
        <v>2776</v>
      </c>
      <c r="H2824" s="49" t="s">
        <v>2827</v>
      </c>
      <c r="I2824" s="50">
        <v>43822</v>
      </c>
      <c r="M2824" s="49" t="s">
        <v>8870</v>
      </c>
    </row>
    <row r="2825" spans="1:13" x14ac:dyDescent="0.35">
      <c r="A2825" s="49" t="s">
        <v>15210</v>
      </c>
      <c r="B2825" s="49" t="s">
        <v>12540</v>
      </c>
      <c r="C2825" s="49" t="s">
        <v>6573</v>
      </c>
      <c r="D2825" s="49" t="s">
        <v>1264</v>
      </c>
      <c r="E2825" s="49" t="s">
        <v>2908</v>
      </c>
      <c r="F2825" s="49" t="s">
        <v>3010</v>
      </c>
      <c r="G2825" s="49" t="s">
        <v>4891</v>
      </c>
      <c r="H2825" s="49" t="s">
        <v>980</v>
      </c>
      <c r="I2825" s="50">
        <v>45434</v>
      </c>
      <c r="M2825" s="49" t="s">
        <v>12541</v>
      </c>
    </row>
    <row r="2826" spans="1:13" x14ac:dyDescent="0.35">
      <c r="A2826" s="49" t="s">
        <v>570</v>
      </c>
      <c r="B2826" s="49" t="s">
        <v>12136</v>
      </c>
      <c r="C2826" s="49"/>
      <c r="D2826" s="49" t="s">
        <v>1264</v>
      </c>
      <c r="E2826" s="49" t="s">
        <v>2774</v>
      </c>
      <c r="F2826" s="49" t="s">
        <v>2825</v>
      </c>
      <c r="G2826" s="49" t="s">
        <v>4891</v>
      </c>
      <c r="H2826" s="49" t="s">
        <v>2827</v>
      </c>
      <c r="I2826" s="50">
        <v>45344</v>
      </c>
      <c r="M2826" s="49" t="s">
        <v>12138</v>
      </c>
    </row>
    <row r="2827" spans="1:13" x14ac:dyDescent="0.35">
      <c r="A2827" s="49" t="s">
        <v>15113</v>
      </c>
      <c r="B2827" s="49" t="s">
        <v>5076</v>
      </c>
      <c r="C2827" s="49" t="s">
        <v>3075</v>
      </c>
      <c r="D2827" s="49" t="s">
        <v>1264</v>
      </c>
      <c r="E2827" s="49" t="s">
        <v>2908</v>
      </c>
      <c r="F2827" s="49" t="s">
        <v>2837</v>
      </c>
      <c r="G2827" s="49" t="s">
        <v>2901</v>
      </c>
      <c r="H2827" s="49" t="s">
        <v>2827</v>
      </c>
      <c r="I2827" s="50">
        <v>44770</v>
      </c>
      <c r="J2827" s="50">
        <v>44789</v>
      </c>
      <c r="K2827" s="50">
        <v>46614</v>
      </c>
      <c r="M2827" s="49" t="s">
        <v>5078</v>
      </c>
    </row>
    <row r="2828" spans="1:13" x14ac:dyDescent="0.35">
      <c r="A2828" s="49" t="s">
        <v>15113</v>
      </c>
      <c r="B2828" s="49" t="s">
        <v>9192</v>
      </c>
      <c r="C2828" s="49"/>
      <c r="D2828" s="49" t="s">
        <v>1264</v>
      </c>
      <c r="E2828" s="49" t="s">
        <v>2908</v>
      </c>
      <c r="F2828" s="49" t="s">
        <v>2837</v>
      </c>
      <c r="G2828" s="49" t="s">
        <v>2776</v>
      </c>
      <c r="H2828" s="49" t="s">
        <v>980</v>
      </c>
      <c r="I2828" s="50">
        <v>43432</v>
      </c>
      <c r="M2828" s="49" t="s">
        <v>9193</v>
      </c>
    </row>
    <row r="2829" spans="1:13" x14ac:dyDescent="0.35">
      <c r="A2829" s="49" t="s">
        <v>15113</v>
      </c>
      <c r="B2829" s="49" t="s">
        <v>9248</v>
      </c>
      <c r="C2829" s="49"/>
      <c r="D2829" s="49" t="s">
        <v>1264</v>
      </c>
      <c r="E2829" s="49" t="s">
        <v>2908</v>
      </c>
      <c r="F2829" s="49" t="s">
        <v>2837</v>
      </c>
      <c r="G2829" s="49" t="s">
        <v>2776</v>
      </c>
      <c r="H2829" s="49" t="s">
        <v>980</v>
      </c>
      <c r="I2829" s="50">
        <v>43727</v>
      </c>
      <c r="M2829" s="49" t="s">
        <v>9193</v>
      </c>
    </row>
    <row r="2830" spans="1:13" x14ac:dyDescent="0.35">
      <c r="A2830" s="49" t="s">
        <v>14967</v>
      </c>
      <c r="B2830" s="49" t="s">
        <v>9781</v>
      </c>
      <c r="C2830" s="49"/>
      <c r="D2830" s="49" t="s">
        <v>1264</v>
      </c>
      <c r="E2830" s="49" t="s">
        <v>2785</v>
      </c>
      <c r="F2830" s="49" t="s">
        <v>2786</v>
      </c>
      <c r="G2830" s="49" t="s">
        <v>2776</v>
      </c>
      <c r="H2830" s="49" t="s">
        <v>980</v>
      </c>
      <c r="I2830" s="50">
        <v>42152</v>
      </c>
      <c r="M2830" s="49" t="s">
        <v>3444</v>
      </c>
    </row>
    <row r="2831" spans="1:13" x14ac:dyDescent="0.35">
      <c r="A2831" s="49" t="s">
        <v>14128</v>
      </c>
      <c r="B2831" s="49" t="s">
        <v>3737</v>
      </c>
      <c r="C2831" s="49" t="s">
        <v>3738</v>
      </c>
      <c r="D2831" s="49" t="s">
        <v>1264</v>
      </c>
      <c r="E2831" s="49" t="s">
        <v>3443</v>
      </c>
      <c r="F2831" s="49" t="s">
        <v>2792</v>
      </c>
      <c r="G2831" s="49" t="s">
        <v>2787</v>
      </c>
      <c r="H2831" s="49" t="s">
        <v>980</v>
      </c>
      <c r="I2831" s="50">
        <v>43237</v>
      </c>
      <c r="J2831" s="50">
        <v>43304</v>
      </c>
      <c r="K2831" s="50">
        <v>45129</v>
      </c>
      <c r="M2831" s="49" t="s">
        <v>3740</v>
      </c>
    </row>
    <row r="2832" spans="1:13" x14ac:dyDescent="0.35">
      <c r="A2832" s="49" t="s">
        <v>14128</v>
      </c>
      <c r="B2832" s="49" t="s">
        <v>3741</v>
      </c>
      <c r="C2832" s="49"/>
      <c r="D2832" s="49" t="s">
        <v>1264</v>
      </c>
      <c r="E2832" s="49" t="s">
        <v>3443</v>
      </c>
      <c r="F2832" s="49" t="s">
        <v>3124</v>
      </c>
      <c r="G2832" s="49" t="s">
        <v>2921</v>
      </c>
      <c r="H2832" s="49" t="s">
        <v>980</v>
      </c>
      <c r="I2832" s="50">
        <v>43237</v>
      </c>
      <c r="J2832" s="50">
        <v>43304</v>
      </c>
      <c r="K2832" s="50">
        <v>45129</v>
      </c>
      <c r="M2832" s="49" t="s">
        <v>3742</v>
      </c>
    </row>
    <row r="2833" spans="1:13" x14ac:dyDescent="0.35">
      <c r="A2833" s="49" t="s">
        <v>1048</v>
      </c>
      <c r="B2833" s="49" t="s">
        <v>4077</v>
      </c>
      <c r="C2833" s="49" t="s">
        <v>3962</v>
      </c>
      <c r="D2833" s="49" t="s">
        <v>1264</v>
      </c>
      <c r="E2833" s="49" t="s">
        <v>2785</v>
      </c>
      <c r="F2833" s="49" t="s">
        <v>2792</v>
      </c>
      <c r="G2833" s="49" t="s">
        <v>2787</v>
      </c>
      <c r="H2833" s="49" t="s">
        <v>980</v>
      </c>
      <c r="I2833" s="50">
        <v>44014</v>
      </c>
      <c r="J2833" s="50">
        <v>44145</v>
      </c>
      <c r="K2833" s="50">
        <v>44510</v>
      </c>
      <c r="M2833" s="49" t="s">
        <v>4078</v>
      </c>
    </row>
    <row r="2834" spans="1:13" x14ac:dyDescent="0.35">
      <c r="A2834" s="49" t="s">
        <v>14518</v>
      </c>
      <c r="B2834" s="49" t="s">
        <v>9659</v>
      </c>
      <c r="C2834" s="49"/>
      <c r="D2834" s="49" t="s">
        <v>1264</v>
      </c>
      <c r="E2834" s="49" t="s">
        <v>2908</v>
      </c>
      <c r="F2834" s="49" t="s">
        <v>9661</v>
      </c>
      <c r="G2834" s="49" t="s">
        <v>2776</v>
      </c>
      <c r="H2834" s="49" t="s">
        <v>980</v>
      </c>
      <c r="I2834" s="50">
        <v>42426</v>
      </c>
      <c r="M2834" s="49" t="s">
        <v>9662</v>
      </c>
    </row>
    <row r="2835" spans="1:13" x14ac:dyDescent="0.35">
      <c r="A2835" s="49" t="s">
        <v>10692</v>
      </c>
      <c r="B2835" s="49" t="s">
        <v>7965</v>
      </c>
      <c r="C2835" s="49" t="s">
        <v>4010</v>
      </c>
      <c r="D2835" s="49" t="s">
        <v>1264</v>
      </c>
      <c r="E2835" s="49" t="s">
        <v>2774</v>
      </c>
      <c r="F2835" s="49" t="s">
        <v>2825</v>
      </c>
      <c r="G2835" s="49" t="s">
        <v>7967</v>
      </c>
      <c r="H2835" s="49" t="s">
        <v>2827</v>
      </c>
      <c r="I2835" s="50">
        <v>40234</v>
      </c>
      <c r="J2835" s="50">
        <v>40319</v>
      </c>
      <c r="K2835" s="50">
        <v>43605</v>
      </c>
      <c r="M2835" s="49" t="s">
        <v>7968</v>
      </c>
    </row>
    <row r="2836" spans="1:13" x14ac:dyDescent="0.35">
      <c r="A2836" s="49" t="s">
        <v>10692</v>
      </c>
      <c r="B2836" s="49" t="s">
        <v>7979</v>
      </c>
      <c r="C2836" s="49" t="s">
        <v>4799</v>
      </c>
      <c r="D2836" s="49" t="s">
        <v>1264</v>
      </c>
      <c r="E2836" s="49" t="s">
        <v>2774</v>
      </c>
      <c r="F2836" s="49" t="s">
        <v>2825</v>
      </c>
      <c r="G2836" s="49" t="s">
        <v>2826</v>
      </c>
      <c r="H2836" s="49" t="s">
        <v>2827</v>
      </c>
      <c r="I2836" s="50">
        <v>39241</v>
      </c>
      <c r="J2836" s="50">
        <v>39605</v>
      </c>
      <c r="K2836" s="50">
        <v>43621</v>
      </c>
      <c r="M2836" s="49" t="s">
        <v>7980</v>
      </c>
    </row>
    <row r="2837" spans="1:13" x14ac:dyDescent="0.35">
      <c r="A2837" s="49" t="s">
        <v>10692</v>
      </c>
      <c r="B2837" s="49" t="s">
        <v>8212</v>
      </c>
      <c r="C2837" s="49" t="s">
        <v>8213</v>
      </c>
      <c r="D2837" s="49" t="s">
        <v>1264</v>
      </c>
      <c r="E2837" s="49" t="s">
        <v>2774</v>
      </c>
      <c r="F2837" s="49" t="s">
        <v>2825</v>
      </c>
      <c r="G2837" s="49" t="s">
        <v>2975</v>
      </c>
      <c r="H2837" s="49" t="s">
        <v>2827</v>
      </c>
      <c r="I2837" s="50">
        <v>38713</v>
      </c>
      <c r="J2837" s="50">
        <v>39314</v>
      </c>
      <c r="K2837" s="50">
        <v>42569</v>
      </c>
      <c r="M2837" s="49" t="s">
        <v>8214</v>
      </c>
    </row>
    <row r="2838" spans="1:13" x14ac:dyDescent="0.35">
      <c r="A2838" s="49" t="s">
        <v>10692</v>
      </c>
      <c r="B2838" s="49" t="s">
        <v>8654</v>
      </c>
      <c r="C2838" s="49" t="s">
        <v>3075</v>
      </c>
      <c r="D2838" s="49" t="s">
        <v>1264</v>
      </c>
      <c r="E2838" s="49" t="s">
        <v>2774</v>
      </c>
      <c r="F2838" s="49" t="s">
        <v>3598</v>
      </c>
      <c r="G2838" s="49" t="s">
        <v>2975</v>
      </c>
      <c r="H2838" s="49" t="s">
        <v>973</v>
      </c>
      <c r="I2838" s="50">
        <v>37288</v>
      </c>
      <c r="J2838" s="50">
        <v>37769</v>
      </c>
      <c r="K2838" s="50">
        <v>42569</v>
      </c>
      <c r="M2838" s="49" t="s">
        <v>8655</v>
      </c>
    </row>
    <row r="2839" spans="1:13" x14ac:dyDescent="0.35">
      <c r="A2839" s="49" t="s">
        <v>10692</v>
      </c>
      <c r="B2839" s="49" t="s">
        <v>9069</v>
      </c>
      <c r="C2839" s="49" t="s">
        <v>9070</v>
      </c>
      <c r="D2839" s="49" t="s">
        <v>1264</v>
      </c>
      <c r="E2839" s="49" t="s">
        <v>2774</v>
      </c>
      <c r="F2839" s="49" t="s">
        <v>2825</v>
      </c>
      <c r="G2839" s="49" t="s">
        <v>2826</v>
      </c>
      <c r="H2839" s="49" t="s">
        <v>2827</v>
      </c>
      <c r="I2839" s="50">
        <v>35256</v>
      </c>
      <c r="J2839" s="50">
        <v>35360</v>
      </c>
      <c r="K2839" s="50">
        <v>36821</v>
      </c>
      <c r="M2839" s="49" t="s">
        <v>9071</v>
      </c>
    </row>
    <row r="2840" spans="1:13" x14ac:dyDescent="0.35">
      <c r="A2840" s="49" t="s">
        <v>10692</v>
      </c>
      <c r="B2840" s="49" t="s">
        <v>9075</v>
      </c>
      <c r="C2840" s="49" t="s">
        <v>9076</v>
      </c>
      <c r="D2840" s="49" t="s">
        <v>1264</v>
      </c>
      <c r="E2840" s="49" t="s">
        <v>2774</v>
      </c>
      <c r="F2840" s="49" t="s">
        <v>3598</v>
      </c>
      <c r="G2840" s="49" t="s">
        <v>2826</v>
      </c>
      <c r="H2840" s="49" t="s">
        <v>973</v>
      </c>
      <c r="I2840" s="50">
        <v>36886</v>
      </c>
      <c r="J2840" s="50">
        <v>37558</v>
      </c>
      <c r="K2840" s="50">
        <v>39019</v>
      </c>
    </row>
    <row r="2841" spans="1:13" x14ac:dyDescent="0.35">
      <c r="A2841" s="49" t="s">
        <v>10692</v>
      </c>
      <c r="B2841" s="49" t="s">
        <v>9077</v>
      </c>
      <c r="C2841" s="49" t="s">
        <v>9078</v>
      </c>
      <c r="D2841" s="49" t="s">
        <v>1264</v>
      </c>
      <c r="E2841" s="49" t="s">
        <v>2774</v>
      </c>
      <c r="F2841" s="49" t="s">
        <v>3598</v>
      </c>
      <c r="G2841" s="49" t="s">
        <v>2826</v>
      </c>
      <c r="H2841" s="49" t="s">
        <v>973</v>
      </c>
      <c r="J2841" s="50">
        <v>37761</v>
      </c>
      <c r="K2841" s="50">
        <v>40410</v>
      </c>
    </row>
    <row r="2842" spans="1:13" x14ac:dyDescent="0.35">
      <c r="A2842" s="49" t="s">
        <v>10692</v>
      </c>
      <c r="B2842" s="49" t="s">
        <v>10691</v>
      </c>
      <c r="C2842" s="49"/>
      <c r="D2842" s="49" t="s">
        <v>1264</v>
      </c>
      <c r="E2842" s="49" t="s">
        <v>2899</v>
      </c>
      <c r="F2842" s="49" t="s">
        <v>2825</v>
      </c>
      <c r="G2842" s="49" t="s">
        <v>2826</v>
      </c>
      <c r="H2842" s="49" t="s">
        <v>2827</v>
      </c>
      <c r="I2842" s="50">
        <v>42430</v>
      </c>
      <c r="M2842" s="49" t="s">
        <v>10693</v>
      </c>
    </row>
    <row r="2843" spans="1:13" x14ac:dyDescent="0.35">
      <c r="A2843" s="49" t="s">
        <v>15031</v>
      </c>
      <c r="B2843" s="49" t="s">
        <v>6237</v>
      </c>
      <c r="C2843" s="49" t="s">
        <v>6238</v>
      </c>
      <c r="D2843" s="49" t="s">
        <v>1264</v>
      </c>
      <c r="E2843" s="49" t="s">
        <v>2785</v>
      </c>
      <c r="F2843" s="49" t="s">
        <v>2792</v>
      </c>
      <c r="G2843" s="49" t="s">
        <v>4330</v>
      </c>
      <c r="H2843" s="49" t="s">
        <v>8</v>
      </c>
      <c r="I2843" s="50">
        <v>45268</v>
      </c>
      <c r="M2843" s="49" t="s">
        <v>6240</v>
      </c>
    </row>
    <row r="2844" spans="1:13" x14ac:dyDescent="0.35">
      <c r="A2844" s="49" t="s">
        <v>14204</v>
      </c>
      <c r="B2844" s="49" t="s">
        <v>4803</v>
      </c>
      <c r="C2844" s="49" t="s">
        <v>4804</v>
      </c>
      <c r="D2844" s="49" t="s">
        <v>1264</v>
      </c>
      <c r="E2844" s="49" t="s">
        <v>2774</v>
      </c>
      <c r="F2844" s="49" t="s">
        <v>4806</v>
      </c>
      <c r="G2844" s="49" t="s">
        <v>2826</v>
      </c>
      <c r="H2844" s="49" t="s">
        <v>2827</v>
      </c>
      <c r="I2844" s="50">
        <v>44627</v>
      </c>
      <c r="M2844" s="49" t="s">
        <v>4807</v>
      </c>
    </row>
    <row r="2845" spans="1:13" x14ac:dyDescent="0.35">
      <c r="A2845" s="49" t="s">
        <v>14204</v>
      </c>
      <c r="B2845" s="49" t="s">
        <v>5469</v>
      </c>
      <c r="C2845" s="49" t="s">
        <v>5470</v>
      </c>
      <c r="D2845" s="49" t="s">
        <v>1264</v>
      </c>
      <c r="E2845" s="49" t="s">
        <v>2774</v>
      </c>
      <c r="F2845" s="49" t="s">
        <v>2825</v>
      </c>
      <c r="G2845" s="49" t="s">
        <v>4330</v>
      </c>
      <c r="H2845" s="49" t="s">
        <v>2827</v>
      </c>
      <c r="I2845" s="50">
        <v>44662</v>
      </c>
      <c r="M2845" s="49" t="s">
        <v>5471</v>
      </c>
    </row>
    <row r="2846" spans="1:13" x14ac:dyDescent="0.35">
      <c r="A2846" s="49" t="s">
        <v>14204</v>
      </c>
      <c r="B2846" s="49" t="s">
        <v>10862</v>
      </c>
      <c r="C2846" s="49" t="s">
        <v>10863</v>
      </c>
      <c r="D2846" s="49" t="s">
        <v>1264</v>
      </c>
      <c r="E2846" s="49" t="s">
        <v>2774</v>
      </c>
      <c r="F2846" s="49" t="s">
        <v>2900</v>
      </c>
      <c r="G2846" s="49" t="s">
        <v>4330</v>
      </c>
      <c r="H2846" s="49" t="s">
        <v>835</v>
      </c>
      <c r="I2846" s="50">
        <v>44393</v>
      </c>
      <c r="M2846" s="49" t="s">
        <v>10864</v>
      </c>
    </row>
    <row r="2847" spans="1:13" ht="29" x14ac:dyDescent="0.35">
      <c r="A2847" s="49" t="s">
        <v>14204</v>
      </c>
      <c r="B2847" s="49" t="s">
        <v>11159</v>
      </c>
      <c r="C2847" s="51" t="s">
        <v>11160</v>
      </c>
      <c r="D2847" s="49" t="s">
        <v>1264</v>
      </c>
      <c r="E2847" s="49" t="s">
        <v>2774</v>
      </c>
      <c r="F2847" s="49" t="s">
        <v>2825</v>
      </c>
      <c r="G2847" s="49" t="s">
        <v>4891</v>
      </c>
      <c r="H2847" s="49" t="s">
        <v>2827</v>
      </c>
      <c r="I2847" s="50">
        <v>44860</v>
      </c>
      <c r="M2847" s="49" t="s">
        <v>11161</v>
      </c>
    </row>
    <row r="2848" spans="1:13" x14ac:dyDescent="0.35">
      <c r="A2848" s="49" t="s">
        <v>14558</v>
      </c>
      <c r="B2848" s="49" t="s">
        <v>10282</v>
      </c>
      <c r="C2848" s="49"/>
      <c r="D2848" s="49" t="s">
        <v>1264</v>
      </c>
      <c r="E2848" s="49" t="s">
        <v>2814</v>
      </c>
      <c r="F2848" s="49" t="s">
        <v>2825</v>
      </c>
      <c r="G2848" s="49" t="s">
        <v>2776</v>
      </c>
      <c r="H2848" s="49" t="s">
        <v>2827</v>
      </c>
      <c r="I2848" s="50">
        <v>42493</v>
      </c>
      <c r="M2848" s="49" t="s">
        <v>10284</v>
      </c>
    </row>
    <row r="2849" spans="1:13" x14ac:dyDescent="0.35">
      <c r="A2849" s="49" t="s">
        <v>14321</v>
      </c>
      <c r="B2849" s="49" t="s">
        <v>7027</v>
      </c>
      <c r="C2849" s="49" t="s">
        <v>7028</v>
      </c>
      <c r="D2849" s="49" t="s">
        <v>1264</v>
      </c>
      <c r="E2849" s="49" t="s">
        <v>2785</v>
      </c>
      <c r="F2849" s="49" t="s">
        <v>2805</v>
      </c>
      <c r="G2849" s="49" t="s">
        <v>2787</v>
      </c>
      <c r="H2849" s="49" t="s">
        <v>3207</v>
      </c>
      <c r="I2849" s="50">
        <v>41575</v>
      </c>
      <c r="J2849" s="50">
        <v>41647</v>
      </c>
      <c r="K2849" s="50">
        <v>41827</v>
      </c>
      <c r="M2849" s="49" t="s">
        <v>7030</v>
      </c>
    </row>
    <row r="2850" spans="1:13" x14ac:dyDescent="0.35">
      <c r="A2850" s="49" t="s">
        <v>14321</v>
      </c>
      <c r="B2850" s="49" t="s">
        <v>7167</v>
      </c>
      <c r="C2850" s="49" t="s">
        <v>7168</v>
      </c>
      <c r="D2850" s="49" t="s">
        <v>1264</v>
      </c>
      <c r="E2850" s="49" t="s">
        <v>2785</v>
      </c>
      <c r="F2850" s="49" t="s">
        <v>2805</v>
      </c>
      <c r="G2850" s="49" t="s">
        <v>2787</v>
      </c>
      <c r="H2850" s="49" t="s">
        <v>3207</v>
      </c>
      <c r="I2850" s="50">
        <v>42028</v>
      </c>
      <c r="J2850" s="50">
        <v>42067</v>
      </c>
      <c r="K2850" s="50">
        <v>42250</v>
      </c>
      <c r="M2850" s="49" t="s">
        <v>7169</v>
      </c>
    </row>
    <row r="2851" spans="1:13" x14ac:dyDescent="0.35">
      <c r="A2851" s="49" t="s">
        <v>14321</v>
      </c>
      <c r="B2851" s="49" t="s">
        <v>7341</v>
      </c>
      <c r="C2851" s="49" t="s">
        <v>7028</v>
      </c>
      <c r="D2851" s="49" t="s">
        <v>1264</v>
      </c>
      <c r="E2851" s="49" t="s">
        <v>2785</v>
      </c>
      <c r="F2851" s="49" t="s">
        <v>2805</v>
      </c>
      <c r="G2851" s="49" t="s">
        <v>2787</v>
      </c>
      <c r="H2851" s="49" t="s">
        <v>3207</v>
      </c>
      <c r="I2851" s="50">
        <v>42101</v>
      </c>
      <c r="J2851" s="50">
        <v>42124</v>
      </c>
      <c r="K2851" s="50">
        <v>42306</v>
      </c>
      <c r="M2851" s="49" t="s">
        <v>7342</v>
      </c>
    </row>
    <row r="2852" spans="1:13" x14ac:dyDescent="0.35">
      <c r="A2852" s="49" t="s">
        <v>14321</v>
      </c>
      <c r="B2852" s="49" t="s">
        <v>8801</v>
      </c>
      <c r="C2852" s="49" t="s">
        <v>8802</v>
      </c>
      <c r="D2852" s="49" t="s">
        <v>1264</v>
      </c>
      <c r="E2852" s="49" t="s">
        <v>2785</v>
      </c>
      <c r="F2852" s="49" t="s">
        <v>2792</v>
      </c>
      <c r="G2852" s="49" t="s">
        <v>2826</v>
      </c>
      <c r="H2852" s="49" t="s">
        <v>3207</v>
      </c>
      <c r="I2852" s="50">
        <v>41570</v>
      </c>
      <c r="M2852" s="49" t="s">
        <v>8803</v>
      </c>
    </row>
    <row r="2853" spans="1:13" x14ac:dyDescent="0.35">
      <c r="A2853" s="49" t="s">
        <v>14321</v>
      </c>
      <c r="B2853" s="49" t="s">
        <v>9766</v>
      </c>
      <c r="C2853" s="49" t="s">
        <v>9767</v>
      </c>
      <c r="D2853" s="49" t="s">
        <v>1264</v>
      </c>
      <c r="E2853" s="49" t="s">
        <v>2785</v>
      </c>
      <c r="F2853" s="49" t="s">
        <v>2805</v>
      </c>
      <c r="G2853" s="49" t="s">
        <v>2776</v>
      </c>
      <c r="H2853" s="49" t="s">
        <v>3207</v>
      </c>
      <c r="I2853" s="50">
        <v>42111</v>
      </c>
      <c r="M2853" s="49" t="s">
        <v>9768</v>
      </c>
    </row>
    <row r="2854" spans="1:13" x14ac:dyDescent="0.35">
      <c r="A2854" s="49" t="s">
        <v>14321</v>
      </c>
      <c r="B2854" s="49" t="s">
        <v>9796</v>
      </c>
      <c r="C2854" s="49"/>
      <c r="D2854" s="49" t="s">
        <v>1264</v>
      </c>
      <c r="E2854" s="49" t="s">
        <v>2785</v>
      </c>
      <c r="F2854" s="49" t="s">
        <v>2805</v>
      </c>
      <c r="G2854" s="49" t="s">
        <v>2776</v>
      </c>
      <c r="H2854" s="49" t="s">
        <v>3207</v>
      </c>
      <c r="I2854" s="50">
        <v>42059</v>
      </c>
      <c r="M2854" s="49" t="s">
        <v>9797</v>
      </c>
    </row>
    <row r="2855" spans="1:13" x14ac:dyDescent="0.35">
      <c r="A2855" s="49" t="s">
        <v>14321</v>
      </c>
      <c r="B2855" s="49" t="s">
        <v>9855</v>
      </c>
      <c r="C2855" s="49" t="s">
        <v>9856</v>
      </c>
      <c r="D2855" s="49" t="s">
        <v>1264</v>
      </c>
      <c r="E2855" s="49" t="s">
        <v>2785</v>
      </c>
      <c r="F2855" s="49" t="s">
        <v>2805</v>
      </c>
      <c r="G2855" s="49" t="s">
        <v>2776</v>
      </c>
      <c r="H2855" s="49" t="s">
        <v>3207</v>
      </c>
      <c r="I2855" s="50">
        <v>42136</v>
      </c>
      <c r="M2855" s="49" t="s">
        <v>9857</v>
      </c>
    </row>
    <row r="2856" spans="1:13" x14ac:dyDescent="0.35">
      <c r="A2856" s="49" t="s">
        <v>14321</v>
      </c>
      <c r="B2856" s="49" t="s">
        <v>10678</v>
      </c>
      <c r="C2856" s="49"/>
      <c r="D2856" s="49" t="s">
        <v>1264</v>
      </c>
      <c r="E2856" s="49" t="s">
        <v>2785</v>
      </c>
      <c r="F2856" s="49" t="s">
        <v>2805</v>
      </c>
      <c r="G2856" s="49" t="s">
        <v>2826</v>
      </c>
      <c r="H2856" s="49" t="s">
        <v>3207</v>
      </c>
      <c r="I2856" s="50">
        <v>41662</v>
      </c>
      <c r="J2856" s="50">
        <v>41670</v>
      </c>
      <c r="K2856" s="50">
        <v>41850</v>
      </c>
      <c r="M2856" s="49" t="s">
        <v>10679</v>
      </c>
    </row>
    <row r="2857" spans="1:13" x14ac:dyDescent="0.35">
      <c r="A2857" s="49" t="s">
        <v>14455</v>
      </c>
      <c r="B2857" s="49" t="s">
        <v>8819</v>
      </c>
      <c r="C2857" s="49" t="s">
        <v>8820</v>
      </c>
      <c r="D2857" s="49" t="s">
        <v>1264</v>
      </c>
      <c r="E2857" s="49" t="s">
        <v>2785</v>
      </c>
      <c r="F2857" s="49" t="s">
        <v>2792</v>
      </c>
      <c r="G2857" s="49" t="s">
        <v>2826</v>
      </c>
      <c r="H2857" s="49" t="s">
        <v>3207</v>
      </c>
      <c r="I2857" s="50">
        <v>41394</v>
      </c>
      <c r="J2857" s="50">
        <v>41408</v>
      </c>
      <c r="K2857" s="50">
        <v>41591</v>
      </c>
      <c r="M2857" s="49" t="s">
        <v>8822</v>
      </c>
    </row>
    <row r="2858" spans="1:13" x14ac:dyDescent="0.35">
      <c r="A2858" s="49" t="s">
        <v>14968</v>
      </c>
      <c r="B2858" s="49" t="s">
        <v>3561</v>
      </c>
      <c r="C2858" s="49" t="s">
        <v>3562</v>
      </c>
      <c r="D2858" s="49" t="s">
        <v>1264</v>
      </c>
      <c r="E2858" s="49" t="s">
        <v>2986</v>
      </c>
      <c r="F2858" s="49" t="s">
        <v>2825</v>
      </c>
      <c r="G2858" s="49" t="s">
        <v>2921</v>
      </c>
      <c r="H2858" s="49" t="s">
        <v>2827</v>
      </c>
      <c r="I2858" s="50">
        <v>42787</v>
      </c>
      <c r="J2858" s="50">
        <v>44258</v>
      </c>
      <c r="K2858" s="50">
        <v>45353</v>
      </c>
      <c r="M2858" s="49" t="s">
        <v>3270</v>
      </c>
    </row>
    <row r="2859" spans="1:13" x14ac:dyDescent="0.35">
      <c r="A2859" s="49" t="s">
        <v>14968</v>
      </c>
      <c r="B2859" s="49" t="s">
        <v>4784</v>
      </c>
      <c r="C2859" s="49"/>
      <c r="D2859" s="49" t="s">
        <v>1264</v>
      </c>
      <c r="E2859" s="49" t="s">
        <v>2986</v>
      </c>
      <c r="F2859" s="49" t="s">
        <v>2825</v>
      </c>
      <c r="G2859" s="49" t="s">
        <v>4330</v>
      </c>
      <c r="H2859" s="49" t="s">
        <v>2827</v>
      </c>
      <c r="I2859" s="50">
        <v>44635</v>
      </c>
      <c r="M2859" s="49" t="s">
        <v>4785</v>
      </c>
    </row>
    <row r="2860" spans="1:13" x14ac:dyDescent="0.35">
      <c r="A2860" s="49" t="s">
        <v>14968</v>
      </c>
      <c r="B2860" s="49" t="s">
        <v>9956</v>
      </c>
      <c r="C2860" s="49" t="s">
        <v>9957</v>
      </c>
      <c r="D2860" s="49" t="s">
        <v>1264</v>
      </c>
      <c r="E2860" s="49" t="s">
        <v>7057</v>
      </c>
      <c r="F2860" s="49" t="s">
        <v>2825</v>
      </c>
      <c r="G2860" s="49" t="s">
        <v>2776</v>
      </c>
      <c r="H2860" s="49" t="s">
        <v>2827</v>
      </c>
      <c r="I2860" s="50">
        <v>42443</v>
      </c>
      <c r="M2860" s="49" t="s">
        <v>9958</v>
      </c>
    </row>
    <row r="2861" spans="1:13" x14ac:dyDescent="0.35">
      <c r="A2861" s="49" t="s">
        <v>14968</v>
      </c>
      <c r="B2861" s="49" t="s">
        <v>10179</v>
      </c>
      <c r="C2861" s="49"/>
      <c r="D2861" s="49" t="s">
        <v>1264</v>
      </c>
      <c r="E2861" s="49" t="s">
        <v>2814</v>
      </c>
      <c r="F2861" s="49" t="s">
        <v>2825</v>
      </c>
      <c r="G2861" s="49" t="s">
        <v>2776</v>
      </c>
      <c r="H2861" s="49" t="s">
        <v>2827</v>
      </c>
      <c r="I2861" s="50">
        <v>42235</v>
      </c>
      <c r="M2861" s="49" t="s">
        <v>3470</v>
      </c>
    </row>
    <row r="2862" spans="1:13" x14ac:dyDescent="0.35">
      <c r="A2862" s="49" t="s">
        <v>14528</v>
      </c>
      <c r="B2862" s="49" t="s">
        <v>9798</v>
      </c>
      <c r="C2862" s="49"/>
      <c r="D2862" s="49" t="s">
        <v>1264</v>
      </c>
      <c r="E2862" s="49" t="s">
        <v>2785</v>
      </c>
      <c r="F2862" s="49" t="s">
        <v>2792</v>
      </c>
      <c r="G2862" s="49" t="s">
        <v>2776</v>
      </c>
      <c r="H2862" s="49" t="s">
        <v>8</v>
      </c>
      <c r="I2862" s="50">
        <v>42685</v>
      </c>
      <c r="M2862" s="49" t="s">
        <v>9800</v>
      </c>
    </row>
    <row r="2863" spans="1:13" x14ac:dyDescent="0.35">
      <c r="A2863" s="49" t="s">
        <v>14969</v>
      </c>
      <c r="B2863" s="49" t="s">
        <v>12466</v>
      </c>
      <c r="C2863" s="49" t="s">
        <v>12467</v>
      </c>
      <c r="D2863" s="49" t="s">
        <v>1264</v>
      </c>
      <c r="E2863" s="49" t="s">
        <v>2785</v>
      </c>
      <c r="F2863" s="49" t="s">
        <v>2792</v>
      </c>
      <c r="G2863" s="49" t="s">
        <v>4891</v>
      </c>
      <c r="H2863" s="49" t="s">
        <v>980</v>
      </c>
      <c r="I2863" s="50">
        <v>45400</v>
      </c>
      <c r="M2863" s="49" t="s">
        <v>12469</v>
      </c>
    </row>
    <row r="2864" spans="1:13" x14ac:dyDescent="0.35">
      <c r="A2864" s="49" t="s">
        <v>14970</v>
      </c>
      <c r="B2864" s="49" t="s">
        <v>9583</v>
      </c>
      <c r="C2864" s="49"/>
      <c r="D2864" s="49" t="s">
        <v>1264</v>
      </c>
      <c r="E2864" s="49" t="s">
        <v>2785</v>
      </c>
      <c r="F2864" s="49" t="s">
        <v>2792</v>
      </c>
      <c r="G2864" s="49" t="s">
        <v>2776</v>
      </c>
      <c r="H2864" s="49" t="s">
        <v>980</v>
      </c>
      <c r="I2864" s="50">
        <v>43181</v>
      </c>
      <c r="M2864" s="49" t="s">
        <v>9585</v>
      </c>
    </row>
    <row r="2865" spans="1:13" x14ac:dyDescent="0.35">
      <c r="A2865" s="49" t="s">
        <v>6819</v>
      </c>
      <c r="B2865" s="49" t="s">
        <v>3278</v>
      </c>
      <c r="C2865" s="49" t="s">
        <v>3279</v>
      </c>
      <c r="D2865" s="49" t="s">
        <v>1264</v>
      </c>
      <c r="E2865" s="49" t="s">
        <v>3281</v>
      </c>
      <c r="F2865" s="49" t="s">
        <v>2825</v>
      </c>
      <c r="G2865" s="49" t="s">
        <v>2901</v>
      </c>
      <c r="H2865" s="49" t="s">
        <v>973</v>
      </c>
      <c r="I2865" s="50">
        <v>41439</v>
      </c>
      <c r="J2865" s="50">
        <v>41680</v>
      </c>
      <c r="M2865" s="49" t="s">
        <v>3282</v>
      </c>
    </row>
    <row r="2866" spans="1:13" x14ac:dyDescent="0.35">
      <c r="A2866" s="49" t="s">
        <v>6819</v>
      </c>
      <c r="B2866" s="49" t="s">
        <v>3283</v>
      </c>
      <c r="C2866" s="49" t="s">
        <v>3284</v>
      </c>
      <c r="D2866" s="49" t="s">
        <v>1264</v>
      </c>
      <c r="E2866" s="49" t="s">
        <v>3281</v>
      </c>
      <c r="F2866" s="49" t="s">
        <v>2825</v>
      </c>
      <c r="G2866" s="49" t="s">
        <v>2901</v>
      </c>
      <c r="H2866" s="49" t="s">
        <v>973</v>
      </c>
      <c r="I2866" s="50">
        <v>41439</v>
      </c>
      <c r="J2866" s="50">
        <v>41680</v>
      </c>
      <c r="M2866" s="49" t="s">
        <v>3285</v>
      </c>
    </row>
    <row r="2867" spans="1:13" x14ac:dyDescent="0.35">
      <c r="A2867" s="49" t="s">
        <v>6819</v>
      </c>
      <c r="B2867" s="49" t="s">
        <v>3286</v>
      </c>
      <c r="C2867" s="49" t="s">
        <v>3287</v>
      </c>
      <c r="D2867" s="49" t="s">
        <v>1264</v>
      </c>
      <c r="E2867" s="49" t="s">
        <v>3281</v>
      </c>
      <c r="F2867" s="49" t="s">
        <v>2825</v>
      </c>
      <c r="G2867" s="49" t="s">
        <v>2901</v>
      </c>
      <c r="H2867" s="49" t="s">
        <v>973</v>
      </c>
      <c r="I2867" s="50">
        <v>41439</v>
      </c>
      <c r="J2867" s="50">
        <v>41680</v>
      </c>
      <c r="M2867" s="49" t="s">
        <v>3288</v>
      </c>
    </row>
    <row r="2868" spans="1:13" x14ac:dyDescent="0.35">
      <c r="A2868" s="49" t="s">
        <v>6819</v>
      </c>
      <c r="B2868" s="49" t="s">
        <v>3289</v>
      </c>
      <c r="C2868" s="49" t="s">
        <v>3290</v>
      </c>
      <c r="D2868" s="49" t="s">
        <v>1264</v>
      </c>
      <c r="E2868" s="49" t="s">
        <v>3281</v>
      </c>
      <c r="F2868" s="49" t="s">
        <v>2825</v>
      </c>
      <c r="G2868" s="49" t="s">
        <v>2901</v>
      </c>
      <c r="H2868" s="49" t="s">
        <v>2827</v>
      </c>
      <c r="I2868" s="50">
        <v>41439</v>
      </c>
      <c r="J2868" s="50">
        <v>41680</v>
      </c>
      <c r="M2868" s="49" t="s">
        <v>3291</v>
      </c>
    </row>
    <row r="2869" spans="1:13" x14ac:dyDescent="0.35">
      <c r="A2869" s="49" t="s">
        <v>6819</v>
      </c>
      <c r="B2869" s="49" t="s">
        <v>3292</v>
      </c>
      <c r="C2869" s="49" t="s">
        <v>3293</v>
      </c>
      <c r="D2869" s="49" t="s">
        <v>1264</v>
      </c>
      <c r="E2869" s="49" t="s">
        <v>3281</v>
      </c>
      <c r="F2869" s="49" t="s">
        <v>2825</v>
      </c>
      <c r="G2869" s="49" t="s">
        <v>2901</v>
      </c>
      <c r="H2869" s="49" t="s">
        <v>2827</v>
      </c>
      <c r="I2869" s="50">
        <v>41439</v>
      </c>
      <c r="J2869" s="50">
        <v>41680</v>
      </c>
      <c r="M2869" s="49" t="s">
        <v>3294</v>
      </c>
    </row>
    <row r="2870" spans="1:13" x14ac:dyDescent="0.35">
      <c r="A2870" s="49" t="s">
        <v>6819</v>
      </c>
      <c r="B2870" s="49" t="s">
        <v>3295</v>
      </c>
      <c r="C2870" s="49" t="s">
        <v>3296</v>
      </c>
      <c r="D2870" s="49" t="s">
        <v>1264</v>
      </c>
      <c r="E2870" s="49" t="s">
        <v>3281</v>
      </c>
      <c r="F2870" s="49" t="s">
        <v>2825</v>
      </c>
      <c r="G2870" s="49" t="s">
        <v>2901</v>
      </c>
      <c r="H2870" s="49" t="s">
        <v>2827</v>
      </c>
      <c r="I2870" s="50">
        <v>41439</v>
      </c>
      <c r="J2870" s="50">
        <v>41680</v>
      </c>
      <c r="M2870" s="49" t="s">
        <v>3297</v>
      </c>
    </row>
    <row r="2871" spans="1:13" x14ac:dyDescent="0.35">
      <c r="A2871" s="49" t="s">
        <v>6819</v>
      </c>
      <c r="B2871" s="49" t="s">
        <v>3298</v>
      </c>
      <c r="C2871" s="49" t="s">
        <v>3299</v>
      </c>
      <c r="D2871" s="49" t="s">
        <v>1264</v>
      </c>
      <c r="E2871" s="49" t="s">
        <v>3281</v>
      </c>
      <c r="F2871" s="49" t="s">
        <v>2825</v>
      </c>
      <c r="G2871" s="49" t="s">
        <v>2901</v>
      </c>
      <c r="H2871" s="49" t="s">
        <v>2827</v>
      </c>
      <c r="I2871" s="50">
        <v>41439</v>
      </c>
      <c r="J2871" s="50">
        <v>41680</v>
      </c>
      <c r="M2871" s="49" t="s">
        <v>3297</v>
      </c>
    </row>
    <row r="2872" spans="1:13" x14ac:dyDescent="0.35">
      <c r="A2872" s="49" t="s">
        <v>6819</v>
      </c>
      <c r="B2872" s="49" t="s">
        <v>3300</v>
      </c>
      <c r="C2872" s="49" t="s">
        <v>3301</v>
      </c>
      <c r="D2872" s="49" t="s">
        <v>1264</v>
      </c>
      <c r="E2872" s="49" t="s">
        <v>3281</v>
      </c>
      <c r="F2872" s="49" t="s">
        <v>2825</v>
      </c>
      <c r="G2872" s="49" t="s">
        <v>2901</v>
      </c>
      <c r="H2872" s="49" t="s">
        <v>2827</v>
      </c>
      <c r="I2872" s="50">
        <v>41439</v>
      </c>
      <c r="J2872" s="50">
        <v>41680</v>
      </c>
      <c r="M2872" s="49" t="s">
        <v>3302</v>
      </c>
    </row>
    <row r="2873" spans="1:13" x14ac:dyDescent="0.35">
      <c r="A2873" s="49" t="s">
        <v>6819</v>
      </c>
      <c r="B2873" s="49" t="s">
        <v>3303</v>
      </c>
      <c r="C2873" s="49" t="s">
        <v>3304</v>
      </c>
      <c r="D2873" s="49" t="s">
        <v>1264</v>
      </c>
      <c r="E2873" s="49" t="s">
        <v>3281</v>
      </c>
      <c r="F2873" s="49" t="s">
        <v>2825</v>
      </c>
      <c r="G2873" s="49" t="s">
        <v>2901</v>
      </c>
      <c r="H2873" s="49" t="s">
        <v>2827</v>
      </c>
      <c r="I2873" s="50">
        <v>41439</v>
      </c>
      <c r="J2873" s="50">
        <v>41680</v>
      </c>
      <c r="M2873" s="49" t="s">
        <v>3305</v>
      </c>
    </row>
    <row r="2874" spans="1:13" x14ac:dyDescent="0.35">
      <c r="A2874" s="49" t="s">
        <v>6819</v>
      </c>
      <c r="B2874" s="49" t="s">
        <v>3306</v>
      </c>
      <c r="C2874" s="49" t="s">
        <v>3307</v>
      </c>
      <c r="D2874" s="49" t="s">
        <v>1264</v>
      </c>
      <c r="E2874" s="49" t="s">
        <v>3281</v>
      </c>
      <c r="F2874" s="49" t="s">
        <v>2825</v>
      </c>
      <c r="G2874" s="49" t="s">
        <v>2901</v>
      </c>
      <c r="H2874" s="49" t="s">
        <v>2827</v>
      </c>
      <c r="I2874" s="50">
        <v>41439</v>
      </c>
      <c r="J2874" s="50">
        <v>41680</v>
      </c>
      <c r="M2874" s="49" t="s">
        <v>3308</v>
      </c>
    </row>
    <row r="2875" spans="1:13" x14ac:dyDescent="0.35">
      <c r="A2875" s="49" t="s">
        <v>6819</v>
      </c>
      <c r="B2875" s="49" t="s">
        <v>3309</v>
      </c>
      <c r="C2875" s="49" t="s">
        <v>3310</v>
      </c>
      <c r="D2875" s="49" t="s">
        <v>1264</v>
      </c>
      <c r="E2875" s="49" t="s">
        <v>3281</v>
      </c>
      <c r="F2875" s="49" t="s">
        <v>2825</v>
      </c>
      <c r="G2875" s="49" t="s">
        <v>2901</v>
      </c>
      <c r="H2875" s="49" t="s">
        <v>2827</v>
      </c>
      <c r="I2875" s="50">
        <v>41439</v>
      </c>
      <c r="J2875" s="50">
        <v>41680</v>
      </c>
      <c r="M2875" s="49" t="s">
        <v>3311</v>
      </c>
    </row>
    <row r="2876" spans="1:13" x14ac:dyDescent="0.35">
      <c r="A2876" s="49" t="s">
        <v>6819</v>
      </c>
      <c r="B2876" s="49" t="s">
        <v>3312</v>
      </c>
      <c r="C2876" s="49" t="s">
        <v>3313</v>
      </c>
      <c r="D2876" s="49" t="s">
        <v>1264</v>
      </c>
      <c r="E2876" s="49" t="s">
        <v>3281</v>
      </c>
      <c r="F2876" s="49" t="s">
        <v>2825</v>
      </c>
      <c r="G2876" s="49" t="s">
        <v>2901</v>
      </c>
      <c r="H2876" s="49" t="s">
        <v>2827</v>
      </c>
      <c r="I2876" s="50">
        <v>41439</v>
      </c>
      <c r="J2876" s="50">
        <v>41680</v>
      </c>
      <c r="M2876" s="49" t="s">
        <v>3314</v>
      </c>
    </row>
    <row r="2877" spans="1:13" x14ac:dyDescent="0.35">
      <c r="A2877" s="49" t="s">
        <v>6819</v>
      </c>
      <c r="B2877" s="49" t="s">
        <v>3315</v>
      </c>
      <c r="C2877" s="49" t="s">
        <v>3316</v>
      </c>
      <c r="D2877" s="49" t="s">
        <v>1264</v>
      </c>
      <c r="E2877" s="49" t="s">
        <v>3281</v>
      </c>
      <c r="F2877" s="49" t="s">
        <v>2825</v>
      </c>
      <c r="G2877" s="49" t="s">
        <v>2901</v>
      </c>
      <c r="H2877" s="49" t="s">
        <v>2827</v>
      </c>
      <c r="I2877" s="50">
        <v>41439</v>
      </c>
      <c r="J2877" s="50">
        <v>41680</v>
      </c>
      <c r="M2877" s="49" t="s">
        <v>3317</v>
      </c>
    </row>
    <row r="2878" spans="1:13" x14ac:dyDescent="0.35">
      <c r="A2878" s="49" t="s">
        <v>6819</v>
      </c>
      <c r="B2878" s="49" t="s">
        <v>3318</v>
      </c>
      <c r="C2878" s="49" t="s">
        <v>3319</v>
      </c>
      <c r="D2878" s="49" t="s">
        <v>1264</v>
      </c>
      <c r="E2878" s="49" t="s">
        <v>3281</v>
      </c>
      <c r="F2878" s="49" t="s">
        <v>2825</v>
      </c>
      <c r="G2878" s="49" t="s">
        <v>2901</v>
      </c>
      <c r="H2878" s="49" t="s">
        <v>2827</v>
      </c>
      <c r="I2878" s="50">
        <v>41439</v>
      </c>
      <c r="J2878" s="50">
        <v>41680</v>
      </c>
      <c r="M2878" s="49" t="s">
        <v>3320</v>
      </c>
    </row>
    <row r="2879" spans="1:13" x14ac:dyDescent="0.35">
      <c r="A2879" s="49" t="s">
        <v>6819</v>
      </c>
      <c r="B2879" s="49" t="s">
        <v>3321</v>
      </c>
      <c r="C2879" s="49" t="s">
        <v>3322</v>
      </c>
      <c r="D2879" s="49" t="s">
        <v>1264</v>
      </c>
      <c r="E2879" s="49" t="s">
        <v>3281</v>
      </c>
      <c r="F2879" s="49" t="s">
        <v>2825</v>
      </c>
      <c r="G2879" s="49" t="s">
        <v>2901</v>
      </c>
      <c r="H2879" s="49" t="s">
        <v>2827</v>
      </c>
      <c r="I2879" s="50">
        <v>41439</v>
      </c>
      <c r="J2879" s="50">
        <v>41680</v>
      </c>
      <c r="M2879" s="49" t="s">
        <v>3323</v>
      </c>
    </row>
    <row r="2880" spans="1:13" x14ac:dyDescent="0.35">
      <c r="A2880" s="49" t="s">
        <v>6819</v>
      </c>
      <c r="B2880" s="49" t="s">
        <v>3324</v>
      </c>
      <c r="C2880" s="49" t="s">
        <v>3325</v>
      </c>
      <c r="D2880" s="49" t="s">
        <v>1264</v>
      </c>
      <c r="E2880" s="49" t="s">
        <v>3281</v>
      </c>
      <c r="F2880" s="49" t="s">
        <v>2825</v>
      </c>
      <c r="G2880" s="49" t="s">
        <v>2901</v>
      </c>
      <c r="H2880" s="49" t="s">
        <v>2827</v>
      </c>
      <c r="I2880" s="50">
        <v>41439</v>
      </c>
      <c r="J2880" s="50">
        <v>41680</v>
      </c>
      <c r="M2880" s="49" t="s">
        <v>3326</v>
      </c>
    </row>
    <row r="2881" spans="1:13" x14ac:dyDescent="0.35">
      <c r="A2881" s="49" t="s">
        <v>6819</v>
      </c>
      <c r="B2881" s="49" t="s">
        <v>3327</v>
      </c>
      <c r="C2881" s="49" t="s">
        <v>3328</v>
      </c>
      <c r="D2881" s="49" t="s">
        <v>1264</v>
      </c>
      <c r="E2881" s="49" t="s">
        <v>3281</v>
      </c>
      <c r="F2881" s="49" t="s">
        <v>2825</v>
      </c>
      <c r="G2881" s="49" t="s">
        <v>2901</v>
      </c>
      <c r="H2881" s="49" t="s">
        <v>2827</v>
      </c>
      <c r="I2881" s="50">
        <v>41439</v>
      </c>
      <c r="J2881" s="50">
        <v>41680</v>
      </c>
      <c r="M2881" s="49" t="s">
        <v>3329</v>
      </c>
    </row>
    <row r="2882" spans="1:13" x14ac:dyDescent="0.35">
      <c r="A2882" s="49" t="s">
        <v>6819</v>
      </c>
      <c r="B2882" s="49" t="s">
        <v>3747</v>
      </c>
      <c r="C2882" s="49" t="s">
        <v>2806</v>
      </c>
      <c r="D2882" s="49" t="s">
        <v>1264</v>
      </c>
      <c r="E2882" s="49" t="s">
        <v>3748</v>
      </c>
      <c r="F2882" s="49" t="s">
        <v>2792</v>
      </c>
      <c r="G2882" s="49" t="s">
        <v>2787</v>
      </c>
      <c r="H2882" s="49" t="s">
        <v>2806</v>
      </c>
      <c r="I2882" s="50">
        <v>43248</v>
      </c>
      <c r="J2882" s="50">
        <v>43273</v>
      </c>
      <c r="K2882" s="50">
        <v>45099</v>
      </c>
      <c r="M2882" s="49" t="s">
        <v>3749</v>
      </c>
    </row>
    <row r="2883" spans="1:13" x14ac:dyDescent="0.35">
      <c r="A2883" s="49" t="s">
        <v>6819</v>
      </c>
      <c r="B2883" s="49" t="s">
        <v>6818</v>
      </c>
      <c r="C2883" s="49"/>
      <c r="D2883" s="49" t="s">
        <v>1264</v>
      </c>
      <c r="E2883" s="49" t="s">
        <v>4901</v>
      </c>
      <c r="F2883" s="49" t="s">
        <v>2825</v>
      </c>
      <c r="G2883" s="49" t="s">
        <v>2901</v>
      </c>
      <c r="H2883" s="49" t="s">
        <v>2827</v>
      </c>
      <c r="I2883" s="52">
        <v>46034.473576388897</v>
      </c>
      <c r="J2883" s="50">
        <v>46034</v>
      </c>
      <c r="K2883" s="50">
        <v>47129</v>
      </c>
      <c r="M2883" s="49" t="s">
        <v>6820</v>
      </c>
    </row>
    <row r="2884" spans="1:13" x14ac:dyDescent="0.35">
      <c r="A2884" s="49" t="s">
        <v>6819</v>
      </c>
      <c r="B2884" s="49" t="s">
        <v>6821</v>
      </c>
      <c r="C2884" s="49" t="s">
        <v>3593</v>
      </c>
      <c r="D2884" s="49" t="s">
        <v>1264</v>
      </c>
      <c r="E2884" s="49" t="s">
        <v>4901</v>
      </c>
      <c r="F2884" s="49" t="s">
        <v>2825</v>
      </c>
      <c r="G2884" s="49" t="s">
        <v>2901</v>
      </c>
      <c r="H2884" s="49" t="s">
        <v>2827</v>
      </c>
      <c r="I2884" s="52">
        <v>46038.510289351798</v>
      </c>
      <c r="J2884" s="50">
        <v>46038</v>
      </c>
      <c r="K2884" s="50">
        <v>47133</v>
      </c>
      <c r="M2884" s="49" t="s">
        <v>6822</v>
      </c>
    </row>
    <row r="2885" spans="1:13" x14ac:dyDescent="0.35">
      <c r="A2885" s="49" t="s">
        <v>6819</v>
      </c>
      <c r="B2885" s="49" t="s">
        <v>6823</v>
      </c>
      <c r="C2885" s="49"/>
      <c r="D2885" s="49" t="s">
        <v>1264</v>
      </c>
      <c r="E2885" s="49" t="s">
        <v>4901</v>
      </c>
      <c r="F2885" s="49" t="s">
        <v>2825</v>
      </c>
      <c r="G2885" s="49" t="s">
        <v>2901</v>
      </c>
      <c r="H2885" s="49" t="s">
        <v>2827</v>
      </c>
      <c r="I2885" s="52">
        <v>46044.502025463</v>
      </c>
      <c r="J2885" s="50">
        <v>46044</v>
      </c>
      <c r="K2885" s="50">
        <v>47139</v>
      </c>
      <c r="M2885" s="49" t="s">
        <v>6824</v>
      </c>
    </row>
    <row r="2886" spans="1:13" x14ac:dyDescent="0.35">
      <c r="A2886" s="49" t="s">
        <v>6819</v>
      </c>
      <c r="B2886" s="49" t="s">
        <v>6825</v>
      </c>
      <c r="C2886" s="49"/>
      <c r="D2886" s="49" t="s">
        <v>1264</v>
      </c>
      <c r="E2886" s="49" t="s">
        <v>4901</v>
      </c>
      <c r="F2886" s="49" t="s">
        <v>2825</v>
      </c>
      <c r="G2886" s="49" t="s">
        <v>2901</v>
      </c>
      <c r="H2886" s="49" t="s">
        <v>2827</v>
      </c>
      <c r="I2886" s="52">
        <v>46045.644687499997</v>
      </c>
      <c r="J2886" s="50">
        <v>46045</v>
      </c>
      <c r="K2886" s="50">
        <v>47140</v>
      </c>
      <c r="M2886" s="49" t="s">
        <v>6826</v>
      </c>
    </row>
    <row r="2887" spans="1:13" x14ac:dyDescent="0.35">
      <c r="A2887" s="49" t="s">
        <v>6819</v>
      </c>
      <c r="B2887" s="49" t="s">
        <v>6844</v>
      </c>
      <c r="C2887" s="49"/>
      <c r="D2887" s="49" t="s">
        <v>1264</v>
      </c>
      <c r="E2887" s="49" t="s">
        <v>4901</v>
      </c>
      <c r="F2887" s="49" t="s">
        <v>2825</v>
      </c>
      <c r="G2887" s="49" t="s">
        <v>2901</v>
      </c>
      <c r="I2887" s="52">
        <v>46055.838078703702</v>
      </c>
      <c r="J2887" s="50">
        <v>46055</v>
      </c>
      <c r="K2887" s="50">
        <v>47150</v>
      </c>
      <c r="M2887" s="49" t="s">
        <v>6845</v>
      </c>
    </row>
    <row r="2888" spans="1:13" x14ac:dyDescent="0.35">
      <c r="A2888" s="49" t="s">
        <v>6819</v>
      </c>
      <c r="B2888" s="49" t="s">
        <v>6849</v>
      </c>
      <c r="C2888" s="49"/>
      <c r="D2888" s="49" t="s">
        <v>1264</v>
      </c>
      <c r="E2888" s="49" t="s">
        <v>4901</v>
      </c>
      <c r="F2888" s="49" t="s">
        <v>2825</v>
      </c>
      <c r="G2888" s="49" t="s">
        <v>2901</v>
      </c>
      <c r="H2888" s="49" t="s">
        <v>2827</v>
      </c>
      <c r="I2888" s="52">
        <v>46098.655624999999</v>
      </c>
      <c r="J2888" s="50">
        <v>46098</v>
      </c>
      <c r="K2888" s="50">
        <v>47193</v>
      </c>
      <c r="M2888" s="49" t="s">
        <v>6850</v>
      </c>
    </row>
    <row r="2889" spans="1:13" x14ac:dyDescent="0.35">
      <c r="A2889" s="49" t="s">
        <v>6819</v>
      </c>
      <c r="B2889" s="49" t="s">
        <v>6989</v>
      </c>
      <c r="C2889" s="49" t="s">
        <v>6990</v>
      </c>
      <c r="D2889" s="49" t="s">
        <v>1264</v>
      </c>
      <c r="E2889" s="49" t="s">
        <v>3748</v>
      </c>
      <c r="F2889" s="49" t="s">
        <v>2792</v>
      </c>
      <c r="G2889" s="49" t="s">
        <v>2787</v>
      </c>
      <c r="H2889" s="49" t="s">
        <v>980</v>
      </c>
      <c r="I2889" s="50">
        <v>43258</v>
      </c>
      <c r="J2889" s="50">
        <v>43558</v>
      </c>
      <c r="K2889" s="50">
        <v>45385</v>
      </c>
      <c r="M2889" s="49" t="s">
        <v>6991</v>
      </c>
    </row>
    <row r="2890" spans="1:13" x14ac:dyDescent="0.35">
      <c r="A2890" s="49" t="s">
        <v>6819</v>
      </c>
      <c r="B2890" s="49" t="s">
        <v>7026</v>
      </c>
      <c r="C2890" s="49"/>
      <c r="D2890" s="49" t="s">
        <v>1264</v>
      </c>
      <c r="E2890" s="49" t="s">
        <v>3748</v>
      </c>
      <c r="F2890" s="49" t="s">
        <v>2792</v>
      </c>
      <c r="G2890" s="49" t="s">
        <v>2776</v>
      </c>
      <c r="H2890" s="49" t="s">
        <v>3207</v>
      </c>
      <c r="I2890" s="50">
        <v>41289</v>
      </c>
    </row>
    <row r="2891" spans="1:13" x14ac:dyDescent="0.35">
      <c r="A2891" s="49" t="s">
        <v>6819</v>
      </c>
      <c r="B2891" s="49" t="s">
        <v>7287</v>
      </c>
      <c r="C2891" s="49" t="s">
        <v>7288</v>
      </c>
      <c r="D2891" s="49" t="s">
        <v>1264</v>
      </c>
      <c r="E2891" s="49" t="s">
        <v>3748</v>
      </c>
      <c r="F2891" s="49" t="s">
        <v>2792</v>
      </c>
      <c r="G2891" s="49" t="s">
        <v>2826</v>
      </c>
      <c r="H2891" s="49" t="s">
        <v>8</v>
      </c>
      <c r="I2891" s="50">
        <v>38020</v>
      </c>
      <c r="J2891" s="50">
        <v>38020</v>
      </c>
      <c r="K2891" s="50">
        <v>39847</v>
      </c>
      <c r="M2891" s="49" t="s">
        <v>7289</v>
      </c>
    </row>
    <row r="2892" spans="1:13" x14ac:dyDescent="0.35">
      <c r="A2892" s="49" t="s">
        <v>6819</v>
      </c>
      <c r="B2892" s="49" t="s">
        <v>7311</v>
      </c>
      <c r="C2892" s="49" t="s">
        <v>7312</v>
      </c>
      <c r="D2892" s="49" t="s">
        <v>1264</v>
      </c>
      <c r="E2892" s="49" t="s">
        <v>3748</v>
      </c>
      <c r="F2892" s="49" t="s">
        <v>2792</v>
      </c>
      <c r="G2892" s="49" t="s">
        <v>2787</v>
      </c>
      <c r="H2892" s="49" t="s">
        <v>3207</v>
      </c>
      <c r="I2892" s="50">
        <v>42325</v>
      </c>
      <c r="J2892" s="50">
        <v>42384</v>
      </c>
      <c r="K2892" s="50">
        <v>44211</v>
      </c>
      <c r="M2892" s="49" t="s">
        <v>7313</v>
      </c>
    </row>
    <row r="2893" spans="1:13" x14ac:dyDescent="0.35">
      <c r="A2893" s="49" t="s">
        <v>6819</v>
      </c>
      <c r="B2893" s="49" t="s">
        <v>7857</v>
      </c>
      <c r="C2893" s="49" t="s">
        <v>7858</v>
      </c>
      <c r="D2893" s="49" t="s">
        <v>1264</v>
      </c>
      <c r="E2893" s="49" t="s">
        <v>3281</v>
      </c>
      <c r="F2893" s="49" t="s">
        <v>2825</v>
      </c>
      <c r="G2893" s="49" t="s">
        <v>2901</v>
      </c>
      <c r="H2893" s="49" t="s">
        <v>2827</v>
      </c>
      <c r="I2893" s="50">
        <v>41439</v>
      </c>
      <c r="M2893" s="49" t="s">
        <v>7859</v>
      </c>
    </row>
    <row r="2894" spans="1:13" x14ac:dyDescent="0.35">
      <c r="A2894" s="49" t="s">
        <v>6819</v>
      </c>
      <c r="B2894" s="49" t="s">
        <v>7860</v>
      </c>
      <c r="C2894" s="49" t="s">
        <v>7861</v>
      </c>
      <c r="D2894" s="49" t="s">
        <v>1264</v>
      </c>
      <c r="E2894" s="49" t="s">
        <v>3281</v>
      </c>
      <c r="F2894" s="49" t="s">
        <v>2825</v>
      </c>
      <c r="G2894" s="49" t="s">
        <v>2901</v>
      </c>
      <c r="H2894" s="49" t="s">
        <v>2827</v>
      </c>
      <c r="I2894" s="50">
        <v>41439</v>
      </c>
      <c r="M2894" s="49" t="s">
        <v>7862</v>
      </c>
    </row>
    <row r="2895" spans="1:13" x14ac:dyDescent="0.35">
      <c r="A2895" s="49" t="s">
        <v>6819</v>
      </c>
      <c r="B2895" s="49" t="s">
        <v>7890</v>
      </c>
      <c r="C2895" s="49" t="s">
        <v>7891</v>
      </c>
      <c r="D2895" s="49" t="s">
        <v>1264</v>
      </c>
      <c r="E2895" s="49" t="s">
        <v>3748</v>
      </c>
      <c r="F2895" s="49" t="s">
        <v>2792</v>
      </c>
      <c r="G2895" s="49" t="s">
        <v>2826</v>
      </c>
      <c r="H2895" s="49" t="s">
        <v>8</v>
      </c>
      <c r="I2895" s="50">
        <v>30232</v>
      </c>
      <c r="J2895" s="50">
        <v>31127</v>
      </c>
    </row>
    <row r="2896" spans="1:13" x14ac:dyDescent="0.35">
      <c r="A2896" s="49" t="s">
        <v>6819</v>
      </c>
      <c r="B2896" s="49" t="s">
        <v>7951</v>
      </c>
      <c r="C2896" s="49" t="s">
        <v>7952</v>
      </c>
      <c r="D2896" s="49" t="s">
        <v>1264</v>
      </c>
      <c r="E2896" s="49" t="s">
        <v>3748</v>
      </c>
      <c r="F2896" s="49" t="s">
        <v>2792</v>
      </c>
      <c r="G2896" s="49" t="s">
        <v>2787</v>
      </c>
      <c r="H2896" s="49" t="s">
        <v>3207</v>
      </c>
      <c r="I2896" s="50">
        <v>39395</v>
      </c>
      <c r="J2896" s="50">
        <v>40308</v>
      </c>
      <c r="M2896" s="49" t="s">
        <v>7953</v>
      </c>
    </row>
    <row r="2897" spans="1:13" x14ac:dyDescent="0.35">
      <c r="A2897" s="49" t="s">
        <v>6819</v>
      </c>
      <c r="B2897" s="49" t="s">
        <v>7954</v>
      </c>
      <c r="C2897" s="49" t="s">
        <v>7955</v>
      </c>
      <c r="D2897" s="49" t="s">
        <v>1264</v>
      </c>
      <c r="E2897" s="49" t="s">
        <v>3748</v>
      </c>
      <c r="F2897" s="49" t="s">
        <v>2792</v>
      </c>
      <c r="G2897" s="49" t="s">
        <v>2826</v>
      </c>
      <c r="H2897" s="49" t="s">
        <v>3207</v>
      </c>
      <c r="I2897" s="50">
        <v>39395</v>
      </c>
      <c r="J2897" s="50">
        <v>40308</v>
      </c>
      <c r="M2897" s="49" t="s">
        <v>7956</v>
      </c>
    </row>
    <row r="2898" spans="1:13" x14ac:dyDescent="0.35">
      <c r="A2898" s="49" t="s">
        <v>6819</v>
      </c>
      <c r="B2898" s="49" t="s">
        <v>7985</v>
      </c>
      <c r="C2898" s="49" t="s">
        <v>7986</v>
      </c>
      <c r="D2898" s="49" t="s">
        <v>1264</v>
      </c>
      <c r="E2898" s="49" t="s">
        <v>3748</v>
      </c>
      <c r="F2898" s="49" t="s">
        <v>2792</v>
      </c>
      <c r="G2898" s="49" t="s">
        <v>2787</v>
      </c>
      <c r="H2898" s="49" t="s">
        <v>864</v>
      </c>
      <c r="I2898" s="50">
        <v>42420</v>
      </c>
      <c r="J2898" s="50">
        <v>42460</v>
      </c>
      <c r="K2898" s="50">
        <v>44227</v>
      </c>
      <c r="M2898" s="49" t="s">
        <v>7987</v>
      </c>
    </row>
    <row r="2899" spans="1:13" x14ac:dyDescent="0.35">
      <c r="A2899" s="49" t="s">
        <v>6819</v>
      </c>
      <c r="B2899" s="49" t="s">
        <v>8017</v>
      </c>
      <c r="C2899" s="49" t="s">
        <v>8018</v>
      </c>
      <c r="D2899" s="49" t="s">
        <v>1264</v>
      </c>
      <c r="E2899" s="49" t="s">
        <v>3748</v>
      </c>
      <c r="F2899" s="49" t="s">
        <v>2792</v>
      </c>
      <c r="G2899" s="49" t="s">
        <v>2787</v>
      </c>
      <c r="H2899" s="49" t="s">
        <v>980</v>
      </c>
      <c r="I2899" s="50">
        <v>42226</v>
      </c>
      <c r="J2899" s="50">
        <v>42466</v>
      </c>
      <c r="K2899" s="50">
        <v>44292</v>
      </c>
      <c r="M2899" s="49" t="s">
        <v>8019</v>
      </c>
    </row>
    <row r="2900" spans="1:13" x14ac:dyDescent="0.35">
      <c r="A2900" s="49" t="s">
        <v>6819</v>
      </c>
      <c r="B2900" s="49" t="s">
        <v>8062</v>
      </c>
      <c r="C2900" s="49" t="s">
        <v>8063</v>
      </c>
      <c r="D2900" s="49" t="s">
        <v>1264</v>
      </c>
      <c r="E2900" s="49" t="s">
        <v>3748</v>
      </c>
      <c r="F2900" s="49" t="s">
        <v>2792</v>
      </c>
      <c r="G2900" s="49" t="s">
        <v>2826</v>
      </c>
      <c r="I2900" s="50">
        <v>38469</v>
      </c>
      <c r="J2900" s="50">
        <v>38650</v>
      </c>
      <c r="M2900" s="49" t="s">
        <v>8064</v>
      </c>
    </row>
    <row r="2901" spans="1:13" x14ac:dyDescent="0.35">
      <c r="A2901" s="49" t="s">
        <v>6819</v>
      </c>
      <c r="B2901" s="49" t="s">
        <v>8087</v>
      </c>
      <c r="C2901" s="49" t="s">
        <v>8088</v>
      </c>
      <c r="D2901" s="49" t="s">
        <v>1264</v>
      </c>
      <c r="E2901" s="49" t="s">
        <v>3748</v>
      </c>
      <c r="F2901" s="49" t="s">
        <v>2786</v>
      </c>
      <c r="G2901" s="49" t="s">
        <v>2826</v>
      </c>
      <c r="H2901" s="49" t="s">
        <v>8</v>
      </c>
      <c r="I2901" s="50">
        <v>35266</v>
      </c>
      <c r="J2901" s="50">
        <v>35297</v>
      </c>
    </row>
    <row r="2902" spans="1:13" x14ac:dyDescent="0.35">
      <c r="A2902" s="49" t="s">
        <v>6819</v>
      </c>
      <c r="B2902" s="49" t="s">
        <v>8139</v>
      </c>
      <c r="C2902" s="49" t="s">
        <v>8140</v>
      </c>
      <c r="D2902" s="49" t="s">
        <v>1264</v>
      </c>
      <c r="E2902" s="49" t="s">
        <v>3748</v>
      </c>
      <c r="F2902" s="49" t="s">
        <v>2792</v>
      </c>
      <c r="G2902" s="49" t="s">
        <v>2826</v>
      </c>
      <c r="H2902" s="49" t="s">
        <v>980</v>
      </c>
      <c r="I2902" s="50">
        <v>38238</v>
      </c>
      <c r="J2902" s="50">
        <v>38238</v>
      </c>
    </row>
    <row r="2903" spans="1:13" x14ac:dyDescent="0.35">
      <c r="A2903" s="49" t="s">
        <v>6819</v>
      </c>
      <c r="B2903" s="49" t="s">
        <v>8141</v>
      </c>
      <c r="C2903" s="49" t="s">
        <v>8142</v>
      </c>
      <c r="D2903" s="49" t="s">
        <v>1264</v>
      </c>
      <c r="E2903" s="49" t="s">
        <v>3748</v>
      </c>
      <c r="F2903" s="49" t="s">
        <v>2792</v>
      </c>
      <c r="G2903" s="49" t="s">
        <v>2826</v>
      </c>
      <c r="H2903" s="49" t="s">
        <v>980</v>
      </c>
      <c r="I2903" s="50">
        <v>38238</v>
      </c>
      <c r="J2903" s="50">
        <v>38238</v>
      </c>
    </row>
    <row r="2904" spans="1:13" x14ac:dyDescent="0.35">
      <c r="A2904" s="49" t="s">
        <v>6819</v>
      </c>
      <c r="B2904" s="49" t="s">
        <v>8297</v>
      </c>
      <c r="C2904" s="49" t="s">
        <v>8298</v>
      </c>
      <c r="D2904" s="49" t="s">
        <v>1264</v>
      </c>
      <c r="E2904" s="49" t="s">
        <v>3748</v>
      </c>
      <c r="F2904" s="49" t="s">
        <v>2792</v>
      </c>
      <c r="G2904" s="49" t="s">
        <v>2826</v>
      </c>
      <c r="H2904" s="49" t="s">
        <v>835</v>
      </c>
      <c r="I2904" s="50">
        <v>35583</v>
      </c>
      <c r="J2904" s="50">
        <v>35727</v>
      </c>
    </row>
    <row r="2905" spans="1:13" x14ac:dyDescent="0.35">
      <c r="A2905" s="49" t="s">
        <v>6819</v>
      </c>
      <c r="B2905" s="49" t="s">
        <v>8662</v>
      </c>
      <c r="C2905" s="49"/>
      <c r="D2905" s="49" t="s">
        <v>1264</v>
      </c>
      <c r="E2905" s="49" t="s">
        <v>2873</v>
      </c>
      <c r="F2905" s="49" t="s">
        <v>2792</v>
      </c>
      <c r="G2905" s="49" t="s">
        <v>2787</v>
      </c>
      <c r="H2905" s="49" t="s">
        <v>4225</v>
      </c>
      <c r="I2905" s="50">
        <v>43605</v>
      </c>
      <c r="J2905" s="50">
        <v>43671</v>
      </c>
      <c r="K2905" s="50">
        <v>44036</v>
      </c>
      <c r="M2905" s="49" t="s">
        <v>8663</v>
      </c>
    </row>
    <row r="2906" spans="1:13" x14ac:dyDescent="0.35">
      <c r="A2906" s="49" t="s">
        <v>6819</v>
      </c>
      <c r="B2906" s="49" t="s">
        <v>8745</v>
      </c>
      <c r="C2906" s="49"/>
      <c r="D2906" s="49" t="s">
        <v>1264</v>
      </c>
      <c r="E2906" s="49" t="s">
        <v>3748</v>
      </c>
      <c r="F2906" s="49" t="s">
        <v>2792</v>
      </c>
      <c r="G2906" s="49" t="s">
        <v>2776</v>
      </c>
      <c r="H2906" s="49" t="s">
        <v>8</v>
      </c>
      <c r="I2906" s="50">
        <v>40961</v>
      </c>
      <c r="M2906" s="49" t="s">
        <v>8746</v>
      </c>
    </row>
    <row r="2907" spans="1:13" x14ac:dyDescent="0.35">
      <c r="A2907" s="49" t="s">
        <v>6819</v>
      </c>
      <c r="B2907" s="49" t="s">
        <v>9125</v>
      </c>
      <c r="C2907" s="49" t="s">
        <v>9126</v>
      </c>
      <c r="D2907" s="49" t="s">
        <v>1264</v>
      </c>
      <c r="E2907" s="49" t="s">
        <v>3748</v>
      </c>
      <c r="F2907" s="49" t="s">
        <v>2792</v>
      </c>
      <c r="G2907" s="49" t="s">
        <v>2776</v>
      </c>
      <c r="H2907" s="49" t="s">
        <v>980</v>
      </c>
      <c r="I2907" s="50">
        <v>42578</v>
      </c>
      <c r="M2907" s="49" t="s">
        <v>3505</v>
      </c>
    </row>
    <row r="2908" spans="1:13" x14ac:dyDescent="0.35">
      <c r="A2908" s="49" t="s">
        <v>6819</v>
      </c>
      <c r="B2908" s="49" t="s">
        <v>9136</v>
      </c>
      <c r="C2908" s="49" t="s">
        <v>9137</v>
      </c>
      <c r="D2908" s="49" t="s">
        <v>1264</v>
      </c>
      <c r="E2908" s="49" t="s">
        <v>3748</v>
      </c>
      <c r="F2908" s="49" t="s">
        <v>2792</v>
      </c>
      <c r="G2908" s="49" t="s">
        <v>2776</v>
      </c>
      <c r="H2908" s="49" t="s">
        <v>3207</v>
      </c>
      <c r="I2908" s="50">
        <v>42039</v>
      </c>
      <c r="M2908" s="49" t="s">
        <v>9138</v>
      </c>
    </row>
    <row r="2909" spans="1:13" x14ac:dyDescent="0.35">
      <c r="A2909" s="49" t="s">
        <v>6819</v>
      </c>
      <c r="B2909" s="49" t="s">
        <v>9145</v>
      </c>
      <c r="C2909" s="49"/>
      <c r="D2909" s="49" t="s">
        <v>1264</v>
      </c>
      <c r="E2909" s="49" t="s">
        <v>3748</v>
      </c>
      <c r="F2909" s="49" t="s">
        <v>2792</v>
      </c>
      <c r="G2909" s="49" t="s">
        <v>2776</v>
      </c>
      <c r="H2909" s="49" t="s">
        <v>3207</v>
      </c>
      <c r="I2909" s="50">
        <v>42325</v>
      </c>
      <c r="M2909" s="49" t="s">
        <v>9146</v>
      </c>
    </row>
    <row r="2910" spans="1:13" x14ac:dyDescent="0.35">
      <c r="A2910" s="49" t="s">
        <v>6819</v>
      </c>
      <c r="B2910" s="49" t="s">
        <v>9150</v>
      </c>
      <c r="C2910" s="49" t="s">
        <v>9151</v>
      </c>
      <c r="D2910" s="49" t="s">
        <v>1264</v>
      </c>
      <c r="E2910" s="49" t="s">
        <v>3748</v>
      </c>
      <c r="F2910" s="49" t="s">
        <v>2786</v>
      </c>
      <c r="G2910" s="49" t="s">
        <v>2776</v>
      </c>
      <c r="H2910" s="49" t="s">
        <v>864</v>
      </c>
      <c r="I2910" s="50">
        <v>42521</v>
      </c>
      <c r="M2910" s="49" t="s">
        <v>7400</v>
      </c>
    </row>
    <row r="2911" spans="1:13" x14ac:dyDescent="0.35">
      <c r="A2911" s="49" t="s">
        <v>6819</v>
      </c>
      <c r="B2911" s="49" t="s">
        <v>9152</v>
      </c>
      <c r="C2911" s="49" t="s">
        <v>9153</v>
      </c>
      <c r="D2911" s="49" t="s">
        <v>1264</v>
      </c>
      <c r="E2911" s="49" t="s">
        <v>3748</v>
      </c>
      <c r="F2911" s="49" t="s">
        <v>2792</v>
      </c>
      <c r="G2911" s="49" t="s">
        <v>2820</v>
      </c>
      <c r="H2911" s="49" t="s">
        <v>980</v>
      </c>
      <c r="I2911" s="50">
        <v>42415</v>
      </c>
      <c r="M2911" s="49" t="s">
        <v>9154</v>
      </c>
    </row>
    <row r="2912" spans="1:13" x14ac:dyDescent="0.35">
      <c r="A2912" s="49" t="s">
        <v>6819</v>
      </c>
      <c r="B2912" s="49" t="s">
        <v>9155</v>
      </c>
      <c r="C2912" s="49"/>
      <c r="D2912" s="49" t="s">
        <v>1264</v>
      </c>
      <c r="E2912" s="49" t="s">
        <v>3748</v>
      </c>
      <c r="F2912" s="49" t="s">
        <v>2792</v>
      </c>
      <c r="G2912" s="49" t="s">
        <v>2776</v>
      </c>
      <c r="H2912" s="49" t="s">
        <v>3207</v>
      </c>
      <c r="I2912" s="50">
        <v>43825</v>
      </c>
      <c r="M2912" s="49" t="s">
        <v>9156</v>
      </c>
    </row>
    <row r="2913" spans="1:13" x14ac:dyDescent="0.35">
      <c r="A2913" s="49" t="s">
        <v>6819</v>
      </c>
      <c r="B2913" s="49" t="s">
        <v>9725</v>
      </c>
      <c r="C2913" s="49"/>
      <c r="D2913" s="49" t="s">
        <v>1264</v>
      </c>
      <c r="E2913" s="49" t="s">
        <v>2785</v>
      </c>
      <c r="F2913" s="49" t="s">
        <v>2792</v>
      </c>
      <c r="G2913" s="49" t="s">
        <v>2776</v>
      </c>
      <c r="H2913" s="49" t="s">
        <v>980</v>
      </c>
      <c r="I2913" s="50">
        <v>42212</v>
      </c>
      <c r="M2913" s="49" t="s">
        <v>9414</v>
      </c>
    </row>
    <row r="2914" spans="1:13" x14ac:dyDescent="0.35">
      <c r="A2914" s="49" t="s">
        <v>6819</v>
      </c>
      <c r="B2914" s="49" t="s">
        <v>9820</v>
      </c>
      <c r="C2914" s="49" t="s">
        <v>9137</v>
      </c>
      <c r="D2914" s="49" t="s">
        <v>1264</v>
      </c>
      <c r="E2914" s="49" t="s">
        <v>3748</v>
      </c>
      <c r="F2914" s="49" t="s">
        <v>2792</v>
      </c>
      <c r="G2914" s="49" t="s">
        <v>2826</v>
      </c>
      <c r="H2914" s="49" t="s">
        <v>3207</v>
      </c>
      <c r="I2914" s="50">
        <v>42039</v>
      </c>
      <c r="J2914" s="50">
        <v>42160</v>
      </c>
      <c r="M2914" s="49" t="s">
        <v>9821</v>
      </c>
    </row>
    <row r="2915" spans="1:13" x14ac:dyDescent="0.35">
      <c r="A2915" s="49" t="s">
        <v>6819</v>
      </c>
      <c r="B2915" s="49" t="s">
        <v>10848</v>
      </c>
      <c r="C2915" s="49" t="s">
        <v>10849</v>
      </c>
      <c r="D2915" s="49" t="s">
        <v>1264</v>
      </c>
      <c r="E2915" s="49" t="s">
        <v>3281</v>
      </c>
      <c r="F2915" s="49" t="s">
        <v>2825</v>
      </c>
      <c r="G2915" s="49" t="s">
        <v>4891</v>
      </c>
      <c r="H2915" s="49" t="s">
        <v>2827</v>
      </c>
      <c r="I2915" s="50">
        <v>44414</v>
      </c>
      <c r="M2915" s="49" t="s">
        <v>10850</v>
      </c>
    </row>
    <row r="2916" spans="1:13" x14ac:dyDescent="0.35">
      <c r="A2916" s="49" t="s">
        <v>6819</v>
      </c>
      <c r="B2916" s="49" t="s">
        <v>12006</v>
      </c>
      <c r="C2916" s="49"/>
      <c r="D2916" s="49" t="s">
        <v>1264</v>
      </c>
      <c r="E2916" s="49" t="s">
        <v>4901</v>
      </c>
      <c r="F2916" s="49" t="s">
        <v>2837</v>
      </c>
      <c r="G2916" s="49" t="s">
        <v>2787</v>
      </c>
      <c r="H2916" s="49" t="s">
        <v>980</v>
      </c>
      <c r="I2916" s="50">
        <v>45314</v>
      </c>
      <c r="M2916" s="49" t="s">
        <v>12007</v>
      </c>
    </row>
    <row r="2917" spans="1:13" x14ac:dyDescent="0.35">
      <c r="A2917" s="49" t="s">
        <v>6819</v>
      </c>
      <c r="B2917" s="49" t="s">
        <v>13499</v>
      </c>
      <c r="C2917" s="49" t="s">
        <v>13500</v>
      </c>
      <c r="D2917" s="49" t="s">
        <v>1264</v>
      </c>
      <c r="E2917" s="49" t="s">
        <v>3281</v>
      </c>
      <c r="F2917" s="49" t="s">
        <v>2825</v>
      </c>
      <c r="G2917" s="49" t="s">
        <v>4891</v>
      </c>
      <c r="H2917" s="49" t="s">
        <v>973</v>
      </c>
      <c r="I2917" s="52">
        <v>46146.580046296302</v>
      </c>
      <c r="M2917" s="49" t="s">
        <v>13501</v>
      </c>
    </row>
    <row r="2918" spans="1:13" x14ac:dyDescent="0.35">
      <c r="A2918" s="49" t="s">
        <v>6819</v>
      </c>
      <c r="B2918" s="49" t="s">
        <v>13505</v>
      </c>
      <c r="C2918" s="49"/>
      <c r="D2918" s="49" t="s">
        <v>1264</v>
      </c>
      <c r="E2918" s="49" t="s">
        <v>3281</v>
      </c>
      <c r="F2918" s="49" t="s">
        <v>2825</v>
      </c>
      <c r="G2918" s="49" t="s">
        <v>4891</v>
      </c>
      <c r="H2918" s="49" t="s">
        <v>973</v>
      </c>
      <c r="I2918" s="52">
        <v>46146.629664351902</v>
      </c>
    </row>
    <row r="2919" spans="1:13" x14ac:dyDescent="0.35">
      <c r="A2919" s="49" t="s">
        <v>6819</v>
      </c>
      <c r="B2919" s="49" t="s">
        <v>13506</v>
      </c>
      <c r="C2919" s="49" t="s">
        <v>13507</v>
      </c>
      <c r="D2919" s="49" t="s">
        <v>1264</v>
      </c>
      <c r="E2919" s="49" t="s">
        <v>3281</v>
      </c>
      <c r="F2919" s="49" t="s">
        <v>2825</v>
      </c>
      <c r="G2919" s="49" t="s">
        <v>4891</v>
      </c>
      <c r="H2919" s="49" t="s">
        <v>973</v>
      </c>
      <c r="I2919" s="52">
        <v>46146.636666666702</v>
      </c>
    </row>
    <row r="2920" spans="1:13" x14ac:dyDescent="0.35">
      <c r="A2920" s="49" t="s">
        <v>6819</v>
      </c>
      <c r="B2920" s="49" t="s">
        <v>13510</v>
      </c>
      <c r="C2920" s="49" t="s">
        <v>13511</v>
      </c>
      <c r="D2920" s="49" t="s">
        <v>1264</v>
      </c>
      <c r="E2920" s="49" t="s">
        <v>3281</v>
      </c>
      <c r="F2920" s="49" t="s">
        <v>2825</v>
      </c>
      <c r="G2920" s="49" t="s">
        <v>4891</v>
      </c>
      <c r="H2920" s="49" t="s">
        <v>973</v>
      </c>
      <c r="I2920" s="52">
        <v>46146.765567129602</v>
      </c>
      <c r="M2920" s="49" t="s">
        <v>13512</v>
      </c>
    </row>
    <row r="2921" spans="1:13" x14ac:dyDescent="0.35">
      <c r="A2921" s="49" t="s">
        <v>6819</v>
      </c>
      <c r="B2921" s="49" t="s">
        <v>13513</v>
      </c>
      <c r="C2921" s="49" t="s">
        <v>13514</v>
      </c>
      <c r="D2921" s="49" t="s">
        <v>1264</v>
      </c>
      <c r="E2921" s="49" t="s">
        <v>3281</v>
      </c>
      <c r="F2921" s="49" t="s">
        <v>2825</v>
      </c>
      <c r="G2921" s="49" t="s">
        <v>4891</v>
      </c>
      <c r="H2921" s="49" t="s">
        <v>2827</v>
      </c>
      <c r="I2921" s="52">
        <v>46146.775717592602</v>
      </c>
      <c r="M2921" s="49" t="s">
        <v>13515</v>
      </c>
    </row>
    <row r="2922" spans="1:13" x14ac:dyDescent="0.35">
      <c r="A2922" s="49" t="s">
        <v>6819</v>
      </c>
      <c r="B2922" s="49" t="s">
        <v>13516</v>
      </c>
      <c r="C2922" s="49" t="s">
        <v>13517</v>
      </c>
      <c r="D2922" s="49" t="s">
        <v>1264</v>
      </c>
      <c r="E2922" s="49" t="s">
        <v>3281</v>
      </c>
      <c r="F2922" s="49" t="s">
        <v>2825</v>
      </c>
      <c r="G2922" s="49" t="s">
        <v>4891</v>
      </c>
      <c r="H2922" s="49" t="s">
        <v>2827</v>
      </c>
      <c r="I2922" s="52">
        <v>46146.7811111111</v>
      </c>
      <c r="M2922" s="49" t="s">
        <v>13518</v>
      </c>
    </row>
    <row r="2923" spans="1:13" x14ac:dyDescent="0.35">
      <c r="A2923" s="49" t="s">
        <v>6819</v>
      </c>
      <c r="B2923" s="49" t="s">
        <v>13752</v>
      </c>
      <c r="C2923" s="49" t="s">
        <v>13753</v>
      </c>
      <c r="D2923" s="49" t="s">
        <v>1264</v>
      </c>
      <c r="E2923" s="49" t="s">
        <v>2774</v>
      </c>
      <c r="F2923" s="49" t="s">
        <v>2825</v>
      </c>
      <c r="G2923" s="49" t="s">
        <v>2776</v>
      </c>
      <c r="H2923" s="49" t="s">
        <v>2827</v>
      </c>
      <c r="I2923" s="50">
        <v>43180</v>
      </c>
      <c r="M2923" s="49" t="s">
        <v>13754</v>
      </c>
    </row>
    <row r="2924" spans="1:13" x14ac:dyDescent="0.35">
      <c r="A2924" s="49" t="s">
        <v>578</v>
      </c>
      <c r="B2924" s="49" t="s">
        <v>10878</v>
      </c>
      <c r="C2924" s="49" t="s">
        <v>10879</v>
      </c>
      <c r="D2924" s="49" t="s">
        <v>1264</v>
      </c>
      <c r="E2924" s="49" t="s">
        <v>2986</v>
      </c>
      <c r="F2924" s="49" t="s">
        <v>2825</v>
      </c>
      <c r="G2924" s="49" t="s">
        <v>2776</v>
      </c>
      <c r="H2924" s="49" t="s">
        <v>2827</v>
      </c>
      <c r="I2924" s="50">
        <v>44496</v>
      </c>
      <c r="M2924" s="49" t="s">
        <v>3270</v>
      </c>
    </row>
    <row r="2925" spans="1:13" x14ac:dyDescent="0.35">
      <c r="A2925" s="49" t="s">
        <v>578</v>
      </c>
      <c r="B2925" s="49" t="s">
        <v>10968</v>
      </c>
      <c r="C2925" s="49" t="s">
        <v>10969</v>
      </c>
      <c r="D2925" s="49" t="s">
        <v>1264</v>
      </c>
      <c r="E2925" s="49" t="s">
        <v>2986</v>
      </c>
      <c r="F2925" s="49" t="s">
        <v>2825</v>
      </c>
      <c r="G2925" s="49" t="s">
        <v>2776</v>
      </c>
      <c r="H2925" s="49" t="s">
        <v>2827</v>
      </c>
      <c r="I2925" s="50">
        <v>44496</v>
      </c>
      <c r="M2925" s="49" t="s">
        <v>10970</v>
      </c>
    </row>
    <row r="2926" spans="1:13" x14ac:dyDescent="0.35">
      <c r="A2926" s="49" t="s">
        <v>14433</v>
      </c>
      <c r="B2926" s="49" t="s">
        <v>8451</v>
      </c>
      <c r="C2926" s="49" t="s">
        <v>8452</v>
      </c>
      <c r="D2926" s="49" t="s">
        <v>1264</v>
      </c>
      <c r="E2926" s="49" t="s">
        <v>2774</v>
      </c>
      <c r="F2926" s="49" t="s">
        <v>3628</v>
      </c>
      <c r="G2926" s="49" t="s">
        <v>2826</v>
      </c>
      <c r="H2926" s="49" t="s">
        <v>973</v>
      </c>
      <c r="I2926" s="50">
        <v>39350</v>
      </c>
      <c r="J2926" s="50">
        <v>39430</v>
      </c>
      <c r="K2926" s="50">
        <v>40526</v>
      </c>
      <c r="M2926" s="49" t="s">
        <v>8454</v>
      </c>
    </row>
    <row r="2927" spans="1:13" x14ac:dyDescent="0.35">
      <c r="A2927" s="49" t="s">
        <v>14971</v>
      </c>
      <c r="B2927" s="49" t="s">
        <v>8969</v>
      </c>
      <c r="C2927" s="49" t="s">
        <v>2863</v>
      </c>
      <c r="D2927" s="49" t="s">
        <v>1264</v>
      </c>
      <c r="E2927" s="49" t="s">
        <v>2814</v>
      </c>
      <c r="F2927" s="49" t="s">
        <v>2825</v>
      </c>
      <c r="G2927" s="49" t="s">
        <v>2787</v>
      </c>
      <c r="H2927" s="49" t="s">
        <v>2827</v>
      </c>
      <c r="I2927" s="50">
        <v>42167</v>
      </c>
      <c r="J2927" s="50">
        <v>42188</v>
      </c>
      <c r="K2927" s="50">
        <v>42371</v>
      </c>
      <c r="M2927" s="49" t="s">
        <v>8971</v>
      </c>
    </row>
    <row r="2928" spans="1:13" x14ac:dyDescent="0.35">
      <c r="A2928" s="49" t="s">
        <v>15211</v>
      </c>
      <c r="B2928" s="49" t="s">
        <v>6316</v>
      </c>
      <c r="C2928" s="49"/>
      <c r="D2928" s="49" t="s">
        <v>1264</v>
      </c>
      <c r="E2928" s="49" t="s">
        <v>2986</v>
      </c>
      <c r="F2928" s="49" t="s">
        <v>2825</v>
      </c>
      <c r="G2928" s="49" t="s">
        <v>2901</v>
      </c>
      <c r="H2928" s="49" t="s">
        <v>2827</v>
      </c>
      <c r="I2928" s="50">
        <v>44865</v>
      </c>
      <c r="J2928" s="50">
        <v>45324</v>
      </c>
      <c r="K2928" s="50">
        <v>46419</v>
      </c>
      <c r="M2928" s="49" t="s">
        <v>6318</v>
      </c>
    </row>
    <row r="2929" spans="1:13" x14ac:dyDescent="0.35">
      <c r="A2929" s="49" t="s">
        <v>15211</v>
      </c>
      <c r="B2929" s="49" t="s">
        <v>10147</v>
      </c>
      <c r="C2929" s="49"/>
      <c r="D2929" s="49" t="s">
        <v>1264</v>
      </c>
      <c r="E2929" s="49" t="s">
        <v>2814</v>
      </c>
      <c r="F2929" s="49" t="s">
        <v>2825</v>
      </c>
      <c r="G2929" s="49" t="s">
        <v>2776</v>
      </c>
      <c r="H2929" s="49" t="s">
        <v>2827</v>
      </c>
      <c r="I2929" s="50">
        <v>43033</v>
      </c>
      <c r="M2929" s="49" t="s">
        <v>3859</v>
      </c>
    </row>
    <row r="2930" spans="1:13" x14ac:dyDescent="0.35">
      <c r="A2930" s="49" t="s">
        <v>15669</v>
      </c>
      <c r="B2930" s="49" t="s">
        <v>3589</v>
      </c>
      <c r="C2930" s="49" t="s">
        <v>3503</v>
      </c>
      <c r="D2930" s="49" t="s">
        <v>1264</v>
      </c>
      <c r="E2930" s="49" t="s">
        <v>3443</v>
      </c>
      <c r="F2930" s="49" t="s">
        <v>3124</v>
      </c>
      <c r="G2930" s="49" t="s">
        <v>2787</v>
      </c>
      <c r="H2930" s="49" t="s">
        <v>980</v>
      </c>
      <c r="I2930" s="50">
        <v>42899</v>
      </c>
      <c r="J2930" s="50">
        <v>42956</v>
      </c>
      <c r="K2930" s="50">
        <v>44781</v>
      </c>
      <c r="M2930" s="49" t="s">
        <v>3591</v>
      </c>
    </row>
    <row r="2931" spans="1:13" x14ac:dyDescent="0.35">
      <c r="A2931" s="49" t="s">
        <v>14224</v>
      </c>
      <c r="B2931" s="49" t="s">
        <v>5079</v>
      </c>
      <c r="C2931" s="49" t="s">
        <v>2937</v>
      </c>
      <c r="D2931" s="49" t="s">
        <v>1264</v>
      </c>
      <c r="E2931" s="49" t="s">
        <v>2908</v>
      </c>
      <c r="F2931" s="49" t="s">
        <v>2939</v>
      </c>
      <c r="G2931" s="49" t="s">
        <v>4330</v>
      </c>
      <c r="H2931" s="49" t="s">
        <v>980</v>
      </c>
      <c r="I2931" s="50">
        <v>44777</v>
      </c>
      <c r="M2931" s="49" t="s">
        <v>5081</v>
      </c>
    </row>
    <row r="2932" spans="1:13" x14ac:dyDescent="0.35">
      <c r="A2932" s="49" t="s">
        <v>14224</v>
      </c>
      <c r="B2932" s="49" t="s">
        <v>5698</v>
      </c>
      <c r="C2932" s="49"/>
      <c r="D2932" s="49" t="s">
        <v>1264</v>
      </c>
      <c r="E2932" s="49" t="s">
        <v>2908</v>
      </c>
      <c r="F2932" s="49" t="s">
        <v>2939</v>
      </c>
      <c r="G2932" s="49" t="s">
        <v>2901</v>
      </c>
      <c r="H2932" s="49" t="s">
        <v>980</v>
      </c>
      <c r="I2932" s="50">
        <v>45092</v>
      </c>
      <c r="J2932" s="50">
        <v>45103</v>
      </c>
      <c r="K2932" s="50">
        <v>46929</v>
      </c>
      <c r="M2932" s="49" t="s">
        <v>5699</v>
      </c>
    </row>
    <row r="2933" spans="1:13" x14ac:dyDescent="0.35">
      <c r="A2933" s="49" t="s">
        <v>14224</v>
      </c>
      <c r="B2933" s="49" t="s">
        <v>6391</v>
      </c>
      <c r="C2933" s="49"/>
      <c r="D2933" s="49" t="s">
        <v>1264</v>
      </c>
      <c r="E2933" s="49" t="s">
        <v>2908</v>
      </c>
      <c r="F2933" s="49" t="s">
        <v>2837</v>
      </c>
      <c r="G2933" s="49" t="s">
        <v>4330</v>
      </c>
      <c r="H2933" s="49" t="s">
        <v>980</v>
      </c>
      <c r="I2933" s="50">
        <v>45350</v>
      </c>
      <c r="M2933" s="49" t="s">
        <v>6392</v>
      </c>
    </row>
    <row r="2934" spans="1:13" x14ac:dyDescent="0.35">
      <c r="A2934" s="49" t="s">
        <v>14414</v>
      </c>
      <c r="B2934" s="49" t="s">
        <v>8257</v>
      </c>
      <c r="C2934" s="49" t="s">
        <v>8258</v>
      </c>
      <c r="D2934" s="49" t="s">
        <v>1264</v>
      </c>
      <c r="E2934" s="49" t="s">
        <v>2774</v>
      </c>
      <c r="F2934" s="49" t="s">
        <v>2900</v>
      </c>
      <c r="G2934" s="49" t="s">
        <v>2826</v>
      </c>
      <c r="H2934" s="49" t="s">
        <v>980</v>
      </c>
      <c r="I2934" s="50">
        <v>39647</v>
      </c>
      <c r="M2934" s="49" t="s">
        <v>8260</v>
      </c>
    </row>
    <row r="2935" spans="1:13" x14ac:dyDescent="0.35">
      <c r="A2935" s="49" t="s">
        <v>14304</v>
      </c>
      <c r="B2935" s="49" t="s">
        <v>6651</v>
      </c>
      <c r="C2935" s="49"/>
      <c r="D2935" s="49" t="s">
        <v>1264</v>
      </c>
      <c r="E2935" s="49" t="s">
        <v>2908</v>
      </c>
      <c r="F2935" s="49" t="s">
        <v>2939</v>
      </c>
      <c r="G2935" s="49" t="s">
        <v>2787</v>
      </c>
      <c r="H2935" s="49" t="s">
        <v>980</v>
      </c>
      <c r="I2935" s="50">
        <v>43445</v>
      </c>
      <c r="J2935" s="50">
        <v>43474</v>
      </c>
      <c r="K2935" s="50">
        <v>45299</v>
      </c>
      <c r="M2935" s="49" t="s">
        <v>6653</v>
      </c>
    </row>
    <row r="2936" spans="1:13" x14ac:dyDescent="0.35">
      <c r="A2936" s="49" t="s">
        <v>14304</v>
      </c>
      <c r="B2936" s="49" t="s">
        <v>8622</v>
      </c>
      <c r="C2936" s="49" t="s">
        <v>3354</v>
      </c>
      <c r="D2936" s="49" t="s">
        <v>1264</v>
      </c>
      <c r="E2936" s="49" t="s">
        <v>2908</v>
      </c>
      <c r="F2936" s="49" t="s">
        <v>2939</v>
      </c>
      <c r="G2936" s="49" t="s">
        <v>2975</v>
      </c>
      <c r="H2936" s="49" t="s">
        <v>980</v>
      </c>
      <c r="I2936" s="50">
        <v>42611</v>
      </c>
      <c r="J2936" s="50">
        <v>42688</v>
      </c>
      <c r="K2936" s="50">
        <v>44513</v>
      </c>
      <c r="M2936" s="49" t="s">
        <v>8623</v>
      </c>
    </row>
    <row r="2937" spans="1:13" x14ac:dyDescent="0.35">
      <c r="A2937" s="49" t="s">
        <v>14304</v>
      </c>
      <c r="B2937" s="49" t="s">
        <v>11821</v>
      </c>
      <c r="C2937" s="49"/>
      <c r="D2937" s="49" t="s">
        <v>1264</v>
      </c>
      <c r="E2937" s="49" t="s">
        <v>2814</v>
      </c>
      <c r="F2937" s="49" t="s">
        <v>2837</v>
      </c>
      <c r="G2937" s="49" t="s">
        <v>4891</v>
      </c>
      <c r="H2937" s="49" t="s">
        <v>980</v>
      </c>
      <c r="I2937" s="50">
        <v>45288</v>
      </c>
      <c r="M2937" s="49" t="s">
        <v>11822</v>
      </c>
    </row>
    <row r="2938" spans="1:13" x14ac:dyDescent="0.35">
      <c r="A2938" s="49" t="s">
        <v>14304</v>
      </c>
      <c r="B2938" s="49" t="s">
        <v>11823</v>
      </c>
      <c r="C2938" s="49"/>
      <c r="D2938" s="49" t="s">
        <v>1264</v>
      </c>
      <c r="E2938" s="49" t="s">
        <v>2814</v>
      </c>
      <c r="F2938" s="49" t="s">
        <v>2837</v>
      </c>
      <c r="G2938" s="49" t="s">
        <v>4891</v>
      </c>
      <c r="H2938" s="49" t="s">
        <v>980</v>
      </c>
      <c r="I2938" s="50">
        <v>45288</v>
      </c>
      <c r="M2938" s="49" t="s">
        <v>11637</v>
      </c>
    </row>
    <row r="2939" spans="1:13" x14ac:dyDescent="0.35">
      <c r="A2939" s="49" t="s">
        <v>14304</v>
      </c>
      <c r="B2939" s="49" t="s">
        <v>11841</v>
      </c>
      <c r="C2939" s="49" t="s">
        <v>4555</v>
      </c>
      <c r="D2939" s="49" t="s">
        <v>1264</v>
      </c>
      <c r="E2939" s="49" t="s">
        <v>2908</v>
      </c>
      <c r="F2939" s="49" t="s">
        <v>2837</v>
      </c>
      <c r="G2939" s="49" t="s">
        <v>4891</v>
      </c>
      <c r="H2939" s="49" t="s">
        <v>980</v>
      </c>
      <c r="I2939" s="50">
        <v>45279</v>
      </c>
      <c r="M2939" s="49" t="s">
        <v>11842</v>
      </c>
    </row>
    <row r="2940" spans="1:13" x14ac:dyDescent="0.35">
      <c r="A2940" s="49" t="s">
        <v>14304</v>
      </c>
      <c r="B2940" s="49" t="s">
        <v>13738</v>
      </c>
      <c r="C2940" s="49" t="s">
        <v>2942</v>
      </c>
      <c r="D2940" s="49" t="s">
        <v>1264</v>
      </c>
      <c r="E2940" s="49" t="s">
        <v>2908</v>
      </c>
      <c r="F2940" s="49" t="s">
        <v>2939</v>
      </c>
      <c r="G2940" s="49" t="s">
        <v>2776</v>
      </c>
      <c r="H2940" s="49" t="s">
        <v>980</v>
      </c>
      <c r="I2940" s="50">
        <v>41927</v>
      </c>
      <c r="M2940" s="49" t="s">
        <v>13739</v>
      </c>
    </row>
    <row r="2941" spans="1:13" x14ac:dyDescent="0.35">
      <c r="A2941" s="49" t="s">
        <v>14819</v>
      </c>
      <c r="B2941" s="49" t="s">
        <v>10112</v>
      </c>
      <c r="C2941" s="49" t="s">
        <v>8530</v>
      </c>
      <c r="D2941" s="49" t="s">
        <v>1264</v>
      </c>
      <c r="E2941" s="49" t="s">
        <v>2814</v>
      </c>
      <c r="F2941" s="49" t="s">
        <v>2775</v>
      </c>
      <c r="G2941" s="49" t="s">
        <v>2776</v>
      </c>
      <c r="H2941" s="49" t="s">
        <v>2827</v>
      </c>
      <c r="I2941" s="50">
        <v>41479</v>
      </c>
      <c r="M2941" s="49" t="s">
        <v>10114</v>
      </c>
    </row>
    <row r="2942" spans="1:13" x14ac:dyDescent="0.35">
      <c r="A2942" s="49" t="s">
        <v>14819</v>
      </c>
      <c r="B2942" s="49" t="s">
        <v>10752</v>
      </c>
      <c r="C2942" s="49"/>
      <c r="D2942" s="49" t="s">
        <v>1264</v>
      </c>
      <c r="E2942" s="49" t="s">
        <v>2774</v>
      </c>
      <c r="F2942" s="49" t="s">
        <v>2900</v>
      </c>
      <c r="G2942" s="49" t="s">
        <v>2776</v>
      </c>
      <c r="H2942" s="49" t="s">
        <v>2827</v>
      </c>
      <c r="I2942" s="50">
        <v>41481</v>
      </c>
      <c r="M2942" s="49" t="s">
        <v>10114</v>
      </c>
    </row>
    <row r="2943" spans="1:13" x14ac:dyDescent="0.35">
      <c r="A2943" s="49" t="s">
        <v>15032</v>
      </c>
      <c r="B2943" s="49" t="s">
        <v>7998</v>
      </c>
      <c r="C2943" s="49" t="s">
        <v>4870</v>
      </c>
      <c r="D2943" s="49" t="s">
        <v>1264</v>
      </c>
      <c r="E2943" s="49" t="s">
        <v>2774</v>
      </c>
      <c r="F2943" s="49" t="s">
        <v>3598</v>
      </c>
      <c r="G2943" s="49" t="s">
        <v>2975</v>
      </c>
      <c r="H2943" s="49" t="s">
        <v>973</v>
      </c>
      <c r="I2943" s="50">
        <v>38867</v>
      </c>
      <c r="J2943" s="50">
        <v>38937</v>
      </c>
      <c r="K2943" s="50">
        <v>39769</v>
      </c>
      <c r="M2943" s="49" t="s">
        <v>8000</v>
      </c>
    </row>
    <row r="2944" spans="1:13" x14ac:dyDescent="0.35">
      <c r="A2944" s="49" t="s">
        <v>15457</v>
      </c>
      <c r="B2944" s="49" t="s">
        <v>7802</v>
      </c>
      <c r="C2944" s="49" t="s">
        <v>7164</v>
      </c>
      <c r="D2944" s="49" t="s">
        <v>1264</v>
      </c>
      <c r="E2944" s="49" t="s">
        <v>2785</v>
      </c>
      <c r="F2944" s="49" t="s">
        <v>2792</v>
      </c>
      <c r="G2944" s="49" t="s">
        <v>2787</v>
      </c>
      <c r="H2944" s="49" t="s">
        <v>8</v>
      </c>
      <c r="I2944" s="50">
        <v>42852</v>
      </c>
      <c r="J2944" s="50">
        <v>43452</v>
      </c>
      <c r="K2944" s="50">
        <v>43633</v>
      </c>
      <c r="M2944" s="49" t="s">
        <v>7804</v>
      </c>
    </row>
    <row r="2945" spans="1:13" x14ac:dyDescent="0.35">
      <c r="A2945" s="49" t="s">
        <v>15458</v>
      </c>
      <c r="B2945" s="49" t="s">
        <v>4425</v>
      </c>
      <c r="C2945" s="49" t="s">
        <v>4426</v>
      </c>
      <c r="D2945" s="49" t="s">
        <v>1264</v>
      </c>
      <c r="E2945" s="49" t="s">
        <v>2974</v>
      </c>
      <c r="F2945" s="49" t="s">
        <v>2825</v>
      </c>
      <c r="G2945" s="49" t="s">
        <v>2901</v>
      </c>
      <c r="H2945" s="49" t="s">
        <v>2827</v>
      </c>
      <c r="I2945" s="50">
        <v>44198</v>
      </c>
      <c r="J2945" s="50">
        <v>44384</v>
      </c>
      <c r="K2945" s="50">
        <v>46209</v>
      </c>
      <c r="M2945" s="49" t="s">
        <v>4428</v>
      </c>
    </row>
    <row r="2946" spans="1:13" x14ac:dyDescent="0.35">
      <c r="A2946" s="49" t="s">
        <v>12446</v>
      </c>
      <c r="B2946" s="49" t="s">
        <v>12444</v>
      </c>
      <c r="C2946" s="49" t="s">
        <v>12445</v>
      </c>
      <c r="D2946" s="49" t="s">
        <v>1264</v>
      </c>
      <c r="E2946" s="49" t="s">
        <v>2785</v>
      </c>
      <c r="F2946" s="49" t="s">
        <v>2792</v>
      </c>
      <c r="G2946" s="49" t="s">
        <v>2776</v>
      </c>
      <c r="H2946" s="49" t="s">
        <v>980</v>
      </c>
      <c r="I2946" s="50">
        <v>45419</v>
      </c>
      <c r="M2946" s="49" t="s">
        <v>12447</v>
      </c>
    </row>
    <row r="2947" spans="1:13" x14ac:dyDescent="0.35">
      <c r="A2947" s="49" t="s">
        <v>12446</v>
      </c>
      <c r="B2947" s="49" t="s">
        <v>12440</v>
      </c>
      <c r="C2947" s="49" t="s">
        <v>12441</v>
      </c>
      <c r="D2947" s="49" t="s">
        <v>1264</v>
      </c>
      <c r="E2947" s="49" t="s">
        <v>2785</v>
      </c>
      <c r="F2947" s="49" t="s">
        <v>2792</v>
      </c>
      <c r="G2947" s="49" t="s">
        <v>4891</v>
      </c>
      <c r="H2947" s="49" t="s">
        <v>8</v>
      </c>
      <c r="I2947" s="50">
        <v>45419</v>
      </c>
      <c r="M2947" s="49" t="s">
        <v>12443</v>
      </c>
    </row>
    <row r="2948" spans="1:13" x14ac:dyDescent="0.35">
      <c r="A2948" s="49" t="s">
        <v>14209</v>
      </c>
      <c r="B2948" s="49" t="s">
        <v>4915</v>
      </c>
      <c r="C2948" s="49"/>
      <c r="D2948" s="49" t="s">
        <v>1264</v>
      </c>
      <c r="E2948" s="49" t="s">
        <v>2814</v>
      </c>
      <c r="F2948" s="49" t="s">
        <v>2825</v>
      </c>
      <c r="G2948" s="49" t="s">
        <v>2787</v>
      </c>
      <c r="H2948" s="49" t="s">
        <v>973</v>
      </c>
      <c r="I2948" s="50">
        <v>44733</v>
      </c>
      <c r="J2948" s="50">
        <v>44757</v>
      </c>
      <c r="K2948" s="50">
        <v>44940</v>
      </c>
      <c r="M2948" s="49" t="s">
        <v>4917</v>
      </c>
    </row>
    <row r="2949" spans="1:13" x14ac:dyDescent="0.35">
      <c r="A2949" s="49" t="s">
        <v>14476</v>
      </c>
      <c r="B2949" s="49" t="s">
        <v>9160</v>
      </c>
      <c r="C2949" s="49"/>
      <c r="D2949" s="49" t="s">
        <v>1264</v>
      </c>
      <c r="E2949" s="49" t="s">
        <v>2785</v>
      </c>
      <c r="F2949" s="49" t="s">
        <v>2792</v>
      </c>
      <c r="G2949" s="49" t="s">
        <v>2776</v>
      </c>
      <c r="H2949" s="49" t="s">
        <v>8</v>
      </c>
      <c r="I2949" s="50">
        <v>44055</v>
      </c>
      <c r="M2949" s="49" t="s">
        <v>9162</v>
      </c>
    </row>
    <row r="2950" spans="1:13" x14ac:dyDescent="0.35">
      <c r="A2950" s="49" t="s">
        <v>14476</v>
      </c>
      <c r="B2950" s="49" t="s">
        <v>9349</v>
      </c>
      <c r="C2950" s="49"/>
      <c r="D2950" s="49" t="s">
        <v>1264</v>
      </c>
      <c r="E2950" s="49" t="s">
        <v>2785</v>
      </c>
      <c r="F2950" s="49" t="s">
        <v>2792</v>
      </c>
      <c r="G2950" s="49" t="s">
        <v>2776</v>
      </c>
      <c r="H2950" s="49" t="s">
        <v>980</v>
      </c>
      <c r="I2950" s="50">
        <v>44251</v>
      </c>
      <c r="M2950" s="49" t="s">
        <v>4437</v>
      </c>
    </row>
    <row r="2951" spans="1:13" x14ac:dyDescent="0.35">
      <c r="A2951" s="49" t="s">
        <v>14294</v>
      </c>
      <c r="B2951" s="49" t="s">
        <v>6547</v>
      </c>
      <c r="C2951" s="49" t="s">
        <v>6548</v>
      </c>
      <c r="D2951" s="49" t="s">
        <v>1264</v>
      </c>
      <c r="E2951" s="49" t="s">
        <v>2774</v>
      </c>
      <c r="F2951" s="49" t="s">
        <v>4842</v>
      </c>
      <c r="G2951" s="49" t="s">
        <v>4330</v>
      </c>
      <c r="H2951" s="49" t="s">
        <v>2827</v>
      </c>
      <c r="I2951" s="50">
        <v>45271</v>
      </c>
      <c r="M2951" s="49" t="s">
        <v>6550</v>
      </c>
    </row>
    <row r="2952" spans="1:13" x14ac:dyDescent="0.35">
      <c r="A2952" s="49" t="s">
        <v>14294</v>
      </c>
      <c r="B2952" s="49" t="s">
        <v>11795</v>
      </c>
      <c r="C2952" s="49"/>
      <c r="D2952" s="49" t="s">
        <v>1264</v>
      </c>
      <c r="E2952" s="49" t="s">
        <v>2774</v>
      </c>
      <c r="F2952" s="49" t="s">
        <v>4842</v>
      </c>
      <c r="G2952" s="49" t="s">
        <v>2826</v>
      </c>
      <c r="H2952" s="49" t="s">
        <v>973</v>
      </c>
      <c r="I2952" s="50">
        <v>45272</v>
      </c>
      <c r="M2952" s="49" t="s">
        <v>3470</v>
      </c>
    </row>
    <row r="2953" spans="1:13" x14ac:dyDescent="0.35">
      <c r="A2953" s="49" t="s">
        <v>14972</v>
      </c>
      <c r="B2953" s="49" t="s">
        <v>13725</v>
      </c>
      <c r="C2953" s="49" t="s">
        <v>13726</v>
      </c>
      <c r="D2953" s="49" t="s">
        <v>1264</v>
      </c>
      <c r="E2953" s="49" t="s">
        <v>2986</v>
      </c>
      <c r="F2953" s="49" t="s">
        <v>2825</v>
      </c>
      <c r="G2953" s="49" t="s">
        <v>2776</v>
      </c>
      <c r="H2953" s="49" t="s">
        <v>2827</v>
      </c>
      <c r="I2953" s="50">
        <v>42710</v>
      </c>
      <c r="M2953" s="49" t="s">
        <v>3270</v>
      </c>
    </row>
    <row r="2954" spans="1:13" x14ac:dyDescent="0.35">
      <c r="A2954" s="49" t="s">
        <v>586</v>
      </c>
      <c r="B2954" s="49" t="s">
        <v>2979</v>
      </c>
      <c r="C2954" s="49" t="s">
        <v>2980</v>
      </c>
      <c r="D2954" s="49" t="s">
        <v>1264</v>
      </c>
      <c r="E2954" s="49" t="s">
        <v>2899</v>
      </c>
      <c r="F2954" s="49" t="s">
        <v>2825</v>
      </c>
      <c r="G2954" s="49" t="s">
        <v>2901</v>
      </c>
      <c r="H2954" s="49" t="s">
        <v>2827</v>
      </c>
      <c r="I2954" s="50">
        <v>38434</v>
      </c>
      <c r="J2954" s="50">
        <v>38512</v>
      </c>
      <c r="K2954" s="50">
        <v>51247</v>
      </c>
      <c r="M2954" s="49" t="s">
        <v>2982</v>
      </c>
    </row>
    <row r="2955" spans="1:13" x14ac:dyDescent="0.35">
      <c r="A2955" s="49" t="s">
        <v>586</v>
      </c>
      <c r="B2955" s="49" t="s">
        <v>3890</v>
      </c>
      <c r="C2955" s="49" t="s">
        <v>495</v>
      </c>
      <c r="D2955" s="49" t="s">
        <v>1264</v>
      </c>
      <c r="E2955" s="49" t="s">
        <v>3413</v>
      </c>
      <c r="F2955" s="49" t="s">
        <v>2825</v>
      </c>
      <c r="G2955" s="49" t="s">
        <v>2826</v>
      </c>
      <c r="H2955" s="49" t="s">
        <v>2827</v>
      </c>
      <c r="I2955" s="50">
        <v>43486</v>
      </c>
      <c r="J2955" s="50">
        <v>43882</v>
      </c>
      <c r="K2955" s="50">
        <v>51186</v>
      </c>
      <c r="M2955" s="49" t="s">
        <v>3892</v>
      </c>
    </row>
    <row r="2956" spans="1:13" x14ac:dyDescent="0.35">
      <c r="A2956" s="49" t="s">
        <v>586</v>
      </c>
      <c r="B2956" s="49" t="s">
        <v>4159</v>
      </c>
      <c r="C2956" s="49" t="s">
        <v>4160</v>
      </c>
      <c r="D2956" s="49" t="s">
        <v>1264</v>
      </c>
      <c r="E2956" s="49" t="s">
        <v>2785</v>
      </c>
      <c r="F2956" s="49" t="s">
        <v>2792</v>
      </c>
      <c r="G2956" s="49" t="s">
        <v>2787</v>
      </c>
      <c r="H2956" s="49" t="s">
        <v>2827</v>
      </c>
      <c r="I2956" s="50">
        <v>44168</v>
      </c>
      <c r="J2956" s="50">
        <v>44168</v>
      </c>
      <c r="K2956" s="50">
        <v>44533</v>
      </c>
      <c r="M2956" s="49" t="s">
        <v>4162</v>
      </c>
    </row>
    <row r="2957" spans="1:13" x14ac:dyDescent="0.35">
      <c r="A2957" s="49" t="s">
        <v>586</v>
      </c>
      <c r="B2957" s="49" t="s">
        <v>4183</v>
      </c>
      <c r="C2957" s="49" t="s">
        <v>4184</v>
      </c>
      <c r="D2957" s="49" t="s">
        <v>1264</v>
      </c>
      <c r="E2957" s="49" t="s">
        <v>2785</v>
      </c>
      <c r="F2957" s="49" t="s">
        <v>2786</v>
      </c>
      <c r="G2957" s="49" t="s">
        <v>2787</v>
      </c>
      <c r="H2957" s="49" t="s">
        <v>2827</v>
      </c>
      <c r="I2957" s="50">
        <v>44225</v>
      </c>
      <c r="J2957" s="50">
        <v>44305</v>
      </c>
      <c r="K2957" s="50">
        <v>45428</v>
      </c>
      <c r="M2957" s="49" t="s">
        <v>4185</v>
      </c>
    </row>
    <row r="2958" spans="1:13" x14ac:dyDescent="0.35">
      <c r="A2958" s="49" t="s">
        <v>586</v>
      </c>
      <c r="B2958" s="49" t="s">
        <v>4401</v>
      </c>
      <c r="C2958" s="49" t="s">
        <v>4184</v>
      </c>
      <c r="D2958" s="49" t="s">
        <v>1264</v>
      </c>
      <c r="E2958" s="49" t="s">
        <v>2785</v>
      </c>
      <c r="F2958" s="49" t="s">
        <v>2786</v>
      </c>
      <c r="G2958" s="49" t="s">
        <v>2776</v>
      </c>
      <c r="H2958" s="49" t="s">
        <v>2827</v>
      </c>
      <c r="I2958" s="50">
        <v>44229</v>
      </c>
      <c r="M2958" s="49" t="s">
        <v>4402</v>
      </c>
    </row>
    <row r="2959" spans="1:13" x14ac:dyDescent="0.35">
      <c r="A2959" s="49" t="s">
        <v>586</v>
      </c>
      <c r="B2959" s="49" t="s">
        <v>4403</v>
      </c>
      <c r="C2959" s="49" t="s">
        <v>4404</v>
      </c>
      <c r="D2959" s="49" t="s">
        <v>1264</v>
      </c>
      <c r="E2959" s="49" t="s">
        <v>2785</v>
      </c>
      <c r="F2959" s="49" t="s">
        <v>2786</v>
      </c>
      <c r="G2959" s="49" t="s">
        <v>2776</v>
      </c>
      <c r="H2959" s="49" t="s">
        <v>2827</v>
      </c>
      <c r="I2959" s="50">
        <v>44309</v>
      </c>
      <c r="M2959" s="49" t="s">
        <v>4405</v>
      </c>
    </row>
    <row r="2960" spans="1:13" x14ac:dyDescent="0.35">
      <c r="A2960" s="49" t="s">
        <v>586</v>
      </c>
      <c r="B2960" s="49" t="s">
        <v>5500</v>
      </c>
      <c r="C2960" s="49" t="s">
        <v>4231</v>
      </c>
      <c r="D2960" s="49" t="s">
        <v>1264</v>
      </c>
      <c r="E2960" s="49" t="s">
        <v>2785</v>
      </c>
      <c r="F2960" s="49" t="s">
        <v>2786</v>
      </c>
      <c r="G2960" s="49" t="s">
        <v>2787</v>
      </c>
      <c r="H2960" s="49" t="s">
        <v>2827</v>
      </c>
      <c r="I2960" s="50">
        <v>44229</v>
      </c>
      <c r="K2960" s="50">
        <v>45510</v>
      </c>
      <c r="M2960" s="49" t="s">
        <v>5501</v>
      </c>
    </row>
    <row r="2961" spans="1:13" x14ac:dyDescent="0.35">
      <c r="A2961" s="49" t="s">
        <v>586</v>
      </c>
      <c r="B2961" s="49" t="s">
        <v>6178</v>
      </c>
      <c r="C2961" s="49" t="s">
        <v>6179</v>
      </c>
      <c r="D2961" s="49" t="s">
        <v>1264</v>
      </c>
      <c r="E2961" s="49" t="s">
        <v>2785</v>
      </c>
      <c r="F2961" s="49" t="s">
        <v>2786</v>
      </c>
      <c r="G2961" s="49" t="s">
        <v>2776</v>
      </c>
      <c r="H2961" s="49" t="s">
        <v>2827</v>
      </c>
      <c r="I2961" s="50">
        <v>44403</v>
      </c>
      <c r="M2961" s="49" t="s">
        <v>6180</v>
      </c>
    </row>
    <row r="2962" spans="1:13" x14ac:dyDescent="0.35">
      <c r="A2962" s="49" t="s">
        <v>586</v>
      </c>
      <c r="B2962" s="49" t="s">
        <v>6181</v>
      </c>
      <c r="C2962" s="49" t="s">
        <v>4231</v>
      </c>
      <c r="D2962" s="49" t="s">
        <v>1264</v>
      </c>
      <c r="E2962" s="49" t="s">
        <v>2785</v>
      </c>
      <c r="F2962" s="49" t="s">
        <v>2786</v>
      </c>
      <c r="G2962" s="49" t="s">
        <v>4330</v>
      </c>
      <c r="H2962" s="49" t="s">
        <v>2827</v>
      </c>
      <c r="I2962" s="50">
        <v>45223</v>
      </c>
      <c r="M2962" s="49" t="s">
        <v>6182</v>
      </c>
    </row>
    <row r="2963" spans="1:13" x14ac:dyDescent="0.35">
      <c r="A2963" s="49" t="s">
        <v>586</v>
      </c>
      <c r="B2963" s="49" t="s">
        <v>6768</v>
      </c>
      <c r="C2963" s="49"/>
      <c r="D2963" s="49" t="s">
        <v>1264</v>
      </c>
      <c r="E2963" s="49" t="s">
        <v>2785</v>
      </c>
      <c r="F2963" s="49" t="s">
        <v>2786</v>
      </c>
      <c r="G2963" s="49" t="s">
        <v>2901</v>
      </c>
      <c r="H2963" s="49" t="s">
        <v>2827</v>
      </c>
      <c r="I2963" s="52">
        <v>45910.832534722198</v>
      </c>
      <c r="J2963" s="50">
        <v>45929</v>
      </c>
      <c r="K2963" s="50">
        <v>46293</v>
      </c>
      <c r="M2963" s="49" t="s">
        <v>6769</v>
      </c>
    </row>
    <row r="2964" spans="1:13" x14ac:dyDescent="0.35">
      <c r="A2964" s="49" t="s">
        <v>586</v>
      </c>
      <c r="B2964" s="49" t="s">
        <v>6878</v>
      </c>
      <c r="C2964" s="49" t="s">
        <v>4231</v>
      </c>
      <c r="D2964" s="49" t="s">
        <v>1264</v>
      </c>
      <c r="E2964" s="49" t="s">
        <v>2785</v>
      </c>
      <c r="F2964" s="49" t="s">
        <v>2786</v>
      </c>
      <c r="G2964" s="49" t="s">
        <v>2901</v>
      </c>
      <c r="H2964" s="49" t="s">
        <v>2827</v>
      </c>
      <c r="I2964" s="52">
        <v>45901.674872685202</v>
      </c>
      <c r="J2964" s="50">
        <v>45929</v>
      </c>
      <c r="K2964" s="50">
        <v>46293</v>
      </c>
      <c r="M2964" s="49" t="s">
        <v>6879</v>
      </c>
    </row>
    <row r="2965" spans="1:13" x14ac:dyDescent="0.35">
      <c r="A2965" s="49" t="s">
        <v>586</v>
      </c>
      <c r="B2965" s="49" t="s">
        <v>6880</v>
      </c>
      <c r="C2965" s="49" t="s">
        <v>6881</v>
      </c>
      <c r="D2965" s="49" t="s">
        <v>1264</v>
      </c>
      <c r="E2965" s="49" t="s">
        <v>2785</v>
      </c>
      <c r="F2965" s="49" t="s">
        <v>2786</v>
      </c>
      <c r="G2965" s="49" t="s">
        <v>2901</v>
      </c>
      <c r="H2965" s="49" t="s">
        <v>2827</v>
      </c>
      <c r="I2965" s="52">
        <v>45901.681145833303</v>
      </c>
      <c r="J2965" s="50">
        <v>45929</v>
      </c>
      <c r="K2965" s="50">
        <v>46293</v>
      </c>
      <c r="M2965" s="49" t="s">
        <v>6882</v>
      </c>
    </row>
    <row r="2966" spans="1:13" x14ac:dyDescent="0.35">
      <c r="A2966" s="49" t="s">
        <v>586</v>
      </c>
      <c r="B2966" s="49" t="s">
        <v>6946</v>
      </c>
      <c r="C2966" s="49" t="s">
        <v>3626</v>
      </c>
      <c r="D2966" s="49" t="s">
        <v>1264</v>
      </c>
      <c r="E2966" s="49" t="s">
        <v>2785</v>
      </c>
      <c r="F2966" s="49" t="s">
        <v>2786</v>
      </c>
      <c r="G2966" s="49" t="s">
        <v>4891</v>
      </c>
      <c r="H2966" s="49" t="s">
        <v>2827</v>
      </c>
      <c r="I2966" s="52">
        <v>46160.437615740702</v>
      </c>
      <c r="M2966" s="49" t="s">
        <v>6947</v>
      </c>
    </row>
    <row r="2967" spans="1:13" x14ac:dyDescent="0.35">
      <c r="A2967" s="49" t="s">
        <v>586</v>
      </c>
      <c r="B2967" s="49" t="s">
        <v>6948</v>
      </c>
      <c r="C2967" s="49" t="s">
        <v>3626</v>
      </c>
      <c r="D2967" s="49" t="s">
        <v>1264</v>
      </c>
      <c r="E2967" s="49" t="s">
        <v>2785</v>
      </c>
      <c r="F2967" s="49" t="s">
        <v>2786</v>
      </c>
      <c r="G2967" s="49" t="s">
        <v>4891</v>
      </c>
      <c r="H2967" s="49" t="s">
        <v>2827</v>
      </c>
      <c r="I2967" s="52">
        <v>46160.455347222203</v>
      </c>
      <c r="M2967" s="49" t="s">
        <v>6949</v>
      </c>
    </row>
    <row r="2968" spans="1:13" x14ac:dyDescent="0.35">
      <c r="A2968" s="49" t="s">
        <v>586</v>
      </c>
      <c r="B2968" s="49" t="s">
        <v>7323</v>
      </c>
      <c r="C2968" s="49" t="s">
        <v>7324</v>
      </c>
      <c r="D2968" s="49" t="s">
        <v>1264</v>
      </c>
      <c r="E2968" s="49" t="s">
        <v>2785</v>
      </c>
      <c r="F2968" s="49" t="s">
        <v>2792</v>
      </c>
      <c r="G2968" s="49" t="s">
        <v>2787</v>
      </c>
      <c r="H2968" s="49" t="s">
        <v>2827</v>
      </c>
      <c r="I2968" s="50">
        <v>43199</v>
      </c>
      <c r="J2968" s="50">
        <v>43214</v>
      </c>
      <c r="K2968" s="50">
        <v>43396</v>
      </c>
      <c r="M2968" s="49" t="s">
        <v>3477</v>
      </c>
    </row>
    <row r="2969" spans="1:13" x14ac:dyDescent="0.35">
      <c r="A2969" s="49" t="s">
        <v>586</v>
      </c>
      <c r="B2969" s="49" t="s">
        <v>8778</v>
      </c>
      <c r="C2969" s="49"/>
      <c r="D2969" s="49" t="s">
        <v>1264</v>
      </c>
      <c r="E2969" s="49" t="s">
        <v>2785</v>
      </c>
      <c r="F2969" s="49" t="s">
        <v>2792</v>
      </c>
      <c r="G2969" s="49" t="s">
        <v>2787</v>
      </c>
      <c r="H2969" s="49" t="s">
        <v>973</v>
      </c>
      <c r="I2969" s="50">
        <v>43572</v>
      </c>
      <c r="J2969" s="50">
        <v>43573</v>
      </c>
      <c r="K2969" s="50">
        <v>43939</v>
      </c>
      <c r="M2969" s="49" t="s">
        <v>3477</v>
      </c>
    </row>
    <row r="2970" spans="1:13" x14ac:dyDescent="0.35">
      <c r="A2970" s="49" t="s">
        <v>586</v>
      </c>
      <c r="B2970" s="49" t="s">
        <v>9332</v>
      </c>
      <c r="C2970" s="49"/>
      <c r="D2970" s="49" t="s">
        <v>1264</v>
      </c>
      <c r="E2970" s="49" t="s">
        <v>2785</v>
      </c>
      <c r="F2970" s="49" t="s">
        <v>2786</v>
      </c>
      <c r="G2970" s="49" t="s">
        <v>2776</v>
      </c>
      <c r="H2970" s="49" t="s">
        <v>2827</v>
      </c>
      <c r="I2970" s="50">
        <v>44280</v>
      </c>
      <c r="M2970" s="49" t="s">
        <v>9333</v>
      </c>
    </row>
    <row r="2971" spans="1:13" x14ac:dyDescent="0.35">
      <c r="A2971" s="49" t="s">
        <v>586</v>
      </c>
      <c r="B2971" s="49" t="s">
        <v>9591</v>
      </c>
      <c r="C2971" s="49"/>
      <c r="D2971" s="49" t="s">
        <v>1264</v>
      </c>
      <c r="E2971" s="49" t="s">
        <v>2785</v>
      </c>
      <c r="F2971" s="49" t="s">
        <v>2792</v>
      </c>
      <c r="G2971" s="49" t="s">
        <v>2776</v>
      </c>
      <c r="H2971" s="49" t="s">
        <v>2827</v>
      </c>
      <c r="I2971" s="50">
        <v>43245</v>
      </c>
      <c r="M2971" s="49" t="s">
        <v>3444</v>
      </c>
    </row>
    <row r="2972" spans="1:13" x14ac:dyDescent="0.35">
      <c r="A2972" s="49" t="s">
        <v>586</v>
      </c>
      <c r="B2972" s="49" t="s">
        <v>11333</v>
      </c>
      <c r="C2972" s="49" t="s">
        <v>4231</v>
      </c>
      <c r="D2972" s="49" t="s">
        <v>1264</v>
      </c>
      <c r="E2972" s="49" t="s">
        <v>2785</v>
      </c>
      <c r="F2972" s="49" t="s">
        <v>2786</v>
      </c>
      <c r="G2972" s="49" t="s">
        <v>2776</v>
      </c>
      <c r="H2972" s="49" t="s">
        <v>2827</v>
      </c>
      <c r="I2972" s="50">
        <v>44229</v>
      </c>
      <c r="M2972" s="49" t="s">
        <v>11334</v>
      </c>
    </row>
    <row r="2973" spans="1:13" x14ac:dyDescent="0.35">
      <c r="A2973" s="49" t="s">
        <v>586</v>
      </c>
      <c r="B2973" s="49" t="s">
        <v>12133</v>
      </c>
      <c r="C2973" s="49" t="s">
        <v>12134</v>
      </c>
      <c r="D2973" s="49" t="s">
        <v>1264</v>
      </c>
      <c r="E2973" s="49" t="s">
        <v>2785</v>
      </c>
      <c r="F2973" s="49" t="s">
        <v>2786</v>
      </c>
      <c r="G2973" s="49" t="s">
        <v>2776</v>
      </c>
      <c r="H2973" s="49" t="s">
        <v>2827</v>
      </c>
      <c r="I2973" s="50">
        <v>45342</v>
      </c>
      <c r="M2973" s="49" t="s">
        <v>12135</v>
      </c>
    </row>
    <row r="2974" spans="1:13" x14ac:dyDescent="0.35">
      <c r="A2974" s="49" t="s">
        <v>7087</v>
      </c>
      <c r="B2974" s="49" t="s">
        <v>3595</v>
      </c>
      <c r="C2974" s="49" t="s">
        <v>3596</v>
      </c>
      <c r="D2974" s="49" t="s">
        <v>1264</v>
      </c>
      <c r="E2974" s="49" t="s">
        <v>2774</v>
      </c>
      <c r="F2974" s="49" t="s">
        <v>3598</v>
      </c>
      <c r="G2974" s="49" t="s">
        <v>2901</v>
      </c>
      <c r="H2974" s="49" t="s">
        <v>2827</v>
      </c>
      <c r="I2974" s="50">
        <v>42936</v>
      </c>
      <c r="J2974" s="50">
        <v>43210</v>
      </c>
      <c r="K2974" s="50">
        <v>46863</v>
      </c>
      <c r="M2974" s="49" t="s">
        <v>3599</v>
      </c>
    </row>
    <row r="2975" spans="1:13" x14ac:dyDescent="0.35">
      <c r="A2975" s="49" t="s">
        <v>7087</v>
      </c>
      <c r="B2975" s="49" t="s">
        <v>3600</v>
      </c>
      <c r="C2975" s="49" t="s">
        <v>3601</v>
      </c>
      <c r="D2975" s="49" t="s">
        <v>1264</v>
      </c>
      <c r="E2975" s="49" t="s">
        <v>2774</v>
      </c>
      <c r="F2975" s="49" t="s">
        <v>3598</v>
      </c>
      <c r="G2975" s="49" t="s">
        <v>3602</v>
      </c>
      <c r="H2975" s="49" t="s">
        <v>2827</v>
      </c>
      <c r="I2975" s="50">
        <v>42936</v>
      </c>
      <c r="J2975" s="50">
        <v>43210</v>
      </c>
      <c r="K2975" s="50">
        <v>44671</v>
      </c>
      <c r="M2975" s="49" t="s">
        <v>3603</v>
      </c>
    </row>
    <row r="2976" spans="1:13" x14ac:dyDescent="0.35">
      <c r="A2976" s="49" t="s">
        <v>7087</v>
      </c>
      <c r="B2976" s="49" t="s">
        <v>6054</v>
      </c>
      <c r="C2976" s="49" t="s">
        <v>6055</v>
      </c>
      <c r="D2976" s="49" t="s">
        <v>1264</v>
      </c>
      <c r="E2976" s="49" t="s">
        <v>2774</v>
      </c>
      <c r="F2976" s="49" t="s">
        <v>2825</v>
      </c>
      <c r="G2976" s="49" t="s">
        <v>2901</v>
      </c>
      <c r="H2976" s="49" t="s">
        <v>2827</v>
      </c>
      <c r="I2976" s="50">
        <v>45251</v>
      </c>
      <c r="J2976" s="50">
        <v>45260</v>
      </c>
      <c r="K2976" s="50">
        <v>46720</v>
      </c>
      <c r="M2976" s="49" t="s">
        <v>6056</v>
      </c>
    </row>
    <row r="2977" spans="1:13" x14ac:dyDescent="0.35">
      <c r="A2977" s="49" t="s">
        <v>7087</v>
      </c>
      <c r="B2977" s="49" t="s">
        <v>7085</v>
      </c>
      <c r="C2977" s="49" t="s">
        <v>7086</v>
      </c>
      <c r="D2977" s="49" t="s">
        <v>1264</v>
      </c>
      <c r="E2977" s="49" t="s">
        <v>2774</v>
      </c>
      <c r="F2977" s="49" t="s">
        <v>3598</v>
      </c>
      <c r="G2977" s="49" t="s">
        <v>2787</v>
      </c>
      <c r="H2977" s="49" t="s">
        <v>2827</v>
      </c>
      <c r="I2977" s="50">
        <v>38247</v>
      </c>
      <c r="J2977" s="50">
        <v>38383</v>
      </c>
      <c r="K2977" s="50">
        <v>42765</v>
      </c>
      <c r="M2977" s="49" t="s">
        <v>7088</v>
      </c>
    </row>
    <row r="2978" spans="1:13" x14ac:dyDescent="0.35">
      <c r="A2978" s="49" t="s">
        <v>7087</v>
      </c>
      <c r="B2978" s="49" t="s">
        <v>8121</v>
      </c>
      <c r="C2978" s="49" t="s">
        <v>3596</v>
      </c>
      <c r="D2978" s="49" t="s">
        <v>1264</v>
      </c>
      <c r="E2978" s="49" t="s">
        <v>2774</v>
      </c>
      <c r="F2978" s="49" t="s">
        <v>2825</v>
      </c>
      <c r="G2978" s="49" t="s">
        <v>2826</v>
      </c>
      <c r="H2978" s="49" t="s">
        <v>2827</v>
      </c>
      <c r="I2978" s="50">
        <v>38656</v>
      </c>
      <c r="J2978" s="50">
        <v>39003</v>
      </c>
      <c r="K2978" s="50">
        <v>42289</v>
      </c>
      <c r="M2978" s="49" t="s">
        <v>8122</v>
      </c>
    </row>
    <row r="2979" spans="1:13" x14ac:dyDescent="0.35">
      <c r="A2979" s="49" t="s">
        <v>7087</v>
      </c>
      <c r="B2979" s="49" t="s">
        <v>8143</v>
      </c>
      <c r="C2979" s="49" t="s">
        <v>8144</v>
      </c>
      <c r="D2979" s="49" t="s">
        <v>1264</v>
      </c>
      <c r="E2979" s="49" t="s">
        <v>2774</v>
      </c>
      <c r="F2979" s="49" t="s">
        <v>2825</v>
      </c>
      <c r="G2979" s="49" t="s">
        <v>2826</v>
      </c>
      <c r="H2979" s="49" t="s">
        <v>973</v>
      </c>
      <c r="I2979" s="50">
        <v>38247</v>
      </c>
      <c r="J2979" s="50">
        <v>38383</v>
      </c>
      <c r="K2979" s="50">
        <v>42504</v>
      </c>
      <c r="M2979" s="49" t="s">
        <v>8145</v>
      </c>
    </row>
    <row r="2980" spans="1:13" x14ac:dyDescent="0.35">
      <c r="A2980" s="49" t="s">
        <v>7087</v>
      </c>
      <c r="B2980" s="49" t="s">
        <v>8379</v>
      </c>
      <c r="C2980" s="49" t="s">
        <v>8380</v>
      </c>
      <c r="D2980" s="49" t="s">
        <v>1264</v>
      </c>
      <c r="E2980" s="49" t="s">
        <v>2774</v>
      </c>
      <c r="F2980" s="49" t="s">
        <v>2825</v>
      </c>
      <c r="G2980" s="49" t="s">
        <v>2826</v>
      </c>
      <c r="H2980" s="49" t="s">
        <v>2827</v>
      </c>
      <c r="I2980" s="50">
        <v>40374</v>
      </c>
      <c r="J2980" s="50">
        <v>41607</v>
      </c>
      <c r="K2980" s="50">
        <v>42702</v>
      </c>
      <c r="M2980" s="49" t="s">
        <v>8381</v>
      </c>
    </row>
    <row r="2981" spans="1:13" x14ac:dyDescent="0.35">
      <c r="A2981" s="49" t="s">
        <v>7087</v>
      </c>
      <c r="B2981" s="49" t="s">
        <v>8382</v>
      </c>
      <c r="C2981" s="49" t="s">
        <v>8383</v>
      </c>
      <c r="D2981" s="49" t="s">
        <v>1264</v>
      </c>
      <c r="E2981" s="49" t="s">
        <v>2774</v>
      </c>
      <c r="F2981" s="49" t="s">
        <v>2825</v>
      </c>
      <c r="G2981" s="49" t="s">
        <v>2826</v>
      </c>
      <c r="H2981" s="49" t="s">
        <v>2827</v>
      </c>
      <c r="I2981" s="50">
        <v>40374</v>
      </c>
      <c r="J2981" s="50">
        <v>40511</v>
      </c>
      <c r="K2981" s="50">
        <v>42702</v>
      </c>
      <c r="M2981" s="49" t="s">
        <v>8384</v>
      </c>
    </row>
    <row r="2982" spans="1:13" x14ac:dyDescent="0.35">
      <c r="A2982" s="49" t="s">
        <v>7087</v>
      </c>
      <c r="B2982" s="49" t="s">
        <v>8385</v>
      </c>
      <c r="C2982" s="49" t="s">
        <v>8386</v>
      </c>
      <c r="D2982" s="49" t="s">
        <v>1264</v>
      </c>
      <c r="E2982" s="49" t="s">
        <v>2774</v>
      </c>
      <c r="F2982" s="49" t="s">
        <v>2825</v>
      </c>
      <c r="G2982" s="49" t="s">
        <v>2787</v>
      </c>
      <c r="H2982" s="49" t="s">
        <v>2827</v>
      </c>
      <c r="I2982" s="50">
        <v>40374</v>
      </c>
      <c r="J2982" s="50">
        <v>40511</v>
      </c>
      <c r="K2982" s="50">
        <v>42702</v>
      </c>
      <c r="M2982" s="49" t="s">
        <v>8387</v>
      </c>
    </row>
    <row r="2983" spans="1:13" x14ac:dyDescent="0.35">
      <c r="A2983" s="49" t="s">
        <v>7087</v>
      </c>
      <c r="B2983" s="49" t="s">
        <v>14013</v>
      </c>
      <c r="C2983" s="49" t="s">
        <v>14014</v>
      </c>
      <c r="D2983" s="49" t="s">
        <v>1264</v>
      </c>
      <c r="E2983" s="49" t="s">
        <v>2774</v>
      </c>
      <c r="F2983" s="49" t="s">
        <v>2825</v>
      </c>
      <c r="G2983" s="49" t="s">
        <v>2776</v>
      </c>
      <c r="H2983" s="49" t="s">
        <v>2827</v>
      </c>
      <c r="I2983" s="50">
        <v>40704</v>
      </c>
      <c r="M2983" s="49" t="s">
        <v>14015</v>
      </c>
    </row>
    <row r="2984" spans="1:13" x14ac:dyDescent="0.35">
      <c r="A2984" s="49" t="s">
        <v>7087</v>
      </c>
      <c r="B2984" s="49" t="s">
        <v>14016</v>
      </c>
      <c r="C2984" s="49" t="s">
        <v>14017</v>
      </c>
      <c r="D2984" s="49" t="s">
        <v>1264</v>
      </c>
      <c r="E2984" s="49" t="s">
        <v>2774</v>
      </c>
      <c r="F2984" s="49" t="s">
        <v>2825</v>
      </c>
      <c r="G2984" s="49" t="s">
        <v>2776</v>
      </c>
      <c r="H2984" s="49" t="s">
        <v>2827</v>
      </c>
      <c r="I2984" s="50">
        <v>40704</v>
      </c>
      <c r="M2984" s="49" t="s">
        <v>14018</v>
      </c>
    </row>
    <row r="2985" spans="1:13" x14ac:dyDescent="0.35">
      <c r="A2985" s="49" t="s">
        <v>15459</v>
      </c>
      <c r="B2985" s="49" t="s">
        <v>10496</v>
      </c>
      <c r="C2985" s="49" t="s">
        <v>2863</v>
      </c>
      <c r="D2985" s="49" t="s">
        <v>1264</v>
      </c>
      <c r="E2985" s="49" t="s">
        <v>2814</v>
      </c>
      <c r="F2985" s="49" t="s">
        <v>2825</v>
      </c>
      <c r="G2985" s="49" t="s">
        <v>2776</v>
      </c>
      <c r="H2985" s="49" t="s">
        <v>2827</v>
      </c>
      <c r="I2985" s="50">
        <v>42432</v>
      </c>
      <c r="M2985" s="49" t="s">
        <v>10498</v>
      </c>
    </row>
    <row r="2986" spans="1:13" x14ac:dyDescent="0.35">
      <c r="A2986" s="49" t="s">
        <v>10341</v>
      </c>
      <c r="B2986" s="49" t="s">
        <v>10340</v>
      </c>
      <c r="C2986" s="49" t="s">
        <v>2863</v>
      </c>
      <c r="D2986" s="49" t="s">
        <v>1264</v>
      </c>
      <c r="E2986" s="49" t="s">
        <v>2814</v>
      </c>
      <c r="F2986" s="49" t="s">
        <v>2825</v>
      </c>
      <c r="G2986" s="49" t="s">
        <v>2776</v>
      </c>
      <c r="H2986" s="49" t="s">
        <v>2827</v>
      </c>
      <c r="I2986" s="50">
        <v>42324</v>
      </c>
      <c r="M2986" s="49" t="s">
        <v>10342</v>
      </c>
    </row>
    <row r="2987" spans="1:13" x14ac:dyDescent="0.35">
      <c r="A2987" s="49" t="s">
        <v>14661</v>
      </c>
      <c r="B2987" s="49" t="s">
        <v>13345</v>
      </c>
      <c r="C2987" s="49" t="s">
        <v>13346</v>
      </c>
      <c r="D2987" s="49" t="s">
        <v>1264</v>
      </c>
      <c r="E2987" s="49" t="s">
        <v>2986</v>
      </c>
      <c r="F2987" s="49" t="s">
        <v>2825</v>
      </c>
      <c r="G2987" s="49" t="s">
        <v>4891</v>
      </c>
      <c r="H2987" s="49" t="s">
        <v>2827</v>
      </c>
      <c r="I2987" s="52">
        <v>46112.510625000003</v>
      </c>
    </row>
    <row r="2988" spans="1:13" x14ac:dyDescent="0.35">
      <c r="A2988" s="49" t="s">
        <v>14137</v>
      </c>
      <c r="B2988" s="49" t="s">
        <v>3886</v>
      </c>
      <c r="C2988" s="49" t="s">
        <v>2937</v>
      </c>
      <c r="D2988" s="49" t="s">
        <v>1264</v>
      </c>
      <c r="E2988" s="49" t="s">
        <v>2908</v>
      </c>
      <c r="F2988" s="49" t="s">
        <v>2939</v>
      </c>
      <c r="G2988" s="49" t="s">
        <v>2787</v>
      </c>
      <c r="H2988" s="49" t="s">
        <v>980</v>
      </c>
      <c r="I2988" s="50">
        <v>43482</v>
      </c>
      <c r="J2988" s="50">
        <v>43493</v>
      </c>
      <c r="K2988" s="50">
        <v>45319</v>
      </c>
      <c r="M2988" s="49" t="s">
        <v>3871</v>
      </c>
    </row>
    <row r="2989" spans="1:13" x14ac:dyDescent="0.35">
      <c r="A2989" s="49" t="s">
        <v>15077</v>
      </c>
      <c r="B2989" s="49" t="s">
        <v>9919</v>
      </c>
      <c r="C2989" s="49"/>
      <c r="D2989" s="49" t="s">
        <v>1264</v>
      </c>
      <c r="E2989" s="49" t="s">
        <v>7057</v>
      </c>
      <c r="F2989" s="49" t="s">
        <v>2825</v>
      </c>
      <c r="G2989" s="49" t="s">
        <v>2776</v>
      </c>
      <c r="H2989" s="49" t="s">
        <v>2827</v>
      </c>
      <c r="I2989" s="50">
        <v>42367</v>
      </c>
      <c r="M2989" s="49" t="s">
        <v>9921</v>
      </c>
    </row>
    <row r="2990" spans="1:13" x14ac:dyDescent="0.35">
      <c r="A2990" s="49" t="s">
        <v>15077</v>
      </c>
      <c r="B2990" s="49" t="s">
        <v>9964</v>
      </c>
      <c r="C2990" s="49"/>
      <c r="D2990" s="49" t="s">
        <v>1264</v>
      </c>
      <c r="E2990" s="49" t="s">
        <v>7057</v>
      </c>
      <c r="F2990" s="49" t="s">
        <v>2825</v>
      </c>
      <c r="G2990" s="49" t="s">
        <v>2776</v>
      </c>
      <c r="H2990" s="49" t="s">
        <v>2827</v>
      </c>
      <c r="I2990" s="50">
        <v>42223</v>
      </c>
      <c r="M2990" s="49" t="s">
        <v>9966</v>
      </c>
    </row>
    <row r="2991" spans="1:13" x14ac:dyDescent="0.35">
      <c r="A2991" s="49" t="s">
        <v>14218</v>
      </c>
      <c r="B2991" s="49" t="s">
        <v>5005</v>
      </c>
      <c r="C2991" s="49"/>
      <c r="D2991" s="49" t="s">
        <v>1264</v>
      </c>
      <c r="E2991" s="49" t="s">
        <v>2908</v>
      </c>
      <c r="F2991" s="49" t="s">
        <v>2837</v>
      </c>
      <c r="G2991" s="49" t="s">
        <v>2901</v>
      </c>
      <c r="H2991" s="49" t="s">
        <v>973</v>
      </c>
      <c r="I2991" s="50">
        <v>43517</v>
      </c>
      <c r="J2991" s="50">
        <v>44594</v>
      </c>
      <c r="K2991" s="50">
        <v>46419</v>
      </c>
      <c r="M2991" s="49" t="s">
        <v>3104</v>
      </c>
    </row>
    <row r="2992" spans="1:13" x14ac:dyDescent="0.35">
      <c r="A2992" s="49" t="s">
        <v>14064</v>
      </c>
      <c r="B2992" s="49" t="s">
        <v>2822</v>
      </c>
      <c r="C2992" s="49" t="s">
        <v>2823</v>
      </c>
      <c r="D2992" s="49" t="s">
        <v>1264</v>
      </c>
      <c r="E2992" s="49" t="s">
        <v>2814</v>
      </c>
      <c r="F2992" s="49" t="s">
        <v>2825</v>
      </c>
      <c r="G2992" s="49" t="s">
        <v>2826</v>
      </c>
      <c r="H2992" s="49" t="s">
        <v>2827</v>
      </c>
      <c r="I2992" s="50">
        <v>43815</v>
      </c>
      <c r="J2992" s="50">
        <v>43881</v>
      </c>
      <c r="K2992" s="50">
        <v>44245</v>
      </c>
      <c r="M2992" s="49" t="s">
        <v>2828</v>
      </c>
    </row>
    <row r="2993" spans="1:13" x14ac:dyDescent="0.35">
      <c r="A2993" s="49" t="s">
        <v>14064</v>
      </c>
      <c r="B2993" s="49" t="s">
        <v>10815</v>
      </c>
      <c r="C2993" s="49"/>
      <c r="D2993" s="49" t="s">
        <v>1264</v>
      </c>
      <c r="E2993" s="49" t="s">
        <v>2814</v>
      </c>
      <c r="F2993" s="49" t="s">
        <v>2825</v>
      </c>
      <c r="G2993" s="49" t="s">
        <v>2826</v>
      </c>
      <c r="H2993" s="49" t="s">
        <v>2827</v>
      </c>
      <c r="I2993" s="50">
        <v>44357</v>
      </c>
      <c r="M2993" s="49" t="s">
        <v>10816</v>
      </c>
    </row>
    <row r="2994" spans="1:13" x14ac:dyDescent="0.35">
      <c r="A2994" s="49" t="s">
        <v>14064</v>
      </c>
      <c r="B2994" s="49" t="s">
        <v>10820</v>
      </c>
      <c r="C2994" s="49"/>
      <c r="D2994" s="49" t="s">
        <v>1264</v>
      </c>
      <c r="E2994" s="49" t="s">
        <v>2814</v>
      </c>
      <c r="F2994" s="49" t="s">
        <v>2825</v>
      </c>
      <c r="G2994" s="49" t="s">
        <v>2776</v>
      </c>
      <c r="H2994" s="49" t="s">
        <v>2827</v>
      </c>
      <c r="I2994" s="50">
        <v>44357</v>
      </c>
      <c r="M2994" s="49" t="s">
        <v>10816</v>
      </c>
    </row>
    <row r="2995" spans="1:13" ht="43.5" x14ac:dyDescent="0.35">
      <c r="A2995" s="49" t="s">
        <v>590</v>
      </c>
      <c r="B2995" s="49" t="s">
        <v>12634</v>
      </c>
      <c r="C2995" s="51" t="s">
        <v>12635</v>
      </c>
      <c r="D2995" s="49" t="s">
        <v>1264</v>
      </c>
      <c r="E2995" s="49" t="s">
        <v>2814</v>
      </c>
      <c r="F2995" s="49" t="s">
        <v>2825</v>
      </c>
      <c r="G2995" s="49" t="s">
        <v>4891</v>
      </c>
      <c r="H2995" s="49" t="s">
        <v>2827</v>
      </c>
      <c r="I2995" s="50">
        <v>45530</v>
      </c>
      <c r="M2995" s="49" t="s">
        <v>12637</v>
      </c>
    </row>
    <row r="2996" spans="1:13" x14ac:dyDescent="0.35">
      <c r="A2996" s="49" t="s">
        <v>590</v>
      </c>
      <c r="B2996" s="49" t="s">
        <v>12960</v>
      </c>
      <c r="C2996" s="49"/>
      <c r="D2996" s="49" t="s">
        <v>1264</v>
      </c>
      <c r="E2996" s="49" t="s">
        <v>2814</v>
      </c>
      <c r="F2996" s="49" t="s">
        <v>2825</v>
      </c>
      <c r="G2996" s="49" t="s">
        <v>4891</v>
      </c>
      <c r="H2996" s="49" t="s">
        <v>2827</v>
      </c>
      <c r="I2996" s="52">
        <v>45977.572453703702</v>
      </c>
      <c r="M2996" s="49" t="s">
        <v>12961</v>
      </c>
    </row>
    <row r="2997" spans="1:13" x14ac:dyDescent="0.35">
      <c r="A2997" s="49" t="s">
        <v>15460</v>
      </c>
      <c r="B2997" s="49" t="s">
        <v>5082</v>
      </c>
      <c r="C2997" s="49"/>
      <c r="D2997" s="49" t="s">
        <v>1264</v>
      </c>
      <c r="E2997" s="49" t="s">
        <v>3443</v>
      </c>
      <c r="F2997" s="49" t="s">
        <v>3124</v>
      </c>
      <c r="G2997" s="49" t="s">
        <v>2901</v>
      </c>
      <c r="H2997" s="49" t="s">
        <v>980</v>
      </c>
      <c r="I2997" s="50">
        <v>44750</v>
      </c>
      <c r="J2997" s="50">
        <v>44747</v>
      </c>
      <c r="K2997" s="50">
        <v>46572</v>
      </c>
    </row>
    <row r="2998" spans="1:13" x14ac:dyDescent="0.35">
      <c r="A2998" s="49" t="s">
        <v>15461</v>
      </c>
      <c r="B2998" s="49" t="s">
        <v>3506</v>
      </c>
      <c r="C2998" s="49" t="s">
        <v>3507</v>
      </c>
      <c r="D2998" s="49" t="s">
        <v>1264</v>
      </c>
      <c r="E2998" s="49" t="s">
        <v>2774</v>
      </c>
      <c r="F2998" s="49" t="s">
        <v>3509</v>
      </c>
      <c r="G2998" s="49" t="s">
        <v>2787</v>
      </c>
      <c r="H2998" s="49" t="s">
        <v>973</v>
      </c>
      <c r="I2998" s="50">
        <v>42537</v>
      </c>
      <c r="J2998" s="50">
        <v>43115</v>
      </c>
      <c r="K2998" s="50">
        <v>44575</v>
      </c>
      <c r="M2998" s="49" t="s">
        <v>3510</v>
      </c>
    </row>
    <row r="2999" spans="1:13" x14ac:dyDescent="0.35">
      <c r="A2999" s="49" t="s">
        <v>15462</v>
      </c>
      <c r="B2999" s="49" t="s">
        <v>6748</v>
      </c>
      <c r="C2999" s="49"/>
      <c r="D2999" s="49" t="s">
        <v>1264</v>
      </c>
      <c r="E2999" s="49" t="s">
        <v>2785</v>
      </c>
      <c r="F2999" s="49" t="s">
        <v>2805</v>
      </c>
      <c r="G2999" s="49" t="s">
        <v>2921</v>
      </c>
      <c r="H2999" s="49" t="s">
        <v>980</v>
      </c>
      <c r="I2999" s="52">
        <v>45863.5222685185</v>
      </c>
      <c r="J2999" s="50">
        <v>45870</v>
      </c>
      <c r="K2999" s="50">
        <v>46234</v>
      </c>
      <c r="M2999" s="49" t="s">
        <v>6750</v>
      </c>
    </row>
    <row r="3000" spans="1:13" x14ac:dyDescent="0.35">
      <c r="A3000" s="49" t="s">
        <v>15462</v>
      </c>
      <c r="B3000" s="49" t="s">
        <v>12596</v>
      </c>
      <c r="C3000" s="49" t="s">
        <v>5810</v>
      </c>
      <c r="D3000" s="49" t="s">
        <v>1264</v>
      </c>
      <c r="E3000" s="49" t="s">
        <v>2785</v>
      </c>
      <c r="F3000" s="49" t="s">
        <v>2805</v>
      </c>
      <c r="G3000" s="49" t="s">
        <v>4891</v>
      </c>
      <c r="H3000" s="49" t="s">
        <v>980</v>
      </c>
      <c r="I3000" s="50">
        <v>45456</v>
      </c>
      <c r="M3000" s="49" t="s">
        <v>12597</v>
      </c>
    </row>
    <row r="3001" spans="1:13" x14ac:dyDescent="0.35">
      <c r="A3001" s="49" t="s">
        <v>15462</v>
      </c>
      <c r="B3001" s="49" t="s">
        <v>12624</v>
      </c>
      <c r="C3001" s="49"/>
      <c r="D3001" s="49" t="s">
        <v>1264</v>
      </c>
      <c r="E3001" s="49" t="s">
        <v>2785</v>
      </c>
      <c r="F3001" s="49" t="s">
        <v>2805</v>
      </c>
      <c r="G3001" s="49" t="s">
        <v>4891</v>
      </c>
      <c r="H3001" s="49" t="s">
        <v>980</v>
      </c>
      <c r="I3001" s="50">
        <v>45509</v>
      </c>
      <c r="M3001" s="49" t="s">
        <v>12625</v>
      </c>
    </row>
    <row r="3002" spans="1:13" x14ac:dyDescent="0.35">
      <c r="A3002" s="49" t="s">
        <v>15462</v>
      </c>
      <c r="B3002" s="49" t="s">
        <v>13127</v>
      </c>
      <c r="C3002" s="49" t="s">
        <v>6852</v>
      </c>
      <c r="D3002" s="49" t="s">
        <v>1264</v>
      </c>
      <c r="E3002" s="49" t="s">
        <v>2785</v>
      </c>
      <c r="F3002" s="49" t="s">
        <v>2805</v>
      </c>
      <c r="G3002" s="49" t="s">
        <v>4891</v>
      </c>
      <c r="H3002" s="49" t="s">
        <v>2832</v>
      </c>
      <c r="I3002" s="52">
        <v>46051.645497685196</v>
      </c>
      <c r="M3002" s="49" t="s">
        <v>13128</v>
      </c>
    </row>
    <row r="3003" spans="1:13" x14ac:dyDescent="0.35">
      <c r="A3003" s="49" t="s">
        <v>2597</v>
      </c>
      <c r="B3003" s="49" t="s">
        <v>3726</v>
      </c>
      <c r="C3003" s="49" t="s">
        <v>3468</v>
      </c>
      <c r="D3003" s="49" t="s">
        <v>1264</v>
      </c>
      <c r="E3003" s="49" t="s">
        <v>3443</v>
      </c>
      <c r="F3003" s="49" t="s">
        <v>3124</v>
      </c>
      <c r="G3003" s="49" t="s">
        <v>2787</v>
      </c>
      <c r="H3003" s="49" t="s">
        <v>980</v>
      </c>
      <c r="I3003" s="50">
        <v>43227</v>
      </c>
      <c r="J3003" s="50">
        <v>43263</v>
      </c>
      <c r="K3003" s="50">
        <v>45088</v>
      </c>
      <c r="M3003" s="49" t="s">
        <v>3728</v>
      </c>
    </row>
    <row r="3004" spans="1:13" x14ac:dyDescent="0.35">
      <c r="A3004" s="49" t="s">
        <v>2597</v>
      </c>
      <c r="B3004" s="49" t="s">
        <v>6583</v>
      </c>
      <c r="C3004" s="49" t="s">
        <v>3768</v>
      </c>
      <c r="D3004" s="49" t="s">
        <v>1264</v>
      </c>
      <c r="E3004" s="49" t="s">
        <v>3443</v>
      </c>
      <c r="F3004" s="49" t="s">
        <v>3124</v>
      </c>
      <c r="G3004" s="49" t="s">
        <v>4330</v>
      </c>
      <c r="H3004" s="49" t="s">
        <v>980</v>
      </c>
      <c r="I3004" s="50">
        <v>45405</v>
      </c>
    </row>
    <row r="3005" spans="1:13" x14ac:dyDescent="0.35">
      <c r="A3005" s="49" t="s">
        <v>2597</v>
      </c>
      <c r="B3005" s="49" t="s">
        <v>10966</v>
      </c>
      <c r="C3005" s="49" t="s">
        <v>8556</v>
      </c>
      <c r="D3005" s="49" t="s">
        <v>1264</v>
      </c>
      <c r="E3005" s="49" t="s">
        <v>2774</v>
      </c>
      <c r="F3005" s="49" t="s">
        <v>3188</v>
      </c>
      <c r="G3005" s="49" t="s">
        <v>2776</v>
      </c>
      <c r="H3005" s="49" t="s">
        <v>973</v>
      </c>
      <c r="I3005" s="50">
        <v>44573</v>
      </c>
      <c r="M3005" s="49" t="s">
        <v>10967</v>
      </c>
    </row>
    <row r="3006" spans="1:13" x14ac:dyDescent="0.35">
      <c r="A3006" s="49" t="s">
        <v>2597</v>
      </c>
      <c r="B3006" s="49" t="s">
        <v>12461</v>
      </c>
      <c r="C3006" s="49" t="s">
        <v>12462</v>
      </c>
      <c r="D3006" s="49" t="s">
        <v>1264</v>
      </c>
      <c r="E3006" s="49" t="s">
        <v>2785</v>
      </c>
      <c r="F3006" s="49" t="s">
        <v>2786</v>
      </c>
      <c r="G3006" s="49" t="s">
        <v>4891</v>
      </c>
      <c r="H3006" s="49" t="s">
        <v>980</v>
      </c>
      <c r="I3006" s="50">
        <v>45419</v>
      </c>
      <c r="M3006" s="49" t="s">
        <v>12463</v>
      </c>
    </row>
    <row r="3007" spans="1:13" x14ac:dyDescent="0.35">
      <c r="A3007" s="49" t="s">
        <v>15033</v>
      </c>
      <c r="B3007" s="49" t="s">
        <v>13353</v>
      </c>
      <c r="C3007" s="49"/>
      <c r="D3007" s="49" t="s">
        <v>1264</v>
      </c>
      <c r="E3007" s="49" t="s">
        <v>2814</v>
      </c>
      <c r="F3007" s="49" t="s">
        <v>2900</v>
      </c>
      <c r="G3007" s="49" t="s">
        <v>4891</v>
      </c>
      <c r="H3007" s="49" t="s">
        <v>835</v>
      </c>
      <c r="I3007" s="52">
        <v>46113.515682870398</v>
      </c>
      <c r="M3007" s="49" t="s">
        <v>13355</v>
      </c>
    </row>
    <row r="3008" spans="1:13" x14ac:dyDescent="0.35">
      <c r="A3008" s="49" t="s">
        <v>14973</v>
      </c>
      <c r="B3008" s="49" t="s">
        <v>10988</v>
      </c>
      <c r="C3008" s="49"/>
      <c r="D3008" s="49" t="s">
        <v>1264</v>
      </c>
      <c r="E3008" s="49" t="s">
        <v>2814</v>
      </c>
      <c r="F3008" s="49" t="s">
        <v>2825</v>
      </c>
      <c r="G3008" s="49" t="s">
        <v>2776</v>
      </c>
      <c r="H3008" s="49" t="s">
        <v>2827</v>
      </c>
      <c r="I3008" s="50">
        <v>44616</v>
      </c>
      <c r="M3008" s="49" t="s">
        <v>10990</v>
      </c>
    </row>
    <row r="3009" spans="1:13" x14ac:dyDescent="0.35">
      <c r="A3009" s="49" t="s">
        <v>14822</v>
      </c>
      <c r="B3009" s="49" t="s">
        <v>4325</v>
      </c>
      <c r="C3009" s="49"/>
      <c r="D3009" s="49" t="s">
        <v>1264</v>
      </c>
      <c r="E3009" s="49" t="s">
        <v>2785</v>
      </c>
      <c r="F3009" s="49" t="s">
        <v>2792</v>
      </c>
      <c r="G3009" s="49" t="s">
        <v>2787</v>
      </c>
      <c r="H3009" s="49" t="s">
        <v>980</v>
      </c>
      <c r="I3009" s="50">
        <v>44305</v>
      </c>
      <c r="J3009" s="50">
        <v>44349</v>
      </c>
      <c r="K3009" s="50">
        <v>45428</v>
      </c>
      <c r="M3009" s="49" t="s">
        <v>4327</v>
      </c>
    </row>
    <row r="3010" spans="1:13" x14ac:dyDescent="0.35">
      <c r="A3010" s="49" t="s">
        <v>14822</v>
      </c>
      <c r="B3010" s="49" t="s">
        <v>9408</v>
      </c>
      <c r="C3010" s="49"/>
      <c r="D3010" s="49" t="s">
        <v>1264</v>
      </c>
      <c r="E3010" s="49" t="s">
        <v>2785</v>
      </c>
      <c r="F3010" s="49" t="s">
        <v>2792</v>
      </c>
      <c r="G3010" s="49" t="s">
        <v>2776</v>
      </c>
      <c r="H3010" s="49" t="s">
        <v>980</v>
      </c>
      <c r="I3010" s="50">
        <v>44182</v>
      </c>
      <c r="M3010" s="49" t="s">
        <v>9410</v>
      </c>
    </row>
    <row r="3011" spans="1:13" x14ac:dyDescent="0.35">
      <c r="A3011" s="49" t="s">
        <v>14141</v>
      </c>
      <c r="B3011" s="49" t="s">
        <v>3907</v>
      </c>
      <c r="C3011" s="49" t="s">
        <v>3908</v>
      </c>
      <c r="D3011" s="49" t="s">
        <v>1264</v>
      </c>
      <c r="E3011" s="49" t="s">
        <v>2974</v>
      </c>
      <c r="F3011" s="49" t="s">
        <v>2825</v>
      </c>
      <c r="G3011" s="49" t="s">
        <v>2787</v>
      </c>
      <c r="H3011" s="49" t="s">
        <v>2827</v>
      </c>
      <c r="I3011" s="50">
        <v>43574</v>
      </c>
      <c r="J3011" s="50">
        <v>43668</v>
      </c>
      <c r="K3011" s="50">
        <v>45495</v>
      </c>
      <c r="M3011" s="49" t="s">
        <v>3910</v>
      </c>
    </row>
    <row r="3012" spans="1:13" x14ac:dyDescent="0.35">
      <c r="A3012" s="49" t="s">
        <v>14141</v>
      </c>
      <c r="B3012" s="49" t="s">
        <v>8101</v>
      </c>
      <c r="C3012" s="49" t="s">
        <v>8102</v>
      </c>
      <c r="D3012" s="49" t="s">
        <v>1264</v>
      </c>
      <c r="E3012" s="49" t="s">
        <v>2774</v>
      </c>
      <c r="F3012" s="49" t="s">
        <v>2825</v>
      </c>
      <c r="G3012" s="49" t="s">
        <v>2787</v>
      </c>
      <c r="H3012" s="49" t="s">
        <v>2827</v>
      </c>
      <c r="I3012" s="50">
        <v>40345</v>
      </c>
      <c r="J3012" s="50">
        <v>40374</v>
      </c>
      <c r="K3012" s="50">
        <v>43637</v>
      </c>
      <c r="M3012" s="49" t="s">
        <v>8103</v>
      </c>
    </row>
    <row r="3013" spans="1:13" x14ac:dyDescent="0.35">
      <c r="A3013" s="49" t="s">
        <v>15463</v>
      </c>
      <c r="B3013" s="49" t="s">
        <v>5084</v>
      </c>
      <c r="C3013" s="49"/>
      <c r="D3013" s="49" t="s">
        <v>1264</v>
      </c>
      <c r="E3013" s="49" t="s">
        <v>3443</v>
      </c>
      <c r="F3013" s="49" t="s">
        <v>3124</v>
      </c>
      <c r="G3013" s="49" t="s">
        <v>2901</v>
      </c>
      <c r="H3013" s="49" t="s">
        <v>980</v>
      </c>
      <c r="I3013" s="50">
        <v>44571</v>
      </c>
      <c r="J3013" s="50">
        <v>44796</v>
      </c>
      <c r="K3013" s="50">
        <v>46621</v>
      </c>
    </row>
    <row r="3014" spans="1:13" x14ac:dyDescent="0.35">
      <c r="A3014" s="49" t="s">
        <v>15463</v>
      </c>
      <c r="B3014" s="49" t="s">
        <v>5533</v>
      </c>
      <c r="C3014" s="49" t="s">
        <v>5458</v>
      </c>
      <c r="D3014" s="49" t="s">
        <v>1264</v>
      </c>
      <c r="E3014" s="49" t="s">
        <v>2986</v>
      </c>
      <c r="F3014" s="49" t="s">
        <v>2825</v>
      </c>
      <c r="G3014" s="49" t="s">
        <v>2901</v>
      </c>
      <c r="H3014" s="49" t="s">
        <v>2827</v>
      </c>
      <c r="I3014" s="50">
        <v>45049</v>
      </c>
      <c r="J3014" s="50">
        <v>45097</v>
      </c>
      <c r="K3014" s="50">
        <v>46192</v>
      </c>
      <c r="M3014" s="49" t="s">
        <v>5534</v>
      </c>
    </row>
    <row r="3015" spans="1:13" x14ac:dyDescent="0.35">
      <c r="A3015" s="49" t="s">
        <v>15463</v>
      </c>
      <c r="B3015" s="49" t="s">
        <v>11375</v>
      </c>
      <c r="C3015" s="49"/>
      <c r="D3015" s="49" t="s">
        <v>1264</v>
      </c>
      <c r="E3015" s="49" t="s">
        <v>2986</v>
      </c>
      <c r="F3015" s="49" t="s">
        <v>2825</v>
      </c>
      <c r="G3015" s="49" t="s">
        <v>4891</v>
      </c>
      <c r="H3015" s="49" t="s">
        <v>2827</v>
      </c>
      <c r="I3015" s="50">
        <v>45049</v>
      </c>
      <c r="M3015" s="49" t="s">
        <v>11376</v>
      </c>
    </row>
    <row r="3016" spans="1:13" x14ac:dyDescent="0.35">
      <c r="A3016" s="49" t="s">
        <v>15463</v>
      </c>
      <c r="B3016" s="49" t="s">
        <v>13581</v>
      </c>
      <c r="C3016" s="49"/>
      <c r="D3016" s="49" t="s">
        <v>1264</v>
      </c>
      <c r="E3016" s="49" t="s">
        <v>2986</v>
      </c>
      <c r="F3016" s="49" t="s">
        <v>2825</v>
      </c>
      <c r="G3016" s="49" t="s">
        <v>4891</v>
      </c>
      <c r="H3016" s="49" t="s">
        <v>973</v>
      </c>
      <c r="I3016" s="52">
        <v>46150.5929861111</v>
      </c>
      <c r="M3016" s="49" t="s">
        <v>13582</v>
      </c>
    </row>
    <row r="3017" spans="1:13" x14ac:dyDescent="0.35">
      <c r="A3017" s="49" t="s">
        <v>14778</v>
      </c>
      <c r="B3017" s="49" t="s">
        <v>10506</v>
      </c>
      <c r="C3017" s="49"/>
      <c r="D3017" s="49" t="s">
        <v>1264</v>
      </c>
      <c r="E3017" s="49" t="s">
        <v>2814</v>
      </c>
      <c r="F3017" s="49" t="s">
        <v>2825</v>
      </c>
      <c r="G3017" s="49" t="s">
        <v>2776</v>
      </c>
      <c r="H3017" s="49" t="s">
        <v>2827</v>
      </c>
      <c r="I3017" s="50">
        <v>42094</v>
      </c>
      <c r="M3017" s="49" t="s">
        <v>10508</v>
      </c>
    </row>
    <row r="3018" spans="1:13" x14ac:dyDescent="0.35">
      <c r="A3018" s="49" t="s">
        <v>14749</v>
      </c>
      <c r="B3018" s="49" t="s">
        <v>8767</v>
      </c>
      <c r="C3018" s="49" t="s">
        <v>8768</v>
      </c>
      <c r="D3018" s="49" t="s">
        <v>1264</v>
      </c>
      <c r="E3018" s="49" t="s">
        <v>2785</v>
      </c>
      <c r="F3018" s="49" t="s">
        <v>2792</v>
      </c>
      <c r="G3018" s="49" t="s">
        <v>2787</v>
      </c>
      <c r="H3018" s="49" t="s">
        <v>980</v>
      </c>
      <c r="I3018" s="50">
        <v>41239</v>
      </c>
      <c r="J3018" s="50">
        <v>41242</v>
      </c>
      <c r="K3018" s="50">
        <v>41423</v>
      </c>
      <c r="M3018" s="49" t="s">
        <v>8770</v>
      </c>
    </row>
    <row r="3019" spans="1:13" x14ac:dyDescent="0.35">
      <c r="A3019" s="49" t="s">
        <v>1016</v>
      </c>
      <c r="B3019" s="49" t="s">
        <v>7677</v>
      </c>
      <c r="C3019" s="49" t="s">
        <v>3962</v>
      </c>
      <c r="D3019" s="49" t="s">
        <v>1264</v>
      </c>
      <c r="E3019" s="49" t="s">
        <v>2785</v>
      </c>
      <c r="F3019" s="49" t="s">
        <v>2792</v>
      </c>
      <c r="G3019" s="49" t="s">
        <v>2787</v>
      </c>
      <c r="H3019" s="49" t="s">
        <v>980</v>
      </c>
      <c r="I3019" s="50">
        <v>42606</v>
      </c>
      <c r="J3019" s="50">
        <v>42641</v>
      </c>
      <c r="K3019" s="50">
        <v>42821</v>
      </c>
      <c r="M3019" s="49" t="s">
        <v>7679</v>
      </c>
    </row>
    <row r="3020" spans="1:13" x14ac:dyDescent="0.35">
      <c r="A3020" s="49" t="s">
        <v>1016</v>
      </c>
      <c r="B3020" s="49" t="s">
        <v>8796</v>
      </c>
      <c r="C3020" s="49" t="s">
        <v>5778</v>
      </c>
      <c r="D3020" s="49" t="s">
        <v>1264</v>
      </c>
      <c r="E3020" s="49" t="s">
        <v>2785</v>
      </c>
      <c r="F3020" s="49" t="s">
        <v>2792</v>
      </c>
      <c r="G3020" s="49" t="s">
        <v>2787</v>
      </c>
      <c r="H3020" s="49" t="s">
        <v>8</v>
      </c>
      <c r="I3020" s="50">
        <v>42556</v>
      </c>
      <c r="J3020" s="50">
        <v>42692</v>
      </c>
      <c r="K3020" s="50">
        <v>42872</v>
      </c>
      <c r="M3020" s="49" t="s">
        <v>8797</v>
      </c>
    </row>
    <row r="3021" spans="1:13" x14ac:dyDescent="0.35">
      <c r="A3021" s="49" t="s">
        <v>2840</v>
      </c>
      <c r="B3021" s="49" t="s">
        <v>2839</v>
      </c>
      <c r="C3021" s="49"/>
      <c r="D3021" s="49" t="s">
        <v>1264</v>
      </c>
      <c r="E3021" s="49" t="s">
        <v>2785</v>
      </c>
      <c r="F3021" s="49" t="s">
        <v>2792</v>
      </c>
      <c r="G3021" s="49" t="s">
        <v>2787</v>
      </c>
      <c r="H3021" s="49" t="s">
        <v>980</v>
      </c>
      <c r="I3021" s="50">
        <v>42137</v>
      </c>
      <c r="J3021" s="50">
        <v>42425</v>
      </c>
      <c r="K3021" s="50">
        <v>42606</v>
      </c>
      <c r="M3021" s="49" t="s">
        <v>2841</v>
      </c>
    </row>
    <row r="3022" spans="1:13" x14ac:dyDescent="0.35">
      <c r="A3022" s="49" t="s">
        <v>2840</v>
      </c>
      <c r="B3022" s="49" t="s">
        <v>4468</v>
      </c>
      <c r="C3022" s="49" t="s">
        <v>4469</v>
      </c>
      <c r="D3022" s="49" t="s">
        <v>1264</v>
      </c>
      <c r="E3022" s="49" t="s">
        <v>2785</v>
      </c>
      <c r="F3022" s="49" t="s">
        <v>2792</v>
      </c>
      <c r="G3022" s="49" t="s">
        <v>2787</v>
      </c>
      <c r="H3022" s="49" t="s">
        <v>8</v>
      </c>
      <c r="I3022" s="50">
        <v>44068</v>
      </c>
      <c r="J3022" s="50">
        <v>44419</v>
      </c>
      <c r="K3022" s="50">
        <v>45428</v>
      </c>
      <c r="M3022" s="49" t="s">
        <v>4471</v>
      </c>
    </row>
    <row r="3023" spans="1:13" x14ac:dyDescent="0.35">
      <c r="A3023" s="49" t="s">
        <v>2840</v>
      </c>
      <c r="B3023" s="49" t="s">
        <v>4500</v>
      </c>
      <c r="C3023" s="49" t="s">
        <v>2849</v>
      </c>
      <c r="D3023" s="49" t="s">
        <v>1264</v>
      </c>
      <c r="E3023" s="49" t="s">
        <v>2785</v>
      </c>
      <c r="F3023" s="49" t="s">
        <v>2792</v>
      </c>
      <c r="G3023" s="49" t="s">
        <v>2787</v>
      </c>
      <c r="H3023" s="49" t="s">
        <v>980</v>
      </c>
      <c r="I3023" s="50">
        <v>44369</v>
      </c>
      <c r="K3023" s="50">
        <v>45511</v>
      </c>
      <c r="M3023" s="49" t="s">
        <v>4501</v>
      </c>
    </row>
    <row r="3024" spans="1:13" x14ac:dyDescent="0.35">
      <c r="A3024" s="49" t="s">
        <v>2840</v>
      </c>
      <c r="B3024" s="49" t="s">
        <v>5235</v>
      </c>
      <c r="C3024" s="49"/>
      <c r="D3024" s="49" t="s">
        <v>1264</v>
      </c>
      <c r="E3024" s="49" t="s">
        <v>2785</v>
      </c>
      <c r="F3024" s="49" t="s">
        <v>2792</v>
      </c>
      <c r="G3024" s="49" t="s">
        <v>2787</v>
      </c>
      <c r="H3024" s="49" t="s">
        <v>980</v>
      </c>
      <c r="I3024" s="50">
        <v>44907</v>
      </c>
      <c r="J3024" s="50">
        <v>44911</v>
      </c>
      <c r="K3024" s="50">
        <v>45275</v>
      </c>
      <c r="M3024" s="49" t="s">
        <v>4464</v>
      </c>
    </row>
    <row r="3025" spans="1:13" x14ac:dyDescent="0.35">
      <c r="A3025" s="49" t="s">
        <v>2840</v>
      </c>
      <c r="B3025" s="49" t="s">
        <v>5995</v>
      </c>
      <c r="C3025" s="49" t="s">
        <v>5996</v>
      </c>
      <c r="D3025" s="49" t="s">
        <v>1264</v>
      </c>
      <c r="E3025" s="49" t="s">
        <v>2785</v>
      </c>
      <c r="F3025" s="49" t="s">
        <v>2792</v>
      </c>
      <c r="G3025" s="49" t="s">
        <v>2787</v>
      </c>
      <c r="H3025" s="49" t="s">
        <v>980</v>
      </c>
      <c r="I3025" s="50">
        <v>45208</v>
      </c>
      <c r="J3025" s="50">
        <v>45254</v>
      </c>
      <c r="K3025" s="50">
        <v>45619</v>
      </c>
      <c r="M3025" s="49" t="s">
        <v>5997</v>
      </c>
    </row>
    <row r="3026" spans="1:13" x14ac:dyDescent="0.35">
      <c r="A3026" s="49" t="s">
        <v>2840</v>
      </c>
      <c r="B3026" s="49" t="s">
        <v>6357</v>
      </c>
      <c r="C3026" s="49" t="s">
        <v>6358</v>
      </c>
      <c r="D3026" s="49" t="s">
        <v>1264</v>
      </c>
      <c r="E3026" s="49" t="s">
        <v>2785</v>
      </c>
      <c r="F3026" s="49" t="s">
        <v>2792</v>
      </c>
      <c r="G3026" s="49" t="s">
        <v>2901</v>
      </c>
      <c r="H3026" s="49" t="s">
        <v>980</v>
      </c>
      <c r="I3026" s="50">
        <v>45253</v>
      </c>
      <c r="J3026" s="50">
        <v>45342</v>
      </c>
      <c r="K3026" s="50">
        <v>45707</v>
      </c>
      <c r="M3026" s="49" t="s">
        <v>6359</v>
      </c>
    </row>
    <row r="3027" spans="1:13" x14ac:dyDescent="0.35">
      <c r="A3027" s="49" t="s">
        <v>2840</v>
      </c>
      <c r="B3027" s="49" t="s">
        <v>7096</v>
      </c>
      <c r="C3027" s="49" t="s">
        <v>4576</v>
      </c>
      <c r="D3027" s="49" t="s">
        <v>1264</v>
      </c>
      <c r="E3027" s="49" t="s">
        <v>2785</v>
      </c>
      <c r="F3027" s="49" t="s">
        <v>2792</v>
      </c>
      <c r="G3027" s="49" t="s">
        <v>2787</v>
      </c>
      <c r="H3027" s="49" t="s">
        <v>980</v>
      </c>
      <c r="I3027" s="50">
        <v>42797</v>
      </c>
      <c r="J3027" s="50">
        <v>43875</v>
      </c>
      <c r="K3027" s="50">
        <v>44240</v>
      </c>
      <c r="M3027" s="49" t="s">
        <v>7097</v>
      </c>
    </row>
    <row r="3028" spans="1:13" x14ac:dyDescent="0.35">
      <c r="A3028" s="49" t="s">
        <v>2840</v>
      </c>
      <c r="B3028" s="49" t="s">
        <v>7375</v>
      </c>
      <c r="C3028" s="49" t="s">
        <v>2795</v>
      </c>
      <c r="D3028" s="49" t="s">
        <v>1264</v>
      </c>
      <c r="E3028" s="49" t="s">
        <v>2785</v>
      </c>
      <c r="F3028" s="49" t="s">
        <v>2786</v>
      </c>
      <c r="G3028" s="49" t="s">
        <v>2787</v>
      </c>
      <c r="H3028" s="49" t="s">
        <v>8</v>
      </c>
      <c r="I3028" s="50">
        <v>43035</v>
      </c>
      <c r="J3028" s="50">
        <v>43234</v>
      </c>
      <c r="K3028" s="50">
        <v>43417</v>
      </c>
      <c r="M3028" s="49" t="s">
        <v>7376</v>
      </c>
    </row>
    <row r="3029" spans="1:13" x14ac:dyDescent="0.35">
      <c r="A3029" s="49" t="s">
        <v>2840</v>
      </c>
      <c r="B3029" s="49" t="s">
        <v>7518</v>
      </c>
      <c r="C3029" s="49" t="s">
        <v>4576</v>
      </c>
      <c r="D3029" s="49" t="s">
        <v>1264</v>
      </c>
      <c r="E3029" s="49" t="s">
        <v>2785</v>
      </c>
      <c r="F3029" s="49" t="s">
        <v>2792</v>
      </c>
      <c r="G3029" s="49" t="s">
        <v>2787</v>
      </c>
      <c r="H3029" s="49" t="s">
        <v>980</v>
      </c>
      <c r="I3029" s="50">
        <v>42930</v>
      </c>
      <c r="J3029" s="50">
        <v>43609</v>
      </c>
      <c r="K3029" s="50">
        <v>43792</v>
      </c>
      <c r="M3029" s="49" t="s">
        <v>7519</v>
      </c>
    </row>
    <row r="3030" spans="1:13" x14ac:dyDescent="0.35">
      <c r="A3030" s="49" t="s">
        <v>2840</v>
      </c>
      <c r="B3030" s="49" t="s">
        <v>7680</v>
      </c>
      <c r="C3030" s="49" t="s">
        <v>7133</v>
      </c>
      <c r="D3030" s="49" t="s">
        <v>1264</v>
      </c>
      <c r="E3030" s="49" t="s">
        <v>2785</v>
      </c>
      <c r="F3030" s="49" t="s">
        <v>2792</v>
      </c>
      <c r="G3030" s="49" t="s">
        <v>2787</v>
      </c>
      <c r="H3030" s="49" t="s">
        <v>980</v>
      </c>
      <c r="I3030" s="50">
        <v>42473</v>
      </c>
      <c r="J3030" s="50">
        <v>42641</v>
      </c>
      <c r="K3030" s="50">
        <v>42821</v>
      </c>
      <c r="M3030" s="49" t="s">
        <v>7681</v>
      </c>
    </row>
    <row r="3031" spans="1:13" x14ac:dyDescent="0.35">
      <c r="A3031" s="49" t="s">
        <v>2840</v>
      </c>
      <c r="B3031" s="49" t="s">
        <v>9338</v>
      </c>
      <c r="C3031" s="49" t="s">
        <v>2809</v>
      </c>
      <c r="D3031" s="49" t="s">
        <v>1264</v>
      </c>
      <c r="E3031" s="49" t="s">
        <v>2785</v>
      </c>
      <c r="F3031" s="49" t="s">
        <v>2792</v>
      </c>
      <c r="G3031" s="49" t="s">
        <v>2776</v>
      </c>
      <c r="H3031" s="49" t="s">
        <v>8</v>
      </c>
      <c r="I3031" s="50">
        <v>43801</v>
      </c>
      <c r="M3031" s="49" t="s">
        <v>9339</v>
      </c>
    </row>
    <row r="3032" spans="1:13" x14ac:dyDescent="0.35">
      <c r="A3032" s="49" t="s">
        <v>2840</v>
      </c>
      <c r="B3032" s="49" t="s">
        <v>9340</v>
      </c>
      <c r="C3032" s="49" t="s">
        <v>4576</v>
      </c>
      <c r="D3032" s="49" t="s">
        <v>1264</v>
      </c>
      <c r="E3032" s="49" t="s">
        <v>2785</v>
      </c>
      <c r="F3032" s="49" t="s">
        <v>2792</v>
      </c>
      <c r="G3032" s="49" t="s">
        <v>2776</v>
      </c>
      <c r="H3032" s="49" t="s">
        <v>980</v>
      </c>
      <c r="I3032" s="50">
        <v>44167</v>
      </c>
      <c r="M3032" s="49" t="s">
        <v>9341</v>
      </c>
    </row>
    <row r="3033" spans="1:13" x14ac:dyDescent="0.35">
      <c r="A3033" s="49" t="s">
        <v>2840</v>
      </c>
      <c r="B3033" s="49" t="s">
        <v>9531</v>
      </c>
      <c r="C3033" s="49"/>
      <c r="D3033" s="49" t="s">
        <v>1264</v>
      </c>
      <c r="E3033" s="49" t="s">
        <v>2785</v>
      </c>
      <c r="F3033" s="49" t="s">
        <v>2792</v>
      </c>
      <c r="G3033" s="49" t="s">
        <v>2776</v>
      </c>
      <c r="H3033" s="49" t="s">
        <v>980</v>
      </c>
      <c r="I3033" s="50">
        <v>43273</v>
      </c>
      <c r="M3033" s="49" t="s">
        <v>9532</v>
      </c>
    </row>
    <row r="3034" spans="1:13" x14ac:dyDescent="0.35">
      <c r="A3034" s="49" t="s">
        <v>2840</v>
      </c>
      <c r="B3034" s="49" t="s">
        <v>9582</v>
      </c>
      <c r="C3034" s="49"/>
      <c r="D3034" s="49" t="s">
        <v>1264</v>
      </c>
      <c r="E3034" s="49" t="s">
        <v>2785</v>
      </c>
      <c r="F3034" s="49" t="s">
        <v>2792</v>
      </c>
      <c r="G3034" s="49" t="s">
        <v>2776</v>
      </c>
      <c r="H3034" s="49" t="s">
        <v>8</v>
      </c>
      <c r="I3034" s="50">
        <v>43297</v>
      </c>
      <c r="M3034" s="49" t="s">
        <v>8797</v>
      </c>
    </row>
    <row r="3035" spans="1:13" x14ac:dyDescent="0.35">
      <c r="A3035" s="49" t="s">
        <v>2840</v>
      </c>
      <c r="B3035" s="49" t="s">
        <v>13148</v>
      </c>
      <c r="C3035" s="49"/>
      <c r="D3035" s="49" t="s">
        <v>1264</v>
      </c>
      <c r="E3035" s="49" t="s">
        <v>2785</v>
      </c>
      <c r="F3035" s="49" t="s">
        <v>2792</v>
      </c>
      <c r="G3035" s="49" t="s">
        <v>4891</v>
      </c>
      <c r="H3035" s="49" t="s">
        <v>980</v>
      </c>
      <c r="I3035" s="52">
        <v>46064.5055208333</v>
      </c>
      <c r="M3035" s="49" t="s">
        <v>13149</v>
      </c>
    </row>
    <row r="3036" spans="1:13" x14ac:dyDescent="0.35">
      <c r="A3036" s="49" t="s">
        <v>2840</v>
      </c>
      <c r="B3036" s="49" t="s">
        <v>13115</v>
      </c>
      <c r="C3036" s="49"/>
      <c r="D3036" s="49" t="s">
        <v>1264</v>
      </c>
      <c r="E3036" s="49" t="s">
        <v>2785</v>
      </c>
      <c r="F3036" s="49" t="s">
        <v>2792</v>
      </c>
      <c r="G3036" s="49" t="s">
        <v>4891</v>
      </c>
      <c r="H3036" s="49" t="s">
        <v>980</v>
      </c>
      <c r="I3036" s="52">
        <v>46044.491099537001</v>
      </c>
      <c r="M3036" s="49" t="s">
        <v>13117</v>
      </c>
    </row>
    <row r="3037" spans="1:13" x14ac:dyDescent="0.35">
      <c r="A3037" s="49" t="s">
        <v>2840</v>
      </c>
      <c r="B3037" s="49" t="s">
        <v>13388</v>
      </c>
      <c r="C3037" s="49"/>
      <c r="D3037" s="49" t="s">
        <v>1264</v>
      </c>
      <c r="E3037" s="49" t="s">
        <v>2785</v>
      </c>
      <c r="F3037" s="49" t="s">
        <v>2786</v>
      </c>
      <c r="G3037" s="49" t="s">
        <v>4891</v>
      </c>
      <c r="H3037" s="49" t="s">
        <v>980</v>
      </c>
      <c r="I3037" s="52">
        <v>46115.467557870397</v>
      </c>
      <c r="M3037" s="49" t="s">
        <v>13389</v>
      </c>
    </row>
    <row r="3038" spans="1:13" x14ac:dyDescent="0.35">
      <c r="A3038" s="49" t="s">
        <v>2840</v>
      </c>
      <c r="B3038" s="49" t="s">
        <v>13493</v>
      </c>
      <c r="C3038" s="49" t="s">
        <v>11133</v>
      </c>
      <c r="D3038" s="49" t="s">
        <v>1264</v>
      </c>
      <c r="E3038" s="49" t="s">
        <v>2785</v>
      </c>
      <c r="F3038" s="49" t="s">
        <v>2792</v>
      </c>
      <c r="G3038" s="49" t="s">
        <v>4891</v>
      </c>
      <c r="H3038" s="49" t="s">
        <v>980</v>
      </c>
      <c r="I3038" s="52">
        <v>46146.485983796301</v>
      </c>
      <c r="M3038" s="49" t="s">
        <v>13494</v>
      </c>
    </row>
    <row r="3039" spans="1:13" x14ac:dyDescent="0.35">
      <c r="A3039" s="49" t="s">
        <v>1103</v>
      </c>
      <c r="B3039" s="49" t="s">
        <v>5998</v>
      </c>
      <c r="C3039" s="49" t="s">
        <v>5800</v>
      </c>
      <c r="D3039" s="49" t="s">
        <v>1264</v>
      </c>
      <c r="E3039" s="49" t="s">
        <v>2785</v>
      </c>
      <c r="F3039" s="49" t="s">
        <v>2786</v>
      </c>
      <c r="G3039" s="49" t="s">
        <v>4330</v>
      </c>
      <c r="H3039" s="49" t="s">
        <v>980</v>
      </c>
      <c r="I3039" s="50">
        <v>45253</v>
      </c>
      <c r="M3039" s="49" t="s">
        <v>6000</v>
      </c>
    </row>
    <row r="3040" spans="1:13" x14ac:dyDescent="0.35">
      <c r="A3040" s="49" t="s">
        <v>1103</v>
      </c>
      <c r="B3040" s="49" t="s">
        <v>6426</v>
      </c>
      <c r="C3040" s="49" t="s">
        <v>6427</v>
      </c>
      <c r="D3040" s="49" t="s">
        <v>1264</v>
      </c>
      <c r="E3040" s="49" t="s">
        <v>2785</v>
      </c>
      <c r="F3040" s="49" t="s">
        <v>2792</v>
      </c>
      <c r="G3040" s="49" t="s">
        <v>2901</v>
      </c>
      <c r="H3040" s="49" t="s">
        <v>980</v>
      </c>
      <c r="I3040" s="50">
        <v>45336</v>
      </c>
      <c r="J3040" s="50">
        <v>45356</v>
      </c>
      <c r="K3040" s="50">
        <v>45720</v>
      </c>
      <c r="M3040" s="49" t="s">
        <v>6428</v>
      </c>
    </row>
    <row r="3041" spans="1:13" x14ac:dyDescent="0.35">
      <c r="A3041" s="49" t="s">
        <v>1103</v>
      </c>
      <c r="B3041" s="49" t="s">
        <v>9487</v>
      </c>
      <c r="C3041" s="49"/>
      <c r="D3041" s="49" t="s">
        <v>1264</v>
      </c>
      <c r="E3041" s="49" t="s">
        <v>2785</v>
      </c>
      <c r="F3041" s="49" t="s">
        <v>2792</v>
      </c>
      <c r="G3041" s="49" t="s">
        <v>2776</v>
      </c>
      <c r="H3041" s="49" t="s">
        <v>980</v>
      </c>
      <c r="I3041" s="50">
        <v>44001</v>
      </c>
      <c r="M3041" s="49" t="s">
        <v>9488</v>
      </c>
    </row>
    <row r="3042" spans="1:13" x14ac:dyDescent="0.35">
      <c r="A3042" s="49" t="s">
        <v>15464</v>
      </c>
      <c r="B3042" s="49" t="s">
        <v>3498</v>
      </c>
      <c r="C3042" s="49" t="s">
        <v>3499</v>
      </c>
      <c r="D3042" s="49" t="s">
        <v>1264</v>
      </c>
      <c r="E3042" s="49" t="s">
        <v>2986</v>
      </c>
      <c r="F3042" s="49" t="s">
        <v>2825</v>
      </c>
      <c r="G3042" s="49" t="s">
        <v>2787</v>
      </c>
      <c r="H3042" s="49" t="s">
        <v>2827</v>
      </c>
      <c r="I3042" s="50">
        <v>42486</v>
      </c>
      <c r="J3042" s="50">
        <v>42662</v>
      </c>
      <c r="K3042" s="50">
        <v>44066</v>
      </c>
      <c r="M3042" s="49" t="s">
        <v>3501</v>
      </c>
    </row>
    <row r="3043" spans="1:13" x14ac:dyDescent="0.35">
      <c r="A3043" s="49" t="s">
        <v>14676</v>
      </c>
      <c r="B3043" s="49" t="s">
        <v>13720</v>
      </c>
      <c r="C3043" s="49" t="s">
        <v>9885</v>
      </c>
      <c r="D3043" s="49" t="s">
        <v>1264</v>
      </c>
      <c r="E3043" s="49" t="s">
        <v>2986</v>
      </c>
      <c r="F3043" s="49" t="s">
        <v>2825</v>
      </c>
      <c r="G3043" s="49" t="s">
        <v>2776</v>
      </c>
      <c r="H3043" s="49" t="s">
        <v>2827</v>
      </c>
      <c r="I3043" s="50">
        <v>43236</v>
      </c>
      <c r="M3043" s="49" t="s">
        <v>8222</v>
      </c>
    </row>
    <row r="3044" spans="1:13" x14ac:dyDescent="0.35">
      <c r="A3044" s="49" t="s">
        <v>15465</v>
      </c>
      <c r="B3044" s="49" t="s">
        <v>8439</v>
      </c>
      <c r="C3044" s="49" t="s">
        <v>8440</v>
      </c>
      <c r="D3044" s="49" t="s">
        <v>1264</v>
      </c>
      <c r="E3044" s="49" t="s">
        <v>2774</v>
      </c>
      <c r="F3044" s="49" t="s">
        <v>3005</v>
      </c>
      <c r="G3044" s="49" t="s">
        <v>2787</v>
      </c>
      <c r="H3044" s="49" t="s">
        <v>980</v>
      </c>
      <c r="I3044" s="50">
        <v>40486</v>
      </c>
      <c r="J3044" s="50">
        <v>40542</v>
      </c>
      <c r="K3044" s="50">
        <v>42732</v>
      </c>
      <c r="M3044" s="49" t="s">
        <v>8442</v>
      </c>
    </row>
    <row r="3045" spans="1:13" x14ac:dyDescent="0.35">
      <c r="A3045" s="49" t="s">
        <v>15465</v>
      </c>
      <c r="B3045" s="49" t="s">
        <v>10115</v>
      </c>
      <c r="C3045" s="49"/>
      <c r="D3045" s="49" t="s">
        <v>1264</v>
      </c>
      <c r="E3045" s="49" t="s">
        <v>2814</v>
      </c>
      <c r="F3045" s="49" t="s">
        <v>2780</v>
      </c>
      <c r="G3045" s="49" t="s">
        <v>2826</v>
      </c>
      <c r="H3045" s="49" t="s">
        <v>980</v>
      </c>
      <c r="I3045" s="50">
        <v>41417</v>
      </c>
      <c r="M3045" s="49" t="s">
        <v>10116</v>
      </c>
    </row>
    <row r="3046" spans="1:13" x14ac:dyDescent="0.35">
      <c r="A3046" s="49" t="s">
        <v>15466</v>
      </c>
      <c r="B3046" s="49" t="s">
        <v>12504</v>
      </c>
      <c r="C3046" s="49" t="s">
        <v>12505</v>
      </c>
      <c r="D3046" s="49" t="s">
        <v>1264</v>
      </c>
      <c r="E3046" s="49" t="s">
        <v>2785</v>
      </c>
      <c r="F3046" s="49" t="s">
        <v>2792</v>
      </c>
      <c r="G3046" s="49" t="s">
        <v>4891</v>
      </c>
      <c r="H3046" s="49" t="s">
        <v>980</v>
      </c>
      <c r="I3046" s="50">
        <v>45419</v>
      </c>
      <c r="M3046" s="49" t="s">
        <v>12507</v>
      </c>
    </row>
    <row r="3047" spans="1:13" x14ac:dyDescent="0.35">
      <c r="A3047" s="49" t="s">
        <v>14061</v>
      </c>
      <c r="B3047" s="49" t="s">
        <v>2798</v>
      </c>
      <c r="C3047" s="49" t="s">
        <v>2799</v>
      </c>
      <c r="D3047" s="49" t="s">
        <v>1264</v>
      </c>
      <c r="E3047" s="49" t="s">
        <v>2785</v>
      </c>
      <c r="F3047" s="49" t="s">
        <v>2792</v>
      </c>
      <c r="G3047" s="49" t="s">
        <v>2787</v>
      </c>
      <c r="H3047" s="49" t="s">
        <v>980</v>
      </c>
      <c r="I3047" s="50">
        <v>43678</v>
      </c>
      <c r="J3047" s="50">
        <v>43864</v>
      </c>
      <c r="K3047" s="50">
        <v>44229</v>
      </c>
      <c r="M3047" s="49" t="s">
        <v>2801</v>
      </c>
    </row>
    <row r="3048" spans="1:13" x14ac:dyDescent="0.35">
      <c r="A3048" s="49" t="s">
        <v>14061</v>
      </c>
      <c r="B3048" s="49" t="s">
        <v>4519</v>
      </c>
      <c r="C3048" s="49"/>
      <c r="D3048" s="49" t="s">
        <v>1264</v>
      </c>
      <c r="E3048" s="49" t="s">
        <v>2785</v>
      </c>
      <c r="F3048" s="49" t="s">
        <v>2792</v>
      </c>
      <c r="G3048" s="49" t="s">
        <v>2787</v>
      </c>
      <c r="H3048" s="49" t="s">
        <v>980</v>
      </c>
      <c r="I3048" s="50">
        <v>44242</v>
      </c>
      <c r="K3048" s="50">
        <v>45510</v>
      </c>
      <c r="M3048" s="49" t="s">
        <v>4520</v>
      </c>
    </row>
    <row r="3049" spans="1:13" x14ac:dyDescent="0.35">
      <c r="A3049" s="49" t="s">
        <v>593</v>
      </c>
      <c r="B3049" s="49" t="s">
        <v>11958</v>
      </c>
      <c r="C3049" s="49" t="s">
        <v>8383</v>
      </c>
      <c r="D3049" s="49" t="s">
        <v>1264</v>
      </c>
      <c r="E3049" s="49" t="s">
        <v>2774</v>
      </c>
      <c r="F3049" s="49" t="s">
        <v>2825</v>
      </c>
      <c r="G3049" s="49" t="s">
        <v>4891</v>
      </c>
      <c r="H3049" s="49" t="s">
        <v>2827</v>
      </c>
      <c r="I3049" s="50">
        <v>45307</v>
      </c>
      <c r="M3049" s="49" t="s">
        <v>11960</v>
      </c>
    </row>
    <row r="3050" spans="1:13" x14ac:dyDescent="0.35">
      <c r="A3050" s="49" t="s">
        <v>15558</v>
      </c>
      <c r="B3050" s="49" t="s">
        <v>3968</v>
      </c>
      <c r="C3050" s="49" t="s">
        <v>3969</v>
      </c>
      <c r="D3050" s="49" t="s">
        <v>1264</v>
      </c>
      <c r="E3050" s="49" t="s">
        <v>2774</v>
      </c>
      <c r="F3050" s="49" t="s">
        <v>2825</v>
      </c>
      <c r="G3050" s="49" t="s">
        <v>2921</v>
      </c>
      <c r="H3050" s="49" t="s">
        <v>2827</v>
      </c>
      <c r="I3050" s="50">
        <v>43832</v>
      </c>
      <c r="J3050" s="50">
        <v>44028</v>
      </c>
      <c r="K3050" s="50">
        <v>45488</v>
      </c>
      <c r="M3050" s="49" t="s">
        <v>3971</v>
      </c>
    </row>
    <row r="3051" spans="1:13" x14ac:dyDescent="0.35">
      <c r="A3051" s="49" t="s">
        <v>15558</v>
      </c>
      <c r="B3051" s="49" t="s">
        <v>5389</v>
      </c>
      <c r="C3051" s="49" t="s">
        <v>5390</v>
      </c>
      <c r="D3051" s="49" t="s">
        <v>1264</v>
      </c>
      <c r="E3051" s="49" t="s">
        <v>2986</v>
      </c>
      <c r="F3051" s="49" t="s">
        <v>2825</v>
      </c>
      <c r="G3051" s="49" t="s">
        <v>2901</v>
      </c>
      <c r="H3051" s="49" t="s">
        <v>2827</v>
      </c>
      <c r="I3051" s="50">
        <v>44938</v>
      </c>
      <c r="J3051" s="50">
        <v>44991</v>
      </c>
      <c r="K3051" s="50">
        <v>46086</v>
      </c>
      <c r="M3051" s="49" t="s">
        <v>5391</v>
      </c>
    </row>
    <row r="3052" spans="1:13" x14ac:dyDescent="0.35">
      <c r="A3052" s="49" t="s">
        <v>15558</v>
      </c>
      <c r="B3052" s="49" t="s">
        <v>5392</v>
      </c>
      <c r="C3052" s="49" t="s">
        <v>5393</v>
      </c>
      <c r="D3052" s="49" t="s">
        <v>1264</v>
      </c>
      <c r="E3052" s="49" t="s">
        <v>2986</v>
      </c>
      <c r="F3052" s="49" t="s">
        <v>2825</v>
      </c>
      <c r="G3052" s="49" t="s">
        <v>2901</v>
      </c>
      <c r="H3052" s="49" t="s">
        <v>2827</v>
      </c>
      <c r="I3052" s="50">
        <v>44911</v>
      </c>
      <c r="J3052" s="50">
        <v>44991</v>
      </c>
      <c r="K3052" s="50">
        <v>46086</v>
      </c>
      <c r="M3052" s="49" t="s">
        <v>5394</v>
      </c>
    </row>
    <row r="3053" spans="1:13" x14ac:dyDescent="0.35">
      <c r="A3053" s="49" t="s">
        <v>15558</v>
      </c>
      <c r="B3053" s="49" t="s">
        <v>10544</v>
      </c>
      <c r="C3053" s="49"/>
      <c r="D3053" s="49" t="s">
        <v>1264</v>
      </c>
      <c r="E3053" s="49" t="s">
        <v>2814</v>
      </c>
      <c r="F3053" s="49" t="s">
        <v>2825</v>
      </c>
      <c r="G3053" s="49" t="s">
        <v>2776</v>
      </c>
      <c r="H3053" s="49" t="s">
        <v>2827</v>
      </c>
      <c r="I3053" s="50">
        <v>43549</v>
      </c>
      <c r="M3053" s="49" t="s">
        <v>10545</v>
      </c>
    </row>
    <row r="3054" spans="1:13" x14ac:dyDescent="0.35">
      <c r="A3054" s="49" t="s">
        <v>15558</v>
      </c>
      <c r="B3054" s="49" t="s">
        <v>11217</v>
      </c>
      <c r="C3054" s="49" t="s">
        <v>11218</v>
      </c>
      <c r="D3054" s="49" t="s">
        <v>1264</v>
      </c>
      <c r="E3054" s="49" t="s">
        <v>2986</v>
      </c>
      <c r="F3054" s="49" t="s">
        <v>2825</v>
      </c>
      <c r="G3054" s="49" t="s">
        <v>4891</v>
      </c>
      <c r="H3054" s="49" t="s">
        <v>2827</v>
      </c>
      <c r="I3054" s="50">
        <v>44915</v>
      </c>
      <c r="M3054" s="49" t="s">
        <v>11219</v>
      </c>
    </row>
    <row r="3055" spans="1:13" x14ac:dyDescent="0.35">
      <c r="A3055" s="49" t="s">
        <v>15558</v>
      </c>
      <c r="B3055" s="49" t="s">
        <v>12050</v>
      </c>
      <c r="C3055" s="49" t="s">
        <v>12051</v>
      </c>
      <c r="D3055" s="49" t="s">
        <v>1264</v>
      </c>
      <c r="E3055" s="49" t="s">
        <v>2986</v>
      </c>
      <c r="F3055" s="49" t="s">
        <v>2825</v>
      </c>
      <c r="G3055" s="49" t="s">
        <v>4891</v>
      </c>
      <c r="H3055" s="49" t="s">
        <v>2827</v>
      </c>
      <c r="I3055" s="50">
        <v>45302</v>
      </c>
      <c r="M3055" s="49" t="s">
        <v>12052</v>
      </c>
    </row>
    <row r="3056" spans="1:13" x14ac:dyDescent="0.35">
      <c r="A3056" s="49" t="s">
        <v>15558</v>
      </c>
      <c r="B3056" s="49" t="s">
        <v>12120</v>
      </c>
      <c r="C3056" s="49" t="s">
        <v>12121</v>
      </c>
      <c r="D3056" s="49" t="s">
        <v>1264</v>
      </c>
      <c r="E3056" s="49" t="s">
        <v>2986</v>
      </c>
      <c r="F3056" s="49" t="s">
        <v>2825</v>
      </c>
      <c r="G3056" s="49" t="s">
        <v>4891</v>
      </c>
      <c r="H3056" s="49" t="s">
        <v>2827</v>
      </c>
      <c r="I3056" s="50">
        <v>45302</v>
      </c>
      <c r="M3056" s="49" t="s">
        <v>12122</v>
      </c>
    </row>
    <row r="3057" spans="1:13" x14ac:dyDescent="0.35">
      <c r="A3057" s="49" t="s">
        <v>15467</v>
      </c>
      <c r="B3057" s="49" t="s">
        <v>8975</v>
      </c>
      <c r="C3057" s="49" t="s">
        <v>8976</v>
      </c>
      <c r="D3057" s="49" t="s">
        <v>1264</v>
      </c>
      <c r="E3057" s="49" t="s">
        <v>2814</v>
      </c>
      <c r="F3057" s="49" t="s">
        <v>2825</v>
      </c>
      <c r="G3057" s="49" t="s">
        <v>2776</v>
      </c>
      <c r="H3057" s="49" t="s">
        <v>2827</v>
      </c>
      <c r="I3057" s="50">
        <v>42167</v>
      </c>
      <c r="J3057" s="50">
        <v>42199</v>
      </c>
      <c r="K3057" s="50">
        <v>42382</v>
      </c>
      <c r="M3057" s="49" t="s">
        <v>3470</v>
      </c>
    </row>
    <row r="3058" spans="1:13" x14ac:dyDescent="0.35">
      <c r="A3058" s="49" t="s">
        <v>15212</v>
      </c>
      <c r="B3058" s="49" t="s">
        <v>13163</v>
      </c>
      <c r="C3058" s="49"/>
      <c r="D3058" s="49" t="s">
        <v>1264</v>
      </c>
      <c r="E3058" s="49" t="s">
        <v>2785</v>
      </c>
      <c r="F3058" s="49" t="s">
        <v>2792</v>
      </c>
      <c r="G3058" s="49" t="s">
        <v>4891</v>
      </c>
      <c r="H3058" s="49" t="s">
        <v>980</v>
      </c>
      <c r="I3058" s="52">
        <v>46064.607384259303</v>
      </c>
      <c r="M3058" s="49" t="s">
        <v>13165</v>
      </c>
    </row>
    <row r="3059" spans="1:13" x14ac:dyDescent="0.35">
      <c r="A3059" s="49" t="s">
        <v>14187</v>
      </c>
      <c r="B3059" s="49" t="s">
        <v>4462</v>
      </c>
      <c r="C3059" s="49" t="s">
        <v>2849</v>
      </c>
      <c r="D3059" s="49" t="s">
        <v>1264</v>
      </c>
      <c r="E3059" s="49" t="s">
        <v>2785</v>
      </c>
      <c r="F3059" s="49" t="s">
        <v>2792</v>
      </c>
      <c r="G3059" s="49" t="s">
        <v>2787</v>
      </c>
      <c r="H3059" s="49" t="s">
        <v>980</v>
      </c>
      <c r="I3059" s="50">
        <v>44081</v>
      </c>
      <c r="J3059" s="50">
        <v>44418</v>
      </c>
      <c r="K3059" s="50">
        <v>44782</v>
      </c>
      <c r="M3059" s="49" t="s">
        <v>4464</v>
      </c>
    </row>
    <row r="3060" spans="1:13" x14ac:dyDescent="0.35">
      <c r="A3060" s="49" t="s">
        <v>14187</v>
      </c>
      <c r="B3060" s="49" t="s">
        <v>9564</v>
      </c>
      <c r="C3060" s="49"/>
      <c r="D3060" s="49" t="s">
        <v>1264</v>
      </c>
      <c r="E3060" s="49" t="s">
        <v>2785</v>
      </c>
      <c r="F3060" s="49" t="s">
        <v>2792</v>
      </c>
      <c r="G3060" s="49" t="s">
        <v>2776</v>
      </c>
      <c r="H3060" s="49" t="s">
        <v>980</v>
      </c>
      <c r="I3060" s="50">
        <v>43825</v>
      </c>
      <c r="M3060" s="49" t="s">
        <v>4437</v>
      </c>
    </row>
    <row r="3061" spans="1:13" x14ac:dyDescent="0.35">
      <c r="A3061" s="49" t="s">
        <v>14626</v>
      </c>
      <c r="B3061" s="49" t="s">
        <v>12293</v>
      </c>
      <c r="C3061" s="49" t="s">
        <v>4555</v>
      </c>
      <c r="D3061" s="49" t="s">
        <v>1264</v>
      </c>
      <c r="E3061" s="49" t="s">
        <v>2908</v>
      </c>
      <c r="F3061" s="49" t="s">
        <v>2837</v>
      </c>
      <c r="G3061" s="49" t="s">
        <v>4891</v>
      </c>
      <c r="H3061" s="49" t="s">
        <v>980</v>
      </c>
      <c r="I3061" s="50">
        <v>45366</v>
      </c>
      <c r="M3061" s="49" t="s">
        <v>12295</v>
      </c>
    </row>
    <row r="3062" spans="1:13" x14ac:dyDescent="0.35">
      <c r="A3062" s="49" t="s">
        <v>14626</v>
      </c>
      <c r="B3062" s="49" t="s">
        <v>12512</v>
      </c>
      <c r="C3062" s="49"/>
      <c r="D3062" s="49" t="s">
        <v>1264</v>
      </c>
      <c r="E3062" s="49" t="s">
        <v>2986</v>
      </c>
      <c r="F3062" s="49" t="s">
        <v>2825</v>
      </c>
      <c r="G3062" s="49" t="s">
        <v>4891</v>
      </c>
      <c r="H3062" s="49" t="s">
        <v>973</v>
      </c>
      <c r="I3062" s="50">
        <v>45414</v>
      </c>
      <c r="M3062" s="49" t="s">
        <v>12513</v>
      </c>
    </row>
    <row r="3063" spans="1:13" x14ac:dyDescent="0.35">
      <c r="A3063" s="49" t="s">
        <v>14763</v>
      </c>
      <c r="B3063" s="49" t="s">
        <v>9829</v>
      </c>
      <c r="C3063" s="49" t="s">
        <v>4269</v>
      </c>
      <c r="D3063" s="49" t="s">
        <v>1264</v>
      </c>
      <c r="E3063" s="49" t="s">
        <v>2785</v>
      </c>
      <c r="F3063" s="49" t="s">
        <v>2786</v>
      </c>
      <c r="G3063" s="49" t="s">
        <v>2776</v>
      </c>
      <c r="H3063" s="49" t="s">
        <v>8</v>
      </c>
      <c r="I3063" s="50">
        <v>42380</v>
      </c>
      <c r="M3063" s="49" t="s">
        <v>3477</v>
      </c>
    </row>
    <row r="3064" spans="1:13" x14ac:dyDescent="0.35">
      <c r="A3064" s="49" t="s">
        <v>15078</v>
      </c>
      <c r="B3064" s="49" t="s">
        <v>5619</v>
      </c>
      <c r="C3064" s="49" t="s">
        <v>5620</v>
      </c>
      <c r="D3064" s="49" t="s">
        <v>1264</v>
      </c>
      <c r="E3064" s="49" t="s">
        <v>2785</v>
      </c>
      <c r="F3064" s="49" t="s">
        <v>2792</v>
      </c>
      <c r="G3064" s="49" t="s">
        <v>2787</v>
      </c>
      <c r="H3064" s="49" t="s">
        <v>835</v>
      </c>
      <c r="I3064" s="50">
        <v>44978</v>
      </c>
      <c r="J3064" s="50">
        <v>45093</v>
      </c>
      <c r="K3064" s="50">
        <v>45458</v>
      </c>
      <c r="M3064" s="49" t="s">
        <v>5622</v>
      </c>
    </row>
    <row r="3065" spans="1:13" x14ac:dyDescent="0.35">
      <c r="A3065" s="49" t="s">
        <v>15078</v>
      </c>
      <c r="B3065" s="49" t="s">
        <v>6654</v>
      </c>
      <c r="C3065" s="49" t="s">
        <v>6655</v>
      </c>
      <c r="D3065" s="49" t="s">
        <v>1264</v>
      </c>
      <c r="E3065" s="49" t="s">
        <v>2785</v>
      </c>
      <c r="F3065" s="49" t="s">
        <v>2792</v>
      </c>
      <c r="G3065" s="49" t="s">
        <v>2787</v>
      </c>
      <c r="H3065" s="49" t="s">
        <v>835</v>
      </c>
      <c r="I3065" s="50">
        <v>44962</v>
      </c>
      <c r="J3065" s="50">
        <v>45093</v>
      </c>
      <c r="K3065" s="50">
        <v>45458</v>
      </c>
      <c r="M3065" s="49" t="s">
        <v>6656</v>
      </c>
    </row>
    <row r="3066" spans="1:13" x14ac:dyDescent="0.35">
      <c r="A3066" s="49" t="s">
        <v>14751</v>
      </c>
      <c r="B3066" s="49" t="s">
        <v>8804</v>
      </c>
      <c r="C3066" s="49" t="s">
        <v>8805</v>
      </c>
      <c r="D3066" s="49" t="s">
        <v>1264</v>
      </c>
      <c r="E3066" s="49" t="s">
        <v>2785</v>
      </c>
      <c r="F3066" s="49" t="s">
        <v>2792</v>
      </c>
      <c r="G3066" s="49" t="s">
        <v>2787</v>
      </c>
      <c r="H3066" s="49" t="s">
        <v>8</v>
      </c>
      <c r="I3066" s="50">
        <v>41397</v>
      </c>
      <c r="J3066" s="50">
        <v>41617</v>
      </c>
      <c r="K3066" s="50">
        <v>41798</v>
      </c>
      <c r="M3066" s="49" t="s">
        <v>8807</v>
      </c>
    </row>
    <row r="3067" spans="1:13" x14ac:dyDescent="0.35">
      <c r="A3067" s="49" t="s">
        <v>9802</v>
      </c>
      <c r="B3067" s="49" t="s">
        <v>9801</v>
      </c>
      <c r="C3067" s="49"/>
      <c r="D3067" s="49" t="s">
        <v>1264</v>
      </c>
      <c r="E3067" s="49" t="s">
        <v>2785</v>
      </c>
      <c r="F3067" s="49" t="s">
        <v>2792</v>
      </c>
      <c r="G3067" s="49" t="s">
        <v>2776</v>
      </c>
      <c r="H3067" s="49" t="s">
        <v>8</v>
      </c>
      <c r="I3067" s="50">
        <v>42310</v>
      </c>
      <c r="M3067" s="49" t="s">
        <v>9803</v>
      </c>
    </row>
    <row r="3068" spans="1:13" x14ac:dyDescent="0.35">
      <c r="A3068" s="49" t="s">
        <v>14630</v>
      </c>
      <c r="B3068" s="49" t="s">
        <v>12367</v>
      </c>
      <c r="C3068" s="49" t="s">
        <v>12276</v>
      </c>
      <c r="D3068" s="49" t="s">
        <v>1264</v>
      </c>
      <c r="E3068" s="49" t="s">
        <v>2908</v>
      </c>
      <c r="F3068" s="49" t="s">
        <v>2837</v>
      </c>
      <c r="G3068" s="49" t="s">
        <v>4891</v>
      </c>
      <c r="H3068" s="49" t="s">
        <v>980</v>
      </c>
      <c r="I3068" s="50">
        <v>45380</v>
      </c>
      <c r="M3068" s="49" t="s">
        <v>12369</v>
      </c>
    </row>
    <row r="3069" spans="1:13" x14ac:dyDescent="0.35">
      <c r="A3069" s="49" t="s">
        <v>14370</v>
      </c>
      <c r="B3069" s="49" t="s">
        <v>7628</v>
      </c>
      <c r="C3069" s="49" t="s">
        <v>7629</v>
      </c>
      <c r="D3069" s="49" t="s">
        <v>1264</v>
      </c>
      <c r="E3069" s="49" t="s">
        <v>2785</v>
      </c>
      <c r="F3069" s="49" t="s">
        <v>2792</v>
      </c>
      <c r="G3069" s="49" t="s">
        <v>2787</v>
      </c>
      <c r="H3069" s="49" t="s">
        <v>980</v>
      </c>
      <c r="I3069" s="50">
        <v>43511</v>
      </c>
      <c r="J3069" s="50">
        <v>43789</v>
      </c>
      <c r="K3069" s="50">
        <v>44155</v>
      </c>
      <c r="M3069" s="49" t="s">
        <v>7631</v>
      </c>
    </row>
    <row r="3070" spans="1:13" x14ac:dyDescent="0.35">
      <c r="A3070" s="49" t="s">
        <v>14974</v>
      </c>
      <c r="B3070" s="49" t="s">
        <v>7136</v>
      </c>
      <c r="C3070" s="49" t="s">
        <v>7137</v>
      </c>
      <c r="D3070" s="49" t="s">
        <v>1264</v>
      </c>
      <c r="E3070" s="49" t="s">
        <v>7057</v>
      </c>
      <c r="F3070" s="49" t="s">
        <v>2825</v>
      </c>
      <c r="G3070" s="49" t="s">
        <v>2787</v>
      </c>
      <c r="H3070" s="49" t="s">
        <v>2827</v>
      </c>
      <c r="I3070" s="50">
        <v>39873</v>
      </c>
      <c r="J3070" s="50">
        <v>40190</v>
      </c>
      <c r="K3070" s="50">
        <v>42569</v>
      </c>
      <c r="M3070" s="49" t="s">
        <v>7139</v>
      </c>
    </row>
    <row r="3071" spans="1:13" x14ac:dyDescent="0.35">
      <c r="A3071" s="49" t="s">
        <v>14975</v>
      </c>
      <c r="B3071" s="49" t="s">
        <v>7416</v>
      </c>
      <c r="C3071" s="49" t="s">
        <v>7417</v>
      </c>
      <c r="D3071" s="49" t="s">
        <v>1264</v>
      </c>
      <c r="E3071" s="49" t="s">
        <v>2785</v>
      </c>
      <c r="F3071" s="49" t="s">
        <v>2792</v>
      </c>
      <c r="G3071" s="49" t="s">
        <v>2787</v>
      </c>
      <c r="H3071" s="49" t="s">
        <v>864</v>
      </c>
      <c r="I3071" s="50">
        <v>42921</v>
      </c>
      <c r="J3071" s="50">
        <v>43605</v>
      </c>
      <c r="K3071" s="50">
        <v>43788</v>
      </c>
      <c r="M3071" s="49" t="s">
        <v>7419</v>
      </c>
    </row>
    <row r="3072" spans="1:13" x14ac:dyDescent="0.35">
      <c r="A3072" s="49" t="s">
        <v>608</v>
      </c>
      <c r="B3072" s="49" t="s">
        <v>11967</v>
      </c>
      <c r="C3072" s="49" t="s">
        <v>11968</v>
      </c>
      <c r="D3072" s="49" t="s">
        <v>1264</v>
      </c>
      <c r="E3072" s="49" t="s">
        <v>2908</v>
      </c>
      <c r="F3072" s="49" t="s">
        <v>2837</v>
      </c>
      <c r="G3072" s="49" t="s">
        <v>4891</v>
      </c>
      <c r="H3072" s="49" t="s">
        <v>973</v>
      </c>
      <c r="I3072" s="50">
        <v>45308</v>
      </c>
      <c r="M3072" s="49" t="s">
        <v>11970</v>
      </c>
    </row>
    <row r="3073" spans="1:13" x14ac:dyDescent="0.35">
      <c r="A3073" s="49" t="s">
        <v>612</v>
      </c>
      <c r="B3073" s="49" t="s">
        <v>5539</v>
      </c>
      <c r="C3073" s="49" t="s">
        <v>5540</v>
      </c>
      <c r="D3073" s="49" t="s">
        <v>1264</v>
      </c>
      <c r="E3073" s="49" t="s">
        <v>2814</v>
      </c>
      <c r="F3073" s="49" t="s">
        <v>2805</v>
      </c>
      <c r="G3073" s="49" t="s">
        <v>2787</v>
      </c>
      <c r="H3073" s="49" t="s">
        <v>2832</v>
      </c>
      <c r="I3073" s="50">
        <v>45049</v>
      </c>
      <c r="J3073" s="50">
        <v>45054</v>
      </c>
      <c r="K3073" s="50">
        <v>45237</v>
      </c>
      <c r="M3073" s="49" t="s">
        <v>5542</v>
      </c>
    </row>
    <row r="3074" spans="1:13" x14ac:dyDescent="0.35">
      <c r="A3074" s="49" t="s">
        <v>612</v>
      </c>
      <c r="B3074" s="49" t="s">
        <v>6350</v>
      </c>
      <c r="C3074" s="49" t="s">
        <v>6351</v>
      </c>
      <c r="D3074" s="49" t="s">
        <v>1264</v>
      </c>
      <c r="E3074" s="49" t="s">
        <v>2785</v>
      </c>
      <c r="F3074" s="49" t="s">
        <v>2805</v>
      </c>
      <c r="G3074" s="49" t="s">
        <v>2901</v>
      </c>
      <c r="H3074" s="49" t="s">
        <v>980</v>
      </c>
      <c r="I3074" s="50">
        <v>45259</v>
      </c>
      <c r="J3074" s="50">
        <v>45309</v>
      </c>
      <c r="K3074" s="50">
        <v>45674</v>
      </c>
      <c r="M3074" s="49" t="s">
        <v>6353</v>
      </c>
    </row>
    <row r="3075" spans="1:13" x14ac:dyDescent="0.35">
      <c r="A3075" s="49" t="s">
        <v>612</v>
      </c>
      <c r="B3075" s="49" t="s">
        <v>9319</v>
      </c>
      <c r="C3075" s="49"/>
      <c r="D3075" s="49" t="s">
        <v>1264</v>
      </c>
      <c r="E3075" s="49" t="s">
        <v>2814</v>
      </c>
      <c r="F3075" s="49" t="s">
        <v>2805</v>
      </c>
      <c r="G3075" s="49" t="s">
        <v>2776</v>
      </c>
      <c r="H3075" s="49" t="s">
        <v>980</v>
      </c>
      <c r="I3075" s="50">
        <v>43991</v>
      </c>
      <c r="M3075" s="49" t="s">
        <v>9320</v>
      </c>
    </row>
    <row r="3076" spans="1:13" x14ac:dyDescent="0.35">
      <c r="A3076" s="49" t="s">
        <v>612</v>
      </c>
      <c r="B3076" s="49" t="s">
        <v>9491</v>
      </c>
      <c r="C3076" s="49"/>
      <c r="D3076" s="49" t="s">
        <v>1264</v>
      </c>
      <c r="E3076" s="49" t="s">
        <v>2908</v>
      </c>
      <c r="F3076" s="49" t="s">
        <v>2805</v>
      </c>
      <c r="G3076" s="49" t="s">
        <v>2776</v>
      </c>
      <c r="H3076" s="49" t="s">
        <v>980</v>
      </c>
      <c r="I3076" s="50">
        <v>44032</v>
      </c>
      <c r="M3076" s="49" t="s">
        <v>9492</v>
      </c>
    </row>
    <row r="3077" spans="1:13" x14ac:dyDescent="0.35">
      <c r="A3077" s="49" t="s">
        <v>612</v>
      </c>
      <c r="B3077" s="49" t="s">
        <v>11324</v>
      </c>
      <c r="C3077" s="49"/>
      <c r="D3077" s="49" t="s">
        <v>1264</v>
      </c>
      <c r="E3077" s="49" t="s">
        <v>2814</v>
      </c>
      <c r="F3077" s="49" t="s">
        <v>2805</v>
      </c>
      <c r="G3077" s="49" t="s">
        <v>2776</v>
      </c>
      <c r="H3077" s="49" t="s">
        <v>2832</v>
      </c>
      <c r="I3077" s="50">
        <v>45022</v>
      </c>
      <c r="M3077" s="49" t="s">
        <v>11325</v>
      </c>
    </row>
    <row r="3078" spans="1:13" x14ac:dyDescent="0.35">
      <c r="A3078" s="49" t="s">
        <v>14250</v>
      </c>
      <c r="B3078" s="49" t="s">
        <v>5764</v>
      </c>
      <c r="C3078" s="49"/>
      <c r="D3078" s="49" t="s">
        <v>1264</v>
      </c>
      <c r="E3078" s="49" t="s">
        <v>2908</v>
      </c>
      <c r="F3078" s="49" t="s">
        <v>2837</v>
      </c>
      <c r="G3078" s="49" t="s">
        <v>2901</v>
      </c>
      <c r="H3078" s="49" t="s">
        <v>980</v>
      </c>
      <c r="I3078" s="50">
        <v>45061</v>
      </c>
      <c r="J3078" s="50">
        <v>45169</v>
      </c>
      <c r="K3078" s="50">
        <v>46995</v>
      </c>
      <c r="M3078" s="49" t="s">
        <v>5766</v>
      </c>
    </row>
    <row r="3079" spans="1:13" x14ac:dyDescent="0.35">
      <c r="A3079" s="49" t="s">
        <v>623</v>
      </c>
      <c r="B3079" s="49" t="s">
        <v>5029</v>
      </c>
      <c r="C3079" s="49" t="s">
        <v>3626</v>
      </c>
      <c r="D3079" s="49" t="s">
        <v>1264</v>
      </c>
      <c r="E3079" s="49" t="s">
        <v>2774</v>
      </c>
      <c r="F3079" s="49" t="s">
        <v>4842</v>
      </c>
      <c r="G3079" s="49" t="s">
        <v>2901</v>
      </c>
      <c r="H3079" s="49" t="s">
        <v>2827</v>
      </c>
      <c r="I3079" s="50">
        <v>44763</v>
      </c>
      <c r="J3079" s="50">
        <v>44956</v>
      </c>
      <c r="K3079" s="50">
        <v>46416</v>
      </c>
      <c r="M3079" s="49" t="s">
        <v>5031</v>
      </c>
    </row>
    <row r="3080" spans="1:13" x14ac:dyDescent="0.35">
      <c r="A3080" s="49" t="s">
        <v>15670</v>
      </c>
      <c r="B3080" s="49" t="s">
        <v>12182</v>
      </c>
      <c r="C3080" s="49" t="s">
        <v>12183</v>
      </c>
      <c r="D3080" s="49" t="s">
        <v>1264</v>
      </c>
      <c r="E3080" s="49" t="s">
        <v>2986</v>
      </c>
      <c r="F3080" s="49" t="s">
        <v>2825</v>
      </c>
      <c r="G3080" s="49" t="s">
        <v>4891</v>
      </c>
      <c r="H3080" s="49" t="s">
        <v>2827</v>
      </c>
      <c r="I3080" s="50">
        <v>45351</v>
      </c>
      <c r="M3080" s="49" t="s">
        <v>12185</v>
      </c>
    </row>
    <row r="3081" spans="1:13" x14ac:dyDescent="0.35">
      <c r="A3081" s="49" t="s">
        <v>15670</v>
      </c>
      <c r="B3081" s="49" t="s">
        <v>12188</v>
      </c>
      <c r="C3081" s="49" t="s">
        <v>12189</v>
      </c>
      <c r="D3081" s="49" t="s">
        <v>1264</v>
      </c>
      <c r="E3081" s="49" t="s">
        <v>2986</v>
      </c>
      <c r="F3081" s="49" t="s">
        <v>2825</v>
      </c>
      <c r="G3081" s="49" t="s">
        <v>4891</v>
      </c>
      <c r="H3081" s="49" t="s">
        <v>2827</v>
      </c>
      <c r="I3081" s="50">
        <v>45352</v>
      </c>
      <c r="M3081" s="49" t="s">
        <v>12190</v>
      </c>
    </row>
    <row r="3082" spans="1:13" x14ac:dyDescent="0.35">
      <c r="A3082" s="49" t="s">
        <v>15670</v>
      </c>
      <c r="B3082" s="49" t="s">
        <v>12270</v>
      </c>
      <c r="C3082" s="49"/>
      <c r="D3082" s="49" t="s">
        <v>1264</v>
      </c>
      <c r="E3082" s="49" t="s">
        <v>2986</v>
      </c>
      <c r="F3082" s="49" t="s">
        <v>2825</v>
      </c>
      <c r="G3082" s="49" t="s">
        <v>4891</v>
      </c>
      <c r="H3082" s="49" t="s">
        <v>2827</v>
      </c>
      <c r="I3082" s="50">
        <v>45338</v>
      </c>
      <c r="M3082" s="49" t="s">
        <v>12271</v>
      </c>
    </row>
    <row r="3083" spans="1:13" x14ac:dyDescent="0.35">
      <c r="A3083" s="49" t="s">
        <v>15670</v>
      </c>
      <c r="B3083" s="49" t="s">
        <v>12354</v>
      </c>
      <c r="C3083" s="49"/>
      <c r="D3083" s="49" t="s">
        <v>1264</v>
      </c>
      <c r="E3083" s="49" t="s">
        <v>2986</v>
      </c>
      <c r="F3083" s="49" t="s">
        <v>2825</v>
      </c>
      <c r="G3083" s="49" t="s">
        <v>2776</v>
      </c>
      <c r="H3083" s="49" t="s">
        <v>2827</v>
      </c>
      <c r="I3083" s="50">
        <v>45379</v>
      </c>
      <c r="M3083" s="49" t="s">
        <v>12355</v>
      </c>
    </row>
    <row r="3084" spans="1:13" x14ac:dyDescent="0.35">
      <c r="A3084" s="49" t="s">
        <v>15670</v>
      </c>
      <c r="B3084" s="49" t="s">
        <v>12356</v>
      </c>
      <c r="C3084" s="49"/>
      <c r="D3084" s="49" t="s">
        <v>1264</v>
      </c>
      <c r="E3084" s="49" t="s">
        <v>2986</v>
      </c>
      <c r="F3084" s="49" t="s">
        <v>2825</v>
      </c>
      <c r="G3084" s="49" t="s">
        <v>2776</v>
      </c>
      <c r="H3084" s="49" t="s">
        <v>2827</v>
      </c>
      <c r="I3084" s="50">
        <v>45379</v>
      </c>
      <c r="M3084" s="49" t="s">
        <v>12357</v>
      </c>
    </row>
    <row r="3085" spans="1:13" x14ac:dyDescent="0.35">
      <c r="A3085" s="49" t="s">
        <v>15670</v>
      </c>
      <c r="B3085" s="49" t="s">
        <v>12358</v>
      </c>
      <c r="C3085" s="49"/>
      <c r="D3085" s="49" t="s">
        <v>1264</v>
      </c>
      <c r="E3085" s="49" t="s">
        <v>2986</v>
      </c>
      <c r="F3085" s="49" t="s">
        <v>2825</v>
      </c>
      <c r="G3085" s="49" t="s">
        <v>2776</v>
      </c>
      <c r="H3085" s="49" t="s">
        <v>2827</v>
      </c>
      <c r="I3085" s="50">
        <v>45379</v>
      </c>
      <c r="M3085" s="49" t="s">
        <v>12359</v>
      </c>
    </row>
    <row r="3086" spans="1:13" x14ac:dyDescent="0.35">
      <c r="A3086" s="49" t="s">
        <v>15670</v>
      </c>
      <c r="B3086" s="49" t="s">
        <v>12434</v>
      </c>
      <c r="C3086" s="49"/>
      <c r="D3086" s="49" t="s">
        <v>1264</v>
      </c>
      <c r="E3086" s="49" t="s">
        <v>2974</v>
      </c>
      <c r="F3086" s="49" t="s">
        <v>2825</v>
      </c>
      <c r="G3086" s="49" t="s">
        <v>2776</v>
      </c>
      <c r="H3086" s="49" t="s">
        <v>2827</v>
      </c>
      <c r="I3086" s="50">
        <v>45418</v>
      </c>
      <c r="M3086" s="49" t="s">
        <v>3085</v>
      </c>
    </row>
    <row r="3087" spans="1:13" x14ac:dyDescent="0.35">
      <c r="A3087" s="49" t="s">
        <v>15670</v>
      </c>
      <c r="B3087" s="49" t="s">
        <v>12435</v>
      </c>
      <c r="C3087" s="49"/>
      <c r="D3087" s="49" t="s">
        <v>1264</v>
      </c>
      <c r="E3087" s="49" t="s">
        <v>2974</v>
      </c>
      <c r="F3087" s="49" t="s">
        <v>2825</v>
      </c>
      <c r="G3087" s="49" t="s">
        <v>2776</v>
      </c>
      <c r="H3087" s="49" t="s">
        <v>2827</v>
      </c>
      <c r="I3087" s="50">
        <v>45418</v>
      </c>
      <c r="M3087" s="49" t="s">
        <v>12359</v>
      </c>
    </row>
    <row r="3088" spans="1:13" x14ac:dyDescent="0.35">
      <c r="A3088" s="49" t="s">
        <v>15670</v>
      </c>
      <c r="B3088" s="49" t="s">
        <v>12792</v>
      </c>
      <c r="C3088" s="49"/>
      <c r="D3088" s="49" t="s">
        <v>1264</v>
      </c>
      <c r="E3088" s="49" t="s">
        <v>2986</v>
      </c>
      <c r="F3088" s="49" t="s">
        <v>2825</v>
      </c>
      <c r="G3088" s="49" t="s">
        <v>4891</v>
      </c>
      <c r="H3088" s="49" t="s">
        <v>2827</v>
      </c>
      <c r="I3088" s="50">
        <v>45390</v>
      </c>
      <c r="M3088" s="49" t="s">
        <v>12794</v>
      </c>
    </row>
    <row r="3089" spans="1:13" x14ac:dyDescent="0.35">
      <c r="A3089" s="49" t="s">
        <v>2411</v>
      </c>
      <c r="B3089" s="49" t="s">
        <v>7579</v>
      </c>
      <c r="C3089" s="49" t="s">
        <v>7580</v>
      </c>
      <c r="D3089" s="49" t="s">
        <v>1264</v>
      </c>
      <c r="E3089" s="49" t="s">
        <v>2785</v>
      </c>
      <c r="F3089" s="49" t="s">
        <v>2786</v>
      </c>
      <c r="G3089" s="49" t="s">
        <v>2787</v>
      </c>
      <c r="H3089" s="49" t="s">
        <v>835</v>
      </c>
      <c r="I3089" s="50">
        <v>42906</v>
      </c>
      <c r="J3089" s="50">
        <v>43019</v>
      </c>
      <c r="K3089" s="50">
        <v>43200</v>
      </c>
      <c r="M3089" s="49" t="s">
        <v>7582</v>
      </c>
    </row>
    <row r="3090" spans="1:13" x14ac:dyDescent="0.35">
      <c r="A3090" s="49" t="s">
        <v>2411</v>
      </c>
      <c r="B3090" s="49" t="s">
        <v>9352</v>
      </c>
      <c r="C3090" s="49" t="s">
        <v>9353</v>
      </c>
      <c r="D3090" s="49" t="s">
        <v>1264</v>
      </c>
      <c r="E3090" s="49" t="s">
        <v>2785</v>
      </c>
      <c r="F3090" s="49" t="s">
        <v>2786</v>
      </c>
      <c r="G3090" s="49" t="s">
        <v>2776</v>
      </c>
      <c r="H3090" s="49" t="s">
        <v>980</v>
      </c>
      <c r="I3090" s="50">
        <v>42906</v>
      </c>
      <c r="M3090" s="49" t="s">
        <v>9354</v>
      </c>
    </row>
    <row r="3091" spans="1:13" x14ac:dyDescent="0.35">
      <c r="A3091" s="49" t="s">
        <v>2411</v>
      </c>
      <c r="B3091" s="49" t="s">
        <v>12815</v>
      </c>
      <c r="C3091" s="49"/>
      <c r="D3091" s="49" t="s">
        <v>1264</v>
      </c>
      <c r="E3091" s="49" t="s">
        <v>2785</v>
      </c>
      <c r="F3091" s="49" t="s">
        <v>2786</v>
      </c>
      <c r="G3091" s="49" t="s">
        <v>4891</v>
      </c>
      <c r="H3091" s="49" t="s">
        <v>980</v>
      </c>
      <c r="I3091" s="50">
        <v>45568</v>
      </c>
      <c r="M3091" s="49" t="s">
        <v>12816</v>
      </c>
    </row>
    <row r="3092" spans="1:13" x14ac:dyDescent="0.35">
      <c r="A3092" s="49" t="s">
        <v>14351</v>
      </c>
      <c r="B3092" s="49" t="s">
        <v>7462</v>
      </c>
      <c r="C3092" s="49" t="s">
        <v>7463</v>
      </c>
      <c r="D3092" s="49" t="s">
        <v>1264</v>
      </c>
      <c r="E3092" s="49" t="s">
        <v>7057</v>
      </c>
      <c r="F3092" s="49" t="s">
        <v>2825</v>
      </c>
      <c r="G3092" s="49" t="s">
        <v>2787</v>
      </c>
      <c r="H3092" s="49" t="s">
        <v>2827</v>
      </c>
      <c r="I3092" s="50">
        <v>40645</v>
      </c>
      <c r="J3092" s="50">
        <v>40935</v>
      </c>
      <c r="K3092" s="50">
        <v>42569</v>
      </c>
      <c r="M3092" s="49" t="s">
        <v>3100</v>
      </c>
    </row>
    <row r="3093" spans="1:13" x14ac:dyDescent="0.35">
      <c r="A3093" s="49" t="s">
        <v>14259</v>
      </c>
      <c r="B3093" s="49" t="s">
        <v>5845</v>
      </c>
      <c r="C3093" s="49"/>
      <c r="D3093" s="49" t="s">
        <v>1264</v>
      </c>
      <c r="E3093" s="49" t="s">
        <v>2785</v>
      </c>
      <c r="F3093" s="49" t="s">
        <v>2786</v>
      </c>
      <c r="G3093" s="49" t="s">
        <v>2787</v>
      </c>
      <c r="H3093" s="49" t="s">
        <v>980</v>
      </c>
      <c r="I3093" s="50">
        <v>43977</v>
      </c>
      <c r="K3093" s="50">
        <v>45510</v>
      </c>
      <c r="M3093" s="49" t="s">
        <v>5847</v>
      </c>
    </row>
    <row r="3094" spans="1:13" x14ac:dyDescent="0.35">
      <c r="A3094" s="49" t="s">
        <v>14675</v>
      </c>
      <c r="B3094" s="49" t="s">
        <v>13710</v>
      </c>
      <c r="C3094" s="49"/>
      <c r="D3094" s="49" t="s">
        <v>1264</v>
      </c>
      <c r="E3094" s="49" t="s">
        <v>2986</v>
      </c>
      <c r="F3094" s="49" t="s">
        <v>2825</v>
      </c>
      <c r="G3094" s="49" t="s">
        <v>2776</v>
      </c>
      <c r="H3094" s="49" t="s">
        <v>2827</v>
      </c>
      <c r="I3094" s="50">
        <v>43605</v>
      </c>
      <c r="M3094" s="49" t="s">
        <v>13712</v>
      </c>
    </row>
    <row r="3095" spans="1:13" x14ac:dyDescent="0.35">
      <c r="A3095" s="49" t="s">
        <v>14591</v>
      </c>
      <c r="B3095" s="49" t="s">
        <v>11066</v>
      </c>
      <c r="C3095" s="49"/>
      <c r="D3095" s="49" t="s">
        <v>1264</v>
      </c>
      <c r="E3095" s="49" t="s">
        <v>2774</v>
      </c>
      <c r="F3095" s="49" t="s">
        <v>2900</v>
      </c>
      <c r="G3095" s="49" t="s">
        <v>4891</v>
      </c>
      <c r="H3095" s="49" t="s">
        <v>835</v>
      </c>
      <c r="I3095" s="50">
        <v>44761</v>
      </c>
      <c r="M3095" s="49" t="s">
        <v>11068</v>
      </c>
    </row>
    <row r="3096" spans="1:13" x14ac:dyDescent="0.35">
      <c r="A3096" s="49" t="s">
        <v>14591</v>
      </c>
      <c r="B3096" s="49" t="s">
        <v>13809</v>
      </c>
      <c r="C3096" s="49" t="s">
        <v>13810</v>
      </c>
      <c r="D3096" s="49" t="s">
        <v>1264</v>
      </c>
      <c r="E3096" s="49" t="s">
        <v>2774</v>
      </c>
      <c r="F3096" s="49" t="s">
        <v>2900</v>
      </c>
      <c r="G3096" s="49" t="s">
        <v>2776</v>
      </c>
      <c r="H3096" s="49" t="s">
        <v>3229</v>
      </c>
      <c r="I3096" s="50">
        <v>41522</v>
      </c>
      <c r="M3096" s="49" t="s">
        <v>13811</v>
      </c>
    </row>
    <row r="3097" spans="1:13" x14ac:dyDescent="0.35">
      <c r="A3097" s="49" t="s">
        <v>14599</v>
      </c>
      <c r="B3097" s="49" t="s">
        <v>11277</v>
      </c>
      <c r="C3097" s="49"/>
      <c r="D3097" s="49" t="s">
        <v>1264</v>
      </c>
      <c r="E3097" s="49" t="s">
        <v>2986</v>
      </c>
      <c r="F3097" s="49" t="s">
        <v>2825</v>
      </c>
      <c r="G3097" s="49" t="s">
        <v>2776</v>
      </c>
      <c r="H3097" s="49" t="s">
        <v>2827</v>
      </c>
      <c r="I3097" s="50">
        <v>44988</v>
      </c>
      <c r="M3097" s="49" t="s">
        <v>11279</v>
      </c>
    </row>
    <row r="3098" spans="1:13" x14ac:dyDescent="0.35">
      <c r="A3098" s="49" t="s">
        <v>15034</v>
      </c>
      <c r="B3098" s="49" t="s">
        <v>3917</v>
      </c>
      <c r="C3098" s="49"/>
      <c r="D3098" s="49" t="s">
        <v>1264</v>
      </c>
      <c r="E3098" s="49" t="s">
        <v>2908</v>
      </c>
      <c r="F3098" s="49" t="s">
        <v>2837</v>
      </c>
      <c r="G3098" s="49" t="s">
        <v>2901</v>
      </c>
      <c r="H3098" s="49" t="s">
        <v>2827</v>
      </c>
      <c r="I3098" s="50">
        <v>43658</v>
      </c>
      <c r="J3098" s="50">
        <v>43794</v>
      </c>
      <c r="K3098" s="50">
        <v>45620</v>
      </c>
      <c r="M3098" s="49" t="s">
        <v>3919</v>
      </c>
    </row>
    <row r="3099" spans="1:13" x14ac:dyDescent="0.35">
      <c r="A3099" s="49" t="s">
        <v>14731</v>
      </c>
      <c r="B3099" s="49" t="s">
        <v>7848</v>
      </c>
      <c r="C3099" s="49" t="s">
        <v>2942</v>
      </c>
      <c r="D3099" s="49" t="s">
        <v>1264</v>
      </c>
      <c r="E3099" s="49" t="s">
        <v>2908</v>
      </c>
      <c r="F3099" s="49" t="s">
        <v>2939</v>
      </c>
      <c r="G3099" s="49" t="s">
        <v>2787</v>
      </c>
      <c r="H3099" s="49" t="s">
        <v>980</v>
      </c>
      <c r="I3099" s="50">
        <v>42016</v>
      </c>
      <c r="J3099" s="50">
        <v>42054</v>
      </c>
      <c r="K3099" s="50">
        <v>44326</v>
      </c>
      <c r="M3099" s="49" t="s">
        <v>7850</v>
      </c>
    </row>
    <row r="3100" spans="1:13" x14ac:dyDescent="0.35">
      <c r="A3100" s="49" t="s">
        <v>14271</v>
      </c>
      <c r="B3100" s="49" t="s">
        <v>6132</v>
      </c>
      <c r="C3100" s="49" t="s">
        <v>6133</v>
      </c>
      <c r="D3100" s="49" t="s">
        <v>1264</v>
      </c>
      <c r="E3100" s="49" t="s">
        <v>2785</v>
      </c>
      <c r="F3100" s="49" t="s">
        <v>2792</v>
      </c>
      <c r="G3100" s="49" t="s">
        <v>4330</v>
      </c>
      <c r="H3100" s="49" t="s">
        <v>980</v>
      </c>
      <c r="I3100" s="50">
        <v>45278</v>
      </c>
      <c r="M3100" s="49" t="s">
        <v>6135</v>
      </c>
    </row>
    <row r="3101" spans="1:13" x14ac:dyDescent="0.35">
      <c r="A3101" s="49" t="s">
        <v>14215</v>
      </c>
      <c r="B3101" s="49" t="s">
        <v>4979</v>
      </c>
      <c r="C3101" s="49"/>
      <c r="D3101" s="49" t="s">
        <v>1264</v>
      </c>
      <c r="E3101" s="49" t="s">
        <v>2814</v>
      </c>
      <c r="F3101" s="49" t="s">
        <v>2837</v>
      </c>
      <c r="G3101" s="49" t="s">
        <v>2787</v>
      </c>
      <c r="H3101" s="49" t="s">
        <v>980</v>
      </c>
      <c r="I3101" s="50">
        <v>44761</v>
      </c>
      <c r="J3101" s="50">
        <v>44876</v>
      </c>
      <c r="K3101" s="50">
        <v>45056</v>
      </c>
      <c r="M3101" s="49" t="s">
        <v>4981</v>
      </c>
    </row>
    <row r="3102" spans="1:13" x14ac:dyDescent="0.35">
      <c r="A3102" s="49" t="s">
        <v>14215</v>
      </c>
      <c r="B3102" s="49" t="s">
        <v>11270</v>
      </c>
      <c r="C3102" s="49"/>
      <c r="D3102" s="49" t="s">
        <v>1264</v>
      </c>
      <c r="E3102" s="49" t="s">
        <v>2814</v>
      </c>
      <c r="F3102" s="49" t="s">
        <v>2837</v>
      </c>
      <c r="G3102" s="49" t="s">
        <v>4891</v>
      </c>
      <c r="H3102" s="49" t="s">
        <v>980</v>
      </c>
      <c r="I3102" s="50">
        <v>44978</v>
      </c>
      <c r="M3102" s="49" t="s">
        <v>11271</v>
      </c>
    </row>
    <row r="3103" spans="1:13" x14ac:dyDescent="0.35">
      <c r="A3103" s="49" t="s">
        <v>14296</v>
      </c>
      <c r="B3103" s="49" t="s">
        <v>6581</v>
      </c>
      <c r="C3103" s="49" t="s">
        <v>3768</v>
      </c>
      <c r="D3103" s="49" t="s">
        <v>1264</v>
      </c>
      <c r="E3103" s="49" t="s">
        <v>3443</v>
      </c>
      <c r="F3103" s="49" t="s">
        <v>3124</v>
      </c>
      <c r="G3103" s="49" t="s">
        <v>4330</v>
      </c>
      <c r="H3103" s="49" t="s">
        <v>980</v>
      </c>
      <c r="I3103" s="50">
        <v>45405</v>
      </c>
    </row>
    <row r="3104" spans="1:13" x14ac:dyDescent="0.35">
      <c r="A3104" s="49" t="s">
        <v>14252</v>
      </c>
      <c r="B3104" s="49" t="s">
        <v>5772</v>
      </c>
      <c r="C3104" s="49"/>
      <c r="D3104" s="49" t="s">
        <v>1264</v>
      </c>
      <c r="E3104" s="49" t="s">
        <v>2908</v>
      </c>
      <c r="F3104" s="49" t="s">
        <v>2837</v>
      </c>
      <c r="G3104" s="49" t="s">
        <v>2975</v>
      </c>
      <c r="H3104" s="49" t="s">
        <v>980</v>
      </c>
      <c r="I3104" s="50">
        <v>45103</v>
      </c>
      <c r="K3104" s="50">
        <v>45148</v>
      </c>
      <c r="M3104" s="49" t="s">
        <v>5774</v>
      </c>
    </row>
    <row r="3105" spans="1:13" x14ac:dyDescent="0.35">
      <c r="A3105" s="49" t="s">
        <v>14229</v>
      </c>
      <c r="B3105" s="49" t="s">
        <v>5264</v>
      </c>
      <c r="C3105" s="49"/>
      <c r="D3105" s="49" t="s">
        <v>1264</v>
      </c>
      <c r="E3105" s="49" t="s">
        <v>3443</v>
      </c>
      <c r="F3105" s="49" t="s">
        <v>3124</v>
      </c>
      <c r="G3105" s="49" t="s">
        <v>2901</v>
      </c>
      <c r="H3105" s="49" t="s">
        <v>980</v>
      </c>
      <c r="I3105" s="50">
        <v>44800</v>
      </c>
      <c r="J3105" s="50">
        <v>45055</v>
      </c>
      <c r="K3105" s="50">
        <v>46881</v>
      </c>
    </row>
    <row r="3106" spans="1:13" x14ac:dyDescent="0.35">
      <c r="A3106" s="49" t="s">
        <v>14606</v>
      </c>
      <c r="B3106" s="49" t="s">
        <v>11444</v>
      </c>
      <c r="C3106" s="49"/>
      <c r="D3106" s="49" t="s">
        <v>1264</v>
      </c>
      <c r="E3106" s="49" t="s">
        <v>2908</v>
      </c>
      <c r="F3106" s="49" t="s">
        <v>2837</v>
      </c>
      <c r="G3106" s="49" t="s">
        <v>4891</v>
      </c>
      <c r="H3106" s="49" t="s">
        <v>980</v>
      </c>
      <c r="I3106" s="50">
        <v>45103</v>
      </c>
      <c r="M3106" s="49" t="s">
        <v>6392</v>
      </c>
    </row>
    <row r="3107" spans="1:13" x14ac:dyDescent="0.35">
      <c r="A3107" s="49" t="s">
        <v>14095</v>
      </c>
      <c r="B3107" s="49" t="s">
        <v>3274</v>
      </c>
      <c r="C3107" s="49" t="s">
        <v>3275</v>
      </c>
      <c r="D3107" s="49" t="s">
        <v>1264</v>
      </c>
      <c r="E3107" s="49" t="s">
        <v>2774</v>
      </c>
      <c r="F3107" s="49" t="s">
        <v>2825</v>
      </c>
      <c r="G3107" s="49" t="s">
        <v>2901</v>
      </c>
      <c r="H3107" s="49" t="s">
        <v>2827</v>
      </c>
      <c r="I3107" s="50">
        <v>41430</v>
      </c>
      <c r="J3107" s="50">
        <v>41599</v>
      </c>
      <c r="K3107" s="50">
        <v>45982</v>
      </c>
      <c r="M3107" s="49" t="s">
        <v>3277</v>
      </c>
    </row>
    <row r="3108" spans="1:13" x14ac:dyDescent="0.35">
      <c r="A3108" s="49" t="s">
        <v>14240</v>
      </c>
      <c r="B3108" s="49" t="s">
        <v>5508</v>
      </c>
      <c r="C3108" s="49" t="s">
        <v>5509</v>
      </c>
      <c r="D3108" s="49" t="s">
        <v>1264</v>
      </c>
      <c r="E3108" s="49" t="s">
        <v>2774</v>
      </c>
      <c r="F3108" s="49" t="s">
        <v>4842</v>
      </c>
      <c r="G3108" s="49" t="s">
        <v>2901</v>
      </c>
      <c r="H3108" s="49" t="s">
        <v>2827</v>
      </c>
      <c r="I3108" s="50">
        <v>45005</v>
      </c>
      <c r="J3108" s="50">
        <v>45070</v>
      </c>
      <c r="K3108" s="50">
        <v>46530</v>
      </c>
      <c r="M3108" s="49" t="s">
        <v>5511</v>
      </c>
    </row>
    <row r="3109" spans="1:13" x14ac:dyDescent="0.35">
      <c r="A3109" s="49" t="s">
        <v>14240</v>
      </c>
      <c r="B3109" s="49" t="s">
        <v>11520</v>
      </c>
      <c r="C3109" s="49" t="s">
        <v>11521</v>
      </c>
      <c r="D3109" s="49" t="s">
        <v>1264</v>
      </c>
      <c r="E3109" s="49" t="s">
        <v>2774</v>
      </c>
      <c r="F3109" s="49" t="s">
        <v>2825</v>
      </c>
      <c r="G3109" s="49" t="s">
        <v>2776</v>
      </c>
      <c r="H3109" s="49" t="s">
        <v>8</v>
      </c>
      <c r="I3109" s="50">
        <v>45166</v>
      </c>
      <c r="M3109" s="49" t="s">
        <v>11522</v>
      </c>
    </row>
    <row r="3110" spans="1:13" x14ac:dyDescent="0.35">
      <c r="A3110" s="49" t="s">
        <v>14240</v>
      </c>
      <c r="B3110" s="49" t="s">
        <v>11525</v>
      </c>
      <c r="C3110" s="49" t="s">
        <v>6881</v>
      </c>
      <c r="D3110" s="49" t="s">
        <v>1264</v>
      </c>
      <c r="E3110" s="49" t="s">
        <v>2974</v>
      </c>
      <c r="F3110" s="49" t="s">
        <v>4842</v>
      </c>
      <c r="G3110" s="49" t="s">
        <v>2826</v>
      </c>
      <c r="H3110" s="49" t="s">
        <v>2827</v>
      </c>
      <c r="I3110" s="50">
        <v>45166</v>
      </c>
      <c r="M3110" s="49" t="s">
        <v>11526</v>
      </c>
    </row>
    <row r="3111" spans="1:13" x14ac:dyDescent="0.35">
      <c r="A3111" s="49" t="s">
        <v>14240</v>
      </c>
      <c r="B3111" s="49" t="s">
        <v>11527</v>
      </c>
      <c r="C3111" s="49" t="s">
        <v>11528</v>
      </c>
      <c r="D3111" s="49" t="s">
        <v>1264</v>
      </c>
      <c r="E3111" s="49" t="s">
        <v>2974</v>
      </c>
      <c r="F3111" s="49" t="s">
        <v>4842</v>
      </c>
      <c r="G3111" s="49" t="s">
        <v>2826</v>
      </c>
      <c r="H3111" s="49" t="s">
        <v>2827</v>
      </c>
      <c r="I3111" s="50">
        <v>45166</v>
      </c>
      <c r="M3111" s="49" t="s">
        <v>11529</v>
      </c>
    </row>
    <row r="3112" spans="1:13" x14ac:dyDescent="0.35">
      <c r="A3112" s="49" t="s">
        <v>14240</v>
      </c>
      <c r="B3112" s="49" t="s">
        <v>11552</v>
      </c>
      <c r="C3112" s="49" t="s">
        <v>5606</v>
      </c>
      <c r="D3112" s="49" t="s">
        <v>1264</v>
      </c>
      <c r="E3112" s="49" t="s">
        <v>2774</v>
      </c>
      <c r="F3112" s="49" t="s">
        <v>4842</v>
      </c>
      <c r="G3112" s="49" t="s">
        <v>4891</v>
      </c>
      <c r="H3112" s="49" t="s">
        <v>8</v>
      </c>
      <c r="I3112" s="50">
        <v>45180</v>
      </c>
      <c r="M3112" s="49" t="s">
        <v>11553</v>
      </c>
    </row>
    <row r="3113" spans="1:13" x14ac:dyDescent="0.35">
      <c r="A3113" s="49" t="s">
        <v>14240</v>
      </c>
      <c r="B3113" s="49" t="s">
        <v>11623</v>
      </c>
      <c r="C3113" s="49"/>
      <c r="D3113" s="49" t="s">
        <v>1264</v>
      </c>
      <c r="E3113" s="49" t="s">
        <v>2774</v>
      </c>
      <c r="F3113" s="49" t="s">
        <v>2825</v>
      </c>
      <c r="G3113" s="49" t="s">
        <v>2776</v>
      </c>
      <c r="H3113" s="49" t="s">
        <v>973</v>
      </c>
      <c r="I3113" s="50">
        <v>45218</v>
      </c>
      <c r="M3113" s="49" t="s">
        <v>11624</v>
      </c>
    </row>
    <row r="3114" spans="1:13" x14ac:dyDescent="0.35">
      <c r="A3114" s="49" t="s">
        <v>14240</v>
      </c>
      <c r="B3114" s="49" t="s">
        <v>11848</v>
      </c>
      <c r="C3114" s="49" t="s">
        <v>11849</v>
      </c>
      <c r="D3114" s="49" t="s">
        <v>1264</v>
      </c>
      <c r="E3114" s="49" t="s">
        <v>2774</v>
      </c>
      <c r="F3114" s="49" t="s">
        <v>2825</v>
      </c>
      <c r="G3114" s="49" t="s">
        <v>4891</v>
      </c>
      <c r="H3114" s="49" t="s">
        <v>973</v>
      </c>
      <c r="I3114" s="50">
        <v>45289</v>
      </c>
      <c r="M3114" s="49" t="s">
        <v>11850</v>
      </c>
    </row>
    <row r="3115" spans="1:13" x14ac:dyDescent="0.35">
      <c r="A3115" s="49" t="s">
        <v>14068</v>
      </c>
      <c r="B3115" s="49" t="s">
        <v>2887</v>
      </c>
      <c r="C3115" s="49"/>
      <c r="D3115" s="49" t="s">
        <v>1264</v>
      </c>
      <c r="E3115" s="49" t="s">
        <v>2814</v>
      </c>
      <c r="F3115" s="49" t="s">
        <v>2825</v>
      </c>
      <c r="G3115" s="49" t="s">
        <v>2826</v>
      </c>
      <c r="H3115" s="49" t="s">
        <v>2827</v>
      </c>
      <c r="I3115" s="50">
        <v>40212</v>
      </c>
      <c r="M3115" s="49" t="s">
        <v>2889</v>
      </c>
    </row>
    <row r="3116" spans="1:13" x14ac:dyDescent="0.35">
      <c r="A3116" s="49" t="s">
        <v>14080</v>
      </c>
      <c r="B3116" s="49" t="s">
        <v>3101</v>
      </c>
      <c r="C3116" s="49" t="s">
        <v>3102</v>
      </c>
      <c r="D3116" s="49" t="s">
        <v>1264</v>
      </c>
      <c r="E3116" s="49" t="s">
        <v>2908</v>
      </c>
      <c r="F3116" s="49" t="s">
        <v>2939</v>
      </c>
      <c r="G3116" s="49" t="s">
        <v>2787</v>
      </c>
      <c r="H3116" s="49" t="s">
        <v>8</v>
      </c>
      <c r="I3116" s="50">
        <v>40063</v>
      </c>
      <c r="J3116" s="50">
        <v>40128</v>
      </c>
      <c r="K3116" s="50">
        <v>44438</v>
      </c>
      <c r="M3116" s="49" t="s">
        <v>3104</v>
      </c>
    </row>
    <row r="3117" spans="1:13" x14ac:dyDescent="0.35">
      <c r="A3117" s="49" t="s">
        <v>14080</v>
      </c>
      <c r="B3117" s="49" t="s">
        <v>14055</v>
      </c>
      <c r="C3117" s="49"/>
      <c r="D3117" s="49" t="s">
        <v>1264</v>
      </c>
      <c r="E3117" s="49" t="s">
        <v>2908</v>
      </c>
      <c r="F3117" s="49" t="s">
        <v>2939</v>
      </c>
      <c r="G3117" s="49" t="s">
        <v>2776</v>
      </c>
      <c r="H3117" s="49" t="s">
        <v>8</v>
      </c>
      <c r="I3117" s="50">
        <v>40294</v>
      </c>
      <c r="M3117" s="49" t="s">
        <v>14056</v>
      </c>
    </row>
    <row r="3118" spans="1:13" x14ac:dyDescent="0.35">
      <c r="A3118" s="49" t="s">
        <v>3549</v>
      </c>
      <c r="B3118" s="49" t="s">
        <v>3547</v>
      </c>
      <c r="C3118" s="49" t="s">
        <v>3548</v>
      </c>
      <c r="D3118" s="49" t="s">
        <v>1264</v>
      </c>
      <c r="E3118" s="49" t="s">
        <v>2908</v>
      </c>
      <c r="F3118" s="49" t="s">
        <v>3108</v>
      </c>
      <c r="G3118" s="49" t="s">
        <v>2901</v>
      </c>
      <c r="H3118" s="49" t="s">
        <v>2827</v>
      </c>
      <c r="I3118" s="50">
        <v>42741</v>
      </c>
      <c r="J3118" s="50">
        <v>43139</v>
      </c>
      <c r="K3118" s="50">
        <v>46789</v>
      </c>
      <c r="L3118" s="50">
        <v>44965</v>
      </c>
      <c r="M3118" s="49" t="s">
        <v>3550</v>
      </c>
    </row>
    <row r="3119" spans="1:13" x14ac:dyDescent="0.35">
      <c r="A3119" s="49" t="s">
        <v>14722</v>
      </c>
      <c r="B3119" s="49" t="s">
        <v>7560</v>
      </c>
      <c r="C3119" s="49" t="s">
        <v>7561</v>
      </c>
      <c r="D3119" s="49" t="s">
        <v>1264</v>
      </c>
      <c r="E3119" s="49" t="s">
        <v>2785</v>
      </c>
      <c r="F3119" s="49" t="s">
        <v>2792</v>
      </c>
      <c r="G3119" s="49" t="s">
        <v>2787</v>
      </c>
      <c r="H3119" s="49" t="s">
        <v>980</v>
      </c>
      <c r="I3119" s="50">
        <v>41435</v>
      </c>
      <c r="J3119" s="50">
        <v>42166</v>
      </c>
      <c r="K3119" s="50">
        <v>42348</v>
      </c>
      <c r="M3119" s="49" t="s">
        <v>7563</v>
      </c>
    </row>
    <row r="3120" spans="1:13" x14ac:dyDescent="0.35">
      <c r="A3120" s="49" t="s">
        <v>14104</v>
      </c>
      <c r="B3120" s="49" t="s">
        <v>3502</v>
      </c>
      <c r="C3120" s="49" t="s">
        <v>3503</v>
      </c>
      <c r="D3120" s="49" t="s">
        <v>1264</v>
      </c>
      <c r="E3120" s="49" t="s">
        <v>3443</v>
      </c>
      <c r="F3120" s="49" t="s">
        <v>3124</v>
      </c>
      <c r="G3120" s="49" t="s">
        <v>2787</v>
      </c>
      <c r="H3120" s="49" t="s">
        <v>980</v>
      </c>
      <c r="I3120" s="50">
        <v>42535</v>
      </c>
      <c r="J3120" s="50">
        <v>42877</v>
      </c>
      <c r="K3120" s="50">
        <v>44702</v>
      </c>
      <c r="M3120" s="49" t="s">
        <v>3505</v>
      </c>
    </row>
    <row r="3121" spans="1:13" x14ac:dyDescent="0.35">
      <c r="A3121" s="49" t="s">
        <v>14104</v>
      </c>
      <c r="B3121" s="49" t="s">
        <v>9645</v>
      </c>
      <c r="C3121" s="49" t="s">
        <v>3420</v>
      </c>
      <c r="D3121" s="49" t="s">
        <v>1264</v>
      </c>
      <c r="E3121" s="49" t="s">
        <v>2908</v>
      </c>
      <c r="F3121" s="49" t="s">
        <v>2939</v>
      </c>
      <c r="G3121" s="49" t="s">
        <v>2776</v>
      </c>
      <c r="H3121" s="49" t="s">
        <v>980</v>
      </c>
      <c r="I3121" s="50">
        <v>42150</v>
      </c>
      <c r="M3121" s="49" t="s">
        <v>9646</v>
      </c>
    </row>
    <row r="3122" spans="1:13" x14ac:dyDescent="0.35">
      <c r="A3122" s="49" t="s">
        <v>14104</v>
      </c>
      <c r="B3122" s="49" t="s">
        <v>13747</v>
      </c>
      <c r="C3122" s="49"/>
      <c r="D3122" s="49" t="s">
        <v>1264</v>
      </c>
      <c r="E3122" s="49" t="s">
        <v>2908</v>
      </c>
      <c r="F3122" s="49" t="s">
        <v>2939</v>
      </c>
      <c r="G3122" s="49" t="s">
        <v>2776</v>
      </c>
      <c r="H3122" s="49" t="s">
        <v>980</v>
      </c>
      <c r="I3122" s="50">
        <v>41899</v>
      </c>
      <c r="M3122" s="49" t="s">
        <v>13748</v>
      </c>
    </row>
    <row r="3123" spans="1:13" x14ac:dyDescent="0.35">
      <c r="A3123" s="49" t="s">
        <v>15213</v>
      </c>
      <c r="B3123" s="49" t="s">
        <v>13613</v>
      </c>
      <c r="C3123" s="49"/>
      <c r="D3123" s="49" t="s">
        <v>1264</v>
      </c>
      <c r="E3123" s="49" t="s">
        <v>7057</v>
      </c>
      <c r="F3123" s="49" t="s">
        <v>2825</v>
      </c>
      <c r="G3123" s="49" t="s">
        <v>2776</v>
      </c>
      <c r="H3123" s="49" t="s">
        <v>2827</v>
      </c>
      <c r="I3123" s="50">
        <v>41676</v>
      </c>
      <c r="M3123" s="49" t="s">
        <v>13615</v>
      </c>
    </row>
    <row r="3124" spans="1:13" x14ac:dyDescent="0.35">
      <c r="A3124" s="49" t="s">
        <v>14575</v>
      </c>
      <c r="B3124" s="49" t="s">
        <v>10667</v>
      </c>
      <c r="C3124" s="49"/>
      <c r="D3124" s="49" t="s">
        <v>1264</v>
      </c>
      <c r="E3124" s="49" t="s">
        <v>2785</v>
      </c>
      <c r="F3124" s="49" t="s">
        <v>3124</v>
      </c>
      <c r="G3124" s="49" t="s">
        <v>2776</v>
      </c>
      <c r="H3124" s="49" t="s">
        <v>980</v>
      </c>
      <c r="I3124" s="50">
        <v>44035</v>
      </c>
      <c r="M3124" s="49" t="s">
        <v>10669</v>
      </c>
    </row>
    <row r="3125" spans="1:13" x14ac:dyDescent="0.35">
      <c r="A3125" s="49" t="s">
        <v>15468</v>
      </c>
      <c r="B3125" s="49" t="s">
        <v>4621</v>
      </c>
      <c r="C3125" s="49" t="s">
        <v>4622</v>
      </c>
      <c r="D3125" s="49" t="s">
        <v>1264</v>
      </c>
      <c r="E3125" s="49" t="s">
        <v>3443</v>
      </c>
      <c r="F3125" s="49" t="s">
        <v>3124</v>
      </c>
      <c r="G3125" s="49" t="s">
        <v>2901</v>
      </c>
      <c r="H3125" s="49" t="s">
        <v>980</v>
      </c>
      <c r="I3125" s="50">
        <v>44301</v>
      </c>
      <c r="J3125" s="50">
        <v>44357</v>
      </c>
      <c r="K3125" s="50">
        <v>46182</v>
      </c>
    </row>
    <row r="3126" spans="1:13" x14ac:dyDescent="0.35">
      <c r="A3126" s="49" t="s">
        <v>15468</v>
      </c>
      <c r="B3126" s="49" t="s">
        <v>6290</v>
      </c>
      <c r="C3126" s="49" t="s">
        <v>3768</v>
      </c>
      <c r="D3126" s="49" t="s">
        <v>1264</v>
      </c>
      <c r="E3126" s="49" t="s">
        <v>3443</v>
      </c>
      <c r="F3126" s="49" t="s">
        <v>3124</v>
      </c>
      <c r="G3126" s="49" t="s">
        <v>4330</v>
      </c>
      <c r="H3126" s="49" t="s">
        <v>980</v>
      </c>
      <c r="I3126" s="50">
        <v>45258</v>
      </c>
    </row>
    <row r="3127" spans="1:13" x14ac:dyDescent="0.35">
      <c r="A3127" s="49" t="s">
        <v>15468</v>
      </c>
      <c r="B3127" s="49" t="s">
        <v>12078</v>
      </c>
      <c r="C3127" s="49"/>
      <c r="D3127" s="49" t="s">
        <v>1264</v>
      </c>
      <c r="E3127" s="49" t="s">
        <v>2986</v>
      </c>
      <c r="F3127" s="49" t="s">
        <v>2825</v>
      </c>
      <c r="G3127" s="49" t="s">
        <v>4891</v>
      </c>
      <c r="H3127" s="49" t="s">
        <v>2827</v>
      </c>
      <c r="I3127" s="50">
        <v>45323</v>
      </c>
      <c r="M3127" s="49" t="s">
        <v>12079</v>
      </c>
    </row>
    <row r="3128" spans="1:13" x14ac:dyDescent="0.35">
      <c r="A3128" s="58" t="s">
        <v>629</v>
      </c>
      <c r="B3128" s="49" t="s">
        <v>11321</v>
      </c>
      <c r="C3128" s="49" t="s">
        <v>11322</v>
      </c>
      <c r="D3128" s="49" t="s">
        <v>1264</v>
      </c>
      <c r="E3128" s="49" t="s">
        <v>2986</v>
      </c>
      <c r="F3128" s="49" t="s">
        <v>2825</v>
      </c>
      <c r="G3128" s="49" t="s">
        <v>4891</v>
      </c>
      <c r="H3128" s="49" t="s">
        <v>2827</v>
      </c>
      <c r="I3128" s="50">
        <v>44998</v>
      </c>
      <c r="M3128" s="49" t="s">
        <v>4400</v>
      </c>
    </row>
    <row r="3129" spans="1:13" x14ac:dyDescent="0.35">
      <c r="A3129" s="58" t="s">
        <v>629</v>
      </c>
      <c r="B3129" s="49" t="s">
        <v>13220</v>
      </c>
      <c r="C3129" s="49" t="s">
        <v>11322</v>
      </c>
      <c r="D3129" s="49" t="s">
        <v>1264</v>
      </c>
      <c r="E3129" s="49" t="s">
        <v>2986</v>
      </c>
      <c r="F3129" s="49" t="s">
        <v>2825</v>
      </c>
      <c r="G3129" s="49" t="s">
        <v>4891</v>
      </c>
      <c r="H3129" s="49" t="s">
        <v>2827</v>
      </c>
      <c r="I3129" s="52">
        <v>45994.492893518502</v>
      </c>
      <c r="M3129" s="49" t="s">
        <v>13221</v>
      </c>
    </row>
    <row r="3130" spans="1:13" x14ac:dyDescent="0.35">
      <c r="A3130" s="58" t="s">
        <v>629</v>
      </c>
      <c r="B3130" s="49" t="s">
        <v>4397</v>
      </c>
      <c r="C3130" s="49" t="s">
        <v>4398</v>
      </c>
      <c r="D3130" s="49" t="s">
        <v>1264</v>
      </c>
      <c r="E3130" s="49" t="s">
        <v>2814</v>
      </c>
      <c r="F3130" s="49" t="s">
        <v>2825</v>
      </c>
      <c r="G3130" s="49" t="s">
        <v>2787</v>
      </c>
      <c r="H3130" s="49" t="s">
        <v>2827</v>
      </c>
      <c r="I3130" s="50">
        <v>44368</v>
      </c>
      <c r="J3130" s="50">
        <v>44382</v>
      </c>
      <c r="K3130" s="50">
        <v>44746</v>
      </c>
      <c r="M3130" s="49" t="s">
        <v>4400</v>
      </c>
    </row>
    <row r="3131" spans="1:13" x14ac:dyDescent="0.35">
      <c r="A3131" s="58" t="s">
        <v>629</v>
      </c>
      <c r="B3131" s="49" t="s">
        <v>13177</v>
      </c>
      <c r="C3131" s="49"/>
      <c r="D3131" s="49" t="s">
        <v>1264</v>
      </c>
      <c r="E3131" s="49" t="s">
        <v>2814</v>
      </c>
      <c r="F3131" s="49" t="s">
        <v>2825</v>
      </c>
      <c r="G3131" s="49" t="s">
        <v>4891</v>
      </c>
      <c r="H3131" s="49" t="s">
        <v>2827</v>
      </c>
      <c r="I3131" s="52">
        <v>46072.549050925903</v>
      </c>
      <c r="M3131" s="49" t="s">
        <v>13179</v>
      </c>
    </row>
    <row r="3132" spans="1:13" x14ac:dyDescent="0.35">
      <c r="A3132" s="49" t="s">
        <v>14093</v>
      </c>
      <c r="B3132" s="49" t="s">
        <v>3267</v>
      </c>
      <c r="C3132" s="49" t="s">
        <v>3268</v>
      </c>
      <c r="D3132" s="49" t="s">
        <v>1264</v>
      </c>
      <c r="E3132" s="49" t="s">
        <v>2986</v>
      </c>
      <c r="F3132" s="49" t="s">
        <v>2825</v>
      </c>
      <c r="G3132" s="49" t="s">
        <v>2820</v>
      </c>
      <c r="H3132" s="49" t="s">
        <v>2827</v>
      </c>
      <c r="I3132" s="50">
        <v>41423</v>
      </c>
      <c r="J3132" s="50">
        <v>41555</v>
      </c>
      <c r="K3132" s="50">
        <v>43021</v>
      </c>
      <c r="M3132" s="49" t="s">
        <v>3270</v>
      </c>
    </row>
    <row r="3133" spans="1:13" x14ac:dyDescent="0.35">
      <c r="A3133" s="49" t="s">
        <v>14093</v>
      </c>
      <c r="B3133" s="49" t="s">
        <v>8747</v>
      </c>
      <c r="C3133" s="49"/>
      <c r="D3133" s="49" t="s">
        <v>1264</v>
      </c>
      <c r="E3133" s="49" t="s">
        <v>2814</v>
      </c>
      <c r="F3133" s="49" t="s">
        <v>2825</v>
      </c>
      <c r="G3133" s="49" t="s">
        <v>2826</v>
      </c>
      <c r="H3133" s="49" t="s">
        <v>2827</v>
      </c>
      <c r="I3133" s="50">
        <v>41387</v>
      </c>
      <c r="M3133" s="49" t="s">
        <v>8748</v>
      </c>
    </row>
    <row r="3134" spans="1:13" x14ac:dyDescent="0.35">
      <c r="A3134" s="49" t="s">
        <v>14642</v>
      </c>
      <c r="B3134" s="49" t="s">
        <v>12834</v>
      </c>
      <c r="C3134" s="49" t="s">
        <v>12835</v>
      </c>
      <c r="D3134" s="49" t="s">
        <v>1264</v>
      </c>
      <c r="E3134" s="49" t="s">
        <v>2986</v>
      </c>
      <c r="F3134" s="49" t="s">
        <v>2825</v>
      </c>
      <c r="G3134" s="49" t="s">
        <v>4891</v>
      </c>
      <c r="H3134" s="49" t="s">
        <v>2827</v>
      </c>
      <c r="I3134" s="50">
        <v>45685</v>
      </c>
      <c r="M3134" s="49" t="s">
        <v>12837</v>
      </c>
    </row>
    <row r="3135" spans="1:13" x14ac:dyDescent="0.35">
      <c r="A3135" s="49" t="s">
        <v>14642</v>
      </c>
      <c r="B3135" s="49" t="s">
        <v>12838</v>
      </c>
      <c r="C3135" s="49" t="s">
        <v>12839</v>
      </c>
      <c r="D3135" s="49" t="s">
        <v>1264</v>
      </c>
      <c r="E3135" s="49" t="s">
        <v>2986</v>
      </c>
      <c r="F3135" s="49" t="s">
        <v>2825</v>
      </c>
      <c r="G3135" s="49" t="s">
        <v>4891</v>
      </c>
      <c r="H3135" s="49" t="s">
        <v>2827</v>
      </c>
      <c r="I3135" s="50">
        <v>45685</v>
      </c>
      <c r="M3135" s="49" t="s">
        <v>6717</v>
      </c>
    </row>
    <row r="3136" spans="1:13" x14ac:dyDescent="0.35">
      <c r="A3136" s="49" t="s">
        <v>15469</v>
      </c>
      <c r="B3136" s="49" t="s">
        <v>6467</v>
      </c>
      <c r="C3136" s="49" t="s">
        <v>4522</v>
      </c>
      <c r="D3136" s="49" t="s">
        <v>1264</v>
      </c>
      <c r="E3136" s="49" t="s">
        <v>2785</v>
      </c>
      <c r="F3136" s="49" t="s">
        <v>2786</v>
      </c>
      <c r="G3136" s="49" t="s">
        <v>4330</v>
      </c>
      <c r="H3136" s="49" t="s">
        <v>980</v>
      </c>
      <c r="I3136" s="50">
        <v>44602</v>
      </c>
      <c r="M3136" s="49" t="s">
        <v>6469</v>
      </c>
    </row>
    <row r="3137" spans="1:13" x14ac:dyDescent="0.35">
      <c r="A3137" s="49" t="s">
        <v>6712</v>
      </c>
      <c r="B3137" s="49" t="s">
        <v>6710</v>
      </c>
      <c r="C3137" s="49" t="s">
        <v>6711</v>
      </c>
      <c r="D3137" s="49" t="s">
        <v>1264</v>
      </c>
      <c r="E3137" s="49" t="s">
        <v>2986</v>
      </c>
      <c r="F3137" s="49" t="s">
        <v>2825</v>
      </c>
      <c r="G3137" s="49" t="s">
        <v>4891</v>
      </c>
      <c r="H3137" s="49" t="s">
        <v>2827</v>
      </c>
      <c r="I3137" s="50">
        <v>45685</v>
      </c>
      <c r="M3137" s="49" t="s">
        <v>6713</v>
      </c>
    </row>
    <row r="3138" spans="1:13" x14ac:dyDescent="0.35">
      <c r="A3138" s="49" t="s">
        <v>6712</v>
      </c>
      <c r="B3138" s="49" t="s">
        <v>6714</v>
      </c>
      <c r="C3138" s="49" t="s">
        <v>6715</v>
      </c>
      <c r="D3138" s="49" t="s">
        <v>1264</v>
      </c>
      <c r="E3138" s="49" t="s">
        <v>2986</v>
      </c>
      <c r="F3138" s="49" t="s">
        <v>2825</v>
      </c>
      <c r="G3138" s="49" t="s">
        <v>4891</v>
      </c>
      <c r="H3138" s="49" t="s">
        <v>2827</v>
      </c>
      <c r="I3138" s="50">
        <v>45685</v>
      </c>
      <c r="M3138" s="49" t="s">
        <v>6717</v>
      </c>
    </row>
    <row r="3139" spans="1:13" x14ac:dyDescent="0.35">
      <c r="A3139" s="49" t="s">
        <v>15035</v>
      </c>
      <c r="B3139" s="49" t="s">
        <v>11284</v>
      </c>
      <c r="C3139" s="49"/>
      <c r="D3139" s="49" t="s">
        <v>1264</v>
      </c>
      <c r="E3139" s="49" t="s">
        <v>2785</v>
      </c>
      <c r="F3139" s="49" t="s">
        <v>2792</v>
      </c>
      <c r="G3139" s="49" t="s">
        <v>2776</v>
      </c>
      <c r="H3139" s="49" t="s">
        <v>8</v>
      </c>
      <c r="I3139" s="50">
        <v>44999</v>
      </c>
      <c r="M3139" s="49" t="s">
        <v>11286</v>
      </c>
    </row>
    <row r="3140" spans="1:13" x14ac:dyDescent="0.35">
      <c r="A3140" s="49" t="s">
        <v>15470</v>
      </c>
      <c r="B3140" s="49" t="s">
        <v>13150</v>
      </c>
      <c r="C3140" s="49"/>
      <c r="D3140" s="49" t="s">
        <v>1264</v>
      </c>
      <c r="E3140" s="49" t="s">
        <v>2785</v>
      </c>
      <c r="F3140" s="49" t="s">
        <v>2792</v>
      </c>
      <c r="G3140" s="49" t="s">
        <v>4891</v>
      </c>
      <c r="H3140" s="49" t="s">
        <v>980</v>
      </c>
      <c r="I3140" s="52">
        <v>46064.518229166701</v>
      </c>
      <c r="M3140" s="49" t="s">
        <v>13152</v>
      </c>
    </row>
    <row r="3141" spans="1:13" x14ac:dyDescent="0.35">
      <c r="A3141" s="49" t="s">
        <v>15470</v>
      </c>
      <c r="B3141" s="49" t="s">
        <v>13153</v>
      </c>
      <c r="C3141" s="49"/>
      <c r="D3141" s="49" t="s">
        <v>1264</v>
      </c>
      <c r="E3141" s="49" t="s">
        <v>2785</v>
      </c>
      <c r="F3141" s="49" t="s">
        <v>2792</v>
      </c>
      <c r="G3141" s="49" t="s">
        <v>4891</v>
      </c>
      <c r="H3141" s="49" t="s">
        <v>980</v>
      </c>
      <c r="I3141" s="52">
        <v>46064.525902777801</v>
      </c>
      <c r="M3141" s="49" t="s">
        <v>13154</v>
      </c>
    </row>
    <row r="3142" spans="1:13" x14ac:dyDescent="0.35">
      <c r="A3142" s="49" t="s">
        <v>14807</v>
      </c>
      <c r="B3142" s="49" t="s">
        <v>5180</v>
      </c>
      <c r="C3142" s="49"/>
      <c r="D3142" s="49" t="s">
        <v>1264</v>
      </c>
      <c r="E3142" s="49" t="s">
        <v>3443</v>
      </c>
      <c r="F3142" s="49" t="s">
        <v>3124</v>
      </c>
      <c r="G3142" s="49" t="s">
        <v>2901</v>
      </c>
      <c r="H3142" s="49" t="s">
        <v>980</v>
      </c>
      <c r="I3142" s="50">
        <v>44868</v>
      </c>
      <c r="J3142" s="50">
        <v>44868</v>
      </c>
      <c r="K3142" s="50">
        <v>46693</v>
      </c>
    </row>
    <row r="3143" spans="1:13" x14ac:dyDescent="0.35">
      <c r="A3143" s="49" t="s">
        <v>14274</v>
      </c>
      <c r="B3143" s="49" t="s">
        <v>6189</v>
      </c>
      <c r="C3143" s="49" t="s">
        <v>3615</v>
      </c>
      <c r="D3143" s="49" t="s">
        <v>1264</v>
      </c>
      <c r="E3143" s="49" t="s">
        <v>2785</v>
      </c>
      <c r="F3143" s="49" t="s">
        <v>2786</v>
      </c>
      <c r="G3143" s="49" t="s">
        <v>2901</v>
      </c>
      <c r="H3143" s="49" t="s">
        <v>980</v>
      </c>
      <c r="I3143" s="50">
        <v>45260</v>
      </c>
      <c r="J3143" s="50">
        <v>45336</v>
      </c>
      <c r="K3143" s="50">
        <v>45701</v>
      </c>
      <c r="M3143" s="49" t="s">
        <v>6191</v>
      </c>
    </row>
    <row r="3144" spans="1:13" x14ac:dyDescent="0.35">
      <c r="A3144" s="49" t="s">
        <v>14274</v>
      </c>
      <c r="B3144" s="49" t="s">
        <v>11788</v>
      </c>
      <c r="C3144" s="49"/>
      <c r="D3144" s="49" t="s">
        <v>1264</v>
      </c>
      <c r="E3144" s="49" t="s">
        <v>2908</v>
      </c>
      <c r="F3144" s="49" t="s">
        <v>3010</v>
      </c>
      <c r="G3144" s="49" t="s">
        <v>2776</v>
      </c>
      <c r="H3144" s="49" t="s">
        <v>980</v>
      </c>
      <c r="I3144" s="50">
        <v>45260</v>
      </c>
      <c r="M3144" s="49" t="s">
        <v>6191</v>
      </c>
    </row>
    <row r="3145" spans="1:13" x14ac:dyDescent="0.35">
      <c r="A3145" s="49" t="s">
        <v>14179</v>
      </c>
      <c r="B3145" s="49" t="s">
        <v>4364</v>
      </c>
      <c r="C3145" s="49"/>
      <c r="D3145" s="49" t="s">
        <v>1264</v>
      </c>
      <c r="E3145" s="49" t="s">
        <v>2974</v>
      </c>
      <c r="F3145" s="49" t="s">
        <v>2825</v>
      </c>
      <c r="G3145" s="49" t="s">
        <v>2826</v>
      </c>
      <c r="H3145" s="49" t="s">
        <v>2827</v>
      </c>
      <c r="I3145" s="50">
        <v>44109</v>
      </c>
      <c r="M3145" s="49" t="s">
        <v>3859</v>
      </c>
    </row>
    <row r="3146" spans="1:13" x14ac:dyDescent="0.35">
      <c r="A3146" s="49" t="s">
        <v>14179</v>
      </c>
      <c r="B3146" s="49" t="s">
        <v>4858</v>
      </c>
      <c r="C3146" s="49" t="s">
        <v>4859</v>
      </c>
      <c r="D3146" s="49" t="s">
        <v>1264</v>
      </c>
      <c r="E3146" s="49" t="s">
        <v>2774</v>
      </c>
      <c r="F3146" s="49" t="s">
        <v>2825</v>
      </c>
      <c r="G3146" s="49" t="s">
        <v>2826</v>
      </c>
      <c r="H3146" s="49" t="s">
        <v>2827</v>
      </c>
      <c r="I3146" s="50">
        <v>40018</v>
      </c>
      <c r="J3146" s="50">
        <v>40323</v>
      </c>
      <c r="K3146" s="50">
        <v>43609</v>
      </c>
      <c r="M3146" s="49" t="s">
        <v>4860</v>
      </c>
    </row>
    <row r="3147" spans="1:13" x14ac:dyDescent="0.35">
      <c r="A3147" s="49" t="s">
        <v>14179</v>
      </c>
      <c r="B3147" s="49" t="s">
        <v>8269</v>
      </c>
      <c r="C3147" s="49" t="s">
        <v>3416</v>
      </c>
      <c r="D3147" s="49" t="s">
        <v>1264</v>
      </c>
      <c r="E3147" s="49" t="s">
        <v>2986</v>
      </c>
      <c r="F3147" s="49" t="s">
        <v>2825</v>
      </c>
      <c r="G3147" s="49" t="s">
        <v>2787</v>
      </c>
      <c r="H3147" s="49" t="s">
        <v>2827</v>
      </c>
      <c r="I3147" s="50">
        <v>42612</v>
      </c>
      <c r="J3147" s="50">
        <v>42885</v>
      </c>
      <c r="K3147" s="50">
        <v>43981</v>
      </c>
      <c r="M3147" s="49" t="s">
        <v>8270</v>
      </c>
    </row>
    <row r="3148" spans="1:13" x14ac:dyDescent="0.35">
      <c r="A3148" s="49" t="s">
        <v>14179</v>
      </c>
      <c r="B3148" s="49" t="s">
        <v>8921</v>
      </c>
      <c r="C3148" s="49"/>
      <c r="D3148" s="49" t="s">
        <v>1264</v>
      </c>
      <c r="E3148" s="49" t="s">
        <v>2814</v>
      </c>
      <c r="F3148" s="49" t="s">
        <v>2825</v>
      </c>
      <c r="G3148" s="49" t="s">
        <v>2787</v>
      </c>
      <c r="H3148" s="49" t="s">
        <v>2827</v>
      </c>
      <c r="I3148" s="50">
        <v>43826</v>
      </c>
      <c r="J3148" s="50">
        <v>43570</v>
      </c>
      <c r="K3148" s="50">
        <v>43752</v>
      </c>
      <c r="M3148" s="49" t="s">
        <v>8922</v>
      </c>
    </row>
    <row r="3149" spans="1:13" x14ac:dyDescent="0.35">
      <c r="A3149" s="49" t="s">
        <v>15471</v>
      </c>
      <c r="B3149" s="49" t="s">
        <v>6772</v>
      </c>
      <c r="C3149" s="49" t="s">
        <v>4469</v>
      </c>
      <c r="D3149" s="49" t="s">
        <v>1264</v>
      </c>
      <c r="E3149" s="49" t="s">
        <v>2785</v>
      </c>
      <c r="F3149" s="49" t="s">
        <v>2792</v>
      </c>
      <c r="G3149" s="49" t="s">
        <v>2901</v>
      </c>
      <c r="H3149" s="49" t="s">
        <v>8</v>
      </c>
      <c r="I3149" s="52">
        <v>45947.456886574102</v>
      </c>
      <c r="J3149" s="50">
        <v>45959</v>
      </c>
      <c r="K3149" s="50">
        <v>46323</v>
      </c>
      <c r="M3149" s="49" t="s">
        <v>6774</v>
      </c>
    </row>
    <row r="3150" spans="1:13" x14ac:dyDescent="0.35">
      <c r="A3150" s="49" t="s">
        <v>15471</v>
      </c>
      <c r="B3150" s="49" t="s">
        <v>12843</v>
      </c>
      <c r="C3150" s="49"/>
      <c r="D3150" s="49" t="s">
        <v>1264</v>
      </c>
      <c r="E3150" s="49" t="s">
        <v>2785</v>
      </c>
      <c r="F3150" s="49" t="s">
        <v>2792</v>
      </c>
      <c r="G3150" s="49" t="s">
        <v>4891</v>
      </c>
      <c r="H3150" s="49" t="s">
        <v>8</v>
      </c>
      <c r="I3150" s="50">
        <v>45805</v>
      </c>
      <c r="M3150" s="49" t="s">
        <v>12844</v>
      </c>
    </row>
    <row r="3151" spans="1:13" x14ac:dyDescent="0.35">
      <c r="A3151" s="49" t="s">
        <v>15471</v>
      </c>
      <c r="B3151" s="49" t="s">
        <v>12930</v>
      </c>
      <c r="C3151" s="49" t="s">
        <v>12931</v>
      </c>
      <c r="D3151" s="49" t="s">
        <v>1264</v>
      </c>
      <c r="E3151" s="49" t="s">
        <v>2785</v>
      </c>
      <c r="F3151" s="49" t="s">
        <v>2792</v>
      </c>
      <c r="G3151" s="49" t="s">
        <v>4891</v>
      </c>
      <c r="H3151" s="49" t="s">
        <v>980</v>
      </c>
      <c r="I3151" s="52">
        <v>45946.715185185203</v>
      </c>
      <c r="M3151" s="49" t="s">
        <v>12932</v>
      </c>
    </row>
    <row r="3152" spans="1:13" x14ac:dyDescent="0.35">
      <c r="A3152" s="49" t="s">
        <v>15471</v>
      </c>
      <c r="B3152" s="49" t="s">
        <v>12933</v>
      </c>
      <c r="C3152" s="49" t="s">
        <v>12934</v>
      </c>
      <c r="D3152" s="49" t="s">
        <v>1264</v>
      </c>
      <c r="E3152" s="49" t="s">
        <v>2785</v>
      </c>
      <c r="F3152" s="49" t="s">
        <v>2792</v>
      </c>
      <c r="G3152" s="49" t="s">
        <v>4891</v>
      </c>
      <c r="H3152" s="49" t="s">
        <v>1062</v>
      </c>
      <c r="I3152" s="52">
        <v>45947.489872685197</v>
      </c>
      <c r="M3152" s="49" t="s">
        <v>12935</v>
      </c>
    </row>
    <row r="3153" spans="1:13" x14ac:dyDescent="0.35">
      <c r="A3153" s="49" t="s">
        <v>15471</v>
      </c>
      <c r="B3153" s="49" t="s">
        <v>12954</v>
      </c>
      <c r="C3153" s="49"/>
      <c r="D3153" s="49" t="s">
        <v>1264</v>
      </c>
      <c r="E3153" s="49" t="s">
        <v>2785</v>
      </c>
      <c r="F3153" s="49" t="s">
        <v>2792</v>
      </c>
      <c r="G3153" s="49" t="s">
        <v>4891</v>
      </c>
      <c r="H3153" s="49" t="s">
        <v>8</v>
      </c>
      <c r="I3153" s="52">
        <v>45958.573101851798</v>
      </c>
      <c r="M3153" s="49" t="s">
        <v>12955</v>
      </c>
    </row>
    <row r="3154" spans="1:13" x14ac:dyDescent="0.35">
      <c r="A3154" s="49" t="s">
        <v>15214</v>
      </c>
      <c r="B3154" s="49" t="s">
        <v>9734</v>
      </c>
      <c r="C3154" s="49" t="s">
        <v>8200</v>
      </c>
      <c r="D3154" s="49" t="s">
        <v>1264</v>
      </c>
      <c r="E3154" s="49" t="s">
        <v>2785</v>
      </c>
      <c r="F3154" s="49" t="s">
        <v>2786</v>
      </c>
      <c r="G3154" s="49" t="s">
        <v>2776</v>
      </c>
      <c r="H3154" s="49" t="s">
        <v>980</v>
      </c>
      <c r="I3154" s="50">
        <v>42515</v>
      </c>
      <c r="M3154" s="49" t="s">
        <v>9736</v>
      </c>
    </row>
    <row r="3155" spans="1:13" x14ac:dyDescent="0.35">
      <c r="A3155" s="49" t="s">
        <v>641</v>
      </c>
      <c r="B3155" s="49" t="s">
        <v>3949</v>
      </c>
      <c r="C3155" s="49" t="s">
        <v>3950</v>
      </c>
      <c r="D3155" s="49" t="s">
        <v>1264</v>
      </c>
      <c r="E3155" s="49" t="s">
        <v>2785</v>
      </c>
      <c r="F3155" s="49" t="s">
        <v>2805</v>
      </c>
      <c r="G3155" s="49" t="s">
        <v>2787</v>
      </c>
      <c r="H3155" s="49" t="s">
        <v>3717</v>
      </c>
      <c r="I3155" s="50">
        <v>43803</v>
      </c>
      <c r="J3155" s="50">
        <v>43888</v>
      </c>
      <c r="K3155" s="50">
        <v>45510</v>
      </c>
      <c r="M3155" s="49" t="s">
        <v>3952</v>
      </c>
    </row>
    <row r="3156" spans="1:13" x14ac:dyDescent="0.35">
      <c r="A3156" s="49" t="s">
        <v>641</v>
      </c>
      <c r="B3156" s="49" t="s">
        <v>5916</v>
      </c>
      <c r="C3156" s="49" t="s">
        <v>5917</v>
      </c>
      <c r="D3156" s="49" t="s">
        <v>1264</v>
      </c>
      <c r="E3156" s="49" t="s">
        <v>2785</v>
      </c>
      <c r="F3156" s="49" t="s">
        <v>4048</v>
      </c>
      <c r="G3156" s="49" t="s">
        <v>2787</v>
      </c>
      <c r="H3156" s="49" t="s">
        <v>2827</v>
      </c>
      <c r="I3156" s="50">
        <v>44694</v>
      </c>
      <c r="J3156" s="50">
        <v>45230</v>
      </c>
      <c r="K3156" s="50">
        <v>45595</v>
      </c>
      <c r="M3156" s="49" t="s">
        <v>5918</v>
      </c>
    </row>
    <row r="3157" spans="1:13" x14ac:dyDescent="0.35">
      <c r="A3157" s="49" t="s">
        <v>641</v>
      </c>
      <c r="B3157" s="49" t="s">
        <v>6007</v>
      </c>
      <c r="C3157" s="49" t="s">
        <v>6008</v>
      </c>
      <c r="D3157" s="49" t="s">
        <v>1264</v>
      </c>
      <c r="E3157" s="49" t="s">
        <v>2785</v>
      </c>
      <c r="F3157" s="49" t="s">
        <v>2805</v>
      </c>
      <c r="G3157" s="49" t="s">
        <v>2787</v>
      </c>
      <c r="H3157" s="49" t="s">
        <v>1062</v>
      </c>
      <c r="I3157" s="50">
        <v>44802</v>
      </c>
      <c r="J3157" s="50">
        <v>45230</v>
      </c>
      <c r="K3157" s="50">
        <v>45595</v>
      </c>
      <c r="M3157" s="49" t="s">
        <v>6009</v>
      </c>
    </row>
    <row r="3158" spans="1:13" x14ac:dyDescent="0.35">
      <c r="A3158" s="49" t="s">
        <v>641</v>
      </c>
      <c r="B3158" s="49" t="s">
        <v>13420</v>
      </c>
      <c r="C3158" s="49"/>
      <c r="D3158" s="49" t="s">
        <v>1264</v>
      </c>
      <c r="E3158" s="49" t="s">
        <v>2785</v>
      </c>
      <c r="F3158" s="49" t="s">
        <v>2805</v>
      </c>
      <c r="G3158" s="49" t="s">
        <v>4891</v>
      </c>
      <c r="H3158" s="49" t="s">
        <v>1062</v>
      </c>
      <c r="I3158" s="52">
        <v>46128.480196759301</v>
      </c>
      <c r="M3158" s="49" t="s">
        <v>13421</v>
      </c>
    </row>
    <row r="3159" spans="1:13" x14ac:dyDescent="0.35">
      <c r="A3159" s="49" t="s">
        <v>644</v>
      </c>
      <c r="B3159" s="49" t="s">
        <v>3520</v>
      </c>
      <c r="C3159" s="49" t="s">
        <v>3521</v>
      </c>
      <c r="D3159" s="49" t="s">
        <v>1264</v>
      </c>
      <c r="E3159" s="49" t="s">
        <v>2974</v>
      </c>
      <c r="F3159" s="49" t="s">
        <v>3005</v>
      </c>
      <c r="G3159" s="49" t="s">
        <v>2975</v>
      </c>
      <c r="H3159" s="49" t="s">
        <v>1062</v>
      </c>
      <c r="I3159" s="50">
        <v>42619</v>
      </c>
      <c r="J3159" s="50">
        <v>42885</v>
      </c>
      <c r="K3159" s="50">
        <v>45202</v>
      </c>
      <c r="M3159" s="49" t="s">
        <v>3523</v>
      </c>
    </row>
    <row r="3160" spans="1:13" x14ac:dyDescent="0.35">
      <c r="A3160" s="49" t="s">
        <v>644</v>
      </c>
      <c r="B3160" s="49" t="s">
        <v>13861</v>
      </c>
      <c r="C3160" s="49"/>
      <c r="D3160" s="49" t="s">
        <v>1264</v>
      </c>
      <c r="E3160" s="49" t="s">
        <v>2774</v>
      </c>
      <c r="F3160" s="49" t="s">
        <v>3005</v>
      </c>
      <c r="G3160" s="49" t="s">
        <v>2776</v>
      </c>
      <c r="H3160" s="49" t="s">
        <v>1062</v>
      </c>
      <c r="I3160" s="50">
        <v>43871</v>
      </c>
      <c r="M3160" s="49" t="s">
        <v>13863</v>
      </c>
    </row>
    <row r="3161" spans="1:13" x14ac:dyDescent="0.35">
      <c r="A3161" s="49" t="s">
        <v>14488</v>
      </c>
      <c r="B3161" s="49" t="s">
        <v>9324</v>
      </c>
      <c r="C3161" s="49"/>
      <c r="D3161" s="49" t="s">
        <v>1264</v>
      </c>
      <c r="E3161" s="49" t="s">
        <v>2785</v>
      </c>
      <c r="F3161" s="49" t="s">
        <v>2786</v>
      </c>
      <c r="G3161" s="49" t="s">
        <v>2776</v>
      </c>
      <c r="H3161" s="49" t="s">
        <v>8</v>
      </c>
      <c r="I3161" s="50">
        <v>43108</v>
      </c>
      <c r="M3161" s="49" t="s">
        <v>3826</v>
      </c>
    </row>
    <row r="3162" spans="1:13" x14ac:dyDescent="0.35">
      <c r="A3162" s="49" t="s">
        <v>2949</v>
      </c>
      <c r="B3162" s="49" t="s">
        <v>2947</v>
      </c>
      <c r="C3162" s="49" t="s">
        <v>2948</v>
      </c>
      <c r="D3162" s="49" t="s">
        <v>1264</v>
      </c>
      <c r="E3162" s="49" t="s">
        <v>2899</v>
      </c>
      <c r="F3162" s="49" t="s">
        <v>2950</v>
      </c>
      <c r="G3162" s="49" t="s">
        <v>2934</v>
      </c>
      <c r="H3162" s="49" t="s">
        <v>980</v>
      </c>
      <c r="I3162" s="50">
        <v>35468</v>
      </c>
      <c r="J3162" s="50">
        <v>32289</v>
      </c>
      <c r="K3162" s="50">
        <v>41420</v>
      </c>
      <c r="M3162" s="49" t="s">
        <v>2951</v>
      </c>
    </row>
    <row r="3163" spans="1:13" x14ac:dyDescent="0.35">
      <c r="A3163" s="49" t="s">
        <v>2949</v>
      </c>
      <c r="B3163" s="49" t="s">
        <v>4948</v>
      </c>
      <c r="C3163" s="49"/>
      <c r="D3163" s="49" t="s">
        <v>1264</v>
      </c>
      <c r="E3163" s="49" t="s">
        <v>2814</v>
      </c>
      <c r="F3163" s="49" t="s">
        <v>4259</v>
      </c>
      <c r="G3163" s="49" t="s">
        <v>2787</v>
      </c>
      <c r="H3163" s="49" t="s">
        <v>980</v>
      </c>
      <c r="I3163" s="50">
        <v>44642</v>
      </c>
      <c r="J3163" s="50">
        <v>44743</v>
      </c>
      <c r="K3163" s="50">
        <v>45107</v>
      </c>
      <c r="M3163" s="49" t="s">
        <v>4950</v>
      </c>
    </row>
    <row r="3164" spans="1:13" x14ac:dyDescent="0.35">
      <c r="A3164" s="49" t="s">
        <v>15215</v>
      </c>
      <c r="B3164" s="49" t="s">
        <v>13279</v>
      </c>
      <c r="C3164" s="49"/>
      <c r="D3164" s="49" t="s">
        <v>1264</v>
      </c>
      <c r="E3164" s="49" t="s">
        <v>2986</v>
      </c>
      <c r="F3164" s="49" t="s">
        <v>2825</v>
      </c>
      <c r="G3164" s="49" t="s">
        <v>4891</v>
      </c>
      <c r="H3164" s="49" t="s">
        <v>973</v>
      </c>
      <c r="I3164" s="52">
        <v>46096.643518518496</v>
      </c>
      <c r="M3164" s="49" t="s">
        <v>13281</v>
      </c>
    </row>
    <row r="3165" spans="1:13" x14ac:dyDescent="0.35">
      <c r="A3165" s="49" t="s">
        <v>15215</v>
      </c>
      <c r="B3165" s="49" t="s">
        <v>13282</v>
      </c>
      <c r="C3165" s="49"/>
      <c r="D3165" s="49" t="s">
        <v>1264</v>
      </c>
      <c r="E3165" s="49" t="s">
        <v>2986</v>
      </c>
      <c r="F3165" s="49" t="s">
        <v>2825</v>
      </c>
      <c r="G3165" s="49" t="s">
        <v>4891</v>
      </c>
      <c r="H3165" s="49" t="s">
        <v>973</v>
      </c>
      <c r="I3165" s="52">
        <v>46096.656446759298</v>
      </c>
      <c r="M3165" s="49" t="s">
        <v>13283</v>
      </c>
    </row>
    <row r="3166" spans="1:13" x14ac:dyDescent="0.35">
      <c r="A3166" s="49" t="s">
        <v>14147</v>
      </c>
      <c r="B3166" s="49" t="s">
        <v>4003</v>
      </c>
      <c r="C3166" s="49"/>
      <c r="D3166" s="49" t="s">
        <v>1264</v>
      </c>
      <c r="E3166" s="49" t="s">
        <v>2814</v>
      </c>
      <c r="F3166" s="49" t="s">
        <v>2825</v>
      </c>
      <c r="G3166" s="49" t="s">
        <v>2787</v>
      </c>
      <c r="H3166" s="49" t="s">
        <v>2827</v>
      </c>
      <c r="I3166" s="50">
        <v>43874</v>
      </c>
      <c r="J3166" s="50">
        <v>44146</v>
      </c>
      <c r="K3166" s="50">
        <v>44326</v>
      </c>
      <c r="M3166" s="49" t="s">
        <v>4005</v>
      </c>
    </row>
    <row r="3167" spans="1:13" x14ac:dyDescent="0.35">
      <c r="A3167" s="49" t="s">
        <v>14147</v>
      </c>
      <c r="B3167" s="49" t="s">
        <v>4353</v>
      </c>
      <c r="C3167" s="49"/>
      <c r="D3167" s="49" t="s">
        <v>1264</v>
      </c>
      <c r="E3167" s="49" t="s">
        <v>2908</v>
      </c>
      <c r="F3167" s="49" t="s">
        <v>2837</v>
      </c>
      <c r="G3167" s="49" t="s">
        <v>2776</v>
      </c>
      <c r="H3167" s="49" t="s">
        <v>980</v>
      </c>
      <c r="I3167" s="50">
        <v>43522</v>
      </c>
      <c r="M3167" s="49" t="s">
        <v>4354</v>
      </c>
    </row>
    <row r="3168" spans="1:13" x14ac:dyDescent="0.35">
      <c r="A3168" s="49" t="s">
        <v>14147</v>
      </c>
      <c r="B3168" s="49" t="s">
        <v>10328</v>
      </c>
      <c r="C3168" s="49" t="s">
        <v>10329</v>
      </c>
      <c r="D3168" s="49" t="s">
        <v>1264</v>
      </c>
      <c r="E3168" s="49" t="s">
        <v>2814</v>
      </c>
      <c r="F3168" s="49" t="s">
        <v>2837</v>
      </c>
      <c r="G3168" s="49" t="s">
        <v>2776</v>
      </c>
      <c r="H3168" s="49" t="s">
        <v>980</v>
      </c>
      <c r="I3168" s="50">
        <v>43593</v>
      </c>
      <c r="M3168" s="49" t="s">
        <v>10330</v>
      </c>
    </row>
    <row r="3169" spans="1:13" x14ac:dyDescent="0.35">
      <c r="A3169" s="49" t="s">
        <v>14147</v>
      </c>
      <c r="B3169" s="49" t="s">
        <v>10471</v>
      </c>
      <c r="C3169" s="49" t="s">
        <v>10329</v>
      </c>
      <c r="D3169" s="49" t="s">
        <v>1264</v>
      </c>
      <c r="E3169" s="49" t="s">
        <v>2814</v>
      </c>
      <c r="F3169" s="49" t="s">
        <v>2837</v>
      </c>
      <c r="G3169" s="49" t="s">
        <v>2776</v>
      </c>
      <c r="H3169" s="49" t="s">
        <v>980</v>
      </c>
      <c r="I3169" s="50">
        <v>43598</v>
      </c>
      <c r="M3169" s="49" t="s">
        <v>3871</v>
      </c>
    </row>
    <row r="3170" spans="1:13" x14ac:dyDescent="0.35">
      <c r="A3170" s="49" t="s">
        <v>14147</v>
      </c>
      <c r="B3170" s="49" t="s">
        <v>10676</v>
      </c>
      <c r="C3170" s="49"/>
      <c r="D3170" s="49" t="s">
        <v>1264</v>
      </c>
      <c r="E3170" s="49" t="s">
        <v>2814</v>
      </c>
      <c r="F3170" s="49" t="s">
        <v>2825</v>
      </c>
      <c r="G3170" s="49" t="s">
        <v>3997</v>
      </c>
      <c r="H3170" s="49" t="s">
        <v>2827</v>
      </c>
      <c r="I3170" s="50">
        <v>43915</v>
      </c>
      <c r="M3170" s="49" t="s">
        <v>10677</v>
      </c>
    </row>
    <row r="3171" spans="1:13" x14ac:dyDescent="0.35">
      <c r="A3171" s="49" t="s">
        <v>14408</v>
      </c>
      <c r="B3171" s="49" t="s">
        <v>8146</v>
      </c>
      <c r="C3171" s="49" t="s">
        <v>8147</v>
      </c>
      <c r="D3171" s="49" t="s">
        <v>1264</v>
      </c>
      <c r="E3171" s="49" t="s">
        <v>2774</v>
      </c>
      <c r="F3171" s="49" t="s">
        <v>2900</v>
      </c>
      <c r="G3171" s="49" t="s">
        <v>2975</v>
      </c>
      <c r="H3171" s="49" t="s">
        <v>2832</v>
      </c>
      <c r="I3171" s="50">
        <v>40681</v>
      </c>
      <c r="J3171" s="50">
        <v>40739</v>
      </c>
      <c r="K3171" s="50">
        <v>41834</v>
      </c>
      <c r="M3171" s="49" t="s">
        <v>8149</v>
      </c>
    </row>
    <row r="3172" spans="1:13" x14ac:dyDescent="0.35">
      <c r="A3172" s="49" t="s">
        <v>14408</v>
      </c>
      <c r="B3172" s="49" t="s">
        <v>8150</v>
      </c>
      <c r="C3172" s="49" t="s">
        <v>8151</v>
      </c>
      <c r="D3172" s="49" t="s">
        <v>1264</v>
      </c>
      <c r="E3172" s="49" t="s">
        <v>2774</v>
      </c>
      <c r="F3172" s="49" t="s">
        <v>2900</v>
      </c>
      <c r="G3172" s="49" t="s">
        <v>2975</v>
      </c>
      <c r="H3172" s="49" t="s">
        <v>3207</v>
      </c>
      <c r="I3172" s="50">
        <v>40681</v>
      </c>
      <c r="J3172" s="50">
        <v>40739</v>
      </c>
      <c r="K3172" s="50">
        <v>41808</v>
      </c>
      <c r="M3172" s="49" t="s">
        <v>8152</v>
      </c>
    </row>
    <row r="3173" spans="1:13" x14ac:dyDescent="0.35">
      <c r="A3173" s="49" t="s">
        <v>14408</v>
      </c>
      <c r="B3173" s="49" t="s">
        <v>8153</v>
      </c>
      <c r="C3173" s="49"/>
      <c r="D3173" s="49" t="s">
        <v>1264</v>
      </c>
      <c r="E3173" s="49" t="s">
        <v>2774</v>
      </c>
      <c r="F3173" s="49" t="s">
        <v>3188</v>
      </c>
      <c r="G3173" s="49" t="s">
        <v>2787</v>
      </c>
      <c r="H3173" s="49" t="s">
        <v>973</v>
      </c>
      <c r="I3173" s="50">
        <v>40684</v>
      </c>
      <c r="J3173" s="50">
        <v>40739</v>
      </c>
      <c r="K3173" s="50">
        <v>41834</v>
      </c>
      <c r="M3173" s="49" t="s">
        <v>8154</v>
      </c>
    </row>
    <row r="3174" spans="1:13" x14ac:dyDescent="0.35">
      <c r="A3174" s="49" t="s">
        <v>14408</v>
      </c>
      <c r="B3174" s="49" t="s">
        <v>8155</v>
      </c>
      <c r="C3174" s="49" t="s">
        <v>8156</v>
      </c>
      <c r="D3174" s="49" t="s">
        <v>1264</v>
      </c>
      <c r="E3174" s="49" t="s">
        <v>2774</v>
      </c>
      <c r="F3174" s="49" t="s">
        <v>2900</v>
      </c>
      <c r="G3174" s="49" t="s">
        <v>2975</v>
      </c>
      <c r="H3174" s="49" t="s">
        <v>2832</v>
      </c>
      <c r="I3174" s="50">
        <v>40681</v>
      </c>
      <c r="J3174" s="50">
        <v>40739</v>
      </c>
      <c r="K3174" s="50">
        <v>41808</v>
      </c>
      <c r="M3174" s="49" t="s">
        <v>8157</v>
      </c>
    </row>
    <row r="3175" spans="1:13" x14ac:dyDescent="0.35">
      <c r="A3175" s="49" t="s">
        <v>14408</v>
      </c>
      <c r="B3175" s="49" t="s">
        <v>13884</v>
      </c>
      <c r="C3175" s="49" t="s">
        <v>13885</v>
      </c>
      <c r="D3175" s="49" t="s">
        <v>1264</v>
      </c>
      <c r="E3175" s="49" t="s">
        <v>2774</v>
      </c>
      <c r="F3175" s="49" t="s">
        <v>2900</v>
      </c>
      <c r="G3175" s="49" t="s">
        <v>2776</v>
      </c>
      <c r="H3175" s="49" t="s">
        <v>3229</v>
      </c>
      <c r="I3175" s="50">
        <v>42299</v>
      </c>
      <c r="M3175" s="49" t="s">
        <v>13886</v>
      </c>
    </row>
    <row r="3176" spans="1:13" x14ac:dyDescent="0.35">
      <c r="A3176" s="49" t="s">
        <v>14408</v>
      </c>
      <c r="B3176" s="49" t="s">
        <v>14020</v>
      </c>
      <c r="C3176" s="49" t="s">
        <v>2806</v>
      </c>
      <c r="D3176" s="49" t="s">
        <v>1264</v>
      </c>
      <c r="E3176" s="49" t="s">
        <v>2774</v>
      </c>
      <c r="F3176" s="49" t="s">
        <v>2900</v>
      </c>
      <c r="G3176" s="49" t="s">
        <v>2776</v>
      </c>
      <c r="H3176" s="49" t="s">
        <v>2806</v>
      </c>
      <c r="I3176" s="50">
        <v>40681</v>
      </c>
      <c r="M3176" s="49" t="s">
        <v>14021</v>
      </c>
    </row>
    <row r="3177" spans="1:13" x14ac:dyDescent="0.35">
      <c r="A3177" s="49" t="s">
        <v>14427</v>
      </c>
      <c r="B3177" s="49" t="s">
        <v>8398</v>
      </c>
      <c r="C3177" s="49" t="s">
        <v>8399</v>
      </c>
      <c r="D3177" s="49" t="s">
        <v>1264</v>
      </c>
      <c r="E3177" s="49" t="s">
        <v>2974</v>
      </c>
      <c r="F3177" s="49" t="s">
        <v>2775</v>
      </c>
      <c r="G3177" s="49" t="s">
        <v>2975</v>
      </c>
      <c r="H3177" s="49" t="s">
        <v>980</v>
      </c>
      <c r="I3177" s="50">
        <v>39728</v>
      </c>
      <c r="J3177" s="50">
        <v>39786</v>
      </c>
      <c r="K3177" s="50">
        <v>40823</v>
      </c>
      <c r="M3177" s="49" t="s">
        <v>8401</v>
      </c>
    </row>
    <row r="3178" spans="1:13" x14ac:dyDescent="0.35">
      <c r="A3178" s="49" t="s">
        <v>647</v>
      </c>
      <c r="B3178" s="49" t="s">
        <v>5374</v>
      </c>
      <c r="C3178" s="49" t="s">
        <v>4293</v>
      </c>
      <c r="D3178" s="49" t="s">
        <v>1264</v>
      </c>
      <c r="E3178" s="49" t="s">
        <v>2785</v>
      </c>
      <c r="F3178" s="49" t="s">
        <v>2792</v>
      </c>
      <c r="G3178" s="49" t="s">
        <v>2787</v>
      </c>
      <c r="H3178" s="49" t="s">
        <v>980</v>
      </c>
      <c r="I3178" s="50">
        <v>44851</v>
      </c>
      <c r="J3178" s="50">
        <v>44992</v>
      </c>
      <c r="K3178" s="50">
        <v>45511</v>
      </c>
      <c r="M3178" s="49" t="s">
        <v>5376</v>
      </c>
    </row>
    <row r="3179" spans="1:13" x14ac:dyDescent="0.35">
      <c r="A3179" s="49" t="s">
        <v>652</v>
      </c>
      <c r="B3179" s="49" t="s">
        <v>4974</v>
      </c>
      <c r="C3179" s="49"/>
      <c r="D3179" s="49" t="s">
        <v>1264</v>
      </c>
      <c r="E3179" s="49" t="s">
        <v>3443</v>
      </c>
      <c r="F3179" s="49" t="s">
        <v>3124</v>
      </c>
      <c r="G3179" s="49" t="s">
        <v>2901</v>
      </c>
      <c r="H3179" s="49" t="s">
        <v>980</v>
      </c>
      <c r="I3179" s="50">
        <v>44771</v>
      </c>
      <c r="J3179" s="50">
        <v>44676</v>
      </c>
      <c r="K3179" s="50">
        <v>46501</v>
      </c>
    </row>
    <row r="3180" spans="1:13" x14ac:dyDescent="0.35">
      <c r="A3180" s="49" t="s">
        <v>14210</v>
      </c>
      <c r="B3180" s="49" t="s">
        <v>4928</v>
      </c>
      <c r="C3180" s="49" t="s">
        <v>3768</v>
      </c>
      <c r="D3180" s="49" t="s">
        <v>1264</v>
      </c>
      <c r="E3180" s="49" t="s">
        <v>3443</v>
      </c>
      <c r="F3180" s="49" t="s">
        <v>3124</v>
      </c>
      <c r="G3180" s="49" t="s">
        <v>4330</v>
      </c>
      <c r="H3180" s="49" t="s">
        <v>980</v>
      </c>
      <c r="I3180" s="50">
        <v>44711</v>
      </c>
    </row>
    <row r="3181" spans="1:13" x14ac:dyDescent="0.35">
      <c r="A3181" s="49" t="s">
        <v>14162</v>
      </c>
      <c r="B3181" s="49" t="s">
        <v>4157</v>
      </c>
      <c r="C3181" s="49" t="s">
        <v>3768</v>
      </c>
      <c r="D3181" s="49" t="s">
        <v>1264</v>
      </c>
      <c r="E3181" s="49" t="s">
        <v>3443</v>
      </c>
      <c r="F3181" s="49" t="s">
        <v>3124</v>
      </c>
      <c r="G3181" s="49" t="s">
        <v>2787</v>
      </c>
      <c r="H3181" s="49" t="s">
        <v>980</v>
      </c>
      <c r="I3181" s="50">
        <v>44162</v>
      </c>
      <c r="J3181" s="50">
        <v>43798</v>
      </c>
      <c r="K3181" s="50">
        <v>45625</v>
      </c>
      <c r="M3181" s="49" t="s">
        <v>3470</v>
      </c>
    </row>
    <row r="3182" spans="1:13" x14ac:dyDescent="0.35">
      <c r="A3182" s="49" t="s">
        <v>14162</v>
      </c>
      <c r="B3182" s="49" t="s">
        <v>5330</v>
      </c>
      <c r="C3182" s="49"/>
      <c r="D3182" s="49" t="s">
        <v>1264</v>
      </c>
      <c r="E3182" s="49" t="s">
        <v>3443</v>
      </c>
      <c r="F3182" s="49" t="s">
        <v>2792</v>
      </c>
      <c r="G3182" s="49" t="s">
        <v>2901</v>
      </c>
      <c r="H3182" s="49" t="s">
        <v>980</v>
      </c>
      <c r="I3182" s="50">
        <v>43738</v>
      </c>
      <c r="J3182" s="50">
        <v>43812</v>
      </c>
      <c r="K3182" s="50">
        <v>45638</v>
      </c>
    </row>
    <row r="3183" spans="1:13" x14ac:dyDescent="0.35">
      <c r="A3183" s="49" t="s">
        <v>15036</v>
      </c>
      <c r="B3183" s="49" t="s">
        <v>13713</v>
      </c>
      <c r="C3183" s="49"/>
      <c r="D3183" s="49" t="s">
        <v>1264</v>
      </c>
      <c r="E3183" s="49" t="s">
        <v>2986</v>
      </c>
      <c r="F3183" s="49" t="s">
        <v>2825</v>
      </c>
      <c r="G3183" s="49" t="s">
        <v>2776</v>
      </c>
      <c r="H3183" s="49" t="s">
        <v>2827</v>
      </c>
      <c r="I3183" s="50">
        <v>43356</v>
      </c>
      <c r="M3183" s="49" t="s">
        <v>13715</v>
      </c>
    </row>
    <row r="3184" spans="1:13" x14ac:dyDescent="0.35">
      <c r="A3184" s="49" t="s">
        <v>14400</v>
      </c>
      <c r="B3184" s="49" t="s">
        <v>8043</v>
      </c>
      <c r="C3184" s="49" t="s">
        <v>8044</v>
      </c>
      <c r="D3184" s="49" t="s">
        <v>1264</v>
      </c>
      <c r="E3184" s="49" t="s">
        <v>2908</v>
      </c>
      <c r="F3184" s="49" t="s">
        <v>2939</v>
      </c>
      <c r="G3184" s="49" t="s">
        <v>2787</v>
      </c>
      <c r="H3184" s="49" t="s">
        <v>8</v>
      </c>
      <c r="I3184" s="50">
        <v>34450</v>
      </c>
      <c r="J3184" s="50">
        <v>34522</v>
      </c>
      <c r="K3184" s="50">
        <v>36347</v>
      </c>
      <c r="M3184" s="49" t="s">
        <v>7943</v>
      </c>
    </row>
    <row r="3185" spans="1:13" x14ac:dyDescent="0.35">
      <c r="A3185" s="49" t="s">
        <v>15472</v>
      </c>
      <c r="B3185" s="49" t="s">
        <v>4338</v>
      </c>
      <c r="C3185" s="49"/>
      <c r="D3185" s="49" t="s">
        <v>1264</v>
      </c>
      <c r="E3185" s="49" t="s">
        <v>2908</v>
      </c>
      <c r="F3185" s="49" t="s">
        <v>2837</v>
      </c>
      <c r="G3185" s="49" t="s">
        <v>2776</v>
      </c>
      <c r="H3185" s="49" t="s">
        <v>980</v>
      </c>
      <c r="I3185" s="50">
        <v>43133</v>
      </c>
      <c r="M3185" s="49" t="s">
        <v>4340</v>
      </c>
    </row>
    <row r="3186" spans="1:13" x14ac:dyDescent="0.35">
      <c r="A3186" s="49" t="s">
        <v>14526</v>
      </c>
      <c r="B3186" s="49" t="s">
        <v>9769</v>
      </c>
      <c r="C3186" s="49" t="s">
        <v>7184</v>
      </c>
      <c r="D3186" s="49" t="s">
        <v>1264</v>
      </c>
      <c r="E3186" s="49" t="s">
        <v>2785</v>
      </c>
      <c r="F3186" s="49" t="s">
        <v>2792</v>
      </c>
      <c r="G3186" s="49" t="s">
        <v>2776</v>
      </c>
      <c r="H3186" s="49" t="s">
        <v>8</v>
      </c>
      <c r="I3186" s="50">
        <v>42129</v>
      </c>
      <c r="M3186" s="49" t="s">
        <v>9771</v>
      </c>
    </row>
    <row r="3187" spans="1:13" ht="37" customHeight="1" x14ac:dyDescent="0.35">
      <c r="A3187" s="49" t="s">
        <v>14526</v>
      </c>
      <c r="B3187" s="49" t="s">
        <v>12223</v>
      </c>
      <c r="C3187" s="51" t="s">
        <v>12224</v>
      </c>
      <c r="D3187" s="49" t="s">
        <v>1264</v>
      </c>
      <c r="E3187" s="49" t="s">
        <v>2785</v>
      </c>
      <c r="F3187" s="49" t="s">
        <v>2786</v>
      </c>
      <c r="G3187" s="49" t="s">
        <v>2776</v>
      </c>
      <c r="H3187" s="49" t="s">
        <v>973</v>
      </c>
      <c r="I3187" s="50">
        <v>45358</v>
      </c>
      <c r="M3187" s="49" t="s">
        <v>12225</v>
      </c>
    </row>
    <row r="3188" spans="1:13" x14ac:dyDescent="0.35">
      <c r="A3188" s="49" t="s">
        <v>9100</v>
      </c>
      <c r="B3188" s="49" t="s">
        <v>9099</v>
      </c>
      <c r="C3188" s="49" t="s">
        <v>2937</v>
      </c>
      <c r="D3188" s="49" t="s">
        <v>1264</v>
      </c>
      <c r="E3188" s="49" t="s">
        <v>2899</v>
      </c>
      <c r="F3188" s="49" t="s">
        <v>2939</v>
      </c>
      <c r="G3188" s="49" t="s">
        <v>2975</v>
      </c>
      <c r="H3188" s="49" t="s">
        <v>980</v>
      </c>
      <c r="I3188" s="50">
        <v>40100</v>
      </c>
      <c r="J3188" s="50">
        <v>39367</v>
      </c>
      <c r="K3188" s="50">
        <v>41986</v>
      </c>
      <c r="M3188" s="49" t="s">
        <v>9101</v>
      </c>
    </row>
    <row r="3189" spans="1:13" x14ac:dyDescent="0.35">
      <c r="A3189" s="49" t="s">
        <v>9100</v>
      </c>
      <c r="B3189" s="49" t="s">
        <v>14033</v>
      </c>
      <c r="C3189" s="49"/>
      <c r="D3189" s="49" t="s">
        <v>1264</v>
      </c>
      <c r="E3189" s="49" t="s">
        <v>2899</v>
      </c>
      <c r="F3189" s="49" t="s">
        <v>2939</v>
      </c>
      <c r="G3189" s="49" t="s">
        <v>2776</v>
      </c>
      <c r="H3189" s="49" t="s">
        <v>980</v>
      </c>
      <c r="I3189" s="50">
        <v>40479</v>
      </c>
      <c r="M3189" s="49" t="s">
        <v>14034</v>
      </c>
    </row>
    <row r="3190" spans="1:13" x14ac:dyDescent="0.35">
      <c r="A3190" s="49" t="s">
        <v>14475</v>
      </c>
      <c r="B3190" s="49" t="s">
        <v>9157</v>
      </c>
      <c r="C3190" s="49"/>
      <c r="D3190" s="49" t="s">
        <v>1264</v>
      </c>
      <c r="E3190" s="49" t="s">
        <v>2908</v>
      </c>
      <c r="F3190" s="49" t="s">
        <v>8985</v>
      </c>
      <c r="G3190" s="49" t="s">
        <v>2776</v>
      </c>
      <c r="H3190" s="49" t="s">
        <v>980</v>
      </c>
      <c r="I3190" s="50">
        <v>41386</v>
      </c>
      <c r="M3190" s="49" t="s">
        <v>9159</v>
      </c>
    </row>
    <row r="3191" spans="1:13" x14ac:dyDescent="0.35">
      <c r="A3191" s="49" t="s">
        <v>14069</v>
      </c>
      <c r="B3191" s="49" t="s">
        <v>2890</v>
      </c>
      <c r="C3191" s="49" t="s">
        <v>2891</v>
      </c>
      <c r="D3191" s="49" t="s">
        <v>1264</v>
      </c>
      <c r="E3191" s="49" t="s">
        <v>2814</v>
      </c>
      <c r="F3191" s="49" t="s">
        <v>2837</v>
      </c>
      <c r="G3191" s="49" t="s">
        <v>2787</v>
      </c>
      <c r="H3191" s="49" t="s">
        <v>980</v>
      </c>
      <c r="I3191" s="50">
        <v>43362</v>
      </c>
      <c r="J3191" s="50">
        <v>43819</v>
      </c>
      <c r="K3191" s="50">
        <v>44001</v>
      </c>
      <c r="M3191" s="49" t="s">
        <v>2893</v>
      </c>
    </row>
    <row r="3192" spans="1:13" x14ac:dyDescent="0.35">
      <c r="A3192" s="49" t="s">
        <v>14069</v>
      </c>
      <c r="B3192" s="49" t="s">
        <v>9276</v>
      </c>
      <c r="C3192" s="49"/>
      <c r="D3192" s="49" t="s">
        <v>1264</v>
      </c>
      <c r="E3192" s="49" t="s">
        <v>2908</v>
      </c>
      <c r="F3192" s="49" t="s">
        <v>2837</v>
      </c>
      <c r="G3192" s="49" t="s">
        <v>2776</v>
      </c>
      <c r="H3192" s="49" t="s">
        <v>980</v>
      </c>
      <c r="I3192" s="50">
        <v>43360</v>
      </c>
      <c r="M3192" s="49" t="s">
        <v>2893</v>
      </c>
    </row>
    <row r="3193" spans="1:13" x14ac:dyDescent="0.35">
      <c r="A3193" s="49" t="s">
        <v>14069</v>
      </c>
      <c r="B3193" s="49" t="s">
        <v>9293</v>
      </c>
      <c r="C3193" s="49"/>
      <c r="D3193" s="49" t="s">
        <v>1264</v>
      </c>
      <c r="E3193" s="49" t="s">
        <v>2908</v>
      </c>
      <c r="F3193" s="49" t="s">
        <v>2837</v>
      </c>
      <c r="G3193" s="49" t="s">
        <v>2776</v>
      </c>
      <c r="H3193" s="49" t="s">
        <v>2827</v>
      </c>
      <c r="I3193" s="50">
        <v>43180</v>
      </c>
      <c r="M3193" s="49" t="s">
        <v>9294</v>
      </c>
    </row>
    <row r="3194" spans="1:13" x14ac:dyDescent="0.35">
      <c r="A3194" s="49" t="s">
        <v>14069</v>
      </c>
      <c r="B3194" s="49" t="s">
        <v>10674</v>
      </c>
      <c r="C3194" s="49"/>
      <c r="D3194" s="49" t="s">
        <v>1264</v>
      </c>
      <c r="E3194" s="49" t="s">
        <v>2814</v>
      </c>
      <c r="F3194" s="49" t="s">
        <v>4048</v>
      </c>
      <c r="G3194" s="49" t="s">
        <v>2776</v>
      </c>
      <c r="H3194" s="49" t="s">
        <v>2832</v>
      </c>
      <c r="I3194" s="50">
        <v>43906</v>
      </c>
      <c r="M3194" s="49" t="s">
        <v>10675</v>
      </c>
    </row>
    <row r="3195" spans="1:13" x14ac:dyDescent="0.35">
      <c r="A3195" s="49" t="s">
        <v>15473</v>
      </c>
      <c r="B3195" s="49" t="s">
        <v>6288</v>
      </c>
      <c r="C3195" s="49" t="s">
        <v>3768</v>
      </c>
      <c r="D3195" s="49" t="s">
        <v>1264</v>
      </c>
      <c r="E3195" s="49" t="s">
        <v>3443</v>
      </c>
      <c r="F3195" s="49" t="s">
        <v>3124</v>
      </c>
      <c r="G3195" s="49" t="s">
        <v>4330</v>
      </c>
      <c r="H3195" s="49" t="s">
        <v>980</v>
      </c>
      <c r="I3195" s="50">
        <v>45160</v>
      </c>
    </row>
    <row r="3196" spans="1:13" x14ac:dyDescent="0.35">
      <c r="A3196" s="49" t="s">
        <v>15473</v>
      </c>
      <c r="B3196" s="49" t="s">
        <v>11548</v>
      </c>
      <c r="C3196" s="49"/>
      <c r="D3196" s="49" t="s">
        <v>1264</v>
      </c>
      <c r="E3196" s="49" t="s">
        <v>2986</v>
      </c>
      <c r="F3196" s="49" t="s">
        <v>2825</v>
      </c>
      <c r="G3196" s="49" t="s">
        <v>4891</v>
      </c>
      <c r="H3196" s="49" t="s">
        <v>2827</v>
      </c>
      <c r="I3196" s="50">
        <v>45167</v>
      </c>
      <c r="M3196" s="49" t="s">
        <v>11549</v>
      </c>
    </row>
    <row r="3197" spans="1:13" x14ac:dyDescent="0.35">
      <c r="A3197" s="49" t="s">
        <v>15671</v>
      </c>
      <c r="B3197" s="49" t="s">
        <v>12415</v>
      </c>
      <c r="C3197" s="49" t="s">
        <v>3768</v>
      </c>
      <c r="D3197" s="49" t="s">
        <v>1264</v>
      </c>
      <c r="E3197" s="49" t="s">
        <v>3443</v>
      </c>
      <c r="F3197" s="49" t="s">
        <v>3124</v>
      </c>
      <c r="G3197" s="49" t="s">
        <v>4891</v>
      </c>
      <c r="H3197" s="49" t="s">
        <v>980</v>
      </c>
      <c r="I3197" s="50">
        <v>45397</v>
      </c>
    </row>
    <row r="3198" spans="1:13" x14ac:dyDescent="0.35">
      <c r="A3198" s="49" t="s">
        <v>14696</v>
      </c>
      <c r="B3198" s="49" t="s">
        <v>14026</v>
      </c>
      <c r="C3198" s="49"/>
      <c r="D3198" s="49" t="s">
        <v>1264</v>
      </c>
      <c r="E3198" s="49" t="s">
        <v>2774</v>
      </c>
      <c r="F3198" s="49" t="s">
        <v>2900</v>
      </c>
      <c r="G3198" s="49" t="s">
        <v>2776</v>
      </c>
      <c r="H3198" s="49" t="s">
        <v>980</v>
      </c>
      <c r="I3198" s="50">
        <v>41082</v>
      </c>
      <c r="M3198" s="49" t="s">
        <v>14028</v>
      </c>
    </row>
    <row r="3199" spans="1:13" x14ac:dyDescent="0.35">
      <c r="A3199" s="49" t="s">
        <v>14671</v>
      </c>
      <c r="B3199" s="49" t="s">
        <v>13610</v>
      </c>
      <c r="C3199" s="49" t="s">
        <v>6133</v>
      </c>
      <c r="D3199" s="49" t="s">
        <v>1264</v>
      </c>
      <c r="E3199" s="49" t="s">
        <v>2785</v>
      </c>
      <c r="F3199" s="49" t="s">
        <v>2792</v>
      </c>
      <c r="G3199" s="49" t="s">
        <v>4891</v>
      </c>
      <c r="H3199" s="49" t="s">
        <v>980</v>
      </c>
      <c r="I3199" s="52">
        <v>46175.569016203699</v>
      </c>
      <c r="M3199" s="49" t="s">
        <v>13612</v>
      </c>
    </row>
    <row r="3200" spans="1:13" x14ac:dyDescent="0.35">
      <c r="A3200" s="49" t="s">
        <v>14284</v>
      </c>
      <c r="B3200" s="49" t="s">
        <v>6360</v>
      </c>
      <c r="C3200" s="49" t="s">
        <v>3768</v>
      </c>
      <c r="D3200" s="49" t="s">
        <v>1264</v>
      </c>
      <c r="E3200" s="49" t="s">
        <v>3443</v>
      </c>
      <c r="F3200" s="49" t="s">
        <v>3124</v>
      </c>
      <c r="G3200" s="49" t="s">
        <v>2901</v>
      </c>
      <c r="H3200" s="49" t="s">
        <v>980</v>
      </c>
      <c r="I3200" s="50">
        <v>45320</v>
      </c>
      <c r="J3200" s="50">
        <v>45324</v>
      </c>
      <c r="K3200" s="50">
        <v>47150</v>
      </c>
    </row>
    <row r="3201" spans="1:13" x14ac:dyDescent="0.35">
      <c r="A3201" s="49" t="s">
        <v>659</v>
      </c>
      <c r="B3201" s="49" t="s">
        <v>4595</v>
      </c>
      <c r="C3201" s="49"/>
      <c r="D3201" s="49" t="s">
        <v>1264</v>
      </c>
      <c r="E3201" s="49" t="s">
        <v>2785</v>
      </c>
      <c r="F3201" s="49" t="s">
        <v>2786</v>
      </c>
      <c r="G3201" s="49" t="s">
        <v>2787</v>
      </c>
      <c r="H3201" s="49" t="s">
        <v>980</v>
      </c>
      <c r="I3201" s="50">
        <v>44509</v>
      </c>
      <c r="J3201" s="50">
        <v>44526</v>
      </c>
      <c r="K3201" s="50">
        <v>45428</v>
      </c>
      <c r="M3201" s="49" t="s">
        <v>4597</v>
      </c>
    </row>
    <row r="3202" spans="1:13" x14ac:dyDescent="0.35">
      <c r="A3202" s="49" t="s">
        <v>14808</v>
      </c>
      <c r="B3202" s="49" t="s">
        <v>7151</v>
      </c>
      <c r="C3202" s="49" t="s">
        <v>6427</v>
      </c>
      <c r="D3202" s="49" t="s">
        <v>1264</v>
      </c>
      <c r="E3202" s="49" t="s">
        <v>2785</v>
      </c>
      <c r="F3202" s="49" t="s">
        <v>2792</v>
      </c>
      <c r="G3202" s="49" t="s">
        <v>2787</v>
      </c>
      <c r="H3202" s="49" t="s">
        <v>980</v>
      </c>
      <c r="I3202" s="50">
        <v>42314</v>
      </c>
      <c r="J3202" s="50">
        <v>42424</v>
      </c>
      <c r="K3202" s="50">
        <v>42605</v>
      </c>
      <c r="M3202" s="49" t="s">
        <v>7153</v>
      </c>
    </row>
    <row r="3203" spans="1:13" x14ac:dyDescent="0.35">
      <c r="A3203" s="49" t="s">
        <v>14808</v>
      </c>
      <c r="B3203" s="49" t="s">
        <v>7546</v>
      </c>
      <c r="C3203" s="49" t="s">
        <v>7547</v>
      </c>
      <c r="D3203" s="49" t="s">
        <v>1264</v>
      </c>
      <c r="E3203" s="49" t="s">
        <v>2785</v>
      </c>
      <c r="F3203" s="49" t="s">
        <v>2792</v>
      </c>
      <c r="G3203" s="49" t="s">
        <v>2787</v>
      </c>
      <c r="H3203" s="49" t="s">
        <v>980</v>
      </c>
      <c r="I3203" s="50">
        <v>43493</v>
      </c>
      <c r="J3203" s="50">
        <v>43698</v>
      </c>
      <c r="K3203" s="50">
        <v>44033</v>
      </c>
      <c r="M3203" s="49" t="s">
        <v>7549</v>
      </c>
    </row>
    <row r="3204" spans="1:13" x14ac:dyDescent="0.35">
      <c r="A3204" s="49" t="s">
        <v>15474</v>
      </c>
      <c r="B3204" s="49" t="s">
        <v>3869</v>
      </c>
      <c r="C3204" s="49" t="s">
        <v>2937</v>
      </c>
      <c r="D3204" s="49" t="s">
        <v>1264</v>
      </c>
      <c r="E3204" s="49" t="s">
        <v>2908</v>
      </c>
      <c r="F3204" s="49" t="s">
        <v>2939</v>
      </c>
      <c r="G3204" s="49" t="s">
        <v>2787</v>
      </c>
      <c r="H3204" s="49" t="s">
        <v>980</v>
      </c>
      <c r="I3204" s="50">
        <v>43453</v>
      </c>
      <c r="J3204" s="50">
        <v>43493</v>
      </c>
      <c r="K3204" s="50">
        <v>45318</v>
      </c>
      <c r="M3204" s="49" t="s">
        <v>3871</v>
      </c>
    </row>
    <row r="3205" spans="1:13" x14ac:dyDescent="0.35">
      <c r="A3205" s="49" t="s">
        <v>15474</v>
      </c>
      <c r="B3205" s="49" t="s">
        <v>3875</v>
      </c>
      <c r="C3205" s="49" t="s">
        <v>3784</v>
      </c>
      <c r="D3205" s="49" t="s">
        <v>1264</v>
      </c>
      <c r="E3205" s="49" t="s">
        <v>2908</v>
      </c>
      <c r="F3205" s="49" t="s">
        <v>2837</v>
      </c>
      <c r="G3205" s="49" t="s">
        <v>2787</v>
      </c>
      <c r="H3205" s="49" t="s">
        <v>2827</v>
      </c>
      <c r="I3205" s="50">
        <v>43458</v>
      </c>
      <c r="J3205" s="50">
        <v>43510</v>
      </c>
      <c r="K3205" s="50">
        <v>45336</v>
      </c>
      <c r="M3205" s="49" t="s">
        <v>3876</v>
      </c>
    </row>
    <row r="3206" spans="1:13" x14ac:dyDescent="0.35">
      <c r="A3206" s="49" t="s">
        <v>15474</v>
      </c>
      <c r="B3206" s="49" t="s">
        <v>6757</v>
      </c>
      <c r="C3206" s="49"/>
      <c r="D3206" s="49" t="s">
        <v>1264</v>
      </c>
      <c r="E3206" s="49" t="s">
        <v>2908</v>
      </c>
      <c r="F3206" s="49" t="s">
        <v>2837</v>
      </c>
      <c r="G3206" s="49" t="s">
        <v>4891</v>
      </c>
      <c r="H3206" s="49" t="s">
        <v>980</v>
      </c>
      <c r="I3206" s="50">
        <v>45714</v>
      </c>
      <c r="M3206" s="49" t="s">
        <v>6758</v>
      </c>
    </row>
    <row r="3207" spans="1:13" x14ac:dyDescent="0.35">
      <c r="A3207" s="49" t="s">
        <v>15475</v>
      </c>
      <c r="B3207" s="49" t="s">
        <v>6476</v>
      </c>
      <c r="C3207" s="49" t="s">
        <v>3768</v>
      </c>
      <c r="D3207" s="49" t="s">
        <v>1264</v>
      </c>
      <c r="E3207" s="49" t="s">
        <v>3443</v>
      </c>
      <c r="F3207" s="49" t="s">
        <v>3124</v>
      </c>
      <c r="G3207" s="49" t="s">
        <v>4330</v>
      </c>
      <c r="H3207" s="49" t="s">
        <v>980</v>
      </c>
      <c r="I3207" s="50">
        <v>45306</v>
      </c>
    </row>
    <row r="3208" spans="1:13" x14ac:dyDescent="0.35">
      <c r="A3208" s="49" t="s">
        <v>14544</v>
      </c>
      <c r="B3208" s="49" t="s">
        <v>10098</v>
      </c>
      <c r="C3208" s="49"/>
      <c r="D3208" s="49" t="s">
        <v>1264</v>
      </c>
      <c r="E3208" s="49" t="s">
        <v>2986</v>
      </c>
      <c r="F3208" s="49" t="s">
        <v>2825</v>
      </c>
      <c r="G3208" s="49" t="s">
        <v>2776</v>
      </c>
      <c r="H3208" s="49" t="s">
        <v>2827</v>
      </c>
      <c r="I3208" s="50">
        <v>44032</v>
      </c>
      <c r="M3208" s="49" t="s">
        <v>10100</v>
      </c>
    </row>
    <row r="3209" spans="1:13" x14ac:dyDescent="0.35">
      <c r="A3209" s="49" t="s">
        <v>14544</v>
      </c>
      <c r="B3209" s="49" t="s">
        <v>11801</v>
      </c>
      <c r="C3209" s="49" t="s">
        <v>11802</v>
      </c>
      <c r="D3209" s="49" t="s">
        <v>1264</v>
      </c>
      <c r="E3209" s="49" t="s">
        <v>2986</v>
      </c>
      <c r="F3209" s="49" t="s">
        <v>2825</v>
      </c>
      <c r="G3209" s="49" t="s">
        <v>4891</v>
      </c>
      <c r="H3209" s="49" t="s">
        <v>2827</v>
      </c>
      <c r="I3209" s="50">
        <v>45271</v>
      </c>
      <c r="M3209" s="49" t="s">
        <v>6099</v>
      </c>
    </row>
    <row r="3210" spans="1:13" x14ac:dyDescent="0.35">
      <c r="A3210" s="49" t="s">
        <v>14621</v>
      </c>
      <c r="B3210" s="49" t="s">
        <v>12043</v>
      </c>
      <c r="C3210" s="49" t="s">
        <v>12044</v>
      </c>
      <c r="D3210" s="49" t="s">
        <v>1264</v>
      </c>
      <c r="E3210" s="49" t="s">
        <v>2774</v>
      </c>
      <c r="F3210" s="49" t="s">
        <v>2900</v>
      </c>
      <c r="G3210" s="49" t="s">
        <v>4891</v>
      </c>
      <c r="H3210" s="49" t="s">
        <v>2832</v>
      </c>
      <c r="I3210" s="50">
        <v>45327</v>
      </c>
      <c r="M3210" s="49" t="s">
        <v>12046</v>
      </c>
    </row>
    <row r="3211" spans="1:13" x14ac:dyDescent="0.35">
      <c r="A3211" s="49" t="s">
        <v>14448</v>
      </c>
      <c r="B3211" s="49" t="s">
        <v>8659</v>
      </c>
      <c r="C3211" s="49" t="s">
        <v>8660</v>
      </c>
      <c r="D3211" s="49" t="s">
        <v>1264</v>
      </c>
      <c r="E3211" s="49" t="s">
        <v>7057</v>
      </c>
      <c r="F3211" s="49" t="s">
        <v>2825</v>
      </c>
      <c r="G3211" s="49" t="s">
        <v>2787</v>
      </c>
      <c r="H3211" s="49" t="s">
        <v>2827</v>
      </c>
      <c r="I3211" s="50">
        <v>42192</v>
      </c>
      <c r="J3211" s="50">
        <v>42283</v>
      </c>
      <c r="K3211" s="50">
        <v>43014</v>
      </c>
      <c r="M3211" s="49" t="s">
        <v>3270</v>
      </c>
    </row>
    <row r="3212" spans="1:13" x14ac:dyDescent="0.35">
      <c r="A3212" s="49" t="s">
        <v>15476</v>
      </c>
      <c r="B3212" s="49" t="s">
        <v>10636</v>
      </c>
      <c r="C3212" s="49" t="s">
        <v>10637</v>
      </c>
      <c r="D3212" s="49" t="s">
        <v>1264</v>
      </c>
      <c r="E3212" s="49" t="s">
        <v>2814</v>
      </c>
      <c r="F3212" s="49" t="s">
        <v>2939</v>
      </c>
      <c r="G3212" s="49" t="s">
        <v>2776</v>
      </c>
      <c r="H3212" s="49" t="s">
        <v>3229</v>
      </c>
      <c r="I3212" s="50">
        <v>42559</v>
      </c>
      <c r="M3212" s="49" t="s">
        <v>10639</v>
      </c>
    </row>
    <row r="3213" spans="1:13" x14ac:dyDescent="0.35">
      <c r="A3213" s="49" t="s">
        <v>663</v>
      </c>
      <c r="B3213" s="49" t="s">
        <v>8354</v>
      </c>
      <c r="C3213" s="49" t="s">
        <v>8355</v>
      </c>
      <c r="D3213" s="49" t="s">
        <v>1264</v>
      </c>
      <c r="E3213" s="49" t="s">
        <v>7057</v>
      </c>
      <c r="F3213" s="49" t="s">
        <v>2825</v>
      </c>
      <c r="G3213" s="49" t="s">
        <v>2787</v>
      </c>
      <c r="H3213" s="49" t="s">
        <v>2827</v>
      </c>
      <c r="I3213" s="50">
        <v>41725</v>
      </c>
      <c r="J3213" s="50">
        <v>41808</v>
      </c>
      <c r="K3213" s="50">
        <v>42538</v>
      </c>
      <c r="M3213" s="49" t="s">
        <v>8357</v>
      </c>
    </row>
    <row r="3214" spans="1:13" x14ac:dyDescent="0.35">
      <c r="A3214" s="49" t="s">
        <v>663</v>
      </c>
      <c r="B3214" s="49" t="s">
        <v>8656</v>
      </c>
      <c r="C3214" s="49" t="s">
        <v>8657</v>
      </c>
      <c r="D3214" s="49" t="s">
        <v>1264</v>
      </c>
      <c r="E3214" s="49" t="s">
        <v>7057</v>
      </c>
      <c r="F3214" s="49" t="s">
        <v>2825</v>
      </c>
      <c r="G3214" s="49" t="s">
        <v>2787</v>
      </c>
      <c r="H3214" s="49" t="s">
        <v>2827</v>
      </c>
      <c r="I3214" s="50">
        <v>42230</v>
      </c>
      <c r="J3214" s="50">
        <v>42283</v>
      </c>
      <c r="K3214" s="50">
        <v>43014</v>
      </c>
      <c r="M3214" s="49" t="s">
        <v>8658</v>
      </c>
    </row>
    <row r="3215" spans="1:13" x14ac:dyDescent="0.35">
      <c r="A3215" s="49" t="s">
        <v>663</v>
      </c>
      <c r="B3215" s="49" t="s">
        <v>9878</v>
      </c>
      <c r="C3215" s="49" t="s">
        <v>8355</v>
      </c>
      <c r="D3215" s="49" t="s">
        <v>1264</v>
      </c>
      <c r="E3215" s="49" t="s">
        <v>7057</v>
      </c>
      <c r="F3215" s="49" t="s">
        <v>2825</v>
      </c>
      <c r="G3215" s="49" t="s">
        <v>2787</v>
      </c>
      <c r="H3215" s="49" t="s">
        <v>2827</v>
      </c>
      <c r="I3215" s="50">
        <v>41540</v>
      </c>
      <c r="J3215" s="50">
        <v>41808</v>
      </c>
      <c r="K3215" s="50">
        <v>42539</v>
      </c>
      <c r="M3215" s="49" t="s">
        <v>8357</v>
      </c>
    </row>
    <row r="3216" spans="1:13" x14ac:dyDescent="0.35">
      <c r="A3216" s="49" t="s">
        <v>663</v>
      </c>
      <c r="B3216" s="49" t="s">
        <v>13781</v>
      </c>
      <c r="C3216" s="49"/>
      <c r="D3216" s="49" t="s">
        <v>1264</v>
      </c>
      <c r="E3216" s="49" t="s">
        <v>2974</v>
      </c>
      <c r="F3216" s="49" t="s">
        <v>2825</v>
      </c>
      <c r="G3216" s="49" t="s">
        <v>2776</v>
      </c>
      <c r="H3216" s="49" t="s">
        <v>2827</v>
      </c>
      <c r="I3216" s="50">
        <v>42478</v>
      </c>
      <c r="M3216" s="49" t="s">
        <v>13782</v>
      </c>
    </row>
    <row r="3217" spans="1:13" x14ac:dyDescent="0.35">
      <c r="A3217" s="49" t="s">
        <v>14379</v>
      </c>
      <c r="B3217" s="49" t="s">
        <v>7816</v>
      </c>
      <c r="C3217" s="49" t="s">
        <v>7817</v>
      </c>
      <c r="D3217" s="49" t="s">
        <v>1264</v>
      </c>
      <c r="E3217" s="49" t="s">
        <v>2774</v>
      </c>
      <c r="F3217" s="49" t="s">
        <v>2825</v>
      </c>
      <c r="G3217" s="49" t="s">
        <v>2787</v>
      </c>
      <c r="H3217" s="49" t="s">
        <v>2827</v>
      </c>
      <c r="I3217" s="50">
        <v>38251</v>
      </c>
      <c r="J3217" s="50">
        <v>38410</v>
      </c>
      <c r="K3217" s="50">
        <v>42793</v>
      </c>
      <c r="M3217" s="49" t="s">
        <v>7819</v>
      </c>
    </row>
    <row r="3218" spans="1:13" x14ac:dyDescent="0.35">
      <c r="A3218" s="49" t="s">
        <v>14379</v>
      </c>
      <c r="B3218" s="49" t="s">
        <v>13755</v>
      </c>
      <c r="C3218" s="49" t="s">
        <v>8657</v>
      </c>
      <c r="D3218" s="49" t="s">
        <v>1264</v>
      </c>
      <c r="E3218" s="49" t="s">
        <v>3413</v>
      </c>
      <c r="F3218" s="49" t="s">
        <v>2825</v>
      </c>
      <c r="G3218" s="49" t="s">
        <v>2826</v>
      </c>
      <c r="H3218" s="49" t="s">
        <v>2827</v>
      </c>
      <c r="I3218" s="50">
        <v>42731</v>
      </c>
      <c r="M3218" s="49" t="s">
        <v>13757</v>
      </c>
    </row>
    <row r="3219" spans="1:13" x14ac:dyDescent="0.35">
      <c r="A3219" s="49" t="s">
        <v>14293</v>
      </c>
      <c r="B3219" s="49" t="s">
        <v>6535</v>
      </c>
      <c r="C3219" s="49" t="s">
        <v>6536</v>
      </c>
      <c r="D3219" s="49" t="s">
        <v>1264</v>
      </c>
      <c r="E3219" s="49" t="s">
        <v>2814</v>
      </c>
      <c r="F3219" s="49" t="s">
        <v>2837</v>
      </c>
      <c r="G3219" s="49" t="s">
        <v>2787</v>
      </c>
      <c r="H3219" s="49" t="s">
        <v>980</v>
      </c>
      <c r="I3219" s="50">
        <v>45156</v>
      </c>
      <c r="J3219" s="50">
        <v>45315</v>
      </c>
      <c r="K3219" s="50">
        <v>45496</v>
      </c>
      <c r="M3219" s="49" t="s">
        <v>6538</v>
      </c>
    </row>
    <row r="3220" spans="1:13" x14ac:dyDescent="0.35">
      <c r="A3220" s="49" t="s">
        <v>14293</v>
      </c>
      <c r="B3220" s="49" t="s">
        <v>11864</v>
      </c>
      <c r="C3220" s="49"/>
      <c r="D3220" s="49" t="s">
        <v>1264</v>
      </c>
      <c r="E3220" s="49" t="s">
        <v>2814</v>
      </c>
      <c r="F3220" s="49" t="s">
        <v>2837</v>
      </c>
      <c r="G3220" s="49" t="s">
        <v>4891</v>
      </c>
      <c r="H3220" s="49" t="s">
        <v>980</v>
      </c>
      <c r="I3220" s="50">
        <v>45293</v>
      </c>
      <c r="M3220" s="49" t="s">
        <v>11865</v>
      </c>
    </row>
    <row r="3221" spans="1:13" x14ac:dyDescent="0.35">
      <c r="A3221" s="49" t="s">
        <v>14293</v>
      </c>
      <c r="B3221" s="49" t="s">
        <v>11946</v>
      </c>
      <c r="C3221" s="49"/>
      <c r="D3221" s="49" t="s">
        <v>1264</v>
      </c>
      <c r="E3221" s="49" t="s">
        <v>2974</v>
      </c>
      <c r="F3221" s="49" t="s">
        <v>3188</v>
      </c>
      <c r="G3221" s="49" t="s">
        <v>2776</v>
      </c>
      <c r="H3221" s="49" t="s">
        <v>973</v>
      </c>
      <c r="I3221" s="50">
        <v>45306</v>
      </c>
      <c r="M3221" s="49" t="s">
        <v>11947</v>
      </c>
    </row>
    <row r="3222" spans="1:13" x14ac:dyDescent="0.35">
      <c r="A3222" s="49" t="s">
        <v>15216</v>
      </c>
      <c r="B3222" s="49" t="s">
        <v>3204</v>
      </c>
      <c r="C3222" s="49" t="s">
        <v>3205</v>
      </c>
      <c r="D3222" s="49" t="s">
        <v>1264</v>
      </c>
      <c r="E3222" s="49" t="s">
        <v>2974</v>
      </c>
      <c r="F3222" s="49" t="s">
        <v>3005</v>
      </c>
      <c r="G3222" s="49" t="s">
        <v>2901</v>
      </c>
      <c r="H3222" s="49" t="s">
        <v>3207</v>
      </c>
      <c r="I3222" s="50">
        <v>40932</v>
      </c>
      <c r="J3222" s="50">
        <v>43474</v>
      </c>
      <c r="K3222" s="50">
        <v>47127</v>
      </c>
      <c r="M3222" s="49" t="s">
        <v>3208</v>
      </c>
    </row>
    <row r="3223" spans="1:13" x14ac:dyDescent="0.35">
      <c r="A3223" s="49" t="s">
        <v>15216</v>
      </c>
      <c r="B3223" s="49" t="s">
        <v>5661</v>
      </c>
      <c r="C3223" s="49"/>
      <c r="D3223" s="49" t="s">
        <v>1264</v>
      </c>
      <c r="E3223" s="49" t="s">
        <v>2774</v>
      </c>
      <c r="F3223" s="49" t="s">
        <v>3005</v>
      </c>
      <c r="G3223" s="49" t="s">
        <v>2901</v>
      </c>
      <c r="H3223" s="49" t="s">
        <v>3207</v>
      </c>
      <c r="I3223" s="50">
        <v>44831</v>
      </c>
      <c r="J3223" s="50">
        <v>45112</v>
      </c>
      <c r="K3223" s="50">
        <v>46572</v>
      </c>
      <c r="M3223" s="49" t="s">
        <v>5662</v>
      </c>
    </row>
    <row r="3224" spans="1:13" x14ac:dyDescent="0.35">
      <c r="A3224" s="49" t="s">
        <v>15216</v>
      </c>
      <c r="B3224" s="49" t="s">
        <v>6198</v>
      </c>
      <c r="C3224" s="49" t="s">
        <v>6199</v>
      </c>
      <c r="D3224" s="49" t="s">
        <v>1264</v>
      </c>
      <c r="E3224" s="49" t="s">
        <v>2974</v>
      </c>
      <c r="F3224" s="49" t="s">
        <v>3005</v>
      </c>
      <c r="G3224" s="49" t="s">
        <v>4330</v>
      </c>
      <c r="H3224" s="49" t="s">
        <v>3229</v>
      </c>
      <c r="I3224" s="50">
        <v>45190</v>
      </c>
      <c r="M3224" s="49" t="s">
        <v>6200</v>
      </c>
    </row>
    <row r="3225" spans="1:13" x14ac:dyDescent="0.35">
      <c r="A3225" s="49" t="s">
        <v>15216</v>
      </c>
      <c r="B3225" s="49" t="s">
        <v>12352</v>
      </c>
      <c r="C3225" s="49"/>
      <c r="D3225" s="49" t="s">
        <v>1264</v>
      </c>
      <c r="E3225" s="49" t="s">
        <v>2974</v>
      </c>
      <c r="F3225" s="49" t="s">
        <v>3005</v>
      </c>
      <c r="G3225" s="49" t="s">
        <v>4891</v>
      </c>
      <c r="H3225" s="49" t="s">
        <v>3229</v>
      </c>
      <c r="I3225" s="50">
        <v>45379</v>
      </c>
      <c r="M3225" s="49" t="s">
        <v>12353</v>
      </c>
    </row>
    <row r="3226" spans="1:13" x14ac:dyDescent="0.35">
      <c r="A3226" s="49" t="s">
        <v>15216</v>
      </c>
      <c r="B3226" s="49" t="s">
        <v>12918</v>
      </c>
      <c r="C3226" s="49"/>
      <c r="D3226" s="49" t="s">
        <v>1264</v>
      </c>
      <c r="E3226" s="49" t="s">
        <v>2814</v>
      </c>
      <c r="F3226" s="49" t="s">
        <v>3005</v>
      </c>
      <c r="G3226" s="49" t="s">
        <v>4891</v>
      </c>
      <c r="H3226" s="49" t="s">
        <v>1062</v>
      </c>
      <c r="I3226" s="52">
        <v>45901.649305555598</v>
      </c>
      <c r="M3226" s="49" t="s">
        <v>12920</v>
      </c>
    </row>
    <row r="3227" spans="1:13" x14ac:dyDescent="0.35">
      <c r="A3227" s="49" t="s">
        <v>15477</v>
      </c>
      <c r="B3227" s="49" t="s">
        <v>3666</v>
      </c>
      <c r="C3227" s="49" t="s">
        <v>3667</v>
      </c>
      <c r="D3227" s="49" t="s">
        <v>1264</v>
      </c>
      <c r="E3227" s="49" t="s">
        <v>2986</v>
      </c>
      <c r="F3227" s="49" t="s">
        <v>2825</v>
      </c>
      <c r="G3227" s="49" t="s">
        <v>2787</v>
      </c>
      <c r="H3227" s="49" t="s">
        <v>2827</v>
      </c>
      <c r="I3227" s="50">
        <v>43097</v>
      </c>
      <c r="J3227" s="50">
        <v>43271</v>
      </c>
      <c r="K3227" s="50">
        <v>44367</v>
      </c>
      <c r="M3227" s="49" t="s">
        <v>3270</v>
      </c>
    </row>
    <row r="3228" spans="1:13" x14ac:dyDescent="0.35">
      <c r="A3228" s="49" t="s">
        <v>15477</v>
      </c>
      <c r="B3228" s="49" t="s">
        <v>10527</v>
      </c>
      <c r="C3228" s="49" t="s">
        <v>10528</v>
      </c>
      <c r="D3228" s="49" t="s">
        <v>1264</v>
      </c>
      <c r="E3228" s="49" t="s">
        <v>2814</v>
      </c>
      <c r="F3228" s="49" t="s">
        <v>2825</v>
      </c>
      <c r="G3228" s="49" t="s">
        <v>2776</v>
      </c>
      <c r="H3228" s="49" t="s">
        <v>2827</v>
      </c>
      <c r="I3228" s="50">
        <v>43038</v>
      </c>
      <c r="M3228" s="49" t="s">
        <v>10529</v>
      </c>
    </row>
    <row r="3229" spans="1:13" x14ac:dyDescent="0.35">
      <c r="A3229" s="49" t="s">
        <v>15477</v>
      </c>
      <c r="B3229" s="49" t="s">
        <v>13716</v>
      </c>
      <c r="C3229" s="49" t="s">
        <v>13717</v>
      </c>
      <c r="D3229" s="49" t="s">
        <v>1264</v>
      </c>
      <c r="E3229" s="49" t="s">
        <v>2986</v>
      </c>
      <c r="F3229" s="49" t="s">
        <v>2825</v>
      </c>
      <c r="G3229" s="49" t="s">
        <v>2776</v>
      </c>
      <c r="H3229" s="49" t="s">
        <v>2827</v>
      </c>
      <c r="I3229" s="50">
        <v>43075</v>
      </c>
      <c r="M3229" s="49" t="s">
        <v>3270</v>
      </c>
    </row>
    <row r="3230" spans="1:13" x14ac:dyDescent="0.35">
      <c r="A3230" s="49" t="s">
        <v>14405</v>
      </c>
      <c r="B3230" s="49" t="s">
        <v>8108</v>
      </c>
      <c r="C3230" s="49"/>
      <c r="D3230" s="49" t="s">
        <v>1264</v>
      </c>
      <c r="E3230" s="49" t="s">
        <v>7057</v>
      </c>
      <c r="F3230" s="49" t="s">
        <v>2825</v>
      </c>
      <c r="G3230" s="49" t="s">
        <v>2776</v>
      </c>
      <c r="H3230" s="49" t="s">
        <v>2827</v>
      </c>
      <c r="I3230" s="50">
        <v>41477</v>
      </c>
      <c r="M3230" s="49" t="s">
        <v>8110</v>
      </c>
    </row>
    <row r="3231" spans="1:13" x14ac:dyDescent="0.35">
      <c r="A3231" s="49" t="s">
        <v>14405</v>
      </c>
      <c r="B3231" s="49" t="s">
        <v>8631</v>
      </c>
      <c r="C3231" s="49" t="s">
        <v>8632</v>
      </c>
      <c r="D3231" s="49" t="s">
        <v>1264</v>
      </c>
      <c r="E3231" s="49" t="s">
        <v>7057</v>
      </c>
      <c r="F3231" s="49" t="s">
        <v>2825</v>
      </c>
      <c r="G3231" s="49" t="s">
        <v>2787</v>
      </c>
      <c r="H3231" s="49" t="s">
        <v>2827</v>
      </c>
      <c r="I3231" s="50">
        <v>41477</v>
      </c>
      <c r="J3231" s="50">
        <v>41576</v>
      </c>
      <c r="K3231" s="50">
        <v>42565</v>
      </c>
      <c r="M3231" s="49" t="s">
        <v>3270</v>
      </c>
    </row>
    <row r="3232" spans="1:13" x14ac:dyDescent="0.35">
      <c r="A3232" s="49" t="s">
        <v>14405</v>
      </c>
      <c r="B3232" s="49" t="s">
        <v>8644</v>
      </c>
      <c r="C3232" s="49" t="s">
        <v>8645</v>
      </c>
      <c r="D3232" s="49" t="s">
        <v>1264</v>
      </c>
      <c r="E3232" s="49" t="s">
        <v>2986</v>
      </c>
      <c r="F3232" s="49" t="s">
        <v>2825</v>
      </c>
      <c r="G3232" s="49" t="s">
        <v>2921</v>
      </c>
      <c r="H3232" s="49" t="s">
        <v>2827</v>
      </c>
      <c r="I3232" s="50">
        <v>42585</v>
      </c>
      <c r="J3232" s="50">
        <v>42705</v>
      </c>
      <c r="K3232" s="50">
        <v>46390</v>
      </c>
      <c r="L3232" s="50">
        <v>45295</v>
      </c>
      <c r="M3232" s="49" t="s">
        <v>3270</v>
      </c>
    </row>
    <row r="3233" spans="1:13" x14ac:dyDescent="0.35">
      <c r="A3233" s="49" t="s">
        <v>14405</v>
      </c>
      <c r="B3233" s="49" t="s">
        <v>10525</v>
      </c>
      <c r="C3233" s="49" t="s">
        <v>10526</v>
      </c>
      <c r="D3233" s="49" t="s">
        <v>1264</v>
      </c>
      <c r="E3233" s="49" t="s">
        <v>2814</v>
      </c>
      <c r="F3233" s="49" t="s">
        <v>2837</v>
      </c>
      <c r="G3233" s="49" t="s">
        <v>2776</v>
      </c>
      <c r="H3233" s="49" t="s">
        <v>980</v>
      </c>
      <c r="I3233" s="50">
        <v>42958</v>
      </c>
      <c r="M3233" s="49" t="s">
        <v>3470</v>
      </c>
    </row>
    <row r="3234" spans="1:13" x14ac:dyDescent="0.35">
      <c r="A3234" s="49" t="s">
        <v>14405</v>
      </c>
      <c r="B3234" s="49" t="s">
        <v>10557</v>
      </c>
      <c r="C3234" s="49"/>
      <c r="D3234" s="49" t="s">
        <v>1264</v>
      </c>
      <c r="E3234" s="49" t="s">
        <v>2814</v>
      </c>
      <c r="F3234" s="49" t="s">
        <v>2825</v>
      </c>
      <c r="G3234" s="49" t="s">
        <v>2776</v>
      </c>
      <c r="H3234" s="49" t="s">
        <v>2827</v>
      </c>
      <c r="I3234" s="50">
        <v>43566</v>
      </c>
      <c r="M3234" s="49" t="s">
        <v>6706</v>
      </c>
    </row>
    <row r="3235" spans="1:13" x14ac:dyDescent="0.35">
      <c r="A3235" s="49" t="s">
        <v>665</v>
      </c>
      <c r="B3235" s="49" t="s">
        <v>3924</v>
      </c>
      <c r="C3235" s="49" t="s">
        <v>3768</v>
      </c>
      <c r="D3235" s="49" t="s">
        <v>1264</v>
      </c>
      <c r="E3235" s="49" t="s">
        <v>3443</v>
      </c>
      <c r="F3235" s="49" t="s">
        <v>3124</v>
      </c>
      <c r="G3235" s="49" t="s">
        <v>2787</v>
      </c>
      <c r="H3235" s="49" t="s">
        <v>980</v>
      </c>
      <c r="I3235" s="50">
        <v>43719</v>
      </c>
      <c r="J3235" s="50">
        <v>43756</v>
      </c>
      <c r="K3235" s="50">
        <v>45582</v>
      </c>
      <c r="M3235" s="49" t="s">
        <v>3526</v>
      </c>
    </row>
    <row r="3236" spans="1:13" x14ac:dyDescent="0.35">
      <c r="A3236" s="49" t="s">
        <v>665</v>
      </c>
      <c r="B3236" s="49" t="s">
        <v>6152</v>
      </c>
      <c r="C3236" s="49" t="s">
        <v>2937</v>
      </c>
      <c r="D3236" s="49" t="s">
        <v>1264</v>
      </c>
      <c r="E3236" s="49" t="s">
        <v>2908</v>
      </c>
      <c r="F3236" s="49" t="s">
        <v>2939</v>
      </c>
      <c r="G3236" s="49" t="s">
        <v>2901</v>
      </c>
      <c r="H3236" s="49" t="s">
        <v>980</v>
      </c>
      <c r="I3236" s="50">
        <v>44550</v>
      </c>
      <c r="J3236" s="50">
        <v>44602</v>
      </c>
      <c r="K3236" s="50">
        <v>46427</v>
      </c>
      <c r="M3236" s="49" t="s">
        <v>6153</v>
      </c>
    </row>
    <row r="3237" spans="1:13" x14ac:dyDescent="0.35">
      <c r="A3237" s="49" t="s">
        <v>665</v>
      </c>
      <c r="B3237" s="49" t="s">
        <v>6579</v>
      </c>
      <c r="C3237" s="49" t="s">
        <v>3776</v>
      </c>
      <c r="D3237" s="49" t="s">
        <v>1264</v>
      </c>
      <c r="E3237" s="49" t="s">
        <v>2908</v>
      </c>
      <c r="F3237" s="49" t="s">
        <v>2837</v>
      </c>
      <c r="G3237" s="49" t="s">
        <v>4330</v>
      </c>
      <c r="H3237" s="49" t="s">
        <v>973</v>
      </c>
      <c r="I3237" s="50">
        <v>45377</v>
      </c>
      <c r="M3237" s="49" t="s">
        <v>6580</v>
      </c>
    </row>
    <row r="3238" spans="1:13" x14ac:dyDescent="0.35">
      <c r="A3238" s="49" t="s">
        <v>665</v>
      </c>
      <c r="B3238" s="49" t="s">
        <v>9391</v>
      </c>
      <c r="C3238" s="49"/>
      <c r="D3238" s="49" t="s">
        <v>1264</v>
      </c>
      <c r="E3238" s="49" t="s">
        <v>2785</v>
      </c>
      <c r="F3238" s="49" t="s">
        <v>2786</v>
      </c>
      <c r="G3238" s="49" t="s">
        <v>2776</v>
      </c>
      <c r="H3238" s="49" t="s">
        <v>980</v>
      </c>
      <c r="I3238" s="50">
        <v>44145</v>
      </c>
      <c r="M3238" s="49" t="s">
        <v>9392</v>
      </c>
    </row>
    <row r="3239" spans="1:13" x14ac:dyDescent="0.35">
      <c r="A3239" s="49" t="s">
        <v>665</v>
      </c>
      <c r="B3239" s="49" t="s">
        <v>9483</v>
      </c>
      <c r="C3239" s="49"/>
      <c r="D3239" s="49" t="s">
        <v>1264</v>
      </c>
      <c r="E3239" s="49" t="s">
        <v>2785</v>
      </c>
      <c r="F3239" s="49" t="s">
        <v>2786</v>
      </c>
      <c r="G3239" s="49" t="s">
        <v>2776</v>
      </c>
      <c r="H3239" s="49" t="s">
        <v>980</v>
      </c>
      <c r="I3239" s="50">
        <v>44000</v>
      </c>
      <c r="M3239" s="49" t="s">
        <v>9484</v>
      </c>
    </row>
    <row r="3240" spans="1:13" x14ac:dyDescent="0.35">
      <c r="A3240" s="49" t="s">
        <v>665</v>
      </c>
      <c r="B3240" s="49" t="s">
        <v>10946</v>
      </c>
      <c r="C3240" s="49" t="s">
        <v>3776</v>
      </c>
      <c r="D3240" s="49" t="s">
        <v>1264</v>
      </c>
      <c r="E3240" s="49" t="s">
        <v>2908</v>
      </c>
      <c r="F3240" s="49" t="s">
        <v>2939</v>
      </c>
      <c r="G3240" s="49" t="s">
        <v>4891</v>
      </c>
      <c r="H3240" s="49" t="s">
        <v>973</v>
      </c>
      <c r="I3240" s="50">
        <v>44557</v>
      </c>
      <c r="M3240" s="49" t="s">
        <v>10947</v>
      </c>
    </row>
    <row r="3241" spans="1:13" x14ac:dyDescent="0.35">
      <c r="A3241" s="49" t="s">
        <v>14723</v>
      </c>
      <c r="B3241" s="49" t="s">
        <v>7590</v>
      </c>
      <c r="C3241" s="49" t="s">
        <v>7591</v>
      </c>
      <c r="D3241" s="49" t="s">
        <v>1264</v>
      </c>
      <c r="E3241" s="49" t="s">
        <v>2785</v>
      </c>
      <c r="F3241" s="49" t="s">
        <v>2786</v>
      </c>
      <c r="G3241" s="49" t="s">
        <v>2787</v>
      </c>
      <c r="H3241" s="49" t="s">
        <v>4225</v>
      </c>
      <c r="I3241" s="50">
        <v>43178</v>
      </c>
      <c r="J3241" s="50">
        <v>43305</v>
      </c>
      <c r="K3241" s="50">
        <v>43488</v>
      </c>
      <c r="M3241" s="49" t="s">
        <v>7593</v>
      </c>
    </row>
    <row r="3242" spans="1:13" x14ac:dyDescent="0.35">
      <c r="A3242" s="49" t="s">
        <v>14079</v>
      </c>
      <c r="B3242" s="49" t="s">
        <v>3070</v>
      </c>
      <c r="C3242" s="49" t="s">
        <v>3071</v>
      </c>
      <c r="D3242" s="49" t="s">
        <v>1264</v>
      </c>
      <c r="E3242" s="49" t="s">
        <v>2974</v>
      </c>
      <c r="F3242" s="49" t="s">
        <v>2900</v>
      </c>
      <c r="G3242" s="49" t="s">
        <v>2787</v>
      </c>
      <c r="H3242" s="49" t="s">
        <v>980</v>
      </c>
      <c r="I3242" s="50">
        <v>39990</v>
      </c>
      <c r="J3242" s="50">
        <v>40126</v>
      </c>
      <c r="K3242" s="50">
        <v>45215</v>
      </c>
      <c r="M3242" s="49" t="s">
        <v>3073</v>
      </c>
    </row>
    <row r="3243" spans="1:13" x14ac:dyDescent="0.35">
      <c r="A3243" s="49" t="s">
        <v>14079</v>
      </c>
      <c r="B3243" s="49" t="s">
        <v>8646</v>
      </c>
      <c r="C3243" s="49" t="s">
        <v>8647</v>
      </c>
      <c r="D3243" s="49" t="s">
        <v>1264</v>
      </c>
      <c r="E3243" s="49" t="s">
        <v>2974</v>
      </c>
      <c r="F3243" s="49" t="s">
        <v>2900</v>
      </c>
      <c r="G3243" s="49" t="s">
        <v>2787</v>
      </c>
      <c r="H3243" s="49" t="s">
        <v>980</v>
      </c>
      <c r="I3243" s="50">
        <v>42678</v>
      </c>
      <c r="J3243" s="50">
        <v>42712</v>
      </c>
      <c r="K3243" s="50">
        <v>43807</v>
      </c>
      <c r="M3243" s="49" t="s">
        <v>8648</v>
      </c>
    </row>
    <row r="3244" spans="1:13" x14ac:dyDescent="0.35">
      <c r="A3244" s="49" t="s">
        <v>14079</v>
      </c>
      <c r="B3244" s="49" t="s">
        <v>9868</v>
      </c>
      <c r="C3244" s="49"/>
      <c r="D3244" s="49" t="s">
        <v>1264</v>
      </c>
      <c r="E3244" s="49" t="s">
        <v>2785</v>
      </c>
      <c r="F3244" s="49" t="s">
        <v>2792</v>
      </c>
      <c r="G3244" s="49" t="s">
        <v>2776</v>
      </c>
      <c r="H3244" s="49" t="s">
        <v>980</v>
      </c>
      <c r="I3244" s="50">
        <v>42822</v>
      </c>
      <c r="M3244" s="49" t="s">
        <v>9869</v>
      </c>
    </row>
    <row r="3245" spans="1:13" x14ac:dyDescent="0.35">
      <c r="A3245" s="49" t="s">
        <v>14079</v>
      </c>
      <c r="B3245" s="49" t="s">
        <v>10688</v>
      </c>
      <c r="C3245" s="49" t="s">
        <v>8647</v>
      </c>
      <c r="D3245" s="49" t="s">
        <v>1264</v>
      </c>
      <c r="E3245" s="49" t="s">
        <v>3413</v>
      </c>
      <c r="F3245" s="49" t="s">
        <v>2900</v>
      </c>
      <c r="G3245" s="49" t="s">
        <v>2826</v>
      </c>
      <c r="H3245" s="49" t="s">
        <v>980</v>
      </c>
      <c r="I3245" s="50">
        <v>42373</v>
      </c>
      <c r="M3245" s="49" t="s">
        <v>10690</v>
      </c>
    </row>
    <row r="3246" spans="1:13" x14ac:dyDescent="0.35">
      <c r="A3246" s="49" t="s">
        <v>15079</v>
      </c>
      <c r="B3246" s="49" t="s">
        <v>5648</v>
      </c>
      <c r="C3246" s="49" t="s">
        <v>5649</v>
      </c>
      <c r="D3246" s="49" t="s">
        <v>1264</v>
      </c>
      <c r="E3246" s="49" t="s">
        <v>2785</v>
      </c>
      <c r="F3246" s="49" t="s">
        <v>2792</v>
      </c>
      <c r="G3246" s="49" t="s">
        <v>2787</v>
      </c>
      <c r="H3246" s="49" t="s">
        <v>980</v>
      </c>
      <c r="I3246" s="50">
        <v>45049</v>
      </c>
      <c r="J3246" s="50">
        <v>45092</v>
      </c>
      <c r="K3246" s="50">
        <v>45457</v>
      </c>
      <c r="M3246" s="49" t="s">
        <v>5651</v>
      </c>
    </row>
    <row r="3247" spans="1:13" x14ac:dyDescent="0.35">
      <c r="A3247" s="49" t="s">
        <v>10344</v>
      </c>
      <c r="B3247" s="49" t="s">
        <v>10343</v>
      </c>
      <c r="C3247" s="49" t="s">
        <v>2863</v>
      </c>
      <c r="D3247" s="49" t="s">
        <v>1264</v>
      </c>
      <c r="E3247" s="49" t="s">
        <v>2814</v>
      </c>
      <c r="F3247" s="49" t="s">
        <v>2825</v>
      </c>
      <c r="G3247" s="49" t="s">
        <v>2776</v>
      </c>
      <c r="H3247" s="49" t="s">
        <v>2827</v>
      </c>
      <c r="I3247" s="50">
        <v>42423</v>
      </c>
      <c r="M3247" s="49" t="s">
        <v>3470</v>
      </c>
    </row>
    <row r="3248" spans="1:13" x14ac:dyDescent="0.35">
      <c r="A3248" s="49" t="s">
        <v>15217</v>
      </c>
      <c r="B3248" s="49" t="s">
        <v>6978</v>
      </c>
      <c r="C3248" s="49"/>
      <c r="D3248" s="49" t="s">
        <v>1264</v>
      </c>
      <c r="E3248" s="49" t="s">
        <v>2785</v>
      </c>
      <c r="F3248" s="49" t="s">
        <v>2786</v>
      </c>
      <c r="G3248" s="49" t="s">
        <v>4891</v>
      </c>
      <c r="H3248" s="49" t="s">
        <v>980</v>
      </c>
      <c r="I3248" s="52">
        <v>46132.659525463001</v>
      </c>
      <c r="M3248" s="49" t="s">
        <v>6980</v>
      </c>
    </row>
    <row r="3249" spans="1:13" x14ac:dyDescent="0.35">
      <c r="A3249" s="49" t="s">
        <v>852</v>
      </c>
      <c r="B3249" s="49" t="s">
        <v>6296</v>
      </c>
      <c r="C3249" s="49" t="s">
        <v>6297</v>
      </c>
      <c r="D3249" s="49" t="s">
        <v>1264</v>
      </c>
      <c r="E3249" s="49" t="s">
        <v>2785</v>
      </c>
      <c r="F3249" s="49" t="s">
        <v>2792</v>
      </c>
      <c r="G3249" s="49" t="s">
        <v>4330</v>
      </c>
      <c r="H3249" s="49" t="s">
        <v>835</v>
      </c>
      <c r="I3249" s="50">
        <v>45309</v>
      </c>
      <c r="M3249" s="49" t="s">
        <v>6299</v>
      </c>
    </row>
    <row r="3250" spans="1:13" x14ac:dyDescent="0.35">
      <c r="A3250" s="49" t="s">
        <v>14674</v>
      </c>
      <c r="B3250" s="49" t="s">
        <v>13702</v>
      </c>
      <c r="C3250" s="49"/>
      <c r="D3250" s="49" t="s">
        <v>1264</v>
      </c>
      <c r="E3250" s="49" t="s">
        <v>2986</v>
      </c>
      <c r="F3250" s="49" t="s">
        <v>2825</v>
      </c>
      <c r="G3250" s="49" t="s">
        <v>2776</v>
      </c>
      <c r="H3250" s="49" t="s">
        <v>2827</v>
      </c>
      <c r="I3250" s="50">
        <v>42706</v>
      </c>
      <c r="M3250" s="49" t="s">
        <v>3470</v>
      </c>
    </row>
    <row r="3251" spans="1:13" x14ac:dyDescent="0.35">
      <c r="A3251" s="49" t="s">
        <v>15478</v>
      </c>
      <c r="B3251" s="49" t="s">
        <v>3170</v>
      </c>
      <c r="C3251" s="49" t="s">
        <v>3171</v>
      </c>
      <c r="D3251" s="49" t="s">
        <v>1264</v>
      </c>
      <c r="E3251" s="49" t="s">
        <v>2974</v>
      </c>
      <c r="F3251" s="49" t="s">
        <v>2825</v>
      </c>
      <c r="G3251" s="49" t="s">
        <v>2901</v>
      </c>
      <c r="H3251" s="49" t="s">
        <v>2827</v>
      </c>
      <c r="I3251" s="50">
        <v>40744</v>
      </c>
      <c r="J3251" s="50">
        <v>40935</v>
      </c>
      <c r="K3251" s="50">
        <v>46765</v>
      </c>
      <c r="M3251" s="49" t="s">
        <v>3173</v>
      </c>
    </row>
    <row r="3252" spans="1:13" x14ac:dyDescent="0.35">
      <c r="A3252" s="49" t="s">
        <v>14756</v>
      </c>
      <c r="B3252" s="49" t="s">
        <v>8951</v>
      </c>
      <c r="C3252" s="49"/>
      <c r="D3252" s="49" t="s">
        <v>1264</v>
      </c>
      <c r="E3252" s="49" t="s">
        <v>2814</v>
      </c>
      <c r="F3252" s="49" t="s">
        <v>2825</v>
      </c>
      <c r="G3252" s="49" t="s">
        <v>2787</v>
      </c>
      <c r="H3252" s="49" t="s">
        <v>2827</v>
      </c>
      <c r="I3252" s="50">
        <v>42136</v>
      </c>
      <c r="J3252" s="50">
        <v>42152</v>
      </c>
      <c r="K3252" s="50">
        <v>42335</v>
      </c>
      <c r="M3252" s="49" t="s">
        <v>6129</v>
      </c>
    </row>
    <row r="3253" spans="1:13" x14ac:dyDescent="0.35">
      <c r="A3253" s="49" t="s">
        <v>14756</v>
      </c>
      <c r="B3253" s="49" t="s">
        <v>9918</v>
      </c>
      <c r="C3253" s="49"/>
      <c r="D3253" s="49" t="s">
        <v>1264</v>
      </c>
      <c r="E3253" s="49" t="s">
        <v>7057</v>
      </c>
      <c r="F3253" s="49" t="s">
        <v>2825</v>
      </c>
      <c r="G3253" s="49" t="s">
        <v>2776</v>
      </c>
      <c r="H3253" s="49" t="s">
        <v>2827</v>
      </c>
      <c r="I3253" s="50">
        <v>42129</v>
      </c>
      <c r="M3253" s="49" t="s">
        <v>3270</v>
      </c>
    </row>
    <row r="3254" spans="1:13" x14ac:dyDescent="0.35">
      <c r="A3254" s="49" t="s">
        <v>10521</v>
      </c>
      <c r="B3254" s="49" t="s">
        <v>10520</v>
      </c>
      <c r="C3254" s="49"/>
      <c r="D3254" s="49" t="s">
        <v>1264</v>
      </c>
      <c r="E3254" s="49" t="s">
        <v>2814</v>
      </c>
      <c r="F3254" s="49" t="s">
        <v>2825</v>
      </c>
      <c r="G3254" s="49" t="s">
        <v>2776</v>
      </c>
      <c r="H3254" s="49" t="s">
        <v>2827</v>
      </c>
      <c r="I3254" s="50">
        <v>42875</v>
      </c>
      <c r="M3254" s="49" t="s">
        <v>3470</v>
      </c>
    </row>
    <row r="3255" spans="1:13" x14ac:dyDescent="0.35">
      <c r="A3255" s="49" t="s">
        <v>15037</v>
      </c>
      <c r="B3255" s="49" t="s">
        <v>12003</v>
      </c>
      <c r="C3255" s="49"/>
      <c r="D3255" s="49" t="s">
        <v>1264</v>
      </c>
      <c r="E3255" s="49" t="s">
        <v>2774</v>
      </c>
      <c r="F3255" s="49" t="s">
        <v>5254</v>
      </c>
      <c r="G3255" s="49" t="s">
        <v>4891</v>
      </c>
      <c r="H3255" s="49" t="s">
        <v>973</v>
      </c>
      <c r="I3255" s="50">
        <v>45314</v>
      </c>
      <c r="M3255" s="49" t="s">
        <v>12005</v>
      </c>
    </row>
    <row r="3256" spans="1:13" x14ac:dyDescent="0.35">
      <c r="A3256" s="49" t="s">
        <v>667</v>
      </c>
      <c r="B3256" s="49" t="s">
        <v>5453</v>
      </c>
      <c r="C3256" s="49" t="s">
        <v>5454</v>
      </c>
      <c r="D3256" s="49" t="s">
        <v>1264</v>
      </c>
      <c r="E3256" s="49" t="s">
        <v>2986</v>
      </c>
      <c r="F3256" s="49" t="s">
        <v>2825</v>
      </c>
      <c r="G3256" s="49" t="s">
        <v>4330</v>
      </c>
      <c r="H3256" s="49" t="s">
        <v>2827</v>
      </c>
      <c r="I3256" s="50">
        <v>45002</v>
      </c>
      <c r="M3256" s="49" t="s">
        <v>5456</v>
      </c>
    </row>
    <row r="3257" spans="1:13" x14ac:dyDescent="0.35">
      <c r="A3257" s="49" t="s">
        <v>667</v>
      </c>
      <c r="B3257" s="49" t="s">
        <v>5943</v>
      </c>
      <c r="C3257" s="49" t="s">
        <v>5944</v>
      </c>
      <c r="D3257" s="49" t="s">
        <v>1264</v>
      </c>
      <c r="E3257" s="49" t="s">
        <v>2785</v>
      </c>
      <c r="F3257" s="49" t="s">
        <v>2786</v>
      </c>
      <c r="G3257" s="49" t="s">
        <v>4330</v>
      </c>
      <c r="H3257" s="49" t="s">
        <v>980</v>
      </c>
      <c r="I3257" s="50">
        <v>45022</v>
      </c>
      <c r="M3257" s="49" t="s">
        <v>5945</v>
      </c>
    </row>
    <row r="3258" spans="1:13" x14ac:dyDescent="0.35">
      <c r="A3258" s="49" t="s">
        <v>667</v>
      </c>
      <c r="B3258" s="49" t="s">
        <v>13439</v>
      </c>
      <c r="C3258" s="49"/>
      <c r="D3258" s="49" t="s">
        <v>1264</v>
      </c>
      <c r="E3258" s="49" t="s">
        <v>2785</v>
      </c>
      <c r="F3258" s="49" t="s">
        <v>2786</v>
      </c>
      <c r="G3258" s="49" t="s">
        <v>4891</v>
      </c>
      <c r="H3258" s="49" t="s">
        <v>980</v>
      </c>
      <c r="I3258" s="52">
        <v>46132.631631944401</v>
      </c>
      <c r="M3258" s="49" t="s">
        <v>13440</v>
      </c>
    </row>
    <row r="3259" spans="1:13" x14ac:dyDescent="0.35">
      <c r="A3259" s="49" t="s">
        <v>15479</v>
      </c>
      <c r="B3259" s="49" t="s">
        <v>11061</v>
      </c>
      <c r="C3259" s="49"/>
      <c r="D3259" s="49" t="s">
        <v>1264</v>
      </c>
      <c r="E3259" s="49" t="s">
        <v>2774</v>
      </c>
      <c r="F3259" s="49" t="s">
        <v>2825</v>
      </c>
      <c r="G3259" s="49" t="s">
        <v>2776</v>
      </c>
      <c r="H3259" s="49" t="s">
        <v>2827</v>
      </c>
      <c r="I3259" s="50">
        <v>44747</v>
      </c>
      <c r="M3259" s="49" t="s">
        <v>11063</v>
      </c>
    </row>
    <row r="3260" spans="1:13" x14ac:dyDescent="0.35">
      <c r="A3260" s="49" t="s">
        <v>14589</v>
      </c>
      <c r="B3260" s="49" t="s">
        <v>11009</v>
      </c>
      <c r="C3260" s="49" t="s">
        <v>11010</v>
      </c>
      <c r="D3260" s="49" t="s">
        <v>1264</v>
      </c>
      <c r="E3260" s="49" t="s">
        <v>2986</v>
      </c>
      <c r="F3260" s="49" t="s">
        <v>2825</v>
      </c>
      <c r="G3260" s="49" t="s">
        <v>2776</v>
      </c>
      <c r="H3260" s="49" t="s">
        <v>2827</v>
      </c>
      <c r="I3260" s="50">
        <v>44637</v>
      </c>
      <c r="M3260" s="49" t="s">
        <v>11012</v>
      </c>
    </row>
    <row r="3261" spans="1:13" x14ac:dyDescent="0.35">
      <c r="A3261" s="49" t="s">
        <v>14976</v>
      </c>
      <c r="B3261" s="49" t="s">
        <v>7325</v>
      </c>
      <c r="C3261" s="49" t="s">
        <v>7051</v>
      </c>
      <c r="D3261" s="49" t="s">
        <v>1264</v>
      </c>
      <c r="E3261" s="49" t="s">
        <v>2785</v>
      </c>
      <c r="F3261" s="49" t="s">
        <v>2792</v>
      </c>
      <c r="G3261" s="49" t="s">
        <v>2787</v>
      </c>
      <c r="H3261" s="49" t="s">
        <v>8</v>
      </c>
      <c r="I3261" s="50">
        <v>41585</v>
      </c>
      <c r="J3261" s="50">
        <v>41655</v>
      </c>
      <c r="K3261" s="50">
        <v>42384</v>
      </c>
      <c r="M3261" s="49" t="s">
        <v>7327</v>
      </c>
    </row>
    <row r="3262" spans="1:13" x14ac:dyDescent="0.35">
      <c r="A3262" s="49" t="s">
        <v>14181</v>
      </c>
      <c r="B3262" s="49" t="s">
        <v>4384</v>
      </c>
      <c r="C3262" s="49"/>
      <c r="D3262" s="49" t="s">
        <v>1264</v>
      </c>
      <c r="E3262" s="49" t="s">
        <v>3748</v>
      </c>
      <c r="F3262" s="49" t="s">
        <v>2792</v>
      </c>
      <c r="G3262" s="49" t="s">
        <v>2901</v>
      </c>
      <c r="H3262" s="49" t="s">
        <v>973</v>
      </c>
      <c r="I3262" s="50">
        <v>44280</v>
      </c>
      <c r="J3262" s="50">
        <v>44315</v>
      </c>
      <c r="K3262" s="50">
        <v>46140</v>
      </c>
      <c r="M3262" s="49" t="s">
        <v>4386</v>
      </c>
    </row>
    <row r="3263" spans="1:13" x14ac:dyDescent="0.35">
      <c r="A3263" s="49" t="s">
        <v>15480</v>
      </c>
      <c r="B3263" s="49" t="s">
        <v>3407</v>
      </c>
      <c r="C3263" s="49" t="s">
        <v>3408</v>
      </c>
      <c r="D3263" s="49" t="s">
        <v>1264</v>
      </c>
      <c r="E3263" s="49" t="s">
        <v>2986</v>
      </c>
      <c r="F3263" s="49" t="s">
        <v>2825</v>
      </c>
      <c r="G3263" s="49" t="s">
        <v>2787</v>
      </c>
      <c r="H3263" s="49" t="s">
        <v>2827</v>
      </c>
      <c r="I3263" s="50">
        <v>42073</v>
      </c>
      <c r="J3263" s="50">
        <v>42153</v>
      </c>
      <c r="K3263" s="50">
        <v>44569</v>
      </c>
      <c r="M3263" s="49" t="s">
        <v>3270</v>
      </c>
    </row>
    <row r="3264" spans="1:13" x14ac:dyDescent="0.35">
      <c r="A3264" s="49" t="s">
        <v>15480</v>
      </c>
      <c r="B3264" s="49" t="s">
        <v>3431</v>
      </c>
      <c r="C3264" s="49" t="s">
        <v>3432</v>
      </c>
      <c r="D3264" s="49" t="s">
        <v>1264</v>
      </c>
      <c r="E3264" s="49" t="s">
        <v>2986</v>
      </c>
      <c r="F3264" s="49" t="s">
        <v>2825</v>
      </c>
      <c r="G3264" s="49" t="s">
        <v>2787</v>
      </c>
      <c r="H3264" s="49" t="s">
        <v>2827</v>
      </c>
      <c r="I3264" s="50">
        <v>42221</v>
      </c>
      <c r="J3264" s="50">
        <v>42678</v>
      </c>
      <c r="K3264" s="50">
        <v>45353</v>
      </c>
      <c r="M3264" s="49" t="s">
        <v>3270</v>
      </c>
    </row>
    <row r="3265" spans="1:13" x14ac:dyDescent="0.35">
      <c r="A3265" s="49" t="s">
        <v>10259</v>
      </c>
      <c r="B3265" s="49" t="s">
        <v>10257</v>
      </c>
      <c r="C3265" s="49" t="s">
        <v>10258</v>
      </c>
      <c r="D3265" s="49" t="s">
        <v>1264</v>
      </c>
      <c r="E3265" s="49" t="s">
        <v>2814</v>
      </c>
      <c r="F3265" s="49" t="s">
        <v>2825</v>
      </c>
      <c r="G3265" s="49" t="s">
        <v>2776</v>
      </c>
      <c r="H3265" s="49" t="s">
        <v>2827</v>
      </c>
      <c r="I3265" s="50">
        <v>42676</v>
      </c>
      <c r="M3265" s="49" t="s">
        <v>3470</v>
      </c>
    </row>
    <row r="3266" spans="1:13" x14ac:dyDescent="0.35">
      <c r="A3266" s="49" t="s">
        <v>9140</v>
      </c>
      <c r="B3266" s="49" t="s">
        <v>8891</v>
      </c>
      <c r="C3266" s="49"/>
      <c r="D3266" s="49" t="s">
        <v>1264</v>
      </c>
      <c r="E3266" s="49" t="s">
        <v>2814</v>
      </c>
      <c r="F3266" s="49" t="s">
        <v>2825</v>
      </c>
      <c r="G3266" s="49" t="s">
        <v>2787</v>
      </c>
      <c r="H3266" s="49" t="s">
        <v>2827</v>
      </c>
      <c r="I3266" s="50">
        <v>42055</v>
      </c>
      <c r="J3266" s="50">
        <v>42069</v>
      </c>
      <c r="K3266" s="50">
        <v>42252</v>
      </c>
      <c r="M3266" s="49" t="s">
        <v>8893</v>
      </c>
    </row>
    <row r="3267" spans="1:13" x14ac:dyDescent="0.35">
      <c r="A3267" s="49" t="s">
        <v>9140</v>
      </c>
      <c r="B3267" s="49" t="s">
        <v>8894</v>
      </c>
      <c r="C3267" s="49"/>
      <c r="D3267" s="49" t="s">
        <v>1264</v>
      </c>
      <c r="E3267" s="49" t="s">
        <v>2814</v>
      </c>
      <c r="F3267" s="49" t="s">
        <v>2837</v>
      </c>
      <c r="G3267" s="49" t="s">
        <v>2787</v>
      </c>
      <c r="H3267" s="49" t="s">
        <v>2827</v>
      </c>
      <c r="I3267" s="50">
        <v>42055</v>
      </c>
      <c r="J3267" s="50">
        <v>42069</v>
      </c>
      <c r="K3267" s="50">
        <v>42252</v>
      </c>
      <c r="M3267" s="49" t="s">
        <v>8895</v>
      </c>
    </row>
    <row r="3268" spans="1:13" x14ac:dyDescent="0.35">
      <c r="A3268" s="49" t="s">
        <v>9140</v>
      </c>
      <c r="B3268" s="49" t="s">
        <v>9139</v>
      </c>
      <c r="C3268" s="49"/>
      <c r="D3268" s="49" t="s">
        <v>1264</v>
      </c>
      <c r="E3268" s="49" t="s">
        <v>2908</v>
      </c>
      <c r="F3268" s="49" t="s">
        <v>2939</v>
      </c>
      <c r="G3268" s="49" t="s">
        <v>2776</v>
      </c>
      <c r="H3268" s="49" t="s">
        <v>980</v>
      </c>
      <c r="I3268" s="50">
        <v>42055</v>
      </c>
      <c r="M3268" s="49" t="s">
        <v>9141</v>
      </c>
    </row>
    <row r="3269" spans="1:13" x14ac:dyDescent="0.35">
      <c r="A3269" s="49" t="s">
        <v>14721</v>
      </c>
      <c r="B3269" s="49" t="s">
        <v>7473</v>
      </c>
      <c r="C3269" s="49" t="s">
        <v>7474</v>
      </c>
      <c r="D3269" s="49" t="s">
        <v>1264</v>
      </c>
      <c r="E3269" s="49" t="s">
        <v>2785</v>
      </c>
      <c r="F3269" s="49" t="s">
        <v>2792</v>
      </c>
      <c r="G3269" s="49" t="s">
        <v>2787</v>
      </c>
      <c r="H3269" s="49" t="s">
        <v>980</v>
      </c>
      <c r="I3269" s="50">
        <v>42387</v>
      </c>
      <c r="J3269" s="50">
        <v>42537</v>
      </c>
      <c r="K3269" s="50">
        <v>42719</v>
      </c>
      <c r="M3269" s="49" t="s">
        <v>7476</v>
      </c>
    </row>
    <row r="3270" spans="1:13" x14ac:dyDescent="0.35">
      <c r="A3270" s="49" t="s">
        <v>14689</v>
      </c>
      <c r="B3270" s="49" t="s">
        <v>13938</v>
      </c>
      <c r="C3270" s="49"/>
      <c r="D3270" s="49" t="s">
        <v>1264</v>
      </c>
      <c r="E3270" s="49" t="s">
        <v>2814</v>
      </c>
      <c r="F3270" s="49" t="s">
        <v>2825</v>
      </c>
      <c r="G3270" s="49" t="s">
        <v>2776</v>
      </c>
      <c r="H3270" s="49" t="s">
        <v>2827</v>
      </c>
      <c r="I3270" s="50">
        <v>43914</v>
      </c>
      <c r="M3270" s="49" t="s">
        <v>3270</v>
      </c>
    </row>
    <row r="3271" spans="1:13" x14ac:dyDescent="0.35">
      <c r="A3271" s="49" t="s">
        <v>15085</v>
      </c>
      <c r="B3271" s="49" t="s">
        <v>10459</v>
      </c>
      <c r="C3271" s="49"/>
      <c r="D3271" s="49" t="s">
        <v>1264</v>
      </c>
      <c r="E3271" s="49" t="s">
        <v>2814</v>
      </c>
      <c r="F3271" s="49" t="s">
        <v>2837</v>
      </c>
      <c r="G3271" s="49" t="s">
        <v>2776</v>
      </c>
      <c r="H3271" s="49" t="s">
        <v>980</v>
      </c>
      <c r="I3271" s="50">
        <v>43818</v>
      </c>
      <c r="M3271" s="49" t="s">
        <v>10461</v>
      </c>
    </row>
    <row r="3272" spans="1:13" x14ac:dyDescent="0.35">
      <c r="A3272" s="49" t="s">
        <v>15085</v>
      </c>
      <c r="B3272" s="49" t="s">
        <v>10654</v>
      </c>
      <c r="C3272" s="49"/>
      <c r="D3272" s="49" t="s">
        <v>1264</v>
      </c>
      <c r="E3272" s="49" t="s">
        <v>2814</v>
      </c>
      <c r="F3272" s="49" t="s">
        <v>2939</v>
      </c>
      <c r="G3272" s="49" t="s">
        <v>2787</v>
      </c>
      <c r="H3272" s="49" t="s">
        <v>980</v>
      </c>
      <c r="I3272" s="50">
        <v>43826</v>
      </c>
      <c r="M3272" s="49" t="s">
        <v>10655</v>
      </c>
    </row>
    <row r="3273" spans="1:13" x14ac:dyDescent="0.35">
      <c r="A3273" s="49" t="s">
        <v>15481</v>
      </c>
      <c r="B3273" s="49" t="s">
        <v>4847</v>
      </c>
      <c r="C3273" s="49" t="s">
        <v>4848</v>
      </c>
      <c r="D3273" s="49" t="s">
        <v>1264</v>
      </c>
      <c r="E3273" s="49" t="s">
        <v>2986</v>
      </c>
      <c r="F3273" s="49" t="s">
        <v>2825</v>
      </c>
      <c r="G3273" s="49" t="s">
        <v>2901</v>
      </c>
      <c r="H3273" s="49" t="s">
        <v>2827</v>
      </c>
      <c r="I3273" s="50">
        <v>44697</v>
      </c>
      <c r="J3273" s="50">
        <v>44714</v>
      </c>
      <c r="K3273" s="50">
        <v>45809</v>
      </c>
      <c r="M3273" s="49" t="s">
        <v>4850</v>
      </c>
    </row>
    <row r="3274" spans="1:13" x14ac:dyDescent="0.35">
      <c r="A3274" s="49" t="s">
        <v>15481</v>
      </c>
      <c r="B3274" s="49" t="s">
        <v>4893</v>
      </c>
      <c r="C3274" s="49" t="s">
        <v>4894</v>
      </c>
      <c r="D3274" s="49" t="s">
        <v>1264</v>
      </c>
      <c r="E3274" s="49" t="s">
        <v>2986</v>
      </c>
      <c r="F3274" s="49" t="s">
        <v>2825</v>
      </c>
      <c r="G3274" s="49" t="s">
        <v>2901</v>
      </c>
      <c r="H3274" s="49" t="s">
        <v>2827</v>
      </c>
      <c r="I3274" s="50">
        <v>44697</v>
      </c>
      <c r="J3274" s="50">
        <v>44714</v>
      </c>
      <c r="K3274" s="50">
        <v>45809</v>
      </c>
      <c r="M3274" s="49" t="s">
        <v>4895</v>
      </c>
    </row>
    <row r="3275" spans="1:13" x14ac:dyDescent="0.35">
      <c r="A3275" s="49" t="s">
        <v>15481</v>
      </c>
      <c r="B3275" s="49" t="s">
        <v>6028</v>
      </c>
      <c r="C3275" s="49" t="s">
        <v>6029</v>
      </c>
      <c r="D3275" s="49" t="s">
        <v>1264</v>
      </c>
      <c r="E3275" s="49" t="s">
        <v>2908</v>
      </c>
      <c r="F3275" s="49" t="s">
        <v>3010</v>
      </c>
      <c r="G3275" s="49" t="s">
        <v>2901</v>
      </c>
      <c r="H3275" s="49" t="s">
        <v>980</v>
      </c>
      <c r="I3275" s="50">
        <v>45253</v>
      </c>
      <c r="J3275" s="50">
        <v>45289</v>
      </c>
      <c r="K3275" s="50">
        <v>47115</v>
      </c>
      <c r="M3275" s="49" t="s">
        <v>6030</v>
      </c>
    </row>
    <row r="3276" spans="1:13" x14ac:dyDescent="0.35">
      <c r="A3276" s="49" t="s">
        <v>15481</v>
      </c>
      <c r="B3276" s="49" t="s">
        <v>6319</v>
      </c>
      <c r="C3276" s="49" t="s">
        <v>6320</v>
      </c>
      <c r="D3276" s="49" t="s">
        <v>1264</v>
      </c>
      <c r="E3276" s="49" t="s">
        <v>2986</v>
      </c>
      <c r="F3276" s="49" t="s">
        <v>2825</v>
      </c>
      <c r="G3276" s="49" t="s">
        <v>4330</v>
      </c>
      <c r="H3276" s="49" t="s">
        <v>2827</v>
      </c>
      <c r="I3276" s="50">
        <v>45258</v>
      </c>
      <c r="M3276" s="49" t="s">
        <v>6321</v>
      </c>
    </row>
    <row r="3277" spans="1:13" x14ac:dyDescent="0.35">
      <c r="A3277" s="49" t="s">
        <v>15481</v>
      </c>
      <c r="B3277" s="49" t="s">
        <v>11763</v>
      </c>
      <c r="C3277" s="49" t="s">
        <v>2891</v>
      </c>
      <c r="D3277" s="49" t="s">
        <v>1264</v>
      </c>
      <c r="E3277" s="49" t="s">
        <v>2785</v>
      </c>
      <c r="F3277" s="49" t="s">
        <v>2837</v>
      </c>
      <c r="G3277" s="49" t="s">
        <v>4891</v>
      </c>
      <c r="H3277" s="49" t="s">
        <v>980</v>
      </c>
      <c r="I3277" s="50">
        <v>45253</v>
      </c>
      <c r="M3277" s="49" t="s">
        <v>11764</v>
      </c>
    </row>
    <row r="3278" spans="1:13" x14ac:dyDescent="0.35">
      <c r="A3278" s="49" t="s">
        <v>15481</v>
      </c>
      <c r="B3278" s="49" t="s">
        <v>11893</v>
      </c>
      <c r="C3278" s="49" t="s">
        <v>11894</v>
      </c>
      <c r="D3278" s="49" t="s">
        <v>1264</v>
      </c>
      <c r="E3278" s="49" t="s">
        <v>2986</v>
      </c>
      <c r="F3278" s="49" t="s">
        <v>2825</v>
      </c>
      <c r="G3278" s="49" t="s">
        <v>4891</v>
      </c>
      <c r="H3278" s="49" t="s">
        <v>2827</v>
      </c>
      <c r="I3278" s="50">
        <v>45258</v>
      </c>
      <c r="M3278" s="49" t="s">
        <v>11896</v>
      </c>
    </row>
    <row r="3279" spans="1:13" x14ac:dyDescent="0.35">
      <c r="A3279" s="49" t="s">
        <v>15481</v>
      </c>
      <c r="B3279" s="49" t="s">
        <v>12946</v>
      </c>
      <c r="C3279" s="49"/>
      <c r="D3279" s="49" t="s">
        <v>1264</v>
      </c>
      <c r="E3279" s="49" t="s">
        <v>2986</v>
      </c>
      <c r="F3279" s="49" t="s">
        <v>2825</v>
      </c>
      <c r="G3279" s="49" t="s">
        <v>4891</v>
      </c>
      <c r="H3279" s="49" t="s">
        <v>2827</v>
      </c>
      <c r="I3279" s="52">
        <v>45960.4031944444</v>
      </c>
      <c r="M3279" s="49" t="s">
        <v>12947</v>
      </c>
    </row>
    <row r="3280" spans="1:13" x14ac:dyDescent="0.35">
      <c r="A3280" s="49" t="s">
        <v>15481</v>
      </c>
      <c r="B3280" s="49" t="s">
        <v>12948</v>
      </c>
      <c r="C3280" s="49" t="s">
        <v>12949</v>
      </c>
      <c r="D3280" s="49" t="s">
        <v>1264</v>
      </c>
      <c r="E3280" s="49" t="s">
        <v>2986</v>
      </c>
      <c r="F3280" s="49" t="s">
        <v>2825</v>
      </c>
      <c r="G3280" s="49" t="s">
        <v>4891</v>
      </c>
      <c r="H3280" s="49" t="s">
        <v>2827</v>
      </c>
      <c r="I3280" s="52">
        <v>45595.501469907402</v>
      </c>
      <c r="M3280" s="49" t="s">
        <v>12950</v>
      </c>
    </row>
    <row r="3281" spans="1:13" x14ac:dyDescent="0.35">
      <c r="A3281" s="49" t="s">
        <v>14584</v>
      </c>
      <c r="B3281" s="49" t="s">
        <v>10791</v>
      </c>
      <c r="C3281" s="49"/>
      <c r="D3281" s="49" t="s">
        <v>1264</v>
      </c>
      <c r="E3281" s="49" t="s">
        <v>2814</v>
      </c>
      <c r="F3281" s="49" t="s">
        <v>2775</v>
      </c>
      <c r="G3281" s="49" t="s">
        <v>2776</v>
      </c>
      <c r="H3281" s="49" t="s">
        <v>3229</v>
      </c>
      <c r="I3281" s="50">
        <v>40534</v>
      </c>
      <c r="M3281" s="49" t="s">
        <v>2777</v>
      </c>
    </row>
    <row r="3282" spans="1:13" x14ac:dyDescent="0.35">
      <c r="A3282" s="49" t="s">
        <v>14584</v>
      </c>
      <c r="B3282" s="49" t="s">
        <v>10793</v>
      </c>
      <c r="C3282" s="49"/>
      <c r="D3282" s="49" t="s">
        <v>1264</v>
      </c>
      <c r="E3282" s="49" t="s">
        <v>2814</v>
      </c>
      <c r="F3282" s="49" t="s">
        <v>2900</v>
      </c>
      <c r="G3282" s="49" t="s">
        <v>2787</v>
      </c>
      <c r="H3282" s="49" t="s">
        <v>3229</v>
      </c>
      <c r="I3282" s="50">
        <v>40534</v>
      </c>
      <c r="M3282" s="49" t="s">
        <v>10794</v>
      </c>
    </row>
    <row r="3283" spans="1:13" x14ac:dyDescent="0.35">
      <c r="A3283" s="49" t="s">
        <v>14648</v>
      </c>
      <c r="B3283" s="49" t="s">
        <v>13062</v>
      </c>
      <c r="C3283" s="49"/>
      <c r="D3283" s="49" t="s">
        <v>1264</v>
      </c>
      <c r="E3283" s="49" t="s">
        <v>2986</v>
      </c>
      <c r="F3283" s="49" t="s">
        <v>2825</v>
      </c>
      <c r="G3283" s="49" t="s">
        <v>4891</v>
      </c>
      <c r="H3283" s="49" t="s">
        <v>2827</v>
      </c>
      <c r="I3283" s="52">
        <v>46030.545439814799</v>
      </c>
      <c r="M3283" s="49" t="s">
        <v>13064</v>
      </c>
    </row>
    <row r="3284" spans="1:13" x14ac:dyDescent="0.35">
      <c r="A3284" s="49" t="s">
        <v>14680</v>
      </c>
      <c r="B3284" s="49" t="s">
        <v>13836</v>
      </c>
      <c r="C3284" s="49"/>
      <c r="D3284" s="49" t="s">
        <v>1264</v>
      </c>
      <c r="E3284" s="49" t="s">
        <v>2774</v>
      </c>
      <c r="G3284" s="49" t="s">
        <v>2787</v>
      </c>
      <c r="H3284" s="49" t="s">
        <v>2827</v>
      </c>
      <c r="I3284" s="50">
        <v>42192</v>
      </c>
      <c r="M3284" s="49" t="s">
        <v>3470</v>
      </c>
    </row>
    <row r="3285" spans="1:13" x14ac:dyDescent="0.35">
      <c r="A3285" s="49" t="s">
        <v>14977</v>
      </c>
      <c r="B3285" s="49" t="s">
        <v>10466</v>
      </c>
      <c r="C3285" s="49"/>
      <c r="D3285" s="49" t="s">
        <v>1264</v>
      </c>
      <c r="E3285" s="49" t="s">
        <v>2814</v>
      </c>
      <c r="F3285" s="49" t="s">
        <v>2825</v>
      </c>
      <c r="G3285" s="49" t="s">
        <v>2776</v>
      </c>
      <c r="H3285" s="49" t="s">
        <v>2827</v>
      </c>
      <c r="I3285" s="50">
        <v>42065</v>
      </c>
      <c r="M3285" s="49" t="s">
        <v>10468</v>
      </c>
    </row>
    <row r="3286" spans="1:13" x14ac:dyDescent="0.35">
      <c r="A3286" s="49" t="s">
        <v>14566</v>
      </c>
      <c r="B3286" s="49" t="s">
        <v>10354</v>
      </c>
      <c r="C3286" s="49"/>
      <c r="D3286" s="49" t="s">
        <v>1264</v>
      </c>
      <c r="E3286" s="49" t="s">
        <v>2814</v>
      </c>
      <c r="F3286" s="49" t="s">
        <v>2825</v>
      </c>
      <c r="G3286" s="49" t="s">
        <v>2776</v>
      </c>
      <c r="H3286" s="49" t="s">
        <v>2827</v>
      </c>
      <c r="I3286" s="50">
        <v>42650</v>
      </c>
      <c r="M3286" s="49" t="s">
        <v>3270</v>
      </c>
    </row>
    <row r="3287" spans="1:13" x14ac:dyDescent="0.35">
      <c r="A3287" s="49" t="s">
        <v>14566</v>
      </c>
      <c r="B3287" s="49" t="s">
        <v>10356</v>
      </c>
      <c r="C3287" s="49"/>
      <c r="D3287" s="49" t="s">
        <v>1264</v>
      </c>
      <c r="E3287" s="49" t="s">
        <v>2814</v>
      </c>
      <c r="F3287" s="49" t="s">
        <v>2825</v>
      </c>
      <c r="G3287" s="49" t="s">
        <v>2776</v>
      </c>
      <c r="H3287" s="49" t="s">
        <v>2827</v>
      </c>
      <c r="I3287" s="50">
        <v>42660</v>
      </c>
      <c r="M3287" s="49" t="s">
        <v>10357</v>
      </c>
    </row>
    <row r="3288" spans="1:13" x14ac:dyDescent="0.35">
      <c r="A3288" s="49" t="s">
        <v>14566</v>
      </c>
      <c r="B3288" s="49" t="s">
        <v>10560</v>
      </c>
      <c r="C3288" s="49"/>
      <c r="D3288" s="49" t="s">
        <v>1264</v>
      </c>
      <c r="E3288" s="49" t="s">
        <v>2814</v>
      </c>
      <c r="F3288" s="49" t="s">
        <v>2825</v>
      </c>
      <c r="G3288" s="49" t="s">
        <v>2776</v>
      </c>
      <c r="H3288" s="49" t="s">
        <v>2827</v>
      </c>
      <c r="I3288" s="50">
        <v>42290</v>
      </c>
      <c r="M3288" s="49" t="s">
        <v>3470</v>
      </c>
    </row>
    <row r="3289" spans="1:13" x14ac:dyDescent="0.35">
      <c r="A3289" s="49" t="s">
        <v>14568</v>
      </c>
      <c r="B3289" s="49" t="s">
        <v>10596</v>
      </c>
      <c r="C3289" s="49" t="s">
        <v>2863</v>
      </c>
      <c r="D3289" s="49" t="s">
        <v>1264</v>
      </c>
      <c r="E3289" s="49" t="s">
        <v>2814</v>
      </c>
      <c r="F3289" s="49" t="s">
        <v>2825</v>
      </c>
      <c r="G3289" s="49" t="s">
        <v>2776</v>
      </c>
      <c r="H3289" s="49" t="s">
        <v>2827</v>
      </c>
      <c r="I3289" s="50">
        <v>42290</v>
      </c>
      <c r="M3289" s="49" t="s">
        <v>3470</v>
      </c>
    </row>
    <row r="3290" spans="1:13" x14ac:dyDescent="0.35">
      <c r="A3290" s="49" t="s">
        <v>15482</v>
      </c>
      <c r="B3290" s="49" t="s">
        <v>4549</v>
      </c>
      <c r="C3290" s="49" t="s">
        <v>3768</v>
      </c>
      <c r="D3290" s="49" t="s">
        <v>1264</v>
      </c>
      <c r="E3290" s="49" t="s">
        <v>3443</v>
      </c>
      <c r="F3290" s="49" t="s">
        <v>3124</v>
      </c>
      <c r="G3290" s="49" t="s">
        <v>2901</v>
      </c>
      <c r="H3290" s="49" t="s">
        <v>980</v>
      </c>
      <c r="I3290" s="50">
        <v>44348</v>
      </c>
      <c r="J3290" s="50">
        <v>44476</v>
      </c>
      <c r="K3290" s="50">
        <v>46301</v>
      </c>
    </row>
    <row r="3291" spans="1:13" x14ac:dyDescent="0.35">
      <c r="A3291" s="49" t="s">
        <v>14236</v>
      </c>
      <c r="B3291" s="49" t="s">
        <v>5406</v>
      </c>
      <c r="C3291" s="49" t="s">
        <v>5407</v>
      </c>
      <c r="D3291" s="49" t="s">
        <v>1264</v>
      </c>
      <c r="E3291" s="49" t="s">
        <v>2774</v>
      </c>
      <c r="F3291" s="49" t="s">
        <v>2900</v>
      </c>
      <c r="G3291" s="49" t="s">
        <v>4891</v>
      </c>
      <c r="H3291" s="49" t="s">
        <v>835</v>
      </c>
      <c r="I3291" s="50">
        <v>44739</v>
      </c>
      <c r="M3291" s="49" t="s">
        <v>5409</v>
      </c>
    </row>
    <row r="3292" spans="1:13" x14ac:dyDescent="0.35">
      <c r="A3292" s="49" t="s">
        <v>14145</v>
      </c>
      <c r="B3292" s="49" t="s">
        <v>3957</v>
      </c>
      <c r="C3292" s="49" t="s">
        <v>3958</v>
      </c>
      <c r="D3292" s="49" t="s">
        <v>1264</v>
      </c>
      <c r="E3292" s="49" t="s">
        <v>2774</v>
      </c>
      <c r="F3292" s="49" t="s">
        <v>2825</v>
      </c>
      <c r="G3292" s="49" t="s">
        <v>2787</v>
      </c>
      <c r="H3292" s="49" t="s">
        <v>2827</v>
      </c>
      <c r="I3292" s="50">
        <v>43818</v>
      </c>
      <c r="J3292" s="50">
        <v>41555</v>
      </c>
      <c r="K3292" s="50">
        <v>43745</v>
      </c>
      <c r="M3292" s="49" t="s">
        <v>3960</v>
      </c>
    </row>
    <row r="3293" spans="1:13" x14ac:dyDescent="0.35">
      <c r="A3293" s="49" t="s">
        <v>15483</v>
      </c>
      <c r="B3293" s="49" t="s">
        <v>3771</v>
      </c>
      <c r="C3293" s="49" t="s">
        <v>3772</v>
      </c>
      <c r="D3293" s="49" t="s">
        <v>1264</v>
      </c>
      <c r="E3293" s="49" t="s">
        <v>3443</v>
      </c>
      <c r="F3293" s="49" t="s">
        <v>3124</v>
      </c>
      <c r="G3293" s="49" t="s">
        <v>2787</v>
      </c>
      <c r="H3293" s="49" t="s">
        <v>980</v>
      </c>
      <c r="I3293" s="50">
        <v>43265</v>
      </c>
      <c r="J3293" s="50">
        <v>43515</v>
      </c>
      <c r="K3293" s="50">
        <v>45340</v>
      </c>
      <c r="M3293" s="49" t="s">
        <v>3774</v>
      </c>
    </row>
    <row r="3294" spans="1:13" x14ac:dyDescent="0.35">
      <c r="A3294" s="49" t="s">
        <v>14978</v>
      </c>
      <c r="B3294" s="49" t="s">
        <v>3456</v>
      </c>
      <c r="C3294" s="49" t="s">
        <v>3457</v>
      </c>
      <c r="D3294" s="49" t="s">
        <v>1264</v>
      </c>
      <c r="E3294" s="49" t="s">
        <v>2986</v>
      </c>
      <c r="F3294" s="49" t="s">
        <v>2825</v>
      </c>
      <c r="G3294" s="49" t="s">
        <v>2901</v>
      </c>
      <c r="H3294" s="49" t="s">
        <v>2827</v>
      </c>
      <c r="I3294" s="50">
        <v>42381</v>
      </c>
      <c r="J3294" s="50">
        <v>40190</v>
      </c>
      <c r="K3294" s="50">
        <v>45421</v>
      </c>
      <c r="L3294" s="50">
        <v>43707</v>
      </c>
      <c r="M3294" s="49" t="s">
        <v>3459</v>
      </c>
    </row>
    <row r="3295" spans="1:13" x14ac:dyDescent="0.35">
      <c r="A3295" s="49" t="s">
        <v>15218</v>
      </c>
      <c r="B3295" s="49" t="s">
        <v>5907</v>
      </c>
      <c r="C3295" s="49" t="s">
        <v>4809</v>
      </c>
      <c r="D3295" s="49" t="s">
        <v>1264</v>
      </c>
      <c r="E3295" s="49" t="s">
        <v>2986</v>
      </c>
      <c r="F3295" s="49" t="s">
        <v>2825</v>
      </c>
      <c r="G3295" s="49" t="s">
        <v>2901</v>
      </c>
      <c r="H3295" s="49" t="s">
        <v>2827</v>
      </c>
      <c r="I3295" s="50">
        <v>45218</v>
      </c>
      <c r="J3295" s="50">
        <v>45294</v>
      </c>
      <c r="K3295" s="50">
        <v>46389</v>
      </c>
      <c r="M3295" s="49" t="s">
        <v>5909</v>
      </c>
    </row>
    <row r="3296" spans="1:13" x14ac:dyDescent="0.35">
      <c r="A3296" s="49" t="s">
        <v>15218</v>
      </c>
      <c r="B3296" s="49" t="s">
        <v>5910</v>
      </c>
      <c r="C3296" s="49" t="s">
        <v>5865</v>
      </c>
      <c r="D3296" s="49" t="s">
        <v>1264</v>
      </c>
      <c r="E3296" s="49" t="s">
        <v>2986</v>
      </c>
      <c r="F3296" s="49" t="s">
        <v>2825</v>
      </c>
      <c r="G3296" s="49" t="s">
        <v>2901</v>
      </c>
      <c r="H3296" s="49" t="s">
        <v>2827</v>
      </c>
      <c r="I3296" s="50">
        <v>45218</v>
      </c>
      <c r="J3296" s="50">
        <v>45275</v>
      </c>
      <c r="K3296" s="50">
        <v>46370</v>
      </c>
      <c r="M3296" s="49" t="s">
        <v>5911</v>
      </c>
    </row>
    <row r="3297" spans="1:13" x14ac:dyDescent="0.35">
      <c r="A3297" s="49" t="s">
        <v>15218</v>
      </c>
      <c r="B3297" s="49" t="s">
        <v>11647</v>
      </c>
      <c r="C3297" s="49" t="s">
        <v>4817</v>
      </c>
      <c r="D3297" s="49" t="s">
        <v>1264</v>
      </c>
      <c r="E3297" s="49" t="s">
        <v>2986</v>
      </c>
      <c r="F3297" s="49" t="s">
        <v>2825</v>
      </c>
      <c r="G3297" s="49" t="s">
        <v>2776</v>
      </c>
      <c r="H3297" s="49" t="s">
        <v>2827</v>
      </c>
      <c r="I3297" s="50">
        <v>45218</v>
      </c>
      <c r="M3297" s="49" t="s">
        <v>11648</v>
      </c>
    </row>
    <row r="3298" spans="1:13" x14ac:dyDescent="0.35">
      <c r="A3298" s="49" t="s">
        <v>15218</v>
      </c>
      <c r="B3298" s="49" t="s">
        <v>11649</v>
      </c>
      <c r="C3298" s="49" t="s">
        <v>4877</v>
      </c>
      <c r="D3298" s="49" t="s">
        <v>1264</v>
      </c>
      <c r="E3298" s="49" t="s">
        <v>2986</v>
      </c>
      <c r="F3298" s="49" t="s">
        <v>2825</v>
      </c>
      <c r="G3298" s="49" t="s">
        <v>2776</v>
      </c>
      <c r="H3298" s="49" t="s">
        <v>2827</v>
      </c>
      <c r="I3298" s="50">
        <v>45218</v>
      </c>
      <c r="M3298" s="49" t="s">
        <v>11650</v>
      </c>
    </row>
    <row r="3299" spans="1:13" x14ac:dyDescent="0.35">
      <c r="A3299" s="49" t="s">
        <v>15218</v>
      </c>
      <c r="B3299" s="49" t="s">
        <v>11747</v>
      </c>
      <c r="C3299" s="49" t="s">
        <v>4817</v>
      </c>
      <c r="D3299" s="49" t="s">
        <v>1264</v>
      </c>
      <c r="E3299" s="49" t="s">
        <v>2986</v>
      </c>
      <c r="F3299" s="49" t="s">
        <v>2825</v>
      </c>
      <c r="G3299" s="49" t="s">
        <v>2776</v>
      </c>
      <c r="H3299" s="49" t="s">
        <v>2827</v>
      </c>
      <c r="I3299" s="50">
        <v>45245</v>
      </c>
      <c r="M3299" s="49" t="s">
        <v>11748</v>
      </c>
    </row>
    <row r="3300" spans="1:13" x14ac:dyDescent="0.35">
      <c r="A3300" s="49" t="s">
        <v>15218</v>
      </c>
      <c r="B3300" s="49" t="s">
        <v>11749</v>
      </c>
      <c r="C3300" s="49" t="s">
        <v>4809</v>
      </c>
      <c r="D3300" s="49" t="s">
        <v>1264</v>
      </c>
      <c r="E3300" s="49" t="s">
        <v>2986</v>
      </c>
      <c r="F3300" s="49" t="s">
        <v>2825</v>
      </c>
      <c r="G3300" s="49" t="s">
        <v>2776</v>
      </c>
      <c r="H3300" s="49" t="s">
        <v>2827</v>
      </c>
      <c r="I3300" s="50">
        <v>45245</v>
      </c>
      <c r="M3300" s="49" t="s">
        <v>11750</v>
      </c>
    </row>
    <row r="3301" spans="1:13" x14ac:dyDescent="0.35">
      <c r="A3301" s="49" t="s">
        <v>15218</v>
      </c>
      <c r="B3301" s="49" t="s">
        <v>11755</v>
      </c>
      <c r="C3301" s="49" t="s">
        <v>4877</v>
      </c>
      <c r="D3301" s="49" t="s">
        <v>1264</v>
      </c>
      <c r="E3301" s="49" t="s">
        <v>2986</v>
      </c>
      <c r="F3301" s="49" t="s">
        <v>2825</v>
      </c>
      <c r="G3301" s="49" t="s">
        <v>2776</v>
      </c>
      <c r="H3301" s="49" t="s">
        <v>2827</v>
      </c>
      <c r="I3301" s="50">
        <v>45245</v>
      </c>
      <c r="M3301" s="49" t="s">
        <v>11756</v>
      </c>
    </row>
    <row r="3302" spans="1:13" x14ac:dyDescent="0.35">
      <c r="A3302" s="49" t="s">
        <v>15218</v>
      </c>
      <c r="B3302" s="49" t="s">
        <v>11761</v>
      </c>
      <c r="C3302" s="49" t="s">
        <v>5865</v>
      </c>
      <c r="D3302" s="49" t="s">
        <v>1264</v>
      </c>
      <c r="E3302" s="49" t="s">
        <v>2986</v>
      </c>
      <c r="F3302" s="49" t="s">
        <v>2825</v>
      </c>
      <c r="G3302" s="49" t="s">
        <v>2776</v>
      </c>
      <c r="H3302" s="49" t="s">
        <v>2827</v>
      </c>
      <c r="I3302" s="50">
        <v>45245</v>
      </c>
      <c r="M3302" s="49" t="s">
        <v>11762</v>
      </c>
    </row>
    <row r="3303" spans="1:13" x14ac:dyDescent="0.35">
      <c r="A3303" s="49" t="s">
        <v>15218</v>
      </c>
      <c r="B3303" s="49" t="s">
        <v>11897</v>
      </c>
      <c r="C3303" s="49"/>
      <c r="D3303" s="49" t="s">
        <v>1264</v>
      </c>
      <c r="E3303" s="49" t="s">
        <v>2986</v>
      </c>
      <c r="F3303" s="49" t="s">
        <v>2825</v>
      </c>
      <c r="G3303" s="49" t="s">
        <v>2776</v>
      </c>
      <c r="H3303" s="49" t="s">
        <v>2827</v>
      </c>
      <c r="I3303" s="50">
        <v>45258</v>
      </c>
      <c r="M3303" s="49" t="s">
        <v>11279</v>
      </c>
    </row>
    <row r="3304" spans="1:13" x14ac:dyDescent="0.35">
      <c r="A3304" s="49" t="s">
        <v>15484</v>
      </c>
      <c r="B3304" s="49" t="s">
        <v>13222</v>
      </c>
      <c r="C3304" s="49"/>
      <c r="D3304" s="49" t="s">
        <v>1264</v>
      </c>
      <c r="E3304" s="49" t="s">
        <v>2785</v>
      </c>
      <c r="F3304" s="49" t="s">
        <v>2786</v>
      </c>
      <c r="G3304" s="49" t="s">
        <v>4891</v>
      </c>
      <c r="H3304" s="49" t="s">
        <v>2832</v>
      </c>
      <c r="I3304" s="52">
        <v>46084.548275462999</v>
      </c>
      <c r="M3304" s="49" t="s">
        <v>13224</v>
      </c>
    </row>
    <row r="3305" spans="1:13" x14ac:dyDescent="0.35">
      <c r="A3305" s="49" t="s">
        <v>15484</v>
      </c>
      <c r="B3305" s="49" t="s">
        <v>13225</v>
      </c>
      <c r="C3305" s="49"/>
      <c r="D3305" s="49" t="s">
        <v>1264</v>
      </c>
      <c r="E3305" s="49" t="s">
        <v>2785</v>
      </c>
      <c r="F3305" s="49" t="s">
        <v>2786</v>
      </c>
      <c r="G3305" s="49" t="s">
        <v>4891</v>
      </c>
      <c r="H3305" s="49" t="s">
        <v>2832</v>
      </c>
      <c r="I3305" s="52">
        <v>46084.633587962999</v>
      </c>
      <c r="M3305" s="49" t="s">
        <v>13226</v>
      </c>
    </row>
    <row r="3306" spans="1:13" x14ac:dyDescent="0.35">
      <c r="A3306" s="49" t="s">
        <v>15484</v>
      </c>
      <c r="B3306" s="49" t="s">
        <v>13288</v>
      </c>
      <c r="C3306" s="49"/>
      <c r="D3306" s="49" t="s">
        <v>1264</v>
      </c>
      <c r="E3306" s="49" t="s">
        <v>2785</v>
      </c>
      <c r="F3306" s="49" t="s">
        <v>2786</v>
      </c>
      <c r="G3306" s="49" t="s">
        <v>4891</v>
      </c>
      <c r="H3306" s="49" t="s">
        <v>3207</v>
      </c>
      <c r="I3306" s="52">
        <v>46097.373749999999</v>
      </c>
      <c r="M3306" s="49" t="s">
        <v>13289</v>
      </c>
    </row>
    <row r="3307" spans="1:13" x14ac:dyDescent="0.35">
      <c r="A3307" s="49" t="s">
        <v>15219</v>
      </c>
      <c r="B3307" s="49" t="s">
        <v>6775</v>
      </c>
      <c r="C3307" s="49"/>
      <c r="D3307" s="49" t="s">
        <v>1264</v>
      </c>
      <c r="E3307" s="49" t="s">
        <v>2986</v>
      </c>
      <c r="F3307" s="49" t="s">
        <v>2825</v>
      </c>
      <c r="G3307" s="49" t="s">
        <v>4891</v>
      </c>
      <c r="H3307" s="49" t="s">
        <v>2827</v>
      </c>
      <c r="I3307" s="52">
        <v>45951.5082638889</v>
      </c>
      <c r="M3307" s="49" t="s">
        <v>6777</v>
      </c>
    </row>
    <row r="3308" spans="1:13" x14ac:dyDescent="0.35">
      <c r="A3308" s="49" t="s">
        <v>15219</v>
      </c>
      <c r="B3308" s="49" t="s">
        <v>11335</v>
      </c>
      <c r="C3308" s="49" t="s">
        <v>4817</v>
      </c>
      <c r="D3308" s="49" t="s">
        <v>1264</v>
      </c>
      <c r="E3308" s="49" t="s">
        <v>2986</v>
      </c>
      <c r="F3308" s="49" t="s">
        <v>2825</v>
      </c>
      <c r="G3308" s="49" t="s">
        <v>2776</v>
      </c>
      <c r="H3308" s="49" t="s">
        <v>2827</v>
      </c>
      <c r="I3308" s="50">
        <v>45028</v>
      </c>
      <c r="M3308" s="49" t="s">
        <v>11336</v>
      </c>
    </row>
    <row r="3309" spans="1:13" x14ac:dyDescent="0.35">
      <c r="A3309" s="49" t="s">
        <v>15219</v>
      </c>
      <c r="B3309" s="49" t="s">
        <v>11337</v>
      </c>
      <c r="C3309" s="49" t="s">
        <v>4809</v>
      </c>
      <c r="D3309" s="49" t="s">
        <v>1264</v>
      </c>
      <c r="E3309" s="49" t="s">
        <v>2986</v>
      </c>
      <c r="F3309" s="49" t="s">
        <v>2825</v>
      </c>
      <c r="G3309" s="49" t="s">
        <v>2776</v>
      </c>
      <c r="H3309" s="49" t="s">
        <v>2827</v>
      </c>
      <c r="I3309" s="50">
        <v>45028</v>
      </c>
      <c r="M3309" s="49" t="s">
        <v>11338</v>
      </c>
    </row>
    <row r="3310" spans="1:13" x14ac:dyDescent="0.35">
      <c r="A3310" s="49" t="s">
        <v>15219</v>
      </c>
      <c r="B3310" s="49" t="s">
        <v>11396</v>
      </c>
      <c r="C3310" s="49" t="s">
        <v>4817</v>
      </c>
      <c r="D3310" s="49" t="s">
        <v>1264</v>
      </c>
      <c r="E3310" s="49" t="s">
        <v>2986</v>
      </c>
      <c r="F3310" s="49" t="s">
        <v>2825</v>
      </c>
      <c r="G3310" s="49" t="s">
        <v>2776</v>
      </c>
      <c r="H3310" s="49" t="s">
        <v>2827</v>
      </c>
      <c r="I3310" s="50">
        <v>45028</v>
      </c>
      <c r="M3310" s="49" t="s">
        <v>11397</v>
      </c>
    </row>
    <row r="3311" spans="1:13" x14ac:dyDescent="0.35">
      <c r="A3311" s="49" t="s">
        <v>15219</v>
      </c>
      <c r="B3311" s="49" t="s">
        <v>11398</v>
      </c>
      <c r="C3311" s="49" t="s">
        <v>4809</v>
      </c>
      <c r="D3311" s="49" t="s">
        <v>1264</v>
      </c>
      <c r="E3311" s="49" t="s">
        <v>2986</v>
      </c>
      <c r="F3311" s="49" t="s">
        <v>2825</v>
      </c>
      <c r="G3311" s="49" t="s">
        <v>2776</v>
      </c>
      <c r="H3311" s="49" t="s">
        <v>2827</v>
      </c>
      <c r="I3311" s="50">
        <v>45028</v>
      </c>
      <c r="M3311" s="49" t="s">
        <v>11399</v>
      </c>
    </row>
    <row r="3312" spans="1:13" x14ac:dyDescent="0.35">
      <c r="A3312" s="49" t="s">
        <v>15219</v>
      </c>
      <c r="B3312" s="49" t="s">
        <v>12626</v>
      </c>
      <c r="C3312" s="49" t="s">
        <v>12627</v>
      </c>
      <c r="D3312" s="49" t="s">
        <v>1264</v>
      </c>
      <c r="E3312" s="49" t="s">
        <v>2974</v>
      </c>
      <c r="F3312" s="49" t="s">
        <v>2825</v>
      </c>
      <c r="G3312" s="49" t="s">
        <v>4891</v>
      </c>
      <c r="H3312" s="49" t="s">
        <v>2827</v>
      </c>
      <c r="I3312" s="50">
        <v>45504</v>
      </c>
      <c r="M3312" s="49" t="s">
        <v>12628</v>
      </c>
    </row>
    <row r="3313" spans="1:13" x14ac:dyDescent="0.35">
      <c r="A3313" s="49" t="s">
        <v>15219</v>
      </c>
      <c r="B3313" s="49" t="s">
        <v>12942</v>
      </c>
      <c r="C3313" s="49"/>
      <c r="D3313" s="49" t="s">
        <v>1264</v>
      </c>
      <c r="E3313" s="49" t="s">
        <v>2986</v>
      </c>
      <c r="F3313" s="49" t="s">
        <v>2825</v>
      </c>
      <c r="G3313" s="49" t="s">
        <v>4891</v>
      </c>
      <c r="H3313" s="49" t="s">
        <v>2827</v>
      </c>
      <c r="I3313" s="52">
        <v>45953.446770833303</v>
      </c>
    </row>
    <row r="3314" spans="1:13" x14ac:dyDescent="0.35">
      <c r="A3314" s="49" t="s">
        <v>15219</v>
      </c>
      <c r="B3314" s="49" t="s">
        <v>12943</v>
      </c>
      <c r="C3314" s="49"/>
      <c r="D3314" s="49" t="s">
        <v>1264</v>
      </c>
      <c r="E3314" s="49" t="s">
        <v>2986</v>
      </c>
      <c r="F3314" s="49" t="s">
        <v>2825</v>
      </c>
      <c r="G3314" s="49" t="s">
        <v>4891</v>
      </c>
      <c r="H3314" s="49" t="s">
        <v>2827</v>
      </c>
      <c r="I3314" s="52">
        <v>45953.481666666703</v>
      </c>
      <c r="M3314" s="49" t="s">
        <v>11514</v>
      </c>
    </row>
    <row r="3315" spans="1:13" x14ac:dyDescent="0.35">
      <c r="A3315" s="49" t="s">
        <v>670</v>
      </c>
      <c r="B3315" s="49" t="s">
        <v>5105</v>
      </c>
      <c r="C3315" s="49" t="s">
        <v>5106</v>
      </c>
      <c r="D3315" s="49" t="s">
        <v>1264</v>
      </c>
      <c r="E3315" s="49" t="s">
        <v>2774</v>
      </c>
      <c r="F3315" s="49" t="s">
        <v>2825</v>
      </c>
      <c r="G3315" s="49" t="s">
        <v>2901</v>
      </c>
      <c r="H3315" s="49" t="s">
        <v>2827</v>
      </c>
      <c r="I3315" s="50">
        <v>44791</v>
      </c>
      <c r="J3315" s="50">
        <v>44879</v>
      </c>
      <c r="K3315" s="50">
        <v>46339</v>
      </c>
      <c r="M3315" s="49" t="s">
        <v>5108</v>
      </c>
    </row>
    <row r="3316" spans="1:13" x14ac:dyDescent="0.35">
      <c r="A3316" s="49" t="s">
        <v>670</v>
      </c>
      <c r="B3316" s="49" t="s">
        <v>5184</v>
      </c>
      <c r="C3316" s="49" t="s">
        <v>5185</v>
      </c>
      <c r="D3316" s="49" t="s">
        <v>1264</v>
      </c>
      <c r="E3316" s="49" t="s">
        <v>2986</v>
      </c>
      <c r="F3316" s="49" t="s">
        <v>2825</v>
      </c>
      <c r="G3316" s="49" t="s">
        <v>2901</v>
      </c>
      <c r="H3316" s="49" t="s">
        <v>2827</v>
      </c>
      <c r="I3316" s="50">
        <v>44874</v>
      </c>
      <c r="J3316" s="50">
        <v>44890</v>
      </c>
      <c r="K3316" s="50">
        <v>45985</v>
      </c>
      <c r="M3316" s="49" t="s">
        <v>5186</v>
      </c>
    </row>
    <row r="3317" spans="1:13" x14ac:dyDescent="0.35">
      <c r="A3317" s="49" t="s">
        <v>670</v>
      </c>
      <c r="B3317" s="49" t="s">
        <v>5187</v>
      </c>
      <c r="C3317" s="49" t="s">
        <v>5188</v>
      </c>
      <c r="D3317" s="49" t="s">
        <v>1264</v>
      </c>
      <c r="E3317" s="49" t="s">
        <v>2986</v>
      </c>
      <c r="F3317" s="49" t="s">
        <v>2825</v>
      </c>
      <c r="G3317" s="49" t="s">
        <v>2901</v>
      </c>
      <c r="H3317" s="49" t="s">
        <v>2827</v>
      </c>
      <c r="I3317" s="50">
        <v>44874</v>
      </c>
      <c r="J3317" s="50">
        <v>44890</v>
      </c>
      <c r="K3317" s="50">
        <v>45985</v>
      </c>
      <c r="M3317" s="49" t="s">
        <v>5189</v>
      </c>
    </row>
    <row r="3318" spans="1:13" x14ac:dyDescent="0.35">
      <c r="A3318" s="49" t="s">
        <v>15054</v>
      </c>
      <c r="B3318" s="49" t="s">
        <v>3987</v>
      </c>
      <c r="C3318" s="49"/>
      <c r="D3318" s="49" t="s">
        <v>1264</v>
      </c>
      <c r="E3318" s="49" t="s">
        <v>2974</v>
      </c>
      <c r="F3318" s="49" t="s">
        <v>2825</v>
      </c>
      <c r="G3318" s="49" t="s">
        <v>2787</v>
      </c>
      <c r="H3318" s="49" t="s">
        <v>2827</v>
      </c>
      <c r="I3318" s="50">
        <v>43857</v>
      </c>
      <c r="J3318" s="50">
        <v>43700</v>
      </c>
      <c r="K3318" s="50">
        <v>45526</v>
      </c>
      <c r="M3318" s="49" t="s">
        <v>3989</v>
      </c>
    </row>
    <row r="3319" spans="1:13" x14ac:dyDescent="0.35">
      <c r="A3319" s="49" t="s">
        <v>14453</v>
      </c>
      <c r="B3319" s="49" t="s">
        <v>8782</v>
      </c>
      <c r="C3319" s="49" t="s">
        <v>6999</v>
      </c>
      <c r="D3319" s="49" t="s">
        <v>1264</v>
      </c>
      <c r="E3319" s="49" t="s">
        <v>2785</v>
      </c>
      <c r="F3319" s="49" t="s">
        <v>2792</v>
      </c>
      <c r="G3319" s="49" t="s">
        <v>2787</v>
      </c>
      <c r="H3319" s="49" t="s">
        <v>8</v>
      </c>
      <c r="I3319" s="50">
        <v>41415</v>
      </c>
      <c r="J3319" s="50">
        <v>41452</v>
      </c>
      <c r="K3319" s="50">
        <v>41634</v>
      </c>
      <c r="M3319" s="49" t="s">
        <v>8784</v>
      </c>
    </row>
    <row r="3320" spans="1:13" x14ac:dyDescent="0.35">
      <c r="A3320" s="49" t="s">
        <v>15485</v>
      </c>
      <c r="B3320" s="49" t="s">
        <v>5200</v>
      </c>
      <c r="C3320" s="49"/>
      <c r="D3320" s="49" t="s">
        <v>1264</v>
      </c>
      <c r="E3320" s="49" t="s">
        <v>2785</v>
      </c>
      <c r="F3320" s="49" t="s">
        <v>2805</v>
      </c>
      <c r="G3320" s="49" t="s">
        <v>2787</v>
      </c>
      <c r="H3320" s="49" t="s">
        <v>3717</v>
      </c>
      <c r="I3320" s="50">
        <v>44874</v>
      </c>
      <c r="J3320" s="50">
        <v>44628</v>
      </c>
      <c r="K3320" s="50">
        <v>45511</v>
      </c>
      <c r="M3320" s="49" t="s">
        <v>5202</v>
      </c>
    </row>
    <row r="3321" spans="1:13" x14ac:dyDescent="0.35">
      <c r="A3321" s="49" t="s">
        <v>15220</v>
      </c>
      <c r="B3321" s="49" t="s">
        <v>8664</v>
      </c>
      <c r="C3321" s="49" t="s">
        <v>8665</v>
      </c>
      <c r="D3321" s="49" t="s">
        <v>1264</v>
      </c>
      <c r="E3321" s="49" t="s">
        <v>2774</v>
      </c>
      <c r="F3321" s="49" t="s">
        <v>3188</v>
      </c>
      <c r="G3321" s="49" t="s">
        <v>2787</v>
      </c>
      <c r="H3321" s="49" t="s">
        <v>973</v>
      </c>
      <c r="I3321" s="50">
        <v>42223</v>
      </c>
      <c r="J3321" s="50">
        <v>42313</v>
      </c>
      <c r="K3321" s="50">
        <v>43408</v>
      </c>
      <c r="M3321" s="49" t="s">
        <v>8667</v>
      </c>
    </row>
    <row r="3322" spans="1:13" x14ac:dyDescent="0.35">
      <c r="A3322" s="49" t="s">
        <v>15486</v>
      </c>
      <c r="B3322" s="49" t="s">
        <v>9305</v>
      </c>
      <c r="C3322" s="49"/>
      <c r="D3322" s="49" t="s">
        <v>1264</v>
      </c>
      <c r="E3322" s="49" t="s">
        <v>2908</v>
      </c>
      <c r="F3322" s="49" t="s">
        <v>2837</v>
      </c>
      <c r="G3322" s="49" t="s">
        <v>2776</v>
      </c>
      <c r="H3322" s="49" t="s">
        <v>2827</v>
      </c>
      <c r="I3322" s="50">
        <v>43284</v>
      </c>
      <c r="M3322" s="49" t="s">
        <v>9307</v>
      </c>
    </row>
    <row r="3323" spans="1:13" x14ac:dyDescent="0.35">
      <c r="A3323" s="49" t="s">
        <v>15486</v>
      </c>
      <c r="B3323" s="49" t="s">
        <v>9308</v>
      </c>
      <c r="C3323" s="49"/>
      <c r="D3323" s="49" t="s">
        <v>1264</v>
      </c>
      <c r="E3323" s="49" t="s">
        <v>2908</v>
      </c>
      <c r="F3323" s="49" t="s">
        <v>3108</v>
      </c>
      <c r="G3323" s="49" t="s">
        <v>2776</v>
      </c>
      <c r="H3323" s="49" t="s">
        <v>2827</v>
      </c>
      <c r="I3323" s="50">
        <v>43284</v>
      </c>
      <c r="M3323" s="49" t="s">
        <v>9309</v>
      </c>
    </row>
    <row r="3324" spans="1:13" x14ac:dyDescent="0.35">
      <c r="A3324" s="49" t="s">
        <v>14609</v>
      </c>
      <c r="B3324" s="49" t="s">
        <v>11619</v>
      </c>
      <c r="C3324" s="49" t="s">
        <v>11620</v>
      </c>
      <c r="D3324" s="49" t="s">
        <v>1264</v>
      </c>
      <c r="E3324" s="49" t="s">
        <v>2774</v>
      </c>
      <c r="F3324" s="49" t="s">
        <v>2825</v>
      </c>
      <c r="G3324" s="49" t="s">
        <v>4891</v>
      </c>
      <c r="H3324" s="49" t="s">
        <v>973</v>
      </c>
      <c r="I3324" s="50">
        <v>45218</v>
      </c>
      <c r="M3324" s="49" t="s">
        <v>11622</v>
      </c>
    </row>
    <row r="3325" spans="1:13" x14ac:dyDescent="0.35">
      <c r="A3325" s="49" t="s">
        <v>15686</v>
      </c>
      <c r="B3325" s="49" t="s">
        <v>11855</v>
      </c>
      <c r="C3325" s="49" t="s">
        <v>11856</v>
      </c>
      <c r="D3325" s="49" t="s">
        <v>1264</v>
      </c>
      <c r="E3325" s="49" t="s">
        <v>2774</v>
      </c>
      <c r="F3325" s="49" t="s">
        <v>2825</v>
      </c>
      <c r="G3325" s="49" t="s">
        <v>4891</v>
      </c>
      <c r="H3325" s="49" t="s">
        <v>973</v>
      </c>
      <c r="I3325" s="50">
        <v>45289</v>
      </c>
      <c r="M3325" s="49" t="s">
        <v>11857</v>
      </c>
    </row>
    <row r="3326" spans="1:13" x14ac:dyDescent="0.35">
      <c r="A3326" s="49" t="s">
        <v>15686</v>
      </c>
      <c r="B3326" s="49" t="s">
        <v>5345</v>
      </c>
      <c r="C3326" s="49" t="s">
        <v>5346</v>
      </c>
      <c r="D3326" s="49" t="s">
        <v>1264</v>
      </c>
      <c r="E3326" s="49" t="s">
        <v>2774</v>
      </c>
      <c r="F3326" s="49" t="s">
        <v>4842</v>
      </c>
      <c r="G3326" s="49" t="s">
        <v>2901</v>
      </c>
      <c r="H3326" s="49" t="s">
        <v>2827</v>
      </c>
      <c r="I3326" s="50">
        <v>44915</v>
      </c>
      <c r="J3326" s="50">
        <v>44950</v>
      </c>
      <c r="K3326" s="50">
        <v>46410</v>
      </c>
      <c r="M3326" s="49" t="s">
        <v>5348</v>
      </c>
    </row>
    <row r="3327" spans="1:13" x14ac:dyDescent="0.35">
      <c r="A3327" s="49" t="s">
        <v>15686</v>
      </c>
      <c r="B3327" s="49" t="s">
        <v>5349</v>
      </c>
      <c r="C3327" s="49" t="s">
        <v>5350</v>
      </c>
      <c r="D3327" s="49" t="s">
        <v>1264</v>
      </c>
      <c r="E3327" s="49" t="s">
        <v>2774</v>
      </c>
      <c r="F3327" s="49" t="s">
        <v>4842</v>
      </c>
      <c r="G3327" s="49" t="s">
        <v>2901</v>
      </c>
      <c r="H3327" s="49" t="s">
        <v>973</v>
      </c>
      <c r="I3327" s="50">
        <v>44916</v>
      </c>
      <c r="J3327" s="50">
        <v>44950</v>
      </c>
      <c r="K3327" s="50">
        <v>46410</v>
      </c>
      <c r="M3327" s="49" t="s">
        <v>5351</v>
      </c>
    </row>
    <row r="3328" spans="1:13" x14ac:dyDescent="0.35">
      <c r="A3328" s="49" t="s">
        <v>15686</v>
      </c>
      <c r="B3328" s="49" t="s">
        <v>11421</v>
      </c>
      <c r="C3328" s="49"/>
      <c r="D3328" s="49" t="s">
        <v>1264</v>
      </c>
      <c r="E3328" s="49" t="s">
        <v>2986</v>
      </c>
      <c r="F3328" s="49" t="s">
        <v>2825</v>
      </c>
      <c r="G3328" s="49" t="s">
        <v>4891</v>
      </c>
      <c r="I3328" s="50">
        <v>45097</v>
      </c>
      <c r="M3328" s="49" t="s">
        <v>11423</v>
      </c>
    </row>
    <row r="3329" spans="1:13" x14ac:dyDescent="0.35">
      <c r="A3329" s="49" t="s">
        <v>15686</v>
      </c>
      <c r="B3329" s="49" t="s">
        <v>11424</v>
      </c>
      <c r="C3329" s="49" t="s">
        <v>4809</v>
      </c>
      <c r="D3329" s="49" t="s">
        <v>1264</v>
      </c>
      <c r="E3329" s="49" t="s">
        <v>2986</v>
      </c>
      <c r="F3329" s="49" t="s">
        <v>2825</v>
      </c>
      <c r="G3329" s="49" t="s">
        <v>4891</v>
      </c>
      <c r="H3329" s="49" t="s">
        <v>973</v>
      </c>
      <c r="I3329" s="50">
        <v>45097</v>
      </c>
      <c r="M3329" s="49" t="s">
        <v>5565</v>
      </c>
    </row>
    <row r="3330" spans="1:13" x14ac:dyDescent="0.35">
      <c r="A3330" s="49" t="s">
        <v>15686</v>
      </c>
      <c r="B3330" s="49" t="s">
        <v>11523</v>
      </c>
      <c r="C3330" s="49" t="s">
        <v>11524</v>
      </c>
      <c r="D3330" s="49" t="s">
        <v>1264</v>
      </c>
      <c r="E3330" s="49" t="s">
        <v>2774</v>
      </c>
      <c r="F3330" s="49" t="s">
        <v>2825</v>
      </c>
      <c r="G3330" s="49" t="s">
        <v>2776</v>
      </c>
      <c r="H3330" s="49" t="s">
        <v>8</v>
      </c>
      <c r="I3330" s="50">
        <v>45166</v>
      </c>
      <c r="M3330" s="49" t="s">
        <v>3766</v>
      </c>
    </row>
    <row r="3331" spans="1:13" x14ac:dyDescent="0.35">
      <c r="A3331" s="49" t="s">
        <v>15221</v>
      </c>
      <c r="B3331" s="49" t="s">
        <v>8944</v>
      </c>
      <c r="C3331" s="49" t="s">
        <v>5640</v>
      </c>
      <c r="D3331" s="49" t="s">
        <v>1264</v>
      </c>
      <c r="E3331" s="49" t="s">
        <v>2814</v>
      </c>
      <c r="F3331" s="49" t="s">
        <v>2837</v>
      </c>
      <c r="G3331" s="49" t="s">
        <v>2787</v>
      </c>
      <c r="H3331" s="49" t="s">
        <v>980</v>
      </c>
      <c r="I3331" s="50">
        <v>43223</v>
      </c>
      <c r="J3331" s="50">
        <v>43237</v>
      </c>
      <c r="K3331" s="50">
        <v>43421</v>
      </c>
      <c r="M3331" s="49" t="s">
        <v>8946</v>
      </c>
    </row>
    <row r="3332" spans="1:13" x14ac:dyDescent="0.35">
      <c r="A3332" s="49" t="s">
        <v>15221</v>
      </c>
      <c r="B3332" s="49" t="s">
        <v>9179</v>
      </c>
      <c r="C3332" s="49"/>
      <c r="D3332" s="49" t="s">
        <v>1264</v>
      </c>
      <c r="E3332" s="49" t="s">
        <v>2908</v>
      </c>
      <c r="F3332" s="49" t="s">
        <v>2837</v>
      </c>
      <c r="G3332" s="49" t="s">
        <v>2776</v>
      </c>
      <c r="H3332" s="49" t="s">
        <v>973</v>
      </c>
      <c r="I3332" s="50">
        <v>43346</v>
      </c>
      <c r="M3332" s="49" t="s">
        <v>9180</v>
      </c>
    </row>
    <row r="3333" spans="1:13" x14ac:dyDescent="0.35">
      <c r="A3333" s="49" t="s">
        <v>15221</v>
      </c>
      <c r="B3333" s="49" t="s">
        <v>9227</v>
      </c>
      <c r="C3333" s="49"/>
      <c r="D3333" s="49" t="s">
        <v>1264</v>
      </c>
      <c r="E3333" s="49" t="s">
        <v>2908</v>
      </c>
      <c r="F3333" s="49" t="s">
        <v>2837</v>
      </c>
      <c r="G3333" s="49" t="s">
        <v>2776</v>
      </c>
      <c r="H3333" s="49" t="s">
        <v>980</v>
      </c>
      <c r="I3333" s="50">
        <v>43144</v>
      </c>
      <c r="M3333" s="49" t="s">
        <v>9228</v>
      </c>
    </row>
    <row r="3334" spans="1:13" x14ac:dyDescent="0.35">
      <c r="A3334" s="49" t="s">
        <v>15221</v>
      </c>
      <c r="B3334" s="49" t="s">
        <v>9233</v>
      </c>
      <c r="C3334" s="49"/>
      <c r="D3334" s="49" t="s">
        <v>1264</v>
      </c>
      <c r="E3334" s="49" t="s">
        <v>2908</v>
      </c>
      <c r="F3334" s="49" t="s">
        <v>2837</v>
      </c>
      <c r="G3334" s="49" t="s">
        <v>2776</v>
      </c>
      <c r="H3334" s="49" t="s">
        <v>2827</v>
      </c>
      <c r="I3334" s="50">
        <v>43461</v>
      </c>
      <c r="M3334" s="49" t="s">
        <v>3638</v>
      </c>
    </row>
    <row r="3335" spans="1:13" x14ac:dyDescent="0.35">
      <c r="A3335" s="49" t="s">
        <v>15221</v>
      </c>
      <c r="B3335" s="49" t="s">
        <v>10524</v>
      </c>
      <c r="C3335" s="49"/>
      <c r="D3335" s="49" t="s">
        <v>1264</v>
      </c>
      <c r="E3335" s="49" t="s">
        <v>2814</v>
      </c>
      <c r="F3335" s="49" t="s">
        <v>2837</v>
      </c>
      <c r="G3335" s="49" t="s">
        <v>2776</v>
      </c>
      <c r="H3335" s="49" t="s">
        <v>2827</v>
      </c>
      <c r="I3335" s="50">
        <v>43291</v>
      </c>
      <c r="M3335" s="49" t="s">
        <v>3470</v>
      </c>
    </row>
    <row r="3336" spans="1:13" x14ac:dyDescent="0.35">
      <c r="A3336" s="49" t="s">
        <v>14403</v>
      </c>
      <c r="B3336" s="49" t="s">
        <v>8089</v>
      </c>
      <c r="C3336" s="49" t="s">
        <v>8090</v>
      </c>
      <c r="D3336" s="49" t="s">
        <v>1264</v>
      </c>
      <c r="E3336" s="49" t="s">
        <v>7057</v>
      </c>
      <c r="F3336" s="49" t="s">
        <v>2825</v>
      </c>
      <c r="G3336" s="49" t="s">
        <v>2787</v>
      </c>
      <c r="H3336" s="49" t="s">
        <v>2827</v>
      </c>
      <c r="I3336" s="50">
        <v>40668</v>
      </c>
      <c r="J3336" s="50">
        <v>40749</v>
      </c>
      <c r="K3336" s="50">
        <v>42565</v>
      </c>
      <c r="M3336" s="49" t="s">
        <v>8092</v>
      </c>
    </row>
    <row r="3337" spans="1:13" x14ac:dyDescent="0.35">
      <c r="A3337" s="49" t="s">
        <v>14403</v>
      </c>
      <c r="B3337" s="49" t="s">
        <v>8196</v>
      </c>
      <c r="C3337" s="49" t="s">
        <v>8197</v>
      </c>
      <c r="D3337" s="49" t="s">
        <v>1264</v>
      </c>
      <c r="E3337" s="49" t="s">
        <v>2774</v>
      </c>
      <c r="F3337" s="49" t="s">
        <v>2825</v>
      </c>
      <c r="G3337" s="49" t="s">
        <v>2826</v>
      </c>
      <c r="H3337" s="49" t="s">
        <v>2827</v>
      </c>
      <c r="I3337" s="50">
        <v>40253</v>
      </c>
      <c r="J3337" s="50">
        <v>40455</v>
      </c>
      <c r="K3337" s="50">
        <v>42621</v>
      </c>
      <c r="M3337" s="49" t="s">
        <v>8198</v>
      </c>
    </row>
    <row r="3338" spans="1:13" x14ac:dyDescent="0.35">
      <c r="A3338" s="49" t="s">
        <v>14403</v>
      </c>
      <c r="B3338" s="49" t="s">
        <v>8336</v>
      </c>
      <c r="C3338" s="49" t="s">
        <v>8337</v>
      </c>
      <c r="D3338" s="49" t="s">
        <v>1264</v>
      </c>
      <c r="E3338" s="49" t="s">
        <v>2774</v>
      </c>
      <c r="F3338" s="49" t="s">
        <v>2825</v>
      </c>
      <c r="G3338" s="49" t="s">
        <v>2787</v>
      </c>
      <c r="H3338" s="49" t="s">
        <v>2827</v>
      </c>
      <c r="I3338" s="50">
        <v>40134</v>
      </c>
      <c r="J3338" s="50">
        <v>40176</v>
      </c>
      <c r="K3338" s="50">
        <v>42366</v>
      </c>
      <c r="M3338" s="49" t="s">
        <v>8338</v>
      </c>
    </row>
    <row r="3339" spans="1:13" x14ac:dyDescent="0.35">
      <c r="A3339" s="49" t="s">
        <v>14403</v>
      </c>
      <c r="B3339" s="49" t="s">
        <v>8702</v>
      </c>
      <c r="C3339" s="49" t="s">
        <v>3244</v>
      </c>
      <c r="D3339" s="49" t="s">
        <v>1264</v>
      </c>
      <c r="E3339" s="49" t="s">
        <v>2774</v>
      </c>
      <c r="F3339" s="49" t="s">
        <v>2825</v>
      </c>
      <c r="G3339" s="49" t="s">
        <v>2776</v>
      </c>
      <c r="H3339" s="49" t="s">
        <v>2827</v>
      </c>
      <c r="I3339" s="50">
        <v>41337</v>
      </c>
      <c r="M3339" s="49" t="s">
        <v>8703</v>
      </c>
    </row>
    <row r="3340" spans="1:13" x14ac:dyDescent="0.35">
      <c r="A3340" s="49" t="s">
        <v>15487</v>
      </c>
      <c r="B3340" s="49" t="s">
        <v>8588</v>
      </c>
      <c r="C3340" s="49" t="s">
        <v>8589</v>
      </c>
      <c r="D3340" s="49" t="s">
        <v>1264</v>
      </c>
      <c r="E3340" s="49" t="s">
        <v>2774</v>
      </c>
      <c r="F3340" s="49" t="s">
        <v>2825</v>
      </c>
      <c r="G3340" s="49" t="s">
        <v>2921</v>
      </c>
      <c r="H3340" s="49" t="s">
        <v>2827</v>
      </c>
      <c r="I3340" s="50">
        <v>42644</v>
      </c>
      <c r="J3340" s="50">
        <v>42969</v>
      </c>
      <c r="K3340" s="50">
        <v>45524</v>
      </c>
      <c r="M3340" s="49" t="s">
        <v>8591</v>
      </c>
    </row>
    <row r="3341" spans="1:13" x14ac:dyDescent="0.35">
      <c r="A3341" s="49" t="s">
        <v>15487</v>
      </c>
      <c r="B3341" s="49" t="s">
        <v>13830</v>
      </c>
      <c r="C3341" s="49" t="s">
        <v>3873</v>
      </c>
      <c r="D3341" s="49" t="s">
        <v>1264</v>
      </c>
      <c r="E3341" s="49" t="s">
        <v>2774</v>
      </c>
      <c r="F3341" s="49" t="s">
        <v>2825</v>
      </c>
      <c r="G3341" s="49" t="s">
        <v>2776</v>
      </c>
      <c r="H3341" s="49" t="s">
        <v>2827</v>
      </c>
      <c r="I3341" s="50">
        <v>43180</v>
      </c>
      <c r="M3341" s="49" t="s">
        <v>13832</v>
      </c>
    </row>
    <row r="3342" spans="1:13" x14ac:dyDescent="0.35">
      <c r="A3342" s="49" t="s">
        <v>15487</v>
      </c>
      <c r="B3342" s="49" t="s">
        <v>13833</v>
      </c>
      <c r="C3342" s="49" t="s">
        <v>13834</v>
      </c>
      <c r="D3342" s="49" t="s">
        <v>1264</v>
      </c>
      <c r="E3342" s="49" t="s">
        <v>2774</v>
      </c>
      <c r="F3342" s="49" t="s">
        <v>3598</v>
      </c>
      <c r="G3342" s="49" t="s">
        <v>2787</v>
      </c>
      <c r="H3342" s="49" t="s">
        <v>2827</v>
      </c>
      <c r="I3342" s="50">
        <v>43178</v>
      </c>
      <c r="M3342" s="49" t="s">
        <v>13835</v>
      </c>
    </row>
    <row r="3343" spans="1:13" x14ac:dyDescent="0.35">
      <c r="A3343" s="49" t="s">
        <v>14383</v>
      </c>
      <c r="B3343" s="49" t="s">
        <v>7875</v>
      </c>
      <c r="C3343" s="49" t="s">
        <v>7876</v>
      </c>
      <c r="D3343" s="49" t="s">
        <v>1264</v>
      </c>
      <c r="E3343" s="49" t="s">
        <v>2908</v>
      </c>
      <c r="F3343" s="49" t="s">
        <v>3010</v>
      </c>
      <c r="G3343" s="49" t="s">
        <v>2826</v>
      </c>
      <c r="H3343" s="49" t="s">
        <v>980</v>
      </c>
      <c r="I3343" s="50">
        <v>36073</v>
      </c>
      <c r="J3343" s="50">
        <v>36276</v>
      </c>
      <c r="K3343" s="50">
        <v>38102</v>
      </c>
      <c r="M3343" s="49" t="s">
        <v>4437</v>
      </c>
    </row>
    <row r="3344" spans="1:13" x14ac:dyDescent="0.35">
      <c r="A3344" s="49" t="s">
        <v>14383</v>
      </c>
      <c r="B3344" s="49" t="s">
        <v>7899</v>
      </c>
      <c r="C3344" s="49" t="s">
        <v>2937</v>
      </c>
      <c r="D3344" s="49" t="s">
        <v>1264</v>
      </c>
      <c r="E3344" s="49" t="s">
        <v>2908</v>
      </c>
      <c r="F3344" s="49" t="s">
        <v>2939</v>
      </c>
      <c r="G3344" s="49" t="s">
        <v>2826</v>
      </c>
      <c r="H3344" s="49" t="s">
        <v>980</v>
      </c>
      <c r="I3344" s="50">
        <v>36280</v>
      </c>
      <c r="J3344" s="50">
        <v>36600</v>
      </c>
      <c r="K3344" s="50">
        <v>38425</v>
      </c>
      <c r="M3344" s="49" t="s">
        <v>4437</v>
      </c>
    </row>
    <row r="3345" spans="1:13" x14ac:dyDescent="0.35">
      <c r="A3345" s="49" t="s">
        <v>14598</v>
      </c>
      <c r="B3345" s="49" t="s">
        <v>11166</v>
      </c>
      <c r="C3345" s="49"/>
      <c r="D3345" s="49" t="s">
        <v>1264</v>
      </c>
      <c r="E3345" s="49" t="s">
        <v>2814</v>
      </c>
      <c r="F3345" s="49" t="s">
        <v>2825</v>
      </c>
      <c r="G3345" s="49" t="s">
        <v>2776</v>
      </c>
      <c r="H3345" s="49" t="s">
        <v>2827</v>
      </c>
      <c r="I3345" s="50">
        <v>44879</v>
      </c>
      <c r="M3345" s="49" t="s">
        <v>11168</v>
      </c>
    </row>
    <row r="3346" spans="1:13" x14ac:dyDescent="0.35">
      <c r="A3346" s="49" t="s">
        <v>14598</v>
      </c>
      <c r="B3346" s="49" t="s">
        <v>11436</v>
      </c>
      <c r="C3346" s="49"/>
      <c r="D3346" s="49" t="s">
        <v>1264</v>
      </c>
      <c r="E3346" s="49" t="s">
        <v>2814</v>
      </c>
      <c r="F3346" s="49" t="s">
        <v>2825</v>
      </c>
      <c r="G3346" s="49" t="s">
        <v>2776</v>
      </c>
      <c r="H3346" s="49" t="s">
        <v>2827</v>
      </c>
      <c r="I3346" s="50">
        <v>45100</v>
      </c>
      <c r="M3346" s="49" t="s">
        <v>11437</v>
      </c>
    </row>
    <row r="3347" spans="1:13" x14ac:dyDescent="0.35">
      <c r="A3347" s="49" t="s">
        <v>8864</v>
      </c>
      <c r="B3347" s="49" t="s">
        <v>8862</v>
      </c>
      <c r="C3347" s="49" t="s">
        <v>8863</v>
      </c>
      <c r="D3347" s="49" t="s">
        <v>1264</v>
      </c>
      <c r="E3347" s="49" t="s">
        <v>2785</v>
      </c>
      <c r="F3347" s="49" t="s">
        <v>2792</v>
      </c>
      <c r="G3347" s="49" t="s">
        <v>2787</v>
      </c>
      <c r="H3347" s="49" t="s">
        <v>8</v>
      </c>
      <c r="I3347" s="50">
        <v>42128</v>
      </c>
      <c r="J3347" s="50">
        <v>42143</v>
      </c>
      <c r="K3347" s="50">
        <v>42326</v>
      </c>
      <c r="M3347" s="49" t="s">
        <v>6081</v>
      </c>
    </row>
    <row r="3348" spans="1:13" x14ac:dyDescent="0.35">
      <c r="A3348" s="49" t="s">
        <v>8864</v>
      </c>
      <c r="B3348" s="49" t="s">
        <v>9127</v>
      </c>
      <c r="C3348" s="49" t="s">
        <v>3063</v>
      </c>
      <c r="D3348" s="49" t="s">
        <v>1264</v>
      </c>
      <c r="E3348" s="49" t="s">
        <v>2908</v>
      </c>
      <c r="F3348" s="49" t="s">
        <v>2837</v>
      </c>
      <c r="G3348" s="49" t="s">
        <v>2776</v>
      </c>
      <c r="H3348" s="49" t="s">
        <v>980</v>
      </c>
      <c r="I3348" s="50">
        <v>41967</v>
      </c>
      <c r="M3348" s="49" t="s">
        <v>9129</v>
      </c>
    </row>
    <row r="3349" spans="1:13" x14ac:dyDescent="0.35">
      <c r="A3349" s="49" t="s">
        <v>8864</v>
      </c>
      <c r="B3349" s="49" t="s">
        <v>13745</v>
      </c>
      <c r="C3349" s="49" t="s">
        <v>2891</v>
      </c>
      <c r="D3349" s="49" t="s">
        <v>1264</v>
      </c>
      <c r="E3349" s="49" t="s">
        <v>2908</v>
      </c>
      <c r="F3349" s="49" t="s">
        <v>2939</v>
      </c>
      <c r="G3349" s="49" t="s">
        <v>2776</v>
      </c>
      <c r="H3349" s="49" t="s">
        <v>980</v>
      </c>
      <c r="I3349" s="50">
        <v>41940</v>
      </c>
      <c r="M3349" s="49" t="s">
        <v>13746</v>
      </c>
    </row>
    <row r="3350" spans="1:13" x14ac:dyDescent="0.35">
      <c r="A3350" s="49" t="s">
        <v>15623</v>
      </c>
      <c r="B3350" s="49" t="s">
        <v>7050</v>
      </c>
      <c r="C3350" s="49" t="s">
        <v>7051</v>
      </c>
      <c r="D3350" s="49" t="s">
        <v>1264</v>
      </c>
      <c r="E3350" s="49" t="s">
        <v>2785</v>
      </c>
      <c r="F3350" s="49" t="s">
        <v>2792</v>
      </c>
      <c r="G3350" s="49" t="s">
        <v>2787</v>
      </c>
      <c r="H3350" s="49" t="s">
        <v>8</v>
      </c>
      <c r="I3350" s="50">
        <v>41971</v>
      </c>
      <c r="J3350" s="50">
        <v>42019</v>
      </c>
      <c r="K3350" s="50">
        <v>42199</v>
      </c>
      <c r="M3350" s="49" t="s">
        <v>7053</v>
      </c>
    </row>
    <row r="3351" spans="1:13" x14ac:dyDescent="0.35">
      <c r="A3351" s="49" t="s">
        <v>15623</v>
      </c>
      <c r="B3351" s="49" t="s">
        <v>9401</v>
      </c>
      <c r="C3351" s="49"/>
      <c r="D3351" s="49" t="s">
        <v>1264</v>
      </c>
      <c r="E3351" s="49" t="s">
        <v>2785</v>
      </c>
      <c r="F3351" s="49" t="s">
        <v>2792</v>
      </c>
      <c r="G3351" s="49" t="s">
        <v>2776</v>
      </c>
      <c r="H3351" s="49" t="s">
        <v>8</v>
      </c>
      <c r="I3351" s="50">
        <v>43901</v>
      </c>
      <c r="M3351" s="49" t="s">
        <v>9402</v>
      </c>
    </row>
    <row r="3352" spans="1:13" x14ac:dyDescent="0.35">
      <c r="A3352" s="49" t="s">
        <v>15488</v>
      </c>
      <c r="B3352" s="49" t="s">
        <v>3551</v>
      </c>
      <c r="C3352" s="49" t="s">
        <v>3552</v>
      </c>
      <c r="D3352" s="49" t="s">
        <v>1264</v>
      </c>
      <c r="E3352" s="49" t="s">
        <v>2986</v>
      </c>
      <c r="F3352" s="49" t="s">
        <v>2825</v>
      </c>
      <c r="G3352" s="49" t="s">
        <v>2820</v>
      </c>
      <c r="H3352" s="49" t="s">
        <v>2827</v>
      </c>
      <c r="I3352" s="50">
        <v>42775</v>
      </c>
      <c r="J3352" s="50">
        <v>44292</v>
      </c>
      <c r="K3352" s="50">
        <v>45387</v>
      </c>
      <c r="M3352" s="49" t="s">
        <v>3270</v>
      </c>
    </row>
    <row r="3353" spans="1:13" x14ac:dyDescent="0.35">
      <c r="A3353" s="49" t="s">
        <v>15488</v>
      </c>
      <c r="B3353" s="49" t="s">
        <v>10435</v>
      </c>
      <c r="C3353" s="49" t="s">
        <v>10436</v>
      </c>
      <c r="D3353" s="49" t="s">
        <v>1264</v>
      </c>
      <c r="E3353" s="49" t="s">
        <v>2814</v>
      </c>
      <c r="F3353" s="49" t="s">
        <v>2837</v>
      </c>
      <c r="G3353" s="49" t="s">
        <v>2776</v>
      </c>
      <c r="H3353" s="49" t="s">
        <v>2827</v>
      </c>
      <c r="I3353" s="50">
        <v>43201</v>
      </c>
      <c r="M3353" s="49" t="s">
        <v>10438</v>
      </c>
    </row>
    <row r="3354" spans="1:13" x14ac:dyDescent="0.35">
      <c r="A3354" s="49" t="s">
        <v>15488</v>
      </c>
      <c r="B3354" s="49" t="s">
        <v>10439</v>
      </c>
      <c r="C3354" s="49"/>
      <c r="D3354" s="49" t="s">
        <v>1264</v>
      </c>
      <c r="E3354" s="49" t="s">
        <v>2814</v>
      </c>
      <c r="F3354" s="49" t="s">
        <v>3898</v>
      </c>
      <c r="G3354" s="49" t="s">
        <v>2776</v>
      </c>
      <c r="H3354" s="49" t="s">
        <v>2827</v>
      </c>
      <c r="I3354" s="50">
        <v>43201</v>
      </c>
      <c r="M3354" s="49" t="s">
        <v>10440</v>
      </c>
    </row>
    <row r="3355" spans="1:13" x14ac:dyDescent="0.35">
      <c r="A3355" s="49" t="s">
        <v>15488</v>
      </c>
      <c r="B3355" s="49" t="s">
        <v>11586</v>
      </c>
      <c r="C3355" s="49" t="s">
        <v>11587</v>
      </c>
      <c r="D3355" s="49" t="s">
        <v>1264</v>
      </c>
      <c r="E3355" s="49" t="s">
        <v>2774</v>
      </c>
      <c r="F3355" s="49" t="s">
        <v>3648</v>
      </c>
      <c r="G3355" s="49" t="s">
        <v>4891</v>
      </c>
      <c r="H3355" s="49" t="s">
        <v>3229</v>
      </c>
      <c r="I3355" s="50">
        <v>45191</v>
      </c>
      <c r="M3355" s="49" t="s">
        <v>11588</v>
      </c>
    </row>
    <row r="3356" spans="1:13" x14ac:dyDescent="0.35">
      <c r="A3356" s="49" t="s">
        <v>15489</v>
      </c>
      <c r="B3356" s="49" t="s">
        <v>5248</v>
      </c>
      <c r="C3356" s="49"/>
      <c r="D3356" s="49" t="s">
        <v>1264</v>
      </c>
      <c r="E3356" s="49" t="s">
        <v>2908</v>
      </c>
      <c r="F3356" s="49" t="s">
        <v>2837</v>
      </c>
      <c r="G3356" s="49" t="s">
        <v>2901</v>
      </c>
      <c r="H3356" s="49" t="s">
        <v>2827</v>
      </c>
      <c r="I3356" s="50">
        <v>43131</v>
      </c>
      <c r="J3356" s="50">
        <v>44790</v>
      </c>
      <c r="K3356" s="50">
        <v>46615</v>
      </c>
      <c r="M3356" s="49" t="s">
        <v>5250</v>
      </c>
    </row>
    <row r="3357" spans="1:13" x14ac:dyDescent="0.35">
      <c r="A3357" s="49" t="s">
        <v>14399</v>
      </c>
      <c r="B3357" s="49" t="s">
        <v>8037</v>
      </c>
      <c r="C3357" s="49" t="s">
        <v>8038</v>
      </c>
      <c r="D3357" s="49" t="s">
        <v>1264</v>
      </c>
      <c r="E3357" s="49" t="s">
        <v>2908</v>
      </c>
      <c r="F3357" s="49" t="s">
        <v>2939</v>
      </c>
      <c r="G3357" s="49" t="s">
        <v>2787</v>
      </c>
      <c r="H3357" s="49" t="s">
        <v>8</v>
      </c>
      <c r="I3357" s="50">
        <v>37810</v>
      </c>
      <c r="J3357" s="50">
        <v>38153</v>
      </c>
      <c r="K3357" s="50">
        <v>39978</v>
      </c>
      <c r="M3357" s="49" t="s">
        <v>8040</v>
      </c>
    </row>
    <row r="3358" spans="1:13" x14ac:dyDescent="0.35">
      <c r="A3358" s="49" t="s">
        <v>15490</v>
      </c>
      <c r="B3358" s="49" t="s">
        <v>5354</v>
      </c>
      <c r="C3358" s="49" t="s">
        <v>5355</v>
      </c>
      <c r="D3358" s="49" t="s">
        <v>1264</v>
      </c>
      <c r="E3358" s="49" t="s">
        <v>2785</v>
      </c>
      <c r="F3358" s="49" t="s">
        <v>2792</v>
      </c>
      <c r="G3358" s="49" t="s">
        <v>2787</v>
      </c>
      <c r="H3358" s="49" t="s">
        <v>8</v>
      </c>
      <c r="I3358" s="50">
        <v>44868</v>
      </c>
      <c r="J3358" s="50">
        <v>44995</v>
      </c>
      <c r="K3358" s="50">
        <v>45360</v>
      </c>
      <c r="M3358" s="49" t="s">
        <v>5357</v>
      </c>
    </row>
    <row r="3359" spans="1:13" x14ac:dyDescent="0.35">
      <c r="A3359" s="49" t="s">
        <v>14514</v>
      </c>
      <c r="B3359" s="49" t="s">
        <v>9628</v>
      </c>
      <c r="C3359" s="49"/>
      <c r="D3359" s="49" t="s">
        <v>1264</v>
      </c>
      <c r="E3359" s="49" t="s">
        <v>2908</v>
      </c>
      <c r="F3359" s="49" t="s">
        <v>2939</v>
      </c>
      <c r="G3359" s="49" t="s">
        <v>2776</v>
      </c>
      <c r="H3359" s="49" t="s">
        <v>980</v>
      </c>
      <c r="I3359" s="50">
        <v>42460</v>
      </c>
      <c r="M3359" s="49" t="s">
        <v>9630</v>
      </c>
    </row>
    <row r="3360" spans="1:13" x14ac:dyDescent="0.35">
      <c r="A3360" s="49" t="s">
        <v>14346</v>
      </c>
      <c r="B3360" s="49" t="s">
        <v>7403</v>
      </c>
      <c r="C3360" s="49" t="s">
        <v>7404</v>
      </c>
      <c r="D3360" s="49" t="s">
        <v>1264</v>
      </c>
      <c r="E3360" s="49" t="s">
        <v>2785</v>
      </c>
      <c r="F3360" s="49" t="s">
        <v>2792</v>
      </c>
      <c r="G3360" s="49" t="s">
        <v>2787</v>
      </c>
      <c r="H3360" s="49" t="s">
        <v>980</v>
      </c>
      <c r="I3360" s="50">
        <v>42394</v>
      </c>
      <c r="J3360" s="50">
        <v>42514</v>
      </c>
      <c r="K3360" s="50">
        <v>42697</v>
      </c>
      <c r="M3360" s="49" t="s">
        <v>7406</v>
      </c>
    </row>
    <row r="3361" spans="1:13" x14ac:dyDescent="0.35">
      <c r="A3361" s="49" t="s">
        <v>15491</v>
      </c>
      <c r="B3361" s="49" t="s">
        <v>6120</v>
      </c>
      <c r="C3361" s="49" t="s">
        <v>2937</v>
      </c>
      <c r="D3361" s="49" t="s">
        <v>1264</v>
      </c>
      <c r="E3361" s="49" t="s">
        <v>2785</v>
      </c>
      <c r="F3361" s="49" t="s">
        <v>2792</v>
      </c>
      <c r="G3361" s="49" t="s">
        <v>2787</v>
      </c>
      <c r="H3361" s="49" t="s">
        <v>980</v>
      </c>
      <c r="I3361" s="50">
        <v>44131</v>
      </c>
      <c r="K3361" s="50">
        <v>45510</v>
      </c>
      <c r="M3361" s="49" t="s">
        <v>6122</v>
      </c>
    </row>
    <row r="3362" spans="1:13" x14ac:dyDescent="0.35">
      <c r="A3362" s="49" t="s">
        <v>15492</v>
      </c>
      <c r="B3362" s="49" t="s">
        <v>12880</v>
      </c>
      <c r="C3362" s="49"/>
      <c r="D3362" s="49" t="s">
        <v>1264</v>
      </c>
      <c r="E3362" s="49" t="s">
        <v>2908</v>
      </c>
      <c r="F3362" s="49" t="s">
        <v>2837</v>
      </c>
      <c r="G3362" s="49" t="s">
        <v>4891</v>
      </c>
      <c r="H3362" s="49" t="s">
        <v>2827</v>
      </c>
      <c r="I3362" s="50">
        <v>45828</v>
      </c>
      <c r="M3362" s="49" t="s">
        <v>12882</v>
      </c>
    </row>
    <row r="3363" spans="1:13" x14ac:dyDescent="0.35">
      <c r="A3363" s="49" t="s">
        <v>15492</v>
      </c>
      <c r="B3363" s="49" t="s">
        <v>12883</v>
      </c>
      <c r="C3363" s="49"/>
      <c r="D3363" s="49" t="s">
        <v>1264</v>
      </c>
      <c r="E3363" s="49" t="s">
        <v>2908</v>
      </c>
      <c r="F3363" s="49" t="s">
        <v>2939</v>
      </c>
      <c r="G3363" s="49" t="s">
        <v>4891</v>
      </c>
      <c r="H3363" s="49" t="s">
        <v>980</v>
      </c>
      <c r="I3363" s="50">
        <v>45828</v>
      </c>
      <c r="M3363" s="49" t="s">
        <v>12884</v>
      </c>
    </row>
    <row r="3364" spans="1:13" x14ac:dyDescent="0.35">
      <c r="A3364" s="49" t="s">
        <v>14484</v>
      </c>
      <c r="B3364" s="49" t="s">
        <v>9280</v>
      </c>
      <c r="C3364" s="49"/>
      <c r="D3364" s="49" t="s">
        <v>1264</v>
      </c>
      <c r="E3364" s="49" t="s">
        <v>2908</v>
      </c>
      <c r="F3364" s="49" t="s">
        <v>2939</v>
      </c>
      <c r="G3364" s="49" t="s">
        <v>2776</v>
      </c>
      <c r="H3364" s="49" t="s">
        <v>980</v>
      </c>
      <c r="I3364" s="50">
        <v>44242</v>
      </c>
      <c r="M3364" s="49" t="s">
        <v>9282</v>
      </c>
    </row>
    <row r="3365" spans="1:13" x14ac:dyDescent="0.35">
      <c r="A3365" s="49" t="s">
        <v>14328</v>
      </c>
      <c r="B3365" s="49" t="s">
        <v>7147</v>
      </c>
      <c r="C3365" s="49" t="s">
        <v>7148</v>
      </c>
      <c r="D3365" s="49" t="s">
        <v>1264</v>
      </c>
      <c r="E3365" s="49" t="s">
        <v>2908</v>
      </c>
      <c r="F3365" s="49" t="s">
        <v>2939</v>
      </c>
      <c r="G3365" s="49" t="s">
        <v>2787</v>
      </c>
      <c r="H3365" s="49" t="s">
        <v>980</v>
      </c>
      <c r="I3365" s="50">
        <v>39959</v>
      </c>
      <c r="J3365" s="50">
        <v>36906</v>
      </c>
      <c r="K3365" s="50">
        <v>41891</v>
      </c>
      <c r="M3365" s="49" t="s">
        <v>7150</v>
      </c>
    </row>
    <row r="3366" spans="1:13" x14ac:dyDescent="0.35">
      <c r="A3366" s="49" t="s">
        <v>15493</v>
      </c>
      <c r="B3366" s="49" t="s">
        <v>3809</v>
      </c>
      <c r="C3366" s="49" t="s">
        <v>3810</v>
      </c>
      <c r="D3366" s="49" t="s">
        <v>1264</v>
      </c>
      <c r="E3366" s="49" t="s">
        <v>2986</v>
      </c>
      <c r="F3366" s="49" t="s">
        <v>2825</v>
      </c>
      <c r="G3366" s="49" t="s">
        <v>2787</v>
      </c>
      <c r="H3366" s="49" t="s">
        <v>2827</v>
      </c>
      <c r="I3366" s="50">
        <v>43318</v>
      </c>
      <c r="J3366" s="50">
        <v>43488</v>
      </c>
      <c r="K3366" s="50">
        <v>44584</v>
      </c>
      <c r="M3366" s="49" t="s">
        <v>3270</v>
      </c>
    </row>
    <row r="3367" spans="1:13" x14ac:dyDescent="0.35">
      <c r="A3367" s="49" t="s">
        <v>15493</v>
      </c>
      <c r="B3367" s="49" t="s">
        <v>9046</v>
      </c>
      <c r="C3367" s="49"/>
      <c r="D3367" s="49" t="s">
        <v>1264</v>
      </c>
      <c r="E3367" s="49" t="s">
        <v>2814</v>
      </c>
      <c r="F3367" s="49" t="s">
        <v>2825</v>
      </c>
      <c r="G3367" s="49" t="s">
        <v>2787</v>
      </c>
      <c r="H3367" s="49" t="s">
        <v>2827</v>
      </c>
      <c r="I3367" s="50">
        <v>41928</v>
      </c>
      <c r="J3367" s="50">
        <v>41912</v>
      </c>
      <c r="K3367" s="50">
        <v>42092</v>
      </c>
      <c r="M3367" s="49" t="s">
        <v>9047</v>
      </c>
    </row>
    <row r="3368" spans="1:13" x14ac:dyDescent="0.35">
      <c r="A3368" s="49" t="s">
        <v>15493</v>
      </c>
      <c r="B3368" s="49" t="s">
        <v>13645</v>
      </c>
      <c r="C3368" s="49" t="s">
        <v>3810</v>
      </c>
      <c r="D3368" s="49" t="s">
        <v>1264</v>
      </c>
      <c r="E3368" s="49" t="s">
        <v>2986</v>
      </c>
      <c r="F3368" s="49" t="s">
        <v>2825</v>
      </c>
      <c r="G3368" s="49" t="s">
        <v>2776</v>
      </c>
      <c r="H3368" s="49" t="s">
        <v>2827</v>
      </c>
      <c r="I3368" s="50">
        <v>43012</v>
      </c>
      <c r="M3368" s="49" t="s">
        <v>3270</v>
      </c>
    </row>
    <row r="3369" spans="1:13" x14ac:dyDescent="0.35">
      <c r="A3369" s="49" t="s">
        <v>15493</v>
      </c>
      <c r="B3369" s="49" t="s">
        <v>13662</v>
      </c>
      <c r="C3369" s="49" t="s">
        <v>8523</v>
      </c>
      <c r="D3369" s="49" t="s">
        <v>1264</v>
      </c>
      <c r="E3369" s="49" t="s">
        <v>2986</v>
      </c>
      <c r="F3369" s="49" t="s">
        <v>2825</v>
      </c>
      <c r="G3369" s="49" t="s">
        <v>2776</v>
      </c>
      <c r="H3369" s="49" t="s">
        <v>2827</v>
      </c>
      <c r="I3369" s="50">
        <v>43318</v>
      </c>
      <c r="M3369" s="49" t="s">
        <v>10078</v>
      </c>
    </row>
    <row r="3370" spans="1:13" x14ac:dyDescent="0.35">
      <c r="A3370" s="49" t="s">
        <v>15503</v>
      </c>
      <c r="B3370" s="49" t="s">
        <v>8008</v>
      </c>
      <c r="C3370" s="49" t="s">
        <v>8009</v>
      </c>
      <c r="D3370" s="49" t="s">
        <v>1264</v>
      </c>
      <c r="E3370" s="49" t="s">
        <v>2908</v>
      </c>
      <c r="F3370" s="49" t="s">
        <v>2805</v>
      </c>
      <c r="G3370" s="49" t="s">
        <v>2826</v>
      </c>
      <c r="H3370" s="49" t="s">
        <v>980</v>
      </c>
      <c r="I3370" s="50">
        <v>33660</v>
      </c>
      <c r="J3370" s="50">
        <v>34516</v>
      </c>
      <c r="K3370" s="50">
        <v>35727</v>
      </c>
      <c r="M3370" s="49" t="s">
        <v>7920</v>
      </c>
    </row>
    <row r="3371" spans="1:13" x14ac:dyDescent="0.35">
      <c r="A3371" s="49" t="s">
        <v>15494</v>
      </c>
      <c r="B3371" s="49" t="s">
        <v>6069</v>
      </c>
      <c r="C3371" s="49" t="s">
        <v>3768</v>
      </c>
      <c r="D3371" s="49" t="s">
        <v>1264</v>
      </c>
      <c r="E3371" s="49" t="s">
        <v>3443</v>
      </c>
      <c r="F3371" s="49" t="s">
        <v>3124</v>
      </c>
      <c r="G3371" s="49" t="s">
        <v>2901</v>
      </c>
      <c r="H3371" s="49" t="s">
        <v>980</v>
      </c>
      <c r="I3371" s="50">
        <v>45230</v>
      </c>
      <c r="J3371" s="50">
        <v>45252</v>
      </c>
      <c r="K3371" s="50">
        <v>47078</v>
      </c>
    </row>
    <row r="3372" spans="1:13" x14ac:dyDescent="0.35">
      <c r="A3372" s="49" t="s">
        <v>15494</v>
      </c>
      <c r="B3372" s="49" t="s">
        <v>12012</v>
      </c>
      <c r="C3372" s="49" t="s">
        <v>3768</v>
      </c>
      <c r="D3372" s="49" t="s">
        <v>1264</v>
      </c>
      <c r="E3372" s="49" t="s">
        <v>3443</v>
      </c>
      <c r="F3372" s="49" t="s">
        <v>3124</v>
      </c>
      <c r="G3372" s="49" t="s">
        <v>4891</v>
      </c>
      <c r="H3372" s="49" t="s">
        <v>980</v>
      </c>
      <c r="I3372" s="50">
        <v>45237</v>
      </c>
    </row>
    <row r="3373" spans="1:13" x14ac:dyDescent="0.35">
      <c r="A3373" s="49" t="s">
        <v>14059</v>
      </c>
      <c r="B3373" s="49" t="s">
        <v>2782</v>
      </c>
      <c r="C3373" s="49" t="s">
        <v>2783</v>
      </c>
      <c r="D3373" s="49" t="s">
        <v>1264</v>
      </c>
      <c r="E3373" s="49" t="s">
        <v>2785</v>
      </c>
      <c r="F3373" s="49" t="s">
        <v>2786</v>
      </c>
      <c r="G3373" s="49" t="s">
        <v>2787</v>
      </c>
      <c r="H3373" s="49" t="s">
        <v>973</v>
      </c>
      <c r="I3373" s="50">
        <v>43756</v>
      </c>
      <c r="J3373" s="50">
        <v>43843</v>
      </c>
      <c r="K3373" s="50">
        <v>44208</v>
      </c>
      <c r="M3373" s="49" t="s">
        <v>2788</v>
      </c>
    </row>
    <row r="3374" spans="1:13" x14ac:dyDescent="0.35">
      <c r="A3374" s="49" t="s">
        <v>6523</v>
      </c>
      <c r="B3374" s="49" t="s">
        <v>6330</v>
      </c>
      <c r="C3374" s="49"/>
      <c r="D3374" s="49" t="s">
        <v>1264</v>
      </c>
      <c r="E3374" s="49" t="s">
        <v>2986</v>
      </c>
      <c r="F3374" s="49" t="s">
        <v>2825</v>
      </c>
      <c r="G3374" s="49" t="s">
        <v>2901</v>
      </c>
      <c r="H3374" s="49" t="s">
        <v>2827</v>
      </c>
      <c r="I3374" s="50">
        <v>45313</v>
      </c>
      <c r="J3374" s="50">
        <v>45324</v>
      </c>
      <c r="K3374" s="50">
        <v>46419</v>
      </c>
      <c r="M3374" s="49" t="s">
        <v>6332</v>
      </c>
    </row>
    <row r="3375" spans="1:13" x14ac:dyDescent="0.35">
      <c r="A3375" s="49" t="s">
        <v>6523</v>
      </c>
      <c r="B3375" s="49" t="s">
        <v>6522</v>
      </c>
      <c r="C3375" s="49" t="s">
        <v>3768</v>
      </c>
      <c r="D3375" s="49" t="s">
        <v>1264</v>
      </c>
      <c r="E3375" s="49" t="s">
        <v>3443</v>
      </c>
      <c r="F3375" s="49" t="s">
        <v>3124</v>
      </c>
      <c r="G3375" s="49" t="s">
        <v>2901</v>
      </c>
      <c r="H3375" s="49" t="s">
        <v>980</v>
      </c>
      <c r="I3375" s="50">
        <v>45362</v>
      </c>
      <c r="J3375" s="50">
        <v>45366</v>
      </c>
      <c r="K3375" s="50">
        <v>47191</v>
      </c>
    </row>
    <row r="3376" spans="1:13" x14ac:dyDescent="0.35">
      <c r="A3376" s="49" t="s">
        <v>6523</v>
      </c>
      <c r="B3376" s="49" t="s">
        <v>12024</v>
      </c>
      <c r="C3376" s="49"/>
      <c r="D3376" s="49" t="s">
        <v>1264</v>
      </c>
      <c r="E3376" s="49" t="s">
        <v>2814</v>
      </c>
      <c r="F3376" s="49" t="s">
        <v>2837</v>
      </c>
      <c r="G3376" s="49" t="s">
        <v>2776</v>
      </c>
      <c r="H3376" s="49" t="s">
        <v>980</v>
      </c>
      <c r="I3376" s="50">
        <v>45316</v>
      </c>
      <c r="M3376" s="49" t="s">
        <v>12025</v>
      </c>
    </row>
    <row r="3377" spans="1:13" x14ac:dyDescent="0.35">
      <c r="A3377" s="49" t="s">
        <v>6523</v>
      </c>
      <c r="B3377" s="49" t="s">
        <v>12296</v>
      </c>
      <c r="C3377" s="49" t="s">
        <v>4555</v>
      </c>
      <c r="D3377" s="49" t="s">
        <v>1264</v>
      </c>
      <c r="E3377" s="49" t="s">
        <v>2908</v>
      </c>
      <c r="F3377" s="49" t="s">
        <v>2837</v>
      </c>
      <c r="G3377" s="49" t="s">
        <v>4891</v>
      </c>
      <c r="H3377" s="49" t="s">
        <v>980</v>
      </c>
      <c r="I3377" s="50">
        <v>45366</v>
      </c>
      <c r="M3377" s="49" t="s">
        <v>12297</v>
      </c>
    </row>
    <row r="3378" spans="1:13" x14ac:dyDescent="0.35">
      <c r="A3378" s="49" t="s">
        <v>6523</v>
      </c>
      <c r="B3378" s="49" t="s">
        <v>12483</v>
      </c>
      <c r="C3378" s="49"/>
      <c r="D3378" s="49" t="s">
        <v>1264</v>
      </c>
      <c r="E3378" s="49" t="s">
        <v>2974</v>
      </c>
      <c r="F3378" s="49" t="s">
        <v>2825</v>
      </c>
      <c r="G3378" s="49" t="s">
        <v>4891</v>
      </c>
      <c r="H3378" s="49" t="s">
        <v>973</v>
      </c>
      <c r="I3378" s="50">
        <v>45420</v>
      </c>
      <c r="M3378" s="49" t="s">
        <v>12484</v>
      </c>
    </row>
    <row r="3379" spans="1:13" x14ac:dyDescent="0.35">
      <c r="A3379" s="49" t="s">
        <v>6523</v>
      </c>
      <c r="B3379" s="49" t="s">
        <v>12488</v>
      </c>
      <c r="C3379" s="49"/>
      <c r="D3379" s="49" t="s">
        <v>1264</v>
      </c>
      <c r="E3379" s="49" t="s">
        <v>2974</v>
      </c>
      <c r="F3379" s="49" t="s">
        <v>2825</v>
      </c>
      <c r="G3379" s="49" t="s">
        <v>4891</v>
      </c>
      <c r="H3379" s="49" t="s">
        <v>2827</v>
      </c>
      <c r="I3379" s="50">
        <v>45420</v>
      </c>
      <c r="M3379" s="49" t="s">
        <v>12489</v>
      </c>
    </row>
    <row r="3380" spans="1:13" x14ac:dyDescent="0.35">
      <c r="A3380" s="49" t="s">
        <v>14818</v>
      </c>
      <c r="B3380" s="49" t="s">
        <v>3460</v>
      </c>
      <c r="C3380" s="49" t="s">
        <v>3461</v>
      </c>
      <c r="D3380" s="49" t="s">
        <v>1264</v>
      </c>
      <c r="E3380" s="49" t="s">
        <v>2908</v>
      </c>
      <c r="F3380" s="49" t="s">
        <v>2837</v>
      </c>
      <c r="G3380" s="49" t="s">
        <v>2901</v>
      </c>
      <c r="H3380" s="49" t="s">
        <v>980</v>
      </c>
      <c r="I3380" s="50">
        <v>42395</v>
      </c>
      <c r="J3380" s="50">
        <v>43307</v>
      </c>
      <c r="K3380" s="50">
        <v>46614</v>
      </c>
      <c r="M3380" s="49" t="s">
        <v>3463</v>
      </c>
    </row>
    <row r="3381" spans="1:13" x14ac:dyDescent="0.35">
      <c r="A3381" s="49" t="s">
        <v>14818</v>
      </c>
      <c r="B3381" s="49" t="s">
        <v>5103</v>
      </c>
      <c r="C3381" s="49" t="s">
        <v>4659</v>
      </c>
      <c r="D3381" s="49" t="s">
        <v>1264</v>
      </c>
      <c r="E3381" s="49" t="s">
        <v>2785</v>
      </c>
      <c r="F3381" s="49" t="s">
        <v>2786</v>
      </c>
      <c r="G3381" s="49" t="s">
        <v>2787</v>
      </c>
      <c r="H3381" s="49" t="s">
        <v>980</v>
      </c>
      <c r="I3381" s="50">
        <v>44298</v>
      </c>
      <c r="K3381" s="50">
        <v>45510</v>
      </c>
      <c r="M3381" s="49" t="s">
        <v>5104</v>
      </c>
    </row>
    <row r="3382" spans="1:13" x14ac:dyDescent="0.35">
      <c r="A3382" s="49" t="s">
        <v>14818</v>
      </c>
      <c r="B3382" s="49" t="s">
        <v>7604</v>
      </c>
      <c r="C3382" s="49" t="s">
        <v>7605</v>
      </c>
      <c r="D3382" s="49" t="s">
        <v>1264</v>
      </c>
      <c r="E3382" s="49" t="s">
        <v>2785</v>
      </c>
      <c r="F3382" s="49" t="s">
        <v>2786</v>
      </c>
      <c r="G3382" s="49" t="s">
        <v>2787</v>
      </c>
      <c r="H3382" s="49" t="s">
        <v>980</v>
      </c>
      <c r="I3382" s="50">
        <v>43222</v>
      </c>
      <c r="J3382" s="50">
        <v>43306</v>
      </c>
      <c r="K3382" s="50">
        <v>43489</v>
      </c>
      <c r="M3382" s="49" t="s">
        <v>7606</v>
      </c>
    </row>
    <row r="3383" spans="1:13" x14ac:dyDescent="0.35">
      <c r="A3383" s="49" t="s">
        <v>14818</v>
      </c>
      <c r="B3383" s="49" t="s">
        <v>9445</v>
      </c>
      <c r="C3383" s="49"/>
      <c r="D3383" s="49" t="s">
        <v>1264</v>
      </c>
      <c r="E3383" s="49" t="s">
        <v>2785</v>
      </c>
      <c r="F3383" s="49" t="s">
        <v>2786</v>
      </c>
      <c r="G3383" s="49" t="s">
        <v>2776</v>
      </c>
      <c r="H3383" s="49" t="s">
        <v>980</v>
      </c>
      <c r="I3383" s="50">
        <v>42395</v>
      </c>
      <c r="M3383" s="49" t="s">
        <v>9446</v>
      </c>
    </row>
    <row r="3384" spans="1:13" ht="43.5" x14ac:dyDescent="0.35">
      <c r="A3384" s="49" t="s">
        <v>14818</v>
      </c>
      <c r="B3384" s="49" t="s">
        <v>9539</v>
      </c>
      <c r="C3384" s="51" t="s">
        <v>9540</v>
      </c>
      <c r="D3384" s="49" t="s">
        <v>1264</v>
      </c>
      <c r="E3384" s="49" t="s">
        <v>2785</v>
      </c>
      <c r="F3384" s="49" t="s">
        <v>2792</v>
      </c>
      <c r="G3384" s="49" t="s">
        <v>2776</v>
      </c>
      <c r="H3384" s="49" t="s">
        <v>3207</v>
      </c>
      <c r="I3384" s="50">
        <v>44300</v>
      </c>
      <c r="M3384" s="49" t="s">
        <v>9541</v>
      </c>
    </row>
    <row r="3385" spans="1:13" x14ac:dyDescent="0.35">
      <c r="A3385" s="49" t="s">
        <v>14818</v>
      </c>
      <c r="B3385" s="49" t="s">
        <v>9542</v>
      </c>
      <c r="C3385" s="49" t="s">
        <v>9543</v>
      </c>
      <c r="D3385" s="49" t="s">
        <v>1264</v>
      </c>
      <c r="E3385" s="49" t="s">
        <v>2785</v>
      </c>
      <c r="F3385" s="49" t="s">
        <v>2792</v>
      </c>
      <c r="G3385" s="49" t="s">
        <v>2776</v>
      </c>
      <c r="H3385" s="49" t="s">
        <v>3207</v>
      </c>
      <c r="I3385" s="50">
        <v>44300</v>
      </c>
      <c r="M3385" s="49" t="s">
        <v>9544</v>
      </c>
    </row>
    <row r="3386" spans="1:13" x14ac:dyDescent="0.35">
      <c r="A3386" s="49" t="s">
        <v>14615</v>
      </c>
      <c r="B3386" s="49" t="s">
        <v>11792</v>
      </c>
      <c r="C3386" s="49" t="s">
        <v>4555</v>
      </c>
      <c r="D3386" s="49" t="s">
        <v>1264</v>
      </c>
      <c r="E3386" s="49" t="s">
        <v>2908</v>
      </c>
      <c r="F3386" s="49" t="s">
        <v>2837</v>
      </c>
      <c r="G3386" s="49" t="s">
        <v>4891</v>
      </c>
      <c r="H3386" s="49" t="s">
        <v>980</v>
      </c>
      <c r="I3386" s="50">
        <v>45273</v>
      </c>
      <c r="M3386" s="49" t="s">
        <v>11794</v>
      </c>
    </row>
    <row r="3387" spans="1:13" x14ac:dyDescent="0.35">
      <c r="A3387" s="49" t="s">
        <v>14634</v>
      </c>
      <c r="B3387" s="49" t="s">
        <v>12545</v>
      </c>
      <c r="C3387" s="49" t="s">
        <v>6573</v>
      </c>
      <c r="D3387" s="49" t="s">
        <v>1264</v>
      </c>
      <c r="E3387" s="49" t="s">
        <v>2785</v>
      </c>
      <c r="F3387" s="49" t="s">
        <v>2786</v>
      </c>
      <c r="G3387" s="49" t="s">
        <v>4891</v>
      </c>
      <c r="H3387" s="49" t="s">
        <v>980</v>
      </c>
      <c r="I3387" s="50">
        <v>45434</v>
      </c>
      <c r="M3387" s="49" t="s">
        <v>12547</v>
      </c>
    </row>
    <row r="3388" spans="1:13" x14ac:dyDescent="0.35">
      <c r="A3388" s="49" t="s">
        <v>14156</v>
      </c>
      <c r="B3388" s="49" t="s">
        <v>4115</v>
      </c>
      <c r="C3388" s="49" t="s">
        <v>4116</v>
      </c>
      <c r="D3388" s="49" t="s">
        <v>1264</v>
      </c>
      <c r="E3388" s="49" t="s">
        <v>2785</v>
      </c>
      <c r="F3388" s="49" t="s">
        <v>2792</v>
      </c>
      <c r="G3388" s="49" t="s">
        <v>2787</v>
      </c>
      <c r="H3388" s="49" t="s">
        <v>835</v>
      </c>
      <c r="I3388" s="50">
        <v>44069</v>
      </c>
      <c r="J3388" s="50">
        <v>44089</v>
      </c>
      <c r="K3388" s="50">
        <v>44454</v>
      </c>
      <c r="M3388" s="49" t="s">
        <v>4118</v>
      </c>
    </row>
    <row r="3389" spans="1:13" x14ac:dyDescent="0.35">
      <c r="A3389" s="49" t="s">
        <v>14419</v>
      </c>
      <c r="B3389" s="49" t="s">
        <v>8319</v>
      </c>
      <c r="C3389" s="49" t="s">
        <v>8320</v>
      </c>
      <c r="D3389" s="49" t="s">
        <v>1264</v>
      </c>
      <c r="E3389" s="49" t="s">
        <v>2908</v>
      </c>
      <c r="F3389" s="49" t="s">
        <v>3010</v>
      </c>
      <c r="G3389" s="49" t="s">
        <v>2826</v>
      </c>
      <c r="H3389" s="49" t="s">
        <v>980</v>
      </c>
      <c r="I3389" s="50">
        <v>31787</v>
      </c>
      <c r="J3389" s="50">
        <v>33770</v>
      </c>
      <c r="K3389" s="50">
        <v>35727</v>
      </c>
      <c r="M3389" s="49" t="s">
        <v>8237</v>
      </c>
    </row>
    <row r="3390" spans="1:13" x14ac:dyDescent="0.35">
      <c r="A3390" s="49" t="s">
        <v>15495</v>
      </c>
      <c r="B3390" s="49" t="s">
        <v>4479</v>
      </c>
      <c r="C3390" s="49"/>
      <c r="D3390" s="49" t="s">
        <v>1264</v>
      </c>
      <c r="E3390" s="49" t="s">
        <v>2785</v>
      </c>
      <c r="F3390" s="49" t="s">
        <v>2792</v>
      </c>
      <c r="G3390" s="49" t="s">
        <v>2787</v>
      </c>
      <c r="H3390" s="49" t="s">
        <v>4225</v>
      </c>
      <c r="I3390" s="50">
        <v>44385</v>
      </c>
      <c r="K3390" s="50">
        <v>45511</v>
      </c>
      <c r="M3390" s="49" t="s">
        <v>4481</v>
      </c>
    </row>
    <row r="3391" spans="1:13" x14ac:dyDescent="0.35">
      <c r="A3391" s="49" t="s">
        <v>15495</v>
      </c>
      <c r="B3391" s="49" t="s">
        <v>4508</v>
      </c>
      <c r="C3391" s="49" t="s">
        <v>4509</v>
      </c>
      <c r="D3391" s="49" t="s">
        <v>1264</v>
      </c>
      <c r="E3391" s="49" t="s">
        <v>2785</v>
      </c>
      <c r="F3391" s="49" t="s">
        <v>2792</v>
      </c>
      <c r="G3391" s="49" t="s">
        <v>2787</v>
      </c>
      <c r="H3391" s="49" t="s">
        <v>4225</v>
      </c>
      <c r="I3391" s="50">
        <v>44432</v>
      </c>
      <c r="K3391" s="50">
        <v>45511</v>
      </c>
      <c r="M3391" s="49" t="s">
        <v>4511</v>
      </c>
    </row>
    <row r="3392" spans="1:13" x14ac:dyDescent="0.35">
      <c r="A3392" s="49" t="s">
        <v>15495</v>
      </c>
      <c r="B3392" s="49" t="s">
        <v>5527</v>
      </c>
      <c r="C3392" s="49" t="s">
        <v>5528</v>
      </c>
      <c r="D3392" s="49" t="s">
        <v>1264</v>
      </c>
      <c r="E3392" s="49" t="s">
        <v>2785</v>
      </c>
      <c r="F3392" s="49" t="s">
        <v>2792</v>
      </c>
      <c r="G3392" s="49" t="s">
        <v>4330</v>
      </c>
      <c r="H3392" s="49" t="s">
        <v>4225</v>
      </c>
      <c r="I3392" s="50">
        <v>45016</v>
      </c>
      <c r="M3392" s="49" t="s">
        <v>5529</v>
      </c>
    </row>
    <row r="3393" spans="1:13" x14ac:dyDescent="0.35">
      <c r="A3393" s="49" t="s">
        <v>15495</v>
      </c>
      <c r="B3393" s="49" t="s">
        <v>5791</v>
      </c>
      <c r="C3393" s="49" t="s">
        <v>5792</v>
      </c>
      <c r="D3393" s="49" t="s">
        <v>1264</v>
      </c>
      <c r="E3393" s="49" t="s">
        <v>2785</v>
      </c>
      <c r="F3393" s="49" t="s">
        <v>2792</v>
      </c>
      <c r="G3393" s="49" t="s">
        <v>4330</v>
      </c>
      <c r="H3393" s="49" t="s">
        <v>864</v>
      </c>
      <c r="I3393" s="50">
        <v>44931</v>
      </c>
      <c r="M3393" s="49" t="s">
        <v>5793</v>
      </c>
    </row>
    <row r="3394" spans="1:13" x14ac:dyDescent="0.35">
      <c r="A3394" s="49" t="s">
        <v>15495</v>
      </c>
      <c r="B3394" s="49" t="s">
        <v>5824</v>
      </c>
      <c r="C3394" s="49" t="s">
        <v>5825</v>
      </c>
      <c r="D3394" s="49" t="s">
        <v>1264</v>
      </c>
      <c r="E3394" s="49" t="s">
        <v>2785</v>
      </c>
      <c r="F3394" s="49" t="s">
        <v>2792</v>
      </c>
      <c r="G3394" s="49" t="s">
        <v>4330</v>
      </c>
      <c r="H3394" s="49" t="s">
        <v>835</v>
      </c>
      <c r="I3394" s="50">
        <v>45063</v>
      </c>
      <c r="M3394" s="49" t="s">
        <v>5826</v>
      </c>
    </row>
    <row r="3395" spans="1:13" x14ac:dyDescent="0.35">
      <c r="A3395" s="49" t="s">
        <v>15495</v>
      </c>
      <c r="B3395" s="49" t="s">
        <v>6766</v>
      </c>
      <c r="C3395" s="49"/>
      <c r="D3395" s="49" t="s">
        <v>1264</v>
      </c>
      <c r="E3395" s="49" t="s">
        <v>2785</v>
      </c>
      <c r="F3395" s="49" t="s">
        <v>2792</v>
      </c>
      <c r="G3395" s="49" t="s">
        <v>2901</v>
      </c>
      <c r="H3395" s="49" t="s">
        <v>4225</v>
      </c>
      <c r="I3395" s="52">
        <v>45909.636157407404</v>
      </c>
      <c r="J3395" s="50">
        <v>45988</v>
      </c>
      <c r="K3395" s="50">
        <v>46352</v>
      </c>
      <c r="M3395" s="49" t="s">
        <v>6767</v>
      </c>
    </row>
    <row r="3396" spans="1:13" x14ac:dyDescent="0.35">
      <c r="A3396" s="49" t="s">
        <v>15495</v>
      </c>
      <c r="B3396" s="49" t="s">
        <v>6886</v>
      </c>
      <c r="C3396" s="49"/>
      <c r="D3396" s="49" t="s">
        <v>1264</v>
      </c>
      <c r="E3396" s="49" t="s">
        <v>2785</v>
      </c>
      <c r="F3396" s="49" t="s">
        <v>2792</v>
      </c>
      <c r="G3396" s="49" t="s">
        <v>2901</v>
      </c>
      <c r="H3396" s="49" t="s">
        <v>4225</v>
      </c>
      <c r="I3396" s="52">
        <v>45953.526666666701</v>
      </c>
      <c r="J3396" s="50">
        <v>45988</v>
      </c>
      <c r="K3396" s="50">
        <v>46352</v>
      </c>
      <c r="M3396" s="49" t="s">
        <v>6887</v>
      </c>
    </row>
    <row r="3397" spans="1:13" x14ac:dyDescent="0.35">
      <c r="A3397" s="49" t="s">
        <v>15495</v>
      </c>
      <c r="B3397" s="49" t="s">
        <v>6950</v>
      </c>
      <c r="C3397" s="49" t="s">
        <v>4223</v>
      </c>
      <c r="D3397" s="49" t="s">
        <v>1264</v>
      </c>
      <c r="E3397" s="49" t="s">
        <v>2785</v>
      </c>
      <c r="F3397" s="49" t="s">
        <v>2792</v>
      </c>
      <c r="G3397" s="49" t="s">
        <v>4891</v>
      </c>
      <c r="H3397" s="49" t="s">
        <v>4225</v>
      </c>
      <c r="I3397" s="52">
        <v>46160.470706018503</v>
      </c>
      <c r="M3397" s="49" t="s">
        <v>6951</v>
      </c>
    </row>
    <row r="3398" spans="1:13" x14ac:dyDescent="0.35">
      <c r="A3398" s="49" t="s">
        <v>15495</v>
      </c>
      <c r="B3398" s="49" t="s">
        <v>7078</v>
      </c>
      <c r="C3398" s="49" t="s">
        <v>7079</v>
      </c>
      <c r="D3398" s="49" t="s">
        <v>1264</v>
      </c>
      <c r="E3398" s="49" t="s">
        <v>2785</v>
      </c>
      <c r="F3398" s="49" t="s">
        <v>2792</v>
      </c>
      <c r="G3398" s="49" t="s">
        <v>2787</v>
      </c>
      <c r="H3398" s="49" t="s">
        <v>835</v>
      </c>
      <c r="I3398" s="50">
        <v>43102</v>
      </c>
      <c r="J3398" s="50">
        <v>43151</v>
      </c>
      <c r="K3398" s="50">
        <v>43331</v>
      </c>
      <c r="M3398" s="49" t="s">
        <v>7080</v>
      </c>
    </row>
    <row r="3399" spans="1:13" x14ac:dyDescent="0.35">
      <c r="A3399" s="49" t="s">
        <v>15495</v>
      </c>
      <c r="B3399" s="49" t="s">
        <v>7231</v>
      </c>
      <c r="C3399" s="49" t="s">
        <v>7079</v>
      </c>
      <c r="D3399" s="49" t="s">
        <v>1264</v>
      </c>
      <c r="E3399" s="49" t="s">
        <v>2785</v>
      </c>
      <c r="F3399" s="49" t="s">
        <v>2792</v>
      </c>
      <c r="G3399" s="49" t="s">
        <v>2787</v>
      </c>
      <c r="H3399" s="49" t="s">
        <v>835</v>
      </c>
      <c r="I3399" s="50">
        <v>42864</v>
      </c>
      <c r="J3399" s="50">
        <v>42872</v>
      </c>
      <c r="K3399" s="50">
        <v>43055</v>
      </c>
      <c r="M3399" s="49" t="s">
        <v>7232</v>
      </c>
    </row>
    <row r="3400" spans="1:13" x14ac:dyDescent="0.35">
      <c r="A3400" s="49" t="s">
        <v>15495</v>
      </c>
      <c r="B3400" s="49" t="s">
        <v>13356</v>
      </c>
      <c r="C3400" s="49"/>
      <c r="D3400" s="49" t="s">
        <v>1264</v>
      </c>
      <c r="E3400" s="49" t="s">
        <v>2785</v>
      </c>
      <c r="F3400" s="49" t="s">
        <v>2792</v>
      </c>
      <c r="G3400" s="49" t="s">
        <v>4891</v>
      </c>
      <c r="H3400" s="49" t="s">
        <v>864</v>
      </c>
      <c r="I3400" s="52">
        <v>46113.618194444403</v>
      </c>
      <c r="M3400" s="49" t="s">
        <v>13357</v>
      </c>
    </row>
    <row r="3401" spans="1:13" x14ac:dyDescent="0.35">
      <c r="A3401" s="49" t="s">
        <v>15495</v>
      </c>
      <c r="B3401" s="49" t="s">
        <v>13365</v>
      </c>
      <c r="C3401" s="49"/>
      <c r="D3401" s="49" t="s">
        <v>1264</v>
      </c>
      <c r="E3401" s="49" t="s">
        <v>2785</v>
      </c>
      <c r="F3401" s="49" t="s">
        <v>2792</v>
      </c>
      <c r="G3401" s="49" t="s">
        <v>4891</v>
      </c>
      <c r="H3401" s="49" t="s">
        <v>835</v>
      </c>
      <c r="I3401" s="52">
        <v>46113.771377314799</v>
      </c>
      <c r="M3401" s="49" t="s">
        <v>13366</v>
      </c>
    </row>
    <row r="3402" spans="1:13" x14ac:dyDescent="0.35">
      <c r="A3402" s="49" t="s">
        <v>15495</v>
      </c>
      <c r="B3402" s="49" t="s">
        <v>13367</v>
      </c>
      <c r="C3402" s="49"/>
      <c r="D3402" s="49" t="s">
        <v>1264</v>
      </c>
      <c r="E3402" s="49" t="s">
        <v>2785</v>
      </c>
      <c r="F3402" s="49" t="s">
        <v>2792</v>
      </c>
      <c r="G3402" s="49" t="s">
        <v>4891</v>
      </c>
      <c r="H3402" s="49" t="s">
        <v>835</v>
      </c>
      <c r="I3402" s="52">
        <v>46113.879236111097</v>
      </c>
      <c r="M3402" s="49" t="s">
        <v>13368</v>
      </c>
    </row>
    <row r="3403" spans="1:13" x14ac:dyDescent="0.35">
      <c r="A3403" s="49" t="s">
        <v>15495</v>
      </c>
      <c r="B3403" s="49" t="s">
        <v>13369</v>
      </c>
      <c r="C3403" s="49"/>
      <c r="D3403" s="49" t="s">
        <v>1264</v>
      </c>
      <c r="E3403" s="49" t="s">
        <v>2785</v>
      </c>
      <c r="F3403" s="49" t="s">
        <v>2786</v>
      </c>
      <c r="G3403" s="49" t="s">
        <v>4891</v>
      </c>
      <c r="H3403" s="49" t="s">
        <v>4225</v>
      </c>
      <c r="I3403" s="52">
        <v>46113.949849536999</v>
      </c>
      <c r="M3403" s="49" t="s">
        <v>13370</v>
      </c>
    </row>
    <row r="3404" spans="1:13" x14ac:dyDescent="0.35">
      <c r="A3404" s="49" t="s">
        <v>15222</v>
      </c>
      <c r="B3404" s="49" t="s">
        <v>10662</v>
      </c>
      <c r="C3404" s="49"/>
      <c r="D3404" s="49" t="s">
        <v>1264</v>
      </c>
      <c r="E3404" s="49" t="s">
        <v>2908</v>
      </c>
      <c r="F3404" s="49" t="s">
        <v>2837</v>
      </c>
      <c r="G3404" s="49" t="s">
        <v>2776</v>
      </c>
      <c r="H3404" s="49" t="s">
        <v>2827</v>
      </c>
      <c r="I3404" s="50">
        <v>44120</v>
      </c>
      <c r="M3404" s="49" t="s">
        <v>10664</v>
      </c>
    </row>
    <row r="3405" spans="1:13" x14ac:dyDescent="0.35">
      <c r="A3405" s="49" t="s">
        <v>14817</v>
      </c>
      <c r="B3405" s="49" t="s">
        <v>3427</v>
      </c>
      <c r="C3405" s="49" t="s">
        <v>3428</v>
      </c>
      <c r="D3405" s="49" t="s">
        <v>1264</v>
      </c>
      <c r="E3405" s="49" t="s">
        <v>2774</v>
      </c>
      <c r="F3405" s="49" t="s">
        <v>2900</v>
      </c>
      <c r="G3405" s="49" t="s">
        <v>2787</v>
      </c>
      <c r="H3405" s="49" t="s">
        <v>835</v>
      </c>
      <c r="I3405" s="50">
        <v>42151</v>
      </c>
      <c r="J3405" s="50">
        <v>42429</v>
      </c>
      <c r="K3405" s="50">
        <v>45715</v>
      </c>
      <c r="M3405" s="49" t="s">
        <v>3430</v>
      </c>
    </row>
    <row r="3406" spans="1:13" x14ac:dyDescent="0.35">
      <c r="A3406" s="49" t="s">
        <v>14817</v>
      </c>
      <c r="B3406" s="49" t="s">
        <v>6195</v>
      </c>
      <c r="C3406" s="49" t="s">
        <v>3428</v>
      </c>
      <c r="D3406" s="49" t="s">
        <v>1264</v>
      </c>
      <c r="E3406" s="49" t="s">
        <v>2974</v>
      </c>
      <c r="F3406" s="49" t="s">
        <v>2900</v>
      </c>
      <c r="G3406" s="49" t="s">
        <v>2901</v>
      </c>
      <c r="H3406" s="49" t="s">
        <v>980</v>
      </c>
      <c r="I3406" s="50">
        <v>45272</v>
      </c>
      <c r="J3406" s="50">
        <v>45308</v>
      </c>
      <c r="K3406" s="50">
        <v>47134</v>
      </c>
      <c r="M3406" s="49" t="s">
        <v>6197</v>
      </c>
    </row>
    <row r="3407" spans="1:13" x14ac:dyDescent="0.35">
      <c r="A3407" s="49" t="s">
        <v>14317</v>
      </c>
      <c r="B3407" s="49" t="s">
        <v>6935</v>
      </c>
      <c r="C3407" s="49" t="s">
        <v>6936</v>
      </c>
      <c r="D3407" s="49" t="s">
        <v>1264</v>
      </c>
      <c r="E3407" s="49" t="s">
        <v>2785</v>
      </c>
      <c r="F3407" s="49" t="s">
        <v>2792</v>
      </c>
      <c r="G3407" s="49" t="s">
        <v>4891</v>
      </c>
      <c r="H3407" s="49" t="s">
        <v>980</v>
      </c>
      <c r="I3407" s="52">
        <v>46157.402106481502</v>
      </c>
      <c r="M3407" s="49" t="s">
        <v>6938</v>
      </c>
    </row>
    <row r="3408" spans="1:13" x14ac:dyDescent="0.35">
      <c r="A3408" s="49" t="s">
        <v>14317</v>
      </c>
      <c r="B3408" s="49" t="s">
        <v>6939</v>
      </c>
      <c r="C3408" s="49" t="s">
        <v>6940</v>
      </c>
      <c r="D3408" s="49" t="s">
        <v>1264</v>
      </c>
      <c r="E3408" s="49" t="s">
        <v>2785</v>
      </c>
      <c r="F3408" s="49" t="s">
        <v>2792</v>
      </c>
      <c r="G3408" s="49" t="s">
        <v>4891</v>
      </c>
      <c r="H3408" s="49" t="s">
        <v>980</v>
      </c>
      <c r="I3408" s="52">
        <v>46157.434895833299</v>
      </c>
      <c r="M3408" s="49" t="s">
        <v>6941</v>
      </c>
    </row>
    <row r="3409" spans="1:13" x14ac:dyDescent="0.35">
      <c r="A3409" s="49" t="s">
        <v>15223</v>
      </c>
      <c r="B3409" s="49" t="s">
        <v>3704</v>
      </c>
      <c r="C3409" s="49" t="s">
        <v>3582</v>
      </c>
      <c r="D3409" s="49" t="s">
        <v>1264</v>
      </c>
      <c r="E3409" s="49" t="s">
        <v>3443</v>
      </c>
      <c r="F3409" s="49" t="s">
        <v>2792</v>
      </c>
      <c r="G3409" s="49" t="s">
        <v>2921</v>
      </c>
      <c r="H3409" s="49" t="s">
        <v>980</v>
      </c>
      <c r="I3409" s="50">
        <v>43181</v>
      </c>
      <c r="J3409" s="50">
        <v>43234</v>
      </c>
      <c r="K3409" s="50">
        <v>45059</v>
      </c>
      <c r="M3409" s="49" t="s">
        <v>3706</v>
      </c>
    </row>
    <row r="3410" spans="1:13" x14ac:dyDescent="0.35">
      <c r="A3410" s="49" t="s">
        <v>15223</v>
      </c>
      <c r="B3410" s="49" t="s">
        <v>3842</v>
      </c>
      <c r="C3410" s="49" t="s">
        <v>3468</v>
      </c>
      <c r="D3410" s="49" t="s">
        <v>1264</v>
      </c>
      <c r="E3410" s="49" t="s">
        <v>3443</v>
      </c>
      <c r="F3410" s="49" t="s">
        <v>3124</v>
      </c>
      <c r="G3410" s="49" t="s">
        <v>2921</v>
      </c>
      <c r="H3410" s="49" t="s">
        <v>980</v>
      </c>
      <c r="I3410" s="50">
        <v>43388</v>
      </c>
      <c r="J3410" s="50">
        <v>43474</v>
      </c>
      <c r="K3410" s="50">
        <v>45299</v>
      </c>
      <c r="M3410" s="49" t="s">
        <v>3444</v>
      </c>
    </row>
    <row r="3411" spans="1:13" x14ac:dyDescent="0.35">
      <c r="A3411" s="49" t="s">
        <v>14070</v>
      </c>
      <c r="B3411" s="49" t="s">
        <v>2894</v>
      </c>
      <c r="C3411" s="49"/>
      <c r="D3411" s="49" t="s">
        <v>1264</v>
      </c>
      <c r="E3411" s="49" t="s">
        <v>2814</v>
      </c>
      <c r="F3411" s="49" t="s">
        <v>2837</v>
      </c>
      <c r="G3411" s="49" t="s">
        <v>2776</v>
      </c>
      <c r="H3411" s="49" t="s">
        <v>2827</v>
      </c>
      <c r="I3411" s="50">
        <v>41915</v>
      </c>
      <c r="J3411" s="50">
        <v>41933</v>
      </c>
      <c r="K3411" s="50">
        <v>42115</v>
      </c>
      <c r="M3411" s="49" t="s">
        <v>2896</v>
      </c>
    </row>
    <row r="3412" spans="1:13" x14ac:dyDescent="0.35">
      <c r="A3412" s="49" t="s">
        <v>15040</v>
      </c>
      <c r="B3412" s="49" t="s">
        <v>13980</v>
      </c>
      <c r="C3412" s="49"/>
      <c r="D3412" s="49" t="s">
        <v>1264</v>
      </c>
      <c r="E3412" s="49" t="s">
        <v>2774</v>
      </c>
      <c r="F3412" s="49" t="s">
        <v>3005</v>
      </c>
      <c r="G3412" s="49" t="s">
        <v>2776</v>
      </c>
      <c r="H3412" s="49" t="s">
        <v>980</v>
      </c>
      <c r="I3412" s="50">
        <v>44061</v>
      </c>
      <c r="M3412" s="49" t="s">
        <v>13982</v>
      </c>
    </row>
    <row r="3413" spans="1:13" x14ac:dyDescent="0.35">
      <c r="A3413" s="49" t="s">
        <v>15041</v>
      </c>
      <c r="B3413" s="49" t="s">
        <v>5089</v>
      </c>
      <c r="C3413" s="49"/>
      <c r="D3413" s="49" t="s">
        <v>1264</v>
      </c>
      <c r="E3413" s="49" t="s">
        <v>3443</v>
      </c>
      <c r="F3413" s="49" t="s">
        <v>3124</v>
      </c>
      <c r="G3413" s="49" t="s">
        <v>4330</v>
      </c>
      <c r="H3413" s="49" t="s">
        <v>980</v>
      </c>
      <c r="I3413" s="50">
        <v>44423</v>
      </c>
    </row>
    <row r="3414" spans="1:13" x14ac:dyDescent="0.35">
      <c r="A3414" s="49" t="s">
        <v>14170</v>
      </c>
      <c r="B3414" s="49" t="s">
        <v>4230</v>
      </c>
      <c r="C3414" s="49" t="s">
        <v>4231</v>
      </c>
      <c r="D3414" s="49" t="s">
        <v>1264</v>
      </c>
      <c r="E3414" s="49" t="s">
        <v>2785</v>
      </c>
      <c r="F3414" s="49" t="s">
        <v>3898</v>
      </c>
      <c r="G3414" s="49" t="s">
        <v>2787</v>
      </c>
      <c r="H3414" s="49" t="s">
        <v>2827</v>
      </c>
      <c r="I3414" s="50">
        <v>44006</v>
      </c>
      <c r="J3414" s="50">
        <v>44185</v>
      </c>
      <c r="K3414" s="50">
        <v>45511</v>
      </c>
      <c r="M3414" s="49" t="s">
        <v>4233</v>
      </c>
    </row>
    <row r="3415" spans="1:13" x14ac:dyDescent="0.35">
      <c r="A3415" s="49" t="s">
        <v>14170</v>
      </c>
      <c r="B3415" s="49" t="s">
        <v>9470</v>
      </c>
      <c r="C3415" s="49"/>
      <c r="D3415" s="49" t="s">
        <v>1264</v>
      </c>
      <c r="E3415" s="49" t="s">
        <v>2785</v>
      </c>
      <c r="F3415" s="49" t="s">
        <v>2792</v>
      </c>
      <c r="G3415" s="49" t="s">
        <v>2776</v>
      </c>
      <c r="H3415" s="49" t="s">
        <v>2827</v>
      </c>
      <c r="I3415" s="50">
        <v>43938</v>
      </c>
      <c r="M3415" s="49" t="s">
        <v>9471</v>
      </c>
    </row>
    <row r="3416" spans="1:13" x14ac:dyDescent="0.35">
      <c r="A3416" s="49" t="s">
        <v>14170</v>
      </c>
      <c r="B3416" s="49" t="s">
        <v>10894</v>
      </c>
      <c r="C3416" s="49" t="s">
        <v>3933</v>
      </c>
      <c r="D3416" s="49" t="s">
        <v>1264</v>
      </c>
      <c r="E3416" s="49" t="s">
        <v>2785</v>
      </c>
      <c r="F3416" s="49" t="s">
        <v>3898</v>
      </c>
      <c r="G3416" s="49" t="s">
        <v>2776</v>
      </c>
      <c r="H3416" s="49" t="s">
        <v>2827</v>
      </c>
      <c r="I3416" s="50">
        <v>44529</v>
      </c>
      <c r="M3416" s="49" t="s">
        <v>10895</v>
      </c>
    </row>
    <row r="3417" spans="1:13" x14ac:dyDescent="0.35">
      <c r="A3417" s="49" t="s">
        <v>14170</v>
      </c>
      <c r="B3417" s="49" t="s">
        <v>11185</v>
      </c>
      <c r="C3417" s="49" t="s">
        <v>4231</v>
      </c>
      <c r="D3417" s="49" t="s">
        <v>1264</v>
      </c>
      <c r="E3417" s="49" t="s">
        <v>2908</v>
      </c>
      <c r="F3417" s="49" t="s">
        <v>3898</v>
      </c>
      <c r="G3417" s="49" t="s">
        <v>4891</v>
      </c>
      <c r="H3417" s="49" t="s">
        <v>2827</v>
      </c>
      <c r="I3417" s="50">
        <v>44894</v>
      </c>
      <c r="M3417" s="49" t="s">
        <v>11186</v>
      </c>
    </row>
    <row r="3418" spans="1:13" x14ac:dyDescent="0.35">
      <c r="A3418" s="49" t="s">
        <v>4616</v>
      </c>
      <c r="B3418" s="49" t="s">
        <v>4615</v>
      </c>
      <c r="C3418" s="49" t="s">
        <v>3768</v>
      </c>
      <c r="D3418" s="49" t="s">
        <v>1264</v>
      </c>
      <c r="E3418" s="49" t="s">
        <v>3443</v>
      </c>
      <c r="F3418" s="49" t="s">
        <v>3124</v>
      </c>
      <c r="G3418" s="49" t="s">
        <v>4330</v>
      </c>
      <c r="H3418" s="49" t="s">
        <v>980</v>
      </c>
      <c r="I3418" s="50">
        <v>44473</v>
      </c>
    </row>
    <row r="3419" spans="1:13" x14ac:dyDescent="0.35">
      <c r="A3419" s="49" t="s">
        <v>679</v>
      </c>
      <c r="B3419" s="49" t="s">
        <v>2852</v>
      </c>
      <c r="C3419" s="49" t="s">
        <v>2853</v>
      </c>
      <c r="D3419" s="49" t="s">
        <v>1264</v>
      </c>
      <c r="E3419" s="49" t="s">
        <v>2814</v>
      </c>
      <c r="F3419" s="49" t="s">
        <v>2837</v>
      </c>
      <c r="G3419" s="49" t="s">
        <v>2787</v>
      </c>
      <c r="H3419" s="49" t="s">
        <v>980</v>
      </c>
      <c r="I3419" s="50">
        <v>43879</v>
      </c>
      <c r="J3419" s="50">
        <v>43906</v>
      </c>
      <c r="K3419" s="50">
        <v>44090</v>
      </c>
      <c r="M3419" s="49" t="s">
        <v>2855</v>
      </c>
    </row>
    <row r="3420" spans="1:13" x14ac:dyDescent="0.35">
      <c r="A3420" s="49" t="s">
        <v>679</v>
      </c>
      <c r="B3420" s="49" t="s">
        <v>3580</v>
      </c>
      <c r="C3420" s="49"/>
      <c r="D3420" s="49" t="s">
        <v>1264</v>
      </c>
      <c r="E3420" s="49" t="s">
        <v>3443</v>
      </c>
      <c r="F3420" s="49" t="s">
        <v>3124</v>
      </c>
      <c r="G3420" s="49" t="s">
        <v>2901</v>
      </c>
      <c r="H3420" s="49" t="s">
        <v>980</v>
      </c>
      <c r="I3420" s="50">
        <v>42892</v>
      </c>
      <c r="J3420" s="50">
        <v>42908</v>
      </c>
      <c r="K3420" s="50">
        <v>46558</v>
      </c>
      <c r="L3420" s="50">
        <v>44734</v>
      </c>
      <c r="M3420" s="49" t="s">
        <v>3470</v>
      </c>
    </row>
    <row r="3421" spans="1:13" x14ac:dyDescent="0.35">
      <c r="A3421" s="49" t="s">
        <v>14189</v>
      </c>
      <c r="B3421" s="49" t="s">
        <v>4527</v>
      </c>
      <c r="C3421" s="49"/>
      <c r="D3421" s="49" t="s">
        <v>1264</v>
      </c>
      <c r="E3421" s="49" t="s">
        <v>2814</v>
      </c>
      <c r="F3421" s="49" t="s">
        <v>2837</v>
      </c>
      <c r="G3421" s="49" t="s">
        <v>3997</v>
      </c>
      <c r="H3421" s="49" t="s">
        <v>980</v>
      </c>
      <c r="I3421" s="50">
        <v>44421</v>
      </c>
      <c r="M3421" s="49" t="s">
        <v>4529</v>
      </c>
    </row>
    <row r="3422" spans="1:13" x14ac:dyDescent="0.35">
      <c r="A3422" s="49" t="s">
        <v>14189</v>
      </c>
      <c r="B3422" s="49" t="s">
        <v>10868</v>
      </c>
      <c r="C3422" s="49"/>
      <c r="D3422" s="49" t="s">
        <v>1264</v>
      </c>
      <c r="E3422" s="49" t="s">
        <v>2814</v>
      </c>
      <c r="F3422" s="49" t="s">
        <v>2837</v>
      </c>
      <c r="G3422" s="49" t="s">
        <v>2776</v>
      </c>
      <c r="H3422" s="49" t="s">
        <v>980</v>
      </c>
      <c r="I3422" s="50">
        <v>44421</v>
      </c>
      <c r="M3422" s="49" t="s">
        <v>4529</v>
      </c>
    </row>
    <row r="3423" spans="1:13" x14ac:dyDescent="0.35">
      <c r="A3423" s="49" t="s">
        <v>14189</v>
      </c>
      <c r="B3423" s="49" t="s">
        <v>10888</v>
      </c>
      <c r="C3423" s="49" t="s">
        <v>10889</v>
      </c>
      <c r="D3423" s="49" t="s">
        <v>1264</v>
      </c>
      <c r="E3423" s="49" t="s">
        <v>2986</v>
      </c>
      <c r="F3423" s="49" t="s">
        <v>2825</v>
      </c>
      <c r="G3423" s="49" t="s">
        <v>2776</v>
      </c>
      <c r="H3423" s="49" t="s">
        <v>2827</v>
      </c>
      <c r="I3423" s="50">
        <v>44517</v>
      </c>
      <c r="M3423" s="49" t="s">
        <v>10890</v>
      </c>
    </row>
    <row r="3424" spans="1:13" x14ac:dyDescent="0.35">
      <c r="A3424" s="49" t="s">
        <v>14633</v>
      </c>
      <c r="B3424" s="49" t="s">
        <v>12518</v>
      </c>
      <c r="C3424" s="49"/>
      <c r="D3424" s="49" t="s">
        <v>1264</v>
      </c>
      <c r="E3424" s="49" t="s">
        <v>2785</v>
      </c>
      <c r="F3424" s="49" t="s">
        <v>2805</v>
      </c>
      <c r="G3424" s="49" t="s">
        <v>4891</v>
      </c>
      <c r="H3424" s="49" t="s">
        <v>864</v>
      </c>
      <c r="I3424" s="50">
        <v>45419</v>
      </c>
      <c r="M3424" s="49" t="s">
        <v>12520</v>
      </c>
    </row>
    <row r="3425" spans="1:13" x14ac:dyDescent="0.35">
      <c r="A3425" s="49" t="s">
        <v>14386</v>
      </c>
      <c r="B3425" s="49" t="s">
        <v>7903</v>
      </c>
      <c r="C3425" s="49" t="s">
        <v>7904</v>
      </c>
      <c r="D3425" s="49" t="s">
        <v>1264</v>
      </c>
      <c r="E3425" s="49" t="s">
        <v>7057</v>
      </c>
      <c r="F3425" s="49" t="s">
        <v>2825</v>
      </c>
      <c r="G3425" s="49" t="s">
        <v>2826</v>
      </c>
      <c r="H3425" s="49" t="s">
        <v>973</v>
      </c>
      <c r="I3425" s="50">
        <v>37636</v>
      </c>
      <c r="J3425" s="50">
        <v>38082</v>
      </c>
      <c r="K3425" s="50">
        <v>40430</v>
      </c>
      <c r="M3425" s="49" t="s">
        <v>3100</v>
      </c>
    </row>
    <row r="3426" spans="1:13" x14ac:dyDescent="0.35">
      <c r="A3426" s="49" t="s">
        <v>14167</v>
      </c>
      <c r="B3426" s="49" t="s">
        <v>4202</v>
      </c>
      <c r="C3426" s="49" t="s">
        <v>4203</v>
      </c>
      <c r="D3426" s="49" t="s">
        <v>1264</v>
      </c>
      <c r="E3426" s="49" t="s">
        <v>2908</v>
      </c>
      <c r="F3426" s="49" t="s">
        <v>2939</v>
      </c>
      <c r="G3426" s="49" t="s">
        <v>2787</v>
      </c>
      <c r="H3426" s="49" t="s">
        <v>980</v>
      </c>
      <c r="J3426" s="50">
        <v>43543</v>
      </c>
      <c r="K3426" s="50">
        <v>45369</v>
      </c>
      <c r="M3426" s="49" t="s">
        <v>3477</v>
      </c>
    </row>
    <row r="3427" spans="1:13" x14ac:dyDescent="0.35">
      <c r="A3427" s="49" t="s">
        <v>14167</v>
      </c>
      <c r="B3427" s="49" t="s">
        <v>8271</v>
      </c>
      <c r="C3427" s="49" t="s">
        <v>2937</v>
      </c>
      <c r="D3427" s="49" t="s">
        <v>1264</v>
      </c>
      <c r="E3427" s="49" t="s">
        <v>2908</v>
      </c>
      <c r="F3427" s="49" t="s">
        <v>2939</v>
      </c>
      <c r="G3427" s="49" t="s">
        <v>2787</v>
      </c>
      <c r="H3427" s="49" t="s">
        <v>980</v>
      </c>
      <c r="I3427" s="50">
        <v>35096</v>
      </c>
      <c r="J3427" s="50">
        <v>36795</v>
      </c>
      <c r="K3427" s="50">
        <v>39498</v>
      </c>
      <c r="M3427" s="49" t="s">
        <v>3913</v>
      </c>
    </row>
    <row r="3428" spans="1:13" x14ac:dyDescent="0.35">
      <c r="A3428" s="49" t="s">
        <v>14167</v>
      </c>
      <c r="B3428" s="49" t="s">
        <v>9181</v>
      </c>
      <c r="C3428" s="49"/>
      <c r="D3428" s="49" t="s">
        <v>1264</v>
      </c>
      <c r="E3428" s="49" t="s">
        <v>2908</v>
      </c>
      <c r="F3428" s="49" t="s">
        <v>2939</v>
      </c>
      <c r="G3428" s="49" t="s">
        <v>2776</v>
      </c>
      <c r="H3428" s="49" t="s">
        <v>980</v>
      </c>
      <c r="I3428" s="50">
        <v>42611</v>
      </c>
      <c r="M3428" s="49" t="s">
        <v>9182</v>
      </c>
    </row>
    <row r="3429" spans="1:13" x14ac:dyDescent="0.35">
      <c r="A3429" s="49" t="s">
        <v>867</v>
      </c>
      <c r="B3429" s="49" t="s">
        <v>5045</v>
      </c>
      <c r="C3429" s="49"/>
      <c r="D3429" s="49" t="s">
        <v>1264</v>
      </c>
      <c r="E3429" s="49" t="s">
        <v>2986</v>
      </c>
      <c r="F3429" s="49" t="s">
        <v>2825</v>
      </c>
      <c r="G3429" s="49" t="s">
        <v>4330</v>
      </c>
      <c r="H3429" s="49" t="s">
        <v>2827</v>
      </c>
      <c r="I3429" s="50">
        <v>44685</v>
      </c>
      <c r="M3429" s="49" t="s">
        <v>5047</v>
      </c>
    </row>
    <row r="3430" spans="1:13" x14ac:dyDescent="0.35">
      <c r="A3430" s="49" t="s">
        <v>14178</v>
      </c>
      <c r="B3430" s="49" t="s">
        <v>4355</v>
      </c>
      <c r="C3430" s="49"/>
      <c r="D3430" s="49" t="s">
        <v>1264</v>
      </c>
      <c r="E3430" s="49" t="s">
        <v>2908</v>
      </c>
      <c r="F3430" s="49" t="s">
        <v>2837</v>
      </c>
      <c r="G3430" s="49" t="s">
        <v>2901</v>
      </c>
      <c r="H3430" s="49" t="s">
        <v>2827</v>
      </c>
      <c r="I3430" s="50">
        <v>43269</v>
      </c>
      <c r="J3430" s="50">
        <v>44379</v>
      </c>
      <c r="K3430" s="50">
        <v>46204</v>
      </c>
      <c r="M3430" s="49" t="s">
        <v>4357</v>
      </c>
    </row>
    <row r="3431" spans="1:13" x14ac:dyDescent="0.35">
      <c r="A3431" s="49" t="s">
        <v>14178</v>
      </c>
      <c r="B3431" s="49" t="s">
        <v>9292</v>
      </c>
      <c r="C3431" s="49"/>
      <c r="D3431" s="49" t="s">
        <v>1264</v>
      </c>
      <c r="E3431" s="49" t="s">
        <v>2908</v>
      </c>
      <c r="F3431" s="49" t="s">
        <v>2837</v>
      </c>
      <c r="G3431" s="49" t="s">
        <v>2776</v>
      </c>
      <c r="H3431" s="49" t="s">
        <v>2827</v>
      </c>
      <c r="I3431" s="50">
        <v>43126</v>
      </c>
      <c r="M3431" s="49" t="s">
        <v>3526</v>
      </c>
    </row>
    <row r="3432" spans="1:13" x14ac:dyDescent="0.35">
      <c r="A3432" s="49" t="s">
        <v>14556</v>
      </c>
      <c r="B3432" s="49" t="s">
        <v>10250</v>
      </c>
      <c r="C3432" s="49"/>
      <c r="D3432" s="49" t="s">
        <v>1264</v>
      </c>
      <c r="E3432" s="49" t="s">
        <v>2814</v>
      </c>
      <c r="F3432" s="49" t="s">
        <v>2837</v>
      </c>
      <c r="G3432" s="49" t="s">
        <v>2776</v>
      </c>
      <c r="H3432" s="49" t="s">
        <v>980</v>
      </c>
      <c r="I3432" s="50">
        <v>43196</v>
      </c>
      <c r="M3432" s="49" t="s">
        <v>3444</v>
      </c>
    </row>
    <row r="3433" spans="1:13" x14ac:dyDescent="0.35">
      <c r="A3433" s="49" t="s">
        <v>14286</v>
      </c>
      <c r="B3433" s="49" t="s">
        <v>6375</v>
      </c>
      <c r="C3433" s="49" t="s">
        <v>5830</v>
      </c>
      <c r="D3433" s="49" t="s">
        <v>1264</v>
      </c>
      <c r="E3433" s="49" t="s">
        <v>2785</v>
      </c>
      <c r="F3433" s="49" t="s">
        <v>2786</v>
      </c>
      <c r="G3433" s="49" t="s">
        <v>2901</v>
      </c>
      <c r="H3433" s="49" t="s">
        <v>980</v>
      </c>
      <c r="I3433" s="50">
        <v>45324</v>
      </c>
      <c r="J3433" s="50">
        <v>45348</v>
      </c>
      <c r="K3433" s="50">
        <v>45713</v>
      </c>
      <c r="M3433" s="49" t="s">
        <v>6377</v>
      </c>
    </row>
    <row r="3434" spans="1:13" x14ac:dyDescent="0.35">
      <c r="A3434" s="49" t="s">
        <v>14286</v>
      </c>
      <c r="B3434" s="49" t="s">
        <v>10797</v>
      </c>
      <c r="C3434" s="49"/>
      <c r="D3434" s="49" t="s">
        <v>1264</v>
      </c>
      <c r="E3434" s="49" t="s">
        <v>2785</v>
      </c>
      <c r="F3434" s="49" t="s">
        <v>2786</v>
      </c>
      <c r="G3434" s="49" t="s">
        <v>2776</v>
      </c>
      <c r="H3434" s="49" t="s">
        <v>980</v>
      </c>
      <c r="I3434" s="50">
        <v>44308</v>
      </c>
      <c r="M3434" s="49" t="s">
        <v>6961</v>
      </c>
    </row>
    <row r="3435" spans="1:13" x14ac:dyDescent="0.35">
      <c r="A3435" s="49" t="s">
        <v>15496</v>
      </c>
      <c r="B3435" s="49" t="s">
        <v>6494</v>
      </c>
      <c r="C3435" s="49" t="s">
        <v>5810</v>
      </c>
      <c r="D3435" s="49" t="s">
        <v>1264</v>
      </c>
      <c r="E3435" s="49" t="s">
        <v>2785</v>
      </c>
      <c r="F3435" s="49" t="s">
        <v>2786</v>
      </c>
      <c r="G3435" s="49" t="s">
        <v>2901</v>
      </c>
      <c r="H3435" s="49" t="s">
        <v>980</v>
      </c>
      <c r="I3435" s="50">
        <v>45315</v>
      </c>
      <c r="J3435" s="50">
        <v>45369</v>
      </c>
      <c r="K3435" s="50">
        <v>45733</v>
      </c>
      <c r="M3435" s="49" t="s">
        <v>6496</v>
      </c>
    </row>
    <row r="3436" spans="1:13" x14ac:dyDescent="0.35">
      <c r="A3436" s="49" t="s">
        <v>15496</v>
      </c>
      <c r="B3436" s="49" t="s">
        <v>6622</v>
      </c>
      <c r="C3436" s="49" t="s">
        <v>4293</v>
      </c>
      <c r="D3436" s="49" t="s">
        <v>1264</v>
      </c>
      <c r="E3436" s="49" t="s">
        <v>2785</v>
      </c>
      <c r="F3436" s="49" t="s">
        <v>2786</v>
      </c>
      <c r="G3436" s="49" t="s">
        <v>4330</v>
      </c>
      <c r="H3436" s="49" t="s">
        <v>980</v>
      </c>
      <c r="I3436" s="50">
        <v>45426</v>
      </c>
      <c r="M3436" s="49" t="s">
        <v>6623</v>
      </c>
    </row>
    <row r="3437" spans="1:13" x14ac:dyDescent="0.35">
      <c r="A3437" s="49" t="s">
        <v>15496</v>
      </c>
      <c r="B3437" s="49" t="s">
        <v>12015</v>
      </c>
      <c r="C3437" s="49" t="s">
        <v>8116</v>
      </c>
      <c r="D3437" s="49" t="s">
        <v>1264</v>
      </c>
      <c r="E3437" s="49" t="s">
        <v>2785</v>
      </c>
      <c r="F3437" s="49" t="s">
        <v>2786</v>
      </c>
      <c r="G3437" s="49" t="s">
        <v>4891</v>
      </c>
      <c r="H3437" s="49" t="s">
        <v>980</v>
      </c>
      <c r="I3437" s="50">
        <v>45313</v>
      </c>
      <c r="M3437" s="49" t="s">
        <v>12016</v>
      </c>
    </row>
    <row r="3438" spans="1:13" x14ac:dyDescent="0.35">
      <c r="A3438" s="49" t="s">
        <v>14384</v>
      </c>
      <c r="B3438" s="49" t="s">
        <v>7884</v>
      </c>
      <c r="C3438" s="49" t="s">
        <v>7885</v>
      </c>
      <c r="D3438" s="49" t="s">
        <v>1264</v>
      </c>
      <c r="E3438" s="49" t="s">
        <v>2974</v>
      </c>
      <c r="F3438" s="49" t="s">
        <v>2825</v>
      </c>
      <c r="G3438" s="49" t="s">
        <v>2787</v>
      </c>
      <c r="H3438" s="49" t="s">
        <v>2827</v>
      </c>
      <c r="I3438" s="50">
        <v>40977</v>
      </c>
      <c r="J3438" s="50">
        <v>40991</v>
      </c>
      <c r="K3438" s="50">
        <v>42085</v>
      </c>
      <c r="M3438" s="49" t="s">
        <v>3100</v>
      </c>
    </row>
    <row r="3439" spans="1:13" x14ac:dyDescent="0.35">
      <c r="A3439" s="49" t="s">
        <v>14816</v>
      </c>
      <c r="B3439" s="49" t="s">
        <v>13892</v>
      </c>
      <c r="C3439" s="49"/>
      <c r="D3439" s="49" t="s">
        <v>1264</v>
      </c>
      <c r="E3439" s="49" t="s">
        <v>2774</v>
      </c>
      <c r="F3439" s="49" t="s">
        <v>2825</v>
      </c>
      <c r="G3439" s="49" t="s">
        <v>2776</v>
      </c>
      <c r="H3439" s="49" t="s">
        <v>2827</v>
      </c>
      <c r="I3439" s="50">
        <v>43158</v>
      </c>
      <c r="M3439" s="49" t="s">
        <v>3470</v>
      </c>
    </row>
    <row r="3440" spans="1:13" x14ac:dyDescent="0.35">
      <c r="A3440" s="49" t="s">
        <v>15704</v>
      </c>
      <c r="B3440" s="49" t="s">
        <v>2966</v>
      </c>
      <c r="C3440" s="49" t="s">
        <v>2967</v>
      </c>
      <c r="D3440" s="49" t="s">
        <v>1264</v>
      </c>
      <c r="E3440" s="49" t="s">
        <v>2899</v>
      </c>
      <c r="F3440" s="49" t="s">
        <v>2969</v>
      </c>
      <c r="G3440" s="49" t="s">
        <v>2921</v>
      </c>
      <c r="H3440" s="49" t="s">
        <v>2827</v>
      </c>
      <c r="I3440" s="50">
        <v>37243</v>
      </c>
      <c r="J3440" s="50">
        <v>39388</v>
      </c>
      <c r="K3440" s="50">
        <v>43041</v>
      </c>
      <c r="M3440" s="49" t="s">
        <v>2970</v>
      </c>
    </row>
    <row r="3441" spans="1:13" x14ac:dyDescent="0.35">
      <c r="A3441" s="49" t="s">
        <v>15224</v>
      </c>
      <c r="B3441" s="49" t="s">
        <v>3395</v>
      </c>
      <c r="C3441" s="49" t="s">
        <v>2937</v>
      </c>
      <c r="D3441" s="49" t="s">
        <v>1264</v>
      </c>
      <c r="E3441" s="49" t="s">
        <v>2908</v>
      </c>
      <c r="F3441" s="49" t="s">
        <v>2939</v>
      </c>
      <c r="G3441" s="49" t="s">
        <v>2921</v>
      </c>
      <c r="H3441" s="49" t="s">
        <v>980</v>
      </c>
      <c r="I3441" s="50">
        <v>42019</v>
      </c>
      <c r="J3441" s="50">
        <v>42886</v>
      </c>
      <c r="K3441" s="50">
        <v>44711</v>
      </c>
      <c r="M3441" s="49" t="s">
        <v>3397</v>
      </c>
    </row>
    <row r="3442" spans="1:13" x14ac:dyDescent="0.35">
      <c r="A3442" s="49" t="s">
        <v>15224</v>
      </c>
      <c r="B3442" s="49" t="s">
        <v>5004</v>
      </c>
      <c r="C3442" s="49"/>
      <c r="D3442" s="49" t="s">
        <v>1264</v>
      </c>
      <c r="E3442" s="49" t="s">
        <v>3443</v>
      </c>
      <c r="F3442" s="49" t="s">
        <v>3124</v>
      </c>
      <c r="G3442" s="49" t="s">
        <v>2901</v>
      </c>
      <c r="H3442" s="49" t="s">
        <v>980</v>
      </c>
      <c r="I3442" s="50">
        <v>44789</v>
      </c>
      <c r="J3442" s="50">
        <v>44650</v>
      </c>
      <c r="K3442" s="50">
        <v>46475</v>
      </c>
    </row>
    <row r="3443" spans="1:13" x14ac:dyDescent="0.35">
      <c r="A3443" s="49" t="s">
        <v>15224</v>
      </c>
      <c r="B3443" s="49" t="s">
        <v>7180</v>
      </c>
      <c r="C3443" s="49" t="s">
        <v>4677</v>
      </c>
      <c r="D3443" s="49" t="s">
        <v>1264</v>
      </c>
      <c r="E3443" s="49" t="s">
        <v>2785</v>
      </c>
      <c r="F3443" s="49" t="s">
        <v>2792</v>
      </c>
      <c r="G3443" s="49" t="s">
        <v>2787</v>
      </c>
      <c r="H3443" s="49" t="s">
        <v>8</v>
      </c>
      <c r="I3443" s="50">
        <v>42305</v>
      </c>
      <c r="J3443" s="50">
        <v>42428</v>
      </c>
      <c r="K3443" s="50">
        <v>42610</v>
      </c>
      <c r="M3443" s="49" t="s">
        <v>7182</v>
      </c>
    </row>
    <row r="3444" spans="1:13" x14ac:dyDescent="0.35">
      <c r="A3444" s="49" t="s">
        <v>15224</v>
      </c>
      <c r="B3444" s="49" t="s">
        <v>9706</v>
      </c>
      <c r="C3444" s="49" t="s">
        <v>6999</v>
      </c>
      <c r="D3444" s="49" t="s">
        <v>1264</v>
      </c>
      <c r="E3444" s="49" t="s">
        <v>2785</v>
      </c>
      <c r="F3444" s="49" t="s">
        <v>2792</v>
      </c>
      <c r="G3444" s="49" t="s">
        <v>2776</v>
      </c>
      <c r="H3444" s="49" t="s">
        <v>8</v>
      </c>
      <c r="I3444" s="50">
        <v>41486</v>
      </c>
      <c r="M3444" s="49" t="s">
        <v>9707</v>
      </c>
    </row>
    <row r="3445" spans="1:13" x14ac:dyDescent="0.35">
      <c r="A3445" s="49" t="s">
        <v>14663</v>
      </c>
      <c r="B3445" s="49" t="s">
        <v>13413</v>
      </c>
      <c r="C3445" s="49"/>
      <c r="D3445" s="49" t="s">
        <v>1264</v>
      </c>
      <c r="E3445" s="49" t="s">
        <v>2785</v>
      </c>
      <c r="F3445" s="49" t="s">
        <v>2786</v>
      </c>
      <c r="G3445" s="49" t="s">
        <v>4891</v>
      </c>
      <c r="H3445" s="49" t="s">
        <v>835</v>
      </c>
      <c r="I3445" s="52">
        <v>46126.559004629598</v>
      </c>
      <c r="M3445" s="49" t="s">
        <v>6961</v>
      </c>
    </row>
    <row r="3446" spans="1:13" x14ac:dyDescent="0.35">
      <c r="A3446" s="49" t="s">
        <v>15039</v>
      </c>
      <c r="B3446" s="49" t="s">
        <v>12795</v>
      </c>
      <c r="C3446" s="49" t="s">
        <v>3734</v>
      </c>
      <c r="D3446" s="49" t="s">
        <v>1264</v>
      </c>
      <c r="E3446" s="49" t="s">
        <v>2899</v>
      </c>
      <c r="F3446" s="49" t="s">
        <v>2786</v>
      </c>
      <c r="G3446" s="49" t="s">
        <v>4891</v>
      </c>
      <c r="H3446" s="49" t="s">
        <v>835</v>
      </c>
      <c r="I3446" s="50">
        <v>45565</v>
      </c>
      <c r="M3446" s="49" t="s">
        <v>3691</v>
      </c>
    </row>
    <row r="3447" spans="1:13" x14ac:dyDescent="0.35">
      <c r="A3447" s="49" t="s">
        <v>15497</v>
      </c>
      <c r="B3447" s="49" t="s">
        <v>11097</v>
      </c>
      <c r="C3447" s="49"/>
      <c r="D3447" s="49" t="s">
        <v>1264</v>
      </c>
      <c r="E3447" s="49" t="s">
        <v>2986</v>
      </c>
      <c r="F3447" s="49" t="s">
        <v>2825</v>
      </c>
      <c r="G3447" s="49" t="s">
        <v>2776</v>
      </c>
      <c r="H3447" s="49" t="s">
        <v>2827</v>
      </c>
      <c r="I3447" s="50">
        <v>44790</v>
      </c>
      <c r="M3447" s="49" t="s">
        <v>11099</v>
      </c>
    </row>
    <row r="3448" spans="1:13" x14ac:dyDescent="0.35">
      <c r="A3448" s="49" t="s">
        <v>14060</v>
      </c>
      <c r="B3448" s="49" t="s">
        <v>2794</v>
      </c>
      <c r="C3448" s="49" t="s">
        <v>2795</v>
      </c>
      <c r="D3448" s="49" t="s">
        <v>1264</v>
      </c>
      <c r="E3448" s="49" t="s">
        <v>2785</v>
      </c>
      <c r="F3448" s="49" t="s">
        <v>2786</v>
      </c>
      <c r="G3448" s="49" t="s">
        <v>2787</v>
      </c>
      <c r="H3448" s="49" t="s">
        <v>8</v>
      </c>
      <c r="I3448" s="50">
        <v>43817</v>
      </c>
      <c r="J3448" s="50">
        <v>43861</v>
      </c>
      <c r="K3448" s="50">
        <v>44226</v>
      </c>
      <c r="M3448" s="49" t="s">
        <v>2797</v>
      </c>
    </row>
    <row r="3449" spans="1:13" x14ac:dyDescent="0.35">
      <c r="A3449" s="49" t="s">
        <v>14060</v>
      </c>
      <c r="B3449" s="49" t="s">
        <v>4361</v>
      </c>
      <c r="C3449" s="49" t="s">
        <v>4362</v>
      </c>
      <c r="D3449" s="49" t="s">
        <v>1264</v>
      </c>
      <c r="E3449" s="49" t="s">
        <v>2785</v>
      </c>
      <c r="F3449" s="49" t="s">
        <v>2786</v>
      </c>
      <c r="G3449" s="49" t="s">
        <v>2787</v>
      </c>
      <c r="H3449" s="49" t="s">
        <v>8</v>
      </c>
      <c r="I3449" s="50">
        <v>44133</v>
      </c>
      <c r="J3449" s="50">
        <v>43861</v>
      </c>
      <c r="K3449" s="50">
        <v>44226</v>
      </c>
      <c r="M3449" s="49" t="s">
        <v>4363</v>
      </c>
    </row>
    <row r="3450" spans="1:13" x14ac:dyDescent="0.35">
      <c r="A3450" s="49" t="s">
        <v>14060</v>
      </c>
      <c r="B3450" s="49" t="s">
        <v>6460</v>
      </c>
      <c r="C3450" s="49" t="s">
        <v>6461</v>
      </c>
      <c r="D3450" s="49" t="s">
        <v>1264</v>
      </c>
      <c r="E3450" s="49" t="s">
        <v>2785</v>
      </c>
      <c r="F3450" s="49" t="s">
        <v>2786</v>
      </c>
      <c r="G3450" s="49" t="s">
        <v>4330</v>
      </c>
      <c r="H3450" s="49" t="s">
        <v>980</v>
      </c>
      <c r="I3450" s="50">
        <v>45363</v>
      </c>
      <c r="M3450" s="49" t="s">
        <v>6462</v>
      </c>
    </row>
    <row r="3451" spans="1:13" x14ac:dyDescent="0.35">
      <c r="A3451" s="49" t="s">
        <v>14143</v>
      </c>
      <c r="B3451" s="49" t="s">
        <v>3936</v>
      </c>
      <c r="C3451" s="49" t="s">
        <v>2891</v>
      </c>
      <c r="D3451" s="49" t="s">
        <v>1264</v>
      </c>
      <c r="E3451" s="49" t="s">
        <v>2908</v>
      </c>
      <c r="F3451" s="49" t="s">
        <v>2837</v>
      </c>
      <c r="G3451" s="49" t="s">
        <v>2787</v>
      </c>
      <c r="H3451" s="49" t="s">
        <v>980</v>
      </c>
      <c r="I3451" s="50">
        <v>43739</v>
      </c>
      <c r="J3451" s="50">
        <v>43744</v>
      </c>
      <c r="K3451" s="50">
        <v>45570</v>
      </c>
      <c r="M3451" s="49" t="s">
        <v>3938</v>
      </c>
    </row>
    <row r="3452" spans="1:13" x14ac:dyDescent="0.35">
      <c r="A3452" s="49" t="s">
        <v>14143</v>
      </c>
      <c r="B3452" s="49" t="s">
        <v>7793</v>
      </c>
      <c r="C3452" s="49" t="s">
        <v>7794</v>
      </c>
      <c r="D3452" s="49" t="s">
        <v>1264</v>
      </c>
      <c r="E3452" s="49" t="s">
        <v>2908</v>
      </c>
      <c r="F3452" s="49" t="s">
        <v>2837</v>
      </c>
      <c r="G3452" s="49" t="s">
        <v>2787</v>
      </c>
      <c r="H3452" s="49" t="s">
        <v>980</v>
      </c>
      <c r="I3452" s="50">
        <v>39533</v>
      </c>
      <c r="J3452" s="50">
        <v>39861</v>
      </c>
      <c r="K3452" s="50">
        <v>43512</v>
      </c>
      <c r="M3452" s="49" t="s">
        <v>7795</v>
      </c>
    </row>
    <row r="3453" spans="1:13" x14ac:dyDescent="0.35">
      <c r="A3453" s="49" t="s">
        <v>14442</v>
      </c>
      <c r="B3453" s="49" t="s">
        <v>8575</v>
      </c>
      <c r="C3453" s="49" t="s">
        <v>8576</v>
      </c>
      <c r="D3453" s="49" t="s">
        <v>1264</v>
      </c>
      <c r="E3453" s="49" t="s">
        <v>2908</v>
      </c>
      <c r="F3453" s="49" t="s">
        <v>2837</v>
      </c>
      <c r="G3453" s="49" t="s">
        <v>2826</v>
      </c>
      <c r="H3453" s="49" t="s">
        <v>980</v>
      </c>
      <c r="I3453" s="50">
        <v>28543</v>
      </c>
      <c r="J3453" s="50">
        <v>28793</v>
      </c>
      <c r="K3453" s="50">
        <v>30618</v>
      </c>
      <c r="M3453" s="49" t="s">
        <v>3477</v>
      </c>
    </row>
    <row r="3454" spans="1:13" x14ac:dyDescent="0.35">
      <c r="A3454" s="49" t="s">
        <v>15038</v>
      </c>
      <c r="B3454" s="49" t="s">
        <v>3402</v>
      </c>
      <c r="C3454" s="49" t="s">
        <v>3403</v>
      </c>
      <c r="D3454" s="49" t="s">
        <v>1264</v>
      </c>
      <c r="E3454" s="49" t="s">
        <v>2899</v>
      </c>
      <c r="F3454" s="49" t="s">
        <v>3405</v>
      </c>
      <c r="G3454" s="49" t="s">
        <v>2901</v>
      </c>
      <c r="H3454" s="49" t="s">
        <v>2827</v>
      </c>
      <c r="I3454" s="50">
        <v>42056</v>
      </c>
      <c r="J3454" s="50">
        <v>42263</v>
      </c>
      <c r="K3454" s="50">
        <v>51395</v>
      </c>
      <c r="M3454" s="49" t="s">
        <v>3406</v>
      </c>
    </row>
    <row r="3455" spans="1:13" x14ac:dyDescent="0.35">
      <c r="A3455" s="49" t="s">
        <v>15038</v>
      </c>
      <c r="B3455" s="49" t="s">
        <v>8052</v>
      </c>
      <c r="C3455" s="49" t="s">
        <v>8053</v>
      </c>
      <c r="D3455" s="49" t="s">
        <v>1264</v>
      </c>
      <c r="E3455" s="49" t="s">
        <v>2774</v>
      </c>
      <c r="F3455" s="49" t="s">
        <v>3405</v>
      </c>
      <c r="G3455" s="49" t="s">
        <v>2787</v>
      </c>
      <c r="H3455" s="49" t="s">
        <v>973</v>
      </c>
      <c r="I3455" s="50">
        <v>41093</v>
      </c>
      <c r="J3455" s="50">
        <v>41130</v>
      </c>
      <c r="K3455" s="50">
        <v>44051</v>
      </c>
      <c r="M3455" s="49" t="s">
        <v>8055</v>
      </c>
    </row>
    <row r="3456" spans="1:13" x14ac:dyDescent="0.35">
      <c r="A3456" s="49" t="s">
        <v>15038</v>
      </c>
      <c r="B3456" s="49" t="s">
        <v>13945</v>
      </c>
      <c r="C3456" s="49"/>
      <c r="D3456" s="49" t="s">
        <v>1264</v>
      </c>
      <c r="E3456" s="49" t="s">
        <v>2774</v>
      </c>
      <c r="F3456" s="49" t="s">
        <v>3405</v>
      </c>
      <c r="G3456" s="49" t="s">
        <v>2826</v>
      </c>
      <c r="H3456" s="49" t="s">
        <v>973</v>
      </c>
      <c r="I3456" s="50">
        <v>44278</v>
      </c>
      <c r="M3456" s="49" t="s">
        <v>13946</v>
      </c>
    </row>
    <row r="3457" spans="1:13" x14ac:dyDescent="0.35">
      <c r="A3457" s="49" t="s">
        <v>11777</v>
      </c>
      <c r="B3457" s="49" t="s">
        <v>6883</v>
      </c>
      <c r="C3457" s="49"/>
      <c r="D3457" s="49" t="s">
        <v>1264</v>
      </c>
      <c r="E3457" s="49" t="s">
        <v>2814</v>
      </c>
      <c r="G3457" s="49" t="s">
        <v>2901</v>
      </c>
      <c r="H3457" s="49" t="s">
        <v>973</v>
      </c>
      <c r="I3457" s="52">
        <v>45939.371377314797</v>
      </c>
      <c r="J3457" s="50">
        <v>45992</v>
      </c>
      <c r="K3457" s="50">
        <v>46173</v>
      </c>
      <c r="M3457" s="49" t="s">
        <v>6885</v>
      </c>
    </row>
    <row r="3458" spans="1:13" x14ac:dyDescent="0.35">
      <c r="A3458" s="49" t="s">
        <v>11777</v>
      </c>
      <c r="B3458" s="49" t="s">
        <v>11216</v>
      </c>
      <c r="C3458" s="49"/>
      <c r="D3458" s="49" t="s">
        <v>1264</v>
      </c>
      <c r="E3458" s="49" t="s">
        <v>2774</v>
      </c>
      <c r="F3458" s="49" t="s">
        <v>2775</v>
      </c>
      <c r="G3458" s="49" t="s">
        <v>4891</v>
      </c>
      <c r="H3458" s="49" t="s">
        <v>980</v>
      </c>
      <c r="I3458" s="50">
        <v>44915</v>
      </c>
      <c r="M3458" s="49" t="s">
        <v>4914</v>
      </c>
    </row>
    <row r="3459" spans="1:13" x14ac:dyDescent="0.35">
      <c r="A3459" s="49" t="s">
        <v>11777</v>
      </c>
      <c r="B3459" s="49" t="s">
        <v>11745</v>
      </c>
      <c r="C3459" s="49" t="s">
        <v>11746</v>
      </c>
      <c r="D3459" s="49" t="s">
        <v>1264</v>
      </c>
      <c r="E3459" s="49" t="s">
        <v>2774</v>
      </c>
      <c r="F3459" s="49" t="s">
        <v>2775</v>
      </c>
      <c r="G3459" s="49" t="s">
        <v>4891</v>
      </c>
      <c r="H3459" s="49" t="s">
        <v>980</v>
      </c>
      <c r="I3459" s="50">
        <v>45261</v>
      </c>
      <c r="M3459" s="49" t="s">
        <v>4914</v>
      </c>
    </row>
    <row r="3460" spans="1:13" x14ac:dyDescent="0.35">
      <c r="A3460" s="49" t="s">
        <v>11777</v>
      </c>
      <c r="B3460" s="49" t="s">
        <v>11757</v>
      </c>
      <c r="C3460" s="49" t="s">
        <v>11758</v>
      </c>
      <c r="D3460" s="49" t="s">
        <v>1264</v>
      </c>
      <c r="E3460" s="49" t="s">
        <v>2774</v>
      </c>
      <c r="F3460" s="49" t="s">
        <v>11759</v>
      </c>
      <c r="G3460" s="49" t="s">
        <v>4891</v>
      </c>
      <c r="H3460" s="49" t="s">
        <v>973</v>
      </c>
      <c r="I3460" s="50">
        <v>45261</v>
      </c>
      <c r="M3460" s="49" t="s">
        <v>11760</v>
      </c>
    </row>
    <row r="3461" spans="1:13" x14ac:dyDescent="0.35">
      <c r="A3461" s="49" t="s">
        <v>11777</v>
      </c>
      <c r="B3461" s="49" t="s">
        <v>11776</v>
      </c>
      <c r="C3461" s="49"/>
      <c r="D3461" s="49" t="s">
        <v>1264</v>
      </c>
      <c r="E3461" s="49" t="s">
        <v>2774</v>
      </c>
      <c r="F3461" s="49" t="s">
        <v>4842</v>
      </c>
      <c r="G3461" s="49" t="s">
        <v>4891</v>
      </c>
      <c r="H3461" s="49" t="s">
        <v>2827</v>
      </c>
      <c r="I3461" s="50">
        <v>45265</v>
      </c>
      <c r="M3461" s="49" t="s">
        <v>11778</v>
      </c>
    </row>
    <row r="3462" spans="1:13" x14ac:dyDescent="0.35">
      <c r="A3462" s="49" t="s">
        <v>11777</v>
      </c>
      <c r="B3462" s="49" t="s">
        <v>12602</v>
      </c>
      <c r="C3462" s="49" t="s">
        <v>12603</v>
      </c>
      <c r="D3462" s="49" t="s">
        <v>1264</v>
      </c>
      <c r="E3462" s="49" t="s">
        <v>2774</v>
      </c>
      <c r="F3462" s="49" t="s">
        <v>4842</v>
      </c>
      <c r="G3462" s="49" t="s">
        <v>4891</v>
      </c>
      <c r="H3462" s="49" t="s">
        <v>2827</v>
      </c>
      <c r="I3462" s="50">
        <v>45258</v>
      </c>
      <c r="M3462" s="49" t="s">
        <v>12604</v>
      </c>
    </row>
    <row r="3463" spans="1:13" x14ac:dyDescent="0.35">
      <c r="A3463" s="49" t="s">
        <v>11777</v>
      </c>
      <c r="B3463" s="49" t="s">
        <v>12618</v>
      </c>
      <c r="C3463" s="49"/>
      <c r="D3463" s="49" t="s">
        <v>1264</v>
      </c>
      <c r="E3463" s="49" t="s">
        <v>2774</v>
      </c>
      <c r="F3463" s="49" t="s">
        <v>3648</v>
      </c>
      <c r="G3463" s="49" t="s">
        <v>4891</v>
      </c>
      <c r="H3463" s="49" t="s">
        <v>980</v>
      </c>
      <c r="I3463" s="50">
        <v>45482</v>
      </c>
      <c r="M3463" s="49" t="s">
        <v>3649</v>
      </c>
    </row>
    <row r="3464" spans="1:13" x14ac:dyDescent="0.35">
      <c r="A3464" s="49" t="s">
        <v>11777</v>
      </c>
      <c r="B3464" s="49" t="s">
        <v>12619</v>
      </c>
      <c r="C3464" s="49" t="s">
        <v>12620</v>
      </c>
      <c r="D3464" s="49" t="s">
        <v>1264</v>
      </c>
      <c r="E3464" s="49" t="s">
        <v>2774</v>
      </c>
      <c r="F3464" s="49" t="s">
        <v>3005</v>
      </c>
      <c r="G3464" s="49" t="s">
        <v>4891</v>
      </c>
      <c r="H3464" s="49" t="s">
        <v>3229</v>
      </c>
      <c r="I3464" s="50">
        <v>45482</v>
      </c>
      <c r="M3464" s="49" t="s">
        <v>12539</v>
      </c>
    </row>
    <row r="3465" spans="1:13" x14ac:dyDescent="0.35">
      <c r="A3465" s="49" t="s">
        <v>11777</v>
      </c>
      <c r="B3465" s="49" t="s">
        <v>3146</v>
      </c>
      <c r="C3465" s="49" t="s">
        <v>3147</v>
      </c>
      <c r="D3465" s="49" t="s">
        <v>1264</v>
      </c>
      <c r="E3465" s="49" t="s">
        <v>2774</v>
      </c>
      <c r="F3465" s="49" t="s">
        <v>2825</v>
      </c>
      <c r="G3465" s="49" t="s">
        <v>2921</v>
      </c>
      <c r="H3465" s="49" t="s">
        <v>2827</v>
      </c>
      <c r="I3465" s="50">
        <v>40455</v>
      </c>
      <c r="J3465" s="50">
        <v>40940</v>
      </c>
      <c r="K3465" s="50">
        <v>44502</v>
      </c>
      <c r="M3465" s="49" t="s">
        <v>3149</v>
      </c>
    </row>
    <row r="3466" spans="1:13" x14ac:dyDescent="0.35">
      <c r="A3466" s="49" t="s">
        <v>11777</v>
      </c>
      <c r="B3466" s="49" t="s">
        <v>3182</v>
      </c>
      <c r="C3466" s="49" t="s">
        <v>3183</v>
      </c>
      <c r="D3466" s="49" t="s">
        <v>1264</v>
      </c>
      <c r="E3466" s="49" t="s">
        <v>2774</v>
      </c>
      <c r="F3466" s="49" t="s">
        <v>2825</v>
      </c>
      <c r="G3466" s="49" t="s">
        <v>2921</v>
      </c>
      <c r="H3466" s="49" t="s">
        <v>2827</v>
      </c>
      <c r="I3466" s="50">
        <v>40865</v>
      </c>
      <c r="J3466" s="50">
        <v>41051</v>
      </c>
      <c r="K3466" s="50">
        <v>44502</v>
      </c>
      <c r="M3466" s="49" t="s">
        <v>3184</v>
      </c>
    </row>
    <row r="3467" spans="1:13" x14ac:dyDescent="0.35">
      <c r="A3467" s="49" t="s">
        <v>11777</v>
      </c>
      <c r="B3467" s="49" t="s">
        <v>4021</v>
      </c>
      <c r="C3467" s="49" t="s">
        <v>4022</v>
      </c>
      <c r="D3467" s="49" t="s">
        <v>1264</v>
      </c>
      <c r="E3467" s="49" t="s">
        <v>2974</v>
      </c>
      <c r="F3467" s="49" t="s">
        <v>2825</v>
      </c>
      <c r="G3467" s="49" t="s">
        <v>2901</v>
      </c>
      <c r="H3467" s="49" t="s">
        <v>2827</v>
      </c>
      <c r="I3467" s="50">
        <v>43902</v>
      </c>
      <c r="J3467" s="50">
        <v>43887</v>
      </c>
      <c r="K3467" s="50">
        <v>45713</v>
      </c>
      <c r="M3467" s="49" t="s">
        <v>4023</v>
      </c>
    </row>
    <row r="3468" spans="1:13" x14ac:dyDescent="0.35">
      <c r="A3468" s="49" t="s">
        <v>11777</v>
      </c>
      <c r="B3468" s="49" t="s">
        <v>10759</v>
      </c>
      <c r="C3468" s="49" t="s">
        <v>10760</v>
      </c>
      <c r="D3468" s="49" t="s">
        <v>1264</v>
      </c>
      <c r="E3468" s="49" t="s">
        <v>2774</v>
      </c>
      <c r="F3468" s="49" t="s">
        <v>3598</v>
      </c>
      <c r="G3468" s="49" t="s">
        <v>2776</v>
      </c>
      <c r="H3468" s="49" t="s">
        <v>2827</v>
      </c>
      <c r="I3468" s="50">
        <v>41649</v>
      </c>
      <c r="M3468" s="49" t="s">
        <v>10761</v>
      </c>
    </row>
    <row r="3469" spans="1:13" x14ac:dyDescent="0.35">
      <c r="A3469" s="49" t="s">
        <v>11777</v>
      </c>
      <c r="B3469" s="49" t="s">
        <v>13816</v>
      </c>
      <c r="C3469" s="49" t="s">
        <v>13817</v>
      </c>
      <c r="D3469" s="49" t="s">
        <v>1264</v>
      </c>
      <c r="E3469" s="49" t="s">
        <v>2774</v>
      </c>
      <c r="F3469" s="49" t="s">
        <v>5254</v>
      </c>
      <c r="G3469" s="49" t="s">
        <v>2776</v>
      </c>
      <c r="H3469" s="49" t="s">
        <v>2827</v>
      </c>
      <c r="I3469" s="50">
        <v>42065</v>
      </c>
      <c r="M3469" s="49" t="s">
        <v>13818</v>
      </c>
    </row>
    <row r="3470" spans="1:13" x14ac:dyDescent="0.35">
      <c r="A3470" s="49" t="s">
        <v>11777</v>
      </c>
      <c r="B3470" s="49" t="s">
        <v>13872</v>
      </c>
      <c r="C3470" s="49" t="s">
        <v>13873</v>
      </c>
      <c r="D3470" s="49" t="s">
        <v>1264</v>
      </c>
      <c r="E3470" s="49" t="s">
        <v>2814</v>
      </c>
      <c r="F3470" s="49" t="s">
        <v>13874</v>
      </c>
      <c r="G3470" s="49" t="s">
        <v>2776</v>
      </c>
      <c r="H3470" s="49" t="s">
        <v>2827</v>
      </c>
      <c r="I3470" s="50">
        <v>42016</v>
      </c>
      <c r="M3470" s="49" t="s">
        <v>13875</v>
      </c>
    </row>
    <row r="3471" spans="1:13" x14ac:dyDescent="0.35">
      <c r="A3471" s="49" t="s">
        <v>15498</v>
      </c>
      <c r="B3471" s="49" t="s">
        <v>3389</v>
      </c>
      <c r="C3471" s="49" t="s">
        <v>2937</v>
      </c>
      <c r="D3471" s="49" t="s">
        <v>1264</v>
      </c>
      <c r="E3471" s="49" t="s">
        <v>2908</v>
      </c>
      <c r="F3471" s="49" t="s">
        <v>2939</v>
      </c>
      <c r="G3471" s="49" t="s">
        <v>2921</v>
      </c>
      <c r="H3471" s="49" t="s">
        <v>980</v>
      </c>
      <c r="I3471" s="50">
        <v>42012</v>
      </c>
      <c r="J3471" s="50">
        <v>42054</v>
      </c>
      <c r="K3471" s="50">
        <v>43879</v>
      </c>
      <c r="M3471" s="49" t="s">
        <v>3391</v>
      </c>
    </row>
    <row r="3472" spans="1:13" x14ac:dyDescent="0.35">
      <c r="A3472" s="49" t="s">
        <v>15498</v>
      </c>
      <c r="B3472" s="49" t="s">
        <v>9870</v>
      </c>
      <c r="C3472" s="49" t="s">
        <v>5940</v>
      </c>
      <c r="D3472" s="49" t="s">
        <v>1264</v>
      </c>
      <c r="E3472" s="49" t="s">
        <v>2785</v>
      </c>
      <c r="F3472" s="49" t="s">
        <v>2786</v>
      </c>
      <c r="G3472" s="49" t="s">
        <v>2776</v>
      </c>
      <c r="H3472" s="49" t="s">
        <v>980</v>
      </c>
      <c r="I3472" s="50">
        <v>42320</v>
      </c>
      <c r="M3472" s="49" t="s">
        <v>9872</v>
      </c>
    </row>
    <row r="3473" spans="1:13" x14ac:dyDescent="0.35">
      <c r="A3473" s="49" t="s">
        <v>15498</v>
      </c>
      <c r="B3473" s="49" t="s">
        <v>10642</v>
      </c>
      <c r="C3473" s="49" t="s">
        <v>10643</v>
      </c>
      <c r="D3473" s="49" t="s">
        <v>1264</v>
      </c>
      <c r="E3473" s="49" t="s">
        <v>2814</v>
      </c>
      <c r="G3473" s="49" t="s">
        <v>2776</v>
      </c>
      <c r="I3473" s="50">
        <v>43383</v>
      </c>
      <c r="M3473" s="49" t="s">
        <v>10644</v>
      </c>
    </row>
    <row r="3474" spans="1:13" x14ac:dyDescent="0.35">
      <c r="A3474" s="49" t="s">
        <v>14434</v>
      </c>
      <c r="B3474" s="49" t="s">
        <v>8457</v>
      </c>
      <c r="C3474" s="49" t="s">
        <v>8458</v>
      </c>
      <c r="D3474" s="49" t="s">
        <v>1264</v>
      </c>
      <c r="E3474" s="49" t="s">
        <v>2908</v>
      </c>
      <c r="F3474" s="49" t="s">
        <v>2939</v>
      </c>
      <c r="G3474" s="49" t="s">
        <v>2787</v>
      </c>
      <c r="H3474" s="49" t="s">
        <v>980</v>
      </c>
      <c r="I3474" s="50">
        <v>39423</v>
      </c>
      <c r="J3474" s="50">
        <v>39444</v>
      </c>
      <c r="K3474" s="50">
        <v>41270</v>
      </c>
    </row>
    <row r="3475" spans="1:13" x14ac:dyDescent="0.35">
      <c r="A3475" s="49" t="s">
        <v>14809</v>
      </c>
      <c r="B3475" s="49" t="s">
        <v>3049</v>
      </c>
      <c r="C3475" s="49" t="s">
        <v>3050</v>
      </c>
      <c r="D3475" s="49" t="s">
        <v>1264</v>
      </c>
      <c r="E3475" s="49" t="s">
        <v>2974</v>
      </c>
      <c r="F3475" s="49" t="s">
        <v>2900</v>
      </c>
      <c r="G3475" s="49" t="s">
        <v>2787</v>
      </c>
      <c r="H3475" s="49" t="s">
        <v>2832</v>
      </c>
      <c r="I3475" s="50">
        <v>39536</v>
      </c>
      <c r="J3475" s="50">
        <v>39597</v>
      </c>
      <c r="K3475" s="50">
        <v>41787</v>
      </c>
      <c r="M3475" s="49" t="s">
        <v>3052</v>
      </c>
    </row>
    <row r="3476" spans="1:13" x14ac:dyDescent="0.35">
      <c r="A3476" s="49" t="s">
        <v>14809</v>
      </c>
      <c r="B3476" s="49" t="s">
        <v>3160</v>
      </c>
      <c r="C3476" s="49" t="s">
        <v>3161</v>
      </c>
      <c r="D3476" s="49" t="s">
        <v>1264</v>
      </c>
      <c r="E3476" s="49" t="s">
        <v>2899</v>
      </c>
      <c r="F3476" s="49" t="s">
        <v>2900</v>
      </c>
      <c r="G3476" s="49" t="s">
        <v>2901</v>
      </c>
      <c r="H3476" s="49" t="s">
        <v>2832</v>
      </c>
      <c r="I3476" s="50">
        <v>40702</v>
      </c>
      <c r="J3476" s="50">
        <v>40702</v>
      </c>
      <c r="K3476" s="50">
        <v>49834</v>
      </c>
      <c r="M3476" s="49" t="s">
        <v>3162</v>
      </c>
    </row>
    <row r="3477" spans="1:13" x14ac:dyDescent="0.35">
      <c r="A3477" s="49" t="s">
        <v>14809</v>
      </c>
      <c r="B3477" s="49" t="s">
        <v>7074</v>
      </c>
      <c r="C3477" s="49" t="s">
        <v>7075</v>
      </c>
      <c r="D3477" s="49" t="s">
        <v>1264</v>
      </c>
      <c r="E3477" s="49" t="s">
        <v>2774</v>
      </c>
      <c r="F3477" s="49" t="s">
        <v>2900</v>
      </c>
      <c r="G3477" s="49" t="s">
        <v>2787</v>
      </c>
      <c r="H3477" s="49" t="s">
        <v>2832</v>
      </c>
      <c r="I3477" s="50">
        <v>39727</v>
      </c>
      <c r="J3477" s="50">
        <v>39832</v>
      </c>
      <c r="K3477" s="50">
        <v>40926</v>
      </c>
      <c r="M3477" s="49" t="s">
        <v>7077</v>
      </c>
    </row>
    <row r="3478" spans="1:13" x14ac:dyDescent="0.35">
      <c r="A3478" s="49" t="s">
        <v>15225</v>
      </c>
      <c r="B3478" s="49" t="s">
        <v>10331</v>
      </c>
      <c r="C3478" s="49" t="s">
        <v>10332</v>
      </c>
      <c r="D3478" s="49" t="s">
        <v>1264</v>
      </c>
      <c r="E3478" s="49" t="s">
        <v>2814</v>
      </c>
      <c r="F3478" s="49" t="s">
        <v>2837</v>
      </c>
      <c r="G3478" s="49" t="s">
        <v>2776</v>
      </c>
      <c r="H3478" s="49" t="s">
        <v>980</v>
      </c>
      <c r="I3478" s="50">
        <v>44025</v>
      </c>
      <c r="M3478" s="49" t="s">
        <v>10334</v>
      </c>
    </row>
    <row r="3479" spans="1:13" x14ac:dyDescent="0.35">
      <c r="A3479" s="49" t="s">
        <v>689</v>
      </c>
      <c r="B3479" s="49" t="s">
        <v>11339</v>
      </c>
      <c r="C3479" s="49" t="s">
        <v>15119</v>
      </c>
      <c r="D3479" s="49" t="s">
        <v>1264</v>
      </c>
      <c r="E3479" s="49" t="s">
        <v>2908</v>
      </c>
      <c r="F3479" s="49" t="s">
        <v>2837</v>
      </c>
      <c r="G3479" s="49" t="s">
        <v>4891</v>
      </c>
      <c r="H3479" s="49" t="s">
        <v>980</v>
      </c>
      <c r="I3479" s="50">
        <v>45005</v>
      </c>
      <c r="M3479" s="49" t="s">
        <v>11342</v>
      </c>
    </row>
    <row r="3480" spans="1:13" x14ac:dyDescent="0.35">
      <c r="A3480" s="49" t="s">
        <v>689</v>
      </c>
      <c r="B3480" s="49" t="s">
        <v>5548</v>
      </c>
      <c r="C3480" s="49" t="s">
        <v>5549</v>
      </c>
      <c r="D3480" s="49" t="s">
        <v>1264</v>
      </c>
      <c r="E3480" s="49" t="s">
        <v>2785</v>
      </c>
      <c r="F3480" s="49" t="s">
        <v>2805</v>
      </c>
      <c r="G3480" s="49" t="s">
        <v>2787</v>
      </c>
      <c r="H3480" s="49" t="s">
        <v>3717</v>
      </c>
      <c r="I3480" s="50">
        <v>45044</v>
      </c>
      <c r="J3480" s="50">
        <v>45065</v>
      </c>
      <c r="K3480" s="50">
        <v>45430</v>
      </c>
      <c r="M3480" s="49" t="s">
        <v>5551</v>
      </c>
    </row>
    <row r="3481" spans="1:13" x14ac:dyDescent="0.35">
      <c r="A3481" s="49" t="s">
        <v>14205</v>
      </c>
      <c r="B3481" s="49" t="s">
        <v>4819</v>
      </c>
      <c r="C3481" s="49"/>
      <c r="D3481" s="49" t="s">
        <v>1264</v>
      </c>
      <c r="E3481" s="49" t="s">
        <v>2814</v>
      </c>
      <c r="F3481" s="49" t="s">
        <v>2825</v>
      </c>
      <c r="G3481" s="49" t="s">
        <v>2787</v>
      </c>
      <c r="H3481" s="49" t="s">
        <v>2827</v>
      </c>
      <c r="I3481" s="50">
        <v>44676</v>
      </c>
      <c r="J3481" s="50">
        <v>44678</v>
      </c>
      <c r="K3481" s="50">
        <v>44860</v>
      </c>
      <c r="M3481" s="49" t="s">
        <v>4821</v>
      </c>
    </row>
    <row r="3482" spans="1:13" x14ac:dyDescent="0.35">
      <c r="A3482" s="49" t="s">
        <v>14205</v>
      </c>
      <c r="B3482" s="49" t="s">
        <v>5498</v>
      </c>
      <c r="C3482" s="49"/>
      <c r="D3482" s="49" t="s">
        <v>1264</v>
      </c>
      <c r="E3482" s="49" t="s">
        <v>2986</v>
      </c>
      <c r="F3482" s="49" t="s">
        <v>2825</v>
      </c>
      <c r="G3482" s="49" t="s">
        <v>2901</v>
      </c>
      <c r="H3482" s="49" t="s">
        <v>2827</v>
      </c>
      <c r="I3482" s="50">
        <v>45029</v>
      </c>
      <c r="J3482" s="50">
        <v>45055</v>
      </c>
      <c r="K3482" s="50">
        <v>46150</v>
      </c>
      <c r="M3482" s="49" t="s">
        <v>5499</v>
      </c>
    </row>
    <row r="3483" spans="1:13" x14ac:dyDescent="0.35">
      <c r="A3483" s="49" t="s">
        <v>14422</v>
      </c>
      <c r="B3483" s="49" t="s">
        <v>8343</v>
      </c>
      <c r="C3483" s="49" t="s">
        <v>8344</v>
      </c>
      <c r="D3483" s="49" t="s">
        <v>1264</v>
      </c>
      <c r="E3483" s="49" t="s">
        <v>2908</v>
      </c>
      <c r="F3483" s="49" t="s">
        <v>2837</v>
      </c>
      <c r="G3483" s="49" t="s">
        <v>2826</v>
      </c>
      <c r="H3483" s="49" t="s">
        <v>980</v>
      </c>
      <c r="I3483" s="50">
        <v>34389</v>
      </c>
      <c r="J3483" s="50">
        <v>34990</v>
      </c>
      <c r="K3483" s="50">
        <v>37979</v>
      </c>
      <c r="M3483" s="49" t="s">
        <v>8346</v>
      </c>
    </row>
    <row r="3484" spans="1:13" x14ac:dyDescent="0.35">
      <c r="A3484" s="49" t="s">
        <v>14473</v>
      </c>
      <c r="B3484" s="49" t="s">
        <v>9083</v>
      </c>
      <c r="C3484" s="49" t="s">
        <v>9084</v>
      </c>
      <c r="D3484" s="49" t="s">
        <v>1264</v>
      </c>
      <c r="E3484" s="49" t="s">
        <v>2899</v>
      </c>
      <c r="F3484" s="49" t="s">
        <v>3108</v>
      </c>
      <c r="G3484" s="49" t="s">
        <v>2975</v>
      </c>
      <c r="H3484" s="49" t="s">
        <v>973</v>
      </c>
      <c r="I3484" s="50">
        <v>37151</v>
      </c>
      <c r="J3484" s="50">
        <v>38414</v>
      </c>
      <c r="K3484" s="50">
        <v>47545</v>
      </c>
      <c r="M3484" s="49" t="s">
        <v>9086</v>
      </c>
    </row>
    <row r="3485" spans="1:13" x14ac:dyDescent="0.35">
      <c r="A3485" s="49" t="s">
        <v>14810</v>
      </c>
      <c r="B3485" s="49" t="s">
        <v>6060</v>
      </c>
      <c r="C3485" s="49" t="s">
        <v>6040</v>
      </c>
      <c r="D3485" s="49" t="s">
        <v>1264</v>
      </c>
      <c r="E3485" s="49" t="s">
        <v>3443</v>
      </c>
      <c r="F3485" s="49" t="s">
        <v>3124</v>
      </c>
      <c r="G3485" s="49" t="s">
        <v>4330</v>
      </c>
      <c r="H3485" s="49" t="s">
        <v>980</v>
      </c>
      <c r="I3485" s="50">
        <v>45100</v>
      </c>
    </row>
    <row r="3486" spans="1:13" x14ac:dyDescent="0.35">
      <c r="A3486" s="49" t="s">
        <v>14810</v>
      </c>
      <c r="B3486" s="49" t="s">
        <v>8482</v>
      </c>
      <c r="C3486" s="49" t="s">
        <v>6573</v>
      </c>
      <c r="D3486" s="49" t="s">
        <v>1264</v>
      </c>
      <c r="E3486" s="49" t="s">
        <v>2908</v>
      </c>
      <c r="F3486" s="49" t="s">
        <v>3010</v>
      </c>
      <c r="G3486" s="49" t="s">
        <v>2901</v>
      </c>
      <c r="H3486" s="49" t="s">
        <v>980</v>
      </c>
      <c r="I3486" s="50">
        <v>41072</v>
      </c>
      <c r="J3486" s="50">
        <v>41481</v>
      </c>
      <c r="K3486" s="50">
        <v>47206</v>
      </c>
      <c r="M3486" s="49" t="s">
        <v>8483</v>
      </c>
    </row>
    <row r="3487" spans="1:13" x14ac:dyDescent="0.35">
      <c r="A3487" s="49" t="s">
        <v>15685</v>
      </c>
      <c r="B3487" s="49" t="s">
        <v>11873</v>
      </c>
      <c r="C3487" s="49" t="s">
        <v>11874</v>
      </c>
      <c r="D3487" s="49" t="s">
        <v>1264</v>
      </c>
      <c r="E3487" s="49" t="s">
        <v>2785</v>
      </c>
      <c r="F3487" s="49" t="s">
        <v>2805</v>
      </c>
      <c r="G3487" s="49" t="s">
        <v>2776</v>
      </c>
      <c r="H3487" s="49" t="s">
        <v>973</v>
      </c>
      <c r="I3487" s="50">
        <v>45180</v>
      </c>
      <c r="M3487" s="49" t="s">
        <v>11876</v>
      </c>
    </row>
    <row r="3488" spans="1:13" x14ac:dyDescent="0.35">
      <c r="A3488" s="49" t="s">
        <v>14280</v>
      </c>
      <c r="B3488" s="49" t="s">
        <v>6284</v>
      </c>
      <c r="C3488" s="49" t="s">
        <v>3768</v>
      </c>
      <c r="D3488" s="49" t="s">
        <v>1264</v>
      </c>
      <c r="E3488" s="49" t="s">
        <v>3443</v>
      </c>
      <c r="F3488" s="49" t="s">
        <v>3124</v>
      </c>
      <c r="G3488" s="49" t="s">
        <v>2901</v>
      </c>
      <c r="H3488" s="49" t="s">
        <v>980</v>
      </c>
      <c r="I3488" s="50">
        <v>45241</v>
      </c>
      <c r="J3488" s="50">
        <v>45287</v>
      </c>
      <c r="K3488" s="50">
        <v>47113</v>
      </c>
    </row>
    <row r="3489" spans="1:13" x14ac:dyDescent="0.35">
      <c r="A3489" s="49" t="s">
        <v>14161</v>
      </c>
      <c r="B3489" s="49" t="s">
        <v>4154</v>
      </c>
      <c r="C3489" s="49" t="s">
        <v>3768</v>
      </c>
      <c r="D3489" s="49" t="s">
        <v>1264</v>
      </c>
      <c r="E3489" s="49" t="s">
        <v>3443</v>
      </c>
      <c r="F3489" s="49" t="s">
        <v>3124</v>
      </c>
      <c r="G3489" s="49" t="s">
        <v>2975</v>
      </c>
      <c r="H3489" s="49" t="s">
        <v>980</v>
      </c>
      <c r="I3489" s="50">
        <v>44162</v>
      </c>
      <c r="J3489" s="50">
        <v>43844</v>
      </c>
      <c r="K3489" s="50">
        <v>44616</v>
      </c>
      <c r="M3489" s="49" t="s">
        <v>4156</v>
      </c>
    </row>
    <row r="3490" spans="1:13" x14ac:dyDescent="0.35">
      <c r="A3490" s="49" t="s">
        <v>15226</v>
      </c>
      <c r="B3490" s="49" t="s">
        <v>7532</v>
      </c>
      <c r="C3490" s="49" t="s">
        <v>3218</v>
      </c>
      <c r="D3490" s="49" t="s">
        <v>1264</v>
      </c>
      <c r="E3490" s="49" t="s">
        <v>2785</v>
      </c>
      <c r="F3490" s="49" t="s">
        <v>2786</v>
      </c>
      <c r="G3490" s="49" t="s">
        <v>2820</v>
      </c>
      <c r="H3490" s="49" t="s">
        <v>980</v>
      </c>
      <c r="I3490" s="50">
        <v>42738</v>
      </c>
      <c r="J3490" s="50">
        <v>42977</v>
      </c>
      <c r="K3490" s="50">
        <v>43158</v>
      </c>
      <c r="M3490" s="49" t="s">
        <v>7534</v>
      </c>
    </row>
    <row r="3491" spans="1:13" x14ac:dyDescent="0.35">
      <c r="A3491" s="49" t="s">
        <v>14597</v>
      </c>
      <c r="B3491" s="49" t="s">
        <v>11164</v>
      </c>
      <c r="C3491" s="49" t="s">
        <v>8473</v>
      </c>
      <c r="D3491" s="49" t="s">
        <v>1264</v>
      </c>
      <c r="E3491" s="49" t="s">
        <v>2774</v>
      </c>
      <c r="F3491" s="49" t="s">
        <v>4842</v>
      </c>
      <c r="G3491" s="49" t="s">
        <v>2776</v>
      </c>
      <c r="H3491" s="49" t="s">
        <v>2827</v>
      </c>
      <c r="I3491" s="50">
        <v>44868</v>
      </c>
      <c r="M3491" s="49" t="s">
        <v>3782</v>
      </c>
    </row>
    <row r="3492" spans="1:13" x14ac:dyDescent="0.35">
      <c r="A3492" s="49" t="s">
        <v>14547</v>
      </c>
      <c r="B3492" s="49" t="s">
        <v>10144</v>
      </c>
      <c r="C3492" s="49"/>
      <c r="D3492" s="49" t="s">
        <v>1264</v>
      </c>
      <c r="E3492" s="49" t="s">
        <v>2814</v>
      </c>
      <c r="F3492" s="49" t="s">
        <v>5002</v>
      </c>
      <c r="G3492" s="49" t="s">
        <v>2776</v>
      </c>
      <c r="H3492" s="49" t="s">
        <v>980</v>
      </c>
      <c r="I3492" s="50">
        <v>42937</v>
      </c>
      <c r="M3492" s="49" t="s">
        <v>10146</v>
      </c>
    </row>
    <row r="3493" spans="1:13" x14ac:dyDescent="0.35">
      <c r="A3493" s="49" t="s">
        <v>14273</v>
      </c>
      <c r="B3493" s="49" t="s">
        <v>6183</v>
      </c>
      <c r="C3493" s="49" t="s">
        <v>6184</v>
      </c>
      <c r="D3493" s="49" t="s">
        <v>1264</v>
      </c>
      <c r="E3493" s="49" t="s">
        <v>2785</v>
      </c>
      <c r="F3493" s="49" t="s">
        <v>2792</v>
      </c>
      <c r="G3493" s="49" t="s">
        <v>2901</v>
      </c>
      <c r="H3493" s="49" t="s">
        <v>3207</v>
      </c>
      <c r="I3493" s="50">
        <v>44993</v>
      </c>
      <c r="J3493" s="50">
        <v>45323</v>
      </c>
      <c r="K3493" s="50">
        <v>45688</v>
      </c>
      <c r="M3493" s="49" t="s">
        <v>6186</v>
      </c>
    </row>
    <row r="3494" spans="1:13" x14ac:dyDescent="0.35">
      <c r="A3494" s="49" t="s">
        <v>14646</v>
      </c>
      <c r="B3494" s="49" t="s">
        <v>12923</v>
      </c>
      <c r="C3494" s="49"/>
      <c r="D3494" s="49" t="s">
        <v>1264</v>
      </c>
      <c r="E3494" s="49" t="s">
        <v>2785</v>
      </c>
      <c r="F3494" s="49" t="s">
        <v>2805</v>
      </c>
      <c r="G3494" s="49" t="s">
        <v>4891</v>
      </c>
      <c r="H3494" s="49" t="s">
        <v>3207</v>
      </c>
      <c r="I3494" s="52">
        <v>45908.461446759298</v>
      </c>
      <c r="M3494" s="49" t="s">
        <v>12925</v>
      </c>
    </row>
    <row r="3495" spans="1:13" x14ac:dyDescent="0.35">
      <c r="A3495" s="49" t="s">
        <v>15042</v>
      </c>
      <c r="B3495" s="49" t="s">
        <v>13175</v>
      </c>
      <c r="C3495" s="49"/>
      <c r="D3495" s="49" t="s">
        <v>1264</v>
      </c>
      <c r="E3495" s="49" t="s">
        <v>2986</v>
      </c>
      <c r="F3495" s="49" t="s">
        <v>2825</v>
      </c>
      <c r="G3495" s="49" t="s">
        <v>4891</v>
      </c>
      <c r="H3495" s="49" t="s">
        <v>2827</v>
      </c>
      <c r="I3495" s="52">
        <v>46071.557766203703</v>
      </c>
    </row>
    <row r="3496" spans="1:13" x14ac:dyDescent="0.35">
      <c r="A3496" s="49" t="s">
        <v>15042</v>
      </c>
      <c r="B3496" s="49" t="s">
        <v>13201</v>
      </c>
      <c r="C3496" s="49"/>
      <c r="D3496" s="49" t="s">
        <v>1264</v>
      </c>
      <c r="E3496" s="49" t="s">
        <v>2986</v>
      </c>
      <c r="F3496" s="49" t="s">
        <v>2825</v>
      </c>
      <c r="G3496" s="49" t="s">
        <v>4891</v>
      </c>
      <c r="H3496" s="49" t="s">
        <v>2827</v>
      </c>
      <c r="I3496" s="52">
        <v>46076.597326388903</v>
      </c>
    </row>
    <row r="3497" spans="1:13" x14ac:dyDescent="0.35">
      <c r="A3497" s="49" t="s">
        <v>14268</v>
      </c>
      <c r="B3497" s="49" t="s">
        <v>6071</v>
      </c>
      <c r="C3497" s="49" t="s">
        <v>3768</v>
      </c>
      <c r="D3497" s="49" t="s">
        <v>1264</v>
      </c>
      <c r="E3497" s="49" t="s">
        <v>3443</v>
      </c>
      <c r="F3497" s="49" t="s">
        <v>3124</v>
      </c>
      <c r="G3497" s="49" t="s">
        <v>4330</v>
      </c>
      <c r="H3497" s="49" t="s">
        <v>980</v>
      </c>
      <c r="I3497" s="50">
        <v>45180</v>
      </c>
    </row>
    <row r="3498" spans="1:13" x14ac:dyDescent="0.35">
      <c r="A3498" s="49" t="s">
        <v>15499</v>
      </c>
      <c r="B3498" s="49" t="s">
        <v>5152</v>
      </c>
      <c r="C3498" s="49" t="s">
        <v>5153</v>
      </c>
      <c r="D3498" s="49" t="s">
        <v>1264</v>
      </c>
      <c r="E3498" s="49" t="s">
        <v>2986</v>
      </c>
      <c r="F3498" s="49" t="s">
        <v>2825</v>
      </c>
      <c r="G3498" s="49" t="s">
        <v>4330</v>
      </c>
      <c r="H3498" s="49" t="s">
        <v>2827</v>
      </c>
      <c r="I3498" s="50">
        <v>44527</v>
      </c>
      <c r="M3498" s="49" t="s">
        <v>5155</v>
      </c>
    </row>
    <row r="3499" spans="1:13" x14ac:dyDescent="0.35">
      <c r="A3499" s="49" t="s">
        <v>15499</v>
      </c>
      <c r="B3499" s="49" t="s">
        <v>8130</v>
      </c>
      <c r="C3499" s="49" t="s">
        <v>5153</v>
      </c>
      <c r="D3499" s="49" t="s">
        <v>1264</v>
      </c>
      <c r="E3499" s="49" t="s">
        <v>7057</v>
      </c>
      <c r="F3499" s="49" t="s">
        <v>2825</v>
      </c>
      <c r="G3499" s="49" t="s">
        <v>2787</v>
      </c>
      <c r="H3499" s="49" t="s">
        <v>2827</v>
      </c>
      <c r="I3499" s="50">
        <v>39936</v>
      </c>
      <c r="J3499" s="50">
        <v>40018</v>
      </c>
      <c r="K3499" s="50">
        <v>42705</v>
      </c>
      <c r="M3499" s="49" t="s">
        <v>8131</v>
      </c>
    </row>
    <row r="3500" spans="1:13" x14ac:dyDescent="0.35">
      <c r="A3500" s="49" t="s">
        <v>15117</v>
      </c>
      <c r="B3500" s="49" t="s">
        <v>12117</v>
      </c>
      <c r="C3500" s="49"/>
      <c r="D3500" s="49" t="s">
        <v>1264</v>
      </c>
      <c r="E3500" s="49" t="s">
        <v>2986</v>
      </c>
      <c r="F3500" s="49" t="s">
        <v>2825</v>
      </c>
      <c r="G3500" s="49" t="s">
        <v>4891</v>
      </c>
      <c r="H3500" s="49" t="s">
        <v>2827</v>
      </c>
      <c r="I3500" s="50">
        <v>45328</v>
      </c>
      <c r="M3500" s="49" t="s">
        <v>12119</v>
      </c>
    </row>
    <row r="3501" spans="1:13" x14ac:dyDescent="0.35">
      <c r="A3501" s="49" t="s">
        <v>15117</v>
      </c>
      <c r="B3501" s="49" t="s">
        <v>12234</v>
      </c>
      <c r="C3501" s="49" t="s">
        <v>6040</v>
      </c>
      <c r="D3501" s="49" t="s">
        <v>1264</v>
      </c>
      <c r="E3501" s="49" t="s">
        <v>2908</v>
      </c>
      <c r="F3501" s="49" t="s">
        <v>2792</v>
      </c>
      <c r="G3501" s="49" t="s">
        <v>4891</v>
      </c>
      <c r="H3501" s="49" t="s">
        <v>980</v>
      </c>
      <c r="I3501" s="50">
        <v>45362</v>
      </c>
      <c r="M3501" s="49" t="s">
        <v>12235</v>
      </c>
    </row>
    <row r="3502" spans="1:13" x14ac:dyDescent="0.35">
      <c r="A3502" s="49" t="s">
        <v>15117</v>
      </c>
      <c r="B3502" s="49" t="s">
        <v>12478</v>
      </c>
      <c r="C3502" s="49" t="s">
        <v>11692</v>
      </c>
      <c r="D3502" s="49" t="s">
        <v>1264</v>
      </c>
      <c r="E3502" s="49" t="s">
        <v>2908</v>
      </c>
      <c r="F3502" s="49" t="s">
        <v>2939</v>
      </c>
      <c r="G3502" s="49" t="s">
        <v>4891</v>
      </c>
      <c r="H3502" s="49" t="s">
        <v>2832</v>
      </c>
      <c r="I3502" s="50">
        <v>45420</v>
      </c>
      <c r="M3502" s="49" t="s">
        <v>12479</v>
      </c>
    </row>
    <row r="3503" spans="1:13" x14ac:dyDescent="0.35">
      <c r="A3503" s="49" t="s">
        <v>15500</v>
      </c>
      <c r="B3503" s="49" t="s">
        <v>11973</v>
      </c>
      <c r="C3503" s="49" t="s">
        <v>11974</v>
      </c>
      <c r="D3503" s="49" t="s">
        <v>1264</v>
      </c>
      <c r="E3503" s="49" t="s">
        <v>2785</v>
      </c>
      <c r="F3503" s="49" t="s">
        <v>2792</v>
      </c>
      <c r="G3503" s="49" t="s">
        <v>2826</v>
      </c>
      <c r="H3503" s="49" t="s">
        <v>980</v>
      </c>
      <c r="I3503" s="50">
        <v>45306</v>
      </c>
      <c r="M3503" s="49" t="s">
        <v>11976</v>
      </c>
    </row>
    <row r="3504" spans="1:13" x14ac:dyDescent="0.35">
      <c r="A3504" s="49" t="s">
        <v>14356</v>
      </c>
      <c r="B3504" s="49" t="s">
        <v>7490</v>
      </c>
      <c r="C3504" s="49" t="s">
        <v>7491</v>
      </c>
      <c r="D3504" s="49" t="s">
        <v>1264</v>
      </c>
      <c r="E3504" s="49" t="s">
        <v>2785</v>
      </c>
      <c r="F3504" s="49" t="s">
        <v>2786</v>
      </c>
      <c r="G3504" s="49" t="s">
        <v>2787</v>
      </c>
      <c r="H3504" s="49" t="s">
        <v>4225</v>
      </c>
      <c r="I3504" s="50">
        <v>42454</v>
      </c>
      <c r="J3504" s="50">
        <v>42544</v>
      </c>
      <c r="K3504" s="50">
        <v>42726</v>
      </c>
      <c r="M3504" s="49" t="s">
        <v>7493</v>
      </c>
    </row>
    <row r="3505" spans="1:13" x14ac:dyDescent="0.35">
      <c r="A3505" s="49" t="s">
        <v>14356</v>
      </c>
      <c r="B3505" s="49" t="s">
        <v>7494</v>
      </c>
      <c r="C3505" s="49" t="s">
        <v>7495</v>
      </c>
      <c r="D3505" s="49" t="s">
        <v>1264</v>
      </c>
      <c r="E3505" s="49" t="s">
        <v>2785</v>
      </c>
      <c r="F3505" s="49" t="s">
        <v>2786</v>
      </c>
      <c r="G3505" s="49" t="s">
        <v>2787</v>
      </c>
      <c r="H3505" s="49" t="s">
        <v>4225</v>
      </c>
      <c r="I3505" s="50">
        <v>42454</v>
      </c>
      <c r="J3505" s="50">
        <v>42544</v>
      </c>
      <c r="K3505" s="50">
        <v>42726</v>
      </c>
      <c r="M3505" s="49" t="s">
        <v>7496</v>
      </c>
    </row>
    <row r="3506" spans="1:13" x14ac:dyDescent="0.35">
      <c r="A3506" s="49" t="s">
        <v>14652</v>
      </c>
      <c r="B3506" s="49" t="s">
        <v>13137</v>
      </c>
      <c r="C3506" s="49"/>
      <c r="D3506" s="49" t="s">
        <v>1264</v>
      </c>
      <c r="E3506" s="49" t="s">
        <v>2785</v>
      </c>
      <c r="F3506" s="49" t="s">
        <v>2792</v>
      </c>
      <c r="G3506" s="49" t="s">
        <v>4891</v>
      </c>
      <c r="H3506" s="49" t="s">
        <v>835</v>
      </c>
      <c r="I3506" s="52">
        <v>46055.6624421296</v>
      </c>
      <c r="M3506" s="49" t="s">
        <v>13139</v>
      </c>
    </row>
    <row r="3507" spans="1:13" x14ac:dyDescent="0.35">
      <c r="A3507" s="49" t="s">
        <v>14180</v>
      </c>
      <c r="B3507" s="49" t="s">
        <v>4378</v>
      </c>
      <c r="C3507" s="49" t="s">
        <v>4379</v>
      </c>
      <c r="D3507" s="49" t="s">
        <v>1264</v>
      </c>
      <c r="E3507" s="49" t="s">
        <v>2785</v>
      </c>
      <c r="F3507" s="49" t="s">
        <v>2792</v>
      </c>
      <c r="G3507" s="49" t="s">
        <v>2787</v>
      </c>
      <c r="H3507" s="49" t="s">
        <v>8</v>
      </c>
      <c r="I3507" s="50">
        <v>44032</v>
      </c>
      <c r="J3507" s="50">
        <v>44377</v>
      </c>
      <c r="K3507" s="50">
        <v>45428</v>
      </c>
      <c r="M3507" s="49" t="s">
        <v>4381</v>
      </c>
    </row>
    <row r="3508" spans="1:13" x14ac:dyDescent="0.35">
      <c r="A3508" s="49" t="s">
        <v>14180</v>
      </c>
      <c r="B3508" s="49" t="s">
        <v>7101</v>
      </c>
      <c r="C3508" s="49" t="s">
        <v>2818</v>
      </c>
      <c r="D3508" s="49" t="s">
        <v>1264</v>
      </c>
      <c r="E3508" s="49" t="s">
        <v>2785</v>
      </c>
      <c r="F3508" s="49" t="s">
        <v>2792</v>
      </c>
      <c r="G3508" s="49" t="s">
        <v>2787</v>
      </c>
      <c r="H3508" s="49" t="s">
        <v>8</v>
      </c>
      <c r="I3508" s="50">
        <v>43434</v>
      </c>
      <c r="J3508" s="50">
        <v>43503</v>
      </c>
      <c r="K3508" s="50">
        <v>43683</v>
      </c>
      <c r="M3508" s="49" t="s">
        <v>7102</v>
      </c>
    </row>
    <row r="3509" spans="1:13" x14ac:dyDescent="0.35">
      <c r="A3509" s="49" t="s">
        <v>14503</v>
      </c>
      <c r="B3509" s="49" t="s">
        <v>9520</v>
      </c>
      <c r="C3509" s="49" t="s">
        <v>7241</v>
      </c>
      <c r="D3509" s="49" t="s">
        <v>1264</v>
      </c>
      <c r="E3509" s="49" t="s">
        <v>2785</v>
      </c>
      <c r="F3509" s="49" t="s">
        <v>2792</v>
      </c>
      <c r="G3509" s="49" t="s">
        <v>2776</v>
      </c>
      <c r="H3509" s="49" t="s">
        <v>8</v>
      </c>
      <c r="I3509" s="50">
        <v>44004</v>
      </c>
      <c r="M3509" s="49" t="s">
        <v>9522</v>
      </c>
    </row>
    <row r="3510" spans="1:13" x14ac:dyDescent="0.35">
      <c r="A3510" s="49" t="s">
        <v>15118</v>
      </c>
      <c r="B3510" s="49" t="s">
        <v>5190</v>
      </c>
      <c r="C3510" s="49"/>
      <c r="D3510" s="49" t="s">
        <v>1264</v>
      </c>
      <c r="E3510" s="49" t="s">
        <v>3443</v>
      </c>
      <c r="F3510" s="49" t="s">
        <v>3124</v>
      </c>
      <c r="G3510" s="49" t="s">
        <v>2901</v>
      </c>
      <c r="H3510" s="49" t="s">
        <v>980</v>
      </c>
      <c r="I3510" s="50">
        <v>44880</v>
      </c>
      <c r="J3510" s="50">
        <v>44879</v>
      </c>
      <c r="K3510" s="50">
        <v>46704</v>
      </c>
    </row>
    <row r="3511" spans="1:13" x14ac:dyDescent="0.35">
      <c r="A3511" s="49" t="s">
        <v>15501</v>
      </c>
      <c r="B3511" s="49" t="s">
        <v>4445</v>
      </c>
      <c r="C3511" s="49"/>
      <c r="D3511" s="49" t="s">
        <v>1264</v>
      </c>
      <c r="E3511" s="49" t="s">
        <v>2785</v>
      </c>
      <c r="F3511" s="49" t="s">
        <v>2786</v>
      </c>
      <c r="G3511" s="49" t="s">
        <v>2787</v>
      </c>
      <c r="H3511" s="49" t="s">
        <v>980</v>
      </c>
      <c r="I3511" s="50">
        <v>44278</v>
      </c>
      <c r="K3511" s="50">
        <v>45510</v>
      </c>
      <c r="M3511" s="49" t="s">
        <v>4447</v>
      </c>
    </row>
    <row r="3512" spans="1:13" x14ac:dyDescent="0.35">
      <c r="A3512" s="49" t="s">
        <v>15501</v>
      </c>
      <c r="B3512" s="49" t="s">
        <v>4485</v>
      </c>
      <c r="C3512" s="49" t="s">
        <v>4486</v>
      </c>
      <c r="D3512" s="49" t="s">
        <v>1264</v>
      </c>
      <c r="E3512" s="49" t="s">
        <v>2785</v>
      </c>
      <c r="F3512" s="49" t="s">
        <v>2786</v>
      </c>
      <c r="G3512" s="49" t="s">
        <v>2787</v>
      </c>
      <c r="H3512" s="49" t="s">
        <v>980</v>
      </c>
      <c r="I3512" s="50">
        <v>44257</v>
      </c>
      <c r="J3512" s="50">
        <v>44419</v>
      </c>
      <c r="K3512" s="50">
        <v>45395</v>
      </c>
      <c r="M3512" s="49" t="s">
        <v>4487</v>
      </c>
    </row>
    <row r="3513" spans="1:13" x14ac:dyDescent="0.35">
      <c r="A3513" s="49" t="s">
        <v>15501</v>
      </c>
      <c r="B3513" s="49" t="s">
        <v>4506</v>
      </c>
      <c r="C3513" s="49" t="s">
        <v>4293</v>
      </c>
      <c r="D3513" s="49" t="s">
        <v>1264</v>
      </c>
      <c r="E3513" s="49" t="s">
        <v>2785</v>
      </c>
      <c r="F3513" s="49" t="s">
        <v>2805</v>
      </c>
      <c r="G3513" s="49" t="s">
        <v>2787</v>
      </c>
      <c r="H3513" s="49" t="s">
        <v>980</v>
      </c>
      <c r="I3513" s="50">
        <v>44417</v>
      </c>
      <c r="K3513" s="50">
        <v>45511</v>
      </c>
      <c r="M3513" s="49" t="s">
        <v>4507</v>
      </c>
    </row>
    <row r="3514" spans="1:13" x14ac:dyDescent="0.35">
      <c r="A3514" s="49" t="s">
        <v>14222</v>
      </c>
      <c r="B3514" s="49" t="s">
        <v>5065</v>
      </c>
      <c r="C3514" s="49" t="s">
        <v>5066</v>
      </c>
      <c r="D3514" s="49" t="s">
        <v>1264</v>
      </c>
      <c r="E3514" s="49" t="s">
        <v>2785</v>
      </c>
      <c r="F3514" s="49" t="s">
        <v>2792</v>
      </c>
      <c r="G3514" s="49" t="s">
        <v>2787</v>
      </c>
      <c r="H3514" s="49" t="s">
        <v>8</v>
      </c>
      <c r="I3514" s="50">
        <v>44767</v>
      </c>
      <c r="J3514" s="50">
        <v>44798</v>
      </c>
      <c r="K3514" s="50">
        <v>45428</v>
      </c>
      <c r="M3514" s="49" t="s">
        <v>5068</v>
      </c>
    </row>
    <row r="3515" spans="1:13" x14ac:dyDescent="0.35">
      <c r="A3515" s="49" t="s">
        <v>15043</v>
      </c>
      <c r="B3515" s="49" t="s">
        <v>7276</v>
      </c>
      <c r="C3515" s="49" t="s">
        <v>4014</v>
      </c>
      <c r="D3515" s="49" t="s">
        <v>1264</v>
      </c>
      <c r="E3515" s="49" t="s">
        <v>2785</v>
      </c>
      <c r="F3515" s="49" t="s">
        <v>2792</v>
      </c>
      <c r="G3515" s="49" t="s">
        <v>2787</v>
      </c>
      <c r="H3515" s="49" t="s">
        <v>8</v>
      </c>
      <c r="I3515" s="50">
        <v>43902</v>
      </c>
      <c r="J3515" s="50">
        <v>43948</v>
      </c>
      <c r="K3515" s="50">
        <v>43947</v>
      </c>
      <c r="M3515" s="49" t="s">
        <v>7278</v>
      </c>
    </row>
    <row r="3516" spans="1:13" x14ac:dyDescent="0.35">
      <c r="A3516" s="49" t="s">
        <v>9104</v>
      </c>
      <c r="B3516" s="49" t="s">
        <v>9102</v>
      </c>
      <c r="C3516" s="49" t="s">
        <v>9103</v>
      </c>
      <c r="D3516" s="49" t="s">
        <v>1264</v>
      </c>
      <c r="E3516" s="49" t="s">
        <v>2899</v>
      </c>
      <c r="F3516" s="49" t="s">
        <v>3648</v>
      </c>
      <c r="G3516" s="49" t="s">
        <v>2975</v>
      </c>
      <c r="H3516" s="49" t="s">
        <v>980</v>
      </c>
      <c r="I3516" s="50">
        <v>40833</v>
      </c>
      <c r="J3516" s="50">
        <v>40981</v>
      </c>
      <c r="K3516" s="50">
        <v>50112</v>
      </c>
      <c r="M3516" s="49" t="s">
        <v>9105</v>
      </c>
    </row>
    <row r="3517" spans="1:13" x14ac:dyDescent="0.35">
      <c r="A3517" s="49" t="s">
        <v>8605</v>
      </c>
      <c r="B3517" s="49" t="s">
        <v>8603</v>
      </c>
      <c r="C3517" s="49" t="s">
        <v>8604</v>
      </c>
      <c r="D3517" s="49" t="s">
        <v>1264</v>
      </c>
      <c r="E3517" s="49" t="s">
        <v>2974</v>
      </c>
      <c r="F3517" s="49" t="s">
        <v>2900</v>
      </c>
      <c r="G3517" s="49" t="s">
        <v>2787</v>
      </c>
      <c r="H3517" s="49" t="s">
        <v>980</v>
      </c>
      <c r="I3517" s="50">
        <v>41927</v>
      </c>
      <c r="J3517" s="50">
        <v>41933</v>
      </c>
      <c r="K3517" s="50">
        <v>43028</v>
      </c>
      <c r="M3517" s="49" t="s">
        <v>8606</v>
      </c>
    </row>
    <row r="3518" spans="1:13" x14ac:dyDescent="0.35">
      <c r="A3518" s="49" t="s">
        <v>8605</v>
      </c>
      <c r="B3518" s="49" t="s">
        <v>8607</v>
      </c>
      <c r="C3518" s="49" t="s">
        <v>8608</v>
      </c>
      <c r="D3518" s="49" t="s">
        <v>1264</v>
      </c>
      <c r="E3518" s="49" t="s">
        <v>2974</v>
      </c>
      <c r="F3518" s="49" t="s">
        <v>2900</v>
      </c>
      <c r="G3518" s="49" t="s">
        <v>2787</v>
      </c>
      <c r="H3518" s="49" t="s">
        <v>980</v>
      </c>
      <c r="I3518" s="50">
        <v>41927</v>
      </c>
      <c r="J3518" s="50">
        <v>41933</v>
      </c>
      <c r="K3518" s="50">
        <v>43028</v>
      </c>
      <c r="M3518" s="49" t="s">
        <v>8609</v>
      </c>
    </row>
    <row r="3519" spans="1:13" x14ac:dyDescent="0.35">
      <c r="A3519" s="49" t="s">
        <v>14815</v>
      </c>
      <c r="B3519" s="49" t="s">
        <v>9433</v>
      </c>
      <c r="C3519" s="49"/>
      <c r="D3519" s="49" t="s">
        <v>1264</v>
      </c>
      <c r="E3519" s="49" t="s">
        <v>2785</v>
      </c>
      <c r="F3519" s="49" t="s">
        <v>2786</v>
      </c>
      <c r="G3519" s="49" t="s">
        <v>2776</v>
      </c>
      <c r="H3519" s="49" t="s">
        <v>8</v>
      </c>
      <c r="I3519" s="50">
        <v>43453</v>
      </c>
      <c r="M3519" s="49" t="s">
        <v>3871</v>
      </c>
    </row>
    <row r="3520" spans="1:13" x14ac:dyDescent="0.35">
      <c r="A3520" s="49" t="s">
        <v>14814</v>
      </c>
      <c r="B3520" s="49" t="s">
        <v>7988</v>
      </c>
      <c r="C3520" s="49" t="s">
        <v>7989</v>
      </c>
      <c r="D3520" s="49" t="s">
        <v>1264</v>
      </c>
      <c r="E3520" s="49" t="s">
        <v>2908</v>
      </c>
      <c r="F3520" s="49" t="s">
        <v>2939</v>
      </c>
      <c r="G3520" s="49" t="s">
        <v>2975</v>
      </c>
      <c r="H3520" s="49" t="s">
        <v>980</v>
      </c>
      <c r="I3520" s="50">
        <v>42334</v>
      </c>
      <c r="J3520" s="50">
        <v>42460</v>
      </c>
      <c r="K3520" s="50">
        <v>44285</v>
      </c>
      <c r="M3520" s="49" t="s">
        <v>7991</v>
      </c>
    </row>
    <row r="3521" spans="1:13" x14ac:dyDescent="0.35">
      <c r="A3521" s="49" t="s">
        <v>14814</v>
      </c>
      <c r="B3521" s="49" t="s">
        <v>9618</v>
      </c>
      <c r="C3521" s="49" t="s">
        <v>5940</v>
      </c>
      <c r="D3521" s="49" t="s">
        <v>1264</v>
      </c>
      <c r="E3521" s="49" t="s">
        <v>2908</v>
      </c>
      <c r="F3521" s="49" t="s">
        <v>2939</v>
      </c>
      <c r="G3521" s="49" t="s">
        <v>2776</v>
      </c>
      <c r="H3521" s="49" t="s">
        <v>980</v>
      </c>
      <c r="I3521" s="50">
        <v>42341</v>
      </c>
      <c r="M3521" s="49" t="s">
        <v>9619</v>
      </c>
    </row>
    <row r="3522" spans="1:13" x14ac:dyDescent="0.35">
      <c r="A3522" s="49" t="s">
        <v>14814</v>
      </c>
      <c r="B3522" s="49" t="s">
        <v>9640</v>
      </c>
      <c r="C3522" s="49"/>
      <c r="D3522" s="49" t="s">
        <v>1264</v>
      </c>
      <c r="E3522" s="49" t="s">
        <v>2908</v>
      </c>
      <c r="F3522" s="49" t="s">
        <v>2939</v>
      </c>
      <c r="G3522" s="49" t="s">
        <v>2776</v>
      </c>
      <c r="H3522" s="49" t="s">
        <v>980</v>
      </c>
      <c r="I3522" s="50">
        <v>42717</v>
      </c>
      <c r="M3522" s="49" t="s">
        <v>9642</v>
      </c>
    </row>
    <row r="3523" spans="1:13" x14ac:dyDescent="0.35">
      <c r="A3523" s="49" t="s">
        <v>14814</v>
      </c>
      <c r="B3523" s="49" t="s">
        <v>10499</v>
      </c>
      <c r="C3523" s="49" t="s">
        <v>10500</v>
      </c>
      <c r="D3523" s="49" t="s">
        <v>1264</v>
      </c>
      <c r="E3523" s="49" t="s">
        <v>2814</v>
      </c>
      <c r="F3523" s="49" t="s">
        <v>2939</v>
      </c>
      <c r="G3523" s="49" t="s">
        <v>2776</v>
      </c>
      <c r="H3523" s="49" t="s">
        <v>980</v>
      </c>
      <c r="I3523" s="50">
        <v>42439</v>
      </c>
      <c r="M3523" s="49" t="s">
        <v>7991</v>
      </c>
    </row>
    <row r="3524" spans="1:13" x14ac:dyDescent="0.35">
      <c r="A3524" s="49" t="s">
        <v>15227</v>
      </c>
      <c r="B3524" s="49" t="s">
        <v>3353</v>
      </c>
      <c r="C3524" s="49" t="s">
        <v>3354</v>
      </c>
      <c r="D3524" s="49" t="s">
        <v>1264</v>
      </c>
      <c r="E3524" s="49" t="s">
        <v>2908</v>
      </c>
      <c r="F3524" s="49" t="s">
        <v>2939</v>
      </c>
      <c r="G3524" s="49" t="s">
        <v>2901</v>
      </c>
      <c r="H3524" s="49" t="s">
        <v>980</v>
      </c>
      <c r="I3524" s="50">
        <v>41939</v>
      </c>
      <c r="J3524" s="50">
        <v>41919</v>
      </c>
      <c r="K3524" s="50">
        <v>45788</v>
      </c>
      <c r="M3524" s="49" t="s">
        <v>3356</v>
      </c>
    </row>
    <row r="3525" spans="1:13" x14ac:dyDescent="0.35">
      <c r="A3525" s="49" t="s">
        <v>15227</v>
      </c>
      <c r="B3525" s="49" t="s">
        <v>8388</v>
      </c>
      <c r="C3525" s="49" t="s">
        <v>8389</v>
      </c>
      <c r="D3525" s="49" t="s">
        <v>1264</v>
      </c>
      <c r="E3525" s="49" t="s">
        <v>7057</v>
      </c>
      <c r="F3525" s="49" t="s">
        <v>2825</v>
      </c>
      <c r="G3525" s="49" t="s">
        <v>2787</v>
      </c>
      <c r="H3525" s="49" t="s">
        <v>973</v>
      </c>
      <c r="I3525" s="50">
        <v>39318</v>
      </c>
      <c r="J3525" s="50">
        <v>39409</v>
      </c>
      <c r="K3525" s="50">
        <v>40139</v>
      </c>
      <c r="M3525" s="49" t="s">
        <v>3100</v>
      </c>
    </row>
    <row r="3526" spans="1:13" x14ac:dyDescent="0.35">
      <c r="A3526" s="49" t="s">
        <v>14231</v>
      </c>
      <c r="B3526" s="49" t="s">
        <v>5279</v>
      </c>
      <c r="C3526" s="49"/>
      <c r="D3526" s="49" t="s">
        <v>1264</v>
      </c>
      <c r="E3526" s="49" t="s">
        <v>3443</v>
      </c>
      <c r="F3526" s="49" t="s">
        <v>3124</v>
      </c>
      <c r="G3526" s="49" t="s">
        <v>2901</v>
      </c>
      <c r="H3526" s="49" t="s">
        <v>980</v>
      </c>
      <c r="I3526" s="50">
        <v>44905</v>
      </c>
      <c r="J3526" s="50">
        <v>44918</v>
      </c>
      <c r="K3526" s="50">
        <v>46743</v>
      </c>
    </row>
    <row r="3527" spans="1:13" x14ac:dyDescent="0.35">
      <c r="A3527" s="49" t="s">
        <v>14385</v>
      </c>
      <c r="B3527" s="49" t="s">
        <v>7895</v>
      </c>
      <c r="C3527" s="49" t="s">
        <v>7896</v>
      </c>
      <c r="D3527" s="49" t="s">
        <v>1264</v>
      </c>
      <c r="E3527" s="49" t="s">
        <v>7057</v>
      </c>
      <c r="F3527" s="49" t="s">
        <v>2825</v>
      </c>
      <c r="G3527" s="49" t="s">
        <v>2787</v>
      </c>
      <c r="H3527" s="49" t="s">
        <v>973</v>
      </c>
      <c r="I3527" s="50">
        <v>38159</v>
      </c>
      <c r="J3527" s="50">
        <v>38544</v>
      </c>
      <c r="K3527" s="50">
        <v>40129</v>
      </c>
      <c r="M3527" s="49" t="s">
        <v>7898</v>
      </c>
    </row>
    <row r="3528" spans="1:13" x14ac:dyDescent="0.35">
      <c r="A3528" s="49" t="s">
        <v>14385</v>
      </c>
      <c r="B3528" s="49" t="s">
        <v>13707</v>
      </c>
      <c r="C3528" s="49" t="s">
        <v>13708</v>
      </c>
      <c r="D3528" s="49" t="s">
        <v>1264</v>
      </c>
      <c r="E3528" s="49" t="s">
        <v>2986</v>
      </c>
      <c r="F3528" s="49" t="s">
        <v>2825</v>
      </c>
      <c r="G3528" s="49" t="s">
        <v>2776</v>
      </c>
      <c r="H3528" s="49" t="s">
        <v>2827</v>
      </c>
      <c r="I3528" s="50">
        <v>43375</v>
      </c>
      <c r="M3528" s="49" t="s">
        <v>13709</v>
      </c>
    </row>
    <row r="3529" spans="1:13" x14ac:dyDescent="0.35">
      <c r="A3529" s="49" t="s">
        <v>14388</v>
      </c>
      <c r="B3529" s="49" t="s">
        <v>7929</v>
      </c>
      <c r="C3529" s="49" t="s">
        <v>7930</v>
      </c>
      <c r="D3529" s="49" t="s">
        <v>1264</v>
      </c>
      <c r="E3529" s="49" t="s">
        <v>2908</v>
      </c>
      <c r="F3529" s="49" t="s">
        <v>3010</v>
      </c>
      <c r="G3529" s="49" t="s">
        <v>2826</v>
      </c>
      <c r="H3529" s="49" t="s">
        <v>980</v>
      </c>
      <c r="I3529" s="50">
        <v>29635</v>
      </c>
      <c r="J3529" s="50">
        <v>29698</v>
      </c>
      <c r="K3529" s="50">
        <v>38639</v>
      </c>
      <c r="M3529" s="49" t="s">
        <v>3477</v>
      </c>
    </row>
    <row r="3530" spans="1:13" x14ac:dyDescent="0.35">
      <c r="A3530" s="49" t="s">
        <v>2695</v>
      </c>
      <c r="B3530" s="49" t="s">
        <v>5609</v>
      </c>
      <c r="C3530" s="49" t="s">
        <v>5610</v>
      </c>
      <c r="D3530" s="49" t="s">
        <v>1264</v>
      </c>
      <c r="E3530" s="49" t="s">
        <v>2974</v>
      </c>
      <c r="F3530" s="49" t="s">
        <v>2900</v>
      </c>
      <c r="G3530" s="49" t="s">
        <v>2901</v>
      </c>
      <c r="H3530" s="49" t="s">
        <v>2832</v>
      </c>
      <c r="I3530" s="50">
        <v>44392</v>
      </c>
      <c r="J3530" s="50">
        <v>44594</v>
      </c>
      <c r="K3530" s="50">
        <v>46419</v>
      </c>
      <c r="M3530" s="49" t="s">
        <v>5612</v>
      </c>
    </row>
    <row r="3531" spans="1:13" x14ac:dyDescent="0.35">
      <c r="A3531" s="49" t="s">
        <v>14094</v>
      </c>
      <c r="B3531" s="49" t="s">
        <v>3271</v>
      </c>
      <c r="C3531" s="49" t="s">
        <v>2942</v>
      </c>
      <c r="D3531" s="49" t="s">
        <v>1264</v>
      </c>
      <c r="E3531" s="49" t="s">
        <v>2908</v>
      </c>
      <c r="F3531" s="49" t="s">
        <v>2939</v>
      </c>
      <c r="G3531" s="49" t="s">
        <v>2787</v>
      </c>
      <c r="H3531" s="49" t="s">
        <v>980</v>
      </c>
      <c r="I3531" s="50">
        <v>41424</v>
      </c>
      <c r="J3531" s="50">
        <v>41885</v>
      </c>
      <c r="K3531" s="50">
        <v>43710</v>
      </c>
      <c r="M3531" s="49" t="s">
        <v>3273</v>
      </c>
    </row>
    <row r="3532" spans="1:13" x14ac:dyDescent="0.35">
      <c r="A3532" s="49" t="s">
        <v>14509</v>
      </c>
      <c r="B3532" s="49" t="s">
        <v>9594</v>
      </c>
      <c r="C3532" s="49"/>
      <c r="D3532" s="49" t="s">
        <v>1264</v>
      </c>
      <c r="E3532" s="49" t="s">
        <v>2785</v>
      </c>
      <c r="F3532" s="49" t="s">
        <v>2786</v>
      </c>
      <c r="G3532" s="49" t="s">
        <v>2776</v>
      </c>
      <c r="H3532" s="49" t="s">
        <v>980</v>
      </c>
      <c r="I3532" s="50">
        <v>42899</v>
      </c>
      <c r="M3532" s="49" t="s">
        <v>3486</v>
      </c>
    </row>
    <row r="3533" spans="1:13" x14ac:dyDescent="0.35">
      <c r="A3533" s="49" t="s">
        <v>14381</v>
      </c>
      <c r="B3533" s="49" t="s">
        <v>7840</v>
      </c>
      <c r="C3533" s="49" t="s">
        <v>2942</v>
      </c>
      <c r="D3533" s="49" t="s">
        <v>1264</v>
      </c>
      <c r="E3533" s="49" t="s">
        <v>2908</v>
      </c>
      <c r="F3533" s="49" t="s">
        <v>2939</v>
      </c>
      <c r="G3533" s="49" t="s">
        <v>2787</v>
      </c>
      <c r="H3533" s="49" t="s">
        <v>980</v>
      </c>
      <c r="I3533" s="50">
        <v>41856</v>
      </c>
      <c r="J3533" s="50">
        <v>42054</v>
      </c>
      <c r="K3533" s="50">
        <v>43879</v>
      </c>
      <c r="M3533" s="49" t="s">
        <v>7842</v>
      </c>
    </row>
    <row r="3534" spans="1:13" x14ac:dyDescent="0.35">
      <c r="A3534" s="49" t="s">
        <v>14148</v>
      </c>
      <c r="B3534" s="49" t="s">
        <v>4006</v>
      </c>
      <c r="C3534" s="49"/>
      <c r="D3534" s="49" t="s">
        <v>1264</v>
      </c>
      <c r="E3534" s="49" t="s">
        <v>2785</v>
      </c>
      <c r="F3534" s="49" t="s">
        <v>2786</v>
      </c>
      <c r="G3534" s="49" t="s">
        <v>2787</v>
      </c>
      <c r="H3534" s="49" t="s">
        <v>980</v>
      </c>
      <c r="I3534" s="50">
        <v>43881</v>
      </c>
      <c r="J3534" s="50">
        <v>43959</v>
      </c>
      <c r="K3534" s="50">
        <v>44323</v>
      </c>
      <c r="M3534" s="49" t="s">
        <v>4008</v>
      </c>
    </row>
    <row r="3535" spans="1:13" x14ac:dyDescent="0.35">
      <c r="A3535" s="49" t="s">
        <v>15502</v>
      </c>
      <c r="B3535" s="49" t="s">
        <v>9196</v>
      </c>
      <c r="C3535" s="49"/>
      <c r="D3535" s="49" t="s">
        <v>1264</v>
      </c>
      <c r="E3535" s="49" t="s">
        <v>2908</v>
      </c>
      <c r="F3535" s="49" t="s">
        <v>2837</v>
      </c>
      <c r="G3535" s="49" t="s">
        <v>2776</v>
      </c>
      <c r="H3535" s="49" t="s">
        <v>2827</v>
      </c>
      <c r="I3535" s="50">
        <v>42889</v>
      </c>
      <c r="M3535" s="49" t="s">
        <v>9198</v>
      </c>
    </row>
    <row r="3536" spans="1:13" x14ac:dyDescent="0.35">
      <c r="A3536" s="49" t="s">
        <v>9089</v>
      </c>
      <c r="B3536" s="49" t="s">
        <v>9087</v>
      </c>
      <c r="C3536" s="49" t="s">
        <v>9088</v>
      </c>
      <c r="D3536" s="49" t="s">
        <v>1264</v>
      </c>
      <c r="E3536" s="49" t="s">
        <v>2899</v>
      </c>
      <c r="F3536" s="49" t="s">
        <v>3108</v>
      </c>
      <c r="G3536" s="49" t="s">
        <v>2975</v>
      </c>
      <c r="H3536" s="49" t="s">
        <v>973</v>
      </c>
      <c r="I3536" s="50">
        <v>37054</v>
      </c>
      <c r="J3536" s="50">
        <v>38414</v>
      </c>
      <c r="K3536" s="50">
        <v>47545</v>
      </c>
      <c r="M3536" s="49" t="s">
        <v>9090</v>
      </c>
    </row>
    <row r="3537" spans="1:13" x14ac:dyDescent="0.35">
      <c r="A3537" s="49" t="s">
        <v>14168</v>
      </c>
      <c r="B3537" s="49" t="s">
        <v>4205</v>
      </c>
      <c r="C3537" s="49" t="s">
        <v>4206</v>
      </c>
      <c r="D3537" s="49" t="s">
        <v>1264</v>
      </c>
      <c r="E3537" s="49" t="s">
        <v>2908</v>
      </c>
      <c r="F3537" s="49" t="s">
        <v>2939</v>
      </c>
      <c r="G3537" s="49" t="s">
        <v>2826</v>
      </c>
      <c r="H3537" s="49" t="s">
        <v>980</v>
      </c>
      <c r="J3537" s="50">
        <v>33066</v>
      </c>
      <c r="K3537" s="50">
        <v>42397</v>
      </c>
      <c r="M3537" s="49" t="s">
        <v>4208</v>
      </c>
    </row>
    <row r="3538" spans="1:13" x14ac:dyDescent="0.35">
      <c r="A3538" s="49" t="s">
        <v>14168</v>
      </c>
      <c r="B3538" s="49" t="s">
        <v>7870</v>
      </c>
      <c r="C3538" s="49" t="s">
        <v>7871</v>
      </c>
      <c r="D3538" s="49" t="s">
        <v>1264</v>
      </c>
      <c r="E3538" s="49" t="s">
        <v>2908</v>
      </c>
      <c r="F3538" s="49" t="s">
        <v>2837</v>
      </c>
      <c r="G3538" s="49" t="s">
        <v>2826</v>
      </c>
      <c r="H3538" s="49" t="s">
        <v>980</v>
      </c>
      <c r="I3538" s="50">
        <v>36116</v>
      </c>
      <c r="J3538" s="50">
        <v>36585</v>
      </c>
      <c r="K3538" s="50">
        <v>38411</v>
      </c>
      <c r="M3538" s="49" t="s">
        <v>3104</v>
      </c>
    </row>
    <row r="3539" spans="1:13" x14ac:dyDescent="0.35">
      <c r="A3539" s="49" t="s">
        <v>14168</v>
      </c>
      <c r="B3539" s="49" t="s">
        <v>8254</v>
      </c>
      <c r="C3539" s="49" t="s">
        <v>8255</v>
      </c>
      <c r="D3539" s="49" t="s">
        <v>1264</v>
      </c>
      <c r="E3539" s="49" t="s">
        <v>2908</v>
      </c>
      <c r="F3539" s="49" t="s">
        <v>2939</v>
      </c>
      <c r="G3539" s="49" t="s">
        <v>2826</v>
      </c>
      <c r="H3539" s="49" t="s">
        <v>980</v>
      </c>
      <c r="I3539" s="50">
        <v>35289</v>
      </c>
      <c r="J3539" s="50">
        <v>35394</v>
      </c>
      <c r="K3539" s="50">
        <v>38525</v>
      </c>
      <c r="M3539" s="49" t="s">
        <v>8256</v>
      </c>
    </row>
    <row r="3540" spans="1:13" x14ac:dyDescent="0.35">
      <c r="A3540" s="49" t="s">
        <v>15228</v>
      </c>
      <c r="B3540" s="49" t="s">
        <v>8219</v>
      </c>
      <c r="C3540" s="49" t="s">
        <v>8220</v>
      </c>
      <c r="D3540" s="49" t="s">
        <v>1264</v>
      </c>
      <c r="E3540" s="49" t="s">
        <v>7057</v>
      </c>
      <c r="F3540" s="49" t="s">
        <v>2825</v>
      </c>
      <c r="G3540" s="49" t="s">
        <v>2787</v>
      </c>
      <c r="H3540" s="49" t="s">
        <v>2827</v>
      </c>
      <c r="I3540" s="50">
        <v>40471</v>
      </c>
      <c r="J3540" s="50">
        <v>40760</v>
      </c>
      <c r="K3540" s="50">
        <v>42356</v>
      </c>
      <c r="M3540" s="49" t="s">
        <v>8222</v>
      </c>
    </row>
    <row r="3541" spans="1:13" x14ac:dyDescent="0.35">
      <c r="A3541" s="49" t="s">
        <v>15228</v>
      </c>
      <c r="B3541" s="49" t="s">
        <v>10775</v>
      </c>
      <c r="C3541" s="49"/>
      <c r="D3541" s="49" t="s">
        <v>1264</v>
      </c>
      <c r="E3541" s="49" t="s">
        <v>2974</v>
      </c>
      <c r="F3541" s="49" t="s">
        <v>2825</v>
      </c>
      <c r="G3541" s="49" t="s">
        <v>2776</v>
      </c>
      <c r="H3541" s="49" t="s">
        <v>2827</v>
      </c>
      <c r="I3541" s="50">
        <v>41835</v>
      </c>
      <c r="M3541" s="49" t="s">
        <v>3910</v>
      </c>
    </row>
    <row r="3542" spans="1:13" x14ac:dyDescent="0.35">
      <c r="A3542" s="49" t="s">
        <v>15228</v>
      </c>
      <c r="B3542" s="49" t="s">
        <v>13775</v>
      </c>
      <c r="C3542" s="49" t="s">
        <v>3075</v>
      </c>
      <c r="D3542" s="49" t="s">
        <v>1264</v>
      </c>
      <c r="E3542" s="49" t="s">
        <v>2974</v>
      </c>
      <c r="F3542" s="49" t="s">
        <v>2825</v>
      </c>
      <c r="G3542" s="49" t="s">
        <v>2776</v>
      </c>
      <c r="H3542" s="49" t="s">
        <v>2827</v>
      </c>
      <c r="I3542" s="50">
        <v>42825</v>
      </c>
      <c r="M3542" s="49" t="s">
        <v>13777</v>
      </c>
    </row>
    <row r="3543" spans="1:13" x14ac:dyDescent="0.35">
      <c r="A3543" s="49" t="s">
        <v>15228</v>
      </c>
      <c r="B3543" s="49" t="s">
        <v>13848</v>
      </c>
      <c r="C3543" s="49"/>
      <c r="D3543" s="49" t="s">
        <v>1264</v>
      </c>
      <c r="E3543" s="49" t="s">
        <v>2774</v>
      </c>
      <c r="F3543" s="49" t="s">
        <v>2825</v>
      </c>
      <c r="G3543" s="49" t="s">
        <v>2776</v>
      </c>
      <c r="H3543" s="49" t="s">
        <v>2827</v>
      </c>
      <c r="I3543" s="50">
        <v>42564</v>
      </c>
      <c r="M3543" s="49" t="s">
        <v>3470</v>
      </c>
    </row>
    <row r="3544" spans="1:13" x14ac:dyDescent="0.35">
      <c r="A3544" s="49" t="s">
        <v>15228</v>
      </c>
      <c r="B3544" s="49" t="s">
        <v>13927</v>
      </c>
      <c r="C3544" s="49"/>
      <c r="D3544" s="49" t="s">
        <v>1264</v>
      </c>
      <c r="E3544" s="49" t="s">
        <v>2774</v>
      </c>
      <c r="F3544" s="49" t="s">
        <v>2825</v>
      </c>
      <c r="G3544" s="49" t="s">
        <v>2776</v>
      </c>
      <c r="H3544" s="49" t="s">
        <v>2827</v>
      </c>
      <c r="I3544" s="50">
        <v>42549</v>
      </c>
      <c r="M3544" s="49" t="s">
        <v>3470</v>
      </c>
    </row>
    <row r="3545" spans="1:13" x14ac:dyDescent="0.35">
      <c r="A3545" s="49" t="s">
        <v>15044</v>
      </c>
      <c r="B3545" s="49" t="s">
        <v>5139</v>
      </c>
      <c r="C3545" s="49"/>
      <c r="D3545" s="49" t="s">
        <v>1264</v>
      </c>
      <c r="E3545" s="49" t="s">
        <v>2785</v>
      </c>
      <c r="F3545" s="49" t="s">
        <v>2786</v>
      </c>
      <c r="G3545" s="49" t="s">
        <v>2787</v>
      </c>
      <c r="H3545" s="49" t="s">
        <v>973</v>
      </c>
      <c r="I3545" s="50">
        <v>44610</v>
      </c>
      <c r="K3545" s="50">
        <v>45510</v>
      </c>
      <c r="M3545" s="49" t="s">
        <v>5141</v>
      </c>
    </row>
    <row r="3546" spans="1:13" x14ac:dyDescent="0.35">
      <c r="A3546" s="49" t="s">
        <v>15044</v>
      </c>
      <c r="B3546" s="49" t="s">
        <v>5852</v>
      </c>
      <c r="C3546" s="49" t="s">
        <v>5853</v>
      </c>
      <c r="D3546" s="49" t="s">
        <v>1264</v>
      </c>
      <c r="E3546" s="49" t="s">
        <v>2785</v>
      </c>
      <c r="F3546" s="49" t="s">
        <v>2786</v>
      </c>
      <c r="G3546" s="49" t="s">
        <v>2787</v>
      </c>
      <c r="H3546" s="49" t="s">
        <v>973</v>
      </c>
      <c r="I3546" s="50">
        <v>45084</v>
      </c>
      <c r="J3546" s="50">
        <v>45189</v>
      </c>
      <c r="K3546" s="50">
        <v>45554</v>
      </c>
      <c r="M3546" s="49" t="s">
        <v>5854</v>
      </c>
    </row>
    <row r="3547" spans="1:13" x14ac:dyDescent="0.35">
      <c r="A3547" s="49" t="s">
        <v>15044</v>
      </c>
      <c r="B3547" s="49" t="s">
        <v>5971</v>
      </c>
      <c r="C3547" s="49"/>
      <c r="D3547" s="49" t="s">
        <v>1264</v>
      </c>
      <c r="E3547" s="49" t="s">
        <v>2785</v>
      </c>
      <c r="F3547" s="49" t="s">
        <v>2786</v>
      </c>
      <c r="G3547" s="49" t="s">
        <v>4330</v>
      </c>
      <c r="H3547" s="49" t="s">
        <v>2827</v>
      </c>
      <c r="I3547" s="50">
        <v>45084</v>
      </c>
      <c r="M3547" s="49" t="s">
        <v>5972</v>
      </c>
    </row>
    <row r="3548" spans="1:13" x14ac:dyDescent="0.35">
      <c r="A3548" s="49" t="s">
        <v>15044</v>
      </c>
      <c r="B3548" s="49" t="s">
        <v>11886</v>
      </c>
      <c r="C3548" s="49" t="s">
        <v>3933</v>
      </c>
      <c r="D3548" s="49" t="s">
        <v>1264</v>
      </c>
      <c r="E3548" s="49" t="s">
        <v>2785</v>
      </c>
      <c r="F3548" s="49" t="s">
        <v>2786</v>
      </c>
      <c r="G3548" s="49" t="s">
        <v>4891</v>
      </c>
      <c r="H3548" s="49" t="s">
        <v>2827</v>
      </c>
      <c r="I3548" s="50">
        <v>45274</v>
      </c>
      <c r="M3548" s="49" t="s">
        <v>11887</v>
      </c>
    </row>
    <row r="3549" spans="1:13" x14ac:dyDescent="0.35">
      <c r="A3549" s="49" t="s">
        <v>15044</v>
      </c>
      <c r="B3549" s="49" t="s">
        <v>11888</v>
      </c>
      <c r="C3549" s="49" t="s">
        <v>11889</v>
      </c>
      <c r="D3549" s="49" t="s">
        <v>1264</v>
      </c>
      <c r="E3549" s="49" t="s">
        <v>2785</v>
      </c>
      <c r="F3549" s="49" t="s">
        <v>2786</v>
      </c>
      <c r="G3549" s="49" t="s">
        <v>4891</v>
      </c>
      <c r="H3549" s="49" t="s">
        <v>2827</v>
      </c>
      <c r="I3549" s="50">
        <v>45274</v>
      </c>
      <c r="M3549" s="49" t="s">
        <v>11890</v>
      </c>
    </row>
    <row r="3550" spans="1:13" x14ac:dyDescent="0.35">
      <c r="A3550" s="49" t="s">
        <v>14270</v>
      </c>
      <c r="B3550" s="49" t="s">
        <v>6127</v>
      </c>
      <c r="C3550" s="49" t="s">
        <v>3768</v>
      </c>
      <c r="D3550" s="49" t="s">
        <v>1264</v>
      </c>
      <c r="E3550" s="49" t="s">
        <v>3443</v>
      </c>
      <c r="F3550" s="49" t="s">
        <v>3124</v>
      </c>
      <c r="G3550" s="49" t="s">
        <v>4330</v>
      </c>
      <c r="H3550" s="49" t="s">
        <v>980</v>
      </c>
      <c r="I3550" s="50">
        <v>43845</v>
      </c>
      <c r="M3550" s="49" t="s">
        <v>6129</v>
      </c>
    </row>
    <row r="3551" spans="1:13" x14ac:dyDescent="0.35">
      <c r="A3551" s="49" t="s">
        <v>8047</v>
      </c>
      <c r="B3551" s="49" t="s">
        <v>8046</v>
      </c>
      <c r="C3551" s="49" t="s">
        <v>2937</v>
      </c>
      <c r="D3551" s="49" t="s">
        <v>1264</v>
      </c>
      <c r="E3551" s="49" t="s">
        <v>2908</v>
      </c>
      <c r="F3551" s="49" t="s">
        <v>2939</v>
      </c>
      <c r="G3551" s="49" t="s">
        <v>2826</v>
      </c>
      <c r="H3551" s="49" t="s">
        <v>980</v>
      </c>
      <c r="I3551" s="50">
        <v>35226</v>
      </c>
      <c r="J3551" s="50">
        <v>35559</v>
      </c>
      <c r="K3551" s="50">
        <v>38330</v>
      </c>
      <c r="M3551" s="49" t="s">
        <v>3477</v>
      </c>
    </row>
    <row r="3552" spans="1:13" x14ac:dyDescent="0.35">
      <c r="A3552" s="49" t="s">
        <v>8047</v>
      </c>
      <c r="B3552" s="49" t="s">
        <v>8415</v>
      </c>
      <c r="C3552" s="49" t="s">
        <v>8416</v>
      </c>
      <c r="D3552" s="49" t="s">
        <v>1264</v>
      </c>
      <c r="E3552" s="49" t="s">
        <v>2908</v>
      </c>
      <c r="F3552" s="49" t="s">
        <v>2939</v>
      </c>
      <c r="G3552" s="49" t="s">
        <v>2787</v>
      </c>
      <c r="H3552" s="49" t="s">
        <v>980</v>
      </c>
      <c r="I3552" s="50">
        <v>38188</v>
      </c>
      <c r="J3552" s="50">
        <v>38330</v>
      </c>
      <c r="K3552" s="50">
        <v>40155</v>
      </c>
      <c r="M3552" s="49" t="s">
        <v>8418</v>
      </c>
    </row>
    <row r="3553" spans="1:13" x14ac:dyDescent="0.35">
      <c r="A3553" s="49" t="s">
        <v>14175</v>
      </c>
      <c r="B3553" s="49" t="s">
        <v>4274</v>
      </c>
      <c r="C3553" s="49" t="s">
        <v>4275</v>
      </c>
      <c r="D3553" s="49" t="s">
        <v>1264</v>
      </c>
      <c r="E3553" s="49" t="s">
        <v>2908</v>
      </c>
      <c r="F3553" s="49" t="s">
        <v>2939</v>
      </c>
      <c r="G3553" s="49" t="s">
        <v>2820</v>
      </c>
      <c r="H3553" s="49" t="s">
        <v>980</v>
      </c>
      <c r="I3553" s="50">
        <v>40056</v>
      </c>
      <c r="J3553" s="50">
        <v>40119</v>
      </c>
      <c r="K3553" s="50">
        <v>41944</v>
      </c>
      <c r="M3553" s="49" t="s">
        <v>4277</v>
      </c>
    </row>
    <row r="3554" spans="1:13" x14ac:dyDescent="0.35">
      <c r="A3554" s="49" t="s">
        <v>14175</v>
      </c>
      <c r="B3554" s="49" t="s">
        <v>8035</v>
      </c>
      <c r="C3554" s="49" t="s">
        <v>8036</v>
      </c>
      <c r="D3554" s="49" t="s">
        <v>1264</v>
      </c>
      <c r="E3554" s="49" t="s">
        <v>2908</v>
      </c>
      <c r="F3554" s="49" t="s">
        <v>2939</v>
      </c>
      <c r="G3554" s="49" t="s">
        <v>2787</v>
      </c>
      <c r="H3554" s="49" t="s">
        <v>980</v>
      </c>
      <c r="I3554" s="50">
        <v>39629</v>
      </c>
      <c r="J3554" s="50">
        <v>39933</v>
      </c>
      <c r="K3554" s="50">
        <v>41758</v>
      </c>
      <c r="M3554" s="49" t="s">
        <v>4277</v>
      </c>
    </row>
    <row r="3555" spans="1:13" x14ac:dyDescent="0.35">
      <c r="A3555" s="49" t="s">
        <v>15045</v>
      </c>
      <c r="B3555" s="49" t="s">
        <v>7290</v>
      </c>
      <c r="C3555" s="49" t="s">
        <v>7291</v>
      </c>
      <c r="D3555" s="49" t="s">
        <v>1264</v>
      </c>
      <c r="E3555" s="49" t="s">
        <v>2908</v>
      </c>
      <c r="F3555" s="49" t="s">
        <v>3010</v>
      </c>
      <c r="G3555" s="49" t="s">
        <v>2826</v>
      </c>
      <c r="H3555" s="49" t="s">
        <v>980</v>
      </c>
      <c r="I3555" s="50">
        <v>36802</v>
      </c>
      <c r="J3555" s="50">
        <v>38020</v>
      </c>
      <c r="K3555" s="50">
        <v>38562</v>
      </c>
      <c r="M3555" s="49" t="s">
        <v>7293</v>
      </c>
    </row>
    <row r="3556" spans="1:13" x14ac:dyDescent="0.35">
      <c r="A3556" s="49" t="s">
        <v>15045</v>
      </c>
      <c r="B3556" s="49" t="s">
        <v>7767</v>
      </c>
      <c r="C3556" s="49" t="s">
        <v>7768</v>
      </c>
      <c r="D3556" s="49" t="s">
        <v>1264</v>
      </c>
      <c r="E3556" s="49" t="s">
        <v>2908</v>
      </c>
      <c r="F3556" s="49" t="s">
        <v>2939</v>
      </c>
      <c r="G3556" s="49" t="s">
        <v>2787</v>
      </c>
      <c r="H3556" s="49" t="s">
        <v>3229</v>
      </c>
      <c r="I3556" s="50">
        <v>39097</v>
      </c>
      <c r="J3556" s="50">
        <v>39140</v>
      </c>
      <c r="K3556" s="50">
        <v>40965</v>
      </c>
      <c r="M3556" s="49" t="s">
        <v>7769</v>
      </c>
    </row>
    <row r="3557" spans="1:13" x14ac:dyDescent="0.35">
      <c r="A3557" s="49" t="s">
        <v>15045</v>
      </c>
      <c r="B3557" s="49" t="s">
        <v>7855</v>
      </c>
      <c r="C3557" s="49" t="s">
        <v>3615</v>
      </c>
      <c r="D3557" s="49" t="s">
        <v>1264</v>
      </c>
      <c r="E3557" s="49" t="s">
        <v>2908</v>
      </c>
      <c r="F3557" s="49" t="s">
        <v>3010</v>
      </c>
      <c r="G3557" s="49" t="s">
        <v>2975</v>
      </c>
      <c r="H3557" s="49" t="s">
        <v>980</v>
      </c>
      <c r="I3557" s="50">
        <v>42423</v>
      </c>
      <c r="J3557" s="50">
        <v>42423</v>
      </c>
      <c r="K3557" s="50">
        <v>43633</v>
      </c>
      <c r="M3557" s="49" t="s">
        <v>7856</v>
      </c>
    </row>
    <row r="3558" spans="1:13" x14ac:dyDescent="0.35">
      <c r="A3558" s="49" t="s">
        <v>15045</v>
      </c>
      <c r="B3558" s="49" t="s">
        <v>7918</v>
      </c>
      <c r="C3558" s="49" t="s">
        <v>7919</v>
      </c>
      <c r="D3558" s="49" t="s">
        <v>1264</v>
      </c>
      <c r="E3558" s="49" t="s">
        <v>2908</v>
      </c>
      <c r="F3558" s="49" t="s">
        <v>2939</v>
      </c>
      <c r="G3558" s="49" t="s">
        <v>2787</v>
      </c>
      <c r="H3558" s="49" t="s">
        <v>8</v>
      </c>
      <c r="I3558" s="50">
        <v>38082</v>
      </c>
      <c r="J3558" s="50">
        <v>38082</v>
      </c>
      <c r="K3558" s="50">
        <v>39907</v>
      </c>
      <c r="M3558" s="49" t="s">
        <v>7920</v>
      </c>
    </row>
    <row r="3559" spans="1:13" x14ac:dyDescent="0.35">
      <c r="A3559" s="49" t="s">
        <v>15045</v>
      </c>
      <c r="B3559" s="49" t="s">
        <v>9188</v>
      </c>
      <c r="C3559" s="49"/>
      <c r="D3559" s="49" t="s">
        <v>1264</v>
      </c>
      <c r="E3559" s="49" t="s">
        <v>2908</v>
      </c>
      <c r="F3559" s="49" t="s">
        <v>2939</v>
      </c>
      <c r="G3559" s="49" t="s">
        <v>2776</v>
      </c>
      <c r="H3559" s="49" t="s">
        <v>980</v>
      </c>
      <c r="I3559" s="50">
        <v>43682</v>
      </c>
      <c r="M3559" s="49" t="s">
        <v>9189</v>
      </c>
    </row>
    <row r="3560" spans="1:13" x14ac:dyDescent="0.35">
      <c r="A3560" s="49" t="s">
        <v>15045</v>
      </c>
      <c r="B3560" s="49" t="s">
        <v>10360</v>
      </c>
      <c r="C3560" s="49" t="s">
        <v>3881</v>
      </c>
      <c r="D3560" s="49" t="s">
        <v>1264</v>
      </c>
      <c r="E3560" s="49" t="s">
        <v>2814</v>
      </c>
      <c r="F3560" s="49" t="s">
        <v>2939</v>
      </c>
      <c r="G3560" s="49" t="s">
        <v>2776</v>
      </c>
      <c r="H3560" s="49" t="s">
        <v>980</v>
      </c>
      <c r="I3560" s="50">
        <v>43845</v>
      </c>
      <c r="M3560" s="49" t="s">
        <v>9189</v>
      </c>
    </row>
    <row r="3561" spans="1:13" x14ac:dyDescent="0.35">
      <c r="A3561" s="49" t="s">
        <v>14183</v>
      </c>
      <c r="B3561" s="49" t="s">
        <v>4410</v>
      </c>
      <c r="C3561" s="49" t="s">
        <v>4411</v>
      </c>
      <c r="D3561" s="49" t="s">
        <v>1264</v>
      </c>
      <c r="E3561" s="49" t="s">
        <v>2814</v>
      </c>
      <c r="F3561" s="49" t="s">
        <v>2837</v>
      </c>
      <c r="G3561" s="49" t="s">
        <v>2787</v>
      </c>
      <c r="H3561" s="49" t="s">
        <v>980</v>
      </c>
      <c r="I3561" s="50">
        <v>44382</v>
      </c>
      <c r="J3561" s="50">
        <v>44390</v>
      </c>
      <c r="K3561" s="50">
        <v>44754</v>
      </c>
      <c r="M3561" s="49" t="s">
        <v>4413</v>
      </c>
    </row>
    <row r="3562" spans="1:13" x14ac:dyDescent="0.35">
      <c r="A3562" s="49" t="s">
        <v>14183</v>
      </c>
      <c r="B3562" s="49" t="s">
        <v>9286</v>
      </c>
      <c r="C3562" s="49"/>
      <c r="D3562" s="49" t="s">
        <v>1264</v>
      </c>
      <c r="E3562" s="49" t="s">
        <v>2908</v>
      </c>
      <c r="F3562" s="49" t="s">
        <v>2837</v>
      </c>
      <c r="G3562" s="49" t="s">
        <v>4891</v>
      </c>
      <c r="H3562" s="49" t="s">
        <v>980</v>
      </c>
      <c r="I3562" s="50">
        <v>43977</v>
      </c>
      <c r="M3562" s="49" t="s">
        <v>9287</v>
      </c>
    </row>
    <row r="3563" spans="1:13" x14ac:dyDescent="0.35">
      <c r="A3563" s="49" t="s">
        <v>14183</v>
      </c>
      <c r="B3563" s="49" t="s">
        <v>10856</v>
      </c>
      <c r="C3563" s="49" t="s">
        <v>8963</v>
      </c>
      <c r="D3563" s="49" t="s">
        <v>1264</v>
      </c>
      <c r="E3563" s="49" t="s">
        <v>2814</v>
      </c>
      <c r="F3563" s="49" t="s">
        <v>2837</v>
      </c>
      <c r="G3563" s="49" t="s">
        <v>2776</v>
      </c>
      <c r="H3563" s="49" t="s">
        <v>8</v>
      </c>
      <c r="I3563" s="50">
        <v>44432</v>
      </c>
      <c r="M3563" s="49" t="s">
        <v>10857</v>
      </c>
    </row>
    <row r="3564" spans="1:13" x14ac:dyDescent="0.35">
      <c r="A3564" s="49" t="s">
        <v>14487</v>
      </c>
      <c r="B3564" s="49" t="s">
        <v>9321</v>
      </c>
      <c r="C3564" s="49"/>
      <c r="D3564" s="49" t="s">
        <v>1264</v>
      </c>
      <c r="E3564" s="49" t="s">
        <v>2785</v>
      </c>
      <c r="F3564" s="49" t="s">
        <v>3898</v>
      </c>
      <c r="G3564" s="49" t="s">
        <v>2921</v>
      </c>
      <c r="H3564" s="49" t="s">
        <v>2827</v>
      </c>
      <c r="I3564" s="50">
        <v>43822</v>
      </c>
      <c r="J3564" s="50">
        <v>44861</v>
      </c>
      <c r="K3564" s="50">
        <v>45604</v>
      </c>
      <c r="M3564" s="49" t="s">
        <v>9323</v>
      </c>
    </row>
    <row r="3565" spans="1:13" x14ac:dyDescent="0.35">
      <c r="A3565" s="49" t="s">
        <v>14487</v>
      </c>
      <c r="B3565" s="49" t="s">
        <v>9573</v>
      </c>
      <c r="C3565" s="49"/>
      <c r="D3565" s="49" t="s">
        <v>1264</v>
      </c>
      <c r="E3565" s="49" t="s">
        <v>2785</v>
      </c>
      <c r="F3565" s="49" t="s">
        <v>4048</v>
      </c>
      <c r="G3565" s="49" t="s">
        <v>2776</v>
      </c>
      <c r="H3565" s="49" t="s">
        <v>2827</v>
      </c>
      <c r="I3565" s="50">
        <v>43826</v>
      </c>
      <c r="M3565" s="49" t="s">
        <v>9574</v>
      </c>
    </row>
    <row r="3566" spans="1:13" x14ac:dyDescent="0.35">
      <c r="A3566" s="49" t="s">
        <v>15229</v>
      </c>
      <c r="B3566" s="49" t="s">
        <v>9702</v>
      </c>
      <c r="C3566" s="49"/>
      <c r="D3566" s="49" t="s">
        <v>1264</v>
      </c>
      <c r="E3566" s="49" t="s">
        <v>3443</v>
      </c>
      <c r="F3566" s="49" t="s">
        <v>3124</v>
      </c>
      <c r="G3566" s="49" t="s">
        <v>2776</v>
      </c>
      <c r="H3566" s="49" t="s">
        <v>980</v>
      </c>
      <c r="I3566" s="50">
        <v>42521</v>
      </c>
      <c r="M3566" s="49" t="s">
        <v>8955</v>
      </c>
    </row>
    <row r="3567" spans="1:13" x14ac:dyDescent="0.35">
      <c r="A3567" s="49" t="s">
        <v>15504</v>
      </c>
      <c r="B3567" s="49" t="s">
        <v>3812</v>
      </c>
      <c r="C3567" s="49" t="s">
        <v>3582</v>
      </c>
      <c r="D3567" s="49" t="s">
        <v>1264</v>
      </c>
      <c r="E3567" s="49" t="s">
        <v>3443</v>
      </c>
      <c r="F3567" s="49" t="s">
        <v>3124</v>
      </c>
      <c r="G3567" s="49" t="s">
        <v>2901</v>
      </c>
      <c r="H3567" s="49" t="s">
        <v>980</v>
      </c>
      <c r="I3567" s="50">
        <v>43326</v>
      </c>
      <c r="J3567" s="50">
        <v>43370</v>
      </c>
      <c r="K3567" s="50">
        <v>47022</v>
      </c>
      <c r="L3567" s="50">
        <v>45196</v>
      </c>
      <c r="M3567" s="49" t="s">
        <v>3814</v>
      </c>
    </row>
    <row r="3568" spans="1:13" x14ac:dyDescent="0.35">
      <c r="A3568" s="49" t="s">
        <v>8672</v>
      </c>
      <c r="B3568" s="49" t="s">
        <v>8671</v>
      </c>
      <c r="C3568" s="49" t="s">
        <v>2942</v>
      </c>
      <c r="D3568" s="49" t="s">
        <v>1264</v>
      </c>
      <c r="E3568" s="49" t="s">
        <v>2908</v>
      </c>
      <c r="F3568" s="49" t="s">
        <v>2939</v>
      </c>
      <c r="G3568" s="49" t="s">
        <v>2787</v>
      </c>
      <c r="H3568" s="49" t="s">
        <v>980</v>
      </c>
      <c r="I3568" s="50">
        <v>42032</v>
      </c>
      <c r="J3568" s="50">
        <v>42342</v>
      </c>
      <c r="K3568" s="50">
        <v>44168</v>
      </c>
      <c r="M3568" s="49" t="s">
        <v>8673</v>
      </c>
    </row>
    <row r="3569" spans="1:13" x14ac:dyDescent="0.35">
      <c r="A3569" s="49" t="s">
        <v>14792</v>
      </c>
      <c r="B3569" s="49" t="s">
        <v>12748</v>
      </c>
      <c r="C3569" s="49" t="s">
        <v>12749</v>
      </c>
      <c r="D3569" s="49" t="s">
        <v>1264</v>
      </c>
      <c r="E3569" s="49" t="s">
        <v>2785</v>
      </c>
      <c r="F3569" s="49" t="s">
        <v>2805</v>
      </c>
      <c r="G3569" s="49" t="s">
        <v>4891</v>
      </c>
      <c r="H3569" s="49" t="s">
        <v>2827</v>
      </c>
      <c r="I3569" s="50">
        <v>45504</v>
      </c>
      <c r="M3569" s="49" t="s">
        <v>12751</v>
      </c>
    </row>
    <row r="3570" spans="1:13" x14ac:dyDescent="0.35">
      <c r="A3570" s="49" t="s">
        <v>15505</v>
      </c>
      <c r="B3570" s="49" t="s">
        <v>6201</v>
      </c>
      <c r="C3570" s="49" t="s">
        <v>6202</v>
      </c>
      <c r="D3570" s="49" t="s">
        <v>1264</v>
      </c>
      <c r="E3570" s="49" t="s">
        <v>2986</v>
      </c>
      <c r="F3570" s="49" t="s">
        <v>2825</v>
      </c>
      <c r="G3570" s="49" t="s">
        <v>2901</v>
      </c>
      <c r="H3570" s="49" t="s">
        <v>973</v>
      </c>
      <c r="I3570" s="50">
        <v>45316</v>
      </c>
      <c r="J3570" s="50">
        <v>45366</v>
      </c>
      <c r="K3570" s="50">
        <v>46460</v>
      </c>
      <c r="M3570" s="49" t="s">
        <v>6204</v>
      </c>
    </row>
    <row r="3571" spans="1:13" x14ac:dyDescent="0.35">
      <c r="A3571" s="49" t="s">
        <v>15505</v>
      </c>
      <c r="B3571" s="49" t="s">
        <v>6302</v>
      </c>
      <c r="C3571" s="49" t="s">
        <v>6303</v>
      </c>
      <c r="D3571" s="49" t="s">
        <v>1264</v>
      </c>
      <c r="E3571" s="49" t="s">
        <v>2986</v>
      </c>
      <c r="F3571" s="49" t="s">
        <v>2825</v>
      </c>
      <c r="G3571" s="49" t="s">
        <v>2901</v>
      </c>
      <c r="H3571" s="49" t="s">
        <v>2827</v>
      </c>
      <c r="I3571" s="50">
        <v>45253</v>
      </c>
      <c r="J3571" s="50">
        <v>45322</v>
      </c>
      <c r="K3571" s="50">
        <v>46417</v>
      </c>
      <c r="M3571" s="49" t="s">
        <v>6304</v>
      </c>
    </row>
    <row r="3572" spans="1:13" x14ac:dyDescent="0.35">
      <c r="A3572" s="49" t="s">
        <v>15505</v>
      </c>
      <c r="B3572" s="49" t="s">
        <v>10973</v>
      </c>
      <c r="C3572" s="49" t="s">
        <v>10974</v>
      </c>
      <c r="D3572" s="49" t="s">
        <v>1264</v>
      </c>
      <c r="E3572" s="49" t="s">
        <v>2986</v>
      </c>
      <c r="F3572" s="49" t="s">
        <v>2825</v>
      </c>
      <c r="G3572" s="49" t="s">
        <v>2776</v>
      </c>
      <c r="H3572" s="49" t="s">
        <v>2827</v>
      </c>
      <c r="I3572" s="50">
        <v>44596</v>
      </c>
      <c r="M3572" s="49" t="s">
        <v>10976</v>
      </c>
    </row>
    <row r="3573" spans="1:13" x14ac:dyDescent="0.35">
      <c r="A3573" s="49" t="s">
        <v>15505</v>
      </c>
      <c r="B3573" s="49" t="s">
        <v>10977</v>
      </c>
      <c r="C3573" s="49" t="s">
        <v>10978</v>
      </c>
      <c r="D3573" s="49" t="s">
        <v>1264</v>
      </c>
      <c r="E3573" s="49" t="s">
        <v>2986</v>
      </c>
      <c r="F3573" s="49" t="s">
        <v>2825</v>
      </c>
      <c r="G3573" s="49" t="s">
        <v>2776</v>
      </c>
      <c r="H3573" s="49" t="s">
        <v>2827</v>
      </c>
      <c r="I3573" s="50">
        <v>44596</v>
      </c>
      <c r="M3573" s="49" t="s">
        <v>3477</v>
      </c>
    </row>
    <row r="3574" spans="1:13" x14ac:dyDescent="0.35">
      <c r="A3574" s="49" t="s">
        <v>14489</v>
      </c>
      <c r="B3574" s="49" t="s">
        <v>9326</v>
      </c>
      <c r="C3574" s="49"/>
      <c r="D3574" s="49" t="s">
        <v>1264</v>
      </c>
      <c r="E3574" s="49" t="s">
        <v>2785</v>
      </c>
      <c r="F3574" s="49" t="s">
        <v>2786</v>
      </c>
      <c r="G3574" s="49" t="s">
        <v>2776</v>
      </c>
      <c r="H3574" s="49" t="s">
        <v>980</v>
      </c>
      <c r="I3574" s="50">
        <v>43406</v>
      </c>
      <c r="M3574" s="49" t="s">
        <v>9328</v>
      </c>
    </row>
    <row r="3575" spans="1:13" x14ac:dyDescent="0.35">
      <c r="A3575" s="49" t="s">
        <v>14489</v>
      </c>
      <c r="B3575" s="49" t="s">
        <v>9557</v>
      </c>
      <c r="C3575" s="49"/>
      <c r="D3575" s="49" t="s">
        <v>1264</v>
      </c>
      <c r="E3575" s="49" t="s">
        <v>2785</v>
      </c>
      <c r="F3575" s="49" t="s">
        <v>2792</v>
      </c>
      <c r="G3575" s="49" t="s">
        <v>2776</v>
      </c>
      <c r="H3575" s="49" t="s">
        <v>8</v>
      </c>
      <c r="I3575" s="50">
        <v>43354</v>
      </c>
      <c r="M3575" s="49" t="s">
        <v>9558</v>
      </c>
    </row>
    <row r="3576" spans="1:13" x14ac:dyDescent="0.35">
      <c r="A3576" s="49" t="s">
        <v>14112</v>
      </c>
      <c r="B3576" s="49" t="s">
        <v>3567</v>
      </c>
      <c r="C3576" s="49" t="s">
        <v>3468</v>
      </c>
      <c r="D3576" s="49" t="s">
        <v>1264</v>
      </c>
      <c r="E3576" s="49" t="s">
        <v>3443</v>
      </c>
      <c r="F3576" s="49" t="s">
        <v>3124</v>
      </c>
      <c r="G3576" s="49" t="s">
        <v>2901</v>
      </c>
      <c r="H3576" s="49" t="s">
        <v>980</v>
      </c>
      <c r="I3576" s="50">
        <v>42818</v>
      </c>
      <c r="J3576" s="50">
        <v>42955</v>
      </c>
      <c r="K3576" s="50">
        <v>46605</v>
      </c>
      <c r="L3576" s="50">
        <v>44781</v>
      </c>
      <c r="M3576" s="49" t="s">
        <v>3569</v>
      </c>
    </row>
    <row r="3577" spans="1:13" x14ac:dyDescent="0.35">
      <c r="A3577" s="49" t="s">
        <v>14112</v>
      </c>
      <c r="B3577" s="49" t="s">
        <v>5091</v>
      </c>
      <c r="C3577" s="49" t="s">
        <v>5092</v>
      </c>
      <c r="D3577" s="49" t="s">
        <v>1264</v>
      </c>
      <c r="E3577" s="49" t="s">
        <v>2908</v>
      </c>
      <c r="F3577" s="49" t="s">
        <v>2837</v>
      </c>
      <c r="G3577" s="49" t="s">
        <v>2901</v>
      </c>
      <c r="H3577" s="49" t="s">
        <v>2827</v>
      </c>
      <c r="I3577" s="50">
        <v>42667</v>
      </c>
      <c r="J3577" s="50">
        <v>44747</v>
      </c>
      <c r="K3577" s="50">
        <v>46572</v>
      </c>
      <c r="M3577" s="49" t="s">
        <v>5093</v>
      </c>
    </row>
    <row r="3578" spans="1:13" x14ac:dyDescent="0.35">
      <c r="A3578" s="49" t="s">
        <v>14112</v>
      </c>
      <c r="B3578" s="49" t="s">
        <v>9689</v>
      </c>
      <c r="C3578" s="49" t="s">
        <v>3420</v>
      </c>
      <c r="D3578" s="49" t="s">
        <v>1264</v>
      </c>
      <c r="E3578" s="49" t="s">
        <v>2908</v>
      </c>
      <c r="F3578" s="49" t="s">
        <v>2939</v>
      </c>
      <c r="G3578" s="49" t="s">
        <v>3997</v>
      </c>
      <c r="H3578" s="49" t="s">
        <v>980</v>
      </c>
      <c r="I3578" s="50">
        <v>42124</v>
      </c>
      <c r="M3578" s="49" t="s">
        <v>9690</v>
      </c>
    </row>
    <row r="3579" spans="1:13" x14ac:dyDescent="0.35">
      <c r="A3579" s="49" t="s">
        <v>14112</v>
      </c>
      <c r="B3579" s="49" t="s">
        <v>10762</v>
      </c>
      <c r="C3579" s="49"/>
      <c r="D3579" s="49" t="s">
        <v>1264</v>
      </c>
      <c r="E3579" s="49" t="s">
        <v>2908</v>
      </c>
      <c r="F3579" s="49" t="s">
        <v>2939</v>
      </c>
      <c r="G3579" s="49" t="s">
        <v>2776</v>
      </c>
      <c r="H3579" s="49" t="s">
        <v>980</v>
      </c>
      <c r="I3579" s="50">
        <v>41970</v>
      </c>
      <c r="M3579" s="49" t="s">
        <v>9690</v>
      </c>
    </row>
    <row r="3580" spans="1:13" x14ac:dyDescent="0.35">
      <c r="A3580" s="49" t="s">
        <v>14112</v>
      </c>
      <c r="B3580" s="49" t="s">
        <v>12422</v>
      </c>
      <c r="C3580" s="49"/>
      <c r="D3580" s="49" t="s">
        <v>1264</v>
      </c>
      <c r="E3580" s="49" t="s">
        <v>2814</v>
      </c>
      <c r="F3580" s="49" t="s">
        <v>3188</v>
      </c>
      <c r="G3580" s="49" t="s">
        <v>2776</v>
      </c>
      <c r="H3580" s="49" t="s">
        <v>973</v>
      </c>
      <c r="I3580" s="50">
        <v>45414</v>
      </c>
      <c r="M3580" s="49" t="s">
        <v>5412</v>
      </c>
    </row>
    <row r="3581" spans="1:13" x14ac:dyDescent="0.35">
      <c r="A3581" s="49" t="s">
        <v>14112</v>
      </c>
      <c r="B3581" s="49" t="s">
        <v>12768</v>
      </c>
      <c r="C3581" s="49" t="s">
        <v>2937</v>
      </c>
      <c r="D3581" s="49" t="s">
        <v>1264</v>
      </c>
      <c r="E3581" s="49" t="s">
        <v>2908</v>
      </c>
      <c r="F3581" s="49" t="s">
        <v>2939</v>
      </c>
      <c r="G3581" s="49" t="s">
        <v>4891</v>
      </c>
      <c r="H3581" s="49" t="s">
        <v>980</v>
      </c>
      <c r="I3581" s="50">
        <v>45523</v>
      </c>
      <c r="M3581" s="49" t="s">
        <v>12769</v>
      </c>
    </row>
    <row r="3582" spans="1:13" x14ac:dyDescent="0.35">
      <c r="A3582" s="49" t="s">
        <v>2912</v>
      </c>
      <c r="B3582" s="49" t="s">
        <v>2910</v>
      </c>
      <c r="C3582" s="49" t="s">
        <v>2911</v>
      </c>
      <c r="D3582" s="49" t="s">
        <v>1264</v>
      </c>
      <c r="E3582" s="49" t="s">
        <v>2899</v>
      </c>
      <c r="F3582" s="49" t="s">
        <v>2913</v>
      </c>
      <c r="G3582" s="49" t="s">
        <v>2901</v>
      </c>
      <c r="H3582" s="49" t="s">
        <v>980</v>
      </c>
      <c r="I3582" s="50">
        <v>29461</v>
      </c>
      <c r="J3582" s="50">
        <v>31156</v>
      </c>
      <c r="M3582" s="49" t="s">
        <v>2914</v>
      </c>
    </row>
    <row r="3583" spans="1:13" x14ac:dyDescent="0.35">
      <c r="A3583" s="49" t="s">
        <v>2912</v>
      </c>
      <c r="B3583" s="49" t="s">
        <v>2915</v>
      </c>
      <c r="C3583" s="49" t="s">
        <v>2916</v>
      </c>
      <c r="D3583" s="49" t="s">
        <v>1264</v>
      </c>
      <c r="E3583" s="49" t="s">
        <v>2899</v>
      </c>
      <c r="F3583" s="49" t="s">
        <v>2917</v>
      </c>
      <c r="G3583" s="49" t="s">
        <v>2901</v>
      </c>
      <c r="H3583" s="49" t="s">
        <v>980</v>
      </c>
      <c r="I3583" s="50">
        <v>29461</v>
      </c>
      <c r="J3583" s="50">
        <v>31156</v>
      </c>
      <c r="M3583" s="49" t="s">
        <v>2918</v>
      </c>
    </row>
    <row r="3584" spans="1:13" x14ac:dyDescent="0.35">
      <c r="A3584" s="49" t="s">
        <v>2912</v>
      </c>
      <c r="B3584" s="49" t="s">
        <v>2919</v>
      </c>
      <c r="C3584" s="49" t="s">
        <v>2920</v>
      </c>
      <c r="D3584" s="49" t="s">
        <v>1264</v>
      </c>
      <c r="E3584" s="49" t="s">
        <v>2899</v>
      </c>
      <c r="F3584" s="49" t="s">
        <v>2913</v>
      </c>
      <c r="G3584" s="49" t="s">
        <v>2921</v>
      </c>
      <c r="H3584" s="49" t="s">
        <v>980</v>
      </c>
      <c r="I3584" s="50">
        <v>29461</v>
      </c>
      <c r="J3584" s="50">
        <v>35807</v>
      </c>
      <c r="K3584" s="50">
        <v>44937</v>
      </c>
      <c r="M3584" s="49" t="s">
        <v>2922</v>
      </c>
    </row>
    <row r="3585" spans="1:13" x14ac:dyDescent="0.35">
      <c r="A3585" s="49" t="s">
        <v>2912</v>
      </c>
      <c r="B3585" s="49" t="s">
        <v>2923</v>
      </c>
      <c r="C3585" s="49" t="s">
        <v>2924</v>
      </c>
      <c r="D3585" s="49" t="s">
        <v>1264</v>
      </c>
      <c r="E3585" s="49" t="s">
        <v>2899</v>
      </c>
      <c r="F3585" s="49" t="s">
        <v>2917</v>
      </c>
      <c r="G3585" s="49" t="s">
        <v>2901</v>
      </c>
      <c r="H3585" s="49" t="s">
        <v>980</v>
      </c>
      <c r="I3585" s="50">
        <v>29461</v>
      </c>
      <c r="J3585" s="50">
        <v>31156</v>
      </c>
      <c r="M3585" s="49" t="s">
        <v>2925</v>
      </c>
    </row>
    <row r="3586" spans="1:13" x14ac:dyDescent="0.35">
      <c r="A3586" s="49" t="s">
        <v>2912</v>
      </c>
      <c r="B3586" s="49" t="s">
        <v>3983</v>
      </c>
      <c r="C3586" s="49" t="s">
        <v>3984</v>
      </c>
      <c r="D3586" s="49" t="s">
        <v>1264</v>
      </c>
      <c r="E3586" s="49" t="s">
        <v>2774</v>
      </c>
      <c r="F3586" s="49" t="s">
        <v>2900</v>
      </c>
      <c r="G3586" s="49" t="s">
        <v>2787</v>
      </c>
      <c r="H3586" s="49" t="s">
        <v>980</v>
      </c>
      <c r="I3586" s="50">
        <v>43853</v>
      </c>
      <c r="J3586" s="50">
        <v>40991</v>
      </c>
      <c r="K3586" s="50">
        <v>45006</v>
      </c>
      <c r="M3586" s="49" t="s">
        <v>3986</v>
      </c>
    </row>
    <row r="3587" spans="1:13" x14ac:dyDescent="0.35">
      <c r="A3587" s="49" t="s">
        <v>2912</v>
      </c>
      <c r="B3587" s="49" t="s">
        <v>5967</v>
      </c>
      <c r="C3587" s="49" t="s">
        <v>5042</v>
      </c>
      <c r="D3587" s="49" t="s">
        <v>1264</v>
      </c>
      <c r="E3587" s="49" t="s">
        <v>2974</v>
      </c>
      <c r="F3587" s="49" t="s">
        <v>2900</v>
      </c>
      <c r="G3587" s="49" t="s">
        <v>2901</v>
      </c>
      <c r="H3587" s="49" t="s">
        <v>980</v>
      </c>
      <c r="I3587" s="50">
        <v>45013</v>
      </c>
      <c r="J3587" s="50">
        <v>45224</v>
      </c>
      <c r="K3587" s="50">
        <v>47050</v>
      </c>
      <c r="M3587" s="49" t="s">
        <v>5968</v>
      </c>
    </row>
    <row r="3588" spans="1:13" x14ac:dyDescent="0.35">
      <c r="A3588" s="49" t="s">
        <v>2912</v>
      </c>
      <c r="B3588" s="49" t="s">
        <v>9066</v>
      </c>
      <c r="C3588" s="49" t="s">
        <v>9067</v>
      </c>
      <c r="D3588" s="49" t="s">
        <v>1264</v>
      </c>
      <c r="E3588" s="49" t="s">
        <v>2774</v>
      </c>
      <c r="F3588" s="49" t="s">
        <v>2950</v>
      </c>
      <c r="G3588" s="49" t="s">
        <v>2826</v>
      </c>
      <c r="H3588" s="49" t="s">
        <v>980</v>
      </c>
      <c r="I3588" s="50">
        <v>34995</v>
      </c>
      <c r="J3588" s="50">
        <v>35026</v>
      </c>
      <c r="K3588" s="50">
        <v>36487</v>
      </c>
      <c r="M3588" s="49" t="s">
        <v>9068</v>
      </c>
    </row>
    <row r="3589" spans="1:13" x14ac:dyDescent="0.35">
      <c r="A3589" s="49" t="s">
        <v>2912</v>
      </c>
      <c r="B3589" s="49" t="s">
        <v>14031</v>
      </c>
      <c r="C3589" s="49" t="s">
        <v>4659</v>
      </c>
      <c r="D3589" s="49" t="s">
        <v>1264</v>
      </c>
      <c r="E3589" s="49" t="s">
        <v>2774</v>
      </c>
      <c r="F3589" s="49" t="s">
        <v>2900</v>
      </c>
      <c r="G3589" s="49" t="s">
        <v>2776</v>
      </c>
      <c r="H3589" s="49" t="s">
        <v>980</v>
      </c>
      <c r="I3589" s="50">
        <v>40967</v>
      </c>
      <c r="M3589" s="49" t="s">
        <v>14032</v>
      </c>
    </row>
    <row r="3590" spans="1:13" x14ac:dyDescent="0.35">
      <c r="A3590" s="49" t="s">
        <v>14409</v>
      </c>
      <c r="B3590" s="49" t="s">
        <v>8174</v>
      </c>
      <c r="C3590" s="49" t="s">
        <v>3420</v>
      </c>
      <c r="D3590" s="49" t="s">
        <v>1264</v>
      </c>
      <c r="E3590" s="49" t="s">
        <v>2908</v>
      </c>
      <c r="F3590" s="49" t="s">
        <v>7942</v>
      </c>
      <c r="G3590" s="49" t="s">
        <v>2787</v>
      </c>
      <c r="H3590" s="49" t="s">
        <v>980</v>
      </c>
      <c r="I3590" s="50">
        <v>42017</v>
      </c>
      <c r="J3590" s="50">
        <v>42121</v>
      </c>
      <c r="K3590" s="50">
        <v>43947</v>
      </c>
      <c r="M3590" s="49" t="s">
        <v>8176</v>
      </c>
    </row>
    <row r="3591" spans="1:13" x14ac:dyDescent="0.35">
      <c r="A3591" s="49" t="s">
        <v>14409</v>
      </c>
      <c r="B3591" s="49" t="s">
        <v>8694</v>
      </c>
      <c r="C3591" s="49"/>
      <c r="D3591" s="49" t="s">
        <v>1264</v>
      </c>
      <c r="E3591" s="49" t="s">
        <v>2814</v>
      </c>
      <c r="F3591" s="49" t="s">
        <v>2939</v>
      </c>
      <c r="G3591" s="49" t="s">
        <v>2826</v>
      </c>
      <c r="H3591" s="49" t="s">
        <v>980</v>
      </c>
      <c r="I3591" s="50">
        <v>41397</v>
      </c>
      <c r="M3591" s="49" t="s">
        <v>8695</v>
      </c>
    </row>
    <row r="3592" spans="1:13" x14ac:dyDescent="0.35">
      <c r="A3592" s="49" t="s">
        <v>14813</v>
      </c>
      <c r="B3592" s="49" t="s">
        <v>8071</v>
      </c>
      <c r="C3592" s="49" t="s">
        <v>8072</v>
      </c>
      <c r="D3592" s="49" t="s">
        <v>1264</v>
      </c>
      <c r="E3592" s="49" t="s">
        <v>2908</v>
      </c>
      <c r="F3592" s="49" t="s">
        <v>2837</v>
      </c>
      <c r="G3592" s="49" t="s">
        <v>2787</v>
      </c>
      <c r="H3592" s="49" t="s">
        <v>980</v>
      </c>
      <c r="I3592" s="50">
        <v>29321</v>
      </c>
      <c r="J3592" s="50">
        <v>29382</v>
      </c>
      <c r="K3592" s="50">
        <v>39846</v>
      </c>
      <c r="M3592" s="49" t="s">
        <v>8074</v>
      </c>
    </row>
    <row r="3593" spans="1:13" x14ac:dyDescent="0.35">
      <c r="A3593" s="49" t="s">
        <v>14813</v>
      </c>
      <c r="B3593" s="49" t="s">
        <v>8203</v>
      </c>
      <c r="C3593" s="49" t="s">
        <v>3033</v>
      </c>
      <c r="D3593" s="49" t="s">
        <v>1264</v>
      </c>
      <c r="E3593" s="49" t="s">
        <v>2908</v>
      </c>
      <c r="F3593" s="49" t="s">
        <v>2837</v>
      </c>
      <c r="G3593" s="49" t="s">
        <v>2826</v>
      </c>
      <c r="H3593" s="49" t="s">
        <v>980</v>
      </c>
      <c r="I3593" s="50">
        <v>32045</v>
      </c>
      <c r="J3593" s="50">
        <v>32344</v>
      </c>
      <c r="K3593" s="50">
        <v>39629</v>
      </c>
      <c r="M3593" s="49" t="s">
        <v>8204</v>
      </c>
    </row>
    <row r="3594" spans="1:13" x14ac:dyDescent="0.35">
      <c r="A3594" s="49" t="s">
        <v>14813</v>
      </c>
      <c r="B3594" s="49" t="s">
        <v>8426</v>
      </c>
      <c r="C3594" s="49" t="s">
        <v>8427</v>
      </c>
      <c r="D3594" s="49" t="s">
        <v>1264</v>
      </c>
      <c r="E3594" s="49" t="s">
        <v>2908</v>
      </c>
      <c r="F3594" s="49" t="s">
        <v>2837</v>
      </c>
      <c r="G3594" s="49" t="s">
        <v>2787</v>
      </c>
      <c r="H3594" s="49" t="s">
        <v>980</v>
      </c>
      <c r="I3594" s="50">
        <v>32258</v>
      </c>
      <c r="J3594" s="50">
        <v>33156</v>
      </c>
      <c r="K3594" s="50">
        <v>37513</v>
      </c>
      <c r="M3594" s="49" t="s">
        <v>8428</v>
      </c>
    </row>
    <row r="3595" spans="1:13" x14ac:dyDescent="0.35">
      <c r="A3595" s="49" t="s">
        <v>14813</v>
      </c>
      <c r="B3595" s="49" t="s">
        <v>8429</v>
      </c>
      <c r="C3595" s="49" t="s">
        <v>8430</v>
      </c>
      <c r="D3595" s="49" t="s">
        <v>1264</v>
      </c>
      <c r="E3595" s="49" t="s">
        <v>2908</v>
      </c>
      <c r="F3595" s="49" t="s">
        <v>2837</v>
      </c>
      <c r="G3595" s="49" t="s">
        <v>2826</v>
      </c>
      <c r="H3595" s="49" t="s">
        <v>980</v>
      </c>
      <c r="J3595" s="50">
        <v>34316</v>
      </c>
      <c r="K3595" s="50">
        <v>39629</v>
      </c>
      <c r="M3595" s="49" t="s">
        <v>8431</v>
      </c>
    </row>
    <row r="3596" spans="1:13" x14ac:dyDescent="0.35">
      <c r="A3596" s="49" t="s">
        <v>14813</v>
      </c>
      <c r="B3596" s="49" t="s">
        <v>8467</v>
      </c>
      <c r="C3596" s="49" t="s">
        <v>8468</v>
      </c>
      <c r="D3596" s="49" t="s">
        <v>1264</v>
      </c>
      <c r="E3596" s="49" t="s">
        <v>2908</v>
      </c>
      <c r="F3596" s="49" t="s">
        <v>2837</v>
      </c>
      <c r="G3596" s="49" t="s">
        <v>2826</v>
      </c>
      <c r="H3596" s="49" t="s">
        <v>980</v>
      </c>
      <c r="I3596" s="50">
        <v>33830</v>
      </c>
      <c r="J3596" s="50">
        <v>36420</v>
      </c>
      <c r="K3596" s="50">
        <v>39902</v>
      </c>
      <c r="M3596" s="49" t="s">
        <v>8431</v>
      </c>
    </row>
    <row r="3597" spans="1:13" x14ac:dyDescent="0.35">
      <c r="A3597" s="49" t="s">
        <v>14330</v>
      </c>
      <c r="B3597" s="49" t="s">
        <v>7160</v>
      </c>
      <c r="C3597" s="49" t="s">
        <v>3227</v>
      </c>
      <c r="D3597" s="49" t="s">
        <v>1264</v>
      </c>
      <c r="E3597" s="49" t="s">
        <v>2908</v>
      </c>
      <c r="F3597" s="49" t="s">
        <v>2939</v>
      </c>
      <c r="G3597" s="49" t="s">
        <v>2787</v>
      </c>
      <c r="H3597" s="49" t="s">
        <v>3229</v>
      </c>
      <c r="I3597" s="50">
        <v>41207</v>
      </c>
      <c r="J3597" s="50">
        <v>41290</v>
      </c>
      <c r="K3597" s="50">
        <v>43115</v>
      </c>
      <c r="M3597" s="49" t="s">
        <v>7162</v>
      </c>
    </row>
    <row r="3598" spans="1:13" x14ac:dyDescent="0.35">
      <c r="A3598" s="49" t="s">
        <v>14330</v>
      </c>
      <c r="B3598" s="49" t="s">
        <v>9652</v>
      </c>
      <c r="C3598" s="49" t="s">
        <v>9653</v>
      </c>
      <c r="D3598" s="49" t="s">
        <v>1264</v>
      </c>
      <c r="E3598" s="49" t="s">
        <v>2908</v>
      </c>
      <c r="F3598" s="49" t="s">
        <v>9654</v>
      </c>
      <c r="G3598" s="49" t="s">
        <v>2776</v>
      </c>
      <c r="H3598" s="49" t="s">
        <v>980</v>
      </c>
      <c r="I3598" s="50">
        <v>41677</v>
      </c>
      <c r="M3598" s="49" t="s">
        <v>9655</v>
      </c>
    </row>
    <row r="3599" spans="1:13" x14ac:dyDescent="0.35">
      <c r="A3599" s="49" t="s">
        <v>15506</v>
      </c>
      <c r="B3599" s="49" t="s">
        <v>9147</v>
      </c>
      <c r="C3599" s="49" t="s">
        <v>3420</v>
      </c>
      <c r="D3599" s="49" t="s">
        <v>1264</v>
      </c>
      <c r="E3599" s="49" t="s">
        <v>2908</v>
      </c>
      <c r="F3599" s="49" t="s">
        <v>2939</v>
      </c>
      <c r="G3599" s="49" t="s">
        <v>2776</v>
      </c>
      <c r="H3599" s="49" t="s">
        <v>980</v>
      </c>
      <c r="I3599" s="50">
        <v>42024</v>
      </c>
      <c r="M3599" s="49" t="s">
        <v>9149</v>
      </c>
    </row>
    <row r="3600" spans="1:13" x14ac:dyDescent="0.35">
      <c r="A3600" s="49" t="s">
        <v>14695</v>
      </c>
      <c r="B3600" s="49" t="s">
        <v>14008</v>
      </c>
      <c r="C3600" s="49" t="s">
        <v>13813</v>
      </c>
      <c r="D3600" s="49" t="s">
        <v>1264</v>
      </c>
      <c r="E3600" s="49" t="s">
        <v>2774</v>
      </c>
      <c r="F3600" s="49" t="s">
        <v>2825</v>
      </c>
      <c r="G3600" s="49" t="s">
        <v>2776</v>
      </c>
      <c r="H3600" s="49" t="s">
        <v>2827</v>
      </c>
      <c r="I3600" s="50">
        <v>41337</v>
      </c>
      <c r="M3600" s="49" t="s">
        <v>14010</v>
      </c>
    </row>
    <row r="3601" spans="1:13" x14ac:dyDescent="0.35">
      <c r="A3601" s="49" t="s">
        <v>14695</v>
      </c>
      <c r="B3601" s="49" t="s">
        <v>14019</v>
      </c>
      <c r="C3601" s="49"/>
      <c r="D3601" s="49" t="s">
        <v>1264</v>
      </c>
      <c r="E3601" s="49" t="s">
        <v>2774</v>
      </c>
      <c r="F3601" s="49" t="s">
        <v>2825</v>
      </c>
      <c r="G3601" s="49" t="s">
        <v>2776</v>
      </c>
      <c r="H3601" s="49" t="s">
        <v>2827</v>
      </c>
      <c r="I3601" s="50">
        <v>41183</v>
      </c>
      <c r="M3601" s="49" t="s">
        <v>14010</v>
      </c>
    </row>
    <row r="3602" spans="1:13" x14ac:dyDescent="0.35">
      <c r="A3602" s="49" t="s">
        <v>10777</v>
      </c>
      <c r="B3602" s="49" t="s">
        <v>10776</v>
      </c>
      <c r="C3602" s="49"/>
      <c r="D3602" s="49" t="s">
        <v>1264</v>
      </c>
      <c r="E3602" s="49" t="s">
        <v>2908</v>
      </c>
      <c r="F3602" s="49" t="s">
        <v>2939</v>
      </c>
      <c r="G3602" s="49" t="s">
        <v>2776</v>
      </c>
      <c r="H3602" s="49" t="s">
        <v>980</v>
      </c>
      <c r="I3602" s="50">
        <v>42020</v>
      </c>
      <c r="M3602" s="49" t="s">
        <v>10778</v>
      </c>
    </row>
    <row r="3603" spans="1:13" x14ac:dyDescent="0.35">
      <c r="A3603" s="49" t="s">
        <v>14823</v>
      </c>
      <c r="B3603" s="49" t="s">
        <v>3818</v>
      </c>
      <c r="C3603" s="49" t="s">
        <v>3582</v>
      </c>
      <c r="D3603" s="49" t="s">
        <v>1264</v>
      </c>
      <c r="E3603" s="49" t="s">
        <v>3443</v>
      </c>
      <c r="F3603" s="49" t="s">
        <v>3124</v>
      </c>
      <c r="G3603" s="49" t="s">
        <v>2787</v>
      </c>
      <c r="H3603" s="49" t="s">
        <v>980</v>
      </c>
      <c r="I3603" s="50">
        <v>43339</v>
      </c>
      <c r="J3603" s="50">
        <v>43370</v>
      </c>
      <c r="K3603" s="50">
        <v>45195</v>
      </c>
      <c r="M3603" s="49" t="s">
        <v>3820</v>
      </c>
    </row>
    <row r="3604" spans="1:13" x14ac:dyDescent="0.35">
      <c r="A3604" s="49" t="s">
        <v>15230</v>
      </c>
      <c r="B3604" s="49" t="s">
        <v>5269</v>
      </c>
      <c r="C3604" s="49"/>
      <c r="D3604" s="49" t="s">
        <v>1264</v>
      </c>
      <c r="E3604" s="49" t="s">
        <v>2908</v>
      </c>
      <c r="F3604" s="49" t="s">
        <v>2837</v>
      </c>
      <c r="G3604" s="49" t="s">
        <v>2901</v>
      </c>
      <c r="H3604" s="49" t="s">
        <v>2827</v>
      </c>
      <c r="I3604" s="50">
        <v>43552</v>
      </c>
      <c r="J3604" s="50">
        <v>44789</v>
      </c>
      <c r="K3604" s="50">
        <v>46614</v>
      </c>
      <c r="M3604" s="49" t="s">
        <v>5271</v>
      </c>
    </row>
    <row r="3605" spans="1:13" x14ac:dyDescent="0.35">
      <c r="A3605" s="49" t="s">
        <v>15230</v>
      </c>
      <c r="B3605" s="49" t="s">
        <v>5840</v>
      </c>
      <c r="C3605" s="49"/>
      <c r="D3605" s="49" t="s">
        <v>1264</v>
      </c>
      <c r="E3605" s="49" t="s">
        <v>3443</v>
      </c>
      <c r="F3605" s="49" t="s">
        <v>3124</v>
      </c>
      <c r="G3605" s="49" t="s">
        <v>2901</v>
      </c>
      <c r="H3605" s="49" t="s">
        <v>980</v>
      </c>
      <c r="I3605" s="50">
        <v>45261</v>
      </c>
      <c r="J3605" s="50">
        <v>45145</v>
      </c>
      <c r="K3605" s="50">
        <v>46971</v>
      </c>
    </row>
    <row r="3606" spans="1:13" x14ac:dyDescent="0.35">
      <c r="A3606" s="49" t="s">
        <v>15507</v>
      </c>
      <c r="B3606" s="49" t="s">
        <v>4170</v>
      </c>
      <c r="C3606" s="49" t="s">
        <v>3768</v>
      </c>
      <c r="D3606" s="49" t="s">
        <v>1264</v>
      </c>
      <c r="E3606" s="49" t="s">
        <v>3443</v>
      </c>
      <c r="F3606" s="49" t="s">
        <v>3124</v>
      </c>
      <c r="G3606" s="49" t="s">
        <v>2901</v>
      </c>
      <c r="H3606" s="49" t="s">
        <v>980</v>
      </c>
      <c r="I3606" s="50">
        <v>43815</v>
      </c>
      <c r="J3606" s="50">
        <v>43879</v>
      </c>
      <c r="K3606" s="50">
        <v>45705</v>
      </c>
      <c r="M3606" s="49" t="s">
        <v>4121</v>
      </c>
    </row>
    <row r="3607" spans="1:13" x14ac:dyDescent="0.35">
      <c r="A3607" s="49" t="s">
        <v>14323</v>
      </c>
      <c r="B3607" s="49" t="s">
        <v>7054</v>
      </c>
      <c r="C3607" s="49" t="s">
        <v>7055</v>
      </c>
      <c r="D3607" s="49" t="s">
        <v>1264</v>
      </c>
      <c r="E3607" s="49" t="s">
        <v>7057</v>
      </c>
      <c r="F3607" s="49" t="s">
        <v>2825</v>
      </c>
      <c r="G3607" s="49" t="s">
        <v>2787</v>
      </c>
      <c r="H3607" s="49" t="s">
        <v>2827</v>
      </c>
      <c r="I3607" s="50">
        <v>40822</v>
      </c>
      <c r="J3607" s="50">
        <v>40914</v>
      </c>
      <c r="K3607" s="50">
        <v>41644</v>
      </c>
      <c r="M3607" s="49" t="s">
        <v>7058</v>
      </c>
    </row>
    <row r="3608" spans="1:13" x14ac:dyDescent="0.35">
      <c r="A3608" s="49" t="s">
        <v>14812</v>
      </c>
      <c r="B3608" s="49" t="s">
        <v>13974</v>
      </c>
      <c r="C3608" s="49" t="s">
        <v>13975</v>
      </c>
      <c r="D3608" s="49" t="s">
        <v>1264</v>
      </c>
      <c r="E3608" s="49" t="s">
        <v>2774</v>
      </c>
      <c r="F3608" s="49" t="s">
        <v>2825</v>
      </c>
      <c r="G3608" s="49" t="s">
        <v>2776</v>
      </c>
      <c r="H3608" s="49" t="s">
        <v>2827</v>
      </c>
      <c r="I3608" s="50">
        <v>43441</v>
      </c>
      <c r="M3608" s="49" t="s">
        <v>13977</v>
      </c>
    </row>
    <row r="3609" spans="1:13" x14ac:dyDescent="0.35">
      <c r="A3609" s="49" t="s">
        <v>13750</v>
      </c>
      <c r="B3609" s="49" t="s">
        <v>13749</v>
      </c>
      <c r="C3609" s="49"/>
      <c r="D3609" s="49" t="s">
        <v>1264</v>
      </c>
      <c r="E3609" s="49" t="s">
        <v>2814</v>
      </c>
      <c r="F3609" s="49" t="s">
        <v>3405</v>
      </c>
      <c r="G3609" s="49" t="s">
        <v>2776</v>
      </c>
      <c r="H3609" s="49" t="s">
        <v>973</v>
      </c>
      <c r="I3609" s="50">
        <v>43188</v>
      </c>
      <c r="M3609" s="49" t="s">
        <v>13751</v>
      </c>
    </row>
    <row r="3610" spans="1:13" x14ac:dyDescent="0.35">
      <c r="A3610" s="49" t="s">
        <v>14582</v>
      </c>
      <c r="B3610" s="49" t="s">
        <v>10756</v>
      </c>
      <c r="C3610" s="49"/>
      <c r="D3610" s="49" t="s">
        <v>1264</v>
      </c>
      <c r="E3610" s="49" t="s">
        <v>2908</v>
      </c>
      <c r="F3610" s="49" t="s">
        <v>2939</v>
      </c>
      <c r="G3610" s="49" t="s">
        <v>2776</v>
      </c>
      <c r="H3610" s="49" t="s">
        <v>980</v>
      </c>
      <c r="I3610" s="50">
        <v>41611</v>
      </c>
      <c r="M3610" s="49" t="s">
        <v>10758</v>
      </c>
    </row>
    <row r="3611" spans="1:13" x14ac:dyDescent="0.35">
      <c r="A3611" s="49" t="s">
        <v>14811</v>
      </c>
      <c r="B3611" s="49" t="s">
        <v>9245</v>
      </c>
      <c r="C3611" s="49"/>
      <c r="D3611" s="49" t="s">
        <v>1264</v>
      </c>
      <c r="E3611" s="49" t="s">
        <v>2908</v>
      </c>
      <c r="F3611" s="49" t="s">
        <v>2805</v>
      </c>
      <c r="G3611" s="49" t="s">
        <v>2776</v>
      </c>
      <c r="H3611" s="49" t="s">
        <v>980</v>
      </c>
      <c r="I3611" s="50">
        <v>43528</v>
      </c>
      <c r="M3611" s="49" t="s">
        <v>9247</v>
      </c>
    </row>
    <row r="3612" spans="1:13" x14ac:dyDescent="0.35">
      <c r="A3612" s="49" t="s">
        <v>14811</v>
      </c>
      <c r="B3612" s="49" t="s">
        <v>10416</v>
      </c>
      <c r="C3612" s="49" t="s">
        <v>10417</v>
      </c>
      <c r="D3612" s="49" t="s">
        <v>1264</v>
      </c>
      <c r="E3612" s="49" t="s">
        <v>2814</v>
      </c>
      <c r="F3612" s="49" t="s">
        <v>2805</v>
      </c>
      <c r="G3612" s="49" t="s">
        <v>2776</v>
      </c>
      <c r="H3612" s="49" t="s">
        <v>1062</v>
      </c>
      <c r="I3612" s="50">
        <v>43384</v>
      </c>
      <c r="M3612" s="49" t="s">
        <v>10418</v>
      </c>
    </row>
    <row r="3613" spans="1:13" x14ac:dyDescent="0.35">
      <c r="A3613" s="49" t="s">
        <v>14811</v>
      </c>
      <c r="B3613" s="49" t="s">
        <v>10419</v>
      </c>
      <c r="C3613" s="49" t="s">
        <v>10420</v>
      </c>
      <c r="D3613" s="49" t="s">
        <v>1264</v>
      </c>
      <c r="E3613" s="49" t="s">
        <v>2814</v>
      </c>
      <c r="F3613" s="49" t="s">
        <v>2805</v>
      </c>
      <c r="G3613" s="49" t="s">
        <v>2776</v>
      </c>
      <c r="H3613" s="49" t="s">
        <v>3207</v>
      </c>
      <c r="I3613" s="50">
        <v>43384</v>
      </c>
      <c r="M3613" s="49" t="s">
        <v>6985</v>
      </c>
    </row>
    <row r="3614" spans="1:13" x14ac:dyDescent="0.35">
      <c r="A3614" s="49" t="s">
        <v>14811</v>
      </c>
      <c r="B3614" s="49" t="s">
        <v>10421</v>
      </c>
      <c r="C3614" s="49" t="s">
        <v>10422</v>
      </c>
      <c r="D3614" s="49" t="s">
        <v>1264</v>
      </c>
      <c r="E3614" s="49" t="s">
        <v>2814</v>
      </c>
      <c r="F3614" s="49" t="s">
        <v>2805</v>
      </c>
      <c r="G3614" s="49" t="s">
        <v>2776</v>
      </c>
      <c r="H3614" s="49" t="s">
        <v>980</v>
      </c>
      <c r="I3614" s="50">
        <v>43384</v>
      </c>
      <c r="M3614" s="49" t="s">
        <v>10423</v>
      </c>
    </row>
    <row r="3615" spans="1:13" x14ac:dyDescent="0.35">
      <c r="A3615" s="49" t="s">
        <v>14811</v>
      </c>
      <c r="B3615" s="49" t="s">
        <v>10424</v>
      </c>
      <c r="C3615" s="49" t="s">
        <v>10425</v>
      </c>
      <c r="D3615" s="49" t="s">
        <v>1264</v>
      </c>
      <c r="E3615" s="49" t="s">
        <v>2814</v>
      </c>
      <c r="F3615" s="49" t="s">
        <v>2837</v>
      </c>
      <c r="G3615" s="49" t="s">
        <v>2776</v>
      </c>
      <c r="H3615" s="49" t="s">
        <v>1062</v>
      </c>
      <c r="I3615" s="50">
        <v>43384</v>
      </c>
      <c r="M3615" s="49" t="s">
        <v>10426</v>
      </c>
    </row>
    <row r="3616" spans="1:13" x14ac:dyDescent="0.35">
      <c r="A3616" s="49" t="s">
        <v>14811</v>
      </c>
      <c r="B3616" s="49" t="s">
        <v>10427</v>
      </c>
      <c r="C3616" s="49" t="s">
        <v>10428</v>
      </c>
      <c r="D3616" s="49" t="s">
        <v>1264</v>
      </c>
      <c r="E3616" s="49" t="s">
        <v>2814</v>
      </c>
      <c r="F3616" s="49" t="s">
        <v>2805</v>
      </c>
      <c r="G3616" s="49" t="s">
        <v>2776</v>
      </c>
      <c r="H3616" s="49" t="s">
        <v>3207</v>
      </c>
      <c r="I3616" s="50">
        <v>43384</v>
      </c>
      <c r="M3616" s="49" t="s">
        <v>10429</v>
      </c>
    </row>
    <row r="3617" spans="1:13" x14ac:dyDescent="0.35">
      <c r="A3617" s="49" t="s">
        <v>14811</v>
      </c>
      <c r="B3617" s="49" t="s">
        <v>10640</v>
      </c>
      <c r="C3617" s="49" t="s">
        <v>6594</v>
      </c>
      <c r="D3617" s="49" t="s">
        <v>1264</v>
      </c>
      <c r="E3617" s="49" t="s">
        <v>2814</v>
      </c>
      <c r="F3617" s="49" t="s">
        <v>2805</v>
      </c>
      <c r="G3617" s="49" t="s">
        <v>2776</v>
      </c>
      <c r="H3617" s="49" t="s">
        <v>980</v>
      </c>
      <c r="I3617" s="50">
        <v>43384</v>
      </c>
      <c r="M3617" s="49" t="s">
        <v>10641</v>
      </c>
    </row>
    <row r="3618" spans="1:13" x14ac:dyDescent="0.35">
      <c r="A3618" s="49" t="s">
        <v>14811</v>
      </c>
      <c r="B3618" s="49" t="s">
        <v>10647</v>
      </c>
      <c r="C3618" s="49" t="s">
        <v>10648</v>
      </c>
      <c r="D3618" s="49" t="s">
        <v>1264</v>
      </c>
      <c r="E3618" s="49" t="s">
        <v>2814</v>
      </c>
      <c r="F3618" s="49" t="s">
        <v>2805</v>
      </c>
      <c r="G3618" s="49" t="s">
        <v>2776</v>
      </c>
      <c r="H3618" s="49" t="s">
        <v>1062</v>
      </c>
      <c r="I3618" s="50">
        <v>43384</v>
      </c>
      <c r="M3618" s="49" t="s">
        <v>10649</v>
      </c>
    </row>
    <row r="3619" spans="1:13" x14ac:dyDescent="0.35">
      <c r="A3619" s="49" t="s">
        <v>15508</v>
      </c>
      <c r="B3619" s="49" t="s">
        <v>10694</v>
      </c>
      <c r="C3619" s="49" t="s">
        <v>2937</v>
      </c>
      <c r="D3619" s="49" t="s">
        <v>1264</v>
      </c>
      <c r="E3619" s="49" t="s">
        <v>2908</v>
      </c>
      <c r="F3619" s="49" t="s">
        <v>2939</v>
      </c>
      <c r="G3619" s="49" t="s">
        <v>2776</v>
      </c>
      <c r="H3619" s="49" t="s">
        <v>980</v>
      </c>
      <c r="I3619" s="50">
        <v>43325</v>
      </c>
      <c r="M3619" s="49" t="s">
        <v>10696</v>
      </c>
    </row>
    <row r="3620" spans="1:13" x14ac:dyDescent="0.35">
      <c r="A3620" s="49" t="s">
        <v>15231</v>
      </c>
      <c r="B3620" s="49" t="s">
        <v>8001</v>
      </c>
      <c r="C3620" s="49" t="s">
        <v>8002</v>
      </c>
      <c r="D3620" s="49" t="s">
        <v>1264</v>
      </c>
      <c r="E3620" s="49" t="s">
        <v>2774</v>
      </c>
      <c r="F3620" s="49" t="s">
        <v>2825</v>
      </c>
      <c r="G3620" s="49" t="s">
        <v>2787</v>
      </c>
      <c r="H3620" s="49" t="s">
        <v>2827</v>
      </c>
      <c r="I3620" s="50">
        <v>40891</v>
      </c>
      <c r="J3620" s="50">
        <v>41110</v>
      </c>
      <c r="K3620" s="50">
        <v>43300</v>
      </c>
      <c r="M3620" s="49" t="s">
        <v>8004</v>
      </c>
    </row>
    <row r="3621" spans="1:13" x14ac:dyDescent="0.35">
      <c r="A3621" s="49" t="s">
        <v>713</v>
      </c>
      <c r="B3621" s="49" t="s">
        <v>2991</v>
      </c>
      <c r="C3621" s="49" t="s">
        <v>2992</v>
      </c>
      <c r="D3621" s="49" t="s">
        <v>1264</v>
      </c>
      <c r="E3621" s="49" t="s">
        <v>2899</v>
      </c>
      <c r="F3621" s="49" t="s">
        <v>2939</v>
      </c>
      <c r="G3621" s="49" t="s">
        <v>2901</v>
      </c>
      <c r="H3621" s="49" t="s">
        <v>8</v>
      </c>
      <c r="I3621" s="50">
        <v>38751</v>
      </c>
      <c r="J3621" s="50">
        <v>40102</v>
      </c>
      <c r="K3621" s="50">
        <v>47957</v>
      </c>
      <c r="M3621" s="49" t="s">
        <v>2994</v>
      </c>
    </row>
    <row r="3622" spans="1:13" x14ac:dyDescent="0.35">
      <c r="A3622" s="49" t="s">
        <v>713</v>
      </c>
      <c r="B3622" s="49" t="s">
        <v>2995</v>
      </c>
      <c r="C3622" s="49" t="s">
        <v>2996</v>
      </c>
      <c r="D3622" s="49" t="s">
        <v>1264</v>
      </c>
      <c r="E3622" s="49" t="s">
        <v>2899</v>
      </c>
      <c r="F3622" s="49" t="s">
        <v>2939</v>
      </c>
      <c r="G3622" s="49" t="s">
        <v>2901</v>
      </c>
      <c r="H3622" s="49" t="s">
        <v>980</v>
      </c>
      <c r="I3622" s="50">
        <v>38751</v>
      </c>
      <c r="J3622" s="50">
        <v>38826</v>
      </c>
      <c r="K3622" s="50">
        <v>48688</v>
      </c>
      <c r="M3622" s="49" t="s">
        <v>2998</v>
      </c>
    </row>
    <row r="3623" spans="1:13" x14ac:dyDescent="0.35">
      <c r="A3623" s="49" t="s">
        <v>713</v>
      </c>
      <c r="B3623" s="49" t="s">
        <v>2999</v>
      </c>
      <c r="C3623" s="49" t="s">
        <v>3000</v>
      </c>
      <c r="D3623" s="49" t="s">
        <v>1264</v>
      </c>
      <c r="E3623" s="49" t="s">
        <v>2899</v>
      </c>
      <c r="F3623" s="49" t="s">
        <v>2939</v>
      </c>
      <c r="G3623" s="49" t="s">
        <v>2901</v>
      </c>
      <c r="H3623" s="49" t="s">
        <v>980</v>
      </c>
      <c r="I3623" s="50">
        <v>38751</v>
      </c>
      <c r="J3623" s="50">
        <v>38826</v>
      </c>
      <c r="K3623" s="50">
        <v>47956</v>
      </c>
      <c r="M3623" s="49" t="s">
        <v>3001</v>
      </c>
    </row>
    <row r="3624" spans="1:13" x14ac:dyDescent="0.35">
      <c r="A3624" s="49" t="s">
        <v>713</v>
      </c>
      <c r="B3624" s="49" t="s">
        <v>3485</v>
      </c>
      <c r="C3624" s="49" t="s">
        <v>3354</v>
      </c>
      <c r="D3624" s="49" t="s">
        <v>1264</v>
      </c>
      <c r="E3624" s="49" t="s">
        <v>2908</v>
      </c>
      <c r="F3624" s="49" t="s">
        <v>2939</v>
      </c>
      <c r="G3624" s="49" t="s">
        <v>2901</v>
      </c>
      <c r="H3624" s="49" t="s">
        <v>980</v>
      </c>
      <c r="I3624" s="50">
        <v>42426</v>
      </c>
      <c r="J3624" s="50">
        <v>42438</v>
      </c>
      <c r="K3624" s="50">
        <v>46089</v>
      </c>
      <c r="M3624" s="49" t="s">
        <v>3486</v>
      </c>
    </row>
    <row r="3625" spans="1:13" x14ac:dyDescent="0.35">
      <c r="A3625" s="49" t="s">
        <v>713</v>
      </c>
      <c r="B3625" s="49" t="s">
        <v>3900</v>
      </c>
      <c r="C3625" s="49" t="s">
        <v>3901</v>
      </c>
      <c r="D3625" s="49" t="s">
        <v>1264</v>
      </c>
      <c r="E3625" s="49" t="s">
        <v>2908</v>
      </c>
      <c r="F3625" s="49" t="s">
        <v>2786</v>
      </c>
      <c r="G3625" s="49" t="s">
        <v>2787</v>
      </c>
      <c r="H3625" s="49" t="s">
        <v>980</v>
      </c>
      <c r="I3625" s="50">
        <v>43537</v>
      </c>
      <c r="J3625" s="50">
        <v>43657</v>
      </c>
      <c r="K3625" s="50">
        <v>45505</v>
      </c>
      <c r="M3625" s="49" t="s">
        <v>3902</v>
      </c>
    </row>
    <row r="3626" spans="1:13" x14ac:dyDescent="0.35">
      <c r="A3626" s="49" t="s">
        <v>713</v>
      </c>
      <c r="B3626" s="49" t="s">
        <v>5122</v>
      </c>
      <c r="C3626" s="49"/>
      <c r="D3626" s="49" t="s">
        <v>1264</v>
      </c>
      <c r="E3626" s="49" t="s">
        <v>2814</v>
      </c>
      <c r="F3626" s="49" t="s">
        <v>5123</v>
      </c>
      <c r="G3626" s="49" t="s">
        <v>2787</v>
      </c>
      <c r="H3626" s="49" t="s">
        <v>980</v>
      </c>
      <c r="I3626" s="50">
        <v>44684</v>
      </c>
      <c r="J3626" s="50">
        <v>44783</v>
      </c>
      <c r="K3626" s="50">
        <v>44966</v>
      </c>
      <c r="M3626" s="49" t="s">
        <v>5124</v>
      </c>
    </row>
    <row r="3627" spans="1:13" x14ac:dyDescent="0.35">
      <c r="A3627" s="49" t="s">
        <v>713</v>
      </c>
      <c r="B3627" s="49" t="s">
        <v>5125</v>
      </c>
      <c r="C3627" s="49"/>
      <c r="D3627" s="49" t="s">
        <v>1264</v>
      </c>
      <c r="E3627" s="49" t="s">
        <v>2814</v>
      </c>
      <c r="F3627" s="49" t="s">
        <v>2786</v>
      </c>
      <c r="G3627" s="49" t="s">
        <v>2787</v>
      </c>
      <c r="H3627" s="49" t="s">
        <v>980</v>
      </c>
      <c r="I3627" s="50">
        <v>44704</v>
      </c>
      <c r="J3627" s="50">
        <v>44728</v>
      </c>
      <c r="K3627" s="50">
        <v>44910</v>
      </c>
      <c r="M3627" s="49" t="s">
        <v>5126</v>
      </c>
    </row>
    <row r="3628" spans="1:13" x14ac:dyDescent="0.35">
      <c r="A3628" s="49" t="s">
        <v>713</v>
      </c>
      <c r="B3628" s="49" t="s">
        <v>5219</v>
      </c>
      <c r="C3628" s="49"/>
      <c r="D3628" s="49" t="s">
        <v>1264</v>
      </c>
      <c r="E3628" s="49" t="s">
        <v>2814</v>
      </c>
      <c r="F3628" s="49" t="s">
        <v>4966</v>
      </c>
      <c r="G3628" s="49" t="s">
        <v>2787</v>
      </c>
      <c r="H3628" s="49" t="s">
        <v>980</v>
      </c>
      <c r="I3628" s="50">
        <v>44915</v>
      </c>
      <c r="J3628" s="50">
        <v>45288</v>
      </c>
      <c r="K3628" s="50">
        <v>45440</v>
      </c>
      <c r="M3628" s="49" t="s">
        <v>5220</v>
      </c>
    </row>
    <row r="3629" spans="1:13" x14ac:dyDescent="0.35">
      <c r="A3629" s="49" t="s">
        <v>713</v>
      </c>
      <c r="B3629" s="49" t="s">
        <v>5242</v>
      </c>
      <c r="C3629" s="49"/>
      <c r="D3629" s="49" t="s">
        <v>1264</v>
      </c>
      <c r="E3629" s="49" t="s">
        <v>2908</v>
      </c>
      <c r="F3629" s="49" t="s">
        <v>2939</v>
      </c>
      <c r="G3629" s="49" t="s">
        <v>2901</v>
      </c>
      <c r="H3629" s="49" t="s">
        <v>980</v>
      </c>
      <c r="I3629" s="50">
        <v>44361</v>
      </c>
      <c r="J3629" s="50">
        <v>44383</v>
      </c>
      <c r="K3629" s="50">
        <v>46208</v>
      </c>
      <c r="M3629" s="49" t="s">
        <v>5243</v>
      </c>
    </row>
    <row r="3630" spans="1:13" x14ac:dyDescent="0.35">
      <c r="A3630" s="49" t="s">
        <v>713</v>
      </c>
      <c r="B3630" s="49" t="s">
        <v>5329</v>
      </c>
      <c r="C3630" s="49"/>
      <c r="D3630" s="49" t="s">
        <v>1264</v>
      </c>
      <c r="E3630" s="49" t="s">
        <v>2908</v>
      </c>
      <c r="F3630" s="49" t="s">
        <v>2939</v>
      </c>
      <c r="G3630" s="49" t="s">
        <v>4330</v>
      </c>
      <c r="H3630" s="49" t="s">
        <v>980</v>
      </c>
      <c r="I3630" s="50">
        <v>44446</v>
      </c>
      <c r="J3630" s="50">
        <v>44452</v>
      </c>
      <c r="K3630" s="50">
        <v>46277</v>
      </c>
      <c r="M3630" s="49" t="s">
        <v>3634</v>
      </c>
    </row>
    <row r="3631" spans="1:13" x14ac:dyDescent="0.35">
      <c r="A3631" s="49" t="s">
        <v>713</v>
      </c>
      <c r="B3631" s="49" t="s">
        <v>6140</v>
      </c>
      <c r="C3631" s="49"/>
      <c r="D3631" s="49" t="s">
        <v>1264</v>
      </c>
      <c r="E3631" s="49" t="s">
        <v>2908</v>
      </c>
      <c r="F3631" s="49" t="s">
        <v>2805</v>
      </c>
      <c r="G3631" s="49" t="s">
        <v>2901</v>
      </c>
      <c r="H3631" s="49" t="s">
        <v>973</v>
      </c>
      <c r="I3631" s="50">
        <v>44715</v>
      </c>
      <c r="J3631" s="50">
        <v>44708</v>
      </c>
      <c r="K3631" s="50">
        <v>46533</v>
      </c>
      <c r="M3631" s="49" t="s">
        <v>6141</v>
      </c>
    </row>
    <row r="3632" spans="1:13" x14ac:dyDescent="0.35">
      <c r="A3632" s="49" t="s">
        <v>713</v>
      </c>
      <c r="B3632" s="49" t="s">
        <v>6150</v>
      </c>
      <c r="C3632" s="49" t="s">
        <v>2937</v>
      </c>
      <c r="D3632" s="49" t="s">
        <v>1264</v>
      </c>
      <c r="E3632" s="49" t="s">
        <v>2908</v>
      </c>
      <c r="F3632" s="49" t="s">
        <v>2939</v>
      </c>
      <c r="G3632" s="49" t="s">
        <v>4330</v>
      </c>
      <c r="H3632" s="49" t="s">
        <v>980</v>
      </c>
      <c r="I3632" s="50">
        <v>44446</v>
      </c>
      <c r="M3632" s="49" t="s">
        <v>6151</v>
      </c>
    </row>
    <row r="3633" spans="1:13" x14ac:dyDescent="0.35">
      <c r="A3633" s="49" t="s">
        <v>713</v>
      </c>
      <c r="B3633" s="49" t="s">
        <v>6160</v>
      </c>
      <c r="C3633" s="49"/>
      <c r="D3633" s="49" t="s">
        <v>1264</v>
      </c>
      <c r="E3633" s="49" t="s">
        <v>2908</v>
      </c>
      <c r="F3633" s="49" t="s">
        <v>2805</v>
      </c>
      <c r="G3633" s="49" t="s">
        <v>2901</v>
      </c>
      <c r="H3633" s="49" t="s">
        <v>973</v>
      </c>
      <c r="I3633" s="50">
        <v>44704</v>
      </c>
      <c r="J3633" s="50">
        <v>44708</v>
      </c>
      <c r="K3633" s="50">
        <v>46533</v>
      </c>
      <c r="M3633" s="49" t="s">
        <v>6161</v>
      </c>
    </row>
    <row r="3634" spans="1:13" x14ac:dyDescent="0.35">
      <c r="A3634" s="49" t="s">
        <v>713</v>
      </c>
      <c r="B3634" s="49" t="s">
        <v>6162</v>
      </c>
      <c r="C3634" s="49" t="s">
        <v>3218</v>
      </c>
      <c r="D3634" s="49" t="s">
        <v>1264</v>
      </c>
      <c r="E3634" s="49" t="s">
        <v>2814</v>
      </c>
      <c r="F3634" s="49" t="s">
        <v>4611</v>
      </c>
      <c r="G3634" s="49" t="s">
        <v>2787</v>
      </c>
      <c r="H3634" s="49" t="s">
        <v>980</v>
      </c>
      <c r="I3634" s="50">
        <v>45229</v>
      </c>
      <c r="J3634" s="50">
        <v>45253</v>
      </c>
      <c r="K3634" s="50">
        <v>45434</v>
      </c>
      <c r="M3634" s="49" t="s">
        <v>6163</v>
      </c>
    </row>
    <row r="3635" spans="1:13" x14ac:dyDescent="0.35">
      <c r="A3635" s="49" t="s">
        <v>713</v>
      </c>
      <c r="B3635" s="49" t="s">
        <v>6225</v>
      </c>
      <c r="C3635" s="49"/>
      <c r="D3635" s="49" t="s">
        <v>1264</v>
      </c>
      <c r="E3635" s="49" t="s">
        <v>2908</v>
      </c>
      <c r="F3635" s="49" t="s">
        <v>2786</v>
      </c>
      <c r="G3635" s="49" t="s">
        <v>2901</v>
      </c>
      <c r="H3635" s="49" t="s">
        <v>980</v>
      </c>
      <c r="I3635" s="50">
        <v>45016</v>
      </c>
      <c r="J3635" s="50">
        <v>45034</v>
      </c>
      <c r="K3635" s="50">
        <v>46860</v>
      </c>
      <c r="M3635" s="49" t="s">
        <v>6226</v>
      </c>
    </row>
    <row r="3636" spans="1:13" x14ac:dyDescent="0.35">
      <c r="A3636" s="49" t="s">
        <v>713</v>
      </c>
      <c r="B3636" s="49" t="s">
        <v>6229</v>
      </c>
      <c r="C3636" s="49"/>
      <c r="D3636" s="49" t="s">
        <v>1264</v>
      </c>
      <c r="E3636" s="49" t="s">
        <v>2908</v>
      </c>
      <c r="F3636" s="49" t="s">
        <v>2939</v>
      </c>
      <c r="G3636" s="49" t="s">
        <v>2901</v>
      </c>
      <c r="H3636" s="49" t="s">
        <v>980</v>
      </c>
      <c r="I3636" s="50">
        <v>45000</v>
      </c>
      <c r="J3636" s="50">
        <v>45034</v>
      </c>
      <c r="K3636" s="50">
        <v>46860</v>
      </c>
      <c r="M3636" s="49" t="s">
        <v>6230</v>
      </c>
    </row>
    <row r="3637" spans="1:13" x14ac:dyDescent="0.35">
      <c r="A3637" s="49" t="s">
        <v>713</v>
      </c>
      <c r="B3637" s="49" t="s">
        <v>6258</v>
      </c>
      <c r="C3637" s="49"/>
      <c r="D3637" s="49" t="s">
        <v>1264</v>
      </c>
      <c r="E3637" s="49" t="s">
        <v>2908</v>
      </c>
      <c r="F3637" s="49" t="s">
        <v>2939</v>
      </c>
      <c r="G3637" s="49" t="s">
        <v>2901</v>
      </c>
      <c r="H3637" s="49" t="s">
        <v>980</v>
      </c>
      <c r="I3637" s="50">
        <v>45016</v>
      </c>
      <c r="J3637" s="50">
        <v>45040</v>
      </c>
      <c r="K3637" s="50">
        <v>46866</v>
      </c>
      <c r="M3637" s="49" t="s">
        <v>6259</v>
      </c>
    </row>
    <row r="3638" spans="1:13" x14ac:dyDescent="0.35">
      <c r="A3638" s="49" t="s">
        <v>713</v>
      </c>
      <c r="B3638" s="49" t="s">
        <v>6539</v>
      </c>
      <c r="C3638" s="49"/>
      <c r="D3638" s="49" t="s">
        <v>1264</v>
      </c>
      <c r="E3638" s="49" t="s">
        <v>2814</v>
      </c>
      <c r="F3638" s="49" t="s">
        <v>2805</v>
      </c>
      <c r="G3638" s="49" t="s">
        <v>2787</v>
      </c>
      <c r="H3638" s="49" t="s">
        <v>8</v>
      </c>
      <c r="I3638" s="50">
        <v>45288</v>
      </c>
      <c r="J3638" s="50">
        <v>45307</v>
      </c>
      <c r="K3638" s="50">
        <v>45488</v>
      </c>
      <c r="M3638" s="49" t="s">
        <v>6540</v>
      </c>
    </row>
    <row r="3639" spans="1:13" x14ac:dyDescent="0.35">
      <c r="A3639" s="49" t="s">
        <v>713</v>
      </c>
      <c r="B3639" s="49" t="s">
        <v>6984</v>
      </c>
      <c r="C3639" s="49" t="s">
        <v>3102</v>
      </c>
      <c r="D3639" s="49" t="s">
        <v>1264</v>
      </c>
      <c r="E3639" s="49" t="s">
        <v>2908</v>
      </c>
      <c r="F3639" s="49" t="s">
        <v>2939</v>
      </c>
      <c r="G3639" s="49" t="s">
        <v>2826</v>
      </c>
      <c r="H3639" s="49" t="s">
        <v>8</v>
      </c>
      <c r="I3639" s="50">
        <v>34128</v>
      </c>
      <c r="J3639" s="50">
        <v>34522</v>
      </c>
      <c r="K3639" s="50">
        <v>38826</v>
      </c>
      <c r="M3639" s="49" t="s">
        <v>6985</v>
      </c>
    </row>
    <row r="3640" spans="1:13" x14ac:dyDescent="0.35">
      <c r="A3640" s="49" t="s">
        <v>713</v>
      </c>
      <c r="B3640" s="49" t="s">
        <v>7868</v>
      </c>
      <c r="C3640" s="49" t="s">
        <v>2937</v>
      </c>
      <c r="D3640" s="49" t="s">
        <v>1264</v>
      </c>
      <c r="E3640" s="49" t="s">
        <v>2908</v>
      </c>
      <c r="F3640" s="49" t="s">
        <v>2939</v>
      </c>
      <c r="G3640" s="49" t="s">
        <v>2826</v>
      </c>
      <c r="H3640" s="49" t="s">
        <v>980</v>
      </c>
      <c r="I3640" s="50">
        <v>37354</v>
      </c>
      <c r="J3640" s="50">
        <v>37739</v>
      </c>
      <c r="K3640" s="50">
        <v>38826</v>
      </c>
      <c r="M3640" s="49" t="s">
        <v>7869</v>
      </c>
    </row>
    <row r="3641" spans="1:13" x14ac:dyDescent="0.35">
      <c r="A3641" s="49" t="s">
        <v>713</v>
      </c>
      <c r="B3641" s="49" t="s">
        <v>7932</v>
      </c>
      <c r="C3641" s="49" t="s">
        <v>7933</v>
      </c>
      <c r="D3641" s="49" t="s">
        <v>1264</v>
      </c>
      <c r="E3641" s="49" t="s">
        <v>2908</v>
      </c>
      <c r="F3641" s="49" t="s">
        <v>7934</v>
      </c>
      <c r="G3641" s="49" t="s">
        <v>2826</v>
      </c>
      <c r="H3641" s="49" t="s">
        <v>8</v>
      </c>
      <c r="I3641" s="50">
        <v>37576</v>
      </c>
      <c r="J3641" s="50">
        <v>38562</v>
      </c>
      <c r="K3641" s="50">
        <v>38826</v>
      </c>
      <c r="M3641" s="49" t="s">
        <v>7935</v>
      </c>
    </row>
    <row r="3642" spans="1:13" x14ac:dyDescent="0.35">
      <c r="A3642" s="49" t="s">
        <v>713</v>
      </c>
      <c r="B3642" s="49" t="s">
        <v>8015</v>
      </c>
      <c r="C3642" s="49" t="s">
        <v>8016</v>
      </c>
      <c r="D3642" s="49" t="s">
        <v>1264</v>
      </c>
      <c r="E3642" s="49" t="s">
        <v>2908</v>
      </c>
      <c r="F3642" s="49" t="s">
        <v>2939</v>
      </c>
      <c r="G3642" s="49" t="s">
        <v>2826</v>
      </c>
      <c r="H3642" s="49" t="s">
        <v>980</v>
      </c>
      <c r="I3642" s="50">
        <v>35725</v>
      </c>
      <c r="J3642" s="50">
        <v>35975</v>
      </c>
      <c r="K3642" s="50">
        <v>37801</v>
      </c>
      <c r="M3642" s="49" t="s">
        <v>3100</v>
      </c>
    </row>
    <row r="3643" spans="1:13" x14ac:dyDescent="0.35">
      <c r="A3643" s="49" t="s">
        <v>713</v>
      </c>
      <c r="B3643" s="49" t="s">
        <v>8249</v>
      </c>
      <c r="C3643" s="49" t="s">
        <v>8250</v>
      </c>
      <c r="D3643" s="49" t="s">
        <v>1264</v>
      </c>
      <c r="E3643" s="49" t="s">
        <v>2908</v>
      </c>
      <c r="F3643" s="49" t="s">
        <v>2939</v>
      </c>
      <c r="G3643" s="49" t="s">
        <v>2826</v>
      </c>
      <c r="H3643" s="49" t="s">
        <v>980</v>
      </c>
      <c r="I3643" s="50">
        <v>34841</v>
      </c>
      <c r="J3643" s="50">
        <v>35384</v>
      </c>
      <c r="K3643" s="50">
        <v>38826</v>
      </c>
      <c r="M3643" s="49" t="s">
        <v>3477</v>
      </c>
    </row>
    <row r="3644" spans="1:13" x14ac:dyDescent="0.35">
      <c r="A3644" s="49" t="s">
        <v>713</v>
      </c>
      <c r="B3644" s="49" t="s">
        <v>8407</v>
      </c>
      <c r="C3644" s="49" t="s">
        <v>8408</v>
      </c>
      <c r="D3644" s="49" t="s">
        <v>1264</v>
      </c>
      <c r="E3644" s="49" t="s">
        <v>2908</v>
      </c>
      <c r="F3644" s="49" t="s">
        <v>2939</v>
      </c>
      <c r="G3644" s="49" t="s">
        <v>2826</v>
      </c>
      <c r="H3644" s="49" t="s">
        <v>980</v>
      </c>
      <c r="I3644" s="50">
        <v>34801</v>
      </c>
      <c r="J3644" s="50">
        <v>35013</v>
      </c>
      <c r="K3644" s="50">
        <v>38826</v>
      </c>
      <c r="M3644" s="49" t="s">
        <v>3477</v>
      </c>
    </row>
    <row r="3645" spans="1:13" x14ac:dyDescent="0.35">
      <c r="A3645" s="49" t="s">
        <v>713</v>
      </c>
      <c r="B3645" s="49" t="s">
        <v>8469</v>
      </c>
      <c r="C3645" s="49" t="s">
        <v>8470</v>
      </c>
      <c r="D3645" s="49" t="s">
        <v>1264</v>
      </c>
      <c r="E3645" s="49" t="s">
        <v>2908</v>
      </c>
      <c r="F3645" s="49" t="s">
        <v>2939</v>
      </c>
      <c r="G3645" s="49" t="s">
        <v>2826</v>
      </c>
      <c r="H3645" s="49" t="s">
        <v>980</v>
      </c>
      <c r="J3645" s="50">
        <v>32785</v>
      </c>
      <c r="K3645" s="50">
        <v>37513</v>
      </c>
      <c r="M3645" s="49" t="s">
        <v>8471</v>
      </c>
    </row>
    <row r="3646" spans="1:13" x14ac:dyDescent="0.35">
      <c r="A3646" s="49" t="s">
        <v>713</v>
      </c>
      <c r="B3646" s="49" t="s">
        <v>9142</v>
      </c>
      <c r="C3646" s="49"/>
      <c r="D3646" s="49" t="s">
        <v>1264</v>
      </c>
      <c r="E3646" s="49" t="s">
        <v>2908</v>
      </c>
      <c r="F3646" s="49" t="s">
        <v>2786</v>
      </c>
      <c r="G3646" s="49" t="s">
        <v>2776</v>
      </c>
      <c r="H3646" s="49" t="s">
        <v>980</v>
      </c>
      <c r="I3646" s="50">
        <v>42135</v>
      </c>
      <c r="M3646" s="49" t="s">
        <v>3913</v>
      </c>
    </row>
    <row r="3647" spans="1:13" x14ac:dyDescent="0.35">
      <c r="A3647" s="49" t="s">
        <v>713</v>
      </c>
      <c r="B3647" s="49" t="s">
        <v>10004</v>
      </c>
      <c r="C3647" s="49"/>
      <c r="D3647" s="49" t="s">
        <v>1264</v>
      </c>
      <c r="E3647" s="49" t="s">
        <v>2785</v>
      </c>
      <c r="F3647" s="49" t="s">
        <v>2786</v>
      </c>
      <c r="G3647" s="49" t="s">
        <v>2776</v>
      </c>
      <c r="H3647" s="49" t="s">
        <v>980</v>
      </c>
      <c r="I3647" s="50">
        <v>41509</v>
      </c>
      <c r="M3647" s="49" t="s">
        <v>3871</v>
      </c>
    </row>
    <row r="3648" spans="1:13" x14ac:dyDescent="0.35">
      <c r="A3648" s="49" t="s">
        <v>713</v>
      </c>
      <c r="B3648" s="49" t="s">
        <v>10180</v>
      </c>
      <c r="C3648" s="49"/>
      <c r="D3648" s="49" t="s">
        <v>1264</v>
      </c>
      <c r="E3648" s="49" t="s">
        <v>2814</v>
      </c>
      <c r="F3648" s="49" t="s">
        <v>2939</v>
      </c>
      <c r="G3648" s="49" t="s">
        <v>2776</v>
      </c>
      <c r="H3648" s="49" t="s">
        <v>980</v>
      </c>
      <c r="I3648" s="50">
        <v>42628</v>
      </c>
      <c r="M3648" s="49" t="s">
        <v>10181</v>
      </c>
    </row>
    <row r="3649" spans="1:13" x14ac:dyDescent="0.35">
      <c r="A3649" s="49" t="s">
        <v>713</v>
      </c>
      <c r="B3649" s="49" t="s">
        <v>10836</v>
      </c>
      <c r="C3649" s="49" t="s">
        <v>4583</v>
      </c>
      <c r="D3649" s="49" t="s">
        <v>1264</v>
      </c>
      <c r="E3649" s="49" t="s">
        <v>2814</v>
      </c>
      <c r="F3649" s="49" t="s">
        <v>2939</v>
      </c>
      <c r="G3649" s="49" t="s">
        <v>2776</v>
      </c>
      <c r="H3649" s="49" t="s">
        <v>980</v>
      </c>
      <c r="I3649" s="50">
        <v>44404</v>
      </c>
      <c r="M3649" s="49" t="s">
        <v>10837</v>
      </c>
    </row>
    <row r="3650" spans="1:13" x14ac:dyDescent="0.35">
      <c r="A3650" s="49" t="s">
        <v>713</v>
      </c>
      <c r="B3650" s="49" t="s">
        <v>10838</v>
      </c>
      <c r="C3650" s="49" t="s">
        <v>10839</v>
      </c>
      <c r="D3650" s="49" t="s">
        <v>1264</v>
      </c>
      <c r="E3650" s="49" t="s">
        <v>2814</v>
      </c>
      <c r="F3650" s="49" t="s">
        <v>2939</v>
      </c>
      <c r="G3650" s="49" t="s">
        <v>2776</v>
      </c>
      <c r="H3650" s="49" t="s">
        <v>980</v>
      </c>
      <c r="I3650" s="50">
        <v>44404</v>
      </c>
      <c r="M3650" s="49" t="s">
        <v>10840</v>
      </c>
    </row>
    <row r="3651" spans="1:13" x14ac:dyDescent="0.35">
      <c r="A3651" s="49" t="s">
        <v>713</v>
      </c>
      <c r="B3651" s="49" t="s">
        <v>10841</v>
      </c>
      <c r="C3651" s="49" t="s">
        <v>3218</v>
      </c>
      <c r="D3651" s="49" t="s">
        <v>1264</v>
      </c>
      <c r="E3651" s="49" t="s">
        <v>2814</v>
      </c>
      <c r="F3651" s="49" t="s">
        <v>4611</v>
      </c>
      <c r="G3651" s="49" t="s">
        <v>2776</v>
      </c>
      <c r="H3651" s="49" t="s">
        <v>980</v>
      </c>
      <c r="I3651" s="50">
        <v>44404</v>
      </c>
      <c r="M3651" s="49" t="s">
        <v>10842</v>
      </c>
    </row>
    <row r="3652" spans="1:13" x14ac:dyDescent="0.35">
      <c r="A3652" s="49" t="s">
        <v>713</v>
      </c>
      <c r="B3652" s="49" t="s">
        <v>10843</v>
      </c>
      <c r="C3652" s="49" t="s">
        <v>10844</v>
      </c>
      <c r="D3652" s="49" t="s">
        <v>1264</v>
      </c>
      <c r="E3652" s="49" t="s">
        <v>2814</v>
      </c>
      <c r="F3652" s="49" t="s">
        <v>4611</v>
      </c>
      <c r="G3652" s="49" t="s">
        <v>2776</v>
      </c>
      <c r="H3652" s="49" t="s">
        <v>980</v>
      </c>
      <c r="I3652" s="50">
        <v>44404</v>
      </c>
      <c r="M3652" s="49" t="s">
        <v>10845</v>
      </c>
    </row>
    <row r="3653" spans="1:13" x14ac:dyDescent="0.35">
      <c r="A3653" s="49" t="s">
        <v>713</v>
      </c>
      <c r="B3653" s="49" t="s">
        <v>10846</v>
      </c>
      <c r="C3653" s="49" t="s">
        <v>4262</v>
      </c>
      <c r="D3653" s="49" t="s">
        <v>1264</v>
      </c>
      <c r="E3653" s="49" t="s">
        <v>2814</v>
      </c>
      <c r="F3653" s="49" t="s">
        <v>2805</v>
      </c>
      <c r="G3653" s="49" t="s">
        <v>2776</v>
      </c>
      <c r="H3653" s="49" t="s">
        <v>973</v>
      </c>
      <c r="I3653" s="50">
        <v>44404</v>
      </c>
      <c r="M3653" s="49" t="s">
        <v>10847</v>
      </c>
    </row>
    <row r="3654" spans="1:13" x14ac:dyDescent="0.35">
      <c r="A3654" s="49" t="s">
        <v>713</v>
      </c>
      <c r="B3654" s="49" t="s">
        <v>10913</v>
      </c>
      <c r="C3654" s="49" t="s">
        <v>10914</v>
      </c>
      <c r="D3654" s="49" t="s">
        <v>1264</v>
      </c>
      <c r="E3654" s="49" t="s">
        <v>2814</v>
      </c>
      <c r="F3654" s="49" t="s">
        <v>2939</v>
      </c>
      <c r="G3654" s="49" t="s">
        <v>2776</v>
      </c>
      <c r="H3654" s="49" t="s">
        <v>980</v>
      </c>
      <c r="I3654" s="50">
        <v>44518</v>
      </c>
      <c r="M3654" s="49" t="s">
        <v>10915</v>
      </c>
    </row>
    <row r="3655" spans="1:13" x14ac:dyDescent="0.35">
      <c r="A3655" s="49" t="s">
        <v>713</v>
      </c>
      <c r="B3655" s="49" t="s">
        <v>10916</v>
      </c>
      <c r="C3655" s="49" t="s">
        <v>10917</v>
      </c>
      <c r="D3655" s="49" t="s">
        <v>1264</v>
      </c>
      <c r="E3655" s="49" t="s">
        <v>2814</v>
      </c>
      <c r="F3655" s="49" t="s">
        <v>2939</v>
      </c>
      <c r="G3655" s="49" t="s">
        <v>2776</v>
      </c>
      <c r="H3655" s="49" t="s">
        <v>980</v>
      </c>
      <c r="I3655" s="50">
        <v>44518</v>
      </c>
      <c r="M3655" s="49" t="s">
        <v>10918</v>
      </c>
    </row>
    <row r="3656" spans="1:13" x14ac:dyDescent="0.35">
      <c r="A3656" s="49" t="s">
        <v>713</v>
      </c>
      <c r="B3656" s="49" t="s">
        <v>10919</v>
      </c>
      <c r="C3656" s="49" t="s">
        <v>10920</v>
      </c>
      <c r="D3656" s="49" t="s">
        <v>1264</v>
      </c>
      <c r="E3656" s="49" t="s">
        <v>2814</v>
      </c>
      <c r="F3656" s="49" t="s">
        <v>2939</v>
      </c>
      <c r="G3656" s="49" t="s">
        <v>2776</v>
      </c>
      <c r="H3656" s="49" t="s">
        <v>980</v>
      </c>
      <c r="I3656" s="50">
        <v>44518</v>
      </c>
      <c r="M3656" s="49" t="s">
        <v>10921</v>
      </c>
    </row>
    <row r="3657" spans="1:13" x14ac:dyDescent="0.35">
      <c r="A3657" s="49" t="s">
        <v>713</v>
      </c>
      <c r="B3657" s="49" t="s">
        <v>10922</v>
      </c>
      <c r="C3657" s="49" t="s">
        <v>10923</v>
      </c>
      <c r="D3657" s="49" t="s">
        <v>1264</v>
      </c>
      <c r="E3657" s="49" t="s">
        <v>2814</v>
      </c>
      <c r="F3657" s="49" t="s">
        <v>4611</v>
      </c>
      <c r="G3657" s="49" t="s">
        <v>2776</v>
      </c>
      <c r="H3657" s="49" t="s">
        <v>980</v>
      </c>
      <c r="I3657" s="50">
        <v>44518</v>
      </c>
      <c r="M3657" s="49" t="s">
        <v>10924</v>
      </c>
    </row>
    <row r="3658" spans="1:13" x14ac:dyDescent="0.35">
      <c r="A3658" s="49" t="s">
        <v>713</v>
      </c>
      <c r="B3658" s="49" t="s">
        <v>10925</v>
      </c>
      <c r="C3658" s="49" t="s">
        <v>10926</v>
      </c>
      <c r="D3658" s="49" t="s">
        <v>1264</v>
      </c>
      <c r="E3658" s="49" t="s">
        <v>2814</v>
      </c>
      <c r="F3658" s="49" t="s">
        <v>4611</v>
      </c>
      <c r="G3658" s="49" t="s">
        <v>2776</v>
      </c>
      <c r="H3658" s="49" t="s">
        <v>980</v>
      </c>
      <c r="I3658" s="50">
        <v>44518</v>
      </c>
      <c r="M3658" s="49" t="s">
        <v>10927</v>
      </c>
    </row>
    <row r="3659" spans="1:13" x14ac:dyDescent="0.35">
      <c r="A3659" s="49" t="s">
        <v>713</v>
      </c>
      <c r="B3659" s="49" t="s">
        <v>12887</v>
      </c>
      <c r="C3659" s="49"/>
      <c r="D3659" s="49" t="s">
        <v>1264</v>
      </c>
      <c r="E3659" s="49" t="s">
        <v>2814</v>
      </c>
      <c r="F3659" s="49" t="s">
        <v>2805</v>
      </c>
      <c r="G3659" s="49" t="s">
        <v>4891</v>
      </c>
      <c r="H3659" s="49" t="s">
        <v>980</v>
      </c>
      <c r="I3659" s="52">
        <v>45835.480763888903</v>
      </c>
      <c r="M3659" s="49" t="s">
        <v>12888</v>
      </c>
    </row>
    <row r="3660" spans="1:13" x14ac:dyDescent="0.35">
      <c r="A3660" s="49" t="s">
        <v>14466</v>
      </c>
      <c r="B3660" s="49" t="s">
        <v>8982</v>
      </c>
      <c r="C3660" s="49"/>
      <c r="D3660" s="49" t="s">
        <v>1264</v>
      </c>
      <c r="E3660" s="49" t="s">
        <v>2814</v>
      </c>
      <c r="F3660" s="49" t="s">
        <v>2837</v>
      </c>
      <c r="G3660" s="49" t="s">
        <v>2787</v>
      </c>
      <c r="H3660" s="49" t="s">
        <v>2827</v>
      </c>
      <c r="I3660" s="50">
        <v>42185</v>
      </c>
      <c r="J3660" s="50">
        <v>42202</v>
      </c>
      <c r="K3660" s="50">
        <v>42385</v>
      </c>
      <c r="M3660" s="49" t="s">
        <v>3470</v>
      </c>
    </row>
    <row r="3661" spans="1:13" x14ac:dyDescent="0.35">
      <c r="A3661" s="49" t="s">
        <v>14466</v>
      </c>
      <c r="B3661" s="49" t="s">
        <v>9311</v>
      </c>
      <c r="C3661" s="49"/>
      <c r="D3661" s="49" t="s">
        <v>1264</v>
      </c>
      <c r="E3661" s="49" t="s">
        <v>2908</v>
      </c>
      <c r="F3661" s="49" t="s">
        <v>2837</v>
      </c>
      <c r="G3661" s="49" t="s">
        <v>2787</v>
      </c>
      <c r="H3661" s="49" t="s">
        <v>2827</v>
      </c>
      <c r="I3661" s="50">
        <v>43445</v>
      </c>
      <c r="M3661" s="49" t="s">
        <v>9312</v>
      </c>
    </row>
    <row r="3662" spans="1:13" x14ac:dyDescent="0.35">
      <c r="A3662" s="49" t="s">
        <v>14466</v>
      </c>
      <c r="B3662" s="49" t="s">
        <v>13843</v>
      </c>
      <c r="C3662" s="49" t="s">
        <v>3507</v>
      </c>
      <c r="D3662" s="49" t="s">
        <v>1264</v>
      </c>
      <c r="E3662" s="49" t="s">
        <v>2774</v>
      </c>
      <c r="F3662" s="49" t="s">
        <v>3509</v>
      </c>
      <c r="G3662" s="49" t="s">
        <v>2776</v>
      </c>
      <c r="H3662" s="49" t="s">
        <v>973</v>
      </c>
      <c r="I3662" s="50">
        <v>42059</v>
      </c>
      <c r="M3662" s="49" t="s">
        <v>13844</v>
      </c>
    </row>
    <row r="3663" spans="1:13" x14ac:dyDescent="0.35">
      <c r="A3663" s="49" t="s">
        <v>717</v>
      </c>
      <c r="B3663" s="49" t="s">
        <v>5256</v>
      </c>
      <c r="C3663" s="49"/>
      <c r="D3663" s="49" t="s">
        <v>1264</v>
      </c>
      <c r="E3663" s="49" t="s">
        <v>3443</v>
      </c>
      <c r="F3663" s="49" t="s">
        <v>3124</v>
      </c>
      <c r="G3663" s="49" t="s">
        <v>4330</v>
      </c>
      <c r="H3663" s="49" t="s">
        <v>980</v>
      </c>
      <c r="I3663" s="50">
        <v>44479</v>
      </c>
    </row>
    <row r="3664" spans="1:13" x14ac:dyDescent="0.35">
      <c r="A3664" s="49" t="s">
        <v>15232</v>
      </c>
      <c r="B3664" s="49" t="s">
        <v>12313</v>
      </c>
      <c r="C3664" s="49"/>
      <c r="D3664" s="49" t="s">
        <v>1264</v>
      </c>
      <c r="E3664" s="49" t="s">
        <v>2814</v>
      </c>
      <c r="F3664" s="49" t="s">
        <v>2900</v>
      </c>
      <c r="G3664" s="49" t="s">
        <v>4891</v>
      </c>
      <c r="H3664" s="49" t="s">
        <v>980</v>
      </c>
      <c r="I3664" s="50">
        <v>45372</v>
      </c>
      <c r="M3664" s="49" t="s">
        <v>12315</v>
      </c>
    </row>
    <row r="3665" spans="1:13" x14ac:dyDescent="0.35">
      <c r="A3665" s="49" t="s">
        <v>15509</v>
      </c>
      <c r="B3665" s="49" t="s">
        <v>9674</v>
      </c>
      <c r="C3665" s="49"/>
      <c r="D3665" s="49" t="s">
        <v>1264</v>
      </c>
      <c r="E3665" s="49" t="s">
        <v>2908</v>
      </c>
      <c r="F3665" s="49" t="s">
        <v>3108</v>
      </c>
      <c r="G3665" s="49" t="s">
        <v>2776</v>
      </c>
      <c r="H3665" s="49" t="s">
        <v>2827</v>
      </c>
      <c r="I3665" s="50">
        <v>42565</v>
      </c>
      <c r="M3665" s="49" t="s">
        <v>9676</v>
      </c>
    </row>
    <row r="3666" spans="1:13" x14ac:dyDescent="0.35">
      <c r="A3666" s="49" t="s">
        <v>15509</v>
      </c>
      <c r="B3666" s="49" t="s">
        <v>9677</v>
      </c>
      <c r="C3666" s="49"/>
      <c r="D3666" s="49" t="s">
        <v>1264</v>
      </c>
      <c r="E3666" s="49" t="s">
        <v>2908</v>
      </c>
      <c r="F3666" s="49" t="s">
        <v>3108</v>
      </c>
      <c r="G3666" s="49" t="s">
        <v>2776</v>
      </c>
      <c r="H3666" s="49" t="s">
        <v>2827</v>
      </c>
      <c r="I3666" s="50">
        <v>42565</v>
      </c>
      <c r="M3666" s="49" t="s">
        <v>9678</v>
      </c>
    </row>
    <row r="3667" spans="1:13" x14ac:dyDescent="0.35">
      <c r="A3667" s="49" t="s">
        <v>15509</v>
      </c>
      <c r="B3667" s="49" t="s">
        <v>9978</v>
      </c>
      <c r="C3667" s="49"/>
      <c r="D3667" s="49" t="s">
        <v>1264</v>
      </c>
      <c r="E3667" s="49" t="s">
        <v>7057</v>
      </c>
      <c r="F3667" s="49" t="s">
        <v>2825</v>
      </c>
      <c r="G3667" s="49" t="s">
        <v>2776</v>
      </c>
      <c r="H3667" s="49" t="s">
        <v>2827</v>
      </c>
      <c r="I3667" s="50">
        <v>42565</v>
      </c>
      <c r="M3667" s="49" t="s">
        <v>3470</v>
      </c>
    </row>
    <row r="3668" spans="1:13" x14ac:dyDescent="0.35">
      <c r="A3668" s="49" t="s">
        <v>14088</v>
      </c>
      <c r="B3668" s="49" t="s">
        <v>3217</v>
      </c>
      <c r="C3668" s="49" t="s">
        <v>3218</v>
      </c>
      <c r="D3668" s="49" t="s">
        <v>1264</v>
      </c>
      <c r="E3668" s="49" t="s">
        <v>2908</v>
      </c>
      <c r="F3668" s="49" t="s">
        <v>2805</v>
      </c>
      <c r="G3668" s="49" t="s">
        <v>2787</v>
      </c>
      <c r="H3668" s="49" t="s">
        <v>980</v>
      </c>
      <c r="I3668" s="50">
        <v>41002</v>
      </c>
      <c r="J3668" s="50">
        <v>41597</v>
      </c>
      <c r="K3668" s="50">
        <v>44781</v>
      </c>
      <c r="M3668" s="49" t="s">
        <v>3220</v>
      </c>
    </row>
    <row r="3669" spans="1:13" x14ac:dyDescent="0.35">
      <c r="A3669" s="49" t="s">
        <v>14188</v>
      </c>
      <c r="B3669" s="49" t="s">
        <v>4490</v>
      </c>
      <c r="C3669" s="49"/>
      <c r="D3669" s="49" t="s">
        <v>1264</v>
      </c>
      <c r="E3669" s="49" t="s">
        <v>2908</v>
      </c>
      <c r="F3669" s="49" t="s">
        <v>2837</v>
      </c>
      <c r="G3669" s="49" t="s">
        <v>2901</v>
      </c>
      <c r="H3669" s="49" t="s">
        <v>2827</v>
      </c>
      <c r="I3669" s="50">
        <v>44351</v>
      </c>
      <c r="J3669" s="50">
        <v>44405</v>
      </c>
      <c r="K3669" s="50">
        <v>46230</v>
      </c>
      <c r="M3669" s="49" t="s">
        <v>4492</v>
      </c>
    </row>
    <row r="3670" spans="1:13" x14ac:dyDescent="0.35">
      <c r="A3670" s="49" t="s">
        <v>14188</v>
      </c>
      <c r="B3670" s="49" t="s">
        <v>5301</v>
      </c>
      <c r="C3670" s="49" t="s">
        <v>3626</v>
      </c>
      <c r="D3670" s="49" t="s">
        <v>1264</v>
      </c>
      <c r="E3670" s="49" t="s">
        <v>2774</v>
      </c>
      <c r="F3670" s="49" t="s">
        <v>2825</v>
      </c>
      <c r="G3670" s="49" t="s">
        <v>2901</v>
      </c>
      <c r="H3670" s="49" t="s">
        <v>2827</v>
      </c>
      <c r="I3670" s="50">
        <v>44833</v>
      </c>
      <c r="J3670" s="50">
        <v>44958</v>
      </c>
      <c r="K3670" s="50">
        <v>46418</v>
      </c>
      <c r="M3670" s="49" t="s">
        <v>5302</v>
      </c>
    </row>
    <row r="3671" spans="1:13" x14ac:dyDescent="0.35">
      <c r="A3671" s="49" t="s">
        <v>14188</v>
      </c>
      <c r="B3671" s="49" t="s">
        <v>6291</v>
      </c>
      <c r="C3671" s="49"/>
      <c r="D3671" s="49" t="s">
        <v>1264</v>
      </c>
      <c r="E3671" s="49" t="s">
        <v>2908</v>
      </c>
      <c r="F3671" s="49" t="s">
        <v>2837</v>
      </c>
      <c r="G3671" s="49" t="s">
        <v>2901</v>
      </c>
      <c r="H3671" s="49" t="s">
        <v>980</v>
      </c>
      <c r="I3671" s="50">
        <v>45168</v>
      </c>
      <c r="J3671" s="50">
        <v>45267</v>
      </c>
      <c r="K3671" s="50">
        <v>47093</v>
      </c>
      <c r="M3671" s="49" t="s">
        <v>6292</v>
      </c>
    </row>
    <row r="3672" spans="1:13" x14ac:dyDescent="0.35">
      <c r="A3672" s="49" t="s">
        <v>14188</v>
      </c>
      <c r="B3672" s="49" t="s">
        <v>11144</v>
      </c>
      <c r="C3672" s="49" t="s">
        <v>11145</v>
      </c>
      <c r="D3672" s="49" t="s">
        <v>1264</v>
      </c>
      <c r="E3672" s="49" t="s">
        <v>2774</v>
      </c>
      <c r="F3672" s="49" t="s">
        <v>2825</v>
      </c>
      <c r="G3672" s="49" t="s">
        <v>2776</v>
      </c>
      <c r="H3672" s="49" t="s">
        <v>2827</v>
      </c>
      <c r="I3672" s="50">
        <v>44837</v>
      </c>
      <c r="M3672" s="49" t="s">
        <v>7964</v>
      </c>
    </row>
    <row r="3673" spans="1:13" x14ac:dyDescent="0.35">
      <c r="A3673" s="49" t="s">
        <v>15510</v>
      </c>
      <c r="B3673" s="49" t="s">
        <v>5737</v>
      </c>
      <c r="C3673" s="49" t="s">
        <v>5738</v>
      </c>
      <c r="D3673" s="49" t="s">
        <v>1264</v>
      </c>
      <c r="E3673" s="49" t="s">
        <v>2986</v>
      </c>
      <c r="F3673" s="49" t="s">
        <v>2825</v>
      </c>
      <c r="G3673" s="49" t="s">
        <v>2901</v>
      </c>
      <c r="H3673" s="49" t="s">
        <v>2827</v>
      </c>
      <c r="I3673" s="50">
        <v>45092</v>
      </c>
      <c r="J3673" s="50">
        <v>45134</v>
      </c>
      <c r="K3673" s="50">
        <v>46229</v>
      </c>
      <c r="M3673" s="49" t="s">
        <v>5740</v>
      </c>
    </row>
    <row r="3674" spans="1:13" x14ac:dyDescent="0.35">
      <c r="A3674" s="49" t="s">
        <v>15510</v>
      </c>
      <c r="B3674" s="49" t="s">
        <v>11224</v>
      </c>
      <c r="C3674" s="49"/>
      <c r="D3674" s="49" t="s">
        <v>1264</v>
      </c>
      <c r="E3674" s="49" t="s">
        <v>2986</v>
      </c>
      <c r="F3674" s="49" t="s">
        <v>2825</v>
      </c>
      <c r="G3674" s="49" t="s">
        <v>2776</v>
      </c>
      <c r="H3674" s="49" t="s">
        <v>2827</v>
      </c>
      <c r="I3674" s="50">
        <v>44911</v>
      </c>
      <c r="M3674" s="49" t="s">
        <v>11226</v>
      </c>
    </row>
    <row r="3675" spans="1:13" x14ac:dyDescent="0.35">
      <c r="A3675" s="49" t="s">
        <v>15510</v>
      </c>
      <c r="B3675" s="49" t="s">
        <v>11433</v>
      </c>
      <c r="C3675" s="49" t="s">
        <v>11434</v>
      </c>
      <c r="D3675" s="49" t="s">
        <v>1264</v>
      </c>
      <c r="E3675" s="49" t="s">
        <v>2986</v>
      </c>
      <c r="F3675" s="49" t="s">
        <v>2825</v>
      </c>
      <c r="G3675" s="49" t="s">
        <v>2776</v>
      </c>
      <c r="H3675" s="49" t="s">
        <v>2827</v>
      </c>
      <c r="I3675" s="50">
        <v>45092</v>
      </c>
      <c r="M3675" s="49" t="s">
        <v>11435</v>
      </c>
    </row>
    <row r="3676" spans="1:13" x14ac:dyDescent="0.35">
      <c r="A3676" s="49" t="s">
        <v>15511</v>
      </c>
      <c r="B3676" s="49" t="s">
        <v>11238</v>
      </c>
      <c r="C3676" s="49"/>
      <c r="D3676" s="49" t="s">
        <v>1264</v>
      </c>
      <c r="E3676" s="49" t="s">
        <v>2814</v>
      </c>
      <c r="F3676" s="49" t="s">
        <v>2837</v>
      </c>
      <c r="G3676" s="49" t="s">
        <v>2776</v>
      </c>
      <c r="H3676" s="49" t="s">
        <v>980</v>
      </c>
      <c r="I3676" s="50">
        <v>44942</v>
      </c>
      <c r="M3676" s="49" t="s">
        <v>11240</v>
      </c>
    </row>
    <row r="3677" spans="1:13" x14ac:dyDescent="0.35">
      <c r="A3677" s="49" t="s">
        <v>15511</v>
      </c>
      <c r="B3677" s="49" t="s">
        <v>11272</v>
      </c>
      <c r="C3677" s="49"/>
      <c r="D3677" s="49" t="s">
        <v>1264</v>
      </c>
      <c r="E3677" s="49" t="s">
        <v>2814</v>
      </c>
      <c r="F3677" s="49" t="s">
        <v>2837</v>
      </c>
      <c r="G3677" s="49" t="s">
        <v>2776</v>
      </c>
      <c r="H3677" s="49" t="s">
        <v>980</v>
      </c>
      <c r="I3677" s="50">
        <v>44978</v>
      </c>
      <c r="M3677" s="49" t="s">
        <v>11274</v>
      </c>
    </row>
    <row r="3678" spans="1:13" x14ac:dyDescent="0.35">
      <c r="A3678" s="49" t="s">
        <v>14979</v>
      </c>
      <c r="B3678" s="49" t="s">
        <v>4090</v>
      </c>
      <c r="C3678" s="49" t="s">
        <v>4091</v>
      </c>
      <c r="D3678" s="49" t="s">
        <v>1264</v>
      </c>
      <c r="E3678" s="49" t="s">
        <v>2986</v>
      </c>
      <c r="F3678" s="49" t="s">
        <v>2825</v>
      </c>
      <c r="G3678" s="49" t="s">
        <v>2921</v>
      </c>
      <c r="H3678" s="49" t="s">
        <v>2827</v>
      </c>
      <c r="I3678" s="50">
        <v>44032</v>
      </c>
      <c r="J3678" s="50">
        <v>42537</v>
      </c>
      <c r="K3678" s="50">
        <v>43633</v>
      </c>
      <c r="M3678" s="49" t="s">
        <v>4093</v>
      </c>
    </row>
    <row r="3679" spans="1:13" x14ac:dyDescent="0.35">
      <c r="A3679" s="49" t="s">
        <v>14980</v>
      </c>
      <c r="B3679" s="49" t="s">
        <v>13216</v>
      </c>
      <c r="C3679" s="49"/>
      <c r="D3679" s="49" t="s">
        <v>1264</v>
      </c>
      <c r="E3679" s="49" t="s">
        <v>2785</v>
      </c>
      <c r="F3679" s="49" t="s">
        <v>2792</v>
      </c>
      <c r="G3679" s="49" t="s">
        <v>4891</v>
      </c>
      <c r="H3679" s="49" t="s">
        <v>857</v>
      </c>
      <c r="I3679" s="52">
        <v>46083.502951388902</v>
      </c>
      <c r="M3679" s="49" t="s">
        <v>2788</v>
      </c>
    </row>
    <row r="3680" spans="1:13" x14ac:dyDescent="0.35">
      <c r="A3680" s="49" t="s">
        <v>14264</v>
      </c>
      <c r="B3680" s="49" t="s">
        <v>5981</v>
      </c>
      <c r="C3680" s="49" t="s">
        <v>5982</v>
      </c>
      <c r="D3680" s="49" t="s">
        <v>1264</v>
      </c>
      <c r="E3680" s="49" t="s">
        <v>2785</v>
      </c>
      <c r="F3680" s="49" t="s">
        <v>2792</v>
      </c>
      <c r="G3680" s="49" t="s">
        <v>2787</v>
      </c>
      <c r="H3680" s="49" t="s">
        <v>980</v>
      </c>
      <c r="I3680" s="50">
        <v>45236</v>
      </c>
      <c r="J3680" s="50">
        <v>45246</v>
      </c>
      <c r="K3680" s="50">
        <v>45611</v>
      </c>
      <c r="M3680" s="49" t="s">
        <v>5984</v>
      </c>
    </row>
    <row r="3681" spans="1:13" x14ac:dyDescent="0.35">
      <c r="A3681" s="49" t="s">
        <v>14264</v>
      </c>
      <c r="B3681" s="49" t="s">
        <v>6367</v>
      </c>
      <c r="C3681" s="49" t="s">
        <v>6368</v>
      </c>
      <c r="D3681" s="49" t="s">
        <v>1264</v>
      </c>
      <c r="E3681" s="49" t="s">
        <v>2785</v>
      </c>
      <c r="F3681" s="49" t="s">
        <v>2792</v>
      </c>
      <c r="G3681" s="49" t="s">
        <v>4330</v>
      </c>
      <c r="H3681" s="49" t="s">
        <v>980</v>
      </c>
      <c r="I3681" s="50">
        <v>45343</v>
      </c>
      <c r="M3681" s="49" t="s">
        <v>6369</v>
      </c>
    </row>
    <row r="3682" spans="1:13" x14ac:dyDescent="0.35">
      <c r="A3682" s="49" t="s">
        <v>14264</v>
      </c>
      <c r="B3682" s="49" t="s">
        <v>12720</v>
      </c>
      <c r="C3682" s="49" t="s">
        <v>5982</v>
      </c>
      <c r="D3682" s="49" t="s">
        <v>1264</v>
      </c>
      <c r="E3682" s="49" t="s">
        <v>2785</v>
      </c>
      <c r="F3682" s="49" t="s">
        <v>2792</v>
      </c>
      <c r="G3682" s="49" t="s">
        <v>4891</v>
      </c>
      <c r="H3682" s="49" t="s">
        <v>980</v>
      </c>
      <c r="I3682" s="50">
        <v>45548</v>
      </c>
      <c r="M3682" s="49" t="s">
        <v>12721</v>
      </c>
    </row>
    <row r="3683" spans="1:13" x14ac:dyDescent="0.35">
      <c r="A3683" s="49" t="s">
        <v>15512</v>
      </c>
      <c r="B3683" s="49" t="s">
        <v>10304</v>
      </c>
      <c r="C3683" s="49"/>
      <c r="D3683" s="49" t="s">
        <v>1264</v>
      </c>
      <c r="E3683" s="49" t="s">
        <v>2814</v>
      </c>
      <c r="F3683" s="49" t="s">
        <v>2837</v>
      </c>
      <c r="G3683" s="49" t="s">
        <v>2776</v>
      </c>
      <c r="H3683" s="49" t="s">
        <v>980</v>
      </c>
      <c r="I3683" s="50">
        <v>43355</v>
      </c>
      <c r="M3683" s="49" t="s">
        <v>10306</v>
      </c>
    </row>
    <row r="3684" spans="1:13" x14ac:dyDescent="0.35">
      <c r="A3684" s="49" t="s">
        <v>14534</v>
      </c>
      <c r="B3684" s="49" t="s">
        <v>9887</v>
      </c>
      <c r="C3684" s="49"/>
      <c r="D3684" s="49" t="s">
        <v>1264</v>
      </c>
      <c r="E3684" s="49" t="s">
        <v>7057</v>
      </c>
      <c r="F3684" s="49" t="s">
        <v>2825</v>
      </c>
      <c r="G3684" s="49" t="s">
        <v>2776</v>
      </c>
      <c r="H3684" s="49" t="s">
        <v>2827</v>
      </c>
      <c r="I3684" s="50">
        <v>41418</v>
      </c>
      <c r="M3684" s="49" t="s">
        <v>9889</v>
      </c>
    </row>
    <row r="3685" spans="1:13" x14ac:dyDescent="0.35">
      <c r="A3685" s="49" t="s">
        <v>14534</v>
      </c>
      <c r="B3685" s="49" t="s">
        <v>9890</v>
      </c>
      <c r="C3685" s="49" t="s">
        <v>9891</v>
      </c>
      <c r="D3685" s="49" t="s">
        <v>1264</v>
      </c>
      <c r="E3685" s="49" t="s">
        <v>7057</v>
      </c>
      <c r="F3685" s="49" t="s">
        <v>2825</v>
      </c>
      <c r="G3685" s="49" t="s">
        <v>2776</v>
      </c>
      <c r="H3685" s="49" t="s">
        <v>2827</v>
      </c>
      <c r="I3685" s="50">
        <v>41439</v>
      </c>
      <c r="M3685" s="49" t="s">
        <v>9892</v>
      </c>
    </row>
    <row r="3686" spans="1:13" x14ac:dyDescent="0.35">
      <c r="A3686" s="49" t="s">
        <v>14534</v>
      </c>
      <c r="B3686" s="49" t="s">
        <v>10469</v>
      </c>
      <c r="C3686" s="49" t="s">
        <v>3075</v>
      </c>
      <c r="D3686" s="49" t="s">
        <v>1264</v>
      </c>
      <c r="E3686" s="49" t="s">
        <v>2814</v>
      </c>
      <c r="F3686" s="49" t="s">
        <v>2825</v>
      </c>
      <c r="G3686" s="49" t="s">
        <v>2787</v>
      </c>
      <c r="H3686" s="49" t="s">
        <v>2827</v>
      </c>
      <c r="I3686" s="50">
        <v>43538</v>
      </c>
      <c r="M3686" s="49" t="s">
        <v>10470</v>
      </c>
    </row>
    <row r="3687" spans="1:13" x14ac:dyDescent="0.35">
      <c r="A3687" s="49" t="s">
        <v>14534</v>
      </c>
      <c r="B3687" s="49" t="s">
        <v>10517</v>
      </c>
      <c r="C3687" s="49"/>
      <c r="D3687" s="49" t="s">
        <v>1264</v>
      </c>
      <c r="E3687" s="49" t="s">
        <v>2814</v>
      </c>
      <c r="F3687" s="49" t="s">
        <v>2825</v>
      </c>
      <c r="G3687" s="49" t="s">
        <v>2776</v>
      </c>
      <c r="H3687" s="49" t="s">
        <v>2827</v>
      </c>
      <c r="I3687" s="50">
        <v>43999</v>
      </c>
      <c r="M3687" s="49" t="s">
        <v>10470</v>
      </c>
    </row>
    <row r="3688" spans="1:13" x14ac:dyDescent="0.35">
      <c r="A3688" s="49" t="s">
        <v>14407</v>
      </c>
      <c r="B3688" s="49" t="s">
        <v>8127</v>
      </c>
      <c r="C3688" s="49" t="s">
        <v>8128</v>
      </c>
      <c r="D3688" s="49" t="s">
        <v>1264</v>
      </c>
      <c r="E3688" s="49" t="s">
        <v>2908</v>
      </c>
      <c r="F3688" s="49" t="s">
        <v>2837</v>
      </c>
      <c r="G3688" s="49" t="s">
        <v>2787</v>
      </c>
      <c r="H3688" s="49" t="s">
        <v>980</v>
      </c>
      <c r="I3688" s="50">
        <v>34758</v>
      </c>
      <c r="J3688" s="50">
        <v>34905</v>
      </c>
      <c r="K3688" s="50">
        <v>40854</v>
      </c>
      <c r="M3688" s="49" t="s">
        <v>8030</v>
      </c>
    </row>
    <row r="3689" spans="1:13" x14ac:dyDescent="0.35">
      <c r="A3689" s="49" t="s">
        <v>14133</v>
      </c>
      <c r="B3689" s="49" t="s">
        <v>3815</v>
      </c>
      <c r="C3689" s="49"/>
      <c r="D3689" s="49" t="s">
        <v>1264</v>
      </c>
      <c r="E3689" s="49" t="s">
        <v>2908</v>
      </c>
      <c r="F3689" s="49" t="s">
        <v>3010</v>
      </c>
      <c r="G3689" s="49" t="s">
        <v>2901</v>
      </c>
      <c r="H3689" s="49" t="s">
        <v>980</v>
      </c>
      <c r="I3689" s="50">
        <v>43328</v>
      </c>
      <c r="J3689" s="50">
        <v>43825</v>
      </c>
      <c r="K3689" s="50">
        <v>45651</v>
      </c>
      <c r="M3689" s="49" t="s">
        <v>3817</v>
      </c>
    </row>
    <row r="3690" spans="1:13" x14ac:dyDescent="0.35">
      <c r="A3690" s="49" t="s">
        <v>14253</v>
      </c>
      <c r="B3690" s="49" t="s">
        <v>5775</v>
      </c>
      <c r="C3690" s="49" t="s">
        <v>3768</v>
      </c>
      <c r="D3690" s="49" t="s">
        <v>1264</v>
      </c>
      <c r="E3690" s="49" t="s">
        <v>3443</v>
      </c>
      <c r="F3690" s="49" t="s">
        <v>3124</v>
      </c>
      <c r="G3690" s="49" t="s">
        <v>4330</v>
      </c>
      <c r="H3690" s="49" t="s">
        <v>980</v>
      </c>
      <c r="I3690" s="50">
        <v>44834</v>
      </c>
    </row>
    <row r="3691" spans="1:13" x14ac:dyDescent="0.35">
      <c r="A3691" s="49" t="s">
        <v>15513</v>
      </c>
      <c r="B3691" s="49" t="s">
        <v>3118</v>
      </c>
      <c r="C3691" s="49" t="s">
        <v>3119</v>
      </c>
      <c r="D3691" s="49" t="s">
        <v>1264</v>
      </c>
      <c r="E3691" s="49" t="s">
        <v>2986</v>
      </c>
      <c r="F3691" s="49" t="s">
        <v>2825</v>
      </c>
      <c r="G3691" s="49" t="s">
        <v>2787</v>
      </c>
      <c r="H3691" s="49" t="s">
        <v>2827</v>
      </c>
      <c r="I3691" s="50">
        <v>40199</v>
      </c>
      <c r="J3691" s="50">
        <v>40252</v>
      </c>
      <c r="K3691" s="50">
        <v>41712</v>
      </c>
      <c r="M3691" s="49" t="s">
        <v>3121</v>
      </c>
    </row>
    <row r="3692" spans="1:13" x14ac:dyDescent="0.35">
      <c r="A3692" s="49" t="s">
        <v>15513</v>
      </c>
      <c r="B3692" s="49" t="s">
        <v>3234</v>
      </c>
      <c r="C3692" s="49" t="s">
        <v>3235</v>
      </c>
      <c r="D3692" s="49" t="s">
        <v>1264</v>
      </c>
      <c r="E3692" s="49" t="s">
        <v>2774</v>
      </c>
      <c r="F3692" s="49" t="s">
        <v>2900</v>
      </c>
      <c r="G3692" s="49" t="s">
        <v>2820</v>
      </c>
      <c r="H3692" s="49" t="s">
        <v>980</v>
      </c>
      <c r="I3692" s="50">
        <v>41108</v>
      </c>
      <c r="J3692" s="50">
        <v>41180</v>
      </c>
      <c r="K3692" s="50">
        <v>42274</v>
      </c>
      <c r="M3692" s="49" t="s">
        <v>3236</v>
      </c>
    </row>
    <row r="3693" spans="1:13" x14ac:dyDescent="0.35">
      <c r="A3693" s="49" t="s">
        <v>15513</v>
      </c>
      <c r="B3693" s="49" t="s">
        <v>3240</v>
      </c>
      <c r="C3693" s="49" t="s">
        <v>3241</v>
      </c>
      <c r="D3693" s="49" t="s">
        <v>1264</v>
      </c>
      <c r="E3693" s="49" t="s">
        <v>2774</v>
      </c>
      <c r="F3693" s="49" t="s">
        <v>2900</v>
      </c>
      <c r="G3693" s="49" t="s">
        <v>2787</v>
      </c>
      <c r="H3693" s="49" t="s">
        <v>3229</v>
      </c>
      <c r="I3693" s="50">
        <v>41180</v>
      </c>
      <c r="J3693" s="50">
        <v>41180</v>
      </c>
      <c r="K3693" s="50">
        <v>42274</v>
      </c>
      <c r="M3693" s="49" t="s">
        <v>3242</v>
      </c>
    </row>
    <row r="3694" spans="1:13" x14ac:dyDescent="0.35">
      <c r="A3694" s="49" t="s">
        <v>15513</v>
      </c>
      <c r="B3694" s="49" t="s">
        <v>4035</v>
      </c>
      <c r="C3694" s="49" t="s">
        <v>4036</v>
      </c>
      <c r="D3694" s="49" t="s">
        <v>1264</v>
      </c>
      <c r="E3694" s="49" t="s">
        <v>2774</v>
      </c>
      <c r="F3694" s="49" t="s">
        <v>2825</v>
      </c>
      <c r="G3694" s="49" t="s">
        <v>2787</v>
      </c>
      <c r="H3694" s="49" t="s">
        <v>2827</v>
      </c>
      <c r="I3694" s="50">
        <v>43962</v>
      </c>
      <c r="J3694" s="50">
        <v>44179</v>
      </c>
      <c r="K3694" s="50">
        <v>45119</v>
      </c>
      <c r="M3694" s="49" t="s">
        <v>4037</v>
      </c>
    </row>
    <row r="3695" spans="1:13" x14ac:dyDescent="0.35">
      <c r="A3695" s="49" t="s">
        <v>15513</v>
      </c>
      <c r="B3695" s="49" t="s">
        <v>8132</v>
      </c>
      <c r="C3695" s="49" t="s">
        <v>8133</v>
      </c>
      <c r="D3695" s="49" t="s">
        <v>1264</v>
      </c>
      <c r="E3695" s="49" t="s">
        <v>2774</v>
      </c>
      <c r="F3695" s="49" t="s">
        <v>2825</v>
      </c>
      <c r="G3695" s="49" t="s">
        <v>2826</v>
      </c>
      <c r="H3695" s="49" t="s">
        <v>2827</v>
      </c>
      <c r="I3695" s="50">
        <v>40668</v>
      </c>
      <c r="J3695" s="50">
        <v>40738</v>
      </c>
      <c r="K3695" s="50">
        <v>44025</v>
      </c>
      <c r="M3695" s="49" t="s">
        <v>8134</v>
      </c>
    </row>
    <row r="3696" spans="1:13" x14ac:dyDescent="0.35">
      <c r="A3696" s="49" t="s">
        <v>15233</v>
      </c>
      <c r="B3696" s="49" t="s">
        <v>3793</v>
      </c>
      <c r="C3696" s="49" t="s">
        <v>3794</v>
      </c>
      <c r="D3696" s="49" t="s">
        <v>1264</v>
      </c>
      <c r="E3696" s="49" t="s">
        <v>2986</v>
      </c>
      <c r="F3696" s="49" t="s">
        <v>2825</v>
      </c>
      <c r="G3696" s="49" t="s">
        <v>2787</v>
      </c>
      <c r="H3696" s="49" t="s">
        <v>2827</v>
      </c>
      <c r="I3696" s="50">
        <v>43298</v>
      </c>
      <c r="J3696" s="50">
        <v>43370</v>
      </c>
      <c r="K3696" s="50">
        <v>44466</v>
      </c>
      <c r="M3696" s="49" t="s">
        <v>3270</v>
      </c>
    </row>
    <row r="3697" spans="1:13" x14ac:dyDescent="0.35">
      <c r="A3697" s="49" t="s">
        <v>15233</v>
      </c>
      <c r="B3697" s="49" t="s">
        <v>3806</v>
      </c>
      <c r="C3697" s="49" t="s">
        <v>3807</v>
      </c>
      <c r="D3697" s="49" t="s">
        <v>1264</v>
      </c>
      <c r="E3697" s="49" t="s">
        <v>2986</v>
      </c>
      <c r="F3697" s="49" t="s">
        <v>2825</v>
      </c>
      <c r="G3697" s="49" t="s">
        <v>2787</v>
      </c>
      <c r="H3697" s="49" t="s">
        <v>2827</v>
      </c>
      <c r="I3697" s="50">
        <v>43312</v>
      </c>
      <c r="J3697" s="50">
        <v>43362</v>
      </c>
      <c r="K3697" s="50">
        <v>44458</v>
      </c>
      <c r="M3697" s="49" t="s">
        <v>3808</v>
      </c>
    </row>
    <row r="3698" spans="1:13" x14ac:dyDescent="0.35">
      <c r="A3698" s="49" t="s">
        <v>15233</v>
      </c>
      <c r="B3698" s="49" t="s">
        <v>3857</v>
      </c>
      <c r="C3698" s="49" t="s">
        <v>3858</v>
      </c>
      <c r="D3698" s="49" t="s">
        <v>1264</v>
      </c>
      <c r="E3698" s="49" t="s">
        <v>2974</v>
      </c>
      <c r="F3698" s="49" t="s">
        <v>2825</v>
      </c>
      <c r="G3698" s="49" t="s">
        <v>2787</v>
      </c>
      <c r="H3698" s="49" t="s">
        <v>2827</v>
      </c>
      <c r="I3698" s="50">
        <v>43423</v>
      </c>
      <c r="J3698" s="50">
        <v>43543</v>
      </c>
      <c r="K3698" s="50">
        <v>45370</v>
      </c>
      <c r="M3698" s="49" t="s">
        <v>3859</v>
      </c>
    </row>
    <row r="3699" spans="1:13" x14ac:dyDescent="0.35">
      <c r="A3699" s="49" t="s">
        <v>15233</v>
      </c>
      <c r="B3699" s="49" t="s">
        <v>8993</v>
      </c>
      <c r="C3699" s="49"/>
      <c r="D3699" s="49" t="s">
        <v>1264</v>
      </c>
      <c r="E3699" s="49" t="s">
        <v>2814</v>
      </c>
      <c r="F3699" s="49" t="s">
        <v>2825</v>
      </c>
      <c r="G3699" s="49" t="s">
        <v>2787</v>
      </c>
      <c r="H3699" s="49" t="s">
        <v>2827</v>
      </c>
      <c r="I3699" s="50">
        <v>43284</v>
      </c>
      <c r="J3699" s="50">
        <v>43293</v>
      </c>
      <c r="K3699" s="50">
        <v>43477</v>
      </c>
      <c r="M3699" s="49" t="s">
        <v>8994</v>
      </c>
    </row>
    <row r="3700" spans="1:13" x14ac:dyDescent="0.35">
      <c r="A3700" s="49" t="s">
        <v>14548</v>
      </c>
      <c r="B3700" s="49" t="s">
        <v>10148</v>
      </c>
      <c r="C3700" s="49"/>
      <c r="D3700" s="49" t="s">
        <v>1264</v>
      </c>
      <c r="E3700" s="49" t="s">
        <v>2814</v>
      </c>
      <c r="F3700" s="49" t="s">
        <v>2825</v>
      </c>
      <c r="G3700" s="49" t="s">
        <v>2776</v>
      </c>
      <c r="H3700" s="49" t="s">
        <v>2827</v>
      </c>
      <c r="I3700" s="50">
        <v>42650</v>
      </c>
      <c r="M3700" s="49" t="s">
        <v>10150</v>
      </c>
    </row>
    <row r="3701" spans="1:13" x14ac:dyDescent="0.35">
      <c r="A3701" s="49" t="s">
        <v>13449</v>
      </c>
      <c r="B3701" s="49" t="s">
        <v>13447</v>
      </c>
      <c r="C3701" s="49" t="s">
        <v>13448</v>
      </c>
      <c r="D3701" s="49" t="s">
        <v>1264</v>
      </c>
      <c r="E3701" s="49" t="s">
        <v>2785</v>
      </c>
      <c r="F3701" s="49" t="s">
        <v>2786</v>
      </c>
      <c r="G3701" s="49" t="s">
        <v>4891</v>
      </c>
      <c r="H3701" s="49" t="s">
        <v>973</v>
      </c>
      <c r="I3701" s="52">
        <v>46139.505416666703</v>
      </c>
      <c r="M3701" s="49" t="s">
        <v>13450</v>
      </c>
    </row>
    <row r="3702" spans="1:13" x14ac:dyDescent="0.35">
      <c r="A3702" s="49" t="s">
        <v>13449</v>
      </c>
      <c r="B3702" s="49" t="s">
        <v>13451</v>
      </c>
      <c r="C3702" s="49" t="s">
        <v>13452</v>
      </c>
      <c r="D3702" s="49" t="s">
        <v>1264</v>
      </c>
      <c r="E3702" s="49" t="s">
        <v>2785</v>
      </c>
      <c r="F3702" s="49" t="s">
        <v>2786</v>
      </c>
      <c r="G3702" s="49" t="s">
        <v>4891</v>
      </c>
      <c r="H3702" s="49" t="s">
        <v>973</v>
      </c>
      <c r="I3702" s="52">
        <v>46139.520543981504</v>
      </c>
      <c r="M3702" s="49" t="s">
        <v>13454</v>
      </c>
    </row>
    <row r="3703" spans="1:13" x14ac:dyDescent="0.35">
      <c r="A3703" s="49" t="s">
        <v>13449</v>
      </c>
      <c r="B3703" s="49" t="s">
        <v>13455</v>
      </c>
      <c r="C3703" s="49" t="s">
        <v>13456</v>
      </c>
      <c r="D3703" s="49" t="s">
        <v>1264</v>
      </c>
      <c r="E3703" s="49" t="s">
        <v>2785</v>
      </c>
      <c r="F3703" s="49" t="s">
        <v>2786</v>
      </c>
      <c r="G3703" s="49" t="s">
        <v>4891</v>
      </c>
      <c r="H3703" s="49" t="s">
        <v>973</v>
      </c>
      <c r="I3703" s="52">
        <v>46139.534930555601</v>
      </c>
      <c r="M3703" s="49" t="s">
        <v>13457</v>
      </c>
    </row>
    <row r="3704" spans="1:13" x14ac:dyDescent="0.35">
      <c r="A3704" s="49" t="s">
        <v>9777</v>
      </c>
      <c r="B3704" s="49" t="s">
        <v>9776</v>
      </c>
      <c r="C3704" s="49"/>
      <c r="D3704" s="49" t="s">
        <v>1264</v>
      </c>
      <c r="E3704" s="49" t="s">
        <v>2785</v>
      </c>
      <c r="F3704" s="49" t="s">
        <v>2786</v>
      </c>
      <c r="G3704" s="49" t="s">
        <v>2776</v>
      </c>
      <c r="H3704" s="49" t="s">
        <v>3229</v>
      </c>
      <c r="I3704" s="50">
        <v>42263</v>
      </c>
      <c r="M3704" s="49" t="s">
        <v>3470</v>
      </c>
    </row>
    <row r="3705" spans="1:13" x14ac:dyDescent="0.35">
      <c r="A3705" s="49" t="s">
        <v>9777</v>
      </c>
      <c r="B3705" s="49" t="s">
        <v>12319</v>
      </c>
      <c r="C3705" s="49" t="s">
        <v>12320</v>
      </c>
      <c r="D3705" s="49" t="s">
        <v>1264</v>
      </c>
      <c r="E3705" s="49" t="s">
        <v>2785</v>
      </c>
      <c r="F3705" s="49" t="s">
        <v>2786</v>
      </c>
      <c r="G3705" s="49" t="s">
        <v>2776</v>
      </c>
      <c r="H3705" s="49" t="s">
        <v>835</v>
      </c>
      <c r="I3705" s="50">
        <v>45377</v>
      </c>
      <c r="M3705" s="49" t="s">
        <v>12322</v>
      </c>
    </row>
    <row r="3706" spans="1:13" x14ac:dyDescent="0.35">
      <c r="A3706" s="49" t="s">
        <v>9777</v>
      </c>
      <c r="B3706" s="49" t="s">
        <v>12381</v>
      </c>
      <c r="C3706" s="49" t="s">
        <v>12382</v>
      </c>
      <c r="D3706" s="49" t="s">
        <v>1264</v>
      </c>
      <c r="E3706" s="49" t="s">
        <v>2785</v>
      </c>
      <c r="F3706" s="49" t="s">
        <v>2786</v>
      </c>
      <c r="G3706" s="49" t="s">
        <v>4891</v>
      </c>
      <c r="H3706" s="49" t="s">
        <v>835</v>
      </c>
      <c r="I3706" s="50">
        <v>45364</v>
      </c>
      <c r="M3706" s="49" t="s">
        <v>12322</v>
      </c>
    </row>
    <row r="3707" spans="1:13" x14ac:dyDescent="0.35">
      <c r="A3707" s="49" t="s">
        <v>15672</v>
      </c>
      <c r="B3707" s="49" t="s">
        <v>6286</v>
      </c>
      <c r="C3707" s="49"/>
      <c r="D3707" s="49" t="s">
        <v>1264</v>
      </c>
      <c r="E3707" s="49" t="s">
        <v>3443</v>
      </c>
      <c r="F3707" s="49" t="s">
        <v>3124</v>
      </c>
      <c r="G3707" s="49" t="s">
        <v>4330</v>
      </c>
      <c r="H3707" s="49" t="s">
        <v>980</v>
      </c>
      <c r="I3707" s="50">
        <v>45240</v>
      </c>
    </row>
    <row r="3708" spans="1:13" x14ac:dyDescent="0.35">
      <c r="A3708" s="49" t="s">
        <v>15514</v>
      </c>
      <c r="B3708" s="49" t="s">
        <v>12360</v>
      </c>
      <c r="C3708" s="49" t="s">
        <v>4555</v>
      </c>
      <c r="D3708" s="49" t="s">
        <v>1264</v>
      </c>
      <c r="E3708" s="49" t="s">
        <v>2908</v>
      </c>
      <c r="F3708" s="49" t="s">
        <v>2837</v>
      </c>
      <c r="G3708" s="49" t="s">
        <v>4891</v>
      </c>
      <c r="H3708" s="49" t="s">
        <v>980</v>
      </c>
      <c r="I3708" s="50">
        <v>45379</v>
      </c>
      <c r="M3708" s="49" t="s">
        <v>12362</v>
      </c>
    </row>
    <row r="3709" spans="1:13" x14ac:dyDescent="0.35">
      <c r="A3709" s="49" t="s">
        <v>15514</v>
      </c>
      <c r="B3709" s="49" t="s">
        <v>12370</v>
      </c>
      <c r="C3709" s="49"/>
      <c r="D3709" s="49" t="s">
        <v>1264</v>
      </c>
      <c r="E3709" s="49" t="s">
        <v>2974</v>
      </c>
      <c r="F3709" s="49" t="s">
        <v>3188</v>
      </c>
      <c r="G3709" s="49" t="s">
        <v>2776</v>
      </c>
      <c r="H3709" s="49" t="s">
        <v>973</v>
      </c>
      <c r="I3709" s="50">
        <v>45385</v>
      </c>
      <c r="M3709" s="49" t="s">
        <v>12371</v>
      </c>
    </row>
    <row r="3710" spans="1:13" x14ac:dyDescent="0.35">
      <c r="A3710" s="49" t="s">
        <v>15514</v>
      </c>
      <c r="B3710" s="49" t="s">
        <v>12376</v>
      </c>
      <c r="C3710" s="49"/>
      <c r="D3710" s="49" t="s">
        <v>1264</v>
      </c>
      <c r="E3710" s="49" t="s">
        <v>2774</v>
      </c>
      <c r="F3710" s="49" t="s">
        <v>4842</v>
      </c>
      <c r="G3710" s="49" t="s">
        <v>4891</v>
      </c>
      <c r="H3710" s="49" t="s">
        <v>2827</v>
      </c>
      <c r="I3710" s="50">
        <v>45385</v>
      </c>
      <c r="M3710" s="49" t="s">
        <v>12377</v>
      </c>
    </row>
    <row r="3711" spans="1:13" x14ac:dyDescent="0.35">
      <c r="A3711" s="49" t="s">
        <v>12759</v>
      </c>
      <c r="B3711" s="49" t="s">
        <v>12758</v>
      </c>
      <c r="C3711" s="49" t="s">
        <v>3586</v>
      </c>
      <c r="D3711" s="49" t="s">
        <v>1264</v>
      </c>
      <c r="E3711" s="49" t="s">
        <v>2785</v>
      </c>
      <c r="F3711" s="49" t="s">
        <v>2786</v>
      </c>
      <c r="G3711" s="49" t="s">
        <v>2776</v>
      </c>
      <c r="H3711" s="49" t="s">
        <v>980</v>
      </c>
      <c r="I3711" s="50">
        <v>45474</v>
      </c>
      <c r="M3711" s="49" t="s">
        <v>12760</v>
      </c>
    </row>
    <row r="3712" spans="1:13" x14ac:dyDescent="0.35">
      <c r="A3712" s="49" t="s">
        <v>14981</v>
      </c>
      <c r="B3712" s="49" t="s">
        <v>13094</v>
      </c>
      <c r="C3712" s="49"/>
      <c r="D3712" s="49" t="s">
        <v>1264</v>
      </c>
      <c r="E3712" s="49" t="s">
        <v>2785</v>
      </c>
      <c r="F3712" s="49" t="s">
        <v>2792</v>
      </c>
      <c r="G3712" s="49" t="s">
        <v>4891</v>
      </c>
      <c r="H3712" s="49" t="s">
        <v>980</v>
      </c>
      <c r="I3712" s="52">
        <v>46042.699502314797</v>
      </c>
      <c r="M3712" s="49" t="s">
        <v>13096</v>
      </c>
    </row>
    <row r="3713" spans="1:13" x14ac:dyDescent="0.35">
      <c r="A3713" s="49" t="s">
        <v>14981</v>
      </c>
      <c r="B3713" s="49" t="s">
        <v>13097</v>
      </c>
      <c r="C3713" s="49"/>
      <c r="D3713" s="49" t="s">
        <v>1264</v>
      </c>
      <c r="E3713" s="49" t="s">
        <v>2785</v>
      </c>
      <c r="F3713" s="49" t="s">
        <v>2792</v>
      </c>
      <c r="G3713" s="49" t="s">
        <v>4891</v>
      </c>
      <c r="H3713" s="49" t="s">
        <v>980</v>
      </c>
      <c r="I3713" s="52">
        <v>46042.720763888901</v>
      </c>
      <c r="M3713" s="49" t="s">
        <v>13098</v>
      </c>
    </row>
    <row r="3714" spans="1:13" x14ac:dyDescent="0.35">
      <c r="A3714" s="49" t="s">
        <v>14981</v>
      </c>
      <c r="B3714" s="49" t="s">
        <v>13378</v>
      </c>
      <c r="C3714" s="49"/>
      <c r="D3714" s="49" t="s">
        <v>1264</v>
      </c>
      <c r="E3714" s="49" t="s">
        <v>2785</v>
      </c>
      <c r="F3714" s="49" t="s">
        <v>2786</v>
      </c>
      <c r="G3714" s="49" t="s">
        <v>4891</v>
      </c>
      <c r="H3714" s="49" t="s">
        <v>980</v>
      </c>
      <c r="I3714" s="52">
        <v>46115.412013888897</v>
      </c>
      <c r="M3714" s="49" t="s">
        <v>13379</v>
      </c>
    </row>
    <row r="3715" spans="1:13" x14ac:dyDescent="0.35">
      <c r="A3715" s="49" t="s">
        <v>729</v>
      </c>
      <c r="B3715" s="49" t="s">
        <v>3604</v>
      </c>
      <c r="C3715" s="49" t="s">
        <v>3605</v>
      </c>
      <c r="D3715" s="49" t="s">
        <v>1264</v>
      </c>
      <c r="E3715" s="49" t="s">
        <v>2986</v>
      </c>
      <c r="F3715" s="49" t="s">
        <v>2825</v>
      </c>
      <c r="G3715" s="49" t="s">
        <v>2826</v>
      </c>
      <c r="H3715" s="49" t="s">
        <v>2827</v>
      </c>
      <c r="I3715" s="50">
        <v>42938</v>
      </c>
      <c r="J3715" s="50">
        <v>43195</v>
      </c>
      <c r="K3715" s="50">
        <v>44586</v>
      </c>
      <c r="L3715" s="50">
        <v>44292</v>
      </c>
      <c r="M3715" s="49" t="s">
        <v>3607</v>
      </c>
    </row>
    <row r="3716" spans="1:13" x14ac:dyDescent="0.35">
      <c r="A3716" s="49" t="s">
        <v>729</v>
      </c>
      <c r="B3716" s="49" t="s">
        <v>4788</v>
      </c>
      <c r="C3716" s="49" t="s">
        <v>4789</v>
      </c>
      <c r="D3716" s="49" t="s">
        <v>1264</v>
      </c>
      <c r="E3716" s="49" t="s">
        <v>2974</v>
      </c>
      <c r="F3716" s="49" t="s">
        <v>2825</v>
      </c>
      <c r="G3716" s="49" t="s">
        <v>2901</v>
      </c>
      <c r="H3716" s="49" t="s">
        <v>2827</v>
      </c>
      <c r="I3716" s="50">
        <v>44494</v>
      </c>
      <c r="J3716" s="50">
        <v>44572</v>
      </c>
      <c r="K3716" s="50">
        <v>46397</v>
      </c>
      <c r="M3716" s="49" t="s">
        <v>3607</v>
      </c>
    </row>
    <row r="3717" spans="1:13" x14ac:dyDescent="0.35">
      <c r="A3717" s="49" t="s">
        <v>729</v>
      </c>
      <c r="B3717" s="49" t="s">
        <v>10904</v>
      </c>
      <c r="C3717" s="49"/>
      <c r="D3717" s="49" t="s">
        <v>1264</v>
      </c>
      <c r="E3717" s="49" t="s">
        <v>2974</v>
      </c>
      <c r="F3717" s="49" t="s">
        <v>2825</v>
      </c>
      <c r="G3717" s="49" t="s">
        <v>2826</v>
      </c>
      <c r="H3717" s="49" t="s">
        <v>2827</v>
      </c>
      <c r="I3717" s="50">
        <v>44494</v>
      </c>
      <c r="M3717" s="49" t="s">
        <v>10905</v>
      </c>
    </row>
    <row r="3718" spans="1:13" x14ac:dyDescent="0.35">
      <c r="A3718" s="49" t="s">
        <v>729</v>
      </c>
      <c r="B3718" s="49" t="s">
        <v>13643</v>
      </c>
      <c r="C3718" s="49" t="s">
        <v>13644</v>
      </c>
      <c r="D3718" s="49" t="s">
        <v>1264</v>
      </c>
      <c r="E3718" s="49" t="s">
        <v>2986</v>
      </c>
      <c r="F3718" s="49" t="s">
        <v>2825</v>
      </c>
      <c r="G3718" s="49" t="s">
        <v>2776</v>
      </c>
      <c r="H3718" s="49" t="s">
        <v>2827</v>
      </c>
      <c r="I3718" s="50">
        <v>43222</v>
      </c>
      <c r="M3718" s="49" t="s">
        <v>3100</v>
      </c>
    </row>
    <row r="3719" spans="1:13" x14ac:dyDescent="0.35">
      <c r="A3719" s="49" t="s">
        <v>14449</v>
      </c>
      <c r="B3719" s="49" t="s">
        <v>8678</v>
      </c>
      <c r="C3719" s="49" t="s">
        <v>8679</v>
      </c>
      <c r="D3719" s="49" t="s">
        <v>1264</v>
      </c>
      <c r="E3719" s="49" t="s">
        <v>3443</v>
      </c>
      <c r="F3719" s="49" t="s">
        <v>3124</v>
      </c>
      <c r="G3719" s="49" t="s">
        <v>4891</v>
      </c>
      <c r="H3719" s="49" t="s">
        <v>980</v>
      </c>
      <c r="I3719" s="50">
        <v>43976</v>
      </c>
      <c r="M3719" s="49" t="s">
        <v>3584</v>
      </c>
    </row>
    <row r="3720" spans="1:13" x14ac:dyDescent="0.35">
      <c r="A3720" s="49" t="s">
        <v>15234</v>
      </c>
      <c r="B3720" s="49" t="s">
        <v>10957</v>
      </c>
      <c r="C3720" s="49" t="s">
        <v>10958</v>
      </c>
      <c r="D3720" s="49" t="s">
        <v>1264</v>
      </c>
      <c r="E3720" s="49" t="s">
        <v>2986</v>
      </c>
      <c r="F3720" s="49" t="s">
        <v>2825</v>
      </c>
      <c r="G3720" s="49" t="s">
        <v>4891</v>
      </c>
      <c r="H3720" s="49" t="s">
        <v>2827</v>
      </c>
      <c r="I3720" s="50">
        <v>44533</v>
      </c>
      <c r="M3720" s="49" t="s">
        <v>10960</v>
      </c>
    </row>
    <row r="3721" spans="1:13" x14ac:dyDescent="0.35">
      <c r="A3721" s="49" t="s">
        <v>15234</v>
      </c>
      <c r="B3721" s="49" t="s">
        <v>13637</v>
      </c>
      <c r="C3721" s="49" t="s">
        <v>13638</v>
      </c>
      <c r="D3721" s="49" t="s">
        <v>1264</v>
      </c>
      <c r="E3721" s="49" t="s">
        <v>2986</v>
      </c>
      <c r="F3721" s="49" t="s">
        <v>2825</v>
      </c>
      <c r="G3721" s="49" t="s">
        <v>2776</v>
      </c>
      <c r="H3721" s="49" t="s">
        <v>2827</v>
      </c>
      <c r="I3721" s="50">
        <v>43587</v>
      </c>
      <c r="M3721" s="49" t="s">
        <v>13639</v>
      </c>
    </row>
    <row r="3722" spans="1:13" x14ac:dyDescent="0.35">
      <c r="A3722" s="49" t="s">
        <v>14798</v>
      </c>
      <c r="B3722" s="49" t="s">
        <v>14046</v>
      </c>
      <c r="C3722" s="49"/>
      <c r="D3722" s="49" t="s">
        <v>1264</v>
      </c>
      <c r="E3722" s="49" t="s">
        <v>14045</v>
      </c>
      <c r="G3722" s="49" t="s">
        <v>2901</v>
      </c>
      <c r="I3722" s="50">
        <v>45797</v>
      </c>
      <c r="J3722" s="50">
        <v>45797</v>
      </c>
      <c r="K3722" s="50">
        <v>45797</v>
      </c>
    </row>
    <row r="3723" spans="1:13" x14ac:dyDescent="0.35">
      <c r="A3723" s="49" t="s">
        <v>15515</v>
      </c>
      <c r="B3723" s="49" t="s">
        <v>3419</v>
      </c>
      <c r="C3723" s="49" t="s">
        <v>3420</v>
      </c>
      <c r="D3723" s="49" t="s">
        <v>1264</v>
      </c>
      <c r="E3723" s="49" t="s">
        <v>2908</v>
      </c>
      <c r="F3723" s="49" t="s">
        <v>2939</v>
      </c>
      <c r="G3723" s="49" t="s">
        <v>2787</v>
      </c>
      <c r="H3723" s="49" t="s">
        <v>980</v>
      </c>
      <c r="I3723" s="50">
        <v>42113</v>
      </c>
      <c r="J3723" s="50">
        <v>42468</v>
      </c>
      <c r="K3723" s="50">
        <v>44293</v>
      </c>
      <c r="M3723" s="49" t="s">
        <v>3422</v>
      </c>
    </row>
    <row r="3724" spans="1:13" x14ac:dyDescent="0.35">
      <c r="A3724" s="49" t="s">
        <v>14560</v>
      </c>
      <c r="B3724" s="49" t="s">
        <v>10378</v>
      </c>
      <c r="C3724" s="49"/>
      <c r="D3724" s="49" t="s">
        <v>1264</v>
      </c>
      <c r="E3724" s="49" t="s">
        <v>2814</v>
      </c>
      <c r="F3724" s="49" t="s">
        <v>2837</v>
      </c>
      <c r="G3724" s="49" t="s">
        <v>2776</v>
      </c>
      <c r="H3724" s="49" t="s">
        <v>980</v>
      </c>
      <c r="I3724" s="50">
        <v>43388</v>
      </c>
      <c r="M3724" s="49" t="s">
        <v>10380</v>
      </c>
    </row>
    <row r="3725" spans="1:13" x14ac:dyDescent="0.35">
      <c r="A3725" s="49" t="s">
        <v>8531</v>
      </c>
      <c r="B3725" s="49" t="s">
        <v>8529</v>
      </c>
      <c r="C3725" s="49" t="s">
        <v>8530</v>
      </c>
      <c r="D3725" s="49" t="s">
        <v>1264</v>
      </c>
      <c r="E3725" s="49" t="s">
        <v>2774</v>
      </c>
      <c r="F3725" s="49" t="s">
        <v>2900</v>
      </c>
      <c r="G3725" s="49" t="s">
        <v>2975</v>
      </c>
      <c r="H3725" s="49" t="s">
        <v>2827</v>
      </c>
      <c r="I3725" s="50">
        <v>42032</v>
      </c>
      <c r="J3725" s="50">
        <v>42200</v>
      </c>
      <c r="K3725" s="50">
        <v>44391</v>
      </c>
      <c r="M3725" s="49" t="s">
        <v>8532</v>
      </c>
    </row>
    <row r="3726" spans="1:13" x14ac:dyDescent="0.35">
      <c r="A3726" s="49" t="s">
        <v>8531</v>
      </c>
      <c r="B3726" s="49" t="s">
        <v>8929</v>
      </c>
      <c r="C3726" s="49" t="s">
        <v>8930</v>
      </c>
      <c r="D3726" s="49" t="s">
        <v>1264</v>
      </c>
      <c r="E3726" s="49" t="s">
        <v>2814</v>
      </c>
      <c r="F3726" s="49" t="s">
        <v>2900</v>
      </c>
      <c r="G3726" s="49" t="s">
        <v>2787</v>
      </c>
      <c r="H3726" s="49" t="s">
        <v>2827</v>
      </c>
      <c r="I3726" s="50">
        <v>42058</v>
      </c>
      <c r="J3726" s="50">
        <v>42109</v>
      </c>
      <c r="K3726" s="50">
        <v>42291</v>
      </c>
      <c r="M3726" s="49" t="s">
        <v>8852</v>
      </c>
    </row>
    <row r="3727" spans="1:13" x14ac:dyDescent="0.35">
      <c r="A3727" s="49" t="s">
        <v>14540</v>
      </c>
      <c r="B3727" s="49" t="s">
        <v>10020</v>
      </c>
      <c r="C3727" s="49"/>
      <c r="D3727" s="49" t="s">
        <v>1264</v>
      </c>
      <c r="E3727" s="49" t="s">
        <v>2785</v>
      </c>
      <c r="F3727" s="49" t="s">
        <v>2792</v>
      </c>
      <c r="G3727" s="49" t="s">
        <v>2826</v>
      </c>
      <c r="H3727" s="49" t="s">
        <v>980</v>
      </c>
      <c r="I3727" s="50">
        <v>41711</v>
      </c>
      <c r="M3727" s="49" t="s">
        <v>10022</v>
      </c>
    </row>
    <row r="3728" spans="1:13" x14ac:dyDescent="0.35">
      <c r="A3728" s="49" t="s">
        <v>14683</v>
      </c>
      <c r="B3728" s="49" t="s">
        <v>13845</v>
      </c>
      <c r="C3728" s="49"/>
      <c r="D3728" s="49" t="s">
        <v>1264</v>
      </c>
      <c r="E3728" s="49" t="s">
        <v>2774</v>
      </c>
      <c r="F3728" s="49" t="s">
        <v>2900</v>
      </c>
      <c r="G3728" s="49" t="s">
        <v>2776</v>
      </c>
      <c r="H3728" s="49" t="s">
        <v>3229</v>
      </c>
      <c r="I3728" s="50">
        <v>42443</v>
      </c>
      <c r="M3728" s="49" t="s">
        <v>13847</v>
      </c>
    </row>
    <row r="3729" spans="1:13" x14ac:dyDescent="0.35">
      <c r="A3729" s="49" t="s">
        <v>15516</v>
      </c>
      <c r="B3729" s="49" t="s">
        <v>4999</v>
      </c>
      <c r="C3729" s="49" t="s">
        <v>5000</v>
      </c>
      <c r="D3729" s="49" t="s">
        <v>1264</v>
      </c>
      <c r="E3729" s="49" t="s">
        <v>2908</v>
      </c>
      <c r="F3729" s="49" t="s">
        <v>5002</v>
      </c>
      <c r="G3729" s="49" t="s">
        <v>2901</v>
      </c>
      <c r="H3729" s="49" t="s">
        <v>980</v>
      </c>
      <c r="I3729" s="50">
        <v>42100</v>
      </c>
      <c r="J3729" s="50">
        <v>42920</v>
      </c>
      <c r="K3729" s="50">
        <v>46178</v>
      </c>
      <c r="M3729" s="49" t="s">
        <v>5003</v>
      </c>
    </row>
    <row r="3730" spans="1:13" x14ac:dyDescent="0.35">
      <c r="A3730" s="49" t="s">
        <v>15517</v>
      </c>
      <c r="B3730" s="49" t="s">
        <v>5481</v>
      </c>
      <c r="C3730" s="49"/>
      <c r="D3730" s="49" t="s">
        <v>1264</v>
      </c>
      <c r="E3730" s="49" t="s">
        <v>2814</v>
      </c>
      <c r="F3730" s="49" t="s">
        <v>2825</v>
      </c>
      <c r="G3730" s="49" t="s">
        <v>2787</v>
      </c>
      <c r="H3730" s="49" t="s">
        <v>2827</v>
      </c>
      <c r="I3730" s="50">
        <v>45014</v>
      </c>
      <c r="J3730" s="50">
        <v>45022</v>
      </c>
      <c r="K3730" s="50">
        <v>45204</v>
      </c>
      <c r="M3730" s="49" t="s">
        <v>5483</v>
      </c>
    </row>
    <row r="3731" spans="1:13" x14ac:dyDescent="0.35">
      <c r="A3731" s="49" t="s">
        <v>15517</v>
      </c>
      <c r="B3731" s="49" t="s">
        <v>5603</v>
      </c>
      <c r="C3731" s="49"/>
      <c r="D3731" s="49" t="s">
        <v>1264</v>
      </c>
      <c r="E3731" s="49" t="s">
        <v>2986</v>
      </c>
      <c r="F3731" s="49" t="s">
        <v>2825</v>
      </c>
      <c r="G3731" s="49" t="s">
        <v>2901</v>
      </c>
      <c r="H3731" s="49" t="s">
        <v>2827</v>
      </c>
      <c r="I3731" s="50">
        <v>45062</v>
      </c>
      <c r="J3731" s="50">
        <v>45070</v>
      </c>
      <c r="K3731" s="50">
        <v>46165</v>
      </c>
      <c r="M3731" s="49" t="s">
        <v>5604</v>
      </c>
    </row>
    <row r="3732" spans="1:13" x14ac:dyDescent="0.35">
      <c r="A3732" s="49" t="s">
        <v>15517</v>
      </c>
      <c r="B3732" s="49" t="s">
        <v>6673</v>
      </c>
      <c r="C3732" s="49"/>
      <c r="D3732" s="49" t="s">
        <v>1264</v>
      </c>
      <c r="E3732" s="49" t="s">
        <v>2814</v>
      </c>
      <c r="F3732" s="49" t="s">
        <v>2825</v>
      </c>
      <c r="G3732" s="49" t="s">
        <v>2787</v>
      </c>
      <c r="H3732" s="49" t="s">
        <v>2827</v>
      </c>
      <c r="I3732" s="50">
        <v>44960</v>
      </c>
      <c r="J3732" s="50">
        <v>45022</v>
      </c>
      <c r="K3732" s="50">
        <v>45204</v>
      </c>
      <c r="M3732" s="49" t="s">
        <v>6674</v>
      </c>
    </row>
    <row r="3733" spans="1:13" x14ac:dyDescent="0.35">
      <c r="A3733" s="49" t="s">
        <v>15235</v>
      </c>
      <c r="B3733" s="49" t="s">
        <v>2817</v>
      </c>
      <c r="C3733" s="49" t="s">
        <v>2818</v>
      </c>
      <c r="D3733" s="49" t="s">
        <v>1264</v>
      </c>
      <c r="E3733" s="49" t="s">
        <v>2785</v>
      </c>
      <c r="F3733" s="49" t="s">
        <v>2792</v>
      </c>
      <c r="G3733" s="49" t="s">
        <v>2820</v>
      </c>
      <c r="H3733" s="49" t="s">
        <v>8</v>
      </c>
      <c r="I3733" s="50">
        <v>43369</v>
      </c>
      <c r="J3733" s="50">
        <v>43494</v>
      </c>
      <c r="K3733" s="50">
        <v>43858</v>
      </c>
      <c r="M3733" s="49" t="s">
        <v>2821</v>
      </c>
    </row>
    <row r="3734" spans="1:13" x14ac:dyDescent="0.35">
      <c r="A3734" s="49" t="s">
        <v>15235</v>
      </c>
      <c r="B3734" s="49" t="s">
        <v>3753</v>
      </c>
      <c r="C3734" s="49" t="s">
        <v>3754</v>
      </c>
      <c r="D3734" s="49" t="s">
        <v>1264</v>
      </c>
      <c r="E3734" s="49" t="s">
        <v>2785</v>
      </c>
      <c r="F3734" s="49" t="s">
        <v>2792</v>
      </c>
      <c r="G3734" s="49" t="s">
        <v>2787</v>
      </c>
      <c r="H3734" s="49" t="s">
        <v>980</v>
      </c>
      <c r="I3734" s="50">
        <v>43251</v>
      </c>
      <c r="J3734" s="50">
        <v>43472</v>
      </c>
      <c r="K3734" s="50">
        <v>43836</v>
      </c>
      <c r="M3734" s="49" t="s">
        <v>3755</v>
      </c>
    </row>
    <row r="3735" spans="1:13" x14ac:dyDescent="0.35">
      <c r="A3735" s="49" t="s">
        <v>15518</v>
      </c>
      <c r="B3735" s="49" t="s">
        <v>5397</v>
      </c>
      <c r="C3735" s="49"/>
      <c r="D3735" s="49" t="s">
        <v>1264</v>
      </c>
      <c r="E3735" s="49" t="s">
        <v>2986</v>
      </c>
      <c r="F3735" s="49" t="s">
        <v>2825</v>
      </c>
      <c r="G3735" s="49" t="s">
        <v>2901</v>
      </c>
      <c r="H3735" s="49" t="s">
        <v>2827</v>
      </c>
      <c r="I3735" s="50">
        <v>44965</v>
      </c>
      <c r="J3735" s="50">
        <v>45000</v>
      </c>
      <c r="K3735" s="50">
        <v>46095</v>
      </c>
      <c r="M3735" s="49" t="s">
        <v>5399</v>
      </c>
    </row>
    <row r="3736" spans="1:13" x14ac:dyDescent="0.35">
      <c r="A3736" s="49" t="s">
        <v>14805</v>
      </c>
      <c r="B3736" s="49" t="s">
        <v>3920</v>
      </c>
      <c r="C3736" s="49" t="s">
        <v>3921</v>
      </c>
      <c r="D3736" s="49" t="s">
        <v>1264</v>
      </c>
      <c r="E3736" s="49" t="s">
        <v>2774</v>
      </c>
      <c r="F3736" s="49" t="s">
        <v>2825</v>
      </c>
      <c r="G3736" s="49" t="s">
        <v>2901</v>
      </c>
      <c r="H3736" s="49" t="s">
        <v>2827</v>
      </c>
      <c r="I3736" s="50">
        <v>43697</v>
      </c>
      <c r="J3736" s="50">
        <v>43879</v>
      </c>
      <c r="K3736" s="50">
        <v>46435</v>
      </c>
      <c r="M3736" s="49" t="s">
        <v>3923</v>
      </c>
    </row>
    <row r="3737" spans="1:13" x14ac:dyDescent="0.35">
      <c r="A3737" s="49" t="s">
        <v>15046</v>
      </c>
      <c r="B3737" s="49" t="s">
        <v>11638</v>
      </c>
      <c r="C3737" s="49" t="s">
        <v>11639</v>
      </c>
      <c r="D3737" s="49" t="s">
        <v>1264</v>
      </c>
      <c r="E3737" s="49" t="s">
        <v>2974</v>
      </c>
      <c r="F3737" s="49" t="s">
        <v>3005</v>
      </c>
      <c r="G3737" s="49" t="s">
        <v>2826</v>
      </c>
      <c r="H3737" s="49" t="s">
        <v>1062</v>
      </c>
      <c r="I3737" s="50">
        <v>45225</v>
      </c>
      <c r="M3737" s="49" t="s">
        <v>11641</v>
      </c>
    </row>
    <row r="3738" spans="1:13" x14ac:dyDescent="0.35">
      <c r="A3738" s="49" t="s">
        <v>14631</v>
      </c>
      <c r="B3738" s="49" t="s">
        <v>12450</v>
      </c>
      <c r="C3738" s="49" t="s">
        <v>12451</v>
      </c>
      <c r="D3738" s="49" t="s">
        <v>1264</v>
      </c>
      <c r="E3738" s="49" t="s">
        <v>2774</v>
      </c>
      <c r="F3738" s="49" t="s">
        <v>3005</v>
      </c>
      <c r="G3738" s="49" t="s">
        <v>4891</v>
      </c>
      <c r="H3738" s="49" t="s">
        <v>3207</v>
      </c>
      <c r="I3738" s="50">
        <v>45419</v>
      </c>
      <c r="M3738" s="49" t="s">
        <v>12453</v>
      </c>
    </row>
    <row r="3739" spans="1:13" x14ac:dyDescent="0.35">
      <c r="A3739" s="49" t="s">
        <v>15236</v>
      </c>
      <c r="B3739" s="49" t="s">
        <v>6300</v>
      </c>
      <c r="C3739" s="49"/>
      <c r="D3739" s="49" t="s">
        <v>1264</v>
      </c>
      <c r="E3739" s="49" t="s">
        <v>2986</v>
      </c>
      <c r="F3739" s="49" t="s">
        <v>2825</v>
      </c>
      <c r="G3739" s="49" t="s">
        <v>2901</v>
      </c>
      <c r="H3739" s="49" t="s">
        <v>2827</v>
      </c>
      <c r="I3739" s="50">
        <v>45316</v>
      </c>
      <c r="J3739" s="50">
        <v>45329</v>
      </c>
      <c r="K3739" s="50">
        <v>46424</v>
      </c>
      <c r="M3739" s="49" t="s">
        <v>3181</v>
      </c>
    </row>
    <row r="3740" spans="1:13" x14ac:dyDescent="0.35">
      <c r="A3740" s="49" t="s">
        <v>15236</v>
      </c>
      <c r="B3740" s="49" t="s">
        <v>11961</v>
      </c>
      <c r="C3740" s="49"/>
      <c r="D3740" s="49" t="s">
        <v>1264</v>
      </c>
      <c r="E3740" s="49" t="s">
        <v>2774</v>
      </c>
      <c r="F3740" s="49" t="s">
        <v>4842</v>
      </c>
      <c r="G3740" s="49" t="s">
        <v>4891</v>
      </c>
      <c r="H3740" s="49" t="s">
        <v>973</v>
      </c>
      <c r="I3740" s="50">
        <v>45307</v>
      </c>
      <c r="M3740" s="49" t="s">
        <v>11963</v>
      </c>
    </row>
    <row r="3741" spans="1:13" x14ac:dyDescent="0.35">
      <c r="A3741" s="49" t="s">
        <v>15236</v>
      </c>
      <c r="B3741" s="49" t="s">
        <v>12146</v>
      </c>
      <c r="C3741" s="49"/>
      <c r="D3741" s="49" t="s">
        <v>1264</v>
      </c>
      <c r="E3741" s="49" t="s">
        <v>2986</v>
      </c>
      <c r="F3741" s="49" t="s">
        <v>2825</v>
      </c>
      <c r="G3741" s="49" t="s">
        <v>2776</v>
      </c>
      <c r="H3741" s="49" t="s">
        <v>2827</v>
      </c>
      <c r="I3741" s="50">
        <v>45348</v>
      </c>
      <c r="M3741" s="49" t="s">
        <v>12147</v>
      </c>
    </row>
    <row r="3742" spans="1:13" x14ac:dyDescent="0.35">
      <c r="A3742" s="49" t="s">
        <v>15236</v>
      </c>
      <c r="B3742" s="49" t="s">
        <v>12610</v>
      </c>
      <c r="C3742" s="49"/>
      <c r="D3742" s="49" t="s">
        <v>1264</v>
      </c>
      <c r="E3742" s="49" t="s">
        <v>2986</v>
      </c>
      <c r="F3742" s="49" t="s">
        <v>2825</v>
      </c>
      <c r="G3742" s="49" t="s">
        <v>2776</v>
      </c>
      <c r="H3742" s="49" t="s">
        <v>2827</v>
      </c>
      <c r="I3742" s="50">
        <v>45474</v>
      </c>
      <c r="M3742" s="49" t="s">
        <v>12611</v>
      </c>
    </row>
    <row r="3743" spans="1:13" x14ac:dyDescent="0.35">
      <c r="A3743" s="49" t="s">
        <v>15236</v>
      </c>
      <c r="B3743" s="49" t="s">
        <v>11607</v>
      </c>
      <c r="C3743" s="49" t="s">
        <v>11608</v>
      </c>
      <c r="D3743" s="49" t="s">
        <v>1264</v>
      </c>
      <c r="E3743" s="49" t="s">
        <v>2774</v>
      </c>
      <c r="F3743" s="49" t="s">
        <v>2825</v>
      </c>
      <c r="G3743" s="49" t="s">
        <v>2826</v>
      </c>
      <c r="H3743" s="49" t="s">
        <v>2827</v>
      </c>
      <c r="I3743" s="50">
        <v>45208</v>
      </c>
      <c r="M3743" s="49" t="s">
        <v>11610</v>
      </c>
    </row>
    <row r="3744" spans="1:13" x14ac:dyDescent="0.35">
      <c r="A3744" s="49" t="s">
        <v>15236</v>
      </c>
      <c r="B3744" s="49" t="s">
        <v>11917</v>
      </c>
      <c r="C3744" s="49" t="s">
        <v>11918</v>
      </c>
      <c r="D3744" s="49" t="s">
        <v>1264</v>
      </c>
      <c r="E3744" s="49" t="s">
        <v>2774</v>
      </c>
      <c r="F3744" s="49" t="s">
        <v>4842</v>
      </c>
      <c r="G3744" s="49" t="s">
        <v>2776</v>
      </c>
      <c r="H3744" s="49" t="s">
        <v>8</v>
      </c>
      <c r="I3744" s="50">
        <v>45299</v>
      </c>
      <c r="M3744" s="49" t="s">
        <v>11919</v>
      </c>
    </row>
    <row r="3745" spans="1:13" x14ac:dyDescent="0.35">
      <c r="A3745" s="49" t="s">
        <v>14499</v>
      </c>
      <c r="B3745" s="49" t="s">
        <v>9457</v>
      </c>
      <c r="C3745" s="49"/>
      <c r="D3745" s="49" t="s">
        <v>1264</v>
      </c>
      <c r="E3745" s="49" t="s">
        <v>2785</v>
      </c>
      <c r="F3745" s="49" t="s">
        <v>2792</v>
      </c>
      <c r="G3745" s="49" t="s">
        <v>2776</v>
      </c>
      <c r="H3745" s="49" t="s">
        <v>980</v>
      </c>
      <c r="I3745" s="50">
        <v>43291</v>
      </c>
      <c r="M3745" s="49" t="s">
        <v>9459</v>
      </c>
    </row>
    <row r="3746" spans="1:13" x14ac:dyDescent="0.35">
      <c r="A3746" s="49" t="s">
        <v>14103</v>
      </c>
      <c r="B3746" s="49" t="s">
        <v>3475</v>
      </c>
      <c r="C3746" s="49"/>
      <c r="D3746" s="49" t="s">
        <v>1264</v>
      </c>
      <c r="E3746" s="49" t="s">
        <v>3443</v>
      </c>
      <c r="F3746" s="49" t="s">
        <v>3124</v>
      </c>
      <c r="G3746" s="49" t="s">
        <v>2901</v>
      </c>
      <c r="H3746" s="49" t="s">
        <v>980</v>
      </c>
      <c r="I3746" s="50">
        <v>42415</v>
      </c>
      <c r="J3746" s="50">
        <v>42635</v>
      </c>
      <c r="K3746" s="50">
        <v>46286</v>
      </c>
      <c r="L3746" s="50">
        <v>44461</v>
      </c>
      <c r="M3746" s="49" t="s">
        <v>3477</v>
      </c>
    </row>
    <row r="3747" spans="1:13" x14ac:dyDescent="0.35">
      <c r="A3747" s="49" t="s">
        <v>14103</v>
      </c>
      <c r="B3747" s="49" t="s">
        <v>13001</v>
      </c>
      <c r="C3747" s="49"/>
      <c r="D3747" s="49" t="s">
        <v>1264</v>
      </c>
      <c r="E3747" s="49" t="s">
        <v>2814</v>
      </c>
      <c r="F3747" s="49" t="s">
        <v>3188</v>
      </c>
      <c r="G3747" s="49" t="s">
        <v>4891</v>
      </c>
      <c r="H3747" s="49" t="s">
        <v>973</v>
      </c>
      <c r="I3747" s="52">
        <v>46001.940856481502</v>
      </c>
      <c r="M3747" s="49" t="s">
        <v>13002</v>
      </c>
    </row>
    <row r="3748" spans="1:13" x14ac:dyDescent="0.35">
      <c r="A3748" s="49" t="s">
        <v>14412</v>
      </c>
      <c r="B3748" s="49" t="s">
        <v>8208</v>
      </c>
      <c r="C3748" s="49" t="s">
        <v>8209</v>
      </c>
      <c r="D3748" s="49" t="s">
        <v>1264</v>
      </c>
      <c r="E3748" s="49" t="s">
        <v>2908</v>
      </c>
      <c r="F3748" s="49" t="s">
        <v>2837</v>
      </c>
      <c r="G3748" s="49" t="s">
        <v>2826</v>
      </c>
      <c r="H3748" s="49" t="s">
        <v>980</v>
      </c>
      <c r="I3748" s="50">
        <v>36563</v>
      </c>
      <c r="J3748" s="50">
        <v>36754</v>
      </c>
      <c r="K3748" s="50">
        <v>38579</v>
      </c>
      <c r="M3748" s="49" t="s">
        <v>8211</v>
      </c>
    </row>
    <row r="3749" spans="1:13" x14ac:dyDescent="0.35">
      <c r="A3749" s="49" t="s">
        <v>741</v>
      </c>
      <c r="B3749" s="49" t="s">
        <v>4145</v>
      </c>
      <c r="C3749" s="49" t="s">
        <v>3933</v>
      </c>
      <c r="D3749" s="49" t="s">
        <v>1264</v>
      </c>
      <c r="E3749" s="49" t="s">
        <v>2814</v>
      </c>
      <c r="F3749" s="49" t="s">
        <v>2825</v>
      </c>
      <c r="G3749" s="49" t="s">
        <v>2787</v>
      </c>
      <c r="H3749" s="49" t="s">
        <v>2827</v>
      </c>
      <c r="I3749" s="50">
        <v>44147</v>
      </c>
      <c r="J3749" s="50">
        <v>44258</v>
      </c>
      <c r="K3749" s="50">
        <v>44441</v>
      </c>
      <c r="M3749" s="49" t="s">
        <v>4147</v>
      </c>
    </row>
    <row r="3750" spans="1:13" x14ac:dyDescent="0.35">
      <c r="A3750" s="49" t="s">
        <v>741</v>
      </c>
      <c r="B3750" s="49" t="s">
        <v>4889</v>
      </c>
      <c r="C3750" s="49" t="s">
        <v>4890</v>
      </c>
      <c r="D3750" s="49" t="s">
        <v>1264</v>
      </c>
      <c r="E3750" s="49" t="s">
        <v>2986</v>
      </c>
      <c r="F3750" s="49" t="s">
        <v>2825</v>
      </c>
      <c r="G3750" s="49" t="s">
        <v>4891</v>
      </c>
      <c r="H3750" s="49" t="s">
        <v>2827</v>
      </c>
      <c r="I3750" s="50">
        <v>44477</v>
      </c>
      <c r="M3750" s="49" t="s">
        <v>4892</v>
      </c>
    </row>
    <row r="3751" spans="1:13" x14ac:dyDescent="0.35">
      <c r="A3751" s="49" t="s">
        <v>741</v>
      </c>
      <c r="B3751" s="49" t="s">
        <v>8643</v>
      </c>
      <c r="C3751" s="49" t="s">
        <v>3636</v>
      </c>
      <c r="D3751" s="49" t="s">
        <v>1264</v>
      </c>
      <c r="E3751" s="49" t="s">
        <v>2986</v>
      </c>
      <c r="F3751" s="49" t="s">
        <v>2825</v>
      </c>
      <c r="G3751" s="49" t="s">
        <v>2787</v>
      </c>
      <c r="H3751" s="49" t="s">
        <v>2827</v>
      </c>
      <c r="I3751" s="50">
        <v>42627</v>
      </c>
      <c r="J3751" s="50">
        <v>42705</v>
      </c>
      <c r="K3751" s="50">
        <v>43435</v>
      </c>
      <c r="M3751" s="49" t="s">
        <v>3270</v>
      </c>
    </row>
    <row r="3752" spans="1:13" x14ac:dyDescent="0.35">
      <c r="A3752" s="49" t="s">
        <v>741</v>
      </c>
      <c r="B3752" s="49" t="s">
        <v>11080</v>
      </c>
      <c r="C3752" s="49"/>
      <c r="D3752" s="49" t="s">
        <v>1264</v>
      </c>
      <c r="E3752" s="49" t="s">
        <v>2814</v>
      </c>
      <c r="F3752" s="49" t="s">
        <v>2825</v>
      </c>
      <c r="G3752" s="49" t="s">
        <v>2776</v>
      </c>
      <c r="H3752" s="49" t="s">
        <v>2827</v>
      </c>
      <c r="I3752" s="50">
        <v>44767</v>
      </c>
      <c r="M3752" s="49" t="s">
        <v>11081</v>
      </c>
    </row>
    <row r="3753" spans="1:13" x14ac:dyDescent="0.35">
      <c r="A3753" s="49" t="s">
        <v>741</v>
      </c>
      <c r="B3753" s="49" t="s">
        <v>11082</v>
      </c>
      <c r="C3753" s="49"/>
      <c r="D3753" s="49" t="s">
        <v>1264</v>
      </c>
      <c r="E3753" s="49" t="s">
        <v>2814</v>
      </c>
      <c r="F3753" s="49" t="s">
        <v>2825</v>
      </c>
      <c r="G3753" s="49" t="s">
        <v>2776</v>
      </c>
      <c r="H3753" s="49" t="s">
        <v>2827</v>
      </c>
      <c r="I3753" s="50">
        <v>44767</v>
      </c>
      <c r="M3753" s="49" t="s">
        <v>11083</v>
      </c>
    </row>
    <row r="3754" spans="1:13" x14ac:dyDescent="0.35">
      <c r="A3754" s="49" t="s">
        <v>953</v>
      </c>
      <c r="B3754" s="49" t="s">
        <v>5048</v>
      </c>
      <c r="C3754" s="49" t="s">
        <v>5049</v>
      </c>
      <c r="D3754" s="49" t="s">
        <v>1264</v>
      </c>
      <c r="E3754" s="49" t="s">
        <v>2986</v>
      </c>
      <c r="F3754" s="49" t="s">
        <v>2825</v>
      </c>
      <c r="G3754" s="49" t="s">
        <v>2901</v>
      </c>
      <c r="H3754" s="49" t="s">
        <v>2827</v>
      </c>
      <c r="I3754" s="50">
        <v>44796</v>
      </c>
      <c r="J3754" s="50">
        <v>45000</v>
      </c>
      <c r="K3754" s="50">
        <v>46095</v>
      </c>
      <c r="M3754" s="49" t="s">
        <v>5051</v>
      </c>
    </row>
    <row r="3755" spans="1:13" x14ac:dyDescent="0.35">
      <c r="A3755" s="49" t="s">
        <v>15519</v>
      </c>
      <c r="B3755" s="49" t="s">
        <v>9567</v>
      </c>
      <c r="C3755" s="49"/>
      <c r="D3755" s="49" t="s">
        <v>1264</v>
      </c>
      <c r="E3755" s="49" t="s">
        <v>2785</v>
      </c>
      <c r="F3755" s="49" t="s">
        <v>2786</v>
      </c>
      <c r="G3755" s="49" t="s">
        <v>2776</v>
      </c>
      <c r="H3755" s="49" t="s">
        <v>980</v>
      </c>
      <c r="I3755" s="50">
        <v>43157</v>
      </c>
      <c r="M3755" s="49" t="s">
        <v>7883</v>
      </c>
    </row>
    <row r="3756" spans="1:13" x14ac:dyDescent="0.35">
      <c r="A3756" s="49" t="s">
        <v>15047</v>
      </c>
      <c r="B3756" s="49" t="s">
        <v>4476</v>
      </c>
      <c r="C3756" s="49" t="s">
        <v>3586</v>
      </c>
      <c r="D3756" s="49" t="s">
        <v>1264</v>
      </c>
      <c r="E3756" s="49" t="s">
        <v>2785</v>
      </c>
      <c r="F3756" s="49" t="s">
        <v>2805</v>
      </c>
      <c r="G3756" s="49" t="s">
        <v>2787</v>
      </c>
      <c r="H3756" s="49" t="s">
        <v>980</v>
      </c>
      <c r="I3756" s="50">
        <v>44216</v>
      </c>
      <c r="J3756" s="50">
        <v>44441</v>
      </c>
      <c r="K3756" s="50">
        <v>45511</v>
      </c>
      <c r="M3756" s="49" t="s">
        <v>4478</v>
      </c>
    </row>
    <row r="3757" spans="1:13" x14ac:dyDescent="0.35">
      <c r="A3757" s="49" t="s">
        <v>15047</v>
      </c>
      <c r="B3757" s="49" t="s">
        <v>9508</v>
      </c>
      <c r="C3757" s="49"/>
      <c r="D3757" s="49" t="s">
        <v>1264</v>
      </c>
      <c r="E3757" s="49" t="s">
        <v>2785</v>
      </c>
      <c r="F3757" s="49" t="s">
        <v>2805</v>
      </c>
      <c r="G3757" s="49" t="s">
        <v>2776</v>
      </c>
      <c r="H3757" s="49" t="s">
        <v>8</v>
      </c>
      <c r="I3757" s="50">
        <v>44286</v>
      </c>
      <c r="M3757" s="49" t="s">
        <v>9509</v>
      </c>
    </row>
    <row r="3758" spans="1:13" x14ac:dyDescent="0.35">
      <c r="A3758" s="49" t="s">
        <v>744</v>
      </c>
      <c r="B3758" s="49" t="s">
        <v>3114</v>
      </c>
      <c r="C3758" s="49" t="s">
        <v>3115</v>
      </c>
      <c r="D3758" s="49" t="s">
        <v>1264</v>
      </c>
      <c r="E3758" s="49" t="s">
        <v>2908</v>
      </c>
      <c r="F3758" s="49" t="s">
        <v>3010</v>
      </c>
      <c r="G3758" s="49" t="s">
        <v>2901</v>
      </c>
      <c r="H3758" s="49" t="s">
        <v>8</v>
      </c>
      <c r="I3758" s="50">
        <v>40151</v>
      </c>
      <c r="J3758" s="50">
        <v>37427</v>
      </c>
      <c r="K3758" s="50">
        <v>45830</v>
      </c>
      <c r="M3758" s="49" t="s">
        <v>3117</v>
      </c>
    </row>
    <row r="3759" spans="1:13" x14ac:dyDescent="0.35">
      <c r="A3759" s="49" t="s">
        <v>744</v>
      </c>
      <c r="B3759" s="49" t="s">
        <v>3247</v>
      </c>
      <c r="C3759" s="49" t="s">
        <v>3248</v>
      </c>
      <c r="D3759" s="49" t="s">
        <v>1264</v>
      </c>
      <c r="E3759" s="49" t="s">
        <v>2974</v>
      </c>
      <c r="F3759" s="49" t="s">
        <v>2900</v>
      </c>
      <c r="G3759" s="49" t="s">
        <v>2787</v>
      </c>
      <c r="H3759" s="49" t="s">
        <v>980</v>
      </c>
      <c r="I3759" s="50">
        <v>41228</v>
      </c>
      <c r="J3759" s="50">
        <v>41911</v>
      </c>
      <c r="K3759" s="50">
        <v>44833</v>
      </c>
      <c r="M3759" s="49" t="s">
        <v>3249</v>
      </c>
    </row>
    <row r="3760" spans="1:13" x14ac:dyDescent="0.35">
      <c r="A3760" s="49" t="s">
        <v>744</v>
      </c>
      <c r="B3760" s="49" t="s">
        <v>4551</v>
      </c>
      <c r="C3760" s="49"/>
      <c r="D3760" s="49" t="s">
        <v>1264</v>
      </c>
      <c r="E3760" s="49" t="s">
        <v>3443</v>
      </c>
      <c r="F3760" s="49" t="s">
        <v>3124</v>
      </c>
      <c r="G3760" s="49" t="s">
        <v>2901</v>
      </c>
      <c r="H3760" s="49" t="s">
        <v>980</v>
      </c>
      <c r="I3760" s="50">
        <v>44354</v>
      </c>
      <c r="J3760" s="50">
        <v>44476</v>
      </c>
      <c r="K3760" s="50">
        <v>46301</v>
      </c>
    </row>
    <row r="3761" spans="1:13" x14ac:dyDescent="0.35">
      <c r="A3761" s="49" t="s">
        <v>744</v>
      </c>
      <c r="B3761" s="49" t="s">
        <v>7019</v>
      </c>
      <c r="C3761" s="49"/>
      <c r="D3761" s="49" t="s">
        <v>1264</v>
      </c>
      <c r="E3761" s="49" t="s">
        <v>2814</v>
      </c>
      <c r="F3761" s="49" t="s">
        <v>2900</v>
      </c>
      <c r="G3761" s="49" t="s">
        <v>2826</v>
      </c>
      <c r="H3761" s="49" t="s">
        <v>980</v>
      </c>
      <c r="I3761" s="50">
        <v>40835</v>
      </c>
      <c r="M3761" s="49" t="s">
        <v>7020</v>
      </c>
    </row>
    <row r="3762" spans="1:13" x14ac:dyDescent="0.35">
      <c r="A3762" s="49" t="s">
        <v>744</v>
      </c>
      <c r="B3762" s="49" t="s">
        <v>8183</v>
      </c>
      <c r="C3762" s="49" t="s">
        <v>8184</v>
      </c>
      <c r="D3762" s="49" t="s">
        <v>1264</v>
      </c>
      <c r="E3762" s="49" t="s">
        <v>2774</v>
      </c>
      <c r="F3762" s="49" t="s">
        <v>2900</v>
      </c>
      <c r="G3762" s="49" t="s">
        <v>2787</v>
      </c>
      <c r="H3762" s="49" t="s">
        <v>980</v>
      </c>
      <c r="I3762" s="50">
        <v>41022</v>
      </c>
      <c r="J3762" s="50">
        <v>41184</v>
      </c>
      <c r="K3762" s="50">
        <v>43373</v>
      </c>
      <c r="M3762" s="49" t="s">
        <v>8185</v>
      </c>
    </row>
    <row r="3763" spans="1:13" x14ac:dyDescent="0.35">
      <c r="A3763" s="49" t="s">
        <v>744</v>
      </c>
      <c r="B3763" s="49" t="s">
        <v>8696</v>
      </c>
      <c r="C3763" s="49" t="s">
        <v>8697</v>
      </c>
      <c r="D3763" s="49" t="s">
        <v>1264</v>
      </c>
      <c r="E3763" s="49" t="s">
        <v>2774</v>
      </c>
      <c r="F3763" s="49" t="s">
        <v>3188</v>
      </c>
      <c r="G3763" s="49" t="s">
        <v>2776</v>
      </c>
      <c r="H3763" s="49" t="s">
        <v>2827</v>
      </c>
      <c r="I3763" s="50">
        <v>41234</v>
      </c>
      <c r="M3763" s="49" t="s">
        <v>8698</v>
      </c>
    </row>
    <row r="3764" spans="1:13" x14ac:dyDescent="0.35">
      <c r="A3764" s="49" t="s">
        <v>744</v>
      </c>
      <c r="B3764" s="49" t="s">
        <v>8756</v>
      </c>
      <c r="C3764" s="49" t="s">
        <v>8757</v>
      </c>
      <c r="D3764" s="49" t="s">
        <v>1264</v>
      </c>
      <c r="E3764" s="49" t="s">
        <v>2774</v>
      </c>
      <c r="F3764" s="49" t="s">
        <v>3188</v>
      </c>
      <c r="G3764" s="49" t="s">
        <v>2776</v>
      </c>
      <c r="H3764" s="49" t="s">
        <v>973</v>
      </c>
      <c r="I3764" s="50">
        <v>41235</v>
      </c>
      <c r="M3764" s="49" t="s">
        <v>8758</v>
      </c>
    </row>
    <row r="3765" spans="1:13" x14ac:dyDescent="0.35">
      <c r="A3765" s="49" t="s">
        <v>744</v>
      </c>
      <c r="B3765" s="49" t="s">
        <v>8759</v>
      </c>
      <c r="C3765" s="49" t="s">
        <v>6506</v>
      </c>
      <c r="D3765" s="49" t="s">
        <v>1264</v>
      </c>
      <c r="E3765" s="49" t="s">
        <v>2774</v>
      </c>
      <c r="F3765" s="49" t="s">
        <v>2900</v>
      </c>
      <c r="G3765" s="49" t="s">
        <v>2776</v>
      </c>
      <c r="H3765" s="49" t="s">
        <v>2827</v>
      </c>
      <c r="I3765" s="50">
        <v>41234</v>
      </c>
      <c r="M3765" s="49" t="s">
        <v>8760</v>
      </c>
    </row>
    <row r="3766" spans="1:13" x14ac:dyDescent="0.35">
      <c r="A3766" s="49" t="s">
        <v>744</v>
      </c>
      <c r="B3766" s="49" t="s">
        <v>8764</v>
      </c>
      <c r="C3766" s="49"/>
      <c r="D3766" s="49" t="s">
        <v>1264</v>
      </c>
      <c r="E3766" s="49" t="s">
        <v>2814</v>
      </c>
      <c r="F3766" s="49" t="s">
        <v>4259</v>
      </c>
      <c r="G3766" s="49" t="s">
        <v>2826</v>
      </c>
      <c r="H3766" s="49" t="s">
        <v>980</v>
      </c>
      <c r="I3766" s="50">
        <v>41053</v>
      </c>
      <c r="J3766" s="50">
        <v>41061</v>
      </c>
      <c r="K3766" s="50">
        <v>41274</v>
      </c>
      <c r="M3766" s="49" t="s">
        <v>8765</v>
      </c>
    </row>
    <row r="3767" spans="1:13" x14ac:dyDescent="0.35">
      <c r="A3767" s="49" t="s">
        <v>744</v>
      </c>
      <c r="B3767" s="49" t="s">
        <v>8766</v>
      </c>
      <c r="C3767" s="49"/>
      <c r="D3767" s="49" t="s">
        <v>1264</v>
      </c>
      <c r="E3767" s="49" t="s">
        <v>7057</v>
      </c>
      <c r="F3767" s="49" t="s">
        <v>2825</v>
      </c>
      <c r="G3767" s="49" t="s">
        <v>2776</v>
      </c>
      <c r="H3767" s="49" t="s">
        <v>2827</v>
      </c>
      <c r="I3767" s="50">
        <v>41394</v>
      </c>
      <c r="M3767" s="49" t="s">
        <v>3100</v>
      </c>
    </row>
    <row r="3768" spans="1:13" x14ac:dyDescent="0.35">
      <c r="A3768" s="49" t="s">
        <v>744</v>
      </c>
      <c r="B3768" s="49" t="s">
        <v>9061</v>
      </c>
      <c r="C3768" s="49" t="s">
        <v>9062</v>
      </c>
      <c r="D3768" s="49" t="s">
        <v>1264</v>
      </c>
      <c r="E3768" s="49" t="s">
        <v>2908</v>
      </c>
      <c r="F3768" s="49" t="s">
        <v>3253</v>
      </c>
      <c r="G3768" s="49" t="s">
        <v>2776</v>
      </c>
      <c r="H3768" s="49" t="s">
        <v>2827</v>
      </c>
      <c r="I3768" s="50">
        <v>41319</v>
      </c>
      <c r="M3768" s="49" t="s">
        <v>9063</v>
      </c>
    </row>
    <row r="3769" spans="1:13" x14ac:dyDescent="0.35">
      <c r="A3769" s="49" t="s">
        <v>744</v>
      </c>
      <c r="B3769" s="49" t="s">
        <v>9718</v>
      </c>
      <c r="C3769" s="49"/>
      <c r="D3769" s="49" t="s">
        <v>1264</v>
      </c>
      <c r="E3769" s="49" t="s">
        <v>2785</v>
      </c>
      <c r="F3769" s="49" t="s">
        <v>2786</v>
      </c>
      <c r="G3769" s="49" t="s">
        <v>2776</v>
      </c>
      <c r="H3769" s="49" t="s">
        <v>8</v>
      </c>
      <c r="I3769" s="50">
        <v>42150</v>
      </c>
      <c r="M3769" s="49" t="s">
        <v>9719</v>
      </c>
    </row>
    <row r="3770" spans="1:13" x14ac:dyDescent="0.35">
      <c r="A3770" s="49" t="s">
        <v>744</v>
      </c>
      <c r="B3770" s="49" t="s">
        <v>9760</v>
      </c>
      <c r="C3770" s="49" t="s">
        <v>9761</v>
      </c>
      <c r="D3770" s="49" t="s">
        <v>1264</v>
      </c>
      <c r="E3770" s="49" t="s">
        <v>2785</v>
      </c>
      <c r="F3770" s="49" t="s">
        <v>2786</v>
      </c>
      <c r="G3770" s="49" t="s">
        <v>2776</v>
      </c>
      <c r="H3770" s="49" t="s">
        <v>8</v>
      </c>
      <c r="I3770" s="50">
        <v>42347</v>
      </c>
      <c r="M3770" s="49" t="s">
        <v>3470</v>
      </c>
    </row>
    <row r="3771" spans="1:13" x14ac:dyDescent="0.35">
      <c r="A3771" s="49" t="s">
        <v>744</v>
      </c>
      <c r="B3771" s="49" t="s">
        <v>13851</v>
      </c>
      <c r="C3771" s="49" t="s">
        <v>10547</v>
      </c>
      <c r="D3771" s="49" t="s">
        <v>1264</v>
      </c>
      <c r="E3771" s="49" t="s">
        <v>2774</v>
      </c>
      <c r="F3771" s="49" t="s">
        <v>4259</v>
      </c>
      <c r="G3771" s="49" t="s">
        <v>2787</v>
      </c>
      <c r="H3771" s="49" t="s">
        <v>8</v>
      </c>
      <c r="I3771" s="50">
        <v>42460</v>
      </c>
      <c r="M3771" s="49" t="s">
        <v>13852</v>
      </c>
    </row>
    <row r="3772" spans="1:13" x14ac:dyDescent="0.35">
      <c r="A3772" s="49" t="s">
        <v>15237</v>
      </c>
      <c r="B3772" s="49" t="s">
        <v>8618</v>
      </c>
      <c r="C3772" s="49" t="s">
        <v>6648</v>
      </c>
      <c r="D3772" s="49" t="s">
        <v>1264</v>
      </c>
      <c r="E3772" s="49" t="s">
        <v>2986</v>
      </c>
      <c r="F3772" s="49" t="s">
        <v>2825</v>
      </c>
      <c r="G3772" s="49" t="s">
        <v>2787</v>
      </c>
      <c r="H3772" s="49" t="s">
        <v>2827</v>
      </c>
      <c r="I3772" s="50">
        <v>42916</v>
      </c>
      <c r="J3772" s="50">
        <v>42983</v>
      </c>
      <c r="K3772" s="50">
        <v>44079</v>
      </c>
      <c r="M3772" s="49" t="s">
        <v>8620</v>
      </c>
    </row>
    <row r="3773" spans="1:13" x14ac:dyDescent="0.35">
      <c r="A3773" s="49" t="s">
        <v>15237</v>
      </c>
      <c r="B3773" s="49" t="s">
        <v>10540</v>
      </c>
      <c r="C3773" s="49" t="s">
        <v>8939</v>
      </c>
      <c r="D3773" s="49" t="s">
        <v>1264</v>
      </c>
      <c r="E3773" s="49" t="s">
        <v>2814</v>
      </c>
      <c r="F3773" s="49" t="s">
        <v>2825</v>
      </c>
      <c r="G3773" s="49" t="s">
        <v>2776</v>
      </c>
      <c r="H3773" s="49" t="s">
        <v>2827</v>
      </c>
      <c r="I3773" s="50">
        <v>42809</v>
      </c>
      <c r="M3773" s="49" t="s">
        <v>3270</v>
      </c>
    </row>
    <row r="3774" spans="1:13" x14ac:dyDescent="0.35">
      <c r="A3774" s="49" t="s">
        <v>14206</v>
      </c>
      <c r="B3774" s="49" t="s">
        <v>4824</v>
      </c>
      <c r="C3774" s="49"/>
      <c r="D3774" s="49" t="s">
        <v>1264</v>
      </c>
      <c r="E3774" s="49" t="s">
        <v>2814</v>
      </c>
      <c r="F3774" s="49" t="s">
        <v>2825</v>
      </c>
      <c r="G3774" s="49" t="s">
        <v>2787</v>
      </c>
      <c r="H3774" s="49" t="s">
        <v>8</v>
      </c>
      <c r="I3774" s="50">
        <v>44690</v>
      </c>
      <c r="J3774" s="50">
        <v>44693</v>
      </c>
      <c r="K3774" s="50">
        <v>44876</v>
      </c>
      <c r="M3774" s="49" t="s">
        <v>4826</v>
      </c>
    </row>
    <row r="3775" spans="1:13" x14ac:dyDescent="0.35">
      <c r="A3775" s="49" t="s">
        <v>14334</v>
      </c>
      <c r="B3775" s="49" t="s">
        <v>7217</v>
      </c>
      <c r="C3775" s="49" t="s">
        <v>7218</v>
      </c>
      <c r="D3775" s="49" t="s">
        <v>1264</v>
      </c>
      <c r="E3775" s="49" t="s">
        <v>2785</v>
      </c>
      <c r="F3775" s="49" t="s">
        <v>2792</v>
      </c>
      <c r="G3775" s="49" t="s">
        <v>2787</v>
      </c>
      <c r="H3775" s="49" t="s">
        <v>8</v>
      </c>
      <c r="I3775" s="50">
        <v>42782</v>
      </c>
      <c r="J3775" s="50">
        <v>42866</v>
      </c>
      <c r="K3775" s="50">
        <v>43049</v>
      </c>
      <c r="M3775" s="49" t="s">
        <v>7220</v>
      </c>
    </row>
    <row r="3776" spans="1:13" x14ac:dyDescent="0.35">
      <c r="A3776" s="49" t="s">
        <v>14334</v>
      </c>
      <c r="B3776" s="49" t="s">
        <v>9478</v>
      </c>
      <c r="C3776" s="49"/>
      <c r="D3776" s="49" t="s">
        <v>1264</v>
      </c>
      <c r="E3776" s="49" t="s">
        <v>2785</v>
      </c>
      <c r="F3776" s="49" t="s">
        <v>2792</v>
      </c>
      <c r="G3776" s="49" t="s">
        <v>2776</v>
      </c>
      <c r="H3776" s="49" t="s">
        <v>980</v>
      </c>
      <c r="I3776" s="50">
        <v>43178</v>
      </c>
      <c r="M3776" s="49" t="s">
        <v>9479</v>
      </c>
    </row>
    <row r="3777" spans="1:13" x14ac:dyDescent="0.35">
      <c r="A3777" s="49" t="s">
        <v>14334</v>
      </c>
      <c r="B3777" s="49" t="s">
        <v>9606</v>
      </c>
      <c r="C3777" s="49"/>
      <c r="D3777" s="49" t="s">
        <v>1264</v>
      </c>
      <c r="E3777" s="49" t="s">
        <v>2785</v>
      </c>
      <c r="F3777" s="49" t="s">
        <v>2792</v>
      </c>
      <c r="G3777" s="49" t="s">
        <v>2776</v>
      </c>
      <c r="H3777" s="49" t="s">
        <v>8</v>
      </c>
      <c r="I3777" s="50">
        <v>43237</v>
      </c>
      <c r="M3777" s="49" t="s">
        <v>9607</v>
      </c>
    </row>
    <row r="3778" spans="1:13" x14ac:dyDescent="0.35">
      <c r="A3778" s="49" t="s">
        <v>14982</v>
      </c>
      <c r="B3778" s="49" t="s">
        <v>13530</v>
      </c>
      <c r="C3778" s="49"/>
      <c r="D3778" s="49" t="s">
        <v>1264</v>
      </c>
      <c r="E3778" s="49" t="s">
        <v>2785</v>
      </c>
      <c r="F3778" s="49" t="s">
        <v>2805</v>
      </c>
      <c r="G3778" s="49" t="s">
        <v>4891</v>
      </c>
      <c r="H3778" s="49" t="s">
        <v>3207</v>
      </c>
      <c r="I3778" s="52">
        <v>46153.642905092602</v>
      </c>
      <c r="M3778" s="49" t="s">
        <v>13532</v>
      </c>
    </row>
    <row r="3779" spans="1:13" x14ac:dyDescent="0.35">
      <c r="A3779" s="49" t="s">
        <v>14982</v>
      </c>
      <c r="B3779" s="49" t="s">
        <v>13533</v>
      </c>
      <c r="C3779" s="49"/>
      <c r="D3779" s="49" t="s">
        <v>1264</v>
      </c>
      <c r="E3779" s="49" t="s">
        <v>2785</v>
      </c>
      <c r="F3779" s="49" t="s">
        <v>2805</v>
      </c>
      <c r="G3779" s="49" t="s">
        <v>4891</v>
      </c>
      <c r="H3779" s="49" t="s">
        <v>3207</v>
      </c>
      <c r="I3779" s="52">
        <v>46153.657164351898</v>
      </c>
      <c r="M3779" s="49" t="s">
        <v>13534</v>
      </c>
    </row>
    <row r="3780" spans="1:13" x14ac:dyDescent="0.35">
      <c r="A3780" s="49" t="s">
        <v>14982</v>
      </c>
      <c r="B3780" s="49" t="s">
        <v>13535</v>
      </c>
      <c r="C3780" s="49"/>
      <c r="D3780" s="49" t="s">
        <v>1264</v>
      </c>
      <c r="E3780" s="49" t="s">
        <v>2785</v>
      </c>
      <c r="F3780" s="49" t="s">
        <v>2805</v>
      </c>
      <c r="G3780" s="49" t="s">
        <v>4891</v>
      </c>
      <c r="H3780" s="49" t="s">
        <v>3207</v>
      </c>
      <c r="I3780" s="52">
        <v>46153.680972222202</v>
      </c>
      <c r="M3780" s="49" t="s">
        <v>13536</v>
      </c>
    </row>
    <row r="3781" spans="1:13" x14ac:dyDescent="0.35">
      <c r="A3781" s="49" t="s">
        <v>14982</v>
      </c>
      <c r="B3781" s="49" t="s">
        <v>13537</v>
      </c>
      <c r="C3781" s="49"/>
      <c r="D3781" s="49" t="s">
        <v>1264</v>
      </c>
      <c r="E3781" s="49" t="s">
        <v>2785</v>
      </c>
      <c r="F3781" s="49" t="s">
        <v>2805</v>
      </c>
      <c r="G3781" s="49" t="s">
        <v>4891</v>
      </c>
      <c r="H3781" s="49" t="s">
        <v>3207</v>
      </c>
      <c r="I3781" s="52">
        <v>46153.685671296298</v>
      </c>
      <c r="M3781" s="49" t="s">
        <v>13538</v>
      </c>
    </row>
    <row r="3782" spans="1:13" x14ac:dyDescent="0.35">
      <c r="A3782" s="49" t="s">
        <v>14983</v>
      </c>
      <c r="B3782" s="49" t="s">
        <v>12028</v>
      </c>
      <c r="C3782" s="49"/>
      <c r="D3782" s="49" t="s">
        <v>1264</v>
      </c>
      <c r="E3782" s="49" t="s">
        <v>2986</v>
      </c>
      <c r="F3782" s="49" t="s">
        <v>2825</v>
      </c>
      <c r="G3782" s="49" t="s">
        <v>2776</v>
      </c>
      <c r="H3782" s="49" t="s">
        <v>2827</v>
      </c>
      <c r="I3782" s="50">
        <v>45306</v>
      </c>
      <c r="M3782" s="49" t="s">
        <v>12030</v>
      </c>
    </row>
    <row r="3783" spans="1:13" x14ac:dyDescent="0.35">
      <c r="A3783" s="49" t="s">
        <v>747</v>
      </c>
      <c r="B3783" s="49" t="s">
        <v>6531</v>
      </c>
      <c r="C3783" s="49" t="s">
        <v>3768</v>
      </c>
      <c r="D3783" s="49" t="s">
        <v>1264</v>
      </c>
      <c r="E3783" s="49" t="s">
        <v>3443</v>
      </c>
      <c r="F3783" s="49" t="s">
        <v>3124</v>
      </c>
      <c r="G3783" s="49" t="s">
        <v>2901</v>
      </c>
      <c r="H3783" s="49" t="s">
        <v>980</v>
      </c>
      <c r="I3783" s="50">
        <v>45387</v>
      </c>
      <c r="J3783" s="50">
        <v>45366</v>
      </c>
      <c r="K3783" s="50">
        <v>47191</v>
      </c>
    </row>
    <row r="3784" spans="1:13" x14ac:dyDescent="0.35">
      <c r="A3784" s="49" t="s">
        <v>15048</v>
      </c>
      <c r="B3784" s="49" t="s">
        <v>6482</v>
      </c>
      <c r="C3784" s="49" t="s">
        <v>6483</v>
      </c>
      <c r="D3784" s="49" t="s">
        <v>1264</v>
      </c>
      <c r="E3784" s="49" t="s">
        <v>2986</v>
      </c>
      <c r="F3784" s="49" t="s">
        <v>2825</v>
      </c>
      <c r="G3784" s="49" t="s">
        <v>4330</v>
      </c>
      <c r="H3784" s="49" t="s">
        <v>8</v>
      </c>
      <c r="I3784" s="50">
        <v>45303</v>
      </c>
      <c r="M3784" s="49" t="s">
        <v>6485</v>
      </c>
    </row>
    <row r="3785" spans="1:13" x14ac:dyDescent="0.35">
      <c r="A3785" s="49" t="s">
        <v>15048</v>
      </c>
      <c r="B3785" s="49" t="s">
        <v>6486</v>
      </c>
      <c r="C3785" s="49" t="s">
        <v>6487</v>
      </c>
      <c r="D3785" s="49" t="s">
        <v>1264</v>
      </c>
      <c r="E3785" s="49" t="s">
        <v>2986</v>
      </c>
      <c r="F3785" s="49" t="s">
        <v>2825</v>
      </c>
      <c r="G3785" s="49" t="s">
        <v>4330</v>
      </c>
      <c r="H3785" s="49" t="s">
        <v>973</v>
      </c>
      <c r="I3785" s="50">
        <v>45303</v>
      </c>
      <c r="M3785" s="49" t="s">
        <v>6488</v>
      </c>
    </row>
    <row r="3786" spans="1:13" x14ac:dyDescent="0.35">
      <c r="A3786" s="49" t="s">
        <v>15520</v>
      </c>
      <c r="B3786" s="49" t="s">
        <v>9015</v>
      </c>
      <c r="C3786" s="49" t="s">
        <v>2863</v>
      </c>
      <c r="D3786" s="49" t="s">
        <v>1264</v>
      </c>
      <c r="E3786" s="49" t="s">
        <v>2814</v>
      </c>
      <c r="F3786" s="49" t="s">
        <v>2825</v>
      </c>
      <c r="G3786" s="49" t="s">
        <v>2787</v>
      </c>
      <c r="H3786" s="49" t="s">
        <v>2827</v>
      </c>
      <c r="I3786" s="50">
        <v>42229</v>
      </c>
      <c r="J3786" s="50">
        <v>42262</v>
      </c>
      <c r="K3786" s="50">
        <v>42444</v>
      </c>
      <c r="M3786" s="49" t="s">
        <v>9017</v>
      </c>
    </row>
    <row r="3787" spans="1:13" x14ac:dyDescent="0.35">
      <c r="A3787" s="49" t="s">
        <v>15520</v>
      </c>
      <c r="B3787" s="49" t="s">
        <v>10285</v>
      </c>
      <c r="C3787" s="49"/>
      <c r="D3787" s="49" t="s">
        <v>1264</v>
      </c>
      <c r="E3787" s="49" t="s">
        <v>2814</v>
      </c>
      <c r="F3787" s="49" t="s">
        <v>2825</v>
      </c>
      <c r="G3787" s="49" t="s">
        <v>2787</v>
      </c>
      <c r="H3787" s="49" t="s">
        <v>2827</v>
      </c>
      <c r="I3787" s="50">
        <v>41997</v>
      </c>
      <c r="M3787" s="49" t="s">
        <v>10287</v>
      </c>
    </row>
    <row r="3788" spans="1:13" x14ac:dyDescent="0.35">
      <c r="A3788" s="49" t="s">
        <v>15520</v>
      </c>
      <c r="B3788" s="49" t="s">
        <v>10381</v>
      </c>
      <c r="C3788" s="49"/>
      <c r="D3788" s="49" t="s">
        <v>1264</v>
      </c>
      <c r="E3788" s="49" t="s">
        <v>2814</v>
      </c>
      <c r="F3788" s="49" t="s">
        <v>2825</v>
      </c>
      <c r="G3788" s="49" t="s">
        <v>2776</v>
      </c>
      <c r="H3788" s="49" t="s">
        <v>2827</v>
      </c>
      <c r="I3788" s="50">
        <v>42011</v>
      </c>
      <c r="M3788" s="49" t="s">
        <v>10382</v>
      </c>
    </row>
    <row r="3789" spans="1:13" x14ac:dyDescent="0.35">
      <c r="A3789" s="49" t="s">
        <v>15521</v>
      </c>
      <c r="B3789" s="49" t="s">
        <v>5449</v>
      </c>
      <c r="C3789" s="49" t="s">
        <v>5450</v>
      </c>
      <c r="D3789" s="49" t="s">
        <v>1264</v>
      </c>
      <c r="E3789" s="49" t="s">
        <v>2986</v>
      </c>
      <c r="F3789" s="49" t="s">
        <v>2825</v>
      </c>
      <c r="G3789" s="49" t="s">
        <v>2921</v>
      </c>
      <c r="H3789" s="49" t="s">
        <v>2827</v>
      </c>
      <c r="I3789" s="50">
        <v>42907</v>
      </c>
      <c r="J3789" s="50">
        <v>43179</v>
      </c>
      <c r="K3789" s="50">
        <v>44274</v>
      </c>
      <c r="M3789" s="49" t="s">
        <v>5452</v>
      </c>
    </row>
    <row r="3790" spans="1:13" x14ac:dyDescent="0.35">
      <c r="A3790" s="49" t="s">
        <v>15521</v>
      </c>
      <c r="B3790" s="49" t="s">
        <v>9313</v>
      </c>
      <c r="C3790" s="49" t="s">
        <v>4262</v>
      </c>
      <c r="D3790" s="49" t="s">
        <v>1264</v>
      </c>
      <c r="E3790" s="49" t="s">
        <v>2908</v>
      </c>
      <c r="F3790" s="49" t="s">
        <v>2837</v>
      </c>
      <c r="G3790" s="49" t="s">
        <v>2776</v>
      </c>
      <c r="H3790" s="49" t="s">
        <v>973</v>
      </c>
      <c r="I3790" s="50">
        <v>42900</v>
      </c>
      <c r="M3790" s="49" t="s">
        <v>9315</v>
      </c>
    </row>
    <row r="3791" spans="1:13" x14ac:dyDescent="0.35">
      <c r="A3791" s="49" t="s">
        <v>15238</v>
      </c>
      <c r="B3791" s="49" t="s">
        <v>9757</v>
      </c>
      <c r="C3791" s="49"/>
      <c r="D3791" s="49" t="s">
        <v>1264</v>
      </c>
      <c r="E3791" s="49" t="s">
        <v>2785</v>
      </c>
      <c r="F3791" s="49" t="s">
        <v>2786</v>
      </c>
      <c r="G3791" s="49" t="s">
        <v>2776</v>
      </c>
      <c r="H3791" s="49" t="s">
        <v>980</v>
      </c>
      <c r="I3791" s="50">
        <v>42240</v>
      </c>
      <c r="M3791" s="49" t="s">
        <v>9759</v>
      </c>
    </row>
    <row r="3792" spans="1:13" x14ac:dyDescent="0.35">
      <c r="A3792" s="49" t="s">
        <v>14251</v>
      </c>
      <c r="B3792" s="49" t="s">
        <v>5769</v>
      </c>
      <c r="C3792" s="49"/>
      <c r="D3792" s="49" t="s">
        <v>1264</v>
      </c>
      <c r="E3792" s="49" t="s">
        <v>2908</v>
      </c>
      <c r="F3792" s="49" t="s">
        <v>2837</v>
      </c>
      <c r="G3792" s="49" t="s">
        <v>2901</v>
      </c>
      <c r="H3792" s="49" t="s">
        <v>980</v>
      </c>
      <c r="I3792" s="50">
        <v>45103</v>
      </c>
      <c r="J3792" s="50">
        <v>45184</v>
      </c>
      <c r="K3792" s="50">
        <v>47010</v>
      </c>
      <c r="M3792" s="49" t="s">
        <v>5771</v>
      </c>
    </row>
    <row r="3793" spans="1:13" x14ac:dyDescent="0.35">
      <c r="A3793" s="49" t="s">
        <v>14251</v>
      </c>
      <c r="B3793" s="49" t="s">
        <v>11113</v>
      </c>
      <c r="C3793" s="49"/>
      <c r="D3793" s="49" t="s">
        <v>1264</v>
      </c>
      <c r="E3793" s="49" t="s">
        <v>2908</v>
      </c>
      <c r="F3793" s="49" t="s">
        <v>2939</v>
      </c>
      <c r="G3793" s="49" t="s">
        <v>4891</v>
      </c>
      <c r="H3793" s="49" t="s">
        <v>980</v>
      </c>
      <c r="I3793" s="50">
        <v>44748</v>
      </c>
      <c r="M3793" s="49" t="s">
        <v>11114</v>
      </c>
    </row>
    <row r="3794" spans="1:13" x14ac:dyDescent="0.35">
      <c r="A3794" s="49" t="s">
        <v>14122</v>
      </c>
      <c r="B3794" s="49" t="s">
        <v>3673</v>
      </c>
      <c r="C3794" s="49" t="s">
        <v>3582</v>
      </c>
      <c r="D3794" s="49" t="s">
        <v>1264</v>
      </c>
      <c r="E3794" s="49" t="s">
        <v>3443</v>
      </c>
      <c r="F3794" s="49" t="s">
        <v>2792</v>
      </c>
      <c r="G3794" s="49" t="s">
        <v>2787</v>
      </c>
      <c r="H3794" s="49" t="s">
        <v>980</v>
      </c>
      <c r="I3794" s="50">
        <v>43116</v>
      </c>
      <c r="J3794" s="50">
        <v>43207</v>
      </c>
      <c r="K3794" s="50">
        <v>45032</v>
      </c>
      <c r="M3794" s="49" t="s">
        <v>3675</v>
      </c>
    </row>
    <row r="3795" spans="1:13" x14ac:dyDescent="0.35">
      <c r="A3795" s="49" t="s">
        <v>14122</v>
      </c>
      <c r="B3795" s="49" t="s">
        <v>3676</v>
      </c>
      <c r="C3795" s="49" t="s">
        <v>3468</v>
      </c>
      <c r="D3795" s="49" t="s">
        <v>1264</v>
      </c>
      <c r="E3795" s="49" t="s">
        <v>3443</v>
      </c>
      <c r="F3795" s="49" t="s">
        <v>3124</v>
      </c>
      <c r="G3795" s="49" t="s">
        <v>2901</v>
      </c>
      <c r="H3795" s="49" t="s">
        <v>980</v>
      </c>
      <c r="I3795" s="50">
        <v>43116</v>
      </c>
      <c r="J3795" s="50">
        <v>43207</v>
      </c>
      <c r="K3795" s="50">
        <v>46792</v>
      </c>
      <c r="L3795" s="50">
        <v>44968</v>
      </c>
      <c r="M3795" s="49" t="s">
        <v>3677</v>
      </c>
    </row>
    <row r="3796" spans="1:13" x14ac:dyDescent="0.35">
      <c r="A3796" s="49" t="s">
        <v>14122</v>
      </c>
      <c r="B3796" s="49" t="s">
        <v>4521</v>
      </c>
      <c r="C3796" s="49" t="s">
        <v>4522</v>
      </c>
      <c r="D3796" s="49" t="s">
        <v>1264</v>
      </c>
      <c r="E3796" s="49" t="s">
        <v>2785</v>
      </c>
      <c r="F3796" s="49" t="s">
        <v>2786</v>
      </c>
      <c r="G3796" s="49" t="s">
        <v>2776</v>
      </c>
      <c r="H3796" s="49" t="s">
        <v>980</v>
      </c>
      <c r="I3796" s="50">
        <v>44447</v>
      </c>
      <c r="M3796" s="49" t="s">
        <v>4523</v>
      </c>
    </row>
    <row r="3797" spans="1:13" x14ac:dyDescent="0.35">
      <c r="A3797" s="49" t="s">
        <v>15522</v>
      </c>
      <c r="B3797" s="49" t="s">
        <v>12068</v>
      </c>
      <c r="C3797" s="49" t="s">
        <v>4555</v>
      </c>
      <c r="D3797" s="49" t="s">
        <v>1264</v>
      </c>
      <c r="E3797" s="49" t="s">
        <v>2908</v>
      </c>
      <c r="F3797" s="49" t="s">
        <v>2837</v>
      </c>
      <c r="G3797" s="49" t="s">
        <v>4891</v>
      </c>
      <c r="H3797" s="49" t="s">
        <v>980</v>
      </c>
      <c r="I3797" s="50">
        <v>45324</v>
      </c>
      <c r="M3797" s="49" t="s">
        <v>12070</v>
      </c>
    </row>
    <row r="3798" spans="1:13" x14ac:dyDescent="0.35">
      <c r="A3798" s="49" t="s">
        <v>15523</v>
      </c>
      <c r="B3798" s="49" t="s">
        <v>4344</v>
      </c>
      <c r="C3798" s="49"/>
      <c r="D3798" s="49" t="s">
        <v>1264</v>
      </c>
      <c r="E3798" s="49" t="s">
        <v>2908</v>
      </c>
      <c r="F3798" s="49" t="s">
        <v>2837</v>
      </c>
      <c r="G3798" s="49" t="s">
        <v>2901</v>
      </c>
      <c r="H3798" s="49" t="s">
        <v>2827</v>
      </c>
      <c r="I3798" s="50">
        <v>44312</v>
      </c>
      <c r="J3798" s="50">
        <v>44439</v>
      </c>
      <c r="K3798" s="50">
        <v>46264</v>
      </c>
      <c r="M3798" s="49" t="s">
        <v>4346</v>
      </c>
    </row>
    <row r="3799" spans="1:13" x14ac:dyDescent="0.35">
      <c r="A3799" s="49" t="s">
        <v>15523</v>
      </c>
      <c r="B3799" s="49" t="s">
        <v>9183</v>
      </c>
      <c r="C3799" s="49"/>
      <c r="D3799" s="49" t="s">
        <v>1264</v>
      </c>
      <c r="E3799" s="49" t="s">
        <v>2908</v>
      </c>
      <c r="F3799" s="49" t="s">
        <v>2837</v>
      </c>
      <c r="G3799" s="49" t="s">
        <v>2776</v>
      </c>
      <c r="H3799" s="49" t="s">
        <v>2827</v>
      </c>
      <c r="I3799" s="50">
        <v>43340</v>
      </c>
      <c r="M3799" s="49" t="s">
        <v>9184</v>
      </c>
    </row>
    <row r="3800" spans="1:13" x14ac:dyDescent="0.35">
      <c r="A3800" s="49" t="s">
        <v>15523</v>
      </c>
      <c r="B3800" s="49" t="s">
        <v>9268</v>
      </c>
      <c r="C3800" s="49"/>
      <c r="D3800" s="49" t="s">
        <v>1264</v>
      </c>
      <c r="E3800" s="49" t="s">
        <v>2908</v>
      </c>
      <c r="F3800" s="49" t="s">
        <v>2837</v>
      </c>
      <c r="G3800" s="49" t="s">
        <v>2776</v>
      </c>
      <c r="H3800" s="49" t="s">
        <v>973</v>
      </c>
      <c r="I3800" s="50">
        <v>43791</v>
      </c>
      <c r="M3800" s="49" t="s">
        <v>9269</v>
      </c>
    </row>
    <row r="3801" spans="1:13" x14ac:dyDescent="0.35">
      <c r="A3801" s="49" t="s">
        <v>15523</v>
      </c>
      <c r="B3801" s="49" t="s">
        <v>12400</v>
      </c>
      <c r="C3801" s="49" t="s">
        <v>12401</v>
      </c>
      <c r="D3801" s="49" t="s">
        <v>1264</v>
      </c>
      <c r="E3801" s="49" t="s">
        <v>2785</v>
      </c>
      <c r="F3801" s="49" t="s">
        <v>2786</v>
      </c>
      <c r="G3801" s="49" t="s">
        <v>4891</v>
      </c>
      <c r="H3801" s="49" t="s">
        <v>2827</v>
      </c>
      <c r="I3801" s="50">
        <v>45397</v>
      </c>
      <c r="M3801" s="49" t="s">
        <v>12402</v>
      </c>
    </row>
    <row r="3802" spans="1:13" x14ac:dyDescent="0.35">
      <c r="A3802" s="49" t="s">
        <v>15524</v>
      </c>
      <c r="B3802" s="49" t="s">
        <v>5403</v>
      </c>
      <c r="C3802" s="49"/>
      <c r="D3802" s="49" t="s">
        <v>1264</v>
      </c>
      <c r="E3802" s="49" t="s">
        <v>2814</v>
      </c>
      <c r="F3802" s="49" t="s">
        <v>2939</v>
      </c>
      <c r="G3802" s="49" t="s">
        <v>2787</v>
      </c>
      <c r="H3802" s="49" t="s">
        <v>3229</v>
      </c>
      <c r="I3802" s="50">
        <v>44915</v>
      </c>
      <c r="J3802" s="50">
        <v>44944</v>
      </c>
      <c r="K3802" s="50">
        <v>45124</v>
      </c>
      <c r="M3802" s="49" t="s">
        <v>5405</v>
      </c>
    </row>
    <row r="3803" spans="1:13" x14ac:dyDescent="0.35">
      <c r="A3803" s="49" t="s">
        <v>15524</v>
      </c>
      <c r="B3803" s="49" t="s">
        <v>10935</v>
      </c>
      <c r="C3803" s="49" t="s">
        <v>5289</v>
      </c>
      <c r="D3803" s="49" t="s">
        <v>1264</v>
      </c>
      <c r="E3803" s="49" t="s">
        <v>2908</v>
      </c>
      <c r="F3803" s="49" t="s">
        <v>2837</v>
      </c>
      <c r="G3803" s="49" t="s">
        <v>4891</v>
      </c>
      <c r="H3803" s="49" t="s">
        <v>2827</v>
      </c>
      <c r="I3803" s="50">
        <v>44532</v>
      </c>
      <c r="M3803" s="49" t="s">
        <v>10936</v>
      </c>
    </row>
    <row r="3804" spans="1:13" x14ac:dyDescent="0.35">
      <c r="A3804" s="49" t="s">
        <v>754</v>
      </c>
      <c r="B3804" s="49" t="s">
        <v>4304</v>
      </c>
      <c r="C3804" s="49" t="s">
        <v>4305</v>
      </c>
      <c r="D3804" s="49" t="s">
        <v>1264</v>
      </c>
      <c r="E3804" s="49" t="s">
        <v>2814</v>
      </c>
      <c r="F3804" s="49" t="s">
        <v>2825</v>
      </c>
      <c r="G3804" s="49" t="s">
        <v>2787</v>
      </c>
      <c r="H3804" s="49" t="s">
        <v>2827</v>
      </c>
      <c r="I3804" s="50">
        <v>44287</v>
      </c>
      <c r="J3804" s="50">
        <v>44335</v>
      </c>
      <c r="K3804" s="50">
        <v>44698</v>
      </c>
      <c r="M3804" s="49" t="s">
        <v>4307</v>
      </c>
    </row>
    <row r="3805" spans="1:13" x14ac:dyDescent="0.35">
      <c r="A3805" s="49" t="s">
        <v>754</v>
      </c>
      <c r="B3805" s="49" t="s">
        <v>4731</v>
      </c>
      <c r="C3805" s="49" t="s">
        <v>4732</v>
      </c>
      <c r="D3805" s="49" t="s">
        <v>1264</v>
      </c>
      <c r="E3805" s="49" t="s">
        <v>2814</v>
      </c>
      <c r="F3805" s="49" t="s">
        <v>2825</v>
      </c>
      <c r="G3805" s="49" t="s">
        <v>2776</v>
      </c>
      <c r="H3805" s="49" t="s">
        <v>2827</v>
      </c>
      <c r="I3805" s="50">
        <v>44287</v>
      </c>
      <c r="M3805" s="49" t="s">
        <v>3270</v>
      </c>
    </row>
    <row r="3806" spans="1:13" x14ac:dyDescent="0.35">
      <c r="A3806" s="49" t="s">
        <v>754</v>
      </c>
      <c r="B3806" s="49" t="s">
        <v>5364</v>
      </c>
      <c r="C3806" s="49" t="s">
        <v>5365</v>
      </c>
      <c r="D3806" s="49" t="s">
        <v>1264</v>
      </c>
      <c r="E3806" s="49" t="s">
        <v>2986</v>
      </c>
      <c r="F3806" s="49" t="s">
        <v>2825</v>
      </c>
      <c r="G3806" s="49" t="s">
        <v>2901</v>
      </c>
      <c r="H3806" s="49" t="s">
        <v>2827</v>
      </c>
      <c r="I3806" s="50">
        <v>44529</v>
      </c>
      <c r="J3806" s="50">
        <v>45041</v>
      </c>
      <c r="K3806" s="50">
        <v>46136</v>
      </c>
      <c r="M3806" s="49" t="s">
        <v>5366</v>
      </c>
    </row>
    <row r="3807" spans="1:13" x14ac:dyDescent="0.35">
      <c r="A3807" s="49" t="s">
        <v>15525</v>
      </c>
      <c r="B3807" s="49" t="s">
        <v>7132</v>
      </c>
      <c r="C3807" s="49" t="s">
        <v>7133</v>
      </c>
      <c r="D3807" s="49" t="s">
        <v>1264</v>
      </c>
      <c r="E3807" s="49" t="s">
        <v>2785</v>
      </c>
      <c r="F3807" s="49" t="s">
        <v>2792</v>
      </c>
      <c r="G3807" s="49" t="s">
        <v>2787</v>
      </c>
      <c r="H3807" s="49" t="s">
        <v>980</v>
      </c>
      <c r="I3807" s="50">
        <v>42907</v>
      </c>
      <c r="J3807" s="50">
        <v>43172</v>
      </c>
      <c r="K3807" s="50">
        <v>43355</v>
      </c>
      <c r="M3807" s="49" t="s">
        <v>7135</v>
      </c>
    </row>
    <row r="3808" spans="1:13" x14ac:dyDescent="0.35">
      <c r="A3808" s="49" t="s">
        <v>4019</v>
      </c>
      <c r="B3808" s="49" t="s">
        <v>4017</v>
      </c>
      <c r="C3808" s="49" t="s">
        <v>4018</v>
      </c>
      <c r="D3808" s="49" t="s">
        <v>1264</v>
      </c>
      <c r="E3808" s="49" t="s">
        <v>2908</v>
      </c>
      <c r="F3808" s="49" t="s">
        <v>2837</v>
      </c>
      <c r="G3808" s="49" t="s">
        <v>2975</v>
      </c>
      <c r="H3808" s="49" t="s">
        <v>980</v>
      </c>
      <c r="I3808" s="50">
        <v>43896</v>
      </c>
      <c r="J3808" s="50">
        <v>43916</v>
      </c>
      <c r="K3808" s="50">
        <v>44862</v>
      </c>
      <c r="M3808" s="49" t="s">
        <v>4020</v>
      </c>
    </row>
    <row r="3809" spans="1:13" x14ac:dyDescent="0.35">
      <c r="A3809" s="49" t="s">
        <v>14984</v>
      </c>
      <c r="B3809" s="49" t="s">
        <v>8925</v>
      </c>
      <c r="C3809" s="49" t="s">
        <v>2863</v>
      </c>
      <c r="D3809" s="49" t="s">
        <v>1264</v>
      </c>
      <c r="E3809" s="49" t="s">
        <v>2814</v>
      </c>
      <c r="F3809" s="49" t="s">
        <v>2825</v>
      </c>
      <c r="G3809" s="49" t="s">
        <v>2787</v>
      </c>
      <c r="H3809" s="49" t="s">
        <v>2827</v>
      </c>
      <c r="I3809" s="50">
        <v>42083</v>
      </c>
      <c r="J3809" s="50">
        <v>42109</v>
      </c>
      <c r="K3809" s="50">
        <v>42291</v>
      </c>
      <c r="M3809" s="49" t="s">
        <v>7750</v>
      </c>
    </row>
    <row r="3810" spans="1:13" x14ac:dyDescent="0.35">
      <c r="A3810" s="49" t="s">
        <v>14984</v>
      </c>
      <c r="B3810" s="49" t="s">
        <v>9902</v>
      </c>
      <c r="C3810" s="49" t="s">
        <v>2863</v>
      </c>
      <c r="D3810" s="49" t="s">
        <v>1264</v>
      </c>
      <c r="E3810" s="49" t="s">
        <v>7057</v>
      </c>
      <c r="F3810" s="49" t="s">
        <v>2825</v>
      </c>
      <c r="G3810" s="49" t="s">
        <v>2776</v>
      </c>
      <c r="H3810" s="49" t="s">
        <v>2827</v>
      </c>
      <c r="I3810" s="50">
        <v>42380</v>
      </c>
      <c r="M3810" s="49" t="s">
        <v>3212</v>
      </c>
    </row>
    <row r="3811" spans="1:13" x14ac:dyDescent="0.35">
      <c r="A3811" s="49" t="s">
        <v>14658</v>
      </c>
      <c r="B3811" s="49" t="s">
        <v>13259</v>
      </c>
      <c r="C3811" s="49"/>
      <c r="D3811" s="49" t="s">
        <v>1264</v>
      </c>
      <c r="E3811" s="49" t="s">
        <v>2986</v>
      </c>
      <c r="F3811" s="49" t="s">
        <v>2825</v>
      </c>
      <c r="G3811" s="49" t="s">
        <v>4891</v>
      </c>
      <c r="H3811" s="49" t="s">
        <v>973</v>
      </c>
      <c r="I3811" s="52">
        <v>45978.573935185203</v>
      </c>
      <c r="M3811" s="49" t="s">
        <v>13261</v>
      </c>
    </row>
    <row r="3812" spans="1:13" x14ac:dyDescent="0.35">
      <c r="A3812" s="49" t="s">
        <v>15526</v>
      </c>
      <c r="B3812" s="49" t="s">
        <v>12405</v>
      </c>
      <c r="C3812" s="49"/>
      <c r="D3812" s="49" t="s">
        <v>1264</v>
      </c>
      <c r="E3812" s="49" t="s">
        <v>2986</v>
      </c>
      <c r="F3812" s="49" t="s">
        <v>2825</v>
      </c>
      <c r="G3812" s="49" t="s">
        <v>2776</v>
      </c>
      <c r="H3812" s="49" t="s">
        <v>2827</v>
      </c>
      <c r="I3812" s="50">
        <v>45349</v>
      </c>
      <c r="M3812" s="49" t="s">
        <v>12407</v>
      </c>
    </row>
    <row r="3813" spans="1:13" x14ac:dyDescent="0.35">
      <c r="A3813" s="49" t="s">
        <v>15526</v>
      </c>
      <c r="B3813" s="49" t="s">
        <v>12413</v>
      </c>
      <c r="C3813" s="49"/>
      <c r="D3813" s="49" t="s">
        <v>1264</v>
      </c>
      <c r="E3813" s="49" t="s">
        <v>2986</v>
      </c>
      <c r="F3813" s="49" t="s">
        <v>2825</v>
      </c>
      <c r="G3813" s="49" t="s">
        <v>2776</v>
      </c>
      <c r="H3813" s="49" t="s">
        <v>2827</v>
      </c>
      <c r="I3813" s="50">
        <v>45349</v>
      </c>
      <c r="M3813" s="49" t="s">
        <v>12414</v>
      </c>
    </row>
    <row r="3814" spans="1:13" x14ac:dyDescent="0.35">
      <c r="A3814" s="49" t="s">
        <v>15526</v>
      </c>
      <c r="B3814" s="49" t="s">
        <v>13240</v>
      </c>
      <c r="C3814" s="49"/>
      <c r="D3814" s="49" t="s">
        <v>1264</v>
      </c>
      <c r="E3814" s="49" t="s">
        <v>2986</v>
      </c>
      <c r="F3814" s="49" t="s">
        <v>2825</v>
      </c>
      <c r="G3814" s="49" t="s">
        <v>4891</v>
      </c>
      <c r="H3814" s="49" t="s">
        <v>2827</v>
      </c>
      <c r="I3814" s="52">
        <v>45642.493240740703</v>
      </c>
      <c r="M3814" s="49" t="s">
        <v>13241</v>
      </c>
    </row>
    <row r="3815" spans="1:13" x14ac:dyDescent="0.35">
      <c r="A3815" s="49" t="s">
        <v>15526</v>
      </c>
      <c r="B3815" s="49" t="s">
        <v>13294</v>
      </c>
      <c r="C3815" s="49"/>
      <c r="D3815" s="49" t="s">
        <v>1264</v>
      </c>
      <c r="E3815" s="49" t="s">
        <v>2986</v>
      </c>
      <c r="F3815" s="49" t="s">
        <v>2825</v>
      </c>
      <c r="G3815" s="49" t="s">
        <v>4891</v>
      </c>
      <c r="H3815" s="49" t="s">
        <v>2827</v>
      </c>
      <c r="I3815" s="52">
        <v>46097.465879629599</v>
      </c>
      <c r="M3815" s="49" t="s">
        <v>13295</v>
      </c>
    </row>
    <row r="3816" spans="1:13" x14ac:dyDescent="0.35">
      <c r="A3816" s="49" t="s">
        <v>15526</v>
      </c>
      <c r="B3816" s="49" t="s">
        <v>13296</v>
      </c>
      <c r="C3816" s="49"/>
      <c r="D3816" s="49" t="s">
        <v>1264</v>
      </c>
      <c r="E3816" s="49" t="s">
        <v>2986</v>
      </c>
      <c r="F3816" s="49" t="s">
        <v>2825</v>
      </c>
      <c r="G3816" s="49" t="s">
        <v>4891</v>
      </c>
      <c r="H3816" s="49" t="s">
        <v>2827</v>
      </c>
      <c r="I3816" s="52">
        <v>46097.491122685198</v>
      </c>
      <c r="M3816" s="49" t="s">
        <v>13297</v>
      </c>
    </row>
    <row r="3817" spans="1:13" x14ac:dyDescent="0.35">
      <c r="A3817" s="49" t="s">
        <v>14757</v>
      </c>
      <c r="B3817" s="49" t="s">
        <v>9475</v>
      </c>
      <c r="C3817" s="49"/>
      <c r="D3817" s="49" t="s">
        <v>1264</v>
      </c>
      <c r="E3817" s="49" t="s">
        <v>2785</v>
      </c>
      <c r="F3817" s="49" t="s">
        <v>2805</v>
      </c>
      <c r="G3817" s="49" t="s">
        <v>2776</v>
      </c>
      <c r="H3817" s="49" t="s">
        <v>980</v>
      </c>
      <c r="I3817" s="50">
        <v>43725</v>
      </c>
      <c r="M3817" s="49" t="s">
        <v>9477</v>
      </c>
    </row>
    <row r="3818" spans="1:13" x14ac:dyDescent="0.35">
      <c r="A3818" s="49" t="s">
        <v>14697</v>
      </c>
      <c r="B3818" s="49" t="s">
        <v>13761</v>
      </c>
      <c r="C3818" s="49"/>
      <c r="D3818" s="49" t="s">
        <v>1264</v>
      </c>
      <c r="E3818" s="49" t="s">
        <v>3413</v>
      </c>
      <c r="F3818" s="49" t="s">
        <v>2825</v>
      </c>
      <c r="G3818" s="49" t="s">
        <v>2826</v>
      </c>
      <c r="H3818" s="49" t="s">
        <v>2827</v>
      </c>
      <c r="I3818" s="50">
        <v>41500</v>
      </c>
      <c r="M3818" s="49" t="s">
        <v>13763</v>
      </c>
    </row>
    <row r="3819" spans="1:13" x14ac:dyDescent="0.35">
      <c r="A3819" s="49" t="s">
        <v>14697</v>
      </c>
      <c r="B3819" s="49" t="s">
        <v>14048</v>
      </c>
      <c r="C3819" s="49"/>
      <c r="D3819" s="49" t="s">
        <v>1264</v>
      </c>
      <c r="E3819" s="49" t="s">
        <v>2774</v>
      </c>
      <c r="F3819" s="49" t="s">
        <v>2825</v>
      </c>
      <c r="G3819" s="49" t="s">
        <v>2826</v>
      </c>
      <c r="H3819" s="49" t="s">
        <v>973</v>
      </c>
      <c r="I3819" s="50">
        <v>41864</v>
      </c>
      <c r="M3819" s="49" t="s">
        <v>14050</v>
      </c>
    </row>
    <row r="3820" spans="1:13" x14ac:dyDescent="0.35">
      <c r="A3820" s="49" t="s">
        <v>757</v>
      </c>
      <c r="B3820" s="49" t="s">
        <v>12013</v>
      </c>
      <c r="C3820" s="49"/>
      <c r="D3820" s="49" t="s">
        <v>1264</v>
      </c>
      <c r="E3820" s="49" t="s">
        <v>2986</v>
      </c>
      <c r="F3820" s="49" t="s">
        <v>2825</v>
      </c>
      <c r="G3820" s="49" t="s">
        <v>4891</v>
      </c>
      <c r="H3820" s="49" t="s">
        <v>2827</v>
      </c>
      <c r="I3820" s="50">
        <v>45299</v>
      </c>
      <c r="M3820" s="49" t="s">
        <v>5051</v>
      </c>
    </row>
    <row r="3821" spans="1:13" x14ac:dyDescent="0.35">
      <c r="A3821" s="49" t="s">
        <v>14654</v>
      </c>
      <c r="B3821" s="49" t="s">
        <v>13170</v>
      </c>
      <c r="C3821" s="49"/>
      <c r="D3821" s="49" t="s">
        <v>1264</v>
      </c>
      <c r="E3821" s="49" t="s">
        <v>2774</v>
      </c>
      <c r="F3821" s="49" t="s">
        <v>2939</v>
      </c>
      <c r="G3821" s="49" t="s">
        <v>4891</v>
      </c>
      <c r="H3821" s="49" t="s">
        <v>980</v>
      </c>
      <c r="I3821" s="52">
        <v>46070.452511574098</v>
      </c>
      <c r="M3821" s="49" t="s">
        <v>13172</v>
      </c>
    </row>
    <row r="3822" spans="1:13" x14ac:dyDescent="0.35">
      <c r="A3822" s="49" t="s">
        <v>15527</v>
      </c>
      <c r="B3822" s="49" t="s">
        <v>13527</v>
      </c>
      <c r="C3822" s="49" t="s">
        <v>5800</v>
      </c>
      <c r="D3822" s="49" t="s">
        <v>1264</v>
      </c>
      <c r="E3822" s="49" t="s">
        <v>2785</v>
      </c>
      <c r="F3822" s="49" t="s">
        <v>2805</v>
      </c>
      <c r="G3822" s="49" t="s">
        <v>4891</v>
      </c>
      <c r="H3822" s="49" t="s">
        <v>980</v>
      </c>
      <c r="I3822" s="52">
        <v>46153.5794328704</v>
      </c>
      <c r="M3822" s="49" t="s">
        <v>13529</v>
      </c>
    </row>
    <row r="3823" spans="1:13" x14ac:dyDescent="0.35">
      <c r="A3823" s="49" t="s">
        <v>14176</v>
      </c>
      <c r="B3823" s="49" t="s">
        <v>4290</v>
      </c>
      <c r="C3823" s="49" t="s">
        <v>2942</v>
      </c>
      <c r="D3823" s="49" t="s">
        <v>1264</v>
      </c>
      <c r="E3823" s="49" t="s">
        <v>2908</v>
      </c>
      <c r="F3823" s="49" t="s">
        <v>2939</v>
      </c>
      <c r="G3823" s="49" t="s">
        <v>2787</v>
      </c>
      <c r="H3823" s="49" t="s">
        <v>980</v>
      </c>
      <c r="I3823" s="50">
        <v>43116</v>
      </c>
      <c r="J3823" s="50">
        <v>43494</v>
      </c>
      <c r="K3823" s="50">
        <v>45319</v>
      </c>
      <c r="M3823" s="49" t="s">
        <v>3871</v>
      </c>
    </row>
    <row r="3824" spans="1:13" x14ac:dyDescent="0.35">
      <c r="A3824" s="49" t="s">
        <v>14985</v>
      </c>
      <c r="B3824" s="49" t="s">
        <v>7880</v>
      </c>
      <c r="C3824" s="49" t="s">
        <v>7881</v>
      </c>
      <c r="D3824" s="49" t="s">
        <v>1264</v>
      </c>
      <c r="E3824" s="49" t="s">
        <v>7057</v>
      </c>
      <c r="F3824" s="49" t="s">
        <v>2825</v>
      </c>
      <c r="G3824" s="49" t="s">
        <v>2787</v>
      </c>
      <c r="H3824" s="49" t="s">
        <v>2827</v>
      </c>
      <c r="I3824" s="50">
        <v>40192</v>
      </c>
      <c r="J3824" s="50">
        <v>40267</v>
      </c>
      <c r="K3824" s="50">
        <v>42569</v>
      </c>
      <c r="M3824" s="49" t="s">
        <v>7883</v>
      </c>
    </row>
    <row r="3825" spans="1:13" x14ac:dyDescent="0.35">
      <c r="A3825" s="49" t="s">
        <v>14985</v>
      </c>
      <c r="B3825" s="49" t="s">
        <v>7913</v>
      </c>
      <c r="C3825" s="49" t="s">
        <v>7914</v>
      </c>
      <c r="D3825" s="49" t="s">
        <v>1264</v>
      </c>
      <c r="E3825" s="49" t="s">
        <v>7057</v>
      </c>
      <c r="F3825" s="49" t="s">
        <v>2825</v>
      </c>
      <c r="G3825" s="49" t="s">
        <v>2787</v>
      </c>
      <c r="H3825" s="49" t="s">
        <v>973</v>
      </c>
      <c r="I3825" s="50">
        <v>38328</v>
      </c>
      <c r="J3825" s="50">
        <v>38082</v>
      </c>
      <c r="K3825" s="50">
        <v>39176</v>
      </c>
      <c r="M3825" s="49" t="s">
        <v>7915</v>
      </c>
    </row>
    <row r="3826" spans="1:13" x14ac:dyDescent="0.35">
      <c r="A3826" s="49" t="s">
        <v>869</v>
      </c>
      <c r="B3826" s="49" t="s">
        <v>6252</v>
      </c>
      <c r="C3826" s="49" t="s">
        <v>6253</v>
      </c>
      <c r="D3826" s="49" t="s">
        <v>1264</v>
      </c>
      <c r="E3826" s="49" t="s">
        <v>2785</v>
      </c>
      <c r="F3826" s="49" t="s">
        <v>2939</v>
      </c>
      <c r="G3826" s="49" t="s">
        <v>2901</v>
      </c>
      <c r="H3826" s="49" t="s">
        <v>2832</v>
      </c>
      <c r="I3826" s="50">
        <v>45240</v>
      </c>
      <c r="J3826" s="50">
        <v>45327</v>
      </c>
      <c r="K3826" s="50">
        <v>45692</v>
      </c>
      <c r="M3826" s="49" t="s">
        <v>6255</v>
      </c>
    </row>
    <row r="3827" spans="1:13" x14ac:dyDescent="0.35">
      <c r="A3827" s="49" t="s">
        <v>869</v>
      </c>
      <c r="B3827" s="49" t="s">
        <v>11691</v>
      </c>
      <c r="C3827" s="49" t="s">
        <v>11692</v>
      </c>
      <c r="D3827" s="49" t="s">
        <v>1264</v>
      </c>
      <c r="E3827" s="49" t="s">
        <v>2785</v>
      </c>
      <c r="F3827" s="49" t="s">
        <v>2805</v>
      </c>
      <c r="G3827" s="49" t="s">
        <v>4891</v>
      </c>
      <c r="H3827" s="49" t="s">
        <v>2832</v>
      </c>
      <c r="I3827" s="50">
        <v>45240</v>
      </c>
      <c r="M3827" s="49" t="s">
        <v>11693</v>
      </c>
    </row>
    <row r="3828" spans="1:13" x14ac:dyDescent="0.35">
      <c r="A3828" s="49" t="s">
        <v>869</v>
      </c>
      <c r="B3828" s="49" t="s">
        <v>11808</v>
      </c>
      <c r="C3828" s="49" t="s">
        <v>11809</v>
      </c>
      <c r="D3828" s="49" t="s">
        <v>1264</v>
      </c>
      <c r="E3828" s="49" t="s">
        <v>2785</v>
      </c>
      <c r="F3828" s="49" t="s">
        <v>2939</v>
      </c>
      <c r="G3828" s="49" t="s">
        <v>4891</v>
      </c>
      <c r="H3828" s="49" t="s">
        <v>2827</v>
      </c>
      <c r="I3828" s="50">
        <v>45263</v>
      </c>
      <c r="M3828" s="49" t="s">
        <v>11810</v>
      </c>
    </row>
    <row r="3829" spans="1:13" x14ac:dyDescent="0.35">
      <c r="A3829" s="49" t="s">
        <v>761</v>
      </c>
      <c r="B3829" s="49" t="s">
        <v>4586</v>
      </c>
      <c r="C3829" s="49" t="s">
        <v>3768</v>
      </c>
      <c r="D3829" s="49" t="s">
        <v>1264</v>
      </c>
      <c r="E3829" s="49" t="s">
        <v>3443</v>
      </c>
      <c r="F3829" s="49" t="s">
        <v>3124</v>
      </c>
      <c r="G3829" s="49" t="s">
        <v>2901</v>
      </c>
      <c r="H3829" s="49" t="s">
        <v>980</v>
      </c>
      <c r="I3829" s="50">
        <v>44414</v>
      </c>
      <c r="J3829" s="50">
        <v>44537</v>
      </c>
      <c r="K3829" s="50">
        <v>46362</v>
      </c>
    </row>
    <row r="3830" spans="1:13" x14ac:dyDescent="0.35">
      <c r="A3830" s="49" t="s">
        <v>761</v>
      </c>
      <c r="B3830" s="49" t="s">
        <v>11100</v>
      </c>
      <c r="C3830" s="49"/>
      <c r="D3830" s="49" t="s">
        <v>1264</v>
      </c>
      <c r="E3830" s="49" t="s">
        <v>2908</v>
      </c>
      <c r="F3830" s="49" t="s">
        <v>2939</v>
      </c>
      <c r="G3830" s="49" t="s">
        <v>4891</v>
      </c>
      <c r="H3830" s="49" t="s">
        <v>980</v>
      </c>
      <c r="I3830" s="50">
        <v>44430</v>
      </c>
      <c r="M3830" s="49" t="s">
        <v>11101</v>
      </c>
    </row>
    <row r="3831" spans="1:13" x14ac:dyDescent="0.35">
      <c r="A3831" s="49" t="s">
        <v>761</v>
      </c>
      <c r="B3831" s="49" t="s">
        <v>11292</v>
      </c>
      <c r="C3831" s="49"/>
      <c r="D3831" s="49" t="s">
        <v>1264</v>
      </c>
      <c r="E3831" s="49" t="s">
        <v>2908</v>
      </c>
      <c r="F3831" s="49" t="s">
        <v>2837</v>
      </c>
      <c r="G3831" s="49" t="s">
        <v>4891</v>
      </c>
      <c r="H3831" s="49" t="s">
        <v>2827</v>
      </c>
      <c r="I3831" s="50">
        <v>44986</v>
      </c>
      <c r="M3831" s="49" t="s">
        <v>11293</v>
      </c>
    </row>
    <row r="3832" spans="1:13" x14ac:dyDescent="0.35">
      <c r="A3832" s="49" t="s">
        <v>14986</v>
      </c>
      <c r="B3832" s="49" t="s">
        <v>7140</v>
      </c>
      <c r="C3832" s="49" t="s">
        <v>7141</v>
      </c>
      <c r="D3832" s="49" t="s">
        <v>1264</v>
      </c>
      <c r="E3832" s="49" t="s">
        <v>7057</v>
      </c>
      <c r="F3832" s="49" t="s">
        <v>2825</v>
      </c>
      <c r="G3832" s="49" t="s">
        <v>2787</v>
      </c>
      <c r="H3832" s="49" t="s">
        <v>2827</v>
      </c>
      <c r="I3832" s="50">
        <v>40060</v>
      </c>
      <c r="J3832" s="50">
        <v>40190</v>
      </c>
      <c r="K3832" s="50">
        <v>42569</v>
      </c>
      <c r="M3832" s="49" t="s">
        <v>7143</v>
      </c>
    </row>
    <row r="3833" spans="1:13" x14ac:dyDescent="0.35">
      <c r="A3833" s="49" t="s">
        <v>14986</v>
      </c>
      <c r="B3833" s="49" t="s">
        <v>13688</v>
      </c>
      <c r="C3833" s="49" t="s">
        <v>7141</v>
      </c>
      <c r="D3833" s="49" t="s">
        <v>1264</v>
      </c>
      <c r="E3833" s="49" t="s">
        <v>2986</v>
      </c>
      <c r="F3833" s="49" t="s">
        <v>2825</v>
      </c>
      <c r="G3833" s="49" t="s">
        <v>2776</v>
      </c>
      <c r="H3833" s="49" t="s">
        <v>2827</v>
      </c>
      <c r="I3833" s="50">
        <v>42718</v>
      </c>
      <c r="M3833" s="49" t="s">
        <v>13690</v>
      </c>
    </row>
    <row r="3834" spans="1:13" x14ac:dyDescent="0.35">
      <c r="A3834" s="49" t="s">
        <v>14793</v>
      </c>
      <c r="B3834" s="49" t="s">
        <v>12831</v>
      </c>
      <c r="C3834" s="49"/>
      <c r="D3834" s="49" t="s">
        <v>1264</v>
      </c>
      <c r="E3834" s="49" t="s">
        <v>2908</v>
      </c>
      <c r="G3834" s="49" t="s">
        <v>4891</v>
      </c>
      <c r="H3834" s="49" t="s">
        <v>2827</v>
      </c>
      <c r="I3834" s="50">
        <v>45713</v>
      </c>
      <c r="M3834" s="49" t="s">
        <v>12833</v>
      </c>
    </row>
    <row r="3835" spans="1:13" x14ac:dyDescent="0.35">
      <c r="A3835" s="49" t="s">
        <v>14063</v>
      </c>
      <c r="B3835" s="49" t="s">
        <v>2812</v>
      </c>
      <c r="C3835" s="49"/>
      <c r="D3835" s="49" t="s">
        <v>1264</v>
      </c>
      <c r="E3835" s="49" t="s">
        <v>2814</v>
      </c>
      <c r="F3835" s="49" t="s">
        <v>2815</v>
      </c>
      <c r="G3835" s="49" t="s">
        <v>2787</v>
      </c>
      <c r="H3835" s="49" t="s">
        <v>980</v>
      </c>
      <c r="I3835" s="50">
        <v>41492</v>
      </c>
      <c r="J3835" s="50">
        <v>41513</v>
      </c>
      <c r="K3835" s="50">
        <v>41696</v>
      </c>
      <c r="M3835" s="49" t="s">
        <v>2816</v>
      </c>
    </row>
    <row r="3836" spans="1:13" x14ac:dyDescent="0.35">
      <c r="A3836" s="49" t="s">
        <v>14063</v>
      </c>
      <c r="B3836" s="49" t="s">
        <v>3065</v>
      </c>
      <c r="C3836" s="49" t="s">
        <v>3063</v>
      </c>
      <c r="D3836" s="49" t="s">
        <v>1264</v>
      </c>
      <c r="E3836" s="49" t="s">
        <v>2908</v>
      </c>
      <c r="F3836" s="49" t="s">
        <v>2837</v>
      </c>
      <c r="G3836" s="49" t="s">
        <v>2787</v>
      </c>
      <c r="H3836" s="49" t="s">
        <v>980</v>
      </c>
      <c r="I3836" s="50">
        <v>39848</v>
      </c>
      <c r="J3836" s="50">
        <v>40066</v>
      </c>
      <c r="K3836" s="50">
        <v>45543</v>
      </c>
      <c r="M3836" s="49" t="s">
        <v>3066</v>
      </c>
    </row>
    <row r="3837" spans="1:13" x14ac:dyDescent="0.35">
      <c r="A3837" s="49" t="s">
        <v>14063</v>
      </c>
      <c r="B3837" s="49" t="s">
        <v>7846</v>
      </c>
      <c r="C3837" s="49" t="s">
        <v>2937</v>
      </c>
      <c r="D3837" s="49" t="s">
        <v>1264</v>
      </c>
      <c r="E3837" s="49" t="s">
        <v>2908</v>
      </c>
      <c r="F3837" s="49" t="s">
        <v>2939</v>
      </c>
      <c r="G3837" s="49" t="s">
        <v>2901</v>
      </c>
      <c r="H3837" s="49" t="s">
        <v>980</v>
      </c>
      <c r="I3837" s="50">
        <v>42011</v>
      </c>
      <c r="J3837" s="50">
        <v>42054</v>
      </c>
      <c r="K3837" s="50">
        <v>45706</v>
      </c>
      <c r="L3837" s="50">
        <v>43880</v>
      </c>
      <c r="M3837" s="49" t="s">
        <v>7847</v>
      </c>
    </row>
    <row r="3838" spans="1:13" x14ac:dyDescent="0.35">
      <c r="A3838" s="49" t="s">
        <v>14063</v>
      </c>
      <c r="B3838" s="49" t="s">
        <v>8059</v>
      </c>
      <c r="C3838" s="49" t="s">
        <v>8060</v>
      </c>
      <c r="D3838" s="49" t="s">
        <v>1264</v>
      </c>
      <c r="E3838" s="49" t="s">
        <v>2908</v>
      </c>
      <c r="F3838" s="49" t="s">
        <v>2837</v>
      </c>
      <c r="G3838" s="49" t="s">
        <v>2787</v>
      </c>
      <c r="H3838" s="49" t="s">
        <v>973</v>
      </c>
      <c r="I3838" s="50">
        <v>37902</v>
      </c>
      <c r="J3838" s="50">
        <v>38183</v>
      </c>
      <c r="K3838" s="50">
        <v>40008</v>
      </c>
      <c r="M3838" s="49" t="s">
        <v>8061</v>
      </c>
    </row>
    <row r="3839" spans="1:13" x14ac:dyDescent="0.35">
      <c r="A3839" s="49" t="s">
        <v>14063</v>
      </c>
      <c r="B3839" s="49" t="s">
        <v>9119</v>
      </c>
      <c r="C3839" s="49"/>
      <c r="D3839" s="49" t="s">
        <v>1264</v>
      </c>
      <c r="E3839" s="49" t="s">
        <v>2908</v>
      </c>
      <c r="F3839" s="49" t="s">
        <v>2939</v>
      </c>
      <c r="G3839" s="49" t="s">
        <v>2776</v>
      </c>
      <c r="H3839" s="49" t="s">
        <v>8</v>
      </c>
      <c r="I3839" s="50">
        <v>41479</v>
      </c>
      <c r="M3839" s="49" t="s">
        <v>9120</v>
      </c>
    </row>
    <row r="3840" spans="1:13" x14ac:dyDescent="0.35">
      <c r="A3840" s="49" t="s">
        <v>14063</v>
      </c>
      <c r="B3840" s="49" t="s">
        <v>10110</v>
      </c>
      <c r="C3840" s="49"/>
      <c r="D3840" s="49" t="s">
        <v>1264</v>
      </c>
      <c r="E3840" s="49" t="s">
        <v>2814</v>
      </c>
      <c r="F3840" s="49" t="s">
        <v>2939</v>
      </c>
      <c r="G3840" s="49" t="s">
        <v>2826</v>
      </c>
      <c r="H3840" s="49" t="s">
        <v>980</v>
      </c>
      <c r="I3840" s="50">
        <v>41520</v>
      </c>
      <c r="M3840" s="49" t="s">
        <v>10111</v>
      </c>
    </row>
    <row r="3841" spans="1:13" x14ac:dyDescent="0.35">
      <c r="A3841" s="49" t="s">
        <v>14063</v>
      </c>
      <c r="B3841" s="49" t="s">
        <v>10315</v>
      </c>
      <c r="C3841" s="49"/>
      <c r="D3841" s="49" t="s">
        <v>1264</v>
      </c>
      <c r="E3841" s="49" t="s">
        <v>2814</v>
      </c>
      <c r="F3841" s="49" t="s">
        <v>2805</v>
      </c>
      <c r="G3841" s="49" t="s">
        <v>2826</v>
      </c>
      <c r="H3841" s="49" t="s">
        <v>980</v>
      </c>
      <c r="I3841" s="50">
        <v>41673</v>
      </c>
      <c r="M3841" s="49" t="s">
        <v>10316</v>
      </c>
    </row>
    <row r="3842" spans="1:13" x14ac:dyDescent="0.35">
      <c r="A3842" s="49" t="s">
        <v>14063</v>
      </c>
      <c r="B3842" s="49" t="s">
        <v>10733</v>
      </c>
      <c r="C3842" s="49" t="s">
        <v>6594</v>
      </c>
      <c r="D3842" s="49" t="s">
        <v>1264</v>
      </c>
      <c r="E3842" s="49" t="s">
        <v>2908</v>
      </c>
      <c r="F3842" s="49" t="s">
        <v>9654</v>
      </c>
      <c r="G3842" s="49" t="s">
        <v>2776</v>
      </c>
      <c r="H3842" s="49" t="s">
        <v>980</v>
      </c>
      <c r="I3842" s="50">
        <v>41794</v>
      </c>
      <c r="M3842" s="49" t="s">
        <v>10734</v>
      </c>
    </row>
    <row r="3843" spans="1:13" x14ac:dyDescent="0.35">
      <c r="A3843" s="49" t="s">
        <v>14063</v>
      </c>
      <c r="B3843" s="49" t="s">
        <v>13740</v>
      </c>
      <c r="C3843" s="49"/>
      <c r="D3843" s="49" t="s">
        <v>1264</v>
      </c>
      <c r="E3843" s="49" t="s">
        <v>2908</v>
      </c>
      <c r="F3843" s="49" t="s">
        <v>2939</v>
      </c>
      <c r="G3843" s="49" t="s">
        <v>2776</v>
      </c>
      <c r="H3843" s="49" t="s">
        <v>980</v>
      </c>
      <c r="I3843" s="50">
        <v>41927</v>
      </c>
      <c r="M3843" s="49" t="s">
        <v>13741</v>
      </c>
    </row>
    <row r="3844" spans="1:13" x14ac:dyDescent="0.35">
      <c r="A3844" s="49" t="s">
        <v>14491</v>
      </c>
      <c r="B3844" s="49" t="s">
        <v>9347</v>
      </c>
      <c r="C3844" s="49"/>
      <c r="D3844" s="49" t="s">
        <v>1264</v>
      </c>
      <c r="E3844" s="49" t="s">
        <v>2785</v>
      </c>
      <c r="F3844" s="49" t="s">
        <v>2786</v>
      </c>
      <c r="G3844" s="49" t="s">
        <v>2776</v>
      </c>
      <c r="H3844" s="49" t="s">
        <v>980</v>
      </c>
      <c r="I3844" s="50">
        <v>43263</v>
      </c>
      <c r="M3844" s="49" t="s">
        <v>4542</v>
      </c>
    </row>
    <row r="3845" spans="1:13" x14ac:dyDescent="0.35">
      <c r="A3845" s="49" t="s">
        <v>15528</v>
      </c>
      <c r="B3845" s="49" t="s">
        <v>4992</v>
      </c>
      <c r="C3845" s="49" t="s">
        <v>4993</v>
      </c>
      <c r="D3845" s="49" t="s">
        <v>1264</v>
      </c>
      <c r="E3845" s="49" t="s">
        <v>2986</v>
      </c>
      <c r="F3845" s="49" t="s">
        <v>2825</v>
      </c>
      <c r="G3845" s="49" t="s">
        <v>2901</v>
      </c>
      <c r="H3845" s="49" t="s">
        <v>2827</v>
      </c>
      <c r="I3845" s="50">
        <v>44778</v>
      </c>
      <c r="J3845" s="50">
        <v>44803</v>
      </c>
      <c r="K3845" s="50">
        <v>45898</v>
      </c>
      <c r="M3845" s="49" t="s">
        <v>4995</v>
      </c>
    </row>
    <row r="3846" spans="1:13" x14ac:dyDescent="0.35">
      <c r="A3846" s="49" t="s">
        <v>15528</v>
      </c>
      <c r="B3846" s="49" t="s">
        <v>4996</v>
      </c>
      <c r="C3846" s="49" t="s">
        <v>4997</v>
      </c>
      <c r="D3846" s="49" t="s">
        <v>1264</v>
      </c>
      <c r="E3846" s="49" t="s">
        <v>2986</v>
      </c>
      <c r="F3846" s="49" t="s">
        <v>2825</v>
      </c>
      <c r="G3846" s="49" t="s">
        <v>2901</v>
      </c>
      <c r="H3846" s="49" t="s">
        <v>2827</v>
      </c>
      <c r="I3846" s="50">
        <v>44778</v>
      </c>
      <c r="J3846" s="50">
        <v>44803</v>
      </c>
      <c r="K3846" s="50">
        <v>45898</v>
      </c>
      <c r="M3846" s="49" t="s">
        <v>4998</v>
      </c>
    </row>
    <row r="3847" spans="1:13" x14ac:dyDescent="0.35">
      <c r="A3847" s="49" t="s">
        <v>15528</v>
      </c>
      <c r="B3847" s="49" t="s">
        <v>5281</v>
      </c>
      <c r="C3847" s="49"/>
      <c r="D3847" s="49" t="s">
        <v>1264</v>
      </c>
      <c r="E3847" s="49" t="s">
        <v>3443</v>
      </c>
      <c r="F3847" s="49" t="s">
        <v>3124</v>
      </c>
      <c r="G3847" s="49" t="s">
        <v>2901</v>
      </c>
      <c r="H3847" s="49" t="s">
        <v>980</v>
      </c>
      <c r="I3847" s="50">
        <v>44870</v>
      </c>
      <c r="J3847" s="50">
        <v>44901</v>
      </c>
      <c r="K3847" s="50">
        <v>46726</v>
      </c>
    </row>
    <row r="3848" spans="1:13" x14ac:dyDescent="0.35">
      <c r="A3848" s="49" t="s">
        <v>15529</v>
      </c>
      <c r="B3848" s="49" t="s">
        <v>3864</v>
      </c>
      <c r="C3848" s="49" t="s">
        <v>3468</v>
      </c>
      <c r="D3848" s="49" t="s">
        <v>1264</v>
      </c>
      <c r="E3848" s="49" t="s">
        <v>3443</v>
      </c>
      <c r="F3848" s="49" t="s">
        <v>3124</v>
      </c>
      <c r="G3848" s="49" t="s">
        <v>2787</v>
      </c>
      <c r="H3848" s="49" t="s">
        <v>980</v>
      </c>
      <c r="I3848" s="50">
        <v>43441</v>
      </c>
      <c r="J3848" s="50">
        <v>43558</v>
      </c>
      <c r="K3848" s="50">
        <v>45384</v>
      </c>
      <c r="M3848" s="49" t="s">
        <v>3866</v>
      </c>
    </row>
    <row r="3849" spans="1:13" x14ac:dyDescent="0.35">
      <c r="A3849" s="49" t="s">
        <v>14281</v>
      </c>
      <c r="B3849" s="49" t="s">
        <v>6293</v>
      </c>
      <c r="C3849" s="49"/>
      <c r="D3849" s="49" t="s">
        <v>1264</v>
      </c>
      <c r="E3849" s="49" t="s">
        <v>2986</v>
      </c>
      <c r="F3849" s="49" t="s">
        <v>2825</v>
      </c>
      <c r="G3849" s="49" t="s">
        <v>4330</v>
      </c>
      <c r="H3849" s="49" t="s">
        <v>2827</v>
      </c>
      <c r="I3849" s="50">
        <v>45322</v>
      </c>
      <c r="M3849" s="49" t="s">
        <v>6295</v>
      </c>
    </row>
    <row r="3850" spans="1:13" x14ac:dyDescent="0.35">
      <c r="A3850" s="49" t="s">
        <v>15080</v>
      </c>
      <c r="B3850" s="49" t="s">
        <v>11352</v>
      </c>
      <c r="C3850" s="49" t="s">
        <v>4293</v>
      </c>
      <c r="D3850" s="49" t="s">
        <v>1264</v>
      </c>
      <c r="E3850" s="49" t="s">
        <v>2785</v>
      </c>
      <c r="F3850" s="49" t="s">
        <v>2786</v>
      </c>
      <c r="G3850" s="49" t="s">
        <v>2776</v>
      </c>
      <c r="H3850" s="49" t="s">
        <v>980</v>
      </c>
      <c r="I3850" s="50">
        <v>45029</v>
      </c>
      <c r="M3850" s="49" t="s">
        <v>11354</v>
      </c>
    </row>
    <row r="3851" spans="1:13" x14ac:dyDescent="0.35">
      <c r="A3851" s="49" t="s">
        <v>764</v>
      </c>
      <c r="B3851" s="49" t="s">
        <v>4042</v>
      </c>
      <c r="C3851" s="49" t="s">
        <v>4043</v>
      </c>
      <c r="D3851" s="49" t="s">
        <v>1264</v>
      </c>
      <c r="E3851" s="49" t="s">
        <v>2814</v>
      </c>
      <c r="F3851" s="49" t="s">
        <v>2825</v>
      </c>
      <c r="G3851" s="49" t="s">
        <v>2787</v>
      </c>
      <c r="H3851" s="49" t="s">
        <v>2827</v>
      </c>
      <c r="I3851" s="50">
        <v>43977</v>
      </c>
      <c r="J3851" s="50">
        <v>43980</v>
      </c>
      <c r="K3851" s="50">
        <v>44341</v>
      </c>
      <c r="M3851" s="49" t="s">
        <v>4045</v>
      </c>
    </row>
    <row r="3852" spans="1:13" x14ac:dyDescent="0.35">
      <c r="A3852" s="49" t="s">
        <v>764</v>
      </c>
      <c r="B3852" s="49" t="s">
        <v>4350</v>
      </c>
      <c r="C3852" s="49" t="s">
        <v>4351</v>
      </c>
      <c r="D3852" s="49" t="s">
        <v>1264</v>
      </c>
      <c r="E3852" s="49" t="s">
        <v>2986</v>
      </c>
      <c r="F3852" s="49" t="s">
        <v>2825</v>
      </c>
      <c r="G3852" s="49" t="s">
        <v>2901</v>
      </c>
      <c r="H3852" s="49" t="s">
        <v>2827</v>
      </c>
      <c r="I3852" s="50">
        <v>44298</v>
      </c>
      <c r="J3852" s="50">
        <v>44383</v>
      </c>
      <c r="K3852" s="50">
        <v>45478</v>
      </c>
      <c r="M3852" s="49" t="s">
        <v>4352</v>
      </c>
    </row>
    <row r="3853" spans="1:13" x14ac:dyDescent="0.35">
      <c r="A3853" s="49" t="s">
        <v>764</v>
      </c>
      <c r="B3853" s="49" t="s">
        <v>11208</v>
      </c>
      <c r="C3853" s="49" t="s">
        <v>11209</v>
      </c>
      <c r="D3853" s="49" t="s">
        <v>1264</v>
      </c>
      <c r="E3853" s="49" t="s">
        <v>2814</v>
      </c>
      <c r="F3853" s="49" t="s">
        <v>2825</v>
      </c>
      <c r="G3853" s="49" t="s">
        <v>2776</v>
      </c>
      <c r="H3853" s="49" t="s">
        <v>2827</v>
      </c>
      <c r="I3853" s="50">
        <v>44907</v>
      </c>
      <c r="M3853" s="49" t="s">
        <v>11210</v>
      </c>
    </row>
    <row r="3854" spans="1:13" x14ac:dyDescent="0.35">
      <c r="A3854" s="49" t="s">
        <v>764</v>
      </c>
      <c r="B3854" s="49" t="s">
        <v>11211</v>
      </c>
      <c r="C3854" s="49"/>
      <c r="D3854" s="49" t="s">
        <v>1264</v>
      </c>
      <c r="E3854" s="49" t="s">
        <v>2814</v>
      </c>
      <c r="F3854" s="49" t="s">
        <v>2825</v>
      </c>
      <c r="G3854" s="49" t="s">
        <v>2776</v>
      </c>
      <c r="H3854" s="49" t="s">
        <v>2827</v>
      </c>
      <c r="I3854" s="50">
        <v>44909</v>
      </c>
      <c r="M3854" s="49" t="s">
        <v>11212</v>
      </c>
    </row>
    <row r="3855" spans="1:13" x14ac:dyDescent="0.35">
      <c r="A3855" s="49" t="s">
        <v>764</v>
      </c>
      <c r="B3855" s="49" t="s">
        <v>11726</v>
      </c>
      <c r="C3855" s="49" t="s">
        <v>11727</v>
      </c>
      <c r="D3855" s="49" t="s">
        <v>1264</v>
      </c>
      <c r="E3855" s="49" t="s">
        <v>2986</v>
      </c>
      <c r="F3855" s="49" t="s">
        <v>2825</v>
      </c>
      <c r="G3855" s="49" t="s">
        <v>4891</v>
      </c>
      <c r="H3855" s="49" t="s">
        <v>2827</v>
      </c>
      <c r="I3855" s="50">
        <v>45218</v>
      </c>
      <c r="M3855" s="49" t="s">
        <v>9017</v>
      </c>
    </row>
    <row r="3856" spans="1:13" x14ac:dyDescent="0.35">
      <c r="A3856" s="49" t="s">
        <v>764</v>
      </c>
      <c r="B3856" s="49" t="s">
        <v>12020</v>
      </c>
      <c r="C3856" s="49" t="s">
        <v>12021</v>
      </c>
      <c r="D3856" s="49" t="s">
        <v>1264</v>
      </c>
      <c r="E3856" s="49" t="s">
        <v>2986</v>
      </c>
      <c r="F3856" s="49" t="s">
        <v>2825</v>
      </c>
      <c r="G3856" s="49" t="s">
        <v>4891</v>
      </c>
      <c r="H3856" s="49" t="s">
        <v>2827</v>
      </c>
      <c r="I3856" s="50">
        <v>45316</v>
      </c>
      <c r="M3856" s="49" t="s">
        <v>3270</v>
      </c>
    </row>
    <row r="3857" spans="1:13" x14ac:dyDescent="0.35">
      <c r="A3857" s="49" t="s">
        <v>764</v>
      </c>
      <c r="B3857" s="49" t="s">
        <v>12031</v>
      </c>
      <c r="C3857" s="49" t="s">
        <v>12032</v>
      </c>
      <c r="D3857" s="49" t="s">
        <v>1264</v>
      </c>
      <c r="E3857" s="49" t="s">
        <v>2986</v>
      </c>
      <c r="F3857" s="49" t="s">
        <v>2825</v>
      </c>
      <c r="G3857" s="49" t="s">
        <v>4891</v>
      </c>
      <c r="H3857" s="49" t="s">
        <v>2827</v>
      </c>
      <c r="I3857" s="50">
        <v>45316</v>
      </c>
      <c r="M3857" s="49" t="s">
        <v>12033</v>
      </c>
    </row>
    <row r="3858" spans="1:13" x14ac:dyDescent="0.35">
      <c r="A3858" s="49" t="s">
        <v>764</v>
      </c>
      <c r="B3858" s="49" t="s">
        <v>12092</v>
      </c>
      <c r="C3858" s="49" t="s">
        <v>12093</v>
      </c>
      <c r="D3858" s="49" t="s">
        <v>1264</v>
      </c>
      <c r="E3858" s="49" t="s">
        <v>2986</v>
      </c>
      <c r="F3858" s="49" t="s">
        <v>2825</v>
      </c>
      <c r="G3858" s="49" t="s">
        <v>4891</v>
      </c>
      <c r="H3858" s="49" t="s">
        <v>2827</v>
      </c>
      <c r="I3858" s="50">
        <v>45316</v>
      </c>
      <c r="M3858" s="49" t="s">
        <v>4854</v>
      </c>
    </row>
    <row r="3859" spans="1:13" x14ac:dyDescent="0.35">
      <c r="A3859" s="49" t="s">
        <v>764</v>
      </c>
      <c r="B3859" s="49" t="s">
        <v>12647</v>
      </c>
      <c r="C3859" s="49" t="s">
        <v>12648</v>
      </c>
      <c r="D3859" s="49" t="s">
        <v>1264</v>
      </c>
      <c r="E3859" s="49" t="s">
        <v>2986</v>
      </c>
      <c r="F3859" s="49" t="s">
        <v>2825</v>
      </c>
      <c r="G3859" s="49" t="s">
        <v>4891</v>
      </c>
      <c r="H3859" s="49" t="s">
        <v>2827</v>
      </c>
      <c r="I3859" s="50">
        <v>45316</v>
      </c>
      <c r="M3859" s="49" t="s">
        <v>11151</v>
      </c>
    </row>
    <row r="3860" spans="1:13" x14ac:dyDescent="0.35">
      <c r="A3860" s="49" t="s">
        <v>764</v>
      </c>
      <c r="B3860" s="49" t="s">
        <v>13121</v>
      </c>
      <c r="C3860" s="49"/>
      <c r="D3860" s="49" t="s">
        <v>1264</v>
      </c>
      <c r="E3860" s="49" t="s">
        <v>2986</v>
      </c>
      <c r="F3860" s="49" t="s">
        <v>2825</v>
      </c>
      <c r="G3860" s="49" t="s">
        <v>4891</v>
      </c>
      <c r="H3860" s="49" t="s">
        <v>2827</v>
      </c>
      <c r="I3860" s="52">
        <v>46049.387291666702</v>
      </c>
      <c r="M3860" s="49" t="s">
        <v>9017</v>
      </c>
    </row>
    <row r="3861" spans="1:13" x14ac:dyDescent="0.35">
      <c r="A3861" s="49" t="s">
        <v>14265</v>
      </c>
      <c r="B3861" s="49" t="s">
        <v>6024</v>
      </c>
      <c r="C3861" s="49" t="s">
        <v>6025</v>
      </c>
      <c r="D3861" s="49" t="s">
        <v>1264</v>
      </c>
      <c r="E3861" s="49" t="s">
        <v>2785</v>
      </c>
      <c r="F3861" s="49" t="s">
        <v>2792</v>
      </c>
      <c r="G3861" s="49" t="s">
        <v>4330</v>
      </c>
      <c r="H3861" s="49" t="s">
        <v>4225</v>
      </c>
      <c r="I3861" s="50">
        <v>45229</v>
      </c>
      <c r="M3861" s="49" t="s">
        <v>6027</v>
      </c>
    </row>
    <row r="3862" spans="1:13" x14ac:dyDescent="0.35">
      <c r="A3862" s="49" t="s">
        <v>14987</v>
      </c>
      <c r="B3862" s="49" t="s">
        <v>9114</v>
      </c>
      <c r="C3862" s="49"/>
      <c r="D3862" s="49" t="s">
        <v>1264</v>
      </c>
      <c r="E3862" s="49" t="s">
        <v>7057</v>
      </c>
      <c r="F3862" s="49" t="s">
        <v>2825</v>
      </c>
      <c r="G3862" s="49" t="s">
        <v>2776</v>
      </c>
      <c r="H3862" s="49" t="s">
        <v>2827</v>
      </c>
      <c r="I3862" s="50">
        <v>41722</v>
      </c>
      <c r="M3862" s="49" t="s">
        <v>3100</v>
      </c>
    </row>
    <row r="3863" spans="1:13" x14ac:dyDescent="0.35">
      <c r="A3863" s="49" t="s">
        <v>15530</v>
      </c>
      <c r="B3863" s="49" t="s">
        <v>4879</v>
      </c>
      <c r="C3863" s="49" t="s">
        <v>3555</v>
      </c>
      <c r="D3863" s="49" t="s">
        <v>1264</v>
      </c>
      <c r="E3863" s="49" t="s">
        <v>2785</v>
      </c>
      <c r="F3863" s="49" t="s">
        <v>2792</v>
      </c>
      <c r="G3863" s="49" t="s">
        <v>2787</v>
      </c>
      <c r="H3863" s="49" t="s">
        <v>8</v>
      </c>
      <c r="I3863" s="50">
        <v>44713</v>
      </c>
      <c r="J3863" s="50">
        <v>44729</v>
      </c>
      <c r="K3863" s="50">
        <v>45093</v>
      </c>
      <c r="M3863" s="49" t="s">
        <v>4881</v>
      </c>
    </row>
    <row r="3864" spans="1:13" x14ac:dyDescent="0.35">
      <c r="A3864" s="49" t="s">
        <v>1049</v>
      </c>
      <c r="B3864" s="49" t="s">
        <v>4053</v>
      </c>
      <c r="C3864" s="49" t="s">
        <v>2809</v>
      </c>
      <c r="D3864" s="49" t="s">
        <v>1264</v>
      </c>
      <c r="E3864" s="49" t="s">
        <v>2785</v>
      </c>
      <c r="F3864" s="49" t="s">
        <v>2792</v>
      </c>
      <c r="G3864" s="49" t="s">
        <v>2787</v>
      </c>
      <c r="H3864" s="49" t="s">
        <v>980</v>
      </c>
      <c r="I3864" s="50">
        <v>43999</v>
      </c>
      <c r="J3864" s="50">
        <v>44145</v>
      </c>
      <c r="K3864" s="50">
        <v>44510</v>
      </c>
      <c r="M3864" s="49" t="s">
        <v>4055</v>
      </c>
    </row>
    <row r="3865" spans="1:13" x14ac:dyDescent="0.35">
      <c r="A3865" s="49" t="s">
        <v>14460</v>
      </c>
      <c r="B3865" s="49" t="s">
        <v>8907</v>
      </c>
      <c r="C3865" s="49"/>
      <c r="D3865" s="49" t="s">
        <v>1264</v>
      </c>
      <c r="E3865" s="49" t="s">
        <v>2814</v>
      </c>
      <c r="F3865" s="49" t="s">
        <v>3898</v>
      </c>
      <c r="G3865" s="49" t="s">
        <v>2787</v>
      </c>
      <c r="H3865" s="49" t="s">
        <v>2827</v>
      </c>
      <c r="I3865" s="50">
        <v>42068</v>
      </c>
      <c r="J3865" s="50">
        <v>42082</v>
      </c>
      <c r="K3865" s="50">
        <v>42265</v>
      </c>
      <c r="M3865" s="49" t="s">
        <v>8909</v>
      </c>
    </row>
    <row r="3866" spans="1:13" x14ac:dyDescent="0.35">
      <c r="A3866" s="49" t="s">
        <v>14824</v>
      </c>
      <c r="B3866" s="49" t="s">
        <v>4578</v>
      </c>
      <c r="C3866" s="49" t="s">
        <v>4579</v>
      </c>
      <c r="D3866" s="49" t="s">
        <v>1264</v>
      </c>
      <c r="E3866" s="49" t="s">
        <v>2814</v>
      </c>
      <c r="F3866" s="49" t="s">
        <v>2825</v>
      </c>
      <c r="G3866" s="49" t="s">
        <v>2787</v>
      </c>
      <c r="H3866" s="49" t="s">
        <v>2827</v>
      </c>
      <c r="I3866" s="50">
        <v>44508</v>
      </c>
      <c r="J3866" s="50">
        <v>44529</v>
      </c>
      <c r="K3866" s="50">
        <v>44709</v>
      </c>
      <c r="M3866" s="49" t="s">
        <v>4581</v>
      </c>
    </row>
    <row r="3867" spans="1:13" x14ac:dyDescent="0.35">
      <c r="A3867" s="49" t="s">
        <v>14824</v>
      </c>
      <c r="B3867" s="49" t="s">
        <v>4613</v>
      </c>
      <c r="C3867" s="49"/>
      <c r="D3867" s="49" t="s">
        <v>1264</v>
      </c>
      <c r="E3867" s="49" t="s">
        <v>2814</v>
      </c>
      <c r="F3867" s="49" t="s">
        <v>2825</v>
      </c>
      <c r="G3867" s="49" t="s">
        <v>2787</v>
      </c>
      <c r="H3867" s="49" t="s">
        <v>2827</v>
      </c>
      <c r="I3867" s="50">
        <v>44508</v>
      </c>
      <c r="J3867" s="50">
        <v>44538</v>
      </c>
      <c r="K3867" s="50">
        <v>44719</v>
      </c>
      <c r="M3867" s="49" t="s">
        <v>4614</v>
      </c>
    </row>
    <row r="3868" spans="1:13" x14ac:dyDescent="0.35">
      <c r="A3868" s="49" t="s">
        <v>14706</v>
      </c>
      <c r="B3868" s="49" t="s">
        <v>6082</v>
      </c>
      <c r="C3868" s="49" t="s">
        <v>6083</v>
      </c>
      <c r="D3868" s="49" t="s">
        <v>1264</v>
      </c>
      <c r="E3868" s="49" t="s">
        <v>2785</v>
      </c>
      <c r="F3868" s="49" t="s">
        <v>2786</v>
      </c>
      <c r="G3868" s="49" t="s">
        <v>4330</v>
      </c>
      <c r="H3868" s="49" t="s">
        <v>835</v>
      </c>
      <c r="I3868" s="50">
        <v>45280</v>
      </c>
      <c r="M3868" s="49" t="s">
        <v>6085</v>
      </c>
    </row>
    <row r="3869" spans="1:13" x14ac:dyDescent="0.35">
      <c r="A3869" s="49" t="s">
        <v>14797</v>
      </c>
      <c r="B3869" s="49" t="s">
        <v>14043</v>
      </c>
      <c r="C3869" s="49"/>
      <c r="D3869" s="49" t="s">
        <v>1264</v>
      </c>
      <c r="E3869" s="49" t="s">
        <v>14045</v>
      </c>
      <c r="G3869" s="49" t="s">
        <v>4891</v>
      </c>
    </row>
    <row r="3870" spans="1:13" x14ac:dyDescent="0.35">
      <c r="A3870" s="49" t="s">
        <v>14797</v>
      </c>
      <c r="B3870" s="49" t="s">
        <v>14051</v>
      </c>
      <c r="C3870" s="49" t="s">
        <v>14052</v>
      </c>
      <c r="D3870" s="49" t="s">
        <v>1264</v>
      </c>
      <c r="E3870" s="49" t="s">
        <v>2774</v>
      </c>
      <c r="F3870" s="49" t="s">
        <v>14053</v>
      </c>
      <c r="G3870" s="49" t="s">
        <v>2787</v>
      </c>
      <c r="H3870" s="49" t="s">
        <v>2827</v>
      </c>
      <c r="I3870" s="50">
        <v>45819</v>
      </c>
      <c r="J3870" s="50">
        <v>45819</v>
      </c>
      <c r="K3870" s="50">
        <v>45989</v>
      </c>
      <c r="M3870" s="49" t="s">
        <v>14054</v>
      </c>
    </row>
    <row r="3871" spans="1:13" x14ac:dyDescent="0.35">
      <c r="A3871" s="49" t="s">
        <v>14988</v>
      </c>
      <c r="B3871" s="49" t="s">
        <v>12775</v>
      </c>
      <c r="C3871" s="49" t="s">
        <v>12776</v>
      </c>
      <c r="D3871" s="49" t="s">
        <v>1264</v>
      </c>
      <c r="E3871" s="49" t="s">
        <v>2986</v>
      </c>
      <c r="F3871" s="49" t="s">
        <v>2825</v>
      </c>
      <c r="G3871" s="49" t="s">
        <v>4891</v>
      </c>
      <c r="H3871" s="49" t="s">
        <v>2827</v>
      </c>
      <c r="I3871" s="50">
        <v>45397</v>
      </c>
      <c r="M3871" s="49" t="s">
        <v>12778</v>
      </c>
    </row>
    <row r="3872" spans="1:13" x14ac:dyDescent="0.35">
      <c r="A3872" s="49" t="s">
        <v>14988</v>
      </c>
      <c r="B3872" s="49" t="s">
        <v>13393</v>
      </c>
      <c r="C3872" s="49"/>
      <c r="D3872" s="49" t="s">
        <v>1264</v>
      </c>
      <c r="E3872" s="49" t="s">
        <v>2986</v>
      </c>
      <c r="F3872" s="49" t="s">
        <v>2825</v>
      </c>
      <c r="G3872" s="49" t="s">
        <v>4891</v>
      </c>
      <c r="H3872" s="49" t="s">
        <v>2827</v>
      </c>
      <c r="I3872" s="52">
        <v>46115.546342592599</v>
      </c>
      <c r="M3872" s="49" t="s">
        <v>13395</v>
      </c>
    </row>
    <row r="3873" spans="1:13" x14ac:dyDescent="0.35">
      <c r="A3873" s="49" t="s">
        <v>10206</v>
      </c>
      <c r="B3873" s="49" t="s">
        <v>3074</v>
      </c>
      <c r="C3873" s="49" t="s">
        <v>3075</v>
      </c>
      <c r="D3873" s="49" t="s">
        <v>1264</v>
      </c>
      <c r="E3873" s="49" t="s">
        <v>2986</v>
      </c>
      <c r="F3873" s="49" t="s">
        <v>2825</v>
      </c>
      <c r="G3873" s="49" t="s">
        <v>2820</v>
      </c>
      <c r="H3873" s="49" t="s">
        <v>2827</v>
      </c>
      <c r="I3873" s="50">
        <v>40009</v>
      </c>
      <c r="J3873" s="50">
        <v>40190</v>
      </c>
      <c r="K3873" s="50">
        <v>40920</v>
      </c>
      <c r="M3873" s="49" t="s">
        <v>3077</v>
      </c>
    </row>
    <row r="3874" spans="1:13" x14ac:dyDescent="0.35">
      <c r="A3874" s="49" t="s">
        <v>14989</v>
      </c>
      <c r="B3874" s="49" t="s">
        <v>9020</v>
      </c>
      <c r="C3874" s="49"/>
      <c r="D3874" s="49" t="s">
        <v>1264</v>
      </c>
      <c r="E3874" s="49" t="s">
        <v>2814</v>
      </c>
      <c r="F3874" s="49" t="s">
        <v>2825</v>
      </c>
      <c r="G3874" s="49" t="s">
        <v>2776</v>
      </c>
      <c r="H3874" s="49" t="s">
        <v>2827</v>
      </c>
      <c r="I3874" s="50">
        <v>42254</v>
      </c>
      <c r="J3874" s="50">
        <v>42297</v>
      </c>
      <c r="K3874" s="50">
        <v>42113</v>
      </c>
      <c r="M3874" s="49" t="s">
        <v>9022</v>
      </c>
    </row>
    <row r="3875" spans="1:13" x14ac:dyDescent="0.35">
      <c r="A3875" s="49" t="s">
        <v>771</v>
      </c>
      <c r="B3875" s="49" t="s">
        <v>4941</v>
      </c>
      <c r="C3875" s="49" t="s">
        <v>4014</v>
      </c>
      <c r="D3875" s="49" t="s">
        <v>1264</v>
      </c>
      <c r="E3875" s="49" t="s">
        <v>2785</v>
      </c>
      <c r="F3875" s="49" t="s">
        <v>2792</v>
      </c>
      <c r="G3875" s="49" t="s">
        <v>2787</v>
      </c>
      <c r="H3875" s="49" t="s">
        <v>8</v>
      </c>
      <c r="I3875" s="50">
        <v>44578</v>
      </c>
      <c r="J3875" s="50">
        <v>44678</v>
      </c>
      <c r="K3875" s="50">
        <v>45510</v>
      </c>
      <c r="M3875" s="49" t="s">
        <v>4943</v>
      </c>
    </row>
    <row r="3876" spans="1:13" x14ac:dyDescent="0.35">
      <c r="A3876" s="49" t="s">
        <v>15239</v>
      </c>
      <c r="B3876" s="49" t="s">
        <v>12341</v>
      </c>
      <c r="C3876" s="49" t="s">
        <v>3894</v>
      </c>
      <c r="D3876" s="49" t="s">
        <v>1264</v>
      </c>
      <c r="E3876" s="49" t="s">
        <v>2908</v>
      </c>
      <c r="F3876" s="49" t="s">
        <v>3010</v>
      </c>
      <c r="G3876" s="49" t="s">
        <v>4891</v>
      </c>
      <c r="H3876" s="49" t="s">
        <v>980</v>
      </c>
      <c r="I3876" s="50">
        <v>45378</v>
      </c>
      <c r="M3876" s="49" t="s">
        <v>12343</v>
      </c>
    </row>
    <row r="3877" spans="1:13" x14ac:dyDescent="0.35">
      <c r="A3877" s="49" t="s">
        <v>14171</v>
      </c>
      <c r="B3877" s="49" t="s">
        <v>4239</v>
      </c>
      <c r="C3877" s="49"/>
      <c r="D3877" s="49" t="s">
        <v>1264</v>
      </c>
      <c r="E3877" s="49" t="s">
        <v>2814</v>
      </c>
      <c r="F3877" s="49" t="s">
        <v>2825</v>
      </c>
      <c r="G3877" s="49" t="s">
        <v>2787</v>
      </c>
      <c r="H3877" s="49" t="s">
        <v>973</v>
      </c>
      <c r="I3877" s="50">
        <v>44298</v>
      </c>
      <c r="J3877" s="50">
        <v>44328</v>
      </c>
      <c r="K3877" s="50">
        <v>44692</v>
      </c>
      <c r="M3877" s="49" t="s">
        <v>4241</v>
      </c>
    </row>
    <row r="3878" spans="1:13" x14ac:dyDescent="0.35">
      <c r="A3878" s="49" t="s">
        <v>15049</v>
      </c>
      <c r="B3878" s="49" t="s">
        <v>7623</v>
      </c>
      <c r="C3878" s="49"/>
      <c r="D3878" s="49" t="s">
        <v>1264</v>
      </c>
      <c r="E3878" s="49" t="s">
        <v>2814</v>
      </c>
      <c r="F3878" s="49" t="s">
        <v>2825</v>
      </c>
      <c r="G3878" s="49" t="s">
        <v>2787</v>
      </c>
      <c r="H3878" s="49" t="s">
        <v>2827</v>
      </c>
      <c r="I3878" s="50">
        <v>41908</v>
      </c>
      <c r="J3878" s="50">
        <v>41906</v>
      </c>
      <c r="K3878" s="50">
        <v>42086</v>
      </c>
      <c r="M3878" s="49" t="s">
        <v>7625</v>
      </c>
    </row>
    <row r="3879" spans="1:13" x14ac:dyDescent="0.35">
      <c r="A3879" s="49" t="s">
        <v>15049</v>
      </c>
      <c r="B3879" s="49" t="s">
        <v>9944</v>
      </c>
      <c r="C3879" s="49" t="s">
        <v>9945</v>
      </c>
      <c r="D3879" s="49" t="s">
        <v>1264</v>
      </c>
      <c r="E3879" s="49" t="s">
        <v>7057</v>
      </c>
      <c r="F3879" s="49" t="s">
        <v>2825</v>
      </c>
      <c r="G3879" s="49" t="s">
        <v>2776</v>
      </c>
      <c r="H3879" s="49" t="s">
        <v>2827</v>
      </c>
      <c r="I3879" s="50">
        <v>42583</v>
      </c>
      <c r="M3879" s="49" t="s">
        <v>9946</v>
      </c>
    </row>
    <row r="3880" spans="1:13" x14ac:dyDescent="0.35">
      <c r="A3880" s="49" t="s">
        <v>14545</v>
      </c>
      <c r="B3880" s="49" t="s">
        <v>10124</v>
      </c>
      <c r="C3880" s="49" t="s">
        <v>10125</v>
      </c>
      <c r="D3880" s="49" t="s">
        <v>1264</v>
      </c>
      <c r="E3880" s="49" t="s">
        <v>2814</v>
      </c>
      <c r="F3880" s="49" t="s">
        <v>2825</v>
      </c>
      <c r="G3880" s="49" t="s">
        <v>2776</v>
      </c>
      <c r="H3880" s="49" t="s">
        <v>2827</v>
      </c>
      <c r="I3880" s="50">
        <v>42930</v>
      </c>
      <c r="M3880" s="49" t="s">
        <v>3270</v>
      </c>
    </row>
    <row r="3881" spans="1:13" x14ac:dyDescent="0.35">
      <c r="A3881" s="49" t="s">
        <v>14990</v>
      </c>
      <c r="B3881" s="49" t="s">
        <v>10170</v>
      </c>
      <c r="C3881" s="49"/>
      <c r="D3881" s="49" t="s">
        <v>1264</v>
      </c>
      <c r="E3881" s="49" t="s">
        <v>2814</v>
      </c>
      <c r="F3881" s="49" t="s">
        <v>2825</v>
      </c>
      <c r="G3881" s="49" t="s">
        <v>2776</v>
      </c>
      <c r="H3881" s="49" t="s">
        <v>2827</v>
      </c>
      <c r="I3881" s="50">
        <v>42383</v>
      </c>
      <c r="M3881" s="49" t="s">
        <v>10172</v>
      </c>
    </row>
    <row r="3882" spans="1:13" x14ac:dyDescent="0.35">
      <c r="A3882" s="49" t="s">
        <v>15531</v>
      </c>
      <c r="B3882" s="49" t="s">
        <v>9696</v>
      </c>
      <c r="C3882" s="49" t="s">
        <v>2942</v>
      </c>
      <c r="D3882" s="49" t="s">
        <v>1264</v>
      </c>
      <c r="E3882" s="49" t="s">
        <v>2908</v>
      </c>
      <c r="F3882" s="49" t="s">
        <v>2939</v>
      </c>
      <c r="G3882" s="49" t="s">
        <v>2776</v>
      </c>
      <c r="H3882" s="49" t="s">
        <v>980</v>
      </c>
      <c r="I3882" s="50">
        <v>42055</v>
      </c>
      <c r="M3882" s="49" t="s">
        <v>9698</v>
      </c>
    </row>
    <row r="3883" spans="1:13" x14ac:dyDescent="0.35">
      <c r="A3883" s="49" t="s">
        <v>778</v>
      </c>
      <c r="B3883" s="49" t="s">
        <v>5024</v>
      </c>
      <c r="C3883" s="49" t="s">
        <v>3768</v>
      </c>
      <c r="D3883" s="49" t="s">
        <v>1264</v>
      </c>
      <c r="E3883" s="49" t="s">
        <v>3443</v>
      </c>
      <c r="F3883" s="49" t="s">
        <v>3124</v>
      </c>
      <c r="G3883" s="49" t="s">
        <v>4891</v>
      </c>
      <c r="H3883" s="49" t="s">
        <v>980</v>
      </c>
      <c r="I3883" s="50">
        <v>44798</v>
      </c>
    </row>
    <row r="3884" spans="1:13" x14ac:dyDescent="0.35">
      <c r="A3884" s="49" t="s">
        <v>15532</v>
      </c>
      <c r="B3884" s="49" t="s">
        <v>9496</v>
      </c>
      <c r="C3884" s="49"/>
      <c r="D3884" s="49" t="s">
        <v>1264</v>
      </c>
      <c r="E3884" s="49" t="s">
        <v>2785</v>
      </c>
      <c r="F3884" s="49" t="s">
        <v>2792</v>
      </c>
      <c r="G3884" s="49" t="s">
        <v>2776</v>
      </c>
      <c r="H3884" s="49" t="s">
        <v>980</v>
      </c>
      <c r="I3884" s="50">
        <v>43728</v>
      </c>
      <c r="M3884" s="49" t="s">
        <v>9498</v>
      </c>
    </row>
    <row r="3885" spans="1:13" x14ac:dyDescent="0.35">
      <c r="A3885" s="49" t="s">
        <v>15673</v>
      </c>
      <c r="B3885" s="49" t="s">
        <v>6928</v>
      </c>
      <c r="C3885" s="49"/>
      <c r="D3885" s="49" t="s">
        <v>1264</v>
      </c>
      <c r="E3885" s="49" t="s">
        <v>2814</v>
      </c>
      <c r="F3885" s="49" t="s">
        <v>2837</v>
      </c>
      <c r="G3885" s="49" t="s">
        <v>2901</v>
      </c>
      <c r="H3885" s="49" t="s">
        <v>980</v>
      </c>
      <c r="I3885" s="52">
        <v>46001.963807870401</v>
      </c>
      <c r="J3885" s="50">
        <v>46048</v>
      </c>
      <c r="K3885" s="50">
        <v>46228</v>
      </c>
      <c r="M3885" s="49" t="s">
        <v>6930</v>
      </c>
    </row>
    <row r="3886" spans="1:13" x14ac:dyDescent="0.35">
      <c r="A3886" s="49" t="s">
        <v>4498</v>
      </c>
      <c r="B3886" s="49" t="s">
        <v>4496</v>
      </c>
      <c r="C3886" s="49" t="s">
        <v>4497</v>
      </c>
      <c r="D3886" s="49" t="s">
        <v>1264</v>
      </c>
      <c r="E3886" s="49" t="s">
        <v>2785</v>
      </c>
      <c r="F3886" s="49" t="s">
        <v>2792</v>
      </c>
      <c r="G3886" s="49" t="s">
        <v>2787</v>
      </c>
      <c r="H3886" s="49" t="s">
        <v>980</v>
      </c>
      <c r="I3886" s="50">
        <v>44364</v>
      </c>
      <c r="J3886" s="50">
        <v>44417</v>
      </c>
      <c r="K3886" s="50">
        <v>45510</v>
      </c>
      <c r="M3886" s="49" t="s">
        <v>4499</v>
      </c>
    </row>
    <row r="3887" spans="1:13" x14ac:dyDescent="0.35">
      <c r="A3887" s="49" t="s">
        <v>4498</v>
      </c>
      <c r="B3887" s="49" t="s">
        <v>9472</v>
      </c>
      <c r="C3887" s="49" t="s">
        <v>9473</v>
      </c>
      <c r="D3887" s="49" t="s">
        <v>1264</v>
      </c>
      <c r="E3887" s="49" t="s">
        <v>2785</v>
      </c>
      <c r="F3887" s="49" t="s">
        <v>2792</v>
      </c>
      <c r="G3887" s="49" t="s">
        <v>2776</v>
      </c>
      <c r="H3887" s="49" t="s">
        <v>980</v>
      </c>
      <c r="I3887" s="50">
        <v>43999</v>
      </c>
      <c r="M3887" s="49" t="s">
        <v>4499</v>
      </c>
    </row>
    <row r="3888" spans="1:13" x14ac:dyDescent="0.35">
      <c r="A3888" s="49" t="s">
        <v>4498</v>
      </c>
      <c r="B3888" s="49" t="s">
        <v>11818</v>
      </c>
      <c r="C3888" s="49" t="s">
        <v>11819</v>
      </c>
      <c r="D3888" s="49" t="s">
        <v>1264</v>
      </c>
      <c r="E3888" s="49" t="s">
        <v>2785</v>
      </c>
      <c r="F3888" s="49" t="s">
        <v>2792</v>
      </c>
      <c r="G3888" s="49" t="s">
        <v>4891</v>
      </c>
      <c r="H3888" s="49" t="s">
        <v>980</v>
      </c>
      <c r="I3888" s="50">
        <v>45259</v>
      </c>
      <c r="M3888" s="49" t="s">
        <v>11820</v>
      </c>
    </row>
    <row r="3889" spans="1:13" x14ac:dyDescent="0.35">
      <c r="A3889" s="49" t="s">
        <v>14991</v>
      </c>
      <c r="B3889" s="49" t="s">
        <v>4961</v>
      </c>
      <c r="C3889" s="49"/>
      <c r="D3889" s="49" t="s">
        <v>1264</v>
      </c>
      <c r="E3889" s="49" t="s">
        <v>2814</v>
      </c>
      <c r="F3889" s="49" t="s">
        <v>2825</v>
      </c>
      <c r="G3889" s="49" t="s">
        <v>2787</v>
      </c>
      <c r="H3889" s="49" t="s">
        <v>2827</v>
      </c>
      <c r="I3889" s="50">
        <v>44733</v>
      </c>
      <c r="J3889" s="50">
        <v>44770</v>
      </c>
      <c r="K3889" s="50">
        <v>44953</v>
      </c>
      <c r="M3889" s="49" t="s">
        <v>4963</v>
      </c>
    </row>
    <row r="3890" spans="1:13" x14ac:dyDescent="0.35">
      <c r="A3890" s="49" t="s">
        <v>14991</v>
      </c>
      <c r="B3890" s="49" t="s">
        <v>8881</v>
      </c>
      <c r="C3890" s="49"/>
      <c r="D3890" s="49" t="s">
        <v>1264</v>
      </c>
      <c r="E3890" s="49" t="s">
        <v>2814</v>
      </c>
      <c r="F3890" s="49" t="s">
        <v>2825</v>
      </c>
      <c r="G3890" s="49" t="s">
        <v>2787</v>
      </c>
      <c r="H3890" s="49" t="s">
        <v>2827</v>
      </c>
      <c r="I3890" s="50">
        <v>43851</v>
      </c>
      <c r="J3890" s="50">
        <v>43864</v>
      </c>
      <c r="K3890" s="50">
        <v>44045</v>
      </c>
      <c r="M3890" s="49" t="s">
        <v>8882</v>
      </c>
    </row>
    <row r="3891" spans="1:13" x14ac:dyDescent="0.35">
      <c r="A3891" s="49" t="s">
        <v>14991</v>
      </c>
      <c r="B3891" s="49" t="s">
        <v>10394</v>
      </c>
      <c r="C3891" s="49" t="s">
        <v>3046</v>
      </c>
      <c r="D3891" s="49" t="s">
        <v>1264</v>
      </c>
      <c r="E3891" s="49" t="s">
        <v>2814</v>
      </c>
      <c r="F3891" s="49" t="s">
        <v>2825</v>
      </c>
      <c r="G3891" s="49" t="s">
        <v>2776</v>
      </c>
      <c r="H3891" s="49" t="s">
        <v>2827</v>
      </c>
      <c r="I3891" s="50">
        <v>43846</v>
      </c>
      <c r="M3891" s="49" t="s">
        <v>8882</v>
      </c>
    </row>
    <row r="3892" spans="1:13" x14ac:dyDescent="0.35">
      <c r="A3892" s="49" t="s">
        <v>14991</v>
      </c>
      <c r="B3892" s="49" t="s">
        <v>13327</v>
      </c>
      <c r="C3892" s="49"/>
      <c r="D3892" s="49" t="s">
        <v>1264</v>
      </c>
      <c r="E3892" s="49" t="s">
        <v>2986</v>
      </c>
      <c r="F3892" s="49" t="s">
        <v>2825</v>
      </c>
      <c r="G3892" s="49" t="s">
        <v>4891</v>
      </c>
      <c r="H3892" s="49" t="s">
        <v>2827</v>
      </c>
      <c r="I3892" s="52">
        <v>46055.540891203702</v>
      </c>
      <c r="M3892" s="49" t="s">
        <v>13328</v>
      </c>
    </row>
    <row r="3893" spans="1:13" x14ac:dyDescent="0.35">
      <c r="A3893" s="49" t="s">
        <v>15654</v>
      </c>
      <c r="B3893" s="49" t="s">
        <v>5977</v>
      </c>
      <c r="C3893" s="49" t="s">
        <v>5978</v>
      </c>
      <c r="D3893" s="49" t="s">
        <v>1264</v>
      </c>
      <c r="E3893" s="49" t="s">
        <v>2785</v>
      </c>
      <c r="F3893" s="49" t="s">
        <v>2792</v>
      </c>
      <c r="G3893" s="49" t="s">
        <v>2787</v>
      </c>
      <c r="H3893" s="49" t="s">
        <v>980</v>
      </c>
      <c r="I3893" s="50">
        <v>45236</v>
      </c>
      <c r="J3893" s="50">
        <v>45247</v>
      </c>
      <c r="K3893" s="50">
        <v>45612</v>
      </c>
      <c r="M3893" s="49" t="s">
        <v>5980</v>
      </c>
    </row>
    <row r="3894" spans="1:13" x14ac:dyDescent="0.35">
      <c r="A3894" s="49" t="s">
        <v>15654</v>
      </c>
      <c r="B3894" s="49" t="s">
        <v>11687</v>
      </c>
      <c r="C3894" s="49" t="s">
        <v>5149</v>
      </c>
      <c r="D3894" s="49" t="s">
        <v>1264</v>
      </c>
      <c r="E3894" s="49" t="s">
        <v>2785</v>
      </c>
      <c r="F3894" s="49" t="s">
        <v>2792</v>
      </c>
      <c r="G3894" s="49" t="s">
        <v>4891</v>
      </c>
      <c r="H3894" s="49" t="s">
        <v>857</v>
      </c>
      <c r="I3894" s="50">
        <v>45236</v>
      </c>
      <c r="M3894" s="49" t="s">
        <v>11688</v>
      </c>
    </row>
    <row r="3895" spans="1:13" x14ac:dyDescent="0.35">
      <c r="A3895" s="49" t="s">
        <v>15654</v>
      </c>
      <c r="B3895" s="49" t="s">
        <v>12612</v>
      </c>
      <c r="C3895" s="49" t="s">
        <v>12613</v>
      </c>
      <c r="D3895" s="49" t="s">
        <v>1264</v>
      </c>
      <c r="E3895" s="49" t="s">
        <v>2785</v>
      </c>
      <c r="F3895" s="49" t="s">
        <v>2792</v>
      </c>
      <c r="G3895" s="49" t="s">
        <v>4891</v>
      </c>
      <c r="H3895" s="49" t="s">
        <v>835</v>
      </c>
      <c r="I3895" s="50">
        <v>45482</v>
      </c>
      <c r="M3895" s="49" t="s">
        <v>12614</v>
      </c>
    </row>
    <row r="3896" spans="1:13" x14ac:dyDescent="0.35">
      <c r="A3896" s="49" t="s">
        <v>15240</v>
      </c>
      <c r="B3896" s="49" t="s">
        <v>8910</v>
      </c>
      <c r="C3896" s="49" t="s">
        <v>2863</v>
      </c>
      <c r="D3896" s="49" t="s">
        <v>1264</v>
      </c>
      <c r="E3896" s="49" t="s">
        <v>2814</v>
      </c>
      <c r="F3896" s="49" t="s">
        <v>3898</v>
      </c>
      <c r="G3896" s="49" t="s">
        <v>2787</v>
      </c>
      <c r="H3896" s="49" t="s">
        <v>2827</v>
      </c>
      <c r="I3896" s="50">
        <v>42069</v>
      </c>
      <c r="J3896" s="50">
        <v>42082</v>
      </c>
      <c r="K3896" s="50">
        <v>42265</v>
      </c>
      <c r="M3896" s="49" t="s">
        <v>8912</v>
      </c>
    </row>
    <row r="3897" spans="1:13" x14ac:dyDescent="0.35">
      <c r="A3897" s="49" t="s">
        <v>15533</v>
      </c>
      <c r="B3897" s="49" t="s">
        <v>11199</v>
      </c>
      <c r="C3897" s="49" t="s">
        <v>11200</v>
      </c>
      <c r="D3897" s="49" t="s">
        <v>1264</v>
      </c>
      <c r="E3897" s="49" t="s">
        <v>2986</v>
      </c>
      <c r="F3897" s="49" t="s">
        <v>2825</v>
      </c>
      <c r="G3897" s="49" t="s">
        <v>2776</v>
      </c>
      <c r="H3897" s="49" t="s">
        <v>2827</v>
      </c>
      <c r="I3897" s="50">
        <v>44887</v>
      </c>
      <c r="M3897" s="49" t="s">
        <v>11202</v>
      </c>
    </row>
    <row r="3898" spans="1:13" x14ac:dyDescent="0.35">
      <c r="A3898" s="49" t="s">
        <v>15533</v>
      </c>
      <c r="B3898" s="49" t="s">
        <v>11203</v>
      </c>
      <c r="C3898" s="49" t="s">
        <v>3075</v>
      </c>
      <c r="D3898" s="49" t="s">
        <v>1264</v>
      </c>
      <c r="E3898" s="49" t="s">
        <v>2986</v>
      </c>
      <c r="F3898" s="49" t="s">
        <v>2825</v>
      </c>
      <c r="G3898" s="49" t="s">
        <v>4891</v>
      </c>
      <c r="H3898" s="49" t="s">
        <v>2827</v>
      </c>
      <c r="I3898" s="50">
        <v>44887</v>
      </c>
      <c r="M3898" s="49" t="s">
        <v>11204</v>
      </c>
    </row>
    <row r="3899" spans="1:13" x14ac:dyDescent="0.35">
      <c r="A3899" s="49" t="s">
        <v>15534</v>
      </c>
      <c r="B3899" s="49" t="s">
        <v>12220</v>
      </c>
      <c r="C3899" s="49" t="s">
        <v>4555</v>
      </c>
      <c r="D3899" s="49" t="s">
        <v>1264</v>
      </c>
      <c r="E3899" s="49" t="s">
        <v>2908</v>
      </c>
      <c r="F3899" s="49" t="s">
        <v>2837</v>
      </c>
      <c r="G3899" s="49" t="s">
        <v>4891</v>
      </c>
      <c r="H3899" s="49" t="s">
        <v>980</v>
      </c>
      <c r="I3899" s="50">
        <v>45358</v>
      </c>
      <c r="M3899" s="49" t="s">
        <v>12222</v>
      </c>
    </row>
    <row r="3900" spans="1:13" x14ac:dyDescent="0.35">
      <c r="A3900" s="49" t="s">
        <v>15535</v>
      </c>
      <c r="B3900" s="49" t="s">
        <v>9810</v>
      </c>
      <c r="C3900" s="49" t="s">
        <v>3881</v>
      </c>
      <c r="D3900" s="49" t="s">
        <v>1264</v>
      </c>
      <c r="E3900" s="49" t="s">
        <v>2785</v>
      </c>
      <c r="F3900" s="49" t="s">
        <v>2786</v>
      </c>
      <c r="G3900" s="49" t="s">
        <v>2776</v>
      </c>
      <c r="H3900" s="49" t="s">
        <v>980</v>
      </c>
      <c r="I3900" s="50">
        <v>42411</v>
      </c>
      <c r="M3900" s="49" t="s">
        <v>9812</v>
      </c>
    </row>
    <row r="3901" spans="1:13" x14ac:dyDescent="0.35">
      <c r="A3901" s="49" t="s">
        <v>15535</v>
      </c>
      <c r="B3901" s="49" t="s">
        <v>9813</v>
      </c>
      <c r="C3901" s="49" t="s">
        <v>9503</v>
      </c>
      <c r="D3901" s="49" t="s">
        <v>1264</v>
      </c>
      <c r="E3901" s="49" t="s">
        <v>2785</v>
      </c>
      <c r="F3901" s="49" t="s">
        <v>2792</v>
      </c>
      <c r="G3901" s="49" t="s">
        <v>2776</v>
      </c>
      <c r="H3901" s="49" t="s">
        <v>8</v>
      </c>
      <c r="I3901" s="50">
        <v>42411</v>
      </c>
      <c r="M3901" s="49" t="s">
        <v>9814</v>
      </c>
    </row>
    <row r="3902" spans="1:13" x14ac:dyDescent="0.35">
      <c r="A3902" s="49" t="s">
        <v>14992</v>
      </c>
      <c r="B3902" s="49" t="s">
        <v>7512</v>
      </c>
      <c r="C3902" s="49" t="s">
        <v>2867</v>
      </c>
      <c r="D3902" s="49" t="s">
        <v>1264</v>
      </c>
      <c r="E3902" s="49" t="s">
        <v>2785</v>
      </c>
      <c r="F3902" s="49" t="s">
        <v>2792</v>
      </c>
      <c r="G3902" s="49" t="s">
        <v>2787</v>
      </c>
      <c r="H3902" s="49" t="s">
        <v>8</v>
      </c>
      <c r="I3902" s="50">
        <v>42929</v>
      </c>
      <c r="J3902" s="50">
        <v>42971</v>
      </c>
      <c r="K3902" s="50">
        <v>43154</v>
      </c>
      <c r="M3902" s="49" t="s">
        <v>7322</v>
      </c>
    </row>
    <row r="3903" spans="1:13" x14ac:dyDescent="0.35">
      <c r="A3903" s="49" t="s">
        <v>781</v>
      </c>
      <c r="B3903" s="49" t="s">
        <v>11545</v>
      </c>
      <c r="C3903" s="49"/>
      <c r="D3903" s="49" t="s">
        <v>1264</v>
      </c>
      <c r="E3903" s="49" t="s">
        <v>2774</v>
      </c>
      <c r="F3903" s="49" t="s">
        <v>4842</v>
      </c>
      <c r="G3903" s="49" t="s">
        <v>2776</v>
      </c>
      <c r="H3903" s="49" t="s">
        <v>2827</v>
      </c>
      <c r="I3903" s="50">
        <v>45169</v>
      </c>
      <c r="M3903" s="49" t="s">
        <v>11547</v>
      </c>
    </row>
    <row r="3904" spans="1:13" x14ac:dyDescent="0.35">
      <c r="A3904" s="49" t="s">
        <v>15536</v>
      </c>
      <c r="B3904" s="49" t="s">
        <v>5313</v>
      </c>
      <c r="C3904" s="49"/>
      <c r="D3904" s="49" t="s">
        <v>1264</v>
      </c>
      <c r="E3904" s="49" t="s">
        <v>2785</v>
      </c>
      <c r="F3904" s="49" t="s">
        <v>2805</v>
      </c>
      <c r="G3904" s="49" t="s">
        <v>2787</v>
      </c>
      <c r="H3904" s="49" t="s">
        <v>2827</v>
      </c>
      <c r="I3904" s="50">
        <v>44923</v>
      </c>
      <c r="J3904" s="50">
        <v>45216</v>
      </c>
      <c r="K3904" s="50">
        <v>45581</v>
      </c>
      <c r="M3904" s="49" t="s">
        <v>5315</v>
      </c>
    </row>
    <row r="3905" spans="1:13" x14ac:dyDescent="0.35">
      <c r="A3905" s="49" t="s">
        <v>15537</v>
      </c>
      <c r="B3905" s="49" t="s">
        <v>10832</v>
      </c>
      <c r="C3905" s="49" t="s">
        <v>10833</v>
      </c>
      <c r="D3905" s="49" t="s">
        <v>1264</v>
      </c>
      <c r="E3905" s="49" t="s">
        <v>2814</v>
      </c>
      <c r="F3905" s="49" t="s">
        <v>2825</v>
      </c>
      <c r="G3905" s="49" t="s">
        <v>2776</v>
      </c>
      <c r="H3905" s="49" t="s">
        <v>2827</v>
      </c>
      <c r="I3905" s="50">
        <v>44384</v>
      </c>
      <c r="M3905" s="49" t="s">
        <v>10835</v>
      </c>
    </row>
    <row r="3906" spans="1:13" x14ac:dyDescent="0.35">
      <c r="A3906" s="49" t="s">
        <v>15538</v>
      </c>
      <c r="B3906" s="49" t="s">
        <v>5178</v>
      </c>
      <c r="C3906" s="49"/>
      <c r="D3906" s="49" t="s">
        <v>1264</v>
      </c>
      <c r="E3906" s="49" t="s">
        <v>3443</v>
      </c>
      <c r="F3906" s="49" t="s">
        <v>3124</v>
      </c>
      <c r="G3906" s="49" t="s">
        <v>4330</v>
      </c>
      <c r="H3906" s="49" t="s">
        <v>980</v>
      </c>
      <c r="I3906" s="50">
        <v>44814</v>
      </c>
    </row>
    <row r="3907" spans="1:13" x14ac:dyDescent="0.35">
      <c r="A3907" s="49" t="s">
        <v>15538</v>
      </c>
      <c r="B3907" s="49" t="s">
        <v>11138</v>
      </c>
      <c r="C3907" s="49"/>
      <c r="D3907" s="49" t="s">
        <v>1264</v>
      </c>
      <c r="E3907" s="49" t="s">
        <v>2986</v>
      </c>
      <c r="F3907" s="49" t="s">
        <v>2825</v>
      </c>
      <c r="G3907" s="49" t="s">
        <v>4891</v>
      </c>
      <c r="H3907" s="49" t="s">
        <v>2827</v>
      </c>
      <c r="I3907" s="50">
        <v>44780</v>
      </c>
      <c r="M3907" s="49" t="s">
        <v>11139</v>
      </c>
    </row>
    <row r="3908" spans="1:13" x14ac:dyDescent="0.35">
      <c r="A3908" s="49" t="s">
        <v>15674</v>
      </c>
      <c r="B3908" s="49" t="s">
        <v>13541</v>
      </c>
      <c r="C3908" s="49" t="s">
        <v>13542</v>
      </c>
      <c r="D3908" s="49" t="s">
        <v>1264</v>
      </c>
      <c r="E3908" s="49" t="s">
        <v>2785</v>
      </c>
      <c r="F3908" s="49" t="s">
        <v>2792</v>
      </c>
      <c r="G3908" s="49" t="s">
        <v>4891</v>
      </c>
      <c r="H3908" s="49" t="s">
        <v>980</v>
      </c>
      <c r="I3908" s="52">
        <v>46157.522858796299</v>
      </c>
      <c r="M3908" s="49" t="s">
        <v>13544</v>
      </c>
    </row>
    <row r="3909" spans="1:13" x14ac:dyDescent="0.35">
      <c r="A3909" s="49" t="s">
        <v>14993</v>
      </c>
      <c r="B3909" s="49" t="s">
        <v>13390</v>
      </c>
      <c r="C3909" s="49"/>
      <c r="D3909" s="49" t="s">
        <v>1264</v>
      </c>
      <c r="E3909" s="49" t="s">
        <v>2785</v>
      </c>
      <c r="F3909" s="49" t="s">
        <v>2792</v>
      </c>
      <c r="G3909" s="49" t="s">
        <v>4891</v>
      </c>
      <c r="H3909" s="49" t="s">
        <v>980</v>
      </c>
      <c r="I3909" s="52">
        <v>46115.4902546296</v>
      </c>
      <c r="M3909" s="49" t="s">
        <v>13392</v>
      </c>
    </row>
    <row r="3910" spans="1:13" x14ac:dyDescent="0.35">
      <c r="A3910" s="49" t="s">
        <v>14625</v>
      </c>
      <c r="B3910" s="49" t="s">
        <v>12267</v>
      </c>
      <c r="C3910" s="49"/>
      <c r="D3910" s="49" t="s">
        <v>1264</v>
      </c>
      <c r="E3910" s="49" t="s">
        <v>2986</v>
      </c>
      <c r="F3910" s="49" t="s">
        <v>2825</v>
      </c>
      <c r="G3910" s="49" t="s">
        <v>4891</v>
      </c>
      <c r="H3910" s="49" t="s">
        <v>2827</v>
      </c>
      <c r="I3910" s="50">
        <v>45364</v>
      </c>
      <c r="M3910" s="49" t="s">
        <v>12269</v>
      </c>
    </row>
    <row r="3911" spans="1:13" x14ac:dyDescent="0.35">
      <c r="A3911" s="49" t="s">
        <v>15241</v>
      </c>
      <c r="B3911" s="49" t="s">
        <v>4637</v>
      </c>
      <c r="C3911" s="49" t="s">
        <v>980</v>
      </c>
      <c r="D3911" s="49" t="s">
        <v>1264</v>
      </c>
      <c r="E3911" s="49" t="s">
        <v>3443</v>
      </c>
      <c r="F3911" s="49" t="s">
        <v>3124</v>
      </c>
      <c r="G3911" s="49" t="s">
        <v>4330</v>
      </c>
      <c r="H3911" s="49" t="s">
        <v>980</v>
      </c>
      <c r="I3911" s="50">
        <v>44441</v>
      </c>
    </row>
    <row r="3912" spans="1:13" x14ac:dyDescent="0.35">
      <c r="A3912" s="49" t="s">
        <v>15241</v>
      </c>
      <c r="B3912" s="49" t="s">
        <v>5626</v>
      </c>
      <c r="C3912" s="49"/>
      <c r="D3912" s="49" t="s">
        <v>1264</v>
      </c>
      <c r="E3912" s="49" t="s">
        <v>2908</v>
      </c>
      <c r="F3912" s="49" t="s">
        <v>2837</v>
      </c>
      <c r="G3912" s="49" t="s">
        <v>2901</v>
      </c>
      <c r="H3912" s="49" t="s">
        <v>980</v>
      </c>
      <c r="I3912" s="50">
        <v>45055</v>
      </c>
      <c r="J3912" s="50">
        <v>45065</v>
      </c>
      <c r="K3912" s="50">
        <v>46891</v>
      </c>
      <c r="M3912" s="49" t="s">
        <v>5627</v>
      </c>
    </row>
    <row r="3913" spans="1:13" x14ac:dyDescent="0.35">
      <c r="A3913" s="49" t="s">
        <v>15241</v>
      </c>
      <c r="B3913" s="49" t="s">
        <v>11176</v>
      </c>
      <c r="C3913" s="49"/>
      <c r="D3913" s="49" t="s">
        <v>1264</v>
      </c>
      <c r="E3913" s="49" t="s">
        <v>2908</v>
      </c>
      <c r="F3913" s="49" t="s">
        <v>2837</v>
      </c>
      <c r="G3913" s="49" t="s">
        <v>4891</v>
      </c>
      <c r="H3913" s="49" t="s">
        <v>8</v>
      </c>
      <c r="I3913" s="50">
        <v>44449</v>
      </c>
      <c r="M3913" s="49" t="s">
        <v>11177</v>
      </c>
    </row>
    <row r="3914" spans="1:13" x14ac:dyDescent="0.35">
      <c r="A3914" s="49" t="s">
        <v>15241</v>
      </c>
      <c r="B3914" s="49" t="s">
        <v>11254</v>
      </c>
      <c r="C3914" s="49"/>
      <c r="D3914" s="49" t="s">
        <v>1264</v>
      </c>
      <c r="E3914" s="49" t="s">
        <v>2814</v>
      </c>
      <c r="F3914" s="49" t="s">
        <v>2837</v>
      </c>
      <c r="G3914" s="49" t="s">
        <v>4891</v>
      </c>
      <c r="H3914" s="49" t="s">
        <v>980</v>
      </c>
      <c r="I3914" s="50">
        <v>44963</v>
      </c>
      <c r="M3914" s="49" t="s">
        <v>11255</v>
      </c>
    </row>
    <row r="3915" spans="1:13" x14ac:dyDescent="0.35">
      <c r="A3915" s="49" t="s">
        <v>15539</v>
      </c>
      <c r="B3915" s="49" t="s">
        <v>3911</v>
      </c>
      <c r="C3915" s="49" t="s">
        <v>2942</v>
      </c>
      <c r="D3915" s="49" t="s">
        <v>1264</v>
      </c>
      <c r="E3915" s="49" t="s">
        <v>2908</v>
      </c>
      <c r="F3915" s="49" t="s">
        <v>2939</v>
      </c>
      <c r="G3915" s="49" t="s">
        <v>2787</v>
      </c>
      <c r="H3915" s="49" t="s">
        <v>980</v>
      </c>
      <c r="I3915" s="50">
        <v>43622</v>
      </c>
      <c r="J3915" s="50">
        <v>43633</v>
      </c>
      <c r="K3915" s="50">
        <v>45459</v>
      </c>
      <c r="M3915" s="49" t="s">
        <v>3913</v>
      </c>
    </row>
    <row r="3916" spans="1:13" x14ac:dyDescent="0.35">
      <c r="A3916" s="49" t="s">
        <v>14994</v>
      </c>
      <c r="B3916" s="49" t="s">
        <v>13989</v>
      </c>
      <c r="C3916" s="49" t="s">
        <v>7783</v>
      </c>
      <c r="D3916" s="49" t="s">
        <v>1264</v>
      </c>
      <c r="E3916" s="49" t="s">
        <v>2785</v>
      </c>
      <c r="F3916" s="49" t="s">
        <v>2792</v>
      </c>
      <c r="G3916" s="49" t="s">
        <v>2776</v>
      </c>
      <c r="H3916" s="49" t="s">
        <v>8</v>
      </c>
      <c r="I3916" s="50">
        <v>41609</v>
      </c>
      <c r="M3916" s="49" t="s">
        <v>13991</v>
      </c>
    </row>
    <row r="3917" spans="1:13" x14ac:dyDescent="0.35">
      <c r="A3917" s="49" t="s">
        <v>15242</v>
      </c>
      <c r="B3917" s="49" t="s">
        <v>12598</v>
      </c>
      <c r="C3917" s="49" t="s">
        <v>12599</v>
      </c>
      <c r="D3917" s="49" t="s">
        <v>1264</v>
      </c>
      <c r="E3917" s="49" t="s">
        <v>2785</v>
      </c>
      <c r="F3917" s="49" t="s">
        <v>2805</v>
      </c>
      <c r="G3917" s="49" t="s">
        <v>4891</v>
      </c>
      <c r="H3917" s="49" t="s">
        <v>1062</v>
      </c>
      <c r="I3917" s="50">
        <v>45456</v>
      </c>
      <c r="M3917" s="49" t="s">
        <v>12601</v>
      </c>
    </row>
    <row r="3918" spans="1:13" x14ac:dyDescent="0.35">
      <c r="A3918" s="49" t="s">
        <v>15242</v>
      </c>
      <c r="B3918" s="49" t="s">
        <v>12746</v>
      </c>
      <c r="C3918" s="49" t="s">
        <v>2823</v>
      </c>
      <c r="D3918" s="49" t="s">
        <v>1264</v>
      </c>
      <c r="E3918" s="49" t="s">
        <v>2785</v>
      </c>
      <c r="F3918" s="49" t="s">
        <v>3898</v>
      </c>
      <c r="G3918" s="49" t="s">
        <v>2776</v>
      </c>
      <c r="H3918" s="49" t="s">
        <v>2827</v>
      </c>
      <c r="I3918" s="50">
        <v>45495</v>
      </c>
      <c r="M3918" s="49" t="s">
        <v>12747</v>
      </c>
    </row>
    <row r="3919" spans="1:13" x14ac:dyDescent="0.35">
      <c r="A3919" s="49" t="s">
        <v>15242</v>
      </c>
      <c r="B3919" s="49" t="s">
        <v>13218</v>
      </c>
      <c r="C3919" s="49"/>
      <c r="D3919" s="49" t="s">
        <v>1264</v>
      </c>
      <c r="E3919" s="49" t="s">
        <v>2785</v>
      </c>
      <c r="F3919" s="49" t="s">
        <v>2805</v>
      </c>
      <c r="G3919" s="49" t="s">
        <v>4891</v>
      </c>
      <c r="H3919" s="49" t="s">
        <v>1062</v>
      </c>
      <c r="I3919" s="52">
        <v>46084.459398148101</v>
      </c>
      <c r="M3919" s="49" t="s">
        <v>13219</v>
      </c>
    </row>
    <row r="3920" spans="1:13" x14ac:dyDescent="0.35">
      <c r="A3920" s="49" t="s">
        <v>15242</v>
      </c>
      <c r="B3920" s="49" t="s">
        <v>13386</v>
      </c>
      <c r="C3920" s="49"/>
      <c r="D3920" s="49" t="s">
        <v>1264</v>
      </c>
      <c r="E3920" s="49" t="s">
        <v>2785</v>
      </c>
      <c r="F3920" s="49" t="s">
        <v>2786</v>
      </c>
      <c r="G3920" s="49" t="s">
        <v>4891</v>
      </c>
      <c r="H3920" s="49" t="s">
        <v>980</v>
      </c>
      <c r="I3920" s="52">
        <v>46115.440949074102</v>
      </c>
      <c r="M3920" s="49" t="s">
        <v>13387</v>
      </c>
    </row>
    <row r="3921" spans="1:13" x14ac:dyDescent="0.35">
      <c r="A3921" s="49" t="s">
        <v>14072</v>
      </c>
      <c r="B3921" s="49" t="s">
        <v>2941</v>
      </c>
      <c r="C3921" s="49" t="s">
        <v>2942</v>
      </c>
      <c r="D3921" s="49" t="s">
        <v>1264</v>
      </c>
      <c r="E3921" s="49" t="s">
        <v>2908</v>
      </c>
      <c r="F3921" s="49" t="s">
        <v>2939</v>
      </c>
      <c r="G3921" s="49" t="s">
        <v>2787</v>
      </c>
      <c r="H3921" s="49" t="s">
        <v>980</v>
      </c>
      <c r="I3921" s="50">
        <v>34995</v>
      </c>
      <c r="J3921" s="50">
        <v>40864</v>
      </c>
      <c r="K3921" s="50">
        <v>42690</v>
      </c>
      <c r="M3921" s="49" t="s">
        <v>2944</v>
      </c>
    </row>
    <row r="3922" spans="1:13" x14ac:dyDescent="0.35">
      <c r="A3922" s="49" t="s">
        <v>14072</v>
      </c>
      <c r="B3922" s="49" t="s">
        <v>8075</v>
      </c>
      <c r="C3922" s="49" t="s">
        <v>8076</v>
      </c>
      <c r="D3922" s="49" t="s">
        <v>1264</v>
      </c>
      <c r="E3922" s="49" t="s">
        <v>2908</v>
      </c>
      <c r="F3922" s="49" t="s">
        <v>2939</v>
      </c>
      <c r="G3922" s="49" t="s">
        <v>2787</v>
      </c>
      <c r="H3922" s="49" t="s">
        <v>980</v>
      </c>
      <c r="I3922" s="50">
        <v>40014</v>
      </c>
      <c r="J3922" s="50">
        <v>39958</v>
      </c>
      <c r="K3922" s="50">
        <v>41783</v>
      </c>
      <c r="M3922" s="49" t="s">
        <v>3026</v>
      </c>
    </row>
    <row r="3923" spans="1:13" x14ac:dyDescent="0.35">
      <c r="A3923" s="49" t="s">
        <v>14072</v>
      </c>
      <c r="B3923" s="49" t="s">
        <v>8099</v>
      </c>
      <c r="C3923" s="49" t="s">
        <v>8099</v>
      </c>
      <c r="D3923" s="49" t="s">
        <v>1264</v>
      </c>
      <c r="E3923" s="49" t="s">
        <v>2908</v>
      </c>
      <c r="F3923" s="49" t="s">
        <v>2939</v>
      </c>
      <c r="G3923" s="49" t="s">
        <v>2826</v>
      </c>
      <c r="H3923" s="49" t="s">
        <v>980</v>
      </c>
      <c r="J3923" s="50">
        <v>38989</v>
      </c>
      <c r="K3923" s="50">
        <v>40814</v>
      </c>
      <c r="M3923" s="49" t="s">
        <v>8100</v>
      </c>
    </row>
    <row r="3924" spans="1:13" x14ac:dyDescent="0.35">
      <c r="A3924" s="49" t="s">
        <v>14072</v>
      </c>
      <c r="B3924" s="49" t="s">
        <v>8242</v>
      </c>
      <c r="C3924" s="49" t="s">
        <v>2937</v>
      </c>
      <c r="D3924" s="49" t="s">
        <v>1264</v>
      </c>
      <c r="E3924" s="49" t="s">
        <v>2908</v>
      </c>
      <c r="F3924" s="49" t="s">
        <v>2939</v>
      </c>
      <c r="G3924" s="49" t="s">
        <v>2826</v>
      </c>
      <c r="H3924" s="49" t="s">
        <v>980</v>
      </c>
      <c r="I3924" s="50">
        <v>34995</v>
      </c>
      <c r="J3924" s="50">
        <v>35384</v>
      </c>
      <c r="K3924" s="50">
        <v>40864</v>
      </c>
      <c r="M3924" s="49" t="s">
        <v>8243</v>
      </c>
    </row>
    <row r="3925" spans="1:13" x14ac:dyDescent="0.35">
      <c r="A3925" s="49" t="s">
        <v>14072</v>
      </c>
      <c r="B3925" s="49" t="s">
        <v>8294</v>
      </c>
      <c r="C3925" s="49" t="s">
        <v>8295</v>
      </c>
      <c r="D3925" s="49" t="s">
        <v>1264</v>
      </c>
      <c r="E3925" s="49" t="s">
        <v>2908</v>
      </c>
      <c r="F3925" s="49" t="s">
        <v>2939</v>
      </c>
      <c r="G3925" s="49" t="s">
        <v>2826</v>
      </c>
      <c r="H3925" s="49" t="s">
        <v>980</v>
      </c>
      <c r="I3925" s="50">
        <v>35578</v>
      </c>
      <c r="J3925" s="50">
        <v>35727</v>
      </c>
      <c r="K3925" s="50">
        <v>40864</v>
      </c>
      <c r="M3925" s="49" t="s">
        <v>8296</v>
      </c>
    </row>
    <row r="3926" spans="1:13" x14ac:dyDescent="0.35">
      <c r="A3926" s="49" t="s">
        <v>14072</v>
      </c>
      <c r="B3926" s="49" t="s">
        <v>10709</v>
      </c>
      <c r="C3926" s="49"/>
      <c r="D3926" s="49" t="s">
        <v>1264</v>
      </c>
      <c r="E3926" s="49" t="s">
        <v>2908</v>
      </c>
      <c r="F3926" s="49" t="s">
        <v>2939</v>
      </c>
      <c r="G3926" s="49" t="s">
        <v>2776</v>
      </c>
      <c r="H3926" s="49" t="s">
        <v>980</v>
      </c>
      <c r="I3926" s="50">
        <v>41551</v>
      </c>
      <c r="M3926" s="49" t="s">
        <v>10710</v>
      </c>
    </row>
    <row r="3927" spans="1:13" ht="58" x14ac:dyDescent="0.35">
      <c r="A3927" s="49" t="s">
        <v>15050</v>
      </c>
      <c r="B3927" s="49" t="s">
        <v>6136</v>
      </c>
      <c r="C3927" s="51" t="s">
        <v>6137</v>
      </c>
      <c r="D3927" s="49" t="s">
        <v>1264</v>
      </c>
      <c r="E3927" s="49" t="s">
        <v>2785</v>
      </c>
      <c r="F3927" s="49" t="s">
        <v>2792</v>
      </c>
      <c r="G3927" s="49" t="s">
        <v>4330</v>
      </c>
      <c r="H3927" s="49" t="s">
        <v>8</v>
      </c>
      <c r="I3927" s="50">
        <v>45275</v>
      </c>
      <c r="M3927" s="49" t="s">
        <v>6139</v>
      </c>
    </row>
    <row r="3928" spans="1:13" x14ac:dyDescent="0.35">
      <c r="A3928" s="49" t="s">
        <v>795</v>
      </c>
      <c r="B3928" s="49" t="s">
        <v>3608</v>
      </c>
      <c r="C3928" s="49" t="s">
        <v>3098</v>
      </c>
      <c r="D3928" s="49" t="s">
        <v>1264</v>
      </c>
      <c r="E3928" s="49" t="s">
        <v>2774</v>
      </c>
      <c r="F3928" s="49" t="s">
        <v>3598</v>
      </c>
      <c r="G3928" s="49" t="s">
        <v>2901</v>
      </c>
      <c r="H3928" s="49" t="s">
        <v>2827</v>
      </c>
      <c r="I3928" s="50">
        <v>42942</v>
      </c>
      <c r="J3928" s="50">
        <v>43179</v>
      </c>
      <c r="K3928" s="50">
        <v>45736</v>
      </c>
      <c r="M3928" s="49" t="s">
        <v>3610</v>
      </c>
    </row>
    <row r="3929" spans="1:13" x14ac:dyDescent="0.35">
      <c r="A3929" s="49" t="s">
        <v>795</v>
      </c>
      <c r="B3929" s="49" t="s">
        <v>3796</v>
      </c>
      <c r="C3929" s="49" t="s">
        <v>3797</v>
      </c>
      <c r="D3929" s="49" t="s">
        <v>1264</v>
      </c>
      <c r="E3929" s="49" t="s">
        <v>2774</v>
      </c>
      <c r="F3929" s="49" t="s">
        <v>2825</v>
      </c>
      <c r="G3929" s="49" t="s">
        <v>2901</v>
      </c>
      <c r="H3929" s="49" t="s">
        <v>973</v>
      </c>
      <c r="I3929" s="50">
        <v>43304</v>
      </c>
      <c r="J3929" s="50">
        <v>43501</v>
      </c>
      <c r="K3929" s="50">
        <v>46057</v>
      </c>
      <c r="M3929" s="49" t="s">
        <v>3798</v>
      </c>
    </row>
    <row r="3930" spans="1:13" x14ac:dyDescent="0.35">
      <c r="A3930" s="49" t="s">
        <v>5893</v>
      </c>
      <c r="B3930" s="49" t="s">
        <v>5891</v>
      </c>
      <c r="C3930" s="49" t="s">
        <v>5892</v>
      </c>
      <c r="D3930" s="49" t="s">
        <v>1264</v>
      </c>
      <c r="E3930" s="49" t="s">
        <v>2986</v>
      </c>
      <c r="F3930" s="49" t="s">
        <v>2825</v>
      </c>
      <c r="G3930" s="49" t="s">
        <v>2901</v>
      </c>
      <c r="H3930" s="49" t="s">
        <v>2827</v>
      </c>
      <c r="I3930" s="50">
        <v>45098</v>
      </c>
      <c r="J3930" s="50">
        <v>45189</v>
      </c>
      <c r="K3930" s="50">
        <v>46284</v>
      </c>
      <c r="M3930" s="49" t="s">
        <v>5894</v>
      </c>
    </row>
    <row r="3931" spans="1:13" x14ac:dyDescent="0.35">
      <c r="A3931" s="49" t="s">
        <v>5893</v>
      </c>
      <c r="B3931" s="49" t="s">
        <v>9301</v>
      </c>
      <c r="C3931" s="49"/>
      <c r="D3931" s="49" t="s">
        <v>1264</v>
      </c>
      <c r="E3931" s="49" t="s">
        <v>2908</v>
      </c>
      <c r="F3931" s="49" t="s">
        <v>2837</v>
      </c>
      <c r="G3931" s="49" t="s">
        <v>2776</v>
      </c>
      <c r="H3931" s="49" t="s">
        <v>980</v>
      </c>
      <c r="I3931" s="50">
        <v>43096</v>
      </c>
      <c r="M3931" s="49" t="s">
        <v>9302</v>
      </c>
    </row>
    <row r="3932" spans="1:13" x14ac:dyDescent="0.35">
      <c r="A3932" s="49" t="s">
        <v>5893</v>
      </c>
      <c r="B3932" s="49" t="s">
        <v>10064</v>
      </c>
      <c r="C3932" s="49" t="s">
        <v>10065</v>
      </c>
      <c r="D3932" s="49" t="s">
        <v>1264</v>
      </c>
      <c r="E3932" s="49" t="s">
        <v>2986</v>
      </c>
      <c r="F3932" s="49" t="s">
        <v>2825</v>
      </c>
      <c r="G3932" s="49" t="s">
        <v>2776</v>
      </c>
      <c r="H3932" s="49" t="s">
        <v>2827</v>
      </c>
      <c r="I3932" s="50">
        <v>44184</v>
      </c>
      <c r="M3932" s="49" t="s">
        <v>10066</v>
      </c>
    </row>
    <row r="3933" spans="1:13" x14ac:dyDescent="0.35">
      <c r="A3933" s="49" t="s">
        <v>5893</v>
      </c>
      <c r="B3933" s="49" t="s">
        <v>10397</v>
      </c>
      <c r="C3933" s="49"/>
      <c r="D3933" s="49" t="s">
        <v>1264</v>
      </c>
      <c r="E3933" s="49" t="s">
        <v>2814</v>
      </c>
      <c r="F3933" s="49" t="s">
        <v>2825</v>
      </c>
      <c r="G3933" s="49" t="s">
        <v>2776</v>
      </c>
      <c r="H3933" s="49" t="s">
        <v>2827</v>
      </c>
      <c r="I3933" s="50">
        <v>42898</v>
      </c>
      <c r="M3933" s="49" t="s">
        <v>10398</v>
      </c>
    </row>
    <row r="3934" spans="1:13" x14ac:dyDescent="0.35">
      <c r="A3934" s="49" t="s">
        <v>14241</v>
      </c>
      <c r="B3934" s="49" t="s">
        <v>5543</v>
      </c>
      <c r="C3934" s="49"/>
      <c r="D3934" s="49" t="s">
        <v>1264</v>
      </c>
      <c r="E3934" s="49" t="s">
        <v>2974</v>
      </c>
      <c r="F3934" s="49" t="s">
        <v>3188</v>
      </c>
      <c r="G3934" s="49" t="s">
        <v>4330</v>
      </c>
      <c r="H3934" s="49" t="s">
        <v>973</v>
      </c>
      <c r="I3934" s="50">
        <v>45062</v>
      </c>
      <c r="M3934" s="49" t="s">
        <v>5545</v>
      </c>
    </row>
    <row r="3935" spans="1:13" x14ac:dyDescent="0.35">
      <c r="A3935" s="49" t="s">
        <v>14241</v>
      </c>
      <c r="B3935" s="49" t="s">
        <v>11601</v>
      </c>
      <c r="C3935" s="49"/>
      <c r="D3935" s="49" t="s">
        <v>1264</v>
      </c>
      <c r="E3935" s="49" t="s">
        <v>2986</v>
      </c>
      <c r="F3935" s="49" t="s">
        <v>2825</v>
      </c>
      <c r="G3935" s="49" t="s">
        <v>2776</v>
      </c>
      <c r="H3935" s="49" t="s">
        <v>2827</v>
      </c>
      <c r="I3935" s="50">
        <v>45162</v>
      </c>
      <c r="M3935" s="49" t="s">
        <v>3270</v>
      </c>
    </row>
    <row r="3936" spans="1:13" x14ac:dyDescent="0.35">
      <c r="A3936" s="49" t="s">
        <v>14241</v>
      </c>
      <c r="B3936" s="49" t="s">
        <v>13983</v>
      </c>
      <c r="C3936" s="49"/>
      <c r="D3936" s="49" t="s">
        <v>1264</v>
      </c>
      <c r="E3936" s="49" t="s">
        <v>2774</v>
      </c>
      <c r="F3936" s="49" t="s">
        <v>3188</v>
      </c>
      <c r="G3936" s="49" t="s">
        <v>2776</v>
      </c>
      <c r="H3936" s="49" t="s">
        <v>2827</v>
      </c>
      <c r="I3936" s="50">
        <v>44172</v>
      </c>
      <c r="M3936" s="49" t="s">
        <v>13984</v>
      </c>
    </row>
    <row r="3937" spans="1:13" x14ac:dyDescent="0.35">
      <c r="A3937" s="49" t="s">
        <v>15540</v>
      </c>
      <c r="B3937" s="49" t="s">
        <v>3336</v>
      </c>
      <c r="C3937" s="49" t="s">
        <v>3337</v>
      </c>
      <c r="D3937" s="49" t="s">
        <v>1264</v>
      </c>
      <c r="E3937" s="49" t="s">
        <v>2986</v>
      </c>
      <c r="F3937" s="49" t="s">
        <v>2825</v>
      </c>
      <c r="G3937" s="49" t="s">
        <v>2787</v>
      </c>
      <c r="H3937" s="49" t="s">
        <v>2827</v>
      </c>
      <c r="I3937" s="50">
        <v>41550</v>
      </c>
      <c r="J3937" s="50">
        <v>41606</v>
      </c>
      <c r="K3937" s="50">
        <v>44379</v>
      </c>
      <c r="M3937" s="49" t="s">
        <v>3339</v>
      </c>
    </row>
    <row r="3938" spans="1:13" x14ac:dyDescent="0.35">
      <c r="A3938" s="49" t="s">
        <v>15540</v>
      </c>
      <c r="B3938" s="49" t="s">
        <v>9893</v>
      </c>
      <c r="C3938" s="49"/>
      <c r="D3938" s="49" t="s">
        <v>1264</v>
      </c>
      <c r="E3938" s="49" t="s">
        <v>7057</v>
      </c>
      <c r="F3938" s="49" t="s">
        <v>2825</v>
      </c>
      <c r="G3938" s="49" t="s">
        <v>2776</v>
      </c>
      <c r="H3938" s="49" t="s">
        <v>2827</v>
      </c>
      <c r="I3938" s="50">
        <v>41512</v>
      </c>
      <c r="M3938" s="49" t="s">
        <v>9894</v>
      </c>
    </row>
    <row r="3939" spans="1:13" x14ac:dyDescent="0.35">
      <c r="A3939" s="49" t="s">
        <v>14126</v>
      </c>
      <c r="B3939" s="49" t="s">
        <v>3707</v>
      </c>
      <c r="C3939" s="49" t="s">
        <v>3075</v>
      </c>
      <c r="D3939" s="49" t="s">
        <v>1264</v>
      </c>
      <c r="E3939" s="49" t="s">
        <v>2908</v>
      </c>
      <c r="F3939" s="49" t="s">
        <v>2805</v>
      </c>
      <c r="G3939" s="49" t="s">
        <v>2787</v>
      </c>
      <c r="H3939" s="49" t="s">
        <v>2827</v>
      </c>
      <c r="I3939" s="50">
        <v>43188</v>
      </c>
      <c r="J3939" s="50">
        <v>43501</v>
      </c>
      <c r="K3939" s="50">
        <v>45327</v>
      </c>
      <c r="M3939" s="49" t="s">
        <v>3709</v>
      </c>
    </row>
    <row r="3940" spans="1:13" x14ac:dyDescent="0.35">
      <c r="A3940" s="49" t="s">
        <v>14126</v>
      </c>
      <c r="B3940" s="49" t="s">
        <v>3715</v>
      </c>
      <c r="C3940" s="49" t="s">
        <v>3716</v>
      </c>
      <c r="D3940" s="49" t="s">
        <v>1264</v>
      </c>
      <c r="E3940" s="49" t="s">
        <v>2908</v>
      </c>
      <c r="F3940" s="49" t="s">
        <v>2805</v>
      </c>
      <c r="G3940" s="49" t="s">
        <v>2787</v>
      </c>
      <c r="H3940" s="49" t="s">
        <v>3717</v>
      </c>
      <c r="I3940" s="50">
        <v>43223</v>
      </c>
      <c r="J3940" s="50">
        <v>43501</v>
      </c>
      <c r="K3940" s="50">
        <v>45327</v>
      </c>
      <c r="M3940" s="49" t="s">
        <v>3718</v>
      </c>
    </row>
    <row r="3941" spans="1:13" x14ac:dyDescent="0.35">
      <c r="A3941" s="49" t="s">
        <v>14126</v>
      </c>
      <c r="B3941" s="49" t="s">
        <v>4341</v>
      </c>
      <c r="C3941" s="49"/>
      <c r="D3941" s="49" t="s">
        <v>1264</v>
      </c>
      <c r="E3941" s="49" t="s">
        <v>2908</v>
      </c>
      <c r="F3941" s="49" t="s">
        <v>2805</v>
      </c>
      <c r="G3941" s="49" t="s">
        <v>2776</v>
      </c>
      <c r="H3941" s="49" t="s">
        <v>2827</v>
      </c>
      <c r="I3941" s="50">
        <v>43157</v>
      </c>
      <c r="M3941" s="49" t="s">
        <v>4342</v>
      </c>
    </row>
    <row r="3942" spans="1:13" x14ac:dyDescent="0.35">
      <c r="A3942" s="49" t="s">
        <v>14126</v>
      </c>
      <c r="B3942" s="49" t="s">
        <v>7878</v>
      </c>
      <c r="C3942" s="49" t="s">
        <v>3933</v>
      </c>
      <c r="D3942" s="49" t="s">
        <v>1264</v>
      </c>
      <c r="E3942" s="49" t="s">
        <v>2908</v>
      </c>
      <c r="F3942" s="49" t="s">
        <v>3898</v>
      </c>
      <c r="G3942" s="49" t="s">
        <v>2975</v>
      </c>
      <c r="H3942" s="49" t="s">
        <v>2827</v>
      </c>
      <c r="I3942" s="50">
        <v>43157</v>
      </c>
      <c r="J3942" s="50">
        <v>43515</v>
      </c>
      <c r="K3942" s="50">
        <v>45340</v>
      </c>
      <c r="M3942" s="49" t="s">
        <v>7879</v>
      </c>
    </row>
    <row r="3943" spans="1:13" x14ac:dyDescent="0.35">
      <c r="A3943" s="49" t="s">
        <v>14126</v>
      </c>
      <c r="B3943" s="49" t="s">
        <v>9215</v>
      </c>
      <c r="C3943" s="49" t="s">
        <v>9216</v>
      </c>
      <c r="D3943" s="49" t="s">
        <v>1264</v>
      </c>
      <c r="E3943" s="49" t="s">
        <v>2908</v>
      </c>
      <c r="F3943" s="49" t="s">
        <v>3898</v>
      </c>
      <c r="G3943" s="49" t="s">
        <v>2776</v>
      </c>
      <c r="H3943" s="49" t="s">
        <v>2827</v>
      </c>
      <c r="I3943" s="50">
        <v>43188</v>
      </c>
      <c r="M3943" s="49" t="s">
        <v>9217</v>
      </c>
    </row>
    <row r="3944" spans="1:13" x14ac:dyDescent="0.35">
      <c r="A3944" s="49" t="s">
        <v>14126</v>
      </c>
      <c r="B3944" s="49" t="s">
        <v>9218</v>
      </c>
      <c r="C3944" s="49" t="s">
        <v>5917</v>
      </c>
      <c r="D3944" s="49" t="s">
        <v>1264</v>
      </c>
      <c r="E3944" s="49" t="s">
        <v>2908</v>
      </c>
      <c r="F3944" s="49" t="s">
        <v>3898</v>
      </c>
      <c r="G3944" s="49" t="s">
        <v>2776</v>
      </c>
      <c r="H3944" s="49" t="s">
        <v>2827</v>
      </c>
      <c r="I3944" s="50">
        <v>43188</v>
      </c>
      <c r="M3944" s="49" t="s">
        <v>9219</v>
      </c>
    </row>
    <row r="3945" spans="1:13" x14ac:dyDescent="0.35">
      <c r="A3945" s="49" t="s">
        <v>14126</v>
      </c>
      <c r="B3945" s="49" t="s">
        <v>9231</v>
      </c>
      <c r="C3945" s="49" t="s">
        <v>3950</v>
      </c>
      <c r="D3945" s="49" t="s">
        <v>1264</v>
      </c>
      <c r="E3945" s="49" t="s">
        <v>2908</v>
      </c>
      <c r="F3945" s="49" t="s">
        <v>2805</v>
      </c>
      <c r="G3945" s="49" t="s">
        <v>2776</v>
      </c>
      <c r="I3945" s="50">
        <v>43223</v>
      </c>
      <c r="M3945" s="49" t="s">
        <v>9232</v>
      </c>
    </row>
    <row r="3946" spans="1:13" x14ac:dyDescent="0.35">
      <c r="A3946" s="49" t="s">
        <v>14126</v>
      </c>
      <c r="B3946" s="49" t="s">
        <v>9234</v>
      </c>
      <c r="C3946" s="49" t="s">
        <v>3399</v>
      </c>
      <c r="D3946" s="49" t="s">
        <v>1264</v>
      </c>
      <c r="E3946" s="49" t="s">
        <v>2908</v>
      </c>
      <c r="F3946" s="49" t="s">
        <v>3898</v>
      </c>
      <c r="G3946" s="49" t="s">
        <v>2776</v>
      </c>
      <c r="H3946" s="49" t="s">
        <v>2827</v>
      </c>
      <c r="I3946" s="50">
        <v>43367</v>
      </c>
      <c r="M3946" s="49" t="s">
        <v>9235</v>
      </c>
    </row>
    <row r="3947" spans="1:13" x14ac:dyDescent="0.35">
      <c r="A3947" s="49" t="s">
        <v>14126</v>
      </c>
      <c r="B3947" s="49" t="s">
        <v>9236</v>
      </c>
      <c r="C3947" s="49" t="s">
        <v>3626</v>
      </c>
      <c r="D3947" s="49" t="s">
        <v>1264</v>
      </c>
      <c r="E3947" s="49" t="s">
        <v>2908</v>
      </c>
      <c r="F3947" s="49" t="s">
        <v>3898</v>
      </c>
      <c r="G3947" s="49" t="s">
        <v>2776</v>
      </c>
      <c r="H3947" s="49" t="s">
        <v>2827</v>
      </c>
      <c r="I3947" s="50">
        <v>43367</v>
      </c>
      <c r="M3947" s="49" t="s">
        <v>9237</v>
      </c>
    </row>
    <row r="3948" spans="1:13" x14ac:dyDescent="0.35">
      <c r="A3948" s="49" t="s">
        <v>14126</v>
      </c>
      <c r="B3948" s="49" t="s">
        <v>9238</v>
      </c>
      <c r="C3948" s="49" t="s">
        <v>9239</v>
      </c>
      <c r="D3948" s="49" t="s">
        <v>1264</v>
      </c>
      <c r="E3948" s="49" t="s">
        <v>2908</v>
      </c>
      <c r="F3948" s="49" t="s">
        <v>2805</v>
      </c>
      <c r="G3948" s="49" t="s">
        <v>2776</v>
      </c>
      <c r="H3948" s="49" t="s">
        <v>864</v>
      </c>
      <c r="I3948" s="50">
        <v>43367</v>
      </c>
      <c r="M3948" s="49" t="s">
        <v>9240</v>
      </c>
    </row>
    <row r="3949" spans="1:13" x14ac:dyDescent="0.35">
      <c r="A3949" s="49" t="s">
        <v>1158</v>
      </c>
      <c r="B3949" s="49" t="s">
        <v>12896</v>
      </c>
      <c r="C3949" s="49"/>
      <c r="D3949" s="49" t="s">
        <v>1264</v>
      </c>
      <c r="E3949" s="49" t="s">
        <v>2986</v>
      </c>
      <c r="F3949" s="49" t="s">
        <v>2825</v>
      </c>
      <c r="G3949" s="49" t="s">
        <v>4891</v>
      </c>
      <c r="H3949" s="49" t="s">
        <v>2827</v>
      </c>
      <c r="I3949" s="52">
        <v>45853.558518518497</v>
      </c>
      <c r="M3949" s="49" t="s">
        <v>12898</v>
      </c>
    </row>
    <row r="3950" spans="1:13" x14ac:dyDescent="0.35">
      <c r="A3950" s="49" t="s">
        <v>14142</v>
      </c>
      <c r="B3950" s="49" t="s">
        <v>3914</v>
      </c>
      <c r="C3950" s="49"/>
      <c r="D3950" s="49" t="s">
        <v>1264</v>
      </c>
      <c r="E3950" s="49" t="s">
        <v>2785</v>
      </c>
      <c r="F3950" s="49" t="s">
        <v>2792</v>
      </c>
      <c r="G3950" s="49" t="s">
        <v>2787</v>
      </c>
      <c r="H3950" s="49" t="s">
        <v>8</v>
      </c>
      <c r="I3950" s="50">
        <v>43647</v>
      </c>
      <c r="J3950" s="50">
        <v>43978</v>
      </c>
      <c r="K3950" s="50">
        <v>44707</v>
      </c>
      <c r="M3950" s="49" t="s">
        <v>3916</v>
      </c>
    </row>
    <row r="3951" spans="1:13" x14ac:dyDescent="0.35">
      <c r="A3951" s="49" t="s">
        <v>14142</v>
      </c>
      <c r="B3951" s="49" t="s">
        <v>7314</v>
      </c>
      <c r="C3951" s="49" t="s">
        <v>7164</v>
      </c>
      <c r="D3951" s="49" t="s">
        <v>1264</v>
      </c>
      <c r="E3951" s="49" t="s">
        <v>2785</v>
      </c>
      <c r="F3951" s="49" t="s">
        <v>2792</v>
      </c>
      <c r="G3951" s="49" t="s">
        <v>2787</v>
      </c>
      <c r="H3951" s="49" t="s">
        <v>8</v>
      </c>
      <c r="I3951" s="50">
        <v>42824</v>
      </c>
      <c r="J3951" s="50">
        <v>43278</v>
      </c>
      <c r="K3951" s="50">
        <v>43460</v>
      </c>
      <c r="M3951" s="49" t="s">
        <v>3916</v>
      </c>
    </row>
    <row r="3952" spans="1:13" x14ac:dyDescent="0.35">
      <c r="A3952" s="49" t="s">
        <v>10249</v>
      </c>
      <c r="B3952" s="49" t="s">
        <v>10248</v>
      </c>
      <c r="C3952" s="49"/>
      <c r="D3952" s="49" t="s">
        <v>1264</v>
      </c>
      <c r="E3952" s="49" t="s">
        <v>2814</v>
      </c>
      <c r="F3952" s="49" t="s">
        <v>2939</v>
      </c>
      <c r="G3952" s="49" t="s">
        <v>2776</v>
      </c>
      <c r="H3952" s="49" t="s">
        <v>980</v>
      </c>
      <c r="I3952" s="50">
        <v>42417</v>
      </c>
      <c r="M3952" s="49" t="s">
        <v>3470</v>
      </c>
    </row>
    <row r="3953" spans="1:13" x14ac:dyDescent="0.35">
      <c r="A3953" s="49" t="s">
        <v>14343</v>
      </c>
      <c r="B3953" s="49" t="s">
        <v>7357</v>
      </c>
      <c r="C3953" s="49"/>
      <c r="D3953" s="49" t="s">
        <v>1264</v>
      </c>
      <c r="E3953" s="49" t="s">
        <v>2814</v>
      </c>
      <c r="F3953" s="49" t="s">
        <v>2825</v>
      </c>
      <c r="G3953" s="49" t="s">
        <v>2787</v>
      </c>
      <c r="H3953" s="49" t="s">
        <v>2827</v>
      </c>
      <c r="I3953" s="50">
        <v>43979</v>
      </c>
      <c r="J3953" s="50">
        <v>43993</v>
      </c>
      <c r="K3953" s="50">
        <v>44175</v>
      </c>
      <c r="M3953" s="49" t="s">
        <v>7359</v>
      </c>
    </row>
    <row r="3954" spans="1:13" x14ac:dyDescent="0.35">
      <c r="A3954" s="49" t="s">
        <v>15541</v>
      </c>
      <c r="B3954" s="49" t="s">
        <v>10701</v>
      </c>
      <c r="C3954" s="49" t="s">
        <v>2937</v>
      </c>
      <c r="D3954" s="49" t="s">
        <v>1264</v>
      </c>
      <c r="E3954" s="49" t="s">
        <v>2908</v>
      </c>
      <c r="F3954" s="49" t="s">
        <v>2939</v>
      </c>
      <c r="G3954" s="49" t="s">
        <v>2776</v>
      </c>
      <c r="H3954" s="49" t="s">
        <v>980</v>
      </c>
      <c r="I3954" s="50">
        <v>43325</v>
      </c>
      <c r="M3954" s="49" t="s">
        <v>10703</v>
      </c>
    </row>
    <row r="3955" spans="1:13" x14ac:dyDescent="0.35">
      <c r="A3955" s="49" t="s">
        <v>15051</v>
      </c>
      <c r="B3955" s="49" t="s">
        <v>9523</v>
      </c>
      <c r="C3955" s="49" t="s">
        <v>2876</v>
      </c>
      <c r="D3955" s="49" t="s">
        <v>1264</v>
      </c>
      <c r="E3955" s="49" t="s">
        <v>2785</v>
      </c>
      <c r="F3955" s="49" t="s">
        <v>2786</v>
      </c>
      <c r="G3955" s="49" t="s">
        <v>2776</v>
      </c>
      <c r="H3955" s="49" t="s">
        <v>8</v>
      </c>
      <c r="I3955" s="50">
        <v>44004</v>
      </c>
      <c r="M3955" s="49" t="s">
        <v>6679</v>
      </c>
    </row>
    <row r="3956" spans="1:13" x14ac:dyDescent="0.35">
      <c r="A3956" s="49" t="s">
        <v>14378</v>
      </c>
      <c r="B3956" s="49" t="s">
        <v>7812</v>
      </c>
      <c r="C3956" s="49" t="s">
        <v>7813</v>
      </c>
      <c r="D3956" s="49" t="s">
        <v>1264</v>
      </c>
      <c r="E3956" s="49" t="s">
        <v>2774</v>
      </c>
      <c r="F3956" s="49" t="s">
        <v>3628</v>
      </c>
      <c r="G3956" s="49" t="s">
        <v>2787</v>
      </c>
      <c r="H3956" s="49" t="s">
        <v>2827</v>
      </c>
      <c r="I3956" s="50">
        <v>39134</v>
      </c>
      <c r="J3956" s="50">
        <v>39167</v>
      </c>
      <c r="K3956" s="50">
        <v>40263</v>
      </c>
      <c r="M3956" s="49" t="s">
        <v>7815</v>
      </c>
    </row>
    <row r="3957" spans="1:13" x14ac:dyDescent="0.35">
      <c r="A3957" s="49" t="s">
        <v>8772</v>
      </c>
      <c r="B3957" s="49" t="s">
        <v>3467</v>
      </c>
      <c r="C3957" s="49" t="s">
        <v>3468</v>
      </c>
      <c r="D3957" s="49" t="s">
        <v>1264</v>
      </c>
      <c r="E3957" s="49" t="s">
        <v>3443</v>
      </c>
      <c r="F3957" s="49" t="s">
        <v>3124</v>
      </c>
      <c r="G3957" s="49" t="s">
        <v>2921</v>
      </c>
      <c r="H3957" s="49" t="s">
        <v>980</v>
      </c>
      <c r="I3957" s="50">
        <v>42403</v>
      </c>
      <c r="J3957" s="50">
        <v>42415</v>
      </c>
      <c r="K3957" s="50">
        <v>44241</v>
      </c>
      <c r="M3957" s="49" t="s">
        <v>3470</v>
      </c>
    </row>
    <row r="3958" spans="1:13" x14ac:dyDescent="0.35">
      <c r="A3958" s="49" t="s">
        <v>8772</v>
      </c>
      <c r="B3958" s="49" t="s">
        <v>6424</v>
      </c>
      <c r="C3958" s="49" t="s">
        <v>3354</v>
      </c>
      <c r="D3958" s="49" t="s">
        <v>1264</v>
      </c>
      <c r="E3958" s="49" t="s">
        <v>2785</v>
      </c>
      <c r="F3958" s="49" t="s">
        <v>2786</v>
      </c>
      <c r="G3958" s="49" t="s">
        <v>4330</v>
      </c>
      <c r="H3958" s="49" t="s">
        <v>980</v>
      </c>
      <c r="I3958" s="50">
        <v>45357</v>
      </c>
      <c r="M3958" s="49" t="s">
        <v>6425</v>
      </c>
    </row>
    <row r="3959" spans="1:13" x14ac:dyDescent="0.35">
      <c r="A3959" s="49" t="s">
        <v>8772</v>
      </c>
      <c r="B3959" s="49" t="s">
        <v>7748</v>
      </c>
      <c r="C3959" s="49" t="s">
        <v>7749</v>
      </c>
      <c r="D3959" s="49" t="s">
        <v>1264</v>
      </c>
      <c r="E3959" s="49" t="s">
        <v>2785</v>
      </c>
      <c r="F3959" s="49" t="s">
        <v>2786</v>
      </c>
      <c r="G3959" s="49" t="s">
        <v>2787</v>
      </c>
      <c r="H3959" s="49" t="s">
        <v>980</v>
      </c>
      <c r="I3959" s="50">
        <v>41955</v>
      </c>
      <c r="J3959" s="50">
        <v>44742</v>
      </c>
      <c r="K3959" s="50">
        <v>45106</v>
      </c>
      <c r="M3959" s="49" t="s">
        <v>7750</v>
      </c>
    </row>
    <row r="3960" spans="1:13" x14ac:dyDescent="0.35">
      <c r="A3960" s="49" t="s">
        <v>8772</v>
      </c>
      <c r="B3960" s="49" t="s">
        <v>8771</v>
      </c>
      <c r="C3960" s="49" t="s">
        <v>5617</v>
      </c>
      <c r="D3960" s="49" t="s">
        <v>1264</v>
      </c>
      <c r="E3960" s="49" t="s">
        <v>2785</v>
      </c>
      <c r="F3960" s="49" t="s">
        <v>2792</v>
      </c>
      <c r="G3960" s="49" t="s">
        <v>2787</v>
      </c>
      <c r="H3960" s="49" t="s">
        <v>8</v>
      </c>
      <c r="I3960" s="50">
        <v>41589</v>
      </c>
      <c r="M3960" s="49" t="s">
        <v>8773</v>
      </c>
    </row>
    <row r="3961" spans="1:13" x14ac:dyDescent="0.35">
      <c r="A3961" s="49" t="s">
        <v>8772</v>
      </c>
      <c r="B3961" s="49" t="s">
        <v>9763</v>
      </c>
      <c r="C3961" s="49" t="s">
        <v>9764</v>
      </c>
      <c r="D3961" s="49" t="s">
        <v>1264</v>
      </c>
      <c r="E3961" s="49" t="s">
        <v>2785</v>
      </c>
      <c r="F3961" s="49" t="s">
        <v>2786</v>
      </c>
      <c r="G3961" s="49" t="s">
        <v>2776</v>
      </c>
      <c r="H3961" s="49" t="s">
        <v>980</v>
      </c>
      <c r="I3961" s="50">
        <v>42466</v>
      </c>
      <c r="M3961" s="49" t="s">
        <v>9765</v>
      </c>
    </row>
    <row r="3962" spans="1:13" x14ac:dyDescent="0.35">
      <c r="A3962" s="49" t="s">
        <v>799</v>
      </c>
      <c r="B3962" s="49" t="s">
        <v>11389</v>
      </c>
      <c r="C3962" s="49" t="s">
        <v>5606</v>
      </c>
      <c r="D3962" s="49" t="s">
        <v>1264</v>
      </c>
      <c r="E3962" s="49" t="s">
        <v>2774</v>
      </c>
      <c r="F3962" s="49" t="s">
        <v>2825</v>
      </c>
      <c r="G3962" s="49" t="s">
        <v>4891</v>
      </c>
      <c r="H3962" s="49" t="s">
        <v>2827</v>
      </c>
      <c r="I3962" s="50">
        <v>45058</v>
      </c>
      <c r="M3962" s="49" t="s">
        <v>11063</v>
      </c>
    </row>
    <row r="3963" spans="1:13" x14ac:dyDescent="0.35">
      <c r="A3963" s="49" t="s">
        <v>14608</v>
      </c>
      <c r="B3963" s="49" t="s">
        <v>11593</v>
      </c>
      <c r="C3963" s="49"/>
      <c r="D3963" s="49" t="s">
        <v>1264</v>
      </c>
      <c r="E3963" s="49" t="s">
        <v>2774</v>
      </c>
      <c r="F3963" s="49" t="s">
        <v>2825</v>
      </c>
      <c r="G3963" s="49" t="s">
        <v>2776</v>
      </c>
      <c r="H3963" s="49" t="s">
        <v>2827</v>
      </c>
      <c r="I3963" s="50">
        <v>45195</v>
      </c>
      <c r="M3963" s="49" t="s">
        <v>11595</v>
      </c>
    </row>
    <row r="3964" spans="1:13" x14ac:dyDescent="0.35">
      <c r="A3964" s="49" t="s">
        <v>14608</v>
      </c>
      <c r="B3964" s="49" t="s">
        <v>11866</v>
      </c>
      <c r="C3964" s="49" t="s">
        <v>3135</v>
      </c>
      <c r="D3964" s="49" t="s">
        <v>1264</v>
      </c>
      <c r="E3964" s="49" t="s">
        <v>2774</v>
      </c>
      <c r="F3964" s="49" t="s">
        <v>2825</v>
      </c>
      <c r="G3964" s="49" t="s">
        <v>2776</v>
      </c>
      <c r="H3964" s="49" t="s">
        <v>2827</v>
      </c>
      <c r="I3964" s="50">
        <v>45294</v>
      </c>
      <c r="M3964" s="49" t="s">
        <v>11867</v>
      </c>
    </row>
    <row r="3965" spans="1:13" x14ac:dyDescent="0.35">
      <c r="A3965" s="49" t="s">
        <v>14146</v>
      </c>
      <c r="B3965" s="49" t="s">
        <v>3979</v>
      </c>
      <c r="C3965" s="49" t="s">
        <v>3980</v>
      </c>
      <c r="D3965" s="49" t="s">
        <v>1264</v>
      </c>
      <c r="E3965" s="49" t="s">
        <v>2785</v>
      </c>
      <c r="F3965" s="49" t="s">
        <v>2792</v>
      </c>
      <c r="G3965" s="49" t="s">
        <v>2787</v>
      </c>
      <c r="H3965" s="49" t="s">
        <v>980</v>
      </c>
      <c r="I3965" s="50">
        <v>43840</v>
      </c>
      <c r="J3965" s="50">
        <v>44053</v>
      </c>
      <c r="K3965" s="50">
        <v>44174</v>
      </c>
      <c r="M3965" s="49" t="s">
        <v>3982</v>
      </c>
    </row>
    <row r="3966" spans="1:13" x14ac:dyDescent="0.35">
      <c r="A3966" s="49" t="s">
        <v>3578</v>
      </c>
      <c r="B3966" s="49" t="s">
        <v>3209</v>
      </c>
      <c r="C3966" s="49" t="s">
        <v>3210</v>
      </c>
      <c r="D3966" s="49" t="s">
        <v>1264</v>
      </c>
      <c r="E3966" s="49" t="s">
        <v>2986</v>
      </c>
      <c r="F3966" s="49" t="s">
        <v>2825</v>
      </c>
      <c r="G3966" s="49" t="s">
        <v>2787</v>
      </c>
      <c r="H3966" s="49" t="s">
        <v>2827</v>
      </c>
      <c r="I3966" s="50">
        <v>40952</v>
      </c>
      <c r="J3966" s="50">
        <v>41079</v>
      </c>
      <c r="K3966" s="50">
        <v>43634</v>
      </c>
      <c r="M3966" s="49" t="s">
        <v>3212</v>
      </c>
    </row>
    <row r="3967" spans="1:13" x14ac:dyDescent="0.35">
      <c r="A3967" s="49" t="s">
        <v>3578</v>
      </c>
      <c r="B3967" s="49" t="s">
        <v>3576</v>
      </c>
      <c r="C3967" s="49" t="s">
        <v>3577</v>
      </c>
      <c r="D3967" s="49" t="s">
        <v>1264</v>
      </c>
      <c r="E3967" s="49" t="s">
        <v>2974</v>
      </c>
      <c r="F3967" s="49" t="s">
        <v>2825</v>
      </c>
      <c r="G3967" s="49" t="s">
        <v>2826</v>
      </c>
      <c r="H3967" s="49" t="s">
        <v>2827</v>
      </c>
      <c r="I3967" s="50">
        <v>42865</v>
      </c>
      <c r="J3967" s="50">
        <v>42957</v>
      </c>
      <c r="K3967" s="50">
        <v>44776</v>
      </c>
      <c r="M3967" s="49" t="s">
        <v>3579</v>
      </c>
    </row>
    <row r="3968" spans="1:13" x14ac:dyDescent="0.35">
      <c r="A3968" s="49" t="s">
        <v>3578</v>
      </c>
      <c r="B3968" s="49" t="s">
        <v>8715</v>
      </c>
      <c r="C3968" s="49" t="s">
        <v>8716</v>
      </c>
      <c r="D3968" s="49" t="s">
        <v>1264</v>
      </c>
      <c r="E3968" s="49" t="s">
        <v>7057</v>
      </c>
      <c r="F3968" s="49" t="s">
        <v>2825</v>
      </c>
      <c r="G3968" s="49" t="s">
        <v>2776</v>
      </c>
      <c r="H3968" s="49" t="s">
        <v>2827</v>
      </c>
      <c r="I3968" s="50">
        <v>41211</v>
      </c>
      <c r="M3968" s="49" t="s">
        <v>3100</v>
      </c>
    </row>
    <row r="3969" spans="1:13" x14ac:dyDescent="0.35">
      <c r="A3969" s="49" t="s">
        <v>14098</v>
      </c>
      <c r="B3969" s="49" t="s">
        <v>3350</v>
      </c>
      <c r="C3969" s="49" t="s">
        <v>2942</v>
      </c>
      <c r="D3969" s="49" t="s">
        <v>1264</v>
      </c>
      <c r="E3969" s="49" t="s">
        <v>2908</v>
      </c>
      <c r="F3969" s="49" t="s">
        <v>2939</v>
      </c>
      <c r="G3969" s="49" t="s">
        <v>2901</v>
      </c>
      <c r="H3969" s="49" t="s">
        <v>980</v>
      </c>
      <c r="I3969" s="50">
        <v>41897</v>
      </c>
      <c r="J3969" s="50">
        <v>42885</v>
      </c>
      <c r="K3969" s="50">
        <v>46535</v>
      </c>
      <c r="M3969" s="49" t="s">
        <v>3352</v>
      </c>
    </row>
    <row r="3970" spans="1:13" x14ac:dyDescent="0.35">
      <c r="A3970" s="49" t="s">
        <v>14002</v>
      </c>
      <c r="B3970" s="49" t="s">
        <v>8628</v>
      </c>
      <c r="C3970" s="49" t="s">
        <v>8629</v>
      </c>
      <c r="D3970" s="49" t="s">
        <v>1264</v>
      </c>
      <c r="E3970" s="49" t="s">
        <v>7057</v>
      </c>
      <c r="F3970" s="49" t="s">
        <v>2825</v>
      </c>
      <c r="G3970" s="49" t="s">
        <v>2787</v>
      </c>
      <c r="H3970" s="49" t="s">
        <v>2827</v>
      </c>
      <c r="I3970" s="50">
        <v>41479</v>
      </c>
      <c r="J3970" s="50">
        <v>41576</v>
      </c>
      <c r="K3970" s="50">
        <v>42569</v>
      </c>
      <c r="M3970" s="49" t="s">
        <v>3270</v>
      </c>
    </row>
    <row r="3971" spans="1:13" x14ac:dyDescent="0.35">
      <c r="A3971" s="49" t="s">
        <v>14002</v>
      </c>
      <c r="B3971" s="49" t="s">
        <v>8709</v>
      </c>
      <c r="C3971" s="49" t="s">
        <v>8710</v>
      </c>
      <c r="D3971" s="49" t="s">
        <v>1264</v>
      </c>
      <c r="E3971" s="49" t="s">
        <v>7057</v>
      </c>
      <c r="F3971" s="49" t="s">
        <v>2825</v>
      </c>
      <c r="G3971" s="49" t="s">
        <v>2776</v>
      </c>
      <c r="H3971" s="49" t="s">
        <v>2827</v>
      </c>
      <c r="I3971" s="50">
        <v>41254</v>
      </c>
      <c r="M3971" s="49" t="s">
        <v>8350</v>
      </c>
    </row>
    <row r="3972" spans="1:13" x14ac:dyDescent="0.35">
      <c r="A3972" s="49" t="s">
        <v>14002</v>
      </c>
      <c r="B3972" s="49" t="s">
        <v>8743</v>
      </c>
      <c r="C3972" s="49"/>
      <c r="D3972" s="49" t="s">
        <v>1264</v>
      </c>
      <c r="E3972" s="49" t="s">
        <v>2974</v>
      </c>
      <c r="F3972" s="49" t="s">
        <v>2825</v>
      </c>
      <c r="G3972" s="49" t="s">
        <v>2776</v>
      </c>
      <c r="H3972" s="49" t="s">
        <v>2827</v>
      </c>
      <c r="I3972" s="50">
        <v>41234</v>
      </c>
      <c r="M3972" s="49" t="s">
        <v>8744</v>
      </c>
    </row>
    <row r="3973" spans="1:13" x14ac:dyDescent="0.35">
      <c r="A3973" s="49" t="s">
        <v>14002</v>
      </c>
      <c r="B3973" s="49" t="s">
        <v>10447</v>
      </c>
      <c r="C3973" s="49" t="s">
        <v>10448</v>
      </c>
      <c r="D3973" s="49" t="s">
        <v>1264</v>
      </c>
      <c r="E3973" s="49" t="s">
        <v>2814</v>
      </c>
      <c r="F3973" s="49" t="s">
        <v>2825</v>
      </c>
      <c r="G3973" s="49" t="s">
        <v>2787</v>
      </c>
      <c r="H3973" s="49" t="s">
        <v>2827</v>
      </c>
      <c r="I3973" s="50">
        <v>41484</v>
      </c>
      <c r="M3973" s="49" t="s">
        <v>10449</v>
      </c>
    </row>
    <row r="3974" spans="1:13" x14ac:dyDescent="0.35">
      <c r="A3974" s="49" t="s">
        <v>14002</v>
      </c>
      <c r="B3974" s="49" t="s">
        <v>13769</v>
      </c>
      <c r="C3974" s="49" t="s">
        <v>13770</v>
      </c>
      <c r="D3974" s="49" t="s">
        <v>1264</v>
      </c>
      <c r="E3974" s="49" t="s">
        <v>2974</v>
      </c>
      <c r="F3974" s="49" t="s">
        <v>2825</v>
      </c>
      <c r="G3974" s="49" t="s">
        <v>2776</v>
      </c>
      <c r="H3974" s="49" t="s">
        <v>2827</v>
      </c>
      <c r="I3974" s="50">
        <v>41417</v>
      </c>
      <c r="M3974" s="49" t="s">
        <v>13771</v>
      </c>
    </row>
    <row r="3975" spans="1:13" x14ac:dyDescent="0.35">
      <c r="A3975" s="49" t="s">
        <v>14002</v>
      </c>
      <c r="B3975" s="49" t="s">
        <v>13796</v>
      </c>
      <c r="C3975" s="49" t="s">
        <v>13797</v>
      </c>
      <c r="D3975" s="49" t="s">
        <v>1264</v>
      </c>
      <c r="E3975" s="49" t="s">
        <v>2774</v>
      </c>
      <c r="F3975" s="49" t="s">
        <v>2825</v>
      </c>
      <c r="G3975" s="49" t="s">
        <v>2776</v>
      </c>
      <c r="H3975" s="49" t="s">
        <v>2827</v>
      </c>
      <c r="I3975" s="50">
        <v>41645</v>
      </c>
      <c r="M3975" s="49" t="s">
        <v>13798</v>
      </c>
    </row>
    <row r="3976" spans="1:13" x14ac:dyDescent="0.35">
      <c r="A3976" s="49" t="s">
        <v>14002</v>
      </c>
      <c r="B3976" s="49" t="s">
        <v>14001</v>
      </c>
      <c r="C3976" s="49" t="s">
        <v>10448</v>
      </c>
      <c r="D3976" s="49" t="s">
        <v>1264</v>
      </c>
      <c r="E3976" s="49" t="s">
        <v>2774</v>
      </c>
      <c r="F3976" s="49" t="s">
        <v>2825</v>
      </c>
      <c r="G3976" s="49" t="s">
        <v>2776</v>
      </c>
      <c r="H3976" s="49" t="s">
        <v>2827</v>
      </c>
      <c r="I3976" s="50">
        <v>42026</v>
      </c>
      <c r="M3976" s="49" t="s">
        <v>14003</v>
      </c>
    </row>
    <row r="3977" spans="1:13" x14ac:dyDescent="0.35">
      <c r="A3977" s="49" t="s">
        <v>14590</v>
      </c>
      <c r="B3977" s="49" t="s">
        <v>11052</v>
      </c>
      <c r="C3977" s="49"/>
      <c r="D3977" s="49" t="s">
        <v>1264</v>
      </c>
      <c r="E3977" s="49" t="s">
        <v>2774</v>
      </c>
      <c r="F3977" s="49" t="s">
        <v>3188</v>
      </c>
      <c r="G3977" s="49" t="s">
        <v>2776</v>
      </c>
      <c r="H3977" s="49" t="s">
        <v>973</v>
      </c>
      <c r="I3977" s="50">
        <v>44746</v>
      </c>
      <c r="M3977" s="49" t="s">
        <v>11054</v>
      </c>
    </row>
    <row r="3978" spans="1:13" x14ac:dyDescent="0.35">
      <c r="A3978" s="49" t="s">
        <v>15542</v>
      </c>
      <c r="B3978" s="49" t="s">
        <v>13722</v>
      </c>
      <c r="C3978" s="49" t="s">
        <v>13723</v>
      </c>
      <c r="D3978" s="49" t="s">
        <v>1264</v>
      </c>
      <c r="E3978" s="49" t="s">
        <v>2986</v>
      </c>
      <c r="F3978" s="49" t="s">
        <v>2825</v>
      </c>
      <c r="G3978" s="49" t="s">
        <v>2787</v>
      </c>
      <c r="H3978" s="49" t="s">
        <v>2827</v>
      </c>
      <c r="I3978" s="50">
        <v>42828</v>
      </c>
      <c r="M3978" s="49" t="s">
        <v>3270</v>
      </c>
    </row>
    <row r="3979" spans="1:13" x14ac:dyDescent="0.35">
      <c r="A3979" s="49" t="s">
        <v>14703</v>
      </c>
      <c r="B3979" s="49" t="s">
        <v>5136</v>
      </c>
      <c r="C3979" s="49"/>
      <c r="D3979" s="49" t="s">
        <v>1264</v>
      </c>
      <c r="E3979" s="49" t="s">
        <v>2785</v>
      </c>
      <c r="F3979" s="49" t="s">
        <v>3010</v>
      </c>
      <c r="G3979" s="49" t="s">
        <v>2787</v>
      </c>
      <c r="H3979" s="49" t="s">
        <v>2827</v>
      </c>
      <c r="I3979" s="50">
        <v>44298</v>
      </c>
      <c r="J3979" s="50">
        <v>44390</v>
      </c>
      <c r="K3979" s="50">
        <v>45428</v>
      </c>
      <c r="L3979" s="50">
        <v>44755</v>
      </c>
      <c r="M3979" s="49" t="s">
        <v>5138</v>
      </c>
    </row>
    <row r="3980" spans="1:13" x14ac:dyDescent="0.35">
      <c r="A3980" s="49" t="s">
        <v>14703</v>
      </c>
      <c r="B3980" s="49" t="s">
        <v>5192</v>
      </c>
      <c r="C3980" s="49"/>
      <c r="D3980" s="49" t="s">
        <v>1264</v>
      </c>
      <c r="E3980" s="49" t="s">
        <v>2785</v>
      </c>
      <c r="F3980" s="49" t="s">
        <v>2786</v>
      </c>
      <c r="G3980" s="49" t="s">
        <v>2787</v>
      </c>
      <c r="H3980" s="49" t="s">
        <v>2827</v>
      </c>
      <c r="I3980" s="50">
        <v>44821</v>
      </c>
      <c r="J3980" s="50">
        <v>44875</v>
      </c>
      <c r="K3980" s="50">
        <v>45239</v>
      </c>
      <c r="L3980" s="50">
        <v>45240</v>
      </c>
      <c r="M3980" s="49" t="s">
        <v>5193</v>
      </c>
    </row>
    <row r="3981" spans="1:13" x14ac:dyDescent="0.35">
      <c r="A3981" s="49" t="s">
        <v>14703</v>
      </c>
      <c r="B3981" s="49" t="s">
        <v>5194</v>
      </c>
      <c r="C3981" s="49"/>
      <c r="D3981" s="49" t="s">
        <v>1264</v>
      </c>
      <c r="E3981" s="49" t="s">
        <v>2785</v>
      </c>
      <c r="F3981" s="49" t="s">
        <v>2786</v>
      </c>
      <c r="G3981" s="49" t="s">
        <v>2787</v>
      </c>
      <c r="H3981" s="49" t="s">
        <v>2827</v>
      </c>
      <c r="I3981" s="50">
        <v>44821</v>
      </c>
      <c r="J3981" s="50">
        <v>44875</v>
      </c>
      <c r="K3981" s="50">
        <v>45239</v>
      </c>
      <c r="M3981" s="49" t="s">
        <v>5195</v>
      </c>
    </row>
    <row r="3982" spans="1:13" x14ac:dyDescent="0.35">
      <c r="A3982" s="49" t="s">
        <v>14703</v>
      </c>
      <c r="B3982" s="49" t="s">
        <v>5196</v>
      </c>
      <c r="C3982" s="49"/>
      <c r="D3982" s="49" t="s">
        <v>1264</v>
      </c>
      <c r="E3982" s="49" t="s">
        <v>2785</v>
      </c>
      <c r="F3982" s="49" t="s">
        <v>2786</v>
      </c>
      <c r="G3982" s="49" t="s">
        <v>2787</v>
      </c>
      <c r="H3982" s="49" t="s">
        <v>2827</v>
      </c>
      <c r="I3982" s="50">
        <v>44821</v>
      </c>
      <c r="J3982" s="50">
        <v>44875</v>
      </c>
      <c r="K3982" s="50">
        <v>45239</v>
      </c>
      <c r="M3982" s="49" t="s">
        <v>5197</v>
      </c>
    </row>
    <row r="3983" spans="1:13" x14ac:dyDescent="0.35">
      <c r="A3983" s="49" t="s">
        <v>14703</v>
      </c>
      <c r="B3983" s="49" t="s">
        <v>5198</v>
      </c>
      <c r="C3983" s="49"/>
      <c r="D3983" s="49" t="s">
        <v>1264</v>
      </c>
      <c r="E3983" s="49" t="s">
        <v>2785</v>
      </c>
      <c r="F3983" s="49" t="s">
        <v>2786</v>
      </c>
      <c r="G3983" s="49" t="s">
        <v>2787</v>
      </c>
      <c r="H3983" s="49" t="s">
        <v>2827</v>
      </c>
      <c r="I3983" s="50">
        <v>44821</v>
      </c>
      <c r="J3983" s="50">
        <v>44875</v>
      </c>
      <c r="K3983" s="50">
        <v>45239</v>
      </c>
      <c r="M3983" s="49" t="s">
        <v>5199</v>
      </c>
    </row>
    <row r="3984" spans="1:13" x14ac:dyDescent="0.35">
      <c r="A3984" s="49" t="s">
        <v>14703</v>
      </c>
      <c r="B3984" s="49" t="s">
        <v>5862</v>
      </c>
      <c r="C3984" s="49"/>
      <c r="D3984" s="49" t="s">
        <v>1264</v>
      </c>
      <c r="E3984" s="49" t="s">
        <v>2785</v>
      </c>
      <c r="F3984" s="49" t="s">
        <v>3010</v>
      </c>
      <c r="G3984" s="49" t="s">
        <v>2901</v>
      </c>
      <c r="H3984" s="49" t="s">
        <v>2827</v>
      </c>
      <c r="I3984" s="50">
        <v>45051</v>
      </c>
      <c r="J3984" s="50">
        <v>45187</v>
      </c>
      <c r="K3984" s="50">
        <v>45917</v>
      </c>
      <c r="L3984" s="50">
        <v>45553</v>
      </c>
      <c r="M3984" s="49" t="s">
        <v>5863</v>
      </c>
    </row>
    <row r="3985" spans="1:13" x14ac:dyDescent="0.35">
      <c r="A3985" s="49" t="s">
        <v>14703</v>
      </c>
      <c r="B3985" s="49" t="s">
        <v>6406</v>
      </c>
      <c r="C3985" s="49"/>
      <c r="D3985" s="49" t="s">
        <v>1264</v>
      </c>
      <c r="E3985" s="49" t="s">
        <v>2785</v>
      </c>
      <c r="F3985" s="49" t="s">
        <v>2786</v>
      </c>
      <c r="G3985" s="49" t="s">
        <v>2787</v>
      </c>
      <c r="H3985" s="49" t="s">
        <v>2827</v>
      </c>
      <c r="I3985" s="50">
        <v>44768</v>
      </c>
      <c r="J3985" s="50">
        <v>45216</v>
      </c>
      <c r="K3985" s="50">
        <v>45581</v>
      </c>
      <c r="M3985" s="49" t="s">
        <v>6407</v>
      </c>
    </row>
    <row r="3986" spans="1:13" x14ac:dyDescent="0.35">
      <c r="A3986" s="49" t="s">
        <v>14295</v>
      </c>
      <c r="B3986" s="49" t="s">
        <v>6559</v>
      </c>
      <c r="C3986" s="49" t="s">
        <v>6560</v>
      </c>
      <c r="D3986" s="49" t="s">
        <v>1264</v>
      </c>
      <c r="E3986" s="49" t="s">
        <v>2785</v>
      </c>
      <c r="F3986" s="49" t="s">
        <v>2786</v>
      </c>
      <c r="G3986" s="49" t="s">
        <v>2901</v>
      </c>
      <c r="H3986" s="49" t="s">
        <v>980</v>
      </c>
      <c r="I3986" s="50">
        <v>45362</v>
      </c>
      <c r="J3986" s="50">
        <v>45380</v>
      </c>
      <c r="K3986" s="50">
        <v>45744</v>
      </c>
      <c r="M3986" s="49" t="s">
        <v>6562</v>
      </c>
    </row>
    <row r="3987" spans="1:13" x14ac:dyDescent="0.35">
      <c r="A3987" s="49" t="s">
        <v>15543</v>
      </c>
      <c r="B3987" s="49" t="s">
        <v>12149</v>
      </c>
      <c r="C3987" s="49" t="s">
        <v>12150</v>
      </c>
      <c r="D3987" s="49" t="s">
        <v>1264</v>
      </c>
      <c r="E3987" s="49" t="s">
        <v>2986</v>
      </c>
      <c r="F3987" s="49" t="s">
        <v>2825</v>
      </c>
      <c r="G3987" s="49" t="s">
        <v>4891</v>
      </c>
      <c r="H3987" s="49" t="s">
        <v>2827</v>
      </c>
      <c r="I3987" s="50">
        <v>45331</v>
      </c>
      <c r="M3987" s="49" t="s">
        <v>12152</v>
      </c>
    </row>
    <row r="3988" spans="1:13" x14ac:dyDescent="0.35">
      <c r="A3988" s="49" t="s">
        <v>15081</v>
      </c>
      <c r="B3988" s="49" t="s">
        <v>7529</v>
      </c>
      <c r="C3988" s="49" t="s">
        <v>7530</v>
      </c>
      <c r="D3988" s="49" t="s">
        <v>1264</v>
      </c>
      <c r="E3988" s="49" t="s">
        <v>2785</v>
      </c>
      <c r="F3988" s="49" t="s">
        <v>2792</v>
      </c>
      <c r="G3988" s="49" t="s">
        <v>2787</v>
      </c>
      <c r="H3988" s="49" t="s">
        <v>835</v>
      </c>
      <c r="I3988" s="50">
        <v>42923</v>
      </c>
      <c r="J3988" s="50">
        <v>42976</v>
      </c>
      <c r="K3988" s="50">
        <v>43158</v>
      </c>
      <c r="M3988" s="49" t="s">
        <v>3879</v>
      </c>
    </row>
    <row r="3989" spans="1:13" x14ac:dyDescent="0.35">
      <c r="A3989" s="49" t="s">
        <v>15082</v>
      </c>
      <c r="B3989" s="49" t="s">
        <v>6853</v>
      </c>
      <c r="C3989" s="49" t="s">
        <v>6854</v>
      </c>
      <c r="D3989" s="49" t="s">
        <v>1264</v>
      </c>
      <c r="E3989" s="49" t="s">
        <v>2785</v>
      </c>
      <c r="F3989" s="49" t="s">
        <v>2792</v>
      </c>
      <c r="G3989" s="49" t="s">
        <v>4891</v>
      </c>
      <c r="H3989" s="49" t="s">
        <v>857</v>
      </c>
      <c r="I3989" s="52">
        <v>46114.501851851899</v>
      </c>
      <c r="M3989" s="49" t="s">
        <v>6856</v>
      </c>
    </row>
    <row r="3990" spans="1:13" x14ac:dyDescent="0.35">
      <c r="A3990" s="49" t="s">
        <v>15082</v>
      </c>
      <c r="B3990" s="49" t="s">
        <v>12474</v>
      </c>
      <c r="C3990" s="49" t="s">
        <v>12475</v>
      </c>
      <c r="D3990" s="49" t="s">
        <v>1264</v>
      </c>
      <c r="E3990" s="49" t="s">
        <v>2785</v>
      </c>
      <c r="F3990" s="49" t="s">
        <v>2792</v>
      </c>
      <c r="G3990" s="49" t="s">
        <v>4891</v>
      </c>
      <c r="H3990" s="49" t="s">
        <v>835</v>
      </c>
      <c r="I3990" s="50">
        <v>45408</v>
      </c>
      <c r="M3990" s="49" t="s">
        <v>12477</v>
      </c>
    </row>
    <row r="3991" spans="1:13" x14ac:dyDescent="0.35">
      <c r="A3991" s="49" t="s">
        <v>15082</v>
      </c>
      <c r="B3991" s="49" t="s">
        <v>13412</v>
      </c>
      <c r="C3991" s="49"/>
      <c r="D3991" s="49" t="s">
        <v>1264</v>
      </c>
      <c r="E3991" s="49" t="s">
        <v>2785</v>
      </c>
      <c r="F3991" s="49" t="s">
        <v>2792</v>
      </c>
      <c r="G3991" s="49" t="s">
        <v>4891</v>
      </c>
      <c r="H3991" s="49" t="s">
        <v>835</v>
      </c>
      <c r="I3991" s="52">
        <v>46126.543587963002</v>
      </c>
      <c r="M3991" s="49" t="s">
        <v>6919</v>
      </c>
    </row>
    <row r="3992" spans="1:13" x14ac:dyDescent="0.35">
      <c r="A3992" s="49" t="s">
        <v>14995</v>
      </c>
      <c r="B3992" s="49" t="s">
        <v>7398</v>
      </c>
      <c r="C3992" s="49"/>
      <c r="D3992" s="49" t="s">
        <v>1264</v>
      </c>
      <c r="E3992" s="49" t="s">
        <v>2785</v>
      </c>
      <c r="F3992" s="49" t="s">
        <v>2792</v>
      </c>
      <c r="G3992" s="49" t="s">
        <v>2826</v>
      </c>
      <c r="H3992" s="49" t="s">
        <v>8</v>
      </c>
      <c r="I3992" s="50">
        <v>41793</v>
      </c>
      <c r="J3992" s="50">
        <v>41802</v>
      </c>
      <c r="K3992" s="50">
        <v>41984</v>
      </c>
      <c r="M3992" s="49" t="s">
        <v>7400</v>
      </c>
    </row>
    <row r="3993" spans="1:13" x14ac:dyDescent="0.35">
      <c r="A3993" s="49" t="s">
        <v>14995</v>
      </c>
      <c r="B3993" s="49" t="s">
        <v>8790</v>
      </c>
      <c r="C3993" s="49" t="s">
        <v>8791</v>
      </c>
      <c r="D3993" s="49" t="s">
        <v>1264</v>
      </c>
      <c r="E3993" s="49" t="s">
        <v>2785</v>
      </c>
      <c r="F3993" s="49" t="s">
        <v>2792</v>
      </c>
      <c r="G3993" s="49" t="s">
        <v>2787</v>
      </c>
      <c r="H3993" s="49" t="s">
        <v>8</v>
      </c>
      <c r="I3993" s="50">
        <v>42110</v>
      </c>
      <c r="J3993" s="50">
        <v>42230</v>
      </c>
      <c r="K3993" s="50">
        <v>42413</v>
      </c>
      <c r="M3993" s="49" t="s">
        <v>8792</v>
      </c>
    </row>
    <row r="3994" spans="1:13" x14ac:dyDescent="0.35">
      <c r="A3994" s="49" t="s">
        <v>15243</v>
      </c>
      <c r="B3994" s="49" t="s">
        <v>13600</v>
      </c>
      <c r="C3994" s="49" t="s">
        <v>7989</v>
      </c>
      <c r="D3994" s="49" t="s">
        <v>1264</v>
      </c>
      <c r="E3994" s="49" t="s">
        <v>2785</v>
      </c>
      <c r="F3994" s="49" t="s">
        <v>2786</v>
      </c>
      <c r="G3994" s="49" t="s">
        <v>4891</v>
      </c>
      <c r="H3994" s="49" t="s">
        <v>980</v>
      </c>
      <c r="I3994" s="52">
        <v>46163.5256828704</v>
      </c>
      <c r="M3994" s="49" t="s">
        <v>13602</v>
      </c>
    </row>
    <row r="3995" spans="1:13" x14ac:dyDescent="0.35">
      <c r="A3995" s="49" t="s">
        <v>15544</v>
      </c>
      <c r="B3995" s="49" t="s">
        <v>4216</v>
      </c>
      <c r="C3995" s="49" t="s">
        <v>4217</v>
      </c>
      <c r="D3995" s="49" t="s">
        <v>1264</v>
      </c>
      <c r="E3995" s="49" t="s">
        <v>2814</v>
      </c>
      <c r="F3995" s="49" t="s">
        <v>2837</v>
      </c>
      <c r="G3995" s="49" t="s">
        <v>2787</v>
      </c>
      <c r="H3995" s="49" t="s">
        <v>980</v>
      </c>
      <c r="I3995" s="50">
        <v>43563</v>
      </c>
      <c r="J3995" s="50">
        <v>44313</v>
      </c>
      <c r="K3995" s="50">
        <v>44495</v>
      </c>
      <c r="M3995" s="49" t="s">
        <v>4219</v>
      </c>
    </row>
    <row r="3996" spans="1:13" x14ac:dyDescent="0.35">
      <c r="A3996" s="49" t="s">
        <v>15544</v>
      </c>
      <c r="B3996" s="49" t="s">
        <v>6222</v>
      </c>
      <c r="C3996" s="49"/>
      <c r="D3996" s="49" t="s">
        <v>1264</v>
      </c>
      <c r="E3996" s="49" t="s">
        <v>2908</v>
      </c>
      <c r="F3996" s="49" t="s">
        <v>2837</v>
      </c>
      <c r="G3996" s="49" t="s">
        <v>4330</v>
      </c>
      <c r="H3996" s="49" t="s">
        <v>980</v>
      </c>
      <c r="I3996" s="50">
        <v>44913</v>
      </c>
      <c r="M3996" s="49" t="s">
        <v>6224</v>
      </c>
    </row>
    <row r="3997" spans="1:13" x14ac:dyDescent="0.35">
      <c r="A3997" s="49" t="s">
        <v>14996</v>
      </c>
      <c r="B3997" s="49" t="s">
        <v>7126</v>
      </c>
      <c r="C3997" s="49" t="s">
        <v>7127</v>
      </c>
      <c r="D3997" s="49" t="s">
        <v>1264</v>
      </c>
      <c r="E3997" s="49" t="s">
        <v>7057</v>
      </c>
      <c r="F3997" s="49" t="s">
        <v>2825</v>
      </c>
      <c r="G3997" s="49" t="s">
        <v>2787</v>
      </c>
      <c r="H3997" s="49" t="s">
        <v>2827</v>
      </c>
      <c r="I3997" s="50">
        <v>40060</v>
      </c>
      <c r="J3997" s="50">
        <v>40190</v>
      </c>
      <c r="K3997" s="50">
        <v>42569</v>
      </c>
      <c r="M3997" s="49" t="s">
        <v>7119</v>
      </c>
    </row>
    <row r="3998" spans="1:13" x14ac:dyDescent="0.35">
      <c r="A3998" s="49" t="s">
        <v>15545</v>
      </c>
      <c r="B3998" s="49" t="s">
        <v>12008</v>
      </c>
      <c r="C3998" s="49" t="s">
        <v>6458</v>
      </c>
      <c r="D3998" s="49" t="s">
        <v>1264</v>
      </c>
      <c r="E3998" s="49" t="s">
        <v>3443</v>
      </c>
      <c r="F3998" s="49" t="s">
        <v>3124</v>
      </c>
      <c r="G3998" s="49" t="s">
        <v>4891</v>
      </c>
      <c r="H3998" s="49" t="s">
        <v>980</v>
      </c>
      <c r="I3998" s="50">
        <v>45195</v>
      </c>
    </row>
    <row r="3999" spans="1:13" x14ac:dyDescent="0.35">
      <c r="A3999" s="49" t="s">
        <v>801</v>
      </c>
      <c r="B3999" s="49" t="s">
        <v>6450</v>
      </c>
      <c r="C3999" s="49" t="s">
        <v>4293</v>
      </c>
      <c r="D3999" s="49" t="s">
        <v>1264</v>
      </c>
      <c r="E3999" s="49" t="s">
        <v>2785</v>
      </c>
      <c r="F3999" s="49" t="s">
        <v>2786</v>
      </c>
      <c r="G3999" s="49" t="s">
        <v>2901</v>
      </c>
      <c r="H3999" s="49" t="s">
        <v>980</v>
      </c>
      <c r="I3999" s="50">
        <v>45356</v>
      </c>
      <c r="J3999" s="50">
        <v>45359</v>
      </c>
      <c r="K3999" s="50">
        <v>45723</v>
      </c>
      <c r="M3999" s="49" t="s">
        <v>6420</v>
      </c>
    </row>
    <row r="4000" spans="1:13" x14ac:dyDescent="0.35">
      <c r="A4000" s="49" t="s">
        <v>14997</v>
      </c>
      <c r="B4000" s="49" t="s">
        <v>3166</v>
      </c>
      <c r="C4000" s="49" t="s">
        <v>3167</v>
      </c>
      <c r="D4000" s="49" t="s">
        <v>1264</v>
      </c>
      <c r="E4000" s="49" t="s">
        <v>2986</v>
      </c>
      <c r="F4000" s="49" t="s">
        <v>2825</v>
      </c>
      <c r="G4000" s="49" t="s">
        <v>2787</v>
      </c>
      <c r="H4000" s="49" t="s">
        <v>2827</v>
      </c>
      <c r="I4000" s="50">
        <v>40735</v>
      </c>
      <c r="J4000" s="50">
        <v>40862</v>
      </c>
      <c r="K4000" s="50">
        <v>45417</v>
      </c>
      <c r="L4000" s="50">
        <v>42610</v>
      </c>
      <c r="M4000" s="49" t="s">
        <v>3169</v>
      </c>
    </row>
    <row r="4001" spans="1:13" x14ac:dyDescent="0.35">
      <c r="A4001" s="49" t="s">
        <v>10272</v>
      </c>
      <c r="B4001" s="49" t="s">
        <v>10271</v>
      </c>
      <c r="C4001" s="49"/>
      <c r="D4001" s="49" t="s">
        <v>1264</v>
      </c>
      <c r="E4001" s="49" t="s">
        <v>2814</v>
      </c>
      <c r="F4001" s="49" t="s">
        <v>2825</v>
      </c>
      <c r="G4001" s="49" t="s">
        <v>2776</v>
      </c>
      <c r="H4001" s="49" t="s">
        <v>2827</v>
      </c>
      <c r="I4001" s="50">
        <v>42418</v>
      </c>
      <c r="M4001" s="49" t="s">
        <v>3470</v>
      </c>
    </row>
    <row r="4002" spans="1:13" x14ac:dyDescent="0.35">
      <c r="A4002" s="49" t="s">
        <v>15244</v>
      </c>
      <c r="B4002" s="49" t="s">
        <v>7031</v>
      </c>
      <c r="C4002" s="49" t="s">
        <v>7032</v>
      </c>
      <c r="D4002" s="49" t="s">
        <v>1264</v>
      </c>
      <c r="E4002" s="49" t="s">
        <v>2774</v>
      </c>
      <c r="F4002" s="49" t="s">
        <v>2825</v>
      </c>
      <c r="G4002" s="49" t="s">
        <v>2776</v>
      </c>
      <c r="H4002" s="49" t="s">
        <v>2827</v>
      </c>
      <c r="I4002" s="50">
        <v>41394</v>
      </c>
      <c r="M4002" s="49" t="s">
        <v>7034</v>
      </c>
    </row>
    <row r="4003" spans="1:13" x14ac:dyDescent="0.35">
      <c r="A4003" s="49" t="s">
        <v>15244</v>
      </c>
      <c r="B4003" s="49" t="s">
        <v>8732</v>
      </c>
      <c r="C4003" s="49" t="s">
        <v>8733</v>
      </c>
      <c r="D4003" s="49" t="s">
        <v>1264</v>
      </c>
      <c r="E4003" s="49" t="s">
        <v>2774</v>
      </c>
      <c r="F4003" s="49" t="s">
        <v>2825</v>
      </c>
      <c r="G4003" s="49" t="s">
        <v>2776</v>
      </c>
      <c r="H4003" s="49" t="s">
        <v>2827</v>
      </c>
      <c r="I4003" s="50">
        <v>41716</v>
      </c>
      <c r="M4003" s="49" t="s">
        <v>8734</v>
      </c>
    </row>
    <row r="4004" spans="1:13" x14ac:dyDescent="0.35">
      <c r="A4004" s="49" t="s">
        <v>15244</v>
      </c>
      <c r="B4004" s="49" t="s">
        <v>8898</v>
      </c>
      <c r="C4004" s="49"/>
      <c r="D4004" s="49" t="s">
        <v>1264</v>
      </c>
      <c r="E4004" s="49" t="s">
        <v>2814</v>
      </c>
      <c r="F4004" s="49" t="s">
        <v>2805</v>
      </c>
      <c r="G4004" s="49" t="s">
        <v>2787</v>
      </c>
      <c r="H4004" s="49" t="s">
        <v>2827</v>
      </c>
      <c r="I4004" s="50">
        <v>41667</v>
      </c>
      <c r="J4004" s="50">
        <v>41719</v>
      </c>
      <c r="K4004" s="50">
        <v>41902</v>
      </c>
      <c r="M4004" s="49" t="s">
        <v>8899</v>
      </c>
    </row>
    <row r="4005" spans="1:13" x14ac:dyDescent="0.35">
      <c r="A4005" s="49" t="s">
        <v>15245</v>
      </c>
      <c r="B4005" s="49" t="s">
        <v>12153</v>
      </c>
      <c r="C4005" s="49" t="s">
        <v>12150</v>
      </c>
      <c r="D4005" s="49" t="s">
        <v>1264</v>
      </c>
      <c r="E4005" s="49" t="s">
        <v>2986</v>
      </c>
      <c r="F4005" s="49" t="s">
        <v>2825</v>
      </c>
      <c r="G4005" s="49" t="s">
        <v>4891</v>
      </c>
      <c r="H4005" s="49" t="s">
        <v>2827</v>
      </c>
      <c r="I4005" s="50">
        <v>45331</v>
      </c>
      <c r="M4005" s="49" t="s">
        <v>5241</v>
      </c>
    </row>
    <row r="4006" spans="1:13" x14ac:dyDescent="0.35">
      <c r="A4006" s="49" t="s">
        <v>14620</v>
      </c>
      <c r="B4006" s="49" t="s">
        <v>11940</v>
      </c>
      <c r="C4006" s="49" t="s">
        <v>4555</v>
      </c>
      <c r="D4006" s="49" t="s">
        <v>1264</v>
      </c>
      <c r="E4006" s="49" t="s">
        <v>2908</v>
      </c>
      <c r="F4006" s="49" t="s">
        <v>2837</v>
      </c>
      <c r="G4006" s="49" t="s">
        <v>4891</v>
      </c>
      <c r="H4006" s="49" t="s">
        <v>980</v>
      </c>
      <c r="I4006" s="50">
        <v>45306</v>
      </c>
      <c r="M4006" s="49" t="s">
        <v>11942</v>
      </c>
    </row>
    <row r="4007" spans="1:13" x14ac:dyDescent="0.35">
      <c r="A4007" s="49" t="s">
        <v>14620</v>
      </c>
      <c r="B4007" s="49" t="s">
        <v>12084</v>
      </c>
      <c r="C4007" s="49"/>
      <c r="D4007" s="49" t="s">
        <v>1264</v>
      </c>
      <c r="E4007" s="49" t="s">
        <v>2814</v>
      </c>
      <c r="F4007" s="49" t="s">
        <v>3188</v>
      </c>
      <c r="G4007" s="49" t="s">
        <v>2776</v>
      </c>
      <c r="H4007" s="49" t="s">
        <v>973</v>
      </c>
      <c r="I4007" s="50">
        <v>45330</v>
      </c>
      <c r="M4007" s="49" t="s">
        <v>12085</v>
      </c>
    </row>
    <row r="4008" spans="1:13" x14ac:dyDescent="0.35">
      <c r="A4008" s="49" t="s">
        <v>14620</v>
      </c>
      <c r="B4008" s="49" t="s">
        <v>5225</v>
      </c>
      <c r="C4008" s="49"/>
      <c r="D4008" s="49" t="s">
        <v>1264</v>
      </c>
      <c r="E4008" s="49" t="s">
        <v>2814</v>
      </c>
      <c r="F4008" s="49" t="s">
        <v>2825</v>
      </c>
      <c r="G4008" s="49" t="s">
        <v>2787</v>
      </c>
      <c r="H4008" s="49" t="s">
        <v>2827</v>
      </c>
      <c r="I4008" s="50">
        <v>44897</v>
      </c>
      <c r="J4008" s="50">
        <v>44915</v>
      </c>
      <c r="K4008" s="50">
        <v>45279</v>
      </c>
      <c r="M4008" s="49" t="s">
        <v>5227</v>
      </c>
    </row>
    <row r="4009" spans="1:13" x14ac:dyDescent="0.35">
      <c r="A4009" s="49" t="s">
        <v>14620</v>
      </c>
      <c r="B4009" s="49" t="s">
        <v>6091</v>
      </c>
      <c r="C4009" s="49" t="s">
        <v>6092</v>
      </c>
      <c r="D4009" s="49" t="s">
        <v>1264</v>
      </c>
      <c r="E4009" s="49" t="s">
        <v>2785</v>
      </c>
      <c r="F4009" s="49" t="s">
        <v>3898</v>
      </c>
      <c r="G4009" s="49" t="s">
        <v>2776</v>
      </c>
      <c r="H4009" s="49" t="s">
        <v>2827</v>
      </c>
      <c r="I4009" s="50">
        <v>45287</v>
      </c>
      <c r="M4009" s="49" t="s">
        <v>6093</v>
      </c>
    </row>
    <row r="4010" spans="1:13" x14ac:dyDescent="0.35">
      <c r="A4010" s="49" t="s">
        <v>15546</v>
      </c>
      <c r="B4010" s="49" t="s">
        <v>3926</v>
      </c>
      <c r="C4010" s="49"/>
      <c r="D4010" s="49" t="s">
        <v>1264</v>
      </c>
      <c r="E4010" s="49" t="s">
        <v>2785</v>
      </c>
      <c r="F4010" s="49" t="s">
        <v>2786</v>
      </c>
      <c r="G4010" s="49" t="s">
        <v>2787</v>
      </c>
      <c r="H4010" s="49" t="s">
        <v>980</v>
      </c>
      <c r="I4010" s="50">
        <v>43726</v>
      </c>
      <c r="J4010" s="50">
        <v>44062</v>
      </c>
      <c r="K4010" s="50">
        <v>45511</v>
      </c>
      <c r="M4010" s="49" t="s">
        <v>3928</v>
      </c>
    </row>
    <row r="4011" spans="1:13" x14ac:dyDescent="0.35">
      <c r="A4011" s="49" t="s">
        <v>15546</v>
      </c>
      <c r="B4011" s="49" t="s">
        <v>7154</v>
      </c>
      <c r="C4011" s="49" t="s">
        <v>3881</v>
      </c>
      <c r="D4011" s="49" t="s">
        <v>1264</v>
      </c>
      <c r="E4011" s="49" t="s">
        <v>2785</v>
      </c>
      <c r="F4011" s="49" t="s">
        <v>2786</v>
      </c>
      <c r="G4011" s="49" t="s">
        <v>2787</v>
      </c>
      <c r="H4011" s="49" t="s">
        <v>980</v>
      </c>
      <c r="I4011" s="50">
        <v>43306</v>
      </c>
      <c r="J4011" s="50">
        <v>43514</v>
      </c>
      <c r="K4011" s="50">
        <v>43694</v>
      </c>
      <c r="M4011" s="49" t="s">
        <v>7155</v>
      </c>
    </row>
    <row r="4012" spans="1:13" x14ac:dyDescent="0.35">
      <c r="A4012" s="49" t="s">
        <v>15546</v>
      </c>
      <c r="B4012" s="49" t="s">
        <v>9262</v>
      </c>
      <c r="C4012" s="49"/>
      <c r="D4012" s="49" t="s">
        <v>1264</v>
      </c>
      <c r="E4012" s="49" t="s">
        <v>2908</v>
      </c>
      <c r="F4012" s="49" t="s">
        <v>2837</v>
      </c>
      <c r="G4012" s="49" t="s">
        <v>2776</v>
      </c>
      <c r="H4012" s="49" t="s">
        <v>2827</v>
      </c>
      <c r="I4012" s="50">
        <v>43276</v>
      </c>
      <c r="M4012" s="49" t="s">
        <v>9263</v>
      </c>
    </row>
    <row r="4013" spans="1:13" x14ac:dyDescent="0.35">
      <c r="A4013" s="49" t="s">
        <v>15546</v>
      </c>
      <c r="B4013" s="49" t="s">
        <v>9272</v>
      </c>
      <c r="C4013" s="49"/>
      <c r="D4013" s="49" t="s">
        <v>1264</v>
      </c>
      <c r="E4013" s="49" t="s">
        <v>2908</v>
      </c>
      <c r="F4013" s="49" t="s">
        <v>2939</v>
      </c>
      <c r="G4013" s="49" t="s">
        <v>2776</v>
      </c>
      <c r="H4013" s="49" t="s">
        <v>980</v>
      </c>
      <c r="I4013" s="50">
        <v>43306</v>
      </c>
      <c r="M4013" s="49" t="s">
        <v>9273</v>
      </c>
    </row>
    <row r="4014" spans="1:13" x14ac:dyDescent="0.35">
      <c r="A4014" s="49" t="s">
        <v>14091</v>
      </c>
      <c r="B4014" s="49" t="s">
        <v>3243</v>
      </c>
      <c r="C4014" s="49" t="s">
        <v>3244</v>
      </c>
      <c r="D4014" s="49" t="s">
        <v>1264</v>
      </c>
      <c r="E4014" s="49" t="s">
        <v>2774</v>
      </c>
      <c r="F4014" s="49" t="s">
        <v>2825</v>
      </c>
      <c r="G4014" s="49" t="s">
        <v>2975</v>
      </c>
      <c r="H4014" s="49" t="s">
        <v>2827</v>
      </c>
      <c r="I4014" s="50">
        <v>41193</v>
      </c>
      <c r="J4014" s="50">
        <v>40981</v>
      </c>
      <c r="K4014" s="50">
        <v>42075</v>
      </c>
      <c r="M4014" s="49" t="s">
        <v>3246</v>
      </c>
    </row>
    <row r="4015" spans="1:13" x14ac:dyDescent="0.35">
      <c r="A4015" s="49" t="s">
        <v>14091</v>
      </c>
      <c r="B4015" s="49" t="s">
        <v>7892</v>
      </c>
      <c r="C4015" s="49" t="s">
        <v>7893</v>
      </c>
      <c r="D4015" s="49" t="s">
        <v>1264</v>
      </c>
      <c r="E4015" s="49" t="s">
        <v>2774</v>
      </c>
      <c r="F4015" s="49" t="s">
        <v>3781</v>
      </c>
      <c r="G4015" s="49" t="s">
        <v>2787</v>
      </c>
      <c r="H4015" s="49" t="s">
        <v>2827</v>
      </c>
      <c r="I4015" s="50">
        <v>40186</v>
      </c>
      <c r="J4015" s="50">
        <v>40276</v>
      </c>
      <c r="K4015" s="50">
        <v>43561</v>
      </c>
      <c r="M4015" s="49" t="s">
        <v>7894</v>
      </c>
    </row>
    <row r="4016" spans="1:13" x14ac:dyDescent="0.35">
      <c r="A4016" s="49" t="s">
        <v>14091</v>
      </c>
      <c r="B4016" s="49" t="s">
        <v>8548</v>
      </c>
      <c r="C4016" s="49" t="s">
        <v>8549</v>
      </c>
      <c r="D4016" s="49" t="s">
        <v>1264</v>
      </c>
      <c r="E4016" s="49" t="s">
        <v>2774</v>
      </c>
      <c r="F4016" s="49" t="s">
        <v>2780</v>
      </c>
      <c r="G4016" s="49" t="s">
        <v>2787</v>
      </c>
      <c r="H4016" s="49" t="s">
        <v>1062</v>
      </c>
      <c r="I4016" s="50">
        <v>41193</v>
      </c>
      <c r="J4016" s="50">
        <v>41516</v>
      </c>
      <c r="K4016" s="50">
        <v>43705</v>
      </c>
      <c r="M4016" s="49" t="s">
        <v>8550</v>
      </c>
    </row>
    <row r="4017" spans="1:13" x14ac:dyDescent="0.35">
      <c r="A4017" s="49" t="s">
        <v>14091</v>
      </c>
      <c r="B4017" s="49" t="s">
        <v>10740</v>
      </c>
      <c r="C4017" s="49" t="s">
        <v>3593</v>
      </c>
      <c r="D4017" s="49" t="s">
        <v>1264</v>
      </c>
      <c r="E4017" s="49" t="s">
        <v>2774</v>
      </c>
      <c r="F4017" s="49" t="s">
        <v>2825</v>
      </c>
      <c r="G4017" s="49" t="s">
        <v>2776</v>
      </c>
      <c r="H4017" s="49" t="s">
        <v>973</v>
      </c>
      <c r="I4017" s="50">
        <v>41806</v>
      </c>
      <c r="M4017" s="49" t="s">
        <v>10741</v>
      </c>
    </row>
    <row r="4018" spans="1:13" x14ac:dyDescent="0.35">
      <c r="A4018" s="49" t="s">
        <v>14091</v>
      </c>
      <c r="B4018" s="49" t="s">
        <v>13876</v>
      </c>
      <c r="C4018" s="49"/>
      <c r="D4018" s="49" t="s">
        <v>1264</v>
      </c>
      <c r="E4018" s="49" t="s">
        <v>2774</v>
      </c>
      <c r="F4018" s="49" t="s">
        <v>2900</v>
      </c>
      <c r="G4018" s="49" t="s">
        <v>2776</v>
      </c>
      <c r="H4018" s="49" t="s">
        <v>2827</v>
      </c>
      <c r="I4018" s="50">
        <v>41481</v>
      </c>
      <c r="M4018" s="49" t="s">
        <v>13877</v>
      </c>
    </row>
    <row r="4019" spans="1:13" x14ac:dyDescent="0.35">
      <c r="A4019" s="49" t="s">
        <v>14091</v>
      </c>
      <c r="B4019" s="49" t="s">
        <v>14004</v>
      </c>
      <c r="C4019" s="49" t="s">
        <v>4845</v>
      </c>
      <c r="D4019" s="49" t="s">
        <v>1264</v>
      </c>
      <c r="E4019" s="49" t="s">
        <v>2774</v>
      </c>
      <c r="F4019" s="49" t="s">
        <v>2825</v>
      </c>
      <c r="G4019" s="49" t="s">
        <v>2787</v>
      </c>
      <c r="H4019" s="49" t="s">
        <v>2827</v>
      </c>
      <c r="I4019" s="50">
        <v>42087</v>
      </c>
      <c r="M4019" s="49" t="s">
        <v>14005</v>
      </c>
    </row>
    <row r="4020" spans="1:13" x14ac:dyDescent="0.35">
      <c r="A4020" s="49" t="s">
        <v>15547</v>
      </c>
      <c r="B4020" s="49" t="s">
        <v>4781</v>
      </c>
      <c r="C4020" s="49"/>
      <c r="D4020" s="49" t="s">
        <v>1264</v>
      </c>
      <c r="E4020" s="49" t="s">
        <v>2814</v>
      </c>
      <c r="F4020" s="49" t="s">
        <v>2825</v>
      </c>
      <c r="G4020" s="49" t="s">
        <v>2787</v>
      </c>
      <c r="H4020" s="49" t="s">
        <v>2827</v>
      </c>
      <c r="I4020" s="50">
        <v>44623</v>
      </c>
      <c r="J4020" s="50">
        <v>44692</v>
      </c>
      <c r="K4020" s="50">
        <v>44875</v>
      </c>
      <c r="M4020" s="49" t="s">
        <v>4783</v>
      </c>
    </row>
    <row r="4021" spans="1:13" x14ac:dyDescent="0.35">
      <c r="A4021" s="49" t="s">
        <v>15548</v>
      </c>
      <c r="B4021" s="49" t="s">
        <v>8878</v>
      </c>
      <c r="C4021" s="49"/>
      <c r="D4021" s="49" t="s">
        <v>1264</v>
      </c>
      <c r="E4021" s="49" t="s">
        <v>2814</v>
      </c>
      <c r="F4021" s="49" t="s">
        <v>2837</v>
      </c>
      <c r="G4021" s="49" t="s">
        <v>2787</v>
      </c>
      <c r="H4021" s="49" t="s">
        <v>980</v>
      </c>
      <c r="I4021" s="50">
        <v>41284</v>
      </c>
      <c r="J4021" s="50">
        <v>41288</v>
      </c>
      <c r="K4021" s="50">
        <v>41468</v>
      </c>
      <c r="M4021" s="49" t="s">
        <v>8880</v>
      </c>
    </row>
    <row r="4022" spans="1:13" x14ac:dyDescent="0.35">
      <c r="A4022" s="49" t="s">
        <v>10684</v>
      </c>
      <c r="B4022" s="49" t="s">
        <v>3055</v>
      </c>
      <c r="C4022" s="49" t="s">
        <v>2891</v>
      </c>
      <c r="D4022" s="49" t="s">
        <v>1264</v>
      </c>
      <c r="E4022" s="49" t="s">
        <v>2908</v>
      </c>
      <c r="F4022" s="49" t="s">
        <v>2837</v>
      </c>
      <c r="G4022" s="49" t="s">
        <v>2787</v>
      </c>
      <c r="H4022" s="49" t="s">
        <v>980</v>
      </c>
      <c r="I4022" s="50">
        <v>39771</v>
      </c>
      <c r="J4022" s="50">
        <v>40128</v>
      </c>
      <c r="K4022" s="50">
        <v>45533</v>
      </c>
      <c r="M4022" s="49" t="s">
        <v>3057</v>
      </c>
    </row>
    <row r="4023" spans="1:13" x14ac:dyDescent="0.35">
      <c r="A4023" s="49" t="s">
        <v>10684</v>
      </c>
      <c r="B4023" s="49" t="s">
        <v>3530</v>
      </c>
      <c r="C4023" s="49" t="s">
        <v>3531</v>
      </c>
      <c r="D4023" s="49" t="s">
        <v>1264</v>
      </c>
      <c r="E4023" s="49" t="s">
        <v>2774</v>
      </c>
      <c r="F4023" s="49" t="s">
        <v>2825</v>
      </c>
      <c r="G4023" s="49" t="s">
        <v>2901</v>
      </c>
      <c r="H4023" s="49" t="s">
        <v>2827</v>
      </c>
      <c r="I4023" s="50">
        <v>42688</v>
      </c>
      <c r="J4023" s="50">
        <v>43179</v>
      </c>
      <c r="K4023" s="50">
        <v>45736</v>
      </c>
      <c r="M4023" s="49" t="s">
        <v>3532</v>
      </c>
    </row>
    <row r="4024" spans="1:13" x14ac:dyDescent="0.35">
      <c r="A4024" s="49" t="s">
        <v>10684</v>
      </c>
      <c r="B4024" s="49" t="s">
        <v>8166</v>
      </c>
      <c r="C4024" s="49" t="s">
        <v>8167</v>
      </c>
      <c r="D4024" s="49" t="s">
        <v>1264</v>
      </c>
      <c r="E4024" s="49" t="s">
        <v>2774</v>
      </c>
      <c r="F4024" s="49" t="s">
        <v>3598</v>
      </c>
      <c r="G4024" s="49" t="s">
        <v>2826</v>
      </c>
      <c r="H4024" s="49" t="s">
        <v>2827</v>
      </c>
      <c r="I4024" s="50">
        <v>37658</v>
      </c>
      <c r="J4024" s="50">
        <v>38243</v>
      </c>
      <c r="K4024" s="50">
        <v>42625</v>
      </c>
      <c r="M4024" s="49" t="s">
        <v>8168</v>
      </c>
    </row>
    <row r="4025" spans="1:13" x14ac:dyDescent="0.35">
      <c r="A4025" s="49" t="s">
        <v>10684</v>
      </c>
      <c r="B4025" s="49" t="s">
        <v>8334</v>
      </c>
      <c r="C4025" s="49"/>
      <c r="D4025" s="49" t="s">
        <v>1264</v>
      </c>
      <c r="E4025" s="49" t="s">
        <v>2908</v>
      </c>
      <c r="F4025" s="49" t="s">
        <v>2837</v>
      </c>
      <c r="G4025" s="49" t="s">
        <v>2975</v>
      </c>
      <c r="H4025" s="49" t="s">
        <v>2827</v>
      </c>
      <c r="I4025" s="50">
        <v>40974</v>
      </c>
      <c r="J4025" s="50">
        <v>41446</v>
      </c>
      <c r="K4025" s="50">
        <v>42342</v>
      </c>
      <c r="M4025" s="49" t="s">
        <v>8335</v>
      </c>
    </row>
    <row r="4026" spans="1:13" x14ac:dyDescent="0.35">
      <c r="A4026" s="49" t="s">
        <v>10684</v>
      </c>
      <c r="B4026" s="49" t="s">
        <v>9095</v>
      </c>
      <c r="C4026" s="49" t="s">
        <v>9096</v>
      </c>
      <c r="D4026" s="49" t="s">
        <v>1264</v>
      </c>
      <c r="E4026" s="49" t="s">
        <v>3413</v>
      </c>
      <c r="F4026" s="49" t="s">
        <v>2825</v>
      </c>
      <c r="G4026" s="49" t="s">
        <v>2787</v>
      </c>
      <c r="H4026" s="49" t="s">
        <v>2827</v>
      </c>
      <c r="I4026" s="50">
        <v>40041</v>
      </c>
      <c r="J4026" s="50">
        <v>40403</v>
      </c>
      <c r="K4026" s="50">
        <v>42228</v>
      </c>
      <c r="M4026" s="49" t="s">
        <v>9098</v>
      </c>
    </row>
    <row r="4027" spans="1:13" x14ac:dyDescent="0.35">
      <c r="A4027" s="49" t="s">
        <v>10684</v>
      </c>
      <c r="B4027" s="49" t="s">
        <v>10682</v>
      </c>
      <c r="C4027" s="49" t="s">
        <v>10683</v>
      </c>
      <c r="D4027" s="49" t="s">
        <v>1264</v>
      </c>
      <c r="E4027" s="49" t="s">
        <v>2899</v>
      </c>
      <c r="F4027" s="49" t="s">
        <v>2825</v>
      </c>
      <c r="G4027" s="49" t="s">
        <v>2826</v>
      </c>
      <c r="H4027" s="49" t="s">
        <v>2827</v>
      </c>
      <c r="I4027" s="50">
        <v>42227</v>
      </c>
      <c r="M4027" s="49" t="s">
        <v>3470</v>
      </c>
    </row>
    <row r="4028" spans="1:13" x14ac:dyDescent="0.35">
      <c r="A4028" s="49" t="s">
        <v>10684</v>
      </c>
      <c r="B4028" s="49" t="s">
        <v>13998</v>
      </c>
      <c r="C4028" s="49" t="s">
        <v>13999</v>
      </c>
      <c r="D4028" s="49" t="s">
        <v>1264</v>
      </c>
      <c r="E4028" s="49" t="s">
        <v>2774</v>
      </c>
      <c r="F4028" s="49" t="s">
        <v>3598</v>
      </c>
      <c r="G4028" s="49" t="s">
        <v>2776</v>
      </c>
      <c r="H4028" s="49" t="s">
        <v>973</v>
      </c>
      <c r="I4028" s="50">
        <v>41724</v>
      </c>
      <c r="M4028" s="49" t="s">
        <v>14000</v>
      </c>
    </row>
    <row r="4029" spans="1:13" x14ac:dyDescent="0.35">
      <c r="A4029" s="49" t="s">
        <v>10684</v>
      </c>
      <c r="B4029" s="49" t="s">
        <v>14029</v>
      </c>
      <c r="C4029" s="49"/>
      <c r="D4029" s="49" t="s">
        <v>1264</v>
      </c>
      <c r="E4029" s="49" t="s">
        <v>2774</v>
      </c>
      <c r="F4029" s="49" t="s">
        <v>2900</v>
      </c>
      <c r="G4029" s="49" t="s">
        <v>2776</v>
      </c>
      <c r="H4029" s="49" t="s">
        <v>3229</v>
      </c>
      <c r="I4029" s="50">
        <v>40535</v>
      </c>
      <c r="M4029" s="49" t="s">
        <v>14030</v>
      </c>
    </row>
    <row r="4030" spans="1:13" x14ac:dyDescent="0.35">
      <c r="A4030" s="49" t="s">
        <v>15627</v>
      </c>
      <c r="B4030" s="49" t="s">
        <v>5445</v>
      </c>
      <c r="C4030" s="49" t="s">
        <v>5446</v>
      </c>
      <c r="D4030" s="49" t="s">
        <v>1264</v>
      </c>
      <c r="E4030" s="49" t="s">
        <v>2774</v>
      </c>
      <c r="F4030" s="49" t="s">
        <v>2900</v>
      </c>
      <c r="G4030" s="49" t="s">
        <v>2901</v>
      </c>
      <c r="H4030" s="49" t="s">
        <v>2832</v>
      </c>
      <c r="I4030" s="50">
        <v>44692</v>
      </c>
      <c r="J4030" s="50">
        <v>44958</v>
      </c>
      <c r="K4030" s="50">
        <v>46418</v>
      </c>
      <c r="M4030" s="49" t="s">
        <v>5448</v>
      </c>
    </row>
    <row r="4031" spans="1:13" x14ac:dyDescent="0.35">
      <c r="A4031" s="49" t="s">
        <v>15627</v>
      </c>
      <c r="B4031" s="49" t="s">
        <v>6505</v>
      </c>
      <c r="C4031" s="49" t="s">
        <v>6506</v>
      </c>
      <c r="D4031" s="49" t="s">
        <v>1264</v>
      </c>
      <c r="E4031" s="49" t="s">
        <v>2774</v>
      </c>
      <c r="F4031" s="49" t="s">
        <v>2900</v>
      </c>
      <c r="G4031" s="49" t="s">
        <v>2901</v>
      </c>
      <c r="H4031" s="49" t="s">
        <v>2827</v>
      </c>
      <c r="I4031" s="50">
        <v>45140</v>
      </c>
      <c r="J4031" s="50">
        <v>45357</v>
      </c>
      <c r="K4031" s="50">
        <v>46817</v>
      </c>
      <c r="M4031" s="49" t="s">
        <v>6507</v>
      </c>
    </row>
    <row r="4032" spans="1:13" x14ac:dyDescent="0.35">
      <c r="A4032" s="49" t="s">
        <v>15627</v>
      </c>
      <c r="B4032" s="49" t="s">
        <v>6597</v>
      </c>
      <c r="C4032" s="49" t="s">
        <v>6598</v>
      </c>
      <c r="D4032" s="49" t="s">
        <v>1264</v>
      </c>
      <c r="E4032" s="49" t="s">
        <v>2974</v>
      </c>
      <c r="F4032" s="49" t="s">
        <v>2900</v>
      </c>
      <c r="G4032" s="49" t="s">
        <v>2901</v>
      </c>
      <c r="H4032" s="49" t="s">
        <v>2832</v>
      </c>
      <c r="I4032" s="50">
        <v>45345</v>
      </c>
      <c r="J4032" s="50">
        <v>45378</v>
      </c>
      <c r="K4032" s="50">
        <v>47203</v>
      </c>
      <c r="M4032" s="49" t="s">
        <v>6599</v>
      </c>
    </row>
    <row r="4033" spans="1:13" x14ac:dyDescent="0.35">
      <c r="A4033" s="49" t="s">
        <v>15627</v>
      </c>
      <c r="B4033" s="49" t="s">
        <v>10566</v>
      </c>
      <c r="C4033" s="49"/>
      <c r="D4033" s="49" t="s">
        <v>1264</v>
      </c>
      <c r="E4033" s="49" t="s">
        <v>2814</v>
      </c>
      <c r="F4033" s="49" t="s">
        <v>3648</v>
      </c>
      <c r="G4033" s="49" t="s">
        <v>2776</v>
      </c>
      <c r="H4033" s="49" t="s">
        <v>980</v>
      </c>
      <c r="I4033" s="50">
        <v>42480</v>
      </c>
      <c r="M4033" s="49" t="s">
        <v>10567</v>
      </c>
    </row>
    <row r="4034" spans="1:13" x14ac:dyDescent="0.35">
      <c r="A4034" s="49" t="s">
        <v>15549</v>
      </c>
      <c r="B4034" s="49" t="s">
        <v>7969</v>
      </c>
      <c r="C4034" s="49" t="s">
        <v>7970</v>
      </c>
      <c r="D4034" s="49" t="s">
        <v>1264</v>
      </c>
      <c r="E4034" s="49" t="s">
        <v>7057</v>
      </c>
      <c r="F4034" s="49" t="s">
        <v>2825</v>
      </c>
      <c r="G4034" s="49" t="s">
        <v>2826</v>
      </c>
      <c r="H4034" s="49" t="s">
        <v>2827</v>
      </c>
      <c r="I4034" s="50">
        <v>40398</v>
      </c>
      <c r="J4034" s="50">
        <v>40667</v>
      </c>
      <c r="K4034" s="50">
        <v>41397</v>
      </c>
      <c r="M4034" s="49" t="s">
        <v>3100</v>
      </c>
    </row>
    <row r="4035" spans="1:13" x14ac:dyDescent="0.35">
      <c r="A4035" s="49" t="s">
        <v>14998</v>
      </c>
      <c r="B4035" s="49" t="s">
        <v>9904</v>
      </c>
      <c r="C4035" s="49" t="s">
        <v>9905</v>
      </c>
      <c r="D4035" s="49" t="s">
        <v>1264</v>
      </c>
      <c r="E4035" s="49" t="s">
        <v>7057</v>
      </c>
      <c r="F4035" s="49" t="s">
        <v>2825</v>
      </c>
      <c r="G4035" s="49" t="s">
        <v>2776</v>
      </c>
      <c r="H4035" s="49" t="s">
        <v>2827</v>
      </c>
      <c r="I4035" s="50">
        <v>42193</v>
      </c>
      <c r="M4035" s="49" t="s">
        <v>9907</v>
      </c>
    </row>
    <row r="4036" spans="1:13" x14ac:dyDescent="0.35">
      <c r="A4036" s="49" t="s">
        <v>14998</v>
      </c>
      <c r="B4036" s="49" t="s">
        <v>9959</v>
      </c>
      <c r="C4036" s="49" t="s">
        <v>9960</v>
      </c>
      <c r="D4036" s="49" t="s">
        <v>1264</v>
      </c>
      <c r="E4036" s="49" t="s">
        <v>7057</v>
      </c>
      <c r="F4036" s="49" t="s">
        <v>2825</v>
      </c>
      <c r="G4036" s="49" t="s">
        <v>2776</v>
      </c>
      <c r="H4036" s="49" t="s">
        <v>2827</v>
      </c>
      <c r="I4036" s="50">
        <v>42055</v>
      </c>
      <c r="M4036" s="49" t="s">
        <v>9961</v>
      </c>
    </row>
    <row r="4037" spans="1:13" x14ac:dyDescent="0.35">
      <c r="A4037" s="49" t="s">
        <v>14688</v>
      </c>
      <c r="B4037" s="49" t="s">
        <v>13934</v>
      </c>
      <c r="C4037" s="49" t="s">
        <v>13935</v>
      </c>
      <c r="D4037" s="49" t="s">
        <v>1264</v>
      </c>
      <c r="E4037" s="49" t="s">
        <v>2774</v>
      </c>
      <c r="F4037" s="49" t="s">
        <v>2900</v>
      </c>
      <c r="G4037" s="49" t="s">
        <v>2776</v>
      </c>
      <c r="H4037" s="49" t="s">
        <v>980</v>
      </c>
      <c r="I4037" s="50">
        <v>42038</v>
      </c>
      <c r="M4037" s="49" t="s">
        <v>13937</v>
      </c>
    </row>
    <row r="4038" spans="1:13" x14ac:dyDescent="0.35">
      <c r="A4038" s="49" t="s">
        <v>816</v>
      </c>
      <c r="B4038" s="49" t="s">
        <v>5802</v>
      </c>
      <c r="C4038" s="49" t="s">
        <v>5803</v>
      </c>
      <c r="D4038" s="49" t="s">
        <v>1264</v>
      </c>
      <c r="E4038" s="49" t="s">
        <v>2986</v>
      </c>
      <c r="F4038" s="49" t="s">
        <v>2825</v>
      </c>
      <c r="G4038" s="49" t="s">
        <v>2901</v>
      </c>
      <c r="H4038" s="49" t="s">
        <v>2827</v>
      </c>
      <c r="I4038" s="50">
        <v>45058</v>
      </c>
      <c r="J4038" s="50">
        <v>45083</v>
      </c>
      <c r="K4038" s="50">
        <v>46178</v>
      </c>
      <c r="M4038" s="49" t="s">
        <v>5805</v>
      </c>
    </row>
    <row r="4039" spans="1:13" x14ac:dyDescent="0.35">
      <c r="A4039" s="49" t="s">
        <v>816</v>
      </c>
      <c r="B4039" s="49" t="s">
        <v>11363</v>
      </c>
      <c r="C4039" s="49" t="s">
        <v>11364</v>
      </c>
      <c r="D4039" s="49" t="s">
        <v>1264</v>
      </c>
      <c r="E4039" s="49" t="s">
        <v>2986</v>
      </c>
      <c r="F4039" s="49" t="s">
        <v>2825</v>
      </c>
      <c r="G4039" s="49" t="s">
        <v>2776</v>
      </c>
      <c r="H4039" s="49" t="s">
        <v>2827</v>
      </c>
      <c r="I4039" s="50">
        <v>45034</v>
      </c>
      <c r="M4039" s="49" t="s">
        <v>11365</v>
      </c>
    </row>
    <row r="4040" spans="1:13" x14ac:dyDescent="0.35">
      <c r="A4040" s="49" t="s">
        <v>816</v>
      </c>
      <c r="B4040" s="49" t="s">
        <v>11425</v>
      </c>
      <c r="C4040" s="49" t="s">
        <v>11426</v>
      </c>
      <c r="D4040" s="49" t="s">
        <v>1264</v>
      </c>
      <c r="E4040" s="49" t="s">
        <v>2986</v>
      </c>
      <c r="F4040" s="49" t="s">
        <v>2825</v>
      </c>
      <c r="G4040" s="49" t="s">
        <v>2776</v>
      </c>
      <c r="H4040" s="49" t="s">
        <v>2827</v>
      </c>
      <c r="I4040" s="50">
        <v>45093</v>
      </c>
      <c r="M4040" s="49" t="s">
        <v>11428</v>
      </c>
    </row>
    <row r="4041" spans="1:13" x14ac:dyDescent="0.35">
      <c r="A4041" s="49" t="s">
        <v>816</v>
      </c>
      <c r="B4041" s="49" t="s">
        <v>11429</v>
      </c>
      <c r="C4041" s="49" t="s">
        <v>11430</v>
      </c>
      <c r="D4041" s="49" t="s">
        <v>1264</v>
      </c>
      <c r="E4041" s="49" t="s">
        <v>2986</v>
      </c>
      <c r="F4041" s="49" t="s">
        <v>2825</v>
      </c>
      <c r="G4041" s="49" t="s">
        <v>2776</v>
      </c>
      <c r="H4041" s="49" t="s">
        <v>2827</v>
      </c>
      <c r="I4041" s="50">
        <v>45093</v>
      </c>
      <c r="M4041" s="49" t="s">
        <v>5155</v>
      </c>
    </row>
    <row r="4042" spans="1:13" x14ac:dyDescent="0.35">
      <c r="A4042" s="49" t="s">
        <v>14999</v>
      </c>
      <c r="B4042" s="49" t="s">
        <v>8569</v>
      </c>
      <c r="C4042" s="49" t="s">
        <v>7332</v>
      </c>
      <c r="D4042" s="49" t="s">
        <v>1264</v>
      </c>
      <c r="E4042" s="49" t="s">
        <v>2908</v>
      </c>
      <c r="F4042" s="49" t="s">
        <v>3010</v>
      </c>
      <c r="G4042" s="49" t="s">
        <v>2975</v>
      </c>
      <c r="H4042" s="49" t="s">
        <v>980</v>
      </c>
      <c r="I4042" s="50">
        <v>39190</v>
      </c>
      <c r="J4042" s="50">
        <v>41516</v>
      </c>
      <c r="K4042" s="50">
        <v>43341</v>
      </c>
      <c r="M4042" s="49" t="s">
        <v>7438</v>
      </c>
    </row>
    <row r="4043" spans="1:13" x14ac:dyDescent="0.35">
      <c r="A4043" s="49" t="s">
        <v>14999</v>
      </c>
      <c r="B4043" s="49" t="s">
        <v>9551</v>
      </c>
      <c r="C4043" s="49" t="s">
        <v>9552</v>
      </c>
      <c r="D4043" s="49" t="s">
        <v>1264</v>
      </c>
      <c r="E4043" s="49" t="s">
        <v>2785</v>
      </c>
      <c r="F4043" s="49" t="s">
        <v>2786</v>
      </c>
      <c r="G4043" s="49" t="s">
        <v>2776</v>
      </c>
      <c r="H4043" s="49" t="s">
        <v>8</v>
      </c>
      <c r="I4043" s="50">
        <v>42795</v>
      </c>
      <c r="M4043" s="49" t="s">
        <v>7438</v>
      </c>
    </row>
    <row r="4044" spans="1:13" x14ac:dyDescent="0.35">
      <c r="A4044" s="49" t="s">
        <v>14999</v>
      </c>
      <c r="B4044" s="49" t="s">
        <v>9575</v>
      </c>
      <c r="C4044" s="49" t="s">
        <v>3615</v>
      </c>
      <c r="D4044" s="49" t="s">
        <v>1264</v>
      </c>
      <c r="E4044" s="49" t="s">
        <v>2785</v>
      </c>
      <c r="F4044" s="49" t="s">
        <v>2786</v>
      </c>
      <c r="G4044" s="49" t="s">
        <v>2776</v>
      </c>
      <c r="H4044" s="49" t="s">
        <v>980</v>
      </c>
      <c r="I4044" s="50">
        <v>42879</v>
      </c>
      <c r="M4044" s="49" t="s">
        <v>9576</v>
      </c>
    </row>
    <row r="4045" spans="1:13" x14ac:dyDescent="0.35">
      <c r="A4045" s="49" t="s">
        <v>14459</v>
      </c>
      <c r="B4045" s="49" t="s">
        <v>8889</v>
      </c>
      <c r="C4045" s="49"/>
      <c r="D4045" s="49" t="s">
        <v>1264</v>
      </c>
      <c r="E4045" s="49" t="s">
        <v>2814</v>
      </c>
      <c r="F4045" s="49" t="s">
        <v>2825</v>
      </c>
      <c r="G4045" s="49" t="s">
        <v>2787</v>
      </c>
      <c r="H4045" s="49" t="s">
        <v>2827</v>
      </c>
      <c r="I4045" s="50">
        <v>43832</v>
      </c>
      <c r="J4045" s="50">
        <v>43888</v>
      </c>
      <c r="K4045" s="50">
        <v>44069</v>
      </c>
      <c r="M4045" s="49" t="s">
        <v>3270</v>
      </c>
    </row>
    <row r="4046" spans="1:13" x14ac:dyDescent="0.35">
      <c r="A4046" s="49" t="s">
        <v>14085</v>
      </c>
      <c r="B4046" s="49" t="s">
        <v>3157</v>
      </c>
      <c r="C4046" s="49"/>
      <c r="D4046" s="49" t="s">
        <v>1264</v>
      </c>
      <c r="E4046" s="49" t="s">
        <v>2908</v>
      </c>
      <c r="F4046" s="49" t="s">
        <v>2939</v>
      </c>
      <c r="G4046" s="49" t="s">
        <v>2787</v>
      </c>
      <c r="H4046" s="49" t="s">
        <v>980</v>
      </c>
      <c r="I4046" s="50">
        <v>40575</v>
      </c>
      <c r="J4046" s="50">
        <v>40575</v>
      </c>
      <c r="K4046" s="50">
        <v>44255</v>
      </c>
      <c r="M4046" s="49" t="s">
        <v>3159</v>
      </c>
    </row>
    <row r="4047" spans="1:13" x14ac:dyDescent="0.35">
      <c r="A4047" s="49" t="s">
        <v>14085</v>
      </c>
      <c r="B4047" s="49" t="s">
        <v>6906</v>
      </c>
      <c r="C4047" s="49"/>
      <c r="D4047" s="49" t="s">
        <v>1264</v>
      </c>
      <c r="E4047" s="49" t="s">
        <v>3413</v>
      </c>
      <c r="F4047" s="49" t="s">
        <v>2939</v>
      </c>
      <c r="G4047" s="49" t="s">
        <v>2901</v>
      </c>
      <c r="H4047" s="49" t="s">
        <v>980</v>
      </c>
      <c r="I4047" s="50">
        <v>45279</v>
      </c>
      <c r="J4047" s="50">
        <v>45336</v>
      </c>
      <c r="K4047" s="50">
        <v>52640</v>
      </c>
      <c r="M4047" s="49" t="s">
        <v>6907</v>
      </c>
    </row>
    <row r="4048" spans="1:13" x14ac:dyDescent="0.35">
      <c r="A4048" s="49" t="s">
        <v>14085</v>
      </c>
      <c r="B4048" s="49" t="s">
        <v>8205</v>
      </c>
      <c r="C4048" s="49" t="s">
        <v>8206</v>
      </c>
      <c r="D4048" s="49" t="s">
        <v>1264</v>
      </c>
      <c r="E4048" s="49" t="s">
        <v>2908</v>
      </c>
      <c r="F4048" s="49" t="s">
        <v>2939</v>
      </c>
      <c r="G4048" s="49" t="s">
        <v>2787</v>
      </c>
      <c r="H4048" s="49" t="s">
        <v>980</v>
      </c>
      <c r="I4048" s="50">
        <v>38961</v>
      </c>
      <c r="J4048" s="50">
        <v>39314</v>
      </c>
      <c r="K4048" s="50">
        <v>41140</v>
      </c>
      <c r="M4048" s="49" t="s">
        <v>8207</v>
      </c>
    </row>
    <row r="4049" spans="1:13" x14ac:dyDescent="0.35">
      <c r="A4049" s="49" t="s">
        <v>820</v>
      </c>
      <c r="B4049" s="49" t="s">
        <v>4833</v>
      </c>
      <c r="C4049" s="49" t="s">
        <v>4834</v>
      </c>
      <c r="D4049" s="49" t="s">
        <v>1264</v>
      </c>
      <c r="E4049" s="49" t="s">
        <v>2986</v>
      </c>
      <c r="F4049" s="49" t="s">
        <v>2825</v>
      </c>
      <c r="G4049" s="49" t="s">
        <v>2826</v>
      </c>
      <c r="H4049" s="49" t="s">
        <v>2827</v>
      </c>
      <c r="I4049" s="50">
        <v>44596</v>
      </c>
      <c r="J4049" s="50">
        <v>44659</v>
      </c>
      <c r="K4049" s="50">
        <v>44956</v>
      </c>
      <c r="M4049" s="49" t="s">
        <v>4836</v>
      </c>
    </row>
    <row r="4050" spans="1:13" x14ac:dyDescent="0.35">
      <c r="A4050" s="49" t="s">
        <v>820</v>
      </c>
      <c r="B4050" s="49" t="s">
        <v>4837</v>
      </c>
      <c r="C4050" s="49" t="s">
        <v>4838</v>
      </c>
      <c r="D4050" s="49" t="s">
        <v>1264</v>
      </c>
      <c r="E4050" s="49" t="s">
        <v>2986</v>
      </c>
      <c r="F4050" s="49" t="s">
        <v>2825</v>
      </c>
      <c r="G4050" s="49" t="s">
        <v>2826</v>
      </c>
      <c r="H4050" s="49" t="s">
        <v>2827</v>
      </c>
      <c r="I4050" s="50">
        <v>44596</v>
      </c>
      <c r="J4050" s="50">
        <v>44659</v>
      </c>
      <c r="K4050" s="50">
        <v>44957</v>
      </c>
      <c r="M4050" s="49" t="s">
        <v>4839</v>
      </c>
    </row>
    <row r="4051" spans="1:13" x14ac:dyDescent="0.35">
      <c r="A4051" s="49" t="s">
        <v>820</v>
      </c>
      <c r="B4051" s="49" t="s">
        <v>5295</v>
      </c>
      <c r="C4051" s="49" t="s">
        <v>5296</v>
      </c>
      <c r="D4051" s="49" t="s">
        <v>1264</v>
      </c>
      <c r="E4051" s="49" t="s">
        <v>2986</v>
      </c>
      <c r="F4051" s="49" t="s">
        <v>2825</v>
      </c>
      <c r="G4051" s="49" t="s">
        <v>2901</v>
      </c>
      <c r="H4051" s="49" t="s">
        <v>2827</v>
      </c>
      <c r="I4051" s="50">
        <v>44942</v>
      </c>
      <c r="J4051" s="50">
        <v>45041</v>
      </c>
      <c r="K4051" s="50">
        <v>46136</v>
      </c>
      <c r="M4051" s="49" t="s">
        <v>5297</v>
      </c>
    </row>
    <row r="4052" spans="1:13" x14ac:dyDescent="0.35">
      <c r="A4052" s="49" t="s">
        <v>820</v>
      </c>
      <c r="B4052" s="49" t="s">
        <v>5298</v>
      </c>
      <c r="C4052" s="49" t="s">
        <v>5299</v>
      </c>
      <c r="D4052" s="49" t="s">
        <v>1264</v>
      </c>
      <c r="E4052" s="49" t="s">
        <v>2986</v>
      </c>
      <c r="F4052" s="49" t="s">
        <v>2825</v>
      </c>
      <c r="G4052" s="49" t="s">
        <v>2901</v>
      </c>
      <c r="H4052" s="49" t="s">
        <v>2827</v>
      </c>
      <c r="I4052" s="50">
        <v>44942</v>
      </c>
      <c r="J4052" s="50">
        <v>44959</v>
      </c>
      <c r="K4052" s="50">
        <v>46054</v>
      </c>
      <c r="M4052" s="49" t="s">
        <v>5300</v>
      </c>
    </row>
    <row r="4053" spans="1:13" x14ac:dyDescent="0.35">
      <c r="A4053" s="49" t="s">
        <v>820</v>
      </c>
      <c r="B4053" s="49" t="s">
        <v>5552</v>
      </c>
      <c r="C4053" s="49"/>
      <c r="D4053" s="49" t="s">
        <v>1264</v>
      </c>
      <c r="E4053" s="49" t="s">
        <v>2986</v>
      </c>
      <c r="F4053" s="49" t="s">
        <v>2825</v>
      </c>
      <c r="G4053" s="49" t="s">
        <v>4330</v>
      </c>
      <c r="H4053" s="49" t="s">
        <v>2827</v>
      </c>
      <c r="I4053" s="50">
        <v>45063</v>
      </c>
      <c r="M4053" s="49" t="s">
        <v>5553</v>
      </c>
    </row>
    <row r="4054" spans="1:13" x14ac:dyDescent="0.35">
      <c r="A4054" s="49" t="s">
        <v>820</v>
      </c>
      <c r="B4054" s="49" t="s">
        <v>5630</v>
      </c>
      <c r="C4054" s="49"/>
      <c r="D4054" s="49" t="s">
        <v>1264</v>
      </c>
      <c r="E4054" s="49" t="s">
        <v>2986</v>
      </c>
      <c r="F4054" s="49" t="s">
        <v>2825</v>
      </c>
      <c r="G4054" s="49" t="s">
        <v>2776</v>
      </c>
      <c r="H4054" s="49" t="s">
        <v>2827</v>
      </c>
      <c r="I4054" s="50">
        <v>45063</v>
      </c>
      <c r="M4054" s="49" t="s">
        <v>5631</v>
      </c>
    </row>
    <row r="4055" spans="1:13" x14ac:dyDescent="0.35">
      <c r="A4055" s="49" t="s">
        <v>820</v>
      </c>
      <c r="B4055" s="49" t="s">
        <v>10979</v>
      </c>
      <c r="C4055" s="49" t="s">
        <v>10980</v>
      </c>
      <c r="D4055" s="49" t="s">
        <v>1264</v>
      </c>
      <c r="E4055" s="49" t="s">
        <v>2986</v>
      </c>
      <c r="F4055" s="49" t="s">
        <v>2825</v>
      </c>
      <c r="G4055" s="49" t="s">
        <v>2776</v>
      </c>
      <c r="H4055" s="49" t="s">
        <v>2827</v>
      </c>
      <c r="I4055" s="50">
        <v>44596</v>
      </c>
      <c r="M4055" s="49" t="s">
        <v>10981</v>
      </c>
    </row>
    <row r="4056" spans="1:13" x14ac:dyDescent="0.35">
      <c r="A4056" s="49" t="s">
        <v>820</v>
      </c>
      <c r="B4056" s="49" t="s">
        <v>11064</v>
      </c>
      <c r="C4056" s="49"/>
      <c r="D4056" s="49" t="s">
        <v>1264</v>
      </c>
      <c r="E4056" s="49" t="s">
        <v>2774</v>
      </c>
      <c r="F4056" s="49" t="s">
        <v>4842</v>
      </c>
      <c r="G4056" s="49" t="s">
        <v>2776</v>
      </c>
      <c r="H4056" s="49" t="s">
        <v>2827</v>
      </c>
      <c r="I4056" s="50">
        <v>44760</v>
      </c>
      <c r="M4056" s="49" t="s">
        <v>11065</v>
      </c>
    </row>
    <row r="4057" spans="1:13" x14ac:dyDescent="0.35">
      <c r="A4057" s="49" t="s">
        <v>15000</v>
      </c>
      <c r="B4057" s="49" t="s">
        <v>9949</v>
      </c>
      <c r="C4057" s="49"/>
      <c r="D4057" s="49" t="s">
        <v>1264</v>
      </c>
      <c r="E4057" s="49" t="s">
        <v>7057</v>
      </c>
      <c r="F4057" s="49" t="s">
        <v>2825</v>
      </c>
      <c r="G4057" s="49" t="s">
        <v>2776</v>
      </c>
      <c r="H4057" s="49" t="s">
        <v>2827</v>
      </c>
      <c r="I4057" s="50">
        <v>42289</v>
      </c>
      <c r="M4057" s="49" t="s">
        <v>9951</v>
      </c>
    </row>
    <row r="4058" spans="1:13" x14ac:dyDescent="0.35">
      <c r="A4058" s="49" t="s">
        <v>15000</v>
      </c>
      <c r="B4058" s="49" t="s">
        <v>10577</v>
      </c>
      <c r="C4058" s="49"/>
      <c r="D4058" s="49" t="s">
        <v>1264</v>
      </c>
      <c r="E4058" s="49" t="s">
        <v>2814</v>
      </c>
      <c r="F4058" s="49" t="s">
        <v>2825</v>
      </c>
      <c r="G4058" s="49" t="s">
        <v>2787</v>
      </c>
      <c r="H4058" s="49" t="s">
        <v>2827</v>
      </c>
      <c r="I4058" s="50">
        <v>41886</v>
      </c>
      <c r="J4058" s="50">
        <v>41912</v>
      </c>
      <c r="K4058" s="50">
        <v>42275</v>
      </c>
      <c r="M4058" s="49" t="s">
        <v>10578</v>
      </c>
    </row>
    <row r="4059" spans="1:13" x14ac:dyDescent="0.35">
      <c r="A4059" s="49" t="s">
        <v>14649</v>
      </c>
      <c r="B4059" s="49" t="s">
        <v>13111</v>
      </c>
      <c r="C4059" s="49" t="s">
        <v>13112</v>
      </c>
      <c r="D4059" s="49" t="s">
        <v>1264</v>
      </c>
      <c r="E4059" s="49" t="s">
        <v>2785</v>
      </c>
      <c r="F4059" s="49" t="s">
        <v>2786</v>
      </c>
      <c r="G4059" s="49" t="s">
        <v>4891</v>
      </c>
      <c r="H4059" s="49" t="s">
        <v>980</v>
      </c>
      <c r="I4059" s="52">
        <v>46044.4901157407</v>
      </c>
      <c r="M4059" s="49" t="s">
        <v>13114</v>
      </c>
    </row>
    <row r="4060" spans="1:13" x14ac:dyDescent="0.35">
      <c r="A4060" s="49" t="s">
        <v>14649</v>
      </c>
      <c r="B4060" s="49" t="s">
        <v>13118</v>
      </c>
      <c r="C4060" s="49" t="s">
        <v>13119</v>
      </c>
      <c r="D4060" s="49" t="s">
        <v>1264</v>
      </c>
      <c r="E4060" s="49" t="s">
        <v>2785</v>
      </c>
      <c r="F4060" s="49" t="s">
        <v>2786</v>
      </c>
      <c r="G4060" s="49" t="s">
        <v>4891</v>
      </c>
      <c r="H4060" s="49" t="s">
        <v>980</v>
      </c>
      <c r="I4060" s="52">
        <v>46044.505393518499</v>
      </c>
      <c r="M4060" s="49" t="s">
        <v>13120</v>
      </c>
    </row>
    <row r="4061" spans="1:13" x14ac:dyDescent="0.35">
      <c r="A4061" s="49" t="s">
        <v>14649</v>
      </c>
      <c r="B4061" s="49" t="s">
        <v>13298</v>
      </c>
      <c r="C4061" s="49"/>
      <c r="D4061" s="49" t="s">
        <v>1264</v>
      </c>
      <c r="E4061" s="49" t="s">
        <v>2785</v>
      </c>
      <c r="F4061" s="49" t="s">
        <v>2786</v>
      </c>
      <c r="G4061" s="49" t="s">
        <v>4891</v>
      </c>
      <c r="H4061" s="49" t="s">
        <v>980</v>
      </c>
      <c r="I4061" s="52">
        <v>46098.448194444398</v>
      </c>
      <c r="M4061" s="49" t="s">
        <v>13299</v>
      </c>
    </row>
    <row r="4062" spans="1:13" x14ac:dyDescent="0.35">
      <c r="A4062" s="49" t="s">
        <v>14649</v>
      </c>
      <c r="B4062" s="49" t="s">
        <v>13603</v>
      </c>
      <c r="C4062" s="49" t="s">
        <v>13604</v>
      </c>
      <c r="D4062" s="49" t="s">
        <v>1264</v>
      </c>
      <c r="E4062" s="49" t="s">
        <v>2785</v>
      </c>
      <c r="F4062" s="49" t="s">
        <v>2786</v>
      </c>
      <c r="G4062" s="49" t="s">
        <v>4891</v>
      </c>
      <c r="H4062" s="49" t="s">
        <v>980</v>
      </c>
      <c r="I4062" s="52">
        <v>46163.6340740741</v>
      </c>
      <c r="M4062" s="49" t="s">
        <v>13605</v>
      </c>
    </row>
    <row r="4063" spans="1:13" x14ac:dyDescent="0.35">
      <c r="A4063" s="49" t="s">
        <v>14333</v>
      </c>
      <c r="B4063" s="49" t="s">
        <v>7215</v>
      </c>
      <c r="C4063" s="49" t="s">
        <v>2863</v>
      </c>
      <c r="D4063" s="49" t="s">
        <v>1264</v>
      </c>
      <c r="E4063" s="49" t="s">
        <v>2814</v>
      </c>
      <c r="F4063" s="49" t="s">
        <v>2825</v>
      </c>
      <c r="G4063" s="49" t="s">
        <v>2787</v>
      </c>
      <c r="H4063" s="49" t="s">
        <v>2827</v>
      </c>
      <c r="I4063" s="50">
        <v>42047</v>
      </c>
      <c r="J4063" s="50">
        <v>42080</v>
      </c>
      <c r="K4063" s="50">
        <v>42263</v>
      </c>
      <c r="M4063" s="49" t="s">
        <v>7214</v>
      </c>
    </row>
    <row r="4064" spans="1:13" x14ac:dyDescent="0.35">
      <c r="A4064" s="49" t="s">
        <v>15120</v>
      </c>
      <c r="B4064" s="49" t="s">
        <v>13155</v>
      </c>
      <c r="C4064" s="49"/>
      <c r="D4064" s="49" t="s">
        <v>1264</v>
      </c>
      <c r="E4064" s="49" t="s">
        <v>2814</v>
      </c>
      <c r="F4064" s="49" t="s">
        <v>3188</v>
      </c>
      <c r="G4064" s="49" t="s">
        <v>4891</v>
      </c>
      <c r="H4064" s="49" t="s">
        <v>973</v>
      </c>
      <c r="I4064" s="52">
        <v>46064.567534722199</v>
      </c>
      <c r="M4064" s="49" t="s">
        <v>13157</v>
      </c>
    </row>
    <row r="4065" spans="1:13" x14ac:dyDescent="0.35">
      <c r="A4065" s="49" t="s">
        <v>14129</v>
      </c>
      <c r="B4065" s="49" t="s">
        <v>3743</v>
      </c>
      <c r="C4065" s="49" t="s">
        <v>3744</v>
      </c>
      <c r="D4065" s="49" t="s">
        <v>1264</v>
      </c>
      <c r="E4065" s="49" t="s">
        <v>2986</v>
      </c>
      <c r="F4065" s="49" t="s">
        <v>2825</v>
      </c>
      <c r="G4065" s="49" t="s">
        <v>2787</v>
      </c>
      <c r="H4065" s="49" t="s">
        <v>2827</v>
      </c>
      <c r="I4065" s="50">
        <v>43244</v>
      </c>
      <c r="J4065" s="50">
        <v>43348</v>
      </c>
      <c r="K4065" s="50">
        <v>44444</v>
      </c>
      <c r="M4065" s="49" t="s">
        <v>3746</v>
      </c>
    </row>
    <row r="4066" spans="1:13" x14ac:dyDescent="0.35">
      <c r="A4066" s="49" t="s">
        <v>14129</v>
      </c>
      <c r="B4066" s="49" t="s">
        <v>8938</v>
      </c>
      <c r="C4066" s="49" t="s">
        <v>8939</v>
      </c>
      <c r="D4066" s="49" t="s">
        <v>1264</v>
      </c>
      <c r="E4066" s="49" t="s">
        <v>2814</v>
      </c>
      <c r="F4066" s="49" t="s">
        <v>2825</v>
      </c>
      <c r="G4066" s="49" t="s">
        <v>2787</v>
      </c>
      <c r="H4066" s="49" t="s">
        <v>2827</v>
      </c>
      <c r="I4066" s="50">
        <v>43185</v>
      </c>
      <c r="J4066" s="50">
        <v>43236</v>
      </c>
      <c r="K4066" s="50">
        <v>43420</v>
      </c>
      <c r="M4066" s="49" t="s">
        <v>3746</v>
      </c>
    </row>
    <row r="4067" spans="1:13" x14ac:dyDescent="0.35">
      <c r="A4067" s="49" t="s">
        <v>14129</v>
      </c>
      <c r="B4067" s="49" t="s">
        <v>10157</v>
      </c>
      <c r="C4067" s="49"/>
      <c r="D4067" s="49" t="s">
        <v>1264</v>
      </c>
      <c r="E4067" s="49" t="s">
        <v>2814</v>
      </c>
      <c r="F4067" s="49" t="s">
        <v>2825</v>
      </c>
      <c r="G4067" s="49" t="s">
        <v>2776</v>
      </c>
      <c r="H4067" s="49" t="s">
        <v>2827</v>
      </c>
      <c r="I4067" s="50">
        <v>43549</v>
      </c>
      <c r="M4067" s="49" t="s">
        <v>10158</v>
      </c>
    </row>
    <row r="4068" spans="1:13" x14ac:dyDescent="0.35">
      <c r="A4068" s="49" t="s">
        <v>14129</v>
      </c>
      <c r="B4068" s="49" t="s">
        <v>10612</v>
      </c>
      <c r="C4068" s="49"/>
      <c r="D4068" s="49" t="s">
        <v>1264</v>
      </c>
      <c r="E4068" s="49" t="s">
        <v>2814</v>
      </c>
      <c r="F4068" s="49" t="s">
        <v>2825</v>
      </c>
      <c r="G4068" s="49" t="s">
        <v>2776</v>
      </c>
      <c r="H4068" s="49" t="s">
        <v>2827</v>
      </c>
      <c r="I4068" s="50">
        <v>43494</v>
      </c>
      <c r="M4068" s="49" t="s">
        <v>10613</v>
      </c>
    </row>
    <row r="4069" spans="1:13" x14ac:dyDescent="0.35">
      <c r="A4069" s="49" t="s">
        <v>14788</v>
      </c>
      <c r="B4069" s="49" t="s">
        <v>12037</v>
      </c>
      <c r="C4069" s="49" t="s">
        <v>3962</v>
      </c>
      <c r="D4069" s="49" t="s">
        <v>1264</v>
      </c>
      <c r="E4069" s="49" t="s">
        <v>2785</v>
      </c>
      <c r="F4069" s="49" t="s">
        <v>2792</v>
      </c>
      <c r="G4069" s="49" t="s">
        <v>2776</v>
      </c>
      <c r="H4069" s="49" t="s">
        <v>980</v>
      </c>
      <c r="I4069" s="50">
        <v>45119</v>
      </c>
      <c r="M4069" s="49" t="s">
        <v>6081</v>
      </c>
    </row>
    <row r="4070" spans="1:13" x14ac:dyDescent="0.35">
      <c r="A4070" s="49" t="s">
        <v>15001</v>
      </c>
      <c r="B4070" s="49" t="s">
        <v>6704</v>
      </c>
      <c r="C4070" s="49"/>
      <c r="D4070" s="49" t="s">
        <v>1264</v>
      </c>
      <c r="E4070" s="49" t="s">
        <v>2908</v>
      </c>
      <c r="F4070" s="49" t="s">
        <v>2837</v>
      </c>
      <c r="G4070" s="49" t="s">
        <v>2776</v>
      </c>
      <c r="H4070" s="49" t="s">
        <v>2827</v>
      </c>
      <c r="I4070" s="50">
        <v>44259</v>
      </c>
      <c r="M4070" s="49" t="s">
        <v>6706</v>
      </c>
    </row>
    <row r="4071" spans="1:13" x14ac:dyDescent="0.35">
      <c r="A4071" s="49" t="s">
        <v>823</v>
      </c>
      <c r="B4071" s="49" t="s">
        <v>4976</v>
      </c>
      <c r="C4071" s="49"/>
      <c r="D4071" s="49" t="s">
        <v>1264</v>
      </c>
      <c r="E4071" s="49" t="s">
        <v>2774</v>
      </c>
      <c r="F4071" s="49" t="s">
        <v>2825</v>
      </c>
      <c r="G4071" s="49" t="s">
        <v>4891</v>
      </c>
      <c r="H4071" s="49" t="s">
        <v>2827</v>
      </c>
      <c r="I4071" s="50">
        <v>44744</v>
      </c>
      <c r="M4071" s="49" t="s">
        <v>4978</v>
      </c>
    </row>
    <row r="4072" spans="1:13" x14ac:dyDescent="0.35">
      <c r="A4072" s="49" t="s">
        <v>823</v>
      </c>
      <c r="B4072" s="49" t="s">
        <v>5384</v>
      </c>
      <c r="C4072" s="49" t="s">
        <v>5385</v>
      </c>
      <c r="D4072" s="49" t="s">
        <v>1264</v>
      </c>
      <c r="E4072" s="49" t="s">
        <v>2986</v>
      </c>
      <c r="F4072" s="49" t="s">
        <v>2825</v>
      </c>
      <c r="G4072" s="49" t="s">
        <v>2901</v>
      </c>
      <c r="H4072" s="49" t="s">
        <v>2827</v>
      </c>
      <c r="I4072" s="50">
        <v>44005</v>
      </c>
      <c r="J4072" s="50">
        <v>44719</v>
      </c>
      <c r="K4072" s="50">
        <v>45814</v>
      </c>
      <c r="M4072" s="49" t="s">
        <v>5386</v>
      </c>
    </row>
    <row r="4073" spans="1:13" x14ac:dyDescent="0.35">
      <c r="A4073" s="49" t="s">
        <v>823</v>
      </c>
      <c r="B4073" s="49" t="s">
        <v>8883</v>
      </c>
      <c r="C4073" s="49" t="s">
        <v>8884</v>
      </c>
      <c r="D4073" s="49" t="s">
        <v>1264</v>
      </c>
      <c r="E4073" s="49" t="s">
        <v>2814</v>
      </c>
      <c r="F4073" s="49" t="s">
        <v>2825</v>
      </c>
      <c r="G4073" s="49" t="s">
        <v>2787</v>
      </c>
      <c r="H4073" s="49" t="s">
        <v>2827</v>
      </c>
      <c r="I4073" s="50">
        <v>43887</v>
      </c>
      <c r="J4073" s="50">
        <v>43888</v>
      </c>
      <c r="K4073" s="50">
        <v>44069</v>
      </c>
      <c r="M4073" s="49" t="s">
        <v>8885</v>
      </c>
    </row>
    <row r="4074" spans="1:13" x14ac:dyDescent="0.35">
      <c r="A4074" s="49" t="s">
        <v>823</v>
      </c>
      <c r="B4074" s="49" t="s">
        <v>8886</v>
      </c>
      <c r="C4074" s="49" t="s">
        <v>8887</v>
      </c>
      <c r="D4074" s="49" t="s">
        <v>1264</v>
      </c>
      <c r="E4074" s="49" t="s">
        <v>2814</v>
      </c>
      <c r="F4074" s="49" t="s">
        <v>2825</v>
      </c>
      <c r="G4074" s="49" t="s">
        <v>2787</v>
      </c>
      <c r="H4074" s="49" t="s">
        <v>2827</v>
      </c>
      <c r="I4074" s="50">
        <v>43642</v>
      </c>
      <c r="J4074" s="50">
        <v>43888</v>
      </c>
      <c r="K4074" s="50">
        <v>44069</v>
      </c>
      <c r="M4074" s="49" t="s">
        <v>8888</v>
      </c>
    </row>
    <row r="4075" spans="1:13" x14ac:dyDescent="0.35">
      <c r="A4075" s="49" t="s">
        <v>823</v>
      </c>
      <c r="B4075" s="49" t="s">
        <v>10489</v>
      </c>
      <c r="C4075" s="49" t="s">
        <v>10490</v>
      </c>
      <c r="D4075" s="49" t="s">
        <v>1264</v>
      </c>
      <c r="E4075" s="49" t="s">
        <v>2814</v>
      </c>
      <c r="F4075" s="49" t="s">
        <v>2825</v>
      </c>
      <c r="G4075" s="49" t="s">
        <v>2776</v>
      </c>
      <c r="H4075" s="49" t="s">
        <v>2827</v>
      </c>
      <c r="I4075" s="50">
        <v>43790</v>
      </c>
      <c r="M4075" s="49" t="s">
        <v>10491</v>
      </c>
    </row>
    <row r="4076" spans="1:13" x14ac:dyDescent="0.35">
      <c r="A4076" s="49" t="s">
        <v>823</v>
      </c>
      <c r="B4076" s="49" t="s">
        <v>10494</v>
      </c>
      <c r="C4076" s="49" t="s">
        <v>10495</v>
      </c>
      <c r="D4076" s="49" t="s">
        <v>1264</v>
      </c>
      <c r="E4076" s="49" t="s">
        <v>2814</v>
      </c>
      <c r="F4076" s="49" t="s">
        <v>2825</v>
      </c>
      <c r="G4076" s="49" t="s">
        <v>2776</v>
      </c>
      <c r="H4076" s="49" t="s">
        <v>2827</v>
      </c>
      <c r="I4076" s="50">
        <v>43852</v>
      </c>
      <c r="M4076" s="49" t="s">
        <v>8888</v>
      </c>
    </row>
    <row r="4077" spans="1:13" x14ac:dyDescent="0.35">
      <c r="A4077" s="49" t="s">
        <v>823</v>
      </c>
      <c r="B4077" s="49" t="s">
        <v>10591</v>
      </c>
      <c r="C4077" s="49" t="s">
        <v>10592</v>
      </c>
      <c r="D4077" s="49" t="s">
        <v>1264</v>
      </c>
      <c r="E4077" s="49" t="s">
        <v>2814</v>
      </c>
      <c r="F4077" s="49" t="s">
        <v>2825</v>
      </c>
      <c r="G4077" s="49" t="s">
        <v>2776</v>
      </c>
      <c r="H4077" s="49" t="s">
        <v>2827</v>
      </c>
      <c r="I4077" s="50">
        <v>43642</v>
      </c>
      <c r="M4077" s="49" t="s">
        <v>10593</v>
      </c>
    </row>
    <row r="4078" spans="1:13" x14ac:dyDescent="0.35">
      <c r="A4078" s="49" t="s">
        <v>823</v>
      </c>
      <c r="B4078" s="49" t="s">
        <v>10614</v>
      </c>
      <c r="C4078" s="49" t="s">
        <v>10615</v>
      </c>
      <c r="D4078" s="49" t="s">
        <v>1264</v>
      </c>
      <c r="E4078" s="49" t="s">
        <v>2814</v>
      </c>
      <c r="F4078" s="49" t="s">
        <v>2825</v>
      </c>
      <c r="G4078" s="49" t="s">
        <v>2776</v>
      </c>
      <c r="H4078" s="49" t="s">
        <v>2827</v>
      </c>
      <c r="I4078" s="50">
        <v>43859</v>
      </c>
      <c r="M4078" s="49" t="s">
        <v>10491</v>
      </c>
    </row>
    <row r="4079" spans="1:13" x14ac:dyDescent="0.35">
      <c r="A4079" s="49" t="s">
        <v>823</v>
      </c>
      <c r="B4079" s="49" t="s">
        <v>10616</v>
      </c>
      <c r="C4079" s="49" t="s">
        <v>10617</v>
      </c>
      <c r="D4079" s="49" t="s">
        <v>1264</v>
      </c>
      <c r="E4079" s="49" t="s">
        <v>2814</v>
      </c>
      <c r="F4079" s="49" t="s">
        <v>2825</v>
      </c>
      <c r="G4079" s="49" t="s">
        <v>2776</v>
      </c>
      <c r="H4079" s="49" t="s">
        <v>2827</v>
      </c>
      <c r="I4079" s="50">
        <v>43859</v>
      </c>
      <c r="M4079" s="49" t="s">
        <v>8885</v>
      </c>
    </row>
    <row r="4080" spans="1:13" x14ac:dyDescent="0.35">
      <c r="A4080" s="49" t="s">
        <v>823</v>
      </c>
      <c r="B4080" s="49" t="s">
        <v>10813</v>
      </c>
      <c r="C4080" s="49"/>
      <c r="D4080" s="49" t="s">
        <v>1264</v>
      </c>
      <c r="E4080" s="49" t="s">
        <v>2814</v>
      </c>
      <c r="F4080" s="49" t="s">
        <v>2837</v>
      </c>
      <c r="G4080" s="49" t="s">
        <v>2776</v>
      </c>
      <c r="H4080" s="49" t="s">
        <v>2827</v>
      </c>
      <c r="I4080" s="50">
        <v>44258</v>
      </c>
      <c r="M4080" s="49" t="s">
        <v>10814</v>
      </c>
    </row>
    <row r="4081" spans="1:13" x14ac:dyDescent="0.35">
      <c r="A4081" s="49" t="s">
        <v>823</v>
      </c>
      <c r="B4081" s="49" t="s">
        <v>11034</v>
      </c>
      <c r="C4081" s="49"/>
      <c r="D4081" s="49" t="s">
        <v>1264</v>
      </c>
      <c r="E4081" s="49" t="s">
        <v>2774</v>
      </c>
      <c r="F4081" s="49" t="s">
        <v>2900</v>
      </c>
      <c r="G4081" s="49" t="s">
        <v>2776</v>
      </c>
      <c r="H4081" s="49" t="s">
        <v>3207</v>
      </c>
      <c r="I4081" s="50">
        <v>44713</v>
      </c>
      <c r="M4081" s="49" t="s">
        <v>11035</v>
      </c>
    </row>
    <row r="4082" spans="1:13" x14ac:dyDescent="0.35">
      <c r="A4082" s="49" t="s">
        <v>823</v>
      </c>
      <c r="B4082" s="49" t="s">
        <v>11045</v>
      </c>
      <c r="C4082" s="49"/>
      <c r="D4082" s="49" t="s">
        <v>1264</v>
      </c>
      <c r="E4082" s="49" t="s">
        <v>2774</v>
      </c>
      <c r="F4082" s="49" t="s">
        <v>2900</v>
      </c>
      <c r="G4082" s="49" t="s">
        <v>2776</v>
      </c>
      <c r="H4082" s="49" t="s">
        <v>3207</v>
      </c>
      <c r="I4082" s="50">
        <v>44733</v>
      </c>
      <c r="M4082" s="49" t="s">
        <v>11046</v>
      </c>
    </row>
    <row r="4083" spans="1:13" x14ac:dyDescent="0.35">
      <c r="A4083" s="49" t="s">
        <v>823</v>
      </c>
      <c r="B4083" s="49" t="s">
        <v>11090</v>
      </c>
      <c r="C4083" s="49"/>
      <c r="D4083" s="49" t="s">
        <v>1264</v>
      </c>
      <c r="E4083" s="49" t="s">
        <v>2814</v>
      </c>
      <c r="F4083" s="49" t="s">
        <v>2900</v>
      </c>
      <c r="G4083" s="49" t="s">
        <v>2776</v>
      </c>
      <c r="H4083" s="49" t="s">
        <v>3207</v>
      </c>
      <c r="I4083" s="50">
        <v>44770</v>
      </c>
      <c r="M4083" s="49" t="s">
        <v>11091</v>
      </c>
    </row>
    <row r="4084" spans="1:13" x14ac:dyDescent="0.35">
      <c r="A4084" s="49" t="s">
        <v>823</v>
      </c>
      <c r="B4084" s="49" t="s">
        <v>11346</v>
      </c>
      <c r="C4084" s="49" t="s">
        <v>11347</v>
      </c>
      <c r="D4084" s="49" t="s">
        <v>1264</v>
      </c>
      <c r="E4084" s="49" t="s">
        <v>2986</v>
      </c>
      <c r="F4084" s="49" t="s">
        <v>2825</v>
      </c>
      <c r="G4084" s="49" t="s">
        <v>4891</v>
      </c>
      <c r="H4084" s="49" t="s">
        <v>2827</v>
      </c>
      <c r="I4084" s="50">
        <v>45013</v>
      </c>
      <c r="M4084" s="49" t="s">
        <v>11348</v>
      </c>
    </row>
    <row r="4085" spans="1:13" x14ac:dyDescent="0.35">
      <c r="A4085" s="49" t="s">
        <v>823</v>
      </c>
      <c r="B4085" s="49" t="s">
        <v>11482</v>
      </c>
      <c r="C4085" s="49" t="s">
        <v>11483</v>
      </c>
      <c r="D4085" s="49" t="s">
        <v>1264</v>
      </c>
      <c r="E4085" s="49" t="s">
        <v>2974</v>
      </c>
      <c r="F4085" s="49" t="s">
        <v>2825</v>
      </c>
      <c r="G4085" s="49" t="s">
        <v>2826</v>
      </c>
      <c r="H4085" s="49" t="s">
        <v>2827</v>
      </c>
      <c r="I4085" s="50">
        <v>45126</v>
      </c>
      <c r="M4085" s="49" t="s">
        <v>11484</v>
      </c>
    </row>
    <row r="4086" spans="1:13" x14ac:dyDescent="0.35">
      <c r="A4086" s="49" t="s">
        <v>15550</v>
      </c>
      <c r="B4086" s="49" t="s">
        <v>6064</v>
      </c>
      <c r="C4086" s="49" t="s">
        <v>4817</v>
      </c>
      <c r="D4086" s="49" t="s">
        <v>1264</v>
      </c>
      <c r="E4086" s="49" t="s">
        <v>2986</v>
      </c>
      <c r="F4086" s="49" t="s">
        <v>2825</v>
      </c>
      <c r="G4086" s="49" t="s">
        <v>2901</v>
      </c>
      <c r="H4086" s="49" t="s">
        <v>973</v>
      </c>
      <c r="I4086" s="50">
        <v>45217</v>
      </c>
      <c r="J4086" s="50">
        <v>45230</v>
      </c>
      <c r="K4086" s="50">
        <v>46325</v>
      </c>
      <c r="M4086" s="49" t="s">
        <v>6066</v>
      </c>
    </row>
    <row r="4087" spans="1:13" x14ac:dyDescent="0.35">
      <c r="A4087" s="49" t="s">
        <v>15550</v>
      </c>
      <c r="B4087" s="49" t="s">
        <v>11605</v>
      </c>
      <c r="C4087" s="49"/>
      <c r="D4087" s="49" t="s">
        <v>1264</v>
      </c>
      <c r="E4087" s="49" t="s">
        <v>2986</v>
      </c>
      <c r="F4087" s="49" t="s">
        <v>2825</v>
      </c>
      <c r="G4087" s="49" t="s">
        <v>2776</v>
      </c>
      <c r="H4087" s="49" t="s">
        <v>2827</v>
      </c>
      <c r="I4087" s="50">
        <v>45203</v>
      </c>
      <c r="M4087" s="49" t="s">
        <v>11606</v>
      </c>
    </row>
    <row r="4088" spans="1:13" x14ac:dyDescent="0.35">
      <c r="A4088" s="49" t="s">
        <v>15550</v>
      </c>
      <c r="B4088" s="49" t="s">
        <v>11645</v>
      </c>
      <c r="C4088" s="49" t="s">
        <v>4809</v>
      </c>
      <c r="D4088" s="49" t="s">
        <v>1264</v>
      </c>
      <c r="E4088" s="49" t="s">
        <v>2986</v>
      </c>
      <c r="F4088" s="49" t="s">
        <v>2825</v>
      </c>
      <c r="G4088" s="49" t="s">
        <v>4891</v>
      </c>
      <c r="H4088" s="49" t="s">
        <v>973</v>
      </c>
      <c r="I4088" s="50">
        <v>45217</v>
      </c>
      <c r="M4088" s="49" t="s">
        <v>11646</v>
      </c>
    </row>
    <row r="4089" spans="1:13" x14ac:dyDescent="0.35">
      <c r="A4089" s="49" t="s">
        <v>15550</v>
      </c>
      <c r="B4089" s="49" t="s">
        <v>11920</v>
      </c>
      <c r="C4089" s="49"/>
      <c r="D4089" s="49" t="s">
        <v>1264</v>
      </c>
      <c r="E4089" s="49" t="s">
        <v>2986</v>
      </c>
      <c r="F4089" s="49" t="s">
        <v>2825</v>
      </c>
      <c r="G4089" s="49" t="s">
        <v>2776</v>
      </c>
      <c r="H4089" s="49" t="s">
        <v>973</v>
      </c>
      <c r="I4089" s="50">
        <v>45287</v>
      </c>
      <c r="M4089" s="49" t="s">
        <v>11921</v>
      </c>
    </row>
    <row r="4090" spans="1:13" x14ac:dyDescent="0.35">
      <c r="A4090" s="49" t="s">
        <v>15550</v>
      </c>
      <c r="B4090" s="49" t="s">
        <v>12054</v>
      </c>
      <c r="C4090" s="49"/>
      <c r="D4090" s="49" t="s">
        <v>1264</v>
      </c>
      <c r="E4090" s="49" t="s">
        <v>2986</v>
      </c>
      <c r="F4090" s="49" t="s">
        <v>2825</v>
      </c>
      <c r="G4090" s="49" t="s">
        <v>2776</v>
      </c>
      <c r="H4090" s="49" t="s">
        <v>973</v>
      </c>
      <c r="I4090" s="50">
        <v>45655</v>
      </c>
      <c r="M4090" s="49" t="s">
        <v>12055</v>
      </c>
    </row>
    <row r="4091" spans="1:13" x14ac:dyDescent="0.35">
      <c r="A4091" s="49" t="s">
        <v>14454</v>
      </c>
      <c r="B4091" s="49" t="s">
        <v>8814</v>
      </c>
      <c r="C4091" s="49" t="s">
        <v>6999</v>
      </c>
      <c r="D4091" s="49" t="s">
        <v>1264</v>
      </c>
      <c r="E4091" s="49" t="s">
        <v>2785</v>
      </c>
      <c r="F4091" s="49" t="s">
        <v>2792</v>
      </c>
      <c r="G4091" s="49" t="s">
        <v>2787</v>
      </c>
      <c r="H4091" s="49" t="s">
        <v>8</v>
      </c>
      <c r="I4091" s="50">
        <v>41676</v>
      </c>
      <c r="J4091" s="50">
        <v>41330</v>
      </c>
      <c r="K4091" s="50">
        <v>41853</v>
      </c>
      <c r="M4091" s="49" t="s">
        <v>8816</v>
      </c>
    </row>
    <row r="4092" spans="1:13" x14ac:dyDescent="0.35">
      <c r="A4092" s="49" t="s">
        <v>14446</v>
      </c>
      <c r="B4092" s="49" t="s">
        <v>8633</v>
      </c>
      <c r="C4092" s="49" t="s">
        <v>8634</v>
      </c>
      <c r="D4092" s="49" t="s">
        <v>1264</v>
      </c>
      <c r="E4092" s="49" t="s">
        <v>7057</v>
      </c>
      <c r="F4092" s="49" t="s">
        <v>2825</v>
      </c>
      <c r="G4092" s="49" t="s">
        <v>2787</v>
      </c>
      <c r="H4092" s="49" t="s">
        <v>2827</v>
      </c>
      <c r="I4092" s="50">
        <v>41341</v>
      </c>
      <c r="J4092" s="50">
        <v>42305</v>
      </c>
      <c r="K4092" s="50">
        <v>43036</v>
      </c>
      <c r="M4092" s="49" t="s">
        <v>8636</v>
      </c>
    </row>
    <row r="4093" spans="1:13" x14ac:dyDescent="0.35">
      <c r="A4093" s="49" t="s">
        <v>14516</v>
      </c>
      <c r="B4093" s="49" t="s">
        <v>9649</v>
      </c>
      <c r="C4093" s="49"/>
      <c r="D4093" s="49" t="s">
        <v>1264</v>
      </c>
      <c r="E4093" s="49" t="s">
        <v>2908</v>
      </c>
      <c r="F4093" s="49" t="s">
        <v>2837</v>
      </c>
      <c r="G4093" s="49" t="s">
        <v>2776</v>
      </c>
      <c r="H4093" s="49" t="s">
        <v>2827</v>
      </c>
      <c r="I4093" s="50">
        <v>42569</v>
      </c>
      <c r="M4093" s="49" t="s">
        <v>9651</v>
      </c>
    </row>
    <row r="4094" spans="1:13" x14ac:dyDescent="0.35">
      <c r="A4094" s="49" t="s">
        <v>14479</v>
      </c>
      <c r="B4094" s="49" t="s">
        <v>9199</v>
      </c>
      <c r="C4094" s="49"/>
      <c r="D4094" s="49" t="s">
        <v>1264</v>
      </c>
      <c r="E4094" s="49" t="s">
        <v>2908</v>
      </c>
      <c r="F4094" s="49" t="s">
        <v>2837</v>
      </c>
      <c r="G4094" s="49" t="s">
        <v>2776</v>
      </c>
      <c r="H4094" s="49" t="s">
        <v>980</v>
      </c>
      <c r="I4094" s="50">
        <v>43343</v>
      </c>
      <c r="M4094" s="49" t="s">
        <v>9201</v>
      </c>
    </row>
    <row r="4095" spans="1:13" x14ac:dyDescent="0.35">
      <c r="A4095" s="49" t="s">
        <v>14479</v>
      </c>
      <c r="B4095" s="49" t="s">
        <v>10162</v>
      </c>
      <c r="C4095" s="49"/>
      <c r="D4095" s="49" t="s">
        <v>1264</v>
      </c>
      <c r="E4095" s="49" t="s">
        <v>2814</v>
      </c>
      <c r="F4095" s="49" t="s">
        <v>2837</v>
      </c>
      <c r="G4095" s="49" t="s">
        <v>2776</v>
      </c>
      <c r="H4095" s="49" t="s">
        <v>980</v>
      </c>
      <c r="I4095" s="50">
        <v>43339</v>
      </c>
      <c r="M4095" s="49" t="s">
        <v>10163</v>
      </c>
    </row>
    <row r="4096" spans="1:13" x14ac:dyDescent="0.35">
      <c r="A4096" s="49" t="s">
        <v>15551</v>
      </c>
      <c r="B4096" s="49" t="s">
        <v>10367</v>
      </c>
      <c r="C4096" s="49"/>
      <c r="D4096" s="49" t="s">
        <v>1264</v>
      </c>
      <c r="E4096" s="49" t="s">
        <v>2814</v>
      </c>
      <c r="F4096" s="49" t="s">
        <v>2837</v>
      </c>
      <c r="G4096" s="49" t="s">
        <v>2776</v>
      </c>
      <c r="H4096" s="49" t="s">
        <v>980</v>
      </c>
      <c r="I4096" s="50">
        <v>44277</v>
      </c>
      <c r="M4096" s="49" t="s">
        <v>10369</v>
      </c>
    </row>
    <row r="4097" spans="1:13" x14ac:dyDescent="0.35">
      <c r="A4097" s="49" t="s">
        <v>15552</v>
      </c>
      <c r="B4097" s="49" t="s">
        <v>4972</v>
      </c>
      <c r="C4097" s="49"/>
      <c r="D4097" s="49" t="s">
        <v>1264</v>
      </c>
      <c r="E4097" s="49" t="s">
        <v>3443</v>
      </c>
      <c r="F4097" s="49" t="s">
        <v>3124</v>
      </c>
      <c r="G4097" s="49" t="s">
        <v>2901</v>
      </c>
      <c r="H4097" s="49" t="s">
        <v>980</v>
      </c>
      <c r="I4097" s="50">
        <v>44771</v>
      </c>
      <c r="J4097" s="50">
        <v>44670</v>
      </c>
      <c r="K4097" s="50">
        <v>46495</v>
      </c>
    </row>
    <row r="4098" spans="1:13" x14ac:dyDescent="0.35">
      <c r="A4098" s="49" t="s">
        <v>14277</v>
      </c>
      <c r="B4098" s="49" t="s">
        <v>6272</v>
      </c>
      <c r="C4098" s="49" t="s">
        <v>5800</v>
      </c>
      <c r="D4098" s="49" t="s">
        <v>1264</v>
      </c>
      <c r="E4098" s="49" t="s">
        <v>2785</v>
      </c>
      <c r="F4098" s="49" t="s">
        <v>2786</v>
      </c>
      <c r="G4098" s="49" t="s">
        <v>4330</v>
      </c>
      <c r="H4098" s="49" t="s">
        <v>980</v>
      </c>
      <c r="I4098" s="50">
        <v>45309</v>
      </c>
      <c r="M4098" s="49" t="s">
        <v>6274</v>
      </c>
    </row>
    <row r="4099" spans="1:13" x14ac:dyDescent="0.35">
      <c r="A4099" s="49" t="s">
        <v>14150</v>
      </c>
      <c r="B4099" s="49" t="s">
        <v>4059</v>
      </c>
      <c r="C4099" s="49" t="s">
        <v>4060</v>
      </c>
      <c r="D4099" s="49" t="s">
        <v>1264</v>
      </c>
      <c r="E4099" s="49" t="s">
        <v>2785</v>
      </c>
      <c r="F4099" s="49" t="s">
        <v>2792</v>
      </c>
      <c r="G4099" s="49" t="s">
        <v>2787</v>
      </c>
      <c r="H4099" s="49" t="s">
        <v>8</v>
      </c>
      <c r="I4099" s="50">
        <v>44004</v>
      </c>
      <c r="J4099" s="50">
        <v>44165</v>
      </c>
      <c r="K4099" s="50">
        <v>45428</v>
      </c>
      <c r="M4099" s="49" t="s">
        <v>4062</v>
      </c>
    </row>
    <row r="4100" spans="1:13" x14ac:dyDescent="0.35">
      <c r="A4100" s="49" t="s">
        <v>14150</v>
      </c>
      <c r="B4100" s="49" t="s">
        <v>4564</v>
      </c>
      <c r="C4100" s="49" t="s">
        <v>4565</v>
      </c>
      <c r="D4100" s="49" t="s">
        <v>1264</v>
      </c>
      <c r="E4100" s="49" t="s">
        <v>2785</v>
      </c>
      <c r="F4100" s="49" t="s">
        <v>2792</v>
      </c>
      <c r="G4100" s="49" t="s">
        <v>2787</v>
      </c>
      <c r="H4100" s="49" t="s">
        <v>980</v>
      </c>
      <c r="I4100" s="50">
        <v>44202</v>
      </c>
      <c r="K4100" s="50">
        <v>45510</v>
      </c>
      <c r="M4100" s="49" t="s">
        <v>4566</v>
      </c>
    </row>
    <row r="4101" spans="1:13" x14ac:dyDescent="0.35">
      <c r="A4101" s="49" t="s">
        <v>14150</v>
      </c>
      <c r="B4101" s="49" t="s">
        <v>11130</v>
      </c>
      <c r="C4101" s="49" t="s">
        <v>4293</v>
      </c>
      <c r="D4101" s="49" t="s">
        <v>1264</v>
      </c>
      <c r="E4101" s="49" t="s">
        <v>2785</v>
      </c>
      <c r="F4101" s="49" t="s">
        <v>2786</v>
      </c>
      <c r="G4101" s="49" t="s">
        <v>2776</v>
      </c>
      <c r="H4101" s="49" t="s">
        <v>980</v>
      </c>
      <c r="I4101" s="50">
        <v>44797</v>
      </c>
      <c r="M4101" s="49" t="s">
        <v>11131</v>
      </c>
    </row>
    <row r="4102" spans="1:13" x14ac:dyDescent="0.35">
      <c r="A4102" s="49" t="s">
        <v>7600</v>
      </c>
      <c r="B4102" s="49" t="s">
        <v>7598</v>
      </c>
      <c r="C4102" s="49" t="s">
        <v>7599</v>
      </c>
      <c r="D4102" s="49" t="s">
        <v>1264</v>
      </c>
      <c r="E4102" s="49" t="s">
        <v>7057</v>
      </c>
      <c r="F4102" s="49" t="s">
        <v>2825</v>
      </c>
      <c r="G4102" s="49" t="s">
        <v>2787</v>
      </c>
      <c r="H4102" s="49" t="s">
        <v>2827</v>
      </c>
      <c r="I4102" s="50">
        <v>41982</v>
      </c>
      <c r="J4102" s="50">
        <v>42032</v>
      </c>
      <c r="K4102" s="50">
        <v>42763</v>
      </c>
      <c r="M4102" s="49" t="s">
        <v>7601</v>
      </c>
    </row>
    <row r="4103" spans="1:13" x14ac:dyDescent="0.35">
      <c r="A4103" s="49" t="s">
        <v>7600</v>
      </c>
      <c r="B4103" s="49" t="s">
        <v>8496</v>
      </c>
      <c r="C4103" s="49" t="s">
        <v>8228</v>
      </c>
      <c r="D4103" s="49" t="s">
        <v>1264</v>
      </c>
      <c r="E4103" s="49" t="s">
        <v>7057</v>
      </c>
      <c r="F4103" s="49" t="s">
        <v>2825</v>
      </c>
      <c r="G4103" s="49" t="s">
        <v>2787</v>
      </c>
      <c r="H4103" s="49" t="s">
        <v>2827</v>
      </c>
      <c r="I4103" s="50">
        <v>42499</v>
      </c>
      <c r="J4103" s="50">
        <v>42605</v>
      </c>
      <c r="K4103" s="50">
        <v>43335</v>
      </c>
      <c r="M4103" s="49" t="s">
        <v>8498</v>
      </c>
    </row>
    <row r="4104" spans="1:13" x14ac:dyDescent="0.35">
      <c r="A4104" s="49" t="s">
        <v>7600</v>
      </c>
      <c r="B4104" s="49" t="s">
        <v>9970</v>
      </c>
      <c r="C4104" s="49" t="s">
        <v>9971</v>
      </c>
      <c r="D4104" s="49" t="s">
        <v>1264</v>
      </c>
      <c r="E4104" s="49" t="s">
        <v>7057</v>
      </c>
      <c r="F4104" s="49" t="s">
        <v>2825</v>
      </c>
      <c r="G4104" s="49" t="s">
        <v>2776</v>
      </c>
      <c r="H4104" s="49" t="s">
        <v>2827</v>
      </c>
      <c r="I4104" s="50">
        <v>42326</v>
      </c>
      <c r="M4104" s="49" t="s">
        <v>9972</v>
      </c>
    </row>
    <row r="4105" spans="1:13" x14ac:dyDescent="0.35">
      <c r="A4105" s="49" t="s">
        <v>7600</v>
      </c>
      <c r="B4105" s="49" t="s">
        <v>9979</v>
      </c>
      <c r="C4105" s="49" t="s">
        <v>9980</v>
      </c>
      <c r="D4105" s="49" t="s">
        <v>1264</v>
      </c>
      <c r="E4105" s="49" t="s">
        <v>7057</v>
      </c>
      <c r="F4105" s="49" t="s">
        <v>2825</v>
      </c>
      <c r="G4105" s="49" t="s">
        <v>2776</v>
      </c>
      <c r="H4105" s="49" t="s">
        <v>2827</v>
      </c>
      <c r="I4105" s="50">
        <v>42451</v>
      </c>
      <c r="M4105" s="49" t="s">
        <v>9981</v>
      </c>
    </row>
    <row r="4106" spans="1:13" x14ac:dyDescent="0.35">
      <c r="A4106" s="49" t="s">
        <v>7600</v>
      </c>
      <c r="B4106" s="49" t="s">
        <v>10321</v>
      </c>
      <c r="C4106" s="49" t="s">
        <v>7599</v>
      </c>
      <c r="D4106" s="49" t="s">
        <v>1264</v>
      </c>
      <c r="E4106" s="49" t="s">
        <v>2814</v>
      </c>
      <c r="F4106" s="49" t="s">
        <v>2825</v>
      </c>
      <c r="G4106" s="49" t="s">
        <v>2776</v>
      </c>
      <c r="H4106" s="49" t="s">
        <v>2827</v>
      </c>
      <c r="I4106" s="50">
        <v>42366</v>
      </c>
      <c r="M4106" s="49" t="s">
        <v>3470</v>
      </c>
    </row>
    <row r="4107" spans="1:13" x14ac:dyDescent="0.35">
      <c r="A4107" s="49" t="s">
        <v>7600</v>
      </c>
      <c r="B4107" s="49" t="s">
        <v>10352</v>
      </c>
      <c r="C4107" s="49"/>
      <c r="D4107" s="49" t="s">
        <v>1264</v>
      </c>
      <c r="E4107" s="49" t="s">
        <v>2814</v>
      </c>
      <c r="F4107" s="49" t="s">
        <v>2825</v>
      </c>
      <c r="G4107" s="49" t="s">
        <v>2776</v>
      </c>
      <c r="H4107" s="49" t="s">
        <v>2827</v>
      </c>
      <c r="I4107" s="50">
        <v>42583</v>
      </c>
      <c r="M4107" s="49" t="s">
        <v>10353</v>
      </c>
    </row>
    <row r="4108" spans="1:13" x14ac:dyDescent="0.35">
      <c r="A4108" s="49" t="s">
        <v>7600</v>
      </c>
      <c r="B4108" s="49" t="s">
        <v>10375</v>
      </c>
      <c r="C4108" s="49" t="s">
        <v>10376</v>
      </c>
      <c r="D4108" s="49" t="s">
        <v>1264</v>
      </c>
      <c r="E4108" s="49" t="s">
        <v>2814</v>
      </c>
      <c r="F4108" s="49" t="s">
        <v>2825</v>
      </c>
      <c r="G4108" s="49" t="s">
        <v>2776</v>
      </c>
      <c r="H4108" s="49" t="s">
        <v>2827</v>
      </c>
      <c r="I4108" s="50">
        <v>43042</v>
      </c>
      <c r="M4108" s="49" t="s">
        <v>10377</v>
      </c>
    </row>
    <row r="4109" spans="1:13" x14ac:dyDescent="0.35">
      <c r="A4109" s="49" t="s">
        <v>7600</v>
      </c>
      <c r="B4109" s="49" t="s">
        <v>10443</v>
      </c>
      <c r="C4109" s="49" t="s">
        <v>8228</v>
      </c>
      <c r="D4109" s="49" t="s">
        <v>1264</v>
      </c>
      <c r="E4109" s="49" t="s">
        <v>2814</v>
      </c>
      <c r="F4109" s="49" t="s">
        <v>2825</v>
      </c>
      <c r="G4109" s="49" t="s">
        <v>2776</v>
      </c>
      <c r="H4109" s="49" t="s">
        <v>2827</v>
      </c>
      <c r="I4109" s="50">
        <v>42786</v>
      </c>
      <c r="M4109" s="49" t="s">
        <v>10444</v>
      </c>
    </row>
    <row r="4110" spans="1:13" x14ac:dyDescent="0.35">
      <c r="A4110" s="49" t="s">
        <v>7600</v>
      </c>
      <c r="B4110" s="49" t="s">
        <v>10618</v>
      </c>
      <c r="C4110" s="49"/>
      <c r="D4110" s="49" t="s">
        <v>1264</v>
      </c>
      <c r="E4110" s="49" t="s">
        <v>2814</v>
      </c>
      <c r="F4110" s="49" t="s">
        <v>2825</v>
      </c>
      <c r="G4110" s="49" t="s">
        <v>2776</v>
      </c>
      <c r="H4110" s="49" t="s">
        <v>2827</v>
      </c>
      <c r="I4110" s="50">
        <v>42479</v>
      </c>
      <c r="M4110" s="49" t="s">
        <v>10619</v>
      </c>
    </row>
    <row r="4111" spans="1:13" x14ac:dyDescent="0.35">
      <c r="A4111" s="49" t="s">
        <v>12180</v>
      </c>
      <c r="B4111" s="49" t="s">
        <v>12178</v>
      </c>
      <c r="C4111" s="49" t="s">
        <v>12179</v>
      </c>
      <c r="D4111" s="49" t="s">
        <v>1264</v>
      </c>
      <c r="E4111" s="49" t="s">
        <v>2785</v>
      </c>
      <c r="F4111" s="49" t="s">
        <v>2792</v>
      </c>
      <c r="G4111" s="49" t="s">
        <v>4891</v>
      </c>
      <c r="H4111" s="49" t="s">
        <v>8</v>
      </c>
      <c r="I4111" s="50">
        <v>45350</v>
      </c>
      <c r="M4111" s="49" t="s">
        <v>12181</v>
      </c>
    </row>
  </sheetData>
  <conditionalFormatting sqref="A19:A21">
    <cfRule type="duplicateValues" dxfId="4" priority="10"/>
  </conditionalFormatting>
  <conditionalFormatting sqref="A3196:A3199">
    <cfRule type="duplicateValues" dxfId="3" priority="13"/>
  </conditionalFormatting>
  <conditionalFormatting sqref="A3200:A1048576 A1:A3195">
    <cfRule type="duplicateValues" dxfId="2" priority="11"/>
  </conditionalFormatting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F917D-27BA-46B3-9581-AF1BDA77BC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RBE</vt:lpstr>
      <vt:lpstr>SOUS-TRAITANT</vt:lpstr>
      <vt:lpstr>SOUS-TRAITANT (2)</vt:lpstr>
      <vt:lpstr>Permis</vt:lpstr>
      <vt:lpstr>RBE (2)</vt:lpstr>
      <vt:lpstr>Permis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Aissatou DIAGNE</dc:creator>
  <cp:lastModifiedBy>sie rachid traore</cp:lastModifiedBy>
  <dcterms:created xsi:type="dcterms:W3CDTF">2025-09-18T11:18:42Z</dcterms:created>
  <dcterms:modified xsi:type="dcterms:W3CDTF">2026-07-27T02:05:25Z</dcterms:modified>
</cp:coreProperties>
</file>